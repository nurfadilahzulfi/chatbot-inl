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 PEKERJAAN\LAPORAN PRODUKSI\Production Report 2023\"/>
    </mc:Choice>
  </mc:AlternateContent>
  <xr:revisionPtr revIDLastSave="0" documentId="13_ncr:1_{C65A000B-C95F-4BB9-A6DD-8103D1CDDBD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eptember - 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43" i="1" l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AK242" i="1"/>
  <c r="AK241" i="1"/>
  <c r="AK240" i="1"/>
  <c r="AK239" i="1"/>
  <c r="AK238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AK235" i="1"/>
  <c r="AK234" i="1"/>
  <c r="AK233" i="1"/>
  <c r="AK232" i="1"/>
  <c r="AK231" i="1"/>
  <c r="AK236" i="1" s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AK228" i="1"/>
  <c r="AK225" i="1"/>
  <c r="D225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D224" i="1"/>
  <c r="AK223" i="1"/>
  <c r="D223" i="1"/>
  <c r="AK222" i="1"/>
  <c r="AK221" i="1"/>
  <c r="AK219" i="1"/>
  <c r="W217" i="1"/>
  <c r="O217" i="1"/>
  <c r="AI216" i="1"/>
  <c r="AI217" i="1" s="1"/>
  <c r="AH216" i="1"/>
  <c r="AH217" i="1" s="1"/>
  <c r="AG216" i="1"/>
  <c r="AG217" i="1" s="1"/>
  <c r="AF216" i="1"/>
  <c r="AF217" i="1" s="1"/>
  <c r="AE216" i="1"/>
  <c r="AE217" i="1" s="1"/>
  <c r="AD216" i="1"/>
  <c r="AD217" i="1" s="1"/>
  <c r="AC216" i="1"/>
  <c r="AC217" i="1" s="1"/>
  <c r="AB216" i="1"/>
  <c r="AB217" i="1" s="1"/>
  <c r="AA216" i="1"/>
  <c r="AA217" i="1" s="1"/>
  <c r="Z216" i="1"/>
  <c r="Z217" i="1" s="1"/>
  <c r="Y216" i="1"/>
  <c r="Y217" i="1" s="1"/>
  <c r="X216" i="1"/>
  <c r="X217" i="1" s="1"/>
  <c r="W216" i="1"/>
  <c r="V216" i="1"/>
  <c r="V217" i="1" s="1"/>
  <c r="U216" i="1"/>
  <c r="U217" i="1" s="1"/>
  <c r="T216" i="1"/>
  <c r="T217" i="1" s="1"/>
  <c r="S216" i="1"/>
  <c r="S217" i="1" s="1"/>
  <c r="R216" i="1"/>
  <c r="R217" i="1" s="1"/>
  <c r="Q216" i="1"/>
  <c r="Q217" i="1" s="1"/>
  <c r="P216" i="1"/>
  <c r="P217" i="1" s="1"/>
  <c r="O216" i="1"/>
  <c r="N216" i="1"/>
  <c r="N217" i="1" s="1"/>
  <c r="M216" i="1"/>
  <c r="M217" i="1" s="1"/>
  <c r="L216" i="1"/>
  <c r="L217" i="1" s="1"/>
  <c r="K216" i="1"/>
  <c r="K217" i="1" s="1"/>
  <c r="J216" i="1"/>
  <c r="J217" i="1" s="1"/>
  <c r="I216" i="1"/>
  <c r="I217" i="1" s="1"/>
  <c r="H216" i="1"/>
  <c r="H217" i="1" s="1"/>
  <c r="G216" i="1"/>
  <c r="G217" i="1" s="1"/>
  <c r="F216" i="1"/>
  <c r="AK215" i="1"/>
  <c r="AK214" i="1"/>
  <c r="AK212" i="1"/>
  <c r="D212" i="1"/>
  <c r="D216" i="1" s="1"/>
  <c r="D217" i="1" s="1"/>
  <c r="AI210" i="1"/>
  <c r="AH210" i="1"/>
  <c r="AG210" i="1"/>
  <c r="AG209" i="1" s="1"/>
  <c r="AF210" i="1"/>
  <c r="AF209" i="1" s="1"/>
  <c r="AE210" i="1"/>
  <c r="AE209" i="1" s="1"/>
  <c r="AD210" i="1"/>
  <c r="AC210" i="1"/>
  <c r="AC209" i="1" s="1"/>
  <c r="AB210" i="1"/>
  <c r="AA210" i="1"/>
  <c r="AA209" i="1" s="1"/>
  <c r="Z210" i="1"/>
  <c r="Y210" i="1"/>
  <c r="Y209" i="1" s="1"/>
  <c r="X210" i="1"/>
  <c r="W210" i="1"/>
  <c r="V210" i="1"/>
  <c r="U210" i="1"/>
  <c r="U209" i="1" s="1"/>
  <c r="T210" i="1"/>
  <c r="T209" i="1" s="1"/>
  <c r="S210" i="1"/>
  <c r="R210" i="1"/>
  <c r="Q210" i="1"/>
  <c r="Q209" i="1" s="1"/>
  <c r="P210" i="1"/>
  <c r="P209" i="1" s="1"/>
  <c r="O210" i="1"/>
  <c r="O209" i="1" s="1"/>
  <c r="N210" i="1"/>
  <c r="M210" i="1"/>
  <c r="M209" i="1" s="1"/>
  <c r="L210" i="1"/>
  <c r="K210" i="1"/>
  <c r="K209" i="1" s="1"/>
  <c r="J210" i="1"/>
  <c r="I210" i="1"/>
  <c r="I209" i="1" s="1"/>
  <c r="H210" i="1"/>
  <c r="G210" i="1"/>
  <c r="F210" i="1"/>
  <c r="D210" i="1"/>
  <c r="D206" i="1" s="1"/>
  <c r="AI209" i="1"/>
  <c r="AH209" i="1"/>
  <c r="AD209" i="1"/>
  <c r="AB209" i="1"/>
  <c r="Z209" i="1"/>
  <c r="X209" i="1"/>
  <c r="W209" i="1"/>
  <c r="V209" i="1"/>
  <c r="S209" i="1"/>
  <c r="R209" i="1"/>
  <c r="N209" i="1"/>
  <c r="L209" i="1"/>
  <c r="J209" i="1"/>
  <c r="H209" i="1"/>
  <c r="G209" i="1"/>
  <c r="F209" i="1"/>
  <c r="AK208" i="1"/>
  <c r="AK206" i="1"/>
  <c r="AK205" i="1"/>
  <c r="AG203" i="1"/>
  <c r="AC203" i="1"/>
  <c r="Z203" i="1"/>
  <c r="Y203" i="1"/>
  <c r="X203" i="1"/>
  <c r="V203" i="1"/>
  <c r="U203" i="1"/>
  <c r="Q203" i="1"/>
  <c r="O203" i="1"/>
  <c r="M203" i="1"/>
  <c r="L203" i="1"/>
  <c r="K203" i="1"/>
  <c r="I203" i="1"/>
  <c r="H203" i="1"/>
  <c r="G203" i="1"/>
  <c r="F203" i="1"/>
  <c r="AB202" i="1"/>
  <c r="L202" i="1"/>
  <c r="H202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W202" i="1" s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AI199" i="1"/>
  <c r="AH199" i="1"/>
  <c r="AH202" i="1" s="1"/>
  <c r="AG199" i="1"/>
  <c r="AG202" i="1" s="1"/>
  <c r="AF199" i="1"/>
  <c r="AF202" i="1" s="1"/>
  <c r="AE199" i="1"/>
  <c r="AE202" i="1" s="1"/>
  <c r="AD199" i="1"/>
  <c r="AD202" i="1" s="1"/>
  <c r="AC199" i="1"/>
  <c r="AC202" i="1" s="1"/>
  <c r="AB199" i="1"/>
  <c r="AA199" i="1"/>
  <c r="Z199" i="1"/>
  <c r="Z202" i="1" s="1"/>
  <c r="Y199" i="1"/>
  <c r="Y202" i="1" s="1"/>
  <c r="X199" i="1"/>
  <c r="W199" i="1"/>
  <c r="V199" i="1"/>
  <c r="V202" i="1" s="1"/>
  <c r="U199" i="1"/>
  <c r="U202" i="1" s="1"/>
  <c r="T199" i="1"/>
  <c r="T202" i="1" s="1"/>
  <c r="S199" i="1"/>
  <c r="R199" i="1"/>
  <c r="R202" i="1" s="1"/>
  <c r="Q199" i="1"/>
  <c r="Q202" i="1" s="1"/>
  <c r="P199" i="1"/>
  <c r="P202" i="1" s="1"/>
  <c r="O199" i="1"/>
  <c r="N199" i="1"/>
  <c r="N202" i="1" s="1"/>
  <c r="M199" i="1"/>
  <c r="M202" i="1" s="1"/>
  <c r="L199" i="1"/>
  <c r="K199" i="1"/>
  <c r="J199" i="1"/>
  <c r="J202" i="1" s="1"/>
  <c r="I199" i="1"/>
  <c r="I202" i="1" s="1"/>
  <c r="H199" i="1"/>
  <c r="G199" i="1"/>
  <c r="G202" i="1" s="1"/>
  <c r="F199" i="1"/>
  <c r="F202" i="1" s="1"/>
  <c r="O198" i="1"/>
  <c r="AA197" i="1"/>
  <c r="M197" i="1"/>
  <c r="L197" i="1"/>
  <c r="K197" i="1"/>
  <c r="I197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AI191" i="1"/>
  <c r="AI198" i="1" s="1"/>
  <c r="AH191" i="1"/>
  <c r="AH198" i="1" s="1"/>
  <c r="AG191" i="1"/>
  <c r="AG198" i="1" s="1"/>
  <c r="AF191" i="1"/>
  <c r="AF198" i="1" s="1"/>
  <c r="AE191" i="1"/>
  <c r="AE198" i="1" s="1"/>
  <c r="AD191" i="1"/>
  <c r="AD198" i="1" s="1"/>
  <c r="AC191" i="1"/>
  <c r="AC198" i="1" s="1"/>
  <c r="AB191" i="1"/>
  <c r="AB198" i="1" s="1"/>
  <c r="AA191" i="1"/>
  <c r="AA198" i="1" s="1"/>
  <c r="Z191" i="1"/>
  <c r="Z198" i="1" s="1"/>
  <c r="Y191" i="1"/>
  <c r="Y198" i="1" s="1"/>
  <c r="X191" i="1"/>
  <c r="X198" i="1" s="1"/>
  <c r="W191" i="1"/>
  <c r="W198" i="1" s="1"/>
  <c r="V191" i="1"/>
  <c r="V198" i="1" s="1"/>
  <c r="U191" i="1"/>
  <c r="U198" i="1" s="1"/>
  <c r="T191" i="1"/>
  <c r="T198" i="1" s="1"/>
  <c r="S191" i="1"/>
  <c r="S198" i="1" s="1"/>
  <c r="R191" i="1"/>
  <c r="R198" i="1" s="1"/>
  <c r="Q191" i="1"/>
  <c r="Q198" i="1" s="1"/>
  <c r="P191" i="1"/>
  <c r="P198" i="1" s="1"/>
  <c r="O191" i="1"/>
  <c r="N191" i="1"/>
  <c r="N198" i="1" s="1"/>
  <c r="M191" i="1"/>
  <c r="M198" i="1" s="1"/>
  <c r="L191" i="1"/>
  <c r="L198" i="1" s="1"/>
  <c r="K191" i="1"/>
  <c r="K198" i="1" s="1"/>
  <c r="J191" i="1"/>
  <c r="J198" i="1" s="1"/>
  <c r="I191" i="1"/>
  <c r="I198" i="1" s="1"/>
  <c r="H191" i="1"/>
  <c r="H198" i="1" s="1"/>
  <c r="G191" i="1"/>
  <c r="G198" i="1" s="1"/>
  <c r="F191" i="1"/>
  <c r="F198" i="1" s="1"/>
  <c r="AI190" i="1"/>
  <c r="AI197" i="1" s="1"/>
  <c r="AH190" i="1"/>
  <c r="AH197" i="1" s="1"/>
  <c r="AG190" i="1"/>
  <c r="AG197" i="1" s="1"/>
  <c r="AF190" i="1"/>
  <c r="AF197" i="1" s="1"/>
  <c r="AE190" i="1"/>
  <c r="AE197" i="1" s="1"/>
  <c r="AD190" i="1"/>
  <c r="AD197" i="1" s="1"/>
  <c r="AC190" i="1"/>
  <c r="AC197" i="1" s="1"/>
  <c r="AB190" i="1"/>
  <c r="AB197" i="1" s="1"/>
  <c r="AA190" i="1"/>
  <c r="Z190" i="1"/>
  <c r="Z197" i="1" s="1"/>
  <c r="Y190" i="1"/>
  <c r="Y197" i="1" s="1"/>
  <c r="X190" i="1"/>
  <c r="X197" i="1" s="1"/>
  <c r="W190" i="1"/>
  <c r="W197" i="1" s="1"/>
  <c r="V190" i="1"/>
  <c r="V197" i="1" s="1"/>
  <c r="U190" i="1"/>
  <c r="U197" i="1" s="1"/>
  <c r="T190" i="1"/>
  <c r="T197" i="1" s="1"/>
  <c r="S190" i="1"/>
  <c r="S197" i="1" s="1"/>
  <c r="R190" i="1"/>
  <c r="R197" i="1" s="1"/>
  <c r="Q190" i="1"/>
  <c r="Q197" i="1" s="1"/>
  <c r="P190" i="1"/>
  <c r="P197" i="1" s="1"/>
  <c r="O190" i="1"/>
  <c r="O197" i="1" s="1"/>
  <c r="N190" i="1"/>
  <c r="N197" i="1" s="1"/>
  <c r="J190" i="1"/>
  <c r="J197" i="1" s="1"/>
  <c r="H190" i="1"/>
  <c r="H197" i="1" s="1"/>
  <c r="G190" i="1"/>
  <c r="G197" i="1" s="1"/>
  <c r="F190" i="1"/>
  <c r="AK188" i="1"/>
  <c r="AK195" i="1" s="1"/>
  <c r="AK187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F182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AK179" i="1"/>
  <c r="AK178" i="1"/>
  <c r="AK176" i="1"/>
  <c r="AK198" i="1" s="1"/>
  <c r="AH175" i="1"/>
  <c r="AD175" i="1"/>
  <c r="AC175" i="1"/>
  <c r="V175" i="1"/>
  <c r="R175" i="1"/>
  <c r="Q175" i="1"/>
  <c r="M175" i="1"/>
  <c r="J175" i="1"/>
  <c r="F175" i="1"/>
  <c r="AI174" i="1"/>
  <c r="AI175" i="1" s="1"/>
  <c r="AH174" i="1"/>
  <c r="AG174" i="1"/>
  <c r="AG175" i="1" s="1"/>
  <c r="AF174" i="1"/>
  <c r="AF175" i="1" s="1"/>
  <c r="AE174" i="1"/>
  <c r="AE175" i="1" s="1"/>
  <c r="AD174" i="1"/>
  <c r="AC174" i="1"/>
  <c r="AB174" i="1"/>
  <c r="AB175" i="1" s="1"/>
  <c r="AA174" i="1"/>
  <c r="AA175" i="1" s="1"/>
  <c r="Z174" i="1"/>
  <c r="Z175" i="1" s="1"/>
  <c r="Y174" i="1"/>
  <c r="Y175" i="1" s="1"/>
  <c r="X174" i="1"/>
  <c r="X175" i="1" s="1"/>
  <c r="W174" i="1"/>
  <c r="W175" i="1" s="1"/>
  <c r="V174" i="1"/>
  <c r="U174" i="1"/>
  <c r="U175" i="1" s="1"/>
  <c r="T174" i="1"/>
  <c r="T175" i="1" s="1"/>
  <c r="S174" i="1"/>
  <c r="S175" i="1" s="1"/>
  <c r="R174" i="1"/>
  <c r="Q174" i="1"/>
  <c r="P174" i="1"/>
  <c r="P175" i="1" s="1"/>
  <c r="O174" i="1"/>
  <c r="O175" i="1" s="1"/>
  <c r="N174" i="1"/>
  <c r="N175" i="1" s="1"/>
  <c r="M174" i="1"/>
  <c r="L174" i="1"/>
  <c r="L175" i="1" s="1"/>
  <c r="K174" i="1"/>
  <c r="K175" i="1" s="1"/>
  <c r="J174" i="1"/>
  <c r="I174" i="1"/>
  <c r="I175" i="1" s="1"/>
  <c r="H174" i="1"/>
  <c r="H175" i="1" s="1"/>
  <c r="G174" i="1"/>
  <c r="F174" i="1"/>
  <c r="AK173" i="1"/>
  <c r="AK172" i="1"/>
  <c r="AG170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AF163" i="1"/>
  <c r="AF170" i="1" s="1"/>
  <c r="AC163" i="1"/>
  <c r="AC170" i="1" s="1"/>
  <c r="U163" i="1"/>
  <c r="U170" i="1" s="1"/>
  <c r="T163" i="1"/>
  <c r="T170" i="1" s="1"/>
  <c r="L163" i="1"/>
  <c r="L170" i="1" s="1"/>
  <c r="S162" i="1"/>
  <c r="AK160" i="1"/>
  <c r="AK159" i="1"/>
  <c r="AI156" i="1"/>
  <c r="AI163" i="1" s="1"/>
  <c r="AI170" i="1" s="1"/>
  <c r="AH156" i="1"/>
  <c r="AH163" i="1" s="1"/>
  <c r="AG156" i="1"/>
  <c r="AG163" i="1" s="1"/>
  <c r="AF156" i="1"/>
  <c r="AE156" i="1"/>
  <c r="AE163" i="1" s="1"/>
  <c r="AE170" i="1" s="1"/>
  <c r="AD156" i="1"/>
  <c r="AD163" i="1" s="1"/>
  <c r="AC156" i="1"/>
  <c r="AB156" i="1"/>
  <c r="AB163" i="1" s="1"/>
  <c r="AB170" i="1" s="1"/>
  <c r="AA156" i="1"/>
  <c r="AA163" i="1" s="1"/>
  <c r="AA170" i="1" s="1"/>
  <c r="Z156" i="1"/>
  <c r="Z163" i="1" s="1"/>
  <c r="Y156" i="1"/>
  <c r="Y163" i="1" s="1"/>
  <c r="Y170" i="1" s="1"/>
  <c r="X156" i="1"/>
  <c r="X163" i="1" s="1"/>
  <c r="X170" i="1" s="1"/>
  <c r="W156" i="1"/>
  <c r="W163" i="1" s="1"/>
  <c r="W170" i="1" s="1"/>
  <c r="V156" i="1"/>
  <c r="V163" i="1" s="1"/>
  <c r="U156" i="1"/>
  <c r="T156" i="1"/>
  <c r="S156" i="1"/>
  <c r="S163" i="1" s="1"/>
  <c r="S170" i="1" s="1"/>
  <c r="R156" i="1"/>
  <c r="R163" i="1" s="1"/>
  <c r="Q156" i="1"/>
  <c r="Q163" i="1" s="1"/>
  <c r="P156" i="1"/>
  <c r="P163" i="1" s="1"/>
  <c r="O156" i="1"/>
  <c r="O163" i="1" s="1"/>
  <c r="O170" i="1" s="1"/>
  <c r="N156" i="1"/>
  <c r="N163" i="1" s="1"/>
  <c r="M156" i="1"/>
  <c r="M163" i="1" s="1"/>
  <c r="M170" i="1" s="1"/>
  <c r="L156" i="1"/>
  <c r="K156" i="1"/>
  <c r="K163" i="1" s="1"/>
  <c r="K170" i="1" s="1"/>
  <c r="J156" i="1"/>
  <c r="J163" i="1" s="1"/>
  <c r="I156" i="1"/>
  <c r="I163" i="1" s="1"/>
  <c r="I170" i="1" s="1"/>
  <c r="H156" i="1"/>
  <c r="G156" i="1"/>
  <c r="G163" i="1" s="1"/>
  <c r="G170" i="1" s="1"/>
  <c r="F156" i="1"/>
  <c r="F163" i="1" s="1"/>
  <c r="AI155" i="1"/>
  <c r="AI162" i="1" s="1"/>
  <c r="AI169" i="1" s="1"/>
  <c r="AH155" i="1"/>
  <c r="AG155" i="1"/>
  <c r="AF155" i="1"/>
  <c r="AD155" i="1"/>
  <c r="AC155" i="1"/>
  <c r="AB155" i="1"/>
  <c r="AB162" i="1" s="1"/>
  <c r="AB169" i="1" s="1"/>
  <c r="AA155" i="1"/>
  <c r="Z155" i="1"/>
  <c r="Y155" i="1"/>
  <c r="X155" i="1"/>
  <c r="W155" i="1"/>
  <c r="V155" i="1"/>
  <c r="U155" i="1"/>
  <c r="T155" i="1"/>
  <c r="T162" i="1" s="1"/>
  <c r="T169" i="1" s="1"/>
  <c r="S155" i="1"/>
  <c r="R155" i="1"/>
  <c r="R162" i="1" s="1"/>
  <c r="Q155" i="1"/>
  <c r="P155" i="1"/>
  <c r="P162" i="1" s="1"/>
  <c r="P169" i="1" s="1"/>
  <c r="O155" i="1"/>
  <c r="N155" i="1"/>
  <c r="M155" i="1"/>
  <c r="L155" i="1"/>
  <c r="L162" i="1" s="1"/>
  <c r="L169" i="1" s="1"/>
  <c r="K155" i="1"/>
  <c r="J155" i="1"/>
  <c r="I155" i="1"/>
  <c r="H155" i="1"/>
  <c r="G155" i="1"/>
  <c r="F155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AK150" i="1"/>
  <c r="AK154" i="1" s="1"/>
  <c r="AK149" i="1"/>
  <c r="AK153" i="1" s="1"/>
  <c r="AK148" i="1"/>
  <c r="AK152" i="1" s="1"/>
  <c r="X146" i="1"/>
  <c r="AI145" i="1"/>
  <c r="AI146" i="1" s="1"/>
  <c r="AH145" i="1"/>
  <c r="AH146" i="1" s="1"/>
  <c r="AG145" i="1"/>
  <c r="AG146" i="1" s="1"/>
  <c r="AF145" i="1"/>
  <c r="AF146" i="1" s="1"/>
  <c r="AE145" i="1"/>
  <c r="AD145" i="1"/>
  <c r="AD146" i="1" s="1"/>
  <c r="AC145" i="1"/>
  <c r="AC146" i="1" s="1"/>
  <c r="AB145" i="1"/>
  <c r="AB146" i="1" s="1"/>
  <c r="AA145" i="1"/>
  <c r="AA146" i="1" s="1"/>
  <c r="AA162" i="1" s="1"/>
  <c r="AA169" i="1" s="1"/>
  <c r="Z145" i="1"/>
  <c r="Z146" i="1" s="1"/>
  <c r="Y145" i="1"/>
  <c r="Y146" i="1" s="1"/>
  <c r="X145" i="1"/>
  <c r="W145" i="1"/>
  <c r="W146" i="1" s="1"/>
  <c r="V145" i="1"/>
  <c r="V146" i="1" s="1"/>
  <c r="U145" i="1"/>
  <c r="U146" i="1" s="1"/>
  <c r="T145" i="1"/>
  <c r="T146" i="1" s="1"/>
  <c r="S145" i="1"/>
  <c r="R145" i="1"/>
  <c r="Q145" i="1"/>
  <c r="Q146" i="1" s="1"/>
  <c r="P145" i="1"/>
  <c r="P146" i="1" s="1"/>
  <c r="O145" i="1"/>
  <c r="O146" i="1" s="1"/>
  <c r="O162" i="1" s="1"/>
  <c r="O169" i="1" s="1"/>
  <c r="N145" i="1"/>
  <c r="N146" i="1" s="1"/>
  <c r="M145" i="1"/>
  <c r="M146" i="1" s="1"/>
  <c r="L145" i="1"/>
  <c r="L146" i="1" s="1"/>
  <c r="K145" i="1"/>
  <c r="K146" i="1" s="1"/>
  <c r="J145" i="1"/>
  <c r="J146" i="1" s="1"/>
  <c r="I145" i="1"/>
  <c r="I146" i="1" s="1"/>
  <c r="H145" i="1"/>
  <c r="H146" i="1" s="1"/>
  <c r="G145" i="1"/>
  <c r="G146" i="1" s="1"/>
  <c r="G162" i="1" s="1"/>
  <c r="F145" i="1"/>
  <c r="AE144" i="1"/>
  <c r="K142" i="1"/>
  <c r="M141" i="1"/>
  <c r="F141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AK139" i="1" s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AI135" i="1"/>
  <c r="AH135" i="1"/>
  <c r="AH142" i="1" s="1"/>
  <c r="AG135" i="1"/>
  <c r="AG142" i="1" s="1"/>
  <c r="AF135" i="1"/>
  <c r="AE135" i="1"/>
  <c r="AD135" i="1"/>
  <c r="AC135" i="1"/>
  <c r="AC142" i="1" s="1"/>
  <c r="AB135" i="1"/>
  <c r="AA135" i="1"/>
  <c r="AA142" i="1" s="1"/>
  <c r="Z135" i="1"/>
  <c r="Y135" i="1"/>
  <c r="X135" i="1"/>
  <c r="W135" i="1"/>
  <c r="V135" i="1"/>
  <c r="U135" i="1"/>
  <c r="T135" i="1"/>
  <c r="S135" i="1"/>
  <c r="R135" i="1"/>
  <c r="R142" i="1" s="1"/>
  <c r="Q135" i="1"/>
  <c r="P135" i="1"/>
  <c r="O135" i="1"/>
  <c r="N135" i="1"/>
  <c r="M135" i="1"/>
  <c r="L135" i="1"/>
  <c r="K135" i="1"/>
  <c r="J135" i="1"/>
  <c r="I135" i="1"/>
  <c r="H135" i="1"/>
  <c r="G135" i="1"/>
  <c r="F135" i="1"/>
  <c r="F142" i="1" s="1"/>
  <c r="AK142" i="1" s="1"/>
  <c r="C135" i="1"/>
  <c r="AI134" i="1"/>
  <c r="AH134" i="1"/>
  <c r="AH141" i="1" s="1"/>
  <c r="AG134" i="1"/>
  <c r="AG141" i="1" s="1"/>
  <c r="AF134" i="1"/>
  <c r="AE134" i="1"/>
  <c r="AD134" i="1"/>
  <c r="AC134" i="1"/>
  <c r="AC141" i="1" s="1"/>
  <c r="AB134" i="1"/>
  <c r="AA134" i="1"/>
  <c r="Z134" i="1"/>
  <c r="Y134" i="1"/>
  <c r="Y141" i="1" s="1"/>
  <c r="X134" i="1"/>
  <c r="W134" i="1"/>
  <c r="V134" i="1"/>
  <c r="U134" i="1"/>
  <c r="U141" i="1" s="1"/>
  <c r="T134" i="1"/>
  <c r="S134" i="1"/>
  <c r="R134" i="1"/>
  <c r="Q134" i="1"/>
  <c r="Q141" i="1" s="1"/>
  <c r="P134" i="1"/>
  <c r="O134" i="1"/>
  <c r="N134" i="1"/>
  <c r="M134" i="1"/>
  <c r="L134" i="1"/>
  <c r="K134" i="1"/>
  <c r="J134" i="1"/>
  <c r="I134" i="1"/>
  <c r="I141" i="1" s="1"/>
  <c r="H134" i="1"/>
  <c r="G134" i="1"/>
  <c r="F134" i="1"/>
  <c r="C134" i="1"/>
  <c r="AK132" i="1"/>
  <c r="AK131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AI127" i="1"/>
  <c r="AG127" i="1"/>
  <c r="AC127" i="1"/>
  <c r="AB127" i="1"/>
  <c r="Z127" i="1"/>
  <c r="Y127" i="1"/>
  <c r="X127" i="1"/>
  <c r="V127" i="1"/>
  <c r="U127" i="1"/>
  <c r="T127" i="1"/>
  <c r="S127" i="1"/>
  <c r="Q127" i="1"/>
  <c r="O127" i="1"/>
  <c r="M127" i="1"/>
  <c r="L127" i="1"/>
  <c r="K127" i="1"/>
  <c r="I127" i="1"/>
  <c r="H127" i="1"/>
  <c r="G127" i="1"/>
  <c r="F127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M142" i="1" s="1"/>
  <c r="L126" i="1"/>
  <c r="K126" i="1"/>
  <c r="J126" i="1"/>
  <c r="I126" i="1"/>
  <c r="H126" i="1"/>
  <c r="G126" i="1"/>
  <c r="F126" i="1"/>
  <c r="AI125" i="1"/>
  <c r="AH125" i="1"/>
  <c r="AG125" i="1"/>
  <c r="AF125" i="1"/>
  <c r="AF141" i="1" s="1"/>
  <c r="AE125" i="1"/>
  <c r="AD125" i="1"/>
  <c r="AC125" i="1"/>
  <c r="AB125" i="1"/>
  <c r="AB141" i="1" s="1"/>
  <c r="AA125" i="1"/>
  <c r="Z125" i="1"/>
  <c r="Y125" i="1"/>
  <c r="X125" i="1"/>
  <c r="X141" i="1" s="1"/>
  <c r="W125" i="1"/>
  <c r="V125" i="1"/>
  <c r="U125" i="1"/>
  <c r="T125" i="1"/>
  <c r="T141" i="1" s="1"/>
  <c r="S125" i="1"/>
  <c r="R125" i="1"/>
  <c r="Q125" i="1"/>
  <c r="P125" i="1"/>
  <c r="P141" i="1" s="1"/>
  <c r="O125" i="1"/>
  <c r="N125" i="1"/>
  <c r="M125" i="1"/>
  <c r="L125" i="1"/>
  <c r="L141" i="1" s="1"/>
  <c r="K125" i="1"/>
  <c r="J125" i="1"/>
  <c r="I125" i="1"/>
  <c r="H125" i="1"/>
  <c r="H141" i="1" s="1"/>
  <c r="G125" i="1"/>
  <c r="F125" i="1"/>
  <c r="AK123" i="1"/>
  <c r="AK122" i="1"/>
  <c r="AK125" i="1" s="1"/>
  <c r="V120" i="1"/>
  <c r="N120" i="1"/>
  <c r="F120" i="1"/>
  <c r="AI119" i="1"/>
  <c r="AI120" i="1" s="1"/>
  <c r="AH119" i="1"/>
  <c r="AG119" i="1"/>
  <c r="AG120" i="1" s="1"/>
  <c r="AF119" i="1"/>
  <c r="AE119" i="1"/>
  <c r="AD119" i="1"/>
  <c r="AC119" i="1"/>
  <c r="AC120" i="1" s="1"/>
  <c r="AB119" i="1"/>
  <c r="AB120" i="1" s="1"/>
  <c r="AA119" i="1"/>
  <c r="Z119" i="1"/>
  <c r="Z120" i="1" s="1"/>
  <c r="Y119" i="1"/>
  <c r="Y120" i="1" s="1"/>
  <c r="X119" i="1"/>
  <c r="X120" i="1" s="1"/>
  <c r="W119" i="1"/>
  <c r="V119" i="1"/>
  <c r="U119" i="1"/>
  <c r="U120" i="1" s="1"/>
  <c r="T119" i="1"/>
  <c r="T120" i="1" s="1"/>
  <c r="S119" i="1"/>
  <c r="R119" i="1"/>
  <c r="Q119" i="1"/>
  <c r="Q120" i="1" s="1"/>
  <c r="P119" i="1"/>
  <c r="O119" i="1"/>
  <c r="O120" i="1" s="1"/>
  <c r="N119" i="1"/>
  <c r="M119" i="1"/>
  <c r="M120" i="1" s="1"/>
  <c r="L119" i="1"/>
  <c r="L120" i="1" s="1"/>
  <c r="K119" i="1"/>
  <c r="K120" i="1" s="1"/>
  <c r="J119" i="1"/>
  <c r="I119" i="1"/>
  <c r="I120" i="1" s="1"/>
  <c r="H119" i="1"/>
  <c r="H120" i="1" s="1"/>
  <c r="G119" i="1"/>
  <c r="G120" i="1" s="1"/>
  <c r="F119" i="1"/>
  <c r="AH118" i="1"/>
  <c r="AF118" i="1"/>
  <c r="AE118" i="1"/>
  <c r="AE127" i="1" s="1"/>
  <c r="AD118" i="1"/>
  <c r="AA118" i="1"/>
  <c r="W118" i="1"/>
  <c r="S118" i="1"/>
  <c r="S203" i="1" s="1"/>
  <c r="R118" i="1"/>
  <c r="P118" i="1"/>
  <c r="N118" i="1"/>
  <c r="J118" i="1"/>
  <c r="AK117" i="1"/>
  <c r="AC115" i="1"/>
  <c r="M115" i="1"/>
  <c r="AB114" i="1"/>
  <c r="L114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AI108" i="1"/>
  <c r="AH108" i="1"/>
  <c r="AG108" i="1"/>
  <c r="AF108" i="1"/>
  <c r="AF115" i="1" s="1"/>
  <c r="AE108" i="1"/>
  <c r="AE115" i="1" s="1"/>
  <c r="AD108" i="1"/>
  <c r="AC108" i="1"/>
  <c r="AB108" i="1"/>
  <c r="AB115" i="1" s="1"/>
  <c r="AA108" i="1"/>
  <c r="Z108" i="1"/>
  <c r="Y108" i="1"/>
  <c r="Y115" i="1" s="1"/>
  <c r="X108" i="1"/>
  <c r="X115" i="1" s="1"/>
  <c r="W108" i="1"/>
  <c r="W115" i="1" s="1"/>
  <c r="V108" i="1"/>
  <c r="U108" i="1"/>
  <c r="T108" i="1"/>
  <c r="T115" i="1" s="1"/>
  <c r="S108" i="1"/>
  <c r="S115" i="1" s="1"/>
  <c r="R108" i="1"/>
  <c r="Q108" i="1"/>
  <c r="P108" i="1"/>
  <c r="P115" i="1" s="1"/>
  <c r="O108" i="1"/>
  <c r="N108" i="1"/>
  <c r="M108" i="1"/>
  <c r="L108" i="1"/>
  <c r="L115" i="1" s="1"/>
  <c r="K108" i="1"/>
  <c r="J108" i="1"/>
  <c r="I108" i="1"/>
  <c r="I115" i="1" s="1"/>
  <c r="H108" i="1"/>
  <c r="H115" i="1" s="1"/>
  <c r="G108" i="1"/>
  <c r="G115" i="1" s="1"/>
  <c r="F108" i="1"/>
  <c r="AI107" i="1"/>
  <c r="AH107" i="1"/>
  <c r="AG107" i="1"/>
  <c r="AG114" i="1" s="1"/>
  <c r="AF107" i="1"/>
  <c r="AE107" i="1"/>
  <c r="AD107" i="1"/>
  <c r="AC107" i="1"/>
  <c r="AC114" i="1" s="1"/>
  <c r="AB107" i="1"/>
  <c r="AA107" i="1"/>
  <c r="Z107" i="1"/>
  <c r="Y107" i="1"/>
  <c r="Y114" i="1" s="1"/>
  <c r="X107" i="1"/>
  <c r="X114" i="1" s="1"/>
  <c r="W107" i="1"/>
  <c r="V107" i="1"/>
  <c r="U107" i="1"/>
  <c r="U114" i="1" s="1"/>
  <c r="T107" i="1"/>
  <c r="S107" i="1"/>
  <c r="R107" i="1"/>
  <c r="Q107" i="1"/>
  <c r="Q114" i="1" s="1"/>
  <c r="P107" i="1"/>
  <c r="O107" i="1"/>
  <c r="N107" i="1"/>
  <c r="M107" i="1"/>
  <c r="M114" i="1" s="1"/>
  <c r="L107" i="1"/>
  <c r="K107" i="1"/>
  <c r="J107" i="1"/>
  <c r="I107" i="1"/>
  <c r="I114" i="1" s="1"/>
  <c r="H107" i="1"/>
  <c r="H114" i="1" s="1"/>
  <c r="G107" i="1"/>
  <c r="F107" i="1"/>
  <c r="AK105" i="1"/>
  <c r="AK112" i="1" s="1"/>
  <c r="AK104" i="1"/>
  <c r="AK111" i="1" s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AI100" i="1"/>
  <c r="AH100" i="1"/>
  <c r="AG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U115" i="1" s="1"/>
  <c r="T99" i="1"/>
  <c r="S99" i="1"/>
  <c r="R99" i="1"/>
  <c r="R115" i="1" s="1"/>
  <c r="Q99" i="1"/>
  <c r="P99" i="1"/>
  <c r="O99" i="1"/>
  <c r="N99" i="1"/>
  <c r="M99" i="1"/>
  <c r="L99" i="1"/>
  <c r="K99" i="1"/>
  <c r="J99" i="1"/>
  <c r="I99" i="1"/>
  <c r="H99" i="1"/>
  <c r="G99" i="1"/>
  <c r="F99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V114" i="1" s="1"/>
  <c r="U98" i="1"/>
  <c r="T98" i="1"/>
  <c r="T114" i="1" s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AK96" i="1"/>
  <c r="AK95" i="1"/>
  <c r="AK98" i="1" s="1"/>
  <c r="AK93" i="1"/>
  <c r="X92" i="1"/>
  <c r="T92" i="1"/>
  <c r="L92" i="1"/>
  <c r="AI91" i="1"/>
  <c r="AI92" i="1" s="1"/>
  <c r="AH91" i="1"/>
  <c r="AH92" i="1" s="1"/>
  <c r="AG91" i="1"/>
  <c r="AG92" i="1" s="1"/>
  <c r="AF91" i="1"/>
  <c r="AE91" i="1"/>
  <c r="AD91" i="1"/>
  <c r="AD92" i="1" s="1"/>
  <c r="AC91" i="1"/>
  <c r="AC92" i="1" s="1"/>
  <c r="AB91" i="1"/>
  <c r="AB92" i="1" s="1"/>
  <c r="AA91" i="1"/>
  <c r="AA92" i="1" s="1"/>
  <c r="Z91" i="1"/>
  <c r="Z92" i="1" s="1"/>
  <c r="Y91" i="1"/>
  <c r="Y92" i="1" s="1"/>
  <c r="X91" i="1"/>
  <c r="W91" i="1"/>
  <c r="W92" i="1" s="1"/>
  <c r="V91" i="1"/>
  <c r="V92" i="1" s="1"/>
  <c r="U91" i="1"/>
  <c r="U92" i="1" s="1"/>
  <c r="T91" i="1"/>
  <c r="S91" i="1"/>
  <c r="S92" i="1" s="1"/>
  <c r="R91" i="1"/>
  <c r="R92" i="1" s="1"/>
  <c r="Q91" i="1"/>
  <c r="Q92" i="1" s="1"/>
  <c r="P91" i="1"/>
  <c r="P92" i="1" s="1"/>
  <c r="O91" i="1"/>
  <c r="O92" i="1" s="1"/>
  <c r="N91" i="1"/>
  <c r="N92" i="1" s="1"/>
  <c r="M91" i="1"/>
  <c r="M92" i="1" s="1"/>
  <c r="L91" i="1"/>
  <c r="K91" i="1"/>
  <c r="K92" i="1" s="1"/>
  <c r="J91" i="1"/>
  <c r="J92" i="1" s="1"/>
  <c r="I91" i="1"/>
  <c r="I92" i="1" s="1"/>
  <c r="H91" i="1"/>
  <c r="H92" i="1" s="1"/>
  <c r="G91" i="1"/>
  <c r="G92" i="1" s="1"/>
  <c r="F91" i="1"/>
  <c r="AI90" i="1"/>
  <c r="AI203" i="1" s="1"/>
  <c r="AF90" i="1"/>
  <c r="AF100" i="1" s="1"/>
  <c r="AE90" i="1"/>
  <c r="U88" i="1"/>
  <c r="Q88" i="1"/>
  <c r="I88" i="1"/>
  <c r="AI87" i="1"/>
  <c r="M87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AI81" i="1"/>
  <c r="AH81" i="1"/>
  <c r="AG81" i="1"/>
  <c r="AG88" i="1" s="1"/>
  <c r="AF81" i="1"/>
  <c r="AF88" i="1" s="1"/>
  <c r="AE81" i="1"/>
  <c r="AD81" i="1"/>
  <c r="AC81" i="1"/>
  <c r="AC88" i="1" s="1"/>
  <c r="AB81" i="1"/>
  <c r="AB88" i="1" s="1"/>
  <c r="AA81" i="1"/>
  <c r="Z81" i="1"/>
  <c r="Y81" i="1"/>
  <c r="Y88" i="1" s="1"/>
  <c r="X81" i="1"/>
  <c r="X88" i="1" s="1"/>
  <c r="W81" i="1"/>
  <c r="V81" i="1"/>
  <c r="U81" i="1"/>
  <c r="T81" i="1"/>
  <c r="T88" i="1" s="1"/>
  <c r="S81" i="1"/>
  <c r="R81" i="1"/>
  <c r="Q81" i="1"/>
  <c r="P81" i="1"/>
  <c r="P88" i="1" s="1"/>
  <c r="O81" i="1"/>
  <c r="N81" i="1"/>
  <c r="M81" i="1"/>
  <c r="M88" i="1" s="1"/>
  <c r="L81" i="1"/>
  <c r="L88" i="1" s="1"/>
  <c r="K81" i="1"/>
  <c r="J81" i="1"/>
  <c r="I81" i="1"/>
  <c r="H81" i="1"/>
  <c r="H88" i="1" s="1"/>
  <c r="G81" i="1"/>
  <c r="F81" i="1"/>
  <c r="AI80" i="1"/>
  <c r="AH80" i="1"/>
  <c r="AH87" i="1" s="1"/>
  <c r="AG80" i="1"/>
  <c r="AF80" i="1"/>
  <c r="AE80" i="1"/>
  <c r="AD80" i="1"/>
  <c r="AD87" i="1" s="1"/>
  <c r="AC80" i="1"/>
  <c r="AC87" i="1" s="1"/>
  <c r="AB80" i="1"/>
  <c r="AA80" i="1"/>
  <c r="Z80" i="1"/>
  <c r="Z87" i="1" s="1"/>
  <c r="Y80" i="1"/>
  <c r="Y87" i="1" s="1"/>
  <c r="X80" i="1"/>
  <c r="W80" i="1"/>
  <c r="V80" i="1"/>
  <c r="V87" i="1" s="1"/>
  <c r="U80" i="1"/>
  <c r="T80" i="1"/>
  <c r="S80" i="1"/>
  <c r="R80" i="1"/>
  <c r="R87" i="1" s="1"/>
  <c r="Q80" i="1"/>
  <c r="P80" i="1"/>
  <c r="O80" i="1"/>
  <c r="N80" i="1"/>
  <c r="N87" i="1" s="1"/>
  <c r="M80" i="1"/>
  <c r="K80" i="1"/>
  <c r="J80" i="1"/>
  <c r="J87" i="1" s="1"/>
  <c r="I80" i="1"/>
  <c r="I87" i="1" s="1"/>
  <c r="H80" i="1"/>
  <c r="H87" i="1" s="1"/>
  <c r="G80" i="1"/>
  <c r="F80" i="1"/>
  <c r="F87" i="1" s="1"/>
  <c r="AK78" i="1"/>
  <c r="AK85" i="1" s="1"/>
  <c r="AK77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AI73" i="1"/>
  <c r="AH73" i="1"/>
  <c r="AG73" i="1"/>
  <c r="AF73" i="1"/>
  <c r="AD73" i="1"/>
  <c r="AC73" i="1"/>
  <c r="AA73" i="1"/>
  <c r="Z73" i="1"/>
  <c r="Y73" i="1"/>
  <c r="X73" i="1"/>
  <c r="W73" i="1"/>
  <c r="V73" i="1"/>
  <c r="U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AI72" i="1"/>
  <c r="AH72" i="1"/>
  <c r="AG72" i="1"/>
  <c r="AF72" i="1"/>
  <c r="AE72" i="1"/>
  <c r="AD72" i="1"/>
  <c r="AD88" i="1" s="1"/>
  <c r="AC72" i="1"/>
  <c r="AB72" i="1"/>
  <c r="AA72" i="1"/>
  <c r="Z72" i="1"/>
  <c r="Y72" i="1"/>
  <c r="X72" i="1"/>
  <c r="W72" i="1"/>
  <c r="V72" i="1"/>
  <c r="V88" i="1" s="1"/>
  <c r="U72" i="1"/>
  <c r="T72" i="1"/>
  <c r="S72" i="1"/>
  <c r="R72" i="1"/>
  <c r="R88" i="1" s="1"/>
  <c r="Q72" i="1"/>
  <c r="P72" i="1"/>
  <c r="O72" i="1"/>
  <c r="N72" i="1"/>
  <c r="M72" i="1"/>
  <c r="L72" i="1"/>
  <c r="K72" i="1"/>
  <c r="J72" i="1"/>
  <c r="J88" i="1" s="1"/>
  <c r="I72" i="1"/>
  <c r="G72" i="1"/>
  <c r="F72" i="1"/>
  <c r="F88" i="1" s="1"/>
  <c r="AI71" i="1"/>
  <c r="AH71" i="1"/>
  <c r="AG71" i="1"/>
  <c r="AF71" i="1"/>
  <c r="AE71" i="1"/>
  <c r="AE87" i="1" s="1"/>
  <c r="AD71" i="1"/>
  <c r="AC71" i="1"/>
  <c r="AB71" i="1"/>
  <c r="AA71" i="1"/>
  <c r="Z71" i="1"/>
  <c r="Y71" i="1"/>
  <c r="X71" i="1"/>
  <c r="X87" i="1" s="1"/>
  <c r="W71" i="1"/>
  <c r="V71" i="1"/>
  <c r="U71" i="1"/>
  <c r="T71" i="1"/>
  <c r="S71" i="1"/>
  <c r="S87" i="1" s="1"/>
  <c r="R71" i="1"/>
  <c r="Q71" i="1"/>
  <c r="P71" i="1"/>
  <c r="P87" i="1" s="1"/>
  <c r="O71" i="1"/>
  <c r="O87" i="1" s="1"/>
  <c r="N71" i="1"/>
  <c r="M71" i="1"/>
  <c r="L71" i="1"/>
  <c r="L87" i="1" s="1"/>
  <c r="K71" i="1"/>
  <c r="K87" i="1" s="1"/>
  <c r="J71" i="1"/>
  <c r="I71" i="1"/>
  <c r="H71" i="1"/>
  <c r="G71" i="1"/>
  <c r="F71" i="1"/>
  <c r="AK69" i="1"/>
  <c r="AK72" i="1" s="1"/>
  <c r="AK68" i="1"/>
  <c r="AK71" i="1" s="1"/>
  <c r="AK66" i="1"/>
  <c r="AC65" i="1"/>
  <c r="Y65" i="1"/>
  <c r="R65" i="1"/>
  <c r="Q65" i="1"/>
  <c r="F65" i="1"/>
  <c r="AI64" i="1"/>
  <c r="AI65" i="1" s="1"/>
  <c r="AH64" i="1"/>
  <c r="AH65" i="1" s="1"/>
  <c r="AG64" i="1"/>
  <c r="AG65" i="1" s="1"/>
  <c r="AF64" i="1"/>
  <c r="AF65" i="1" s="1"/>
  <c r="AE64" i="1"/>
  <c r="AD64" i="1"/>
  <c r="AD65" i="1" s="1"/>
  <c r="AC64" i="1"/>
  <c r="AB64" i="1"/>
  <c r="AA64" i="1"/>
  <c r="AA65" i="1" s="1"/>
  <c r="Z64" i="1"/>
  <c r="Z65" i="1" s="1"/>
  <c r="Y64" i="1"/>
  <c r="X64" i="1"/>
  <c r="X65" i="1" s="1"/>
  <c r="W64" i="1"/>
  <c r="W65" i="1" s="1"/>
  <c r="V64" i="1"/>
  <c r="V65" i="1" s="1"/>
  <c r="U64" i="1"/>
  <c r="U65" i="1" s="1"/>
  <c r="T64" i="1"/>
  <c r="S64" i="1"/>
  <c r="S65" i="1" s="1"/>
  <c r="R64" i="1"/>
  <c r="Q64" i="1"/>
  <c r="P64" i="1"/>
  <c r="P65" i="1" s="1"/>
  <c r="O64" i="1"/>
  <c r="O65" i="1" s="1"/>
  <c r="N64" i="1"/>
  <c r="N65" i="1" s="1"/>
  <c r="M64" i="1"/>
  <c r="M65" i="1" s="1"/>
  <c r="L64" i="1"/>
  <c r="L65" i="1" s="1"/>
  <c r="K64" i="1"/>
  <c r="K65" i="1" s="1"/>
  <c r="J64" i="1"/>
  <c r="J65" i="1" s="1"/>
  <c r="I64" i="1"/>
  <c r="I65" i="1" s="1"/>
  <c r="H64" i="1"/>
  <c r="AK64" i="1" s="1"/>
  <c r="G64" i="1"/>
  <c r="G65" i="1" s="1"/>
  <c r="F64" i="1"/>
  <c r="AE63" i="1"/>
  <c r="AE73" i="1" s="1"/>
  <c r="AB63" i="1"/>
  <c r="AB203" i="1" s="1"/>
  <c r="T63" i="1"/>
  <c r="AK62" i="1"/>
  <c r="AF60" i="1"/>
  <c r="AE60" i="1"/>
  <c r="AC60" i="1"/>
  <c r="AA60" i="1"/>
  <c r="Z60" i="1"/>
  <c r="W60" i="1"/>
  <c r="V60" i="1"/>
  <c r="U60" i="1"/>
  <c r="T60" i="1"/>
  <c r="S60" i="1"/>
  <c r="R60" i="1"/>
  <c r="P60" i="1"/>
  <c r="G60" i="1"/>
  <c r="F60" i="1"/>
  <c r="AK59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AK56" i="1"/>
  <c r="AH54" i="1"/>
  <c r="Z54" i="1"/>
  <c r="O54" i="1"/>
  <c r="O60" i="1" s="1"/>
  <c r="N54" i="1"/>
  <c r="N60" i="1" s="1"/>
  <c r="AI52" i="1"/>
  <c r="AI60" i="1" s="1"/>
  <c r="AG52" i="1"/>
  <c r="AF52" i="1"/>
  <c r="AE52" i="1"/>
  <c r="AD52" i="1"/>
  <c r="AD60" i="1" s="1"/>
  <c r="AB52" i="1"/>
  <c r="AB60" i="1" s="1"/>
  <c r="AA52" i="1"/>
  <c r="Y52" i="1"/>
  <c r="X52" i="1"/>
  <c r="X60" i="1" s="1"/>
  <c r="Q52" i="1"/>
  <c r="M52" i="1"/>
  <c r="M60" i="1" s="1"/>
  <c r="L52" i="1"/>
  <c r="L60" i="1" s="1"/>
  <c r="K52" i="1"/>
  <c r="K60" i="1" s="1"/>
  <c r="J52" i="1"/>
  <c r="J60" i="1" s="1"/>
  <c r="I52" i="1"/>
  <c r="I60" i="1" s="1"/>
  <c r="H52" i="1"/>
  <c r="L50" i="1"/>
  <c r="V49" i="1"/>
  <c r="Z48" i="1"/>
  <c r="R48" i="1"/>
  <c r="Q48" i="1"/>
  <c r="J48" i="1"/>
  <c r="AH47" i="1"/>
  <c r="AC47" i="1"/>
  <c r="V47" i="1"/>
  <c r="Q47" i="1"/>
  <c r="I47" i="1"/>
  <c r="M46" i="1"/>
  <c r="W45" i="1"/>
  <c r="G45" i="1"/>
  <c r="AD44" i="1"/>
  <c r="V44" i="1"/>
  <c r="N44" i="1"/>
  <c r="AI43" i="1"/>
  <c r="AD43" i="1"/>
  <c r="W43" i="1"/>
  <c r="R43" i="1"/>
  <c r="J43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U34" i="1" s="1"/>
  <c r="T41" i="1"/>
  <c r="S41" i="1"/>
  <c r="R41" i="1"/>
  <c r="Q41" i="1"/>
  <c r="Q29" i="1" s="1"/>
  <c r="P41" i="1"/>
  <c r="O41" i="1"/>
  <c r="N41" i="1"/>
  <c r="M41" i="1"/>
  <c r="M34" i="1" s="1"/>
  <c r="L41" i="1"/>
  <c r="K41" i="1"/>
  <c r="J41" i="1"/>
  <c r="I41" i="1"/>
  <c r="H41" i="1"/>
  <c r="G41" i="1"/>
  <c r="F41" i="1"/>
  <c r="F39" i="1"/>
  <c r="AK38" i="1"/>
  <c r="AK37" i="1"/>
  <c r="AK36" i="1"/>
  <c r="AI35" i="1"/>
  <c r="AI49" i="1" s="1"/>
  <c r="AH35" i="1"/>
  <c r="AH50" i="1" s="1"/>
  <c r="AG35" i="1"/>
  <c r="AG49" i="1" s="1"/>
  <c r="AF35" i="1"/>
  <c r="AE35" i="1"/>
  <c r="AE50" i="1" s="1"/>
  <c r="AD35" i="1"/>
  <c r="AD50" i="1" s="1"/>
  <c r="AC35" i="1"/>
  <c r="AC34" i="1" s="1"/>
  <c r="AB35" i="1"/>
  <c r="AB49" i="1" s="1"/>
  <c r="AA35" i="1"/>
  <c r="AA50" i="1" s="1"/>
  <c r="Z35" i="1"/>
  <c r="Z50" i="1" s="1"/>
  <c r="Y35" i="1"/>
  <c r="Y34" i="1" s="1"/>
  <c r="X35" i="1"/>
  <c r="W35" i="1"/>
  <c r="W50" i="1" s="1"/>
  <c r="V35" i="1"/>
  <c r="V50" i="1" s="1"/>
  <c r="U35" i="1"/>
  <c r="U49" i="1" s="1"/>
  <c r="T35" i="1"/>
  <c r="T50" i="1" s="1"/>
  <c r="S35" i="1"/>
  <c r="S39" i="1" s="1"/>
  <c r="R35" i="1"/>
  <c r="R50" i="1" s="1"/>
  <c r="Q35" i="1"/>
  <c r="Q49" i="1" s="1"/>
  <c r="P35" i="1"/>
  <c r="P49" i="1" s="1"/>
  <c r="O35" i="1"/>
  <c r="O50" i="1" s="1"/>
  <c r="N35" i="1"/>
  <c r="N50" i="1" s="1"/>
  <c r="M35" i="1"/>
  <c r="L35" i="1"/>
  <c r="L49" i="1" s="1"/>
  <c r="K35" i="1"/>
  <c r="K50" i="1" s="1"/>
  <c r="J35" i="1"/>
  <c r="J50" i="1" s="1"/>
  <c r="I35" i="1"/>
  <c r="H35" i="1"/>
  <c r="G35" i="1"/>
  <c r="G50" i="1" s="1"/>
  <c r="F35" i="1"/>
  <c r="F50" i="1" s="1"/>
  <c r="D35" i="1"/>
  <c r="AH34" i="1"/>
  <c r="AD34" i="1"/>
  <c r="Z34" i="1"/>
  <c r="X34" i="1"/>
  <c r="V34" i="1"/>
  <c r="T34" i="1"/>
  <c r="R34" i="1"/>
  <c r="N34" i="1"/>
  <c r="J34" i="1"/>
  <c r="J13" i="1" s="1"/>
  <c r="J55" i="1" s="1"/>
  <c r="I34" i="1"/>
  <c r="I12" i="1" s="1"/>
  <c r="H34" i="1"/>
  <c r="H12" i="1" s="1"/>
  <c r="F34" i="1"/>
  <c r="F13" i="1" s="1"/>
  <c r="F55" i="1" s="1"/>
  <c r="AK32" i="1"/>
  <c r="AK31" i="1"/>
  <c r="AI30" i="1"/>
  <c r="AI48" i="1" s="1"/>
  <c r="AH30" i="1"/>
  <c r="AH29" i="1" s="1"/>
  <c r="AH13" i="1" s="1"/>
  <c r="AG30" i="1"/>
  <c r="AG47" i="1" s="1"/>
  <c r="AF30" i="1"/>
  <c r="AF47" i="1" s="1"/>
  <c r="AE30" i="1"/>
  <c r="AE48" i="1" s="1"/>
  <c r="AD30" i="1"/>
  <c r="AD48" i="1" s="1"/>
  <c r="AC30" i="1"/>
  <c r="AB30" i="1"/>
  <c r="AA30" i="1"/>
  <c r="AA47" i="1" s="1"/>
  <c r="Z30" i="1"/>
  <c r="Z29" i="1" s="1"/>
  <c r="Z13" i="1" s="1"/>
  <c r="Y30" i="1"/>
  <c r="X30" i="1"/>
  <c r="X29" i="1" s="1"/>
  <c r="X12" i="1" s="1"/>
  <c r="W30" i="1"/>
  <c r="W48" i="1" s="1"/>
  <c r="V30" i="1"/>
  <c r="V29" i="1" s="1"/>
  <c r="V13" i="1" s="1"/>
  <c r="V55" i="1" s="1"/>
  <c r="U30" i="1"/>
  <c r="U47" i="1" s="1"/>
  <c r="T30" i="1"/>
  <c r="S30" i="1"/>
  <c r="S47" i="1" s="1"/>
  <c r="R30" i="1"/>
  <c r="R29" i="1" s="1"/>
  <c r="P30" i="1"/>
  <c r="O30" i="1"/>
  <c r="O47" i="1" s="1"/>
  <c r="N30" i="1"/>
  <c r="N47" i="1" s="1"/>
  <c r="M30" i="1"/>
  <c r="M48" i="1" s="1"/>
  <c r="L30" i="1"/>
  <c r="K30" i="1"/>
  <c r="K47" i="1" s="1"/>
  <c r="J30" i="1"/>
  <c r="J47" i="1" s="1"/>
  <c r="I30" i="1"/>
  <c r="I48" i="1" s="1"/>
  <c r="H30" i="1"/>
  <c r="G30" i="1"/>
  <c r="G47" i="1" s="1"/>
  <c r="F30" i="1"/>
  <c r="F47" i="1" s="1"/>
  <c r="D30" i="1"/>
  <c r="AI29" i="1"/>
  <c r="AF29" i="1"/>
  <c r="AE29" i="1"/>
  <c r="AA29" i="1"/>
  <c r="W29" i="1"/>
  <c r="S29" i="1"/>
  <c r="P29" i="1"/>
  <c r="N29" i="1"/>
  <c r="N12" i="1" s="1"/>
  <c r="N53" i="1" s="1"/>
  <c r="L29" i="1"/>
  <c r="AK27" i="1"/>
  <c r="AK26" i="1"/>
  <c r="AI25" i="1"/>
  <c r="AI46" i="1" s="1"/>
  <c r="AH25" i="1"/>
  <c r="AH45" i="1" s="1"/>
  <c r="AG25" i="1"/>
  <c r="AG45" i="1" s="1"/>
  <c r="AF25" i="1"/>
  <c r="AF45" i="1" s="1"/>
  <c r="AE25" i="1"/>
  <c r="AE46" i="1" s="1"/>
  <c r="AD25" i="1"/>
  <c r="AD45" i="1" s="1"/>
  <c r="AC25" i="1"/>
  <c r="AC45" i="1" s="1"/>
  <c r="AB25" i="1"/>
  <c r="AB46" i="1" s="1"/>
  <c r="AA25" i="1"/>
  <c r="AA46" i="1" s="1"/>
  <c r="Z25" i="1"/>
  <c r="Z45" i="1" s="1"/>
  <c r="Y25" i="1"/>
  <c r="Y45" i="1" s="1"/>
  <c r="X25" i="1"/>
  <c r="X45" i="1" s="1"/>
  <c r="W25" i="1"/>
  <c r="W46" i="1" s="1"/>
  <c r="V25" i="1"/>
  <c r="V45" i="1" s="1"/>
  <c r="U25" i="1"/>
  <c r="U45" i="1" s="1"/>
  <c r="T25" i="1"/>
  <c r="T46" i="1" s="1"/>
  <c r="S25" i="1"/>
  <c r="S46" i="1" s="1"/>
  <c r="R25" i="1"/>
  <c r="R45" i="1" s="1"/>
  <c r="Q25" i="1"/>
  <c r="Q45" i="1" s="1"/>
  <c r="P25" i="1"/>
  <c r="P45" i="1" s="1"/>
  <c r="O25" i="1"/>
  <c r="O46" i="1" s="1"/>
  <c r="N25" i="1"/>
  <c r="N45" i="1" s="1"/>
  <c r="M25" i="1"/>
  <c r="M45" i="1" s="1"/>
  <c r="L25" i="1"/>
  <c r="L46" i="1" s="1"/>
  <c r="K25" i="1"/>
  <c r="K46" i="1" s="1"/>
  <c r="J25" i="1"/>
  <c r="J45" i="1" s="1"/>
  <c r="I25" i="1"/>
  <c r="I45" i="1" s="1"/>
  <c r="H25" i="1"/>
  <c r="H45" i="1" s="1"/>
  <c r="G25" i="1"/>
  <c r="G46" i="1" s="1"/>
  <c r="F25" i="1"/>
  <c r="F45" i="1" s="1"/>
  <c r="D25" i="1"/>
  <c r="M23" i="1"/>
  <c r="M21" i="1" s="1"/>
  <c r="L23" i="1"/>
  <c r="K23" i="1"/>
  <c r="J23" i="1"/>
  <c r="K22" i="1"/>
  <c r="AI21" i="1"/>
  <c r="AI44" i="1" s="1"/>
  <c r="AH21" i="1"/>
  <c r="AH43" i="1" s="1"/>
  <c r="AG21" i="1"/>
  <c r="AG43" i="1" s="1"/>
  <c r="AF21" i="1"/>
  <c r="AE21" i="1"/>
  <c r="AE39" i="1" s="1"/>
  <c r="AD21" i="1"/>
  <c r="AD39" i="1" s="1"/>
  <c r="AC21" i="1"/>
  <c r="AB21" i="1"/>
  <c r="AA21" i="1"/>
  <c r="AA44" i="1" s="1"/>
  <c r="Z21" i="1"/>
  <c r="Z39" i="1" s="1"/>
  <c r="Y21" i="1"/>
  <c r="Y43" i="1" s="1"/>
  <c r="X21" i="1"/>
  <c r="W21" i="1"/>
  <c r="W39" i="1" s="1"/>
  <c r="V21" i="1"/>
  <c r="V43" i="1" s="1"/>
  <c r="U21" i="1"/>
  <c r="U43" i="1" s="1"/>
  <c r="T21" i="1"/>
  <c r="S21" i="1"/>
  <c r="S44" i="1" s="1"/>
  <c r="R21" i="1"/>
  <c r="R39" i="1" s="1"/>
  <c r="Q21" i="1"/>
  <c r="Q43" i="1" s="1"/>
  <c r="P21" i="1"/>
  <c r="O21" i="1"/>
  <c r="O43" i="1" s="1"/>
  <c r="N21" i="1"/>
  <c r="N39" i="1" s="1"/>
  <c r="L21" i="1"/>
  <c r="J21" i="1"/>
  <c r="J39" i="1" s="1"/>
  <c r="I21" i="1"/>
  <c r="H21" i="1"/>
  <c r="G21" i="1"/>
  <c r="G43" i="1" s="1"/>
  <c r="F21" i="1"/>
  <c r="F43" i="1" s="1"/>
  <c r="D21" i="1"/>
  <c r="AK19" i="1"/>
  <c r="AK42" i="1" s="1"/>
  <c r="D19" i="1"/>
  <c r="AK18" i="1"/>
  <c r="D18" i="1"/>
  <c r="AK16" i="1"/>
  <c r="AK15" i="1"/>
  <c r="AK14" i="1"/>
  <c r="Z12" i="1"/>
  <c r="Z53" i="1" s="1"/>
  <c r="J12" i="1"/>
  <c r="J53" i="1" s="1"/>
  <c r="F12" i="1"/>
  <c r="F53" i="1" s="1"/>
  <c r="AK11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K9" i="1"/>
  <c r="G49" i="1" l="1"/>
  <c r="AE49" i="1"/>
  <c r="AI50" i="1"/>
  <c r="AE100" i="1"/>
  <c r="AK90" i="1"/>
  <c r="AK23" i="1"/>
  <c r="AK35" i="1"/>
  <c r="AK49" i="1" s="1"/>
  <c r="AF34" i="1"/>
  <c r="AF50" i="1"/>
  <c r="V39" i="1"/>
  <c r="N43" i="1"/>
  <c r="S43" i="1"/>
  <c r="AE43" i="1"/>
  <c r="F44" i="1"/>
  <c r="O44" i="1"/>
  <c r="W44" i="1"/>
  <c r="AE44" i="1"/>
  <c r="K45" i="1"/>
  <c r="AA45" i="1"/>
  <c r="U46" i="1"/>
  <c r="R47" i="1"/>
  <c r="W47" i="1"/>
  <c r="AD47" i="1"/>
  <c r="AI47" i="1"/>
  <c r="N48" i="1"/>
  <c r="S48" i="1"/>
  <c r="AA48" i="1"/>
  <c r="J49" i="1"/>
  <c r="W49" i="1"/>
  <c r="AF49" i="1"/>
  <c r="U50" i="1"/>
  <c r="T87" i="1"/>
  <c r="AF87" i="1"/>
  <c r="N88" i="1"/>
  <c r="Z88" i="1"/>
  <c r="AH88" i="1"/>
  <c r="AE92" i="1"/>
  <c r="F114" i="1"/>
  <c r="R114" i="1"/>
  <c r="AH114" i="1"/>
  <c r="G169" i="1"/>
  <c r="K162" i="1"/>
  <c r="K169" i="1" s="1"/>
  <c r="W162" i="1"/>
  <c r="W169" i="1" s="1"/>
  <c r="S169" i="1"/>
  <c r="AI39" i="1"/>
  <c r="R13" i="1"/>
  <c r="R55" i="1" s="1"/>
  <c r="G34" i="1"/>
  <c r="K34" i="1"/>
  <c r="O34" i="1"/>
  <c r="S34" i="1"/>
  <c r="S13" i="1" s="1"/>
  <c r="S55" i="1" s="1"/>
  <c r="W34" i="1"/>
  <c r="AA34" i="1"/>
  <c r="AA13" i="1" s="1"/>
  <c r="AA55" i="1" s="1"/>
  <c r="AE34" i="1"/>
  <c r="AI34" i="1"/>
  <c r="AI13" i="1" s="1"/>
  <c r="AI55" i="1" s="1"/>
  <c r="Z43" i="1"/>
  <c r="G44" i="1"/>
  <c r="R44" i="1"/>
  <c r="Z44" i="1"/>
  <c r="AH44" i="1"/>
  <c r="O45" i="1"/>
  <c r="AE45" i="1"/>
  <c r="AC46" i="1"/>
  <c r="M47" i="1"/>
  <c r="Z47" i="1"/>
  <c r="AE47" i="1"/>
  <c r="F48" i="1"/>
  <c r="O48" i="1"/>
  <c r="V48" i="1"/>
  <c r="K49" i="1"/>
  <c r="Z49" i="1"/>
  <c r="K88" i="1"/>
  <c r="O88" i="1"/>
  <c r="S88" i="1"/>
  <c r="W88" i="1"/>
  <c r="AA88" i="1"/>
  <c r="AE88" i="1"/>
  <c r="AI88" i="1"/>
  <c r="J203" i="1"/>
  <c r="J120" i="1"/>
  <c r="I142" i="1"/>
  <c r="Q142" i="1"/>
  <c r="U142" i="1"/>
  <c r="Y142" i="1"/>
  <c r="X162" i="1"/>
  <c r="X169" i="1" s="1"/>
  <c r="W12" i="1"/>
  <c r="W53" i="1" s="1"/>
  <c r="X13" i="1"/>
  <c r="X55" i="1" s="1"/>
  <c r="S49" i="1"/>
  <c r="S50" i="1"/>
  <c r="AA39" i="1"/>
  <c r="AK10" i="1"/>
  <c r="W13" i="1"/>
  <c r="W55" i="1" s="1"/>
  <c r="AK58" i="1"/>
  <c r="M29" i="1"/>
  <c r="M13" i="1" s="1"/>
  <c r="M55" i="1" s="1"/>
  <c r="S12" i="1"/>
  <c r="S53" i="1" s="1"/>
  <c r="N13" i="1"/>
  <c r="AH39" i="1"/>
  <c r="AA43" i="1"/>
  <c r="J44" i="1"/>
  <c r="S45" i="1"/>
  <c r="AI45" i="1"/>
  <c r="G48" i="1"/>
  <c r="F49" i="1"/>
  <c r="O49" i="1"/>
  <c r="AA49" i="1"/>
  <c r="AG50" i="1"/>
  <c r="AK134" i="1"/>
  <c r="AK138" i="1"/>
  <c r="AK156" i="1"/>
  <c r="AK166" i="1"/>
  <c r="H163" i="1"/>
  <c r="H170" i="1" s="1"/>
  <c r="Q87" i="1"/>
  <c r="U87" i="1"/>
  <c r="AG87" i="1"/>
  <c r="G114" i="1"/>
  <c r="K114" i="1"/>
  <c r="O114" i="1"/>
  <c r="S114" i="1"/>
  <c r="W114" i="1"/>
  <c r="AA114" i="1"/>
  <c r="AE114" i="1"/>
  <c r="AI114" i="1"/>
  <c r="Q115" i="1"/>
  <c r="AK128" i="1"/>
  <c r="J141" i="1"/>
  <c r="N141" i="1"/>
  <c r="R141" i="1"/>
  <c r="V141" i="1"/>
  <c r="Z141" i="1"/>
  <c r="AD141" i="1"/>
  <c r="G142" i="1"/>
  <c r="O142" i="1"/>
  <c r="S142" i="1"/>
  <c r="W142" i="1"/>
  <c r="AE142" i="1"/>
  <c r="AI142" i="1"/>
  <c r="P170" i="1"/>
  <c r="R169" i="1"/>
  <c r="Q170" i="1"/>
  <c r="AK184" i="1"/>
  <c r="K202" i="1"/>
  <c r="O202" i="1"/>
  <c r="S202" i="1"/>
  <c r="AA202" i="1"/>
  <c r="AI202" i="1"/>
  <c r="G87" i="1"/>
  <c r="AB87" i="1"/>
  <c r="P114" i="1"/>
  <c r="AF114" i="1"/>
  <c r="J115" i="1"/>
  <c r="N115" i="1"/>
  <c r="V115" i="1"/>
  <c r="Z115" i="1"/>
  <c r="AD115" i="1"/>
  <c r="AH115" i="1"/>
  <c r="J170" i="1"/>
  <c r="N170" i="1"/>
  <c r="R170" i="1"/>
  <c r="V170" i="1"/>
  <c r="Z170" i="1"/>
  <c r="AD170" i="1"/>
  <c r="AH170" i="1"/>
  <c r="AK183" i="1"/>
  <c r="AK199" i="1"/>
  <c r="X202" i="1"/>
  <c r="AK200" i="1"/>
  <c r="AK224" i="1"/>
  <c r="AF13" i="1"/>
  <c r="AF55" i="1" s="1"/>
  <c r="AF12" i="1"/>
  <c r="AF53" i="1" s="1"/>
  <c r="I44" i="1"/>
  <c r="I39" i="1"/>
  <c r="AK25" i="1"/>
  <c r="L45" i="1"/>
  <c r="AB45" i="1"/>
  <c r="AK100" i="1"/>
  <c r="AD203" i="1"/>
  <c r="AD127" i="1"/>
  <c r="AD120" i="1"/>
  <c r="AK181" i="1"/>
  <c r="AK194" i="1"/>
  <c r="V12" i="1"/>
  <c r="V53" i="1" s="1"/>
  <c r="M12" i="1"/>
  <c r="X49" i="1"/>
  <c r="X50" i="1"/>
  <c r="P46" i="1"/>
  <c r="AF46" i="1"/>
  <c r="P50" i="1"/>
  <c r="H65" i="1"/>
  <c r="G88" i="1"/>
  <c r="AK81" i="1"/>
  <c r="AK88" i="1" s="1"/>
  <c r="F170" i="1"/>
  <c r="AK163" i="1"/>
  <c r="AK170" i="1" s="1"/>
  <c r="H13" i="1"/>
  <c r="H55" i="1" s="1"/>
  <c r="L43" i="1"/>
  <c r="L39" i="1"/>
  <c r="T43" i="1"/>
  <c r="T44" i="1"/>
  <c r="T39" i="1"/>
  <c r="AB43" i="1"/>
  <c r="AB44" i="1"/>
  <c r="AB39" i="1"/>
  <c r="T47" i="1"/>
  <c r="T48" i="1"/>
  <c r="X47" i="1"/>
  <c r="X48" i="1"/>
  <c r="AK30" i="1"/>
  <c r="AK48" i="1" s="1"/>
  <c r="P34" i="1"/>
  <c r="P13" i="1" s="1"/>
  <c r="P55" i="1" s="1"/>
  <c r="M49" i="1"/>
  <c r="M50" i="1"/>
  <c r="AC49" i="1"/>
  <c r="AC50" i="1"/>
  <c r="I46" i="1"/>
  <c r="Y46" i="1"/>
  <c r="N142" i="1"/>
  <c r="Z142" i="1"/>
  <c r="H162" i="1"/>
  <c r="H169" i="1" s="1"/>
  <c r="AK50" i="1"/>
  <c r="T45" i="1"/>
  <c r="R203" i="1"/>
  <c r="R127" i="1"/>
  <c r="R120" i="1"/>
  <c r="AK118" i="1"/>
  <c r="G175" i="1"/>
  <c r="AK175" i="1" s="1"/>
  <c r="AK174" i="1"/>
  <c r="AK216" i="1"/>
  <c r="F217" i="1"/>
  <c r="H49" i="1"/>
  <c r="H50" i="1"/>
  <c r="I43" i="1"/>
  <c r="H46" i="1"/>
  <c r="X46" i="1"/>
  <c r="AK108" i="1"/>
  <c r="F115" i="1"/>
  <c r="AK209" i="1"/>
  <c r="AK210" i="1" s="1"/>
  <c r="R12" i="1"/>
  <c r="R53" i="1" s="1"/>
  <c r="AH12" i="1"/>
  <c r="AH53" i="1" s="1"/>
  <c r="P43" i="1"/>
  <c r="P44" i="1"/>
  <c r="P39" i="1"/>
  <c r="X43" i="1"/>
  <c r="X44" i="1"/>
  <c r="X39" i="1"/>
  <c r="AF43" i="1"/>
  <c r="AF44" i="1"/>
  <c r="AF39" i="1"/>
  <c r="L44" i="1"/>
  <c r="AB47" i="1"/>
  <c r="AB48" i="1"/>
  <c r="I49" i="1"/>
  <c r="I50" i="1"/>
  <c r="Y49" i="1"/>
  <c r="Y50" i="1"/>
  <c r="G39" i="1"/>
  <c r="O39" i="1"/>
  <c r="Q46" i="1"/>
  <c r="AG46" i="1"/>
  <c r="AF48" i="1"/>
  <c r="T49" i="1"/>
  <c r="Q50" i="1"/>
  <c r="T203" i="1"/>
  <c r="AK63" i="1"/>
  <c r="T65" i="1"/>
  <c r="K115" i="1"/>
  <c r="O115" i="1"/>
  <c r="AA115" i="1"/>
  <c r="AI115" i="1"/>
  <c r="J142" i="1"/>
  <c r="V142" i="1"/>
  <c r="AD142" i="1"/>
  <c r="AG162" i="1"/>
  <c r="AG169" i="1" s="1"/>
  <c r="AK57" i="1"/>
  <c r="I13" i="1"/>
  <c r="I55" i="1" s="1"/>
  <c r="H43" i="1"/>
  <c r="H44" i="1"/>
  <c r="H39" i="1"/>
  <c r="M39" i="1"/>
  <c r="Q44" i="1"/>
  <c r="Q39" i="1"/>
  <c r="U44" i="1"/>
  <c r="U39" i="1"/>
  <c r="Y44" i="1"/>
  <c r="Y39" i="1"/>
  <c r="AC44" i="1"/>
  <c r="AC39" i="1"/>
  <c r="AG44" i="1"/>
  <c r="AG39" i="1"/>
  <c r="K21" i="1"/>
  <c r="AK21" i="1" s="1"/>
  <c r="K43" i="1"/>
  <c r="AK22" i="1"/>
  <c r="M44" i="1"/>
  <c r="K29" i="1"/>
  <c r="O29" i="1"/>
  <c r="T29" i="1"/>
  <c r="AB29" i="1"/>
  <c r="H47" i="1"/>
  <c r="H48" i="1"/>
  <c r="L47" i="1"/>
  <c r="L48" i="1"/>
  <c r="P47" i="1"/>
  <c r="P48" i="1"/>
  <c r="U48" i="1"/>
  <c r="U29" i="1"/>
  <c r="Y48" i="1"/>
  <c r="Y29" i="1"/>
  <c r="AC48" i="1"/>
  <c r="AC29" i="1"/>
  <c r="AG48" i="1"/>
  <c r="AG29" i="1"/>
  <c r="AK47" i="1"/>
  <c r="L34" i="1"/>
  <c r="L12" i="1" s="1"/>
  <c r="L53" i="1" s="1"/>
  <c r="BM53" i="1" s="1"/>
  <c r="Q34" i="1"/>
  <c r="Q13" i="1" s="1"/>
  <c r="Q55" i="1" s="1"/>
  <c r="AB34" i="1"/>
  <c r="AG34" i="1"/>
  <c r="AK41" i="1"/>
  <c r="M43" i="1"/>
  <c r="AC43" i="1"/>
  <c r="Y47" i="1"/>
  <c r="K48" i="1"/>
  <c r="AB50" i="1"/>
  <c r="H53" i="1"/>
  <c r="H60" i="1"/>
  <c r="Y60" i="1"/>
  <c r="AK52" i="1"/>
  <c r="Z55" i="1"/>
  <c r="AB65" i="1"/>
  <c r="T73" i="1"/>
  <c r="AB73" i="1"/>
  <c r="AK74" i="1"/>
  <c r="W87" i="1"/>
  <c r="AA87" i="1"/>
  <c r="AK91" i="1"/>
  <c r="F92" i="1"/>
  <c r="AK101" i="1"/>
  <c r="AK107" i="1"/>
  <c r="AK114" i="1" s="1"/>
  <c r="J114" i="1"/>
  <c r="N114" i="1"/>
  <c r="Z114" i="1"/>
  <c r="AD114" i="1"/>
  <c r="P203" i="1"/>
  <c r="P120" i="1"/>
  <c r="AA203" i="1"/>
  <c r="AA120" i="1"/>
  <c r="AA127" i="1"/>
  <c r="AH203" i="1"/>
  <c r="AH127" i="1"/>
  <c r="AH120" i="1"/>
  <c r="AK119" i="1"/>
  <c r="P127" i="1"/>
  <c r="AK145" i="1"/>
  <c r="F146" i="1"/>
  <c r="AK190" i="1"/>
  <c r="F197" i="1"/>
  <c r="AK191" i="1"/>
  <c r="F46" i="1"/>
  <c r="J46" i="1"/>
  <c r="N46" i="1"/>
  <c r="R46" i="1"/>
  <c r="V46" i="1"/>
  <c r="Z46" i="1"/>
  <c r="AD46" i="1"/>
  <c r="AH46" i="1"/>
  <c r="AH48" i="1"/>
  <c r="R49" i="1"/>
  <c r="AH49" i="1"/>
  <c r="Q60" i="1"/>
  <c r="AG60" i="1"/>
  <c r="AH55" i="1"/>
  <c r="AF92" i="1"/>
  <c r="AK99" i="1"/>
  <c r="I162" i="1"/>
  <c r="I169" i="1" s="1"/>
  <c r="M162" i="1"/>
  <c r="M169" i="1" s="1"/>
  <c r="Q162" i="1"/>
  <c r="Q169" i="1" s="1"/>
  <c r="U162" i="1"/>
  <c r="U169" i="1" s="1"/>
  <c r="Y162" i="1"/>
  <c r="Y169" i="1" s="1"/>
  <c r="AC162" i="1"/>
  <c r="AC169" i="1" s="1"/>
  <c r="AH162" i="1"/>
  <c r="AH169" i="1" s="1"/>
  <c r="AK217" i="1"/>
  <c r="AK229" i="1"/>
  <c r="AD29" i="1"/>
  <c r="N49" i="1"/>
  <c r="AD49" i="1"/>
  <c r="X53" i="1"/>
  <c r="N55" i="1"/>
  <c r="AK54" i="1"/>
  <c r="AH60" i="1"/>
  <c r="AK84" i="1"/>
  <c r="AK80" i="1"/>
  <c r="AK87" i="1" s="1"/>
  <c r="AG115" i="1"/>
  <c r="N203" i="1"/>
  <c r="N127" i="1"/>
  <c r="W203" i="1"/>
  <c r="W120" i="1"/>
  <c r="W127" i="1"/>
  <c r="AF203" i="1"/>
  <c r="AF127" i="1"/>
  <c r="AF120" i="1"/>
  <c r="AK126" i="1"/>
  <c r="AK135" i="1"/>
  <c r="J162" i="1"/>
  <c r="J169" i="1" s="1"/>
  <c r="N162" i="1"/>
  <c r="N169" i="1" s="1"/>
  <c r="V162" i="1"/>
  <c r="V169" i="1" s="1"/>
  <c r="Z162" i="1"/>
  <c r="Z169" i="1" s="1"/>
  <c r="AD162" i="1"/>
  <c r="AD169" i="1" s="1"/>
  <c r="I53" i="1"/>
  <c r="M53" i="1"/>
  <c r="AE65" i="1"/>
  <c r="AE120" i="1"/>
  <c r="G141" i="1"/>
  <c r="K141" i="1"/>
  <c r="O141" i="1"/>
  <c r="S141" i="1"/>
  <c r="W141" i="1"/>
  <c r="AA141" i="1"/>
  <c r="AE141" i="1"/>
  <c r="AI141" i="1"/>
  <c r="H142" i="1"/>
  <c r="L142" i="1"/>
  <c r="P142" i="1"/>
  <c r="T142" i="1"/>
  <c r="X142" i="1"/>
  <c r="AB142" i="1"/>
  <c r="AF142" i="1"/>
  <c r="AE203" i="1"/>
  <c r="AE155" i="1"/>
  <c r="AE146" i="1"/>
  <c r="AF162" i="1"/>
  <c r="AF169" i="1" s="1"/>
  <c r="AK167" i="1"/>
  <c r="S120" i="1"/>
  <c r="J127" i="1"/>
  <c r="AK197" i="1"/>
  <c r="AK201" i="1"/>
  <c r="AK202" i="1" s="1"/>
  <c r="AK243" i="1"/>
  <c r="AK44" i="1" l="1"/>
  <c r="P12" i="1"/>
  <c r="P53" i="1" s="1"/>
  <c r="AK65" i="1"/>
  <c r="G12" i="1"/>
  <c r="G53" i="1" s="1"/>
  <c r="G13" i="1"/>
  <c r="G55" i="1" s="1"/>
  <c r="AK120" i="1"/>
  <c r="AE12" i="1"/>
  <c r="AE53" i="1" s="1"/>
  <c r="AE13" i="1"/>
  <c r="AE55" i="1" s="1"/>
  <c r="AK127" i="1"/>
  <c r="AK141" i="1"/>
  <c r="AK203" i="1"/>
  <c r="AI12" i="1"/>
  <c r="AI53" i="1" s="1"/>
  <c r="AA12" i="1"/>
  <c r="AA53" i="1" s="1"/>
  <c r="AK92" i="1"/>
  <c r="AC12" i="1"/>
  <c r="AC53" i="1" s="1"/>
  <c r="AC13" i="1"/>
  <c r="AC55" i="1" s="1"/>
  <c r="U12" i="1"/>
  <c r="U53" i="1" s="1"/>
  <c r="U13" i="1"/>
  <c r="U55" i="1" s="1"/>
  <c r="AB13" i="1"/>
  <c r="AB55" i="1" s="1"/>
  <c r="AB12" i="1"/>
  <c r="AB53" i="1" s="1"/>
  <c r="AK39" i="1"/>
  <c r="AK46" i="1"/>
  <c r="AK45" i="1"/>
  <c r="AE162" i="1"/>
  <c r="AE169" i="1" s="1"/>
  <c r="AK146" i="1"/>
  <c r="AK60" i="1"/>
  <c r="T13" i="1"/>
  <c r="T55" i="1" s="1"/>
  <c r="T12" i="1"/>
  <c r="T53" i="1" s="1"/>
  <c r="AK43" i="1"/>
  <c r="L13" i="1"/>
  <c r="L55" i="1" s="1"/>
  <c r="AK144" i="1"/>
  <c r="AK73" i="1"/>
  <c r="AG12" i="1"/>
  <c r="AG53" i="1" s="1"/>
  <c r="AG13" i="1"/>
  <c r="AG55" i="1" s="1"/>
  <c r="Y12" i="1"/>
  <c r="Y53" i="1" s="1"/>
  <c r="Y13" i="1"/>
  <c r="Y55" i="1" s="1"/>
  <c r="O13" i="1"/>
  <c r="O55" i="1" s="1"/>
  <c r="O12" i="1"/>
  <c r="O53" i="1" s="1"/>
  <c r="AK34" i="1"/>
  <c r="AK155" i="1"/>
  <c r="F162" i="1"/>
  <c r="AD13" i="1"/>
  <c r="AD55" i="1" s="1"/>
  <c r="AD12" i="1"/>
  <c r="AD53" i="1" s="1"/>
  <c r="AK29" i="1"/>
  <c r="K12" i="1"/>
  <c r="K13" i="1"/>
  <c r="K55" i="1" s="1"/>
  <c r="K39" i="1"/>
  <c r="K44" i="1"/>
  <c r="AK115" i="1"/>
  <c r="Q12" i="1"/>
  <c r="Q53" i="1" s="1"/>
  <c r="AK13" i="1" l="1"/>
  <c r="AK55" i="1" s="1"/>
  <c r="K53" i="1"/>
  <c r="BL53" i="1" s="1"/>
  <c r="AK12" i="1"/>
  <c r="AK53" i="1" s="1"/>
  <c r="F169" i="1"/>
  <c r="AK162" i="1"/>
  <c r="AK169" i="1" s="1"/>
</calcChain>
</file>

<file path=xl/sharedStrings.xml><?xml version="1.0" encoding="utf-8"?>
<sst xmlns="http://schemas.openxmlformats.org/spreadsheetml/2006/main" count="470" uniqueCount="137">
  <si>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</si>
  <si>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</si>
  <si>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</si>
  <si>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</si>
  <si>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</si>
  <si>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</si>
  <si>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</si>
  <si>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</si>
  <si>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</si>
  <si>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</si>
  <si>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</si>
  <si>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</si>
  <si>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</si>
  <si>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</si>
  <si>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</si>
  <si>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</si>
  <si>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</si>
  <si>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</si>
  <si>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</si>
  <si>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</si>
  <si>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</si>
  <si>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</si>
  <si>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</si>
  <si>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</si>
  <si>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</si>
  <si>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</si>
  <si>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</si>
  <si>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</si>
  <si>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</si>
  <si>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</si>
  <si>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</si>
  <si>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</si>
  <si>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</si>
  <si>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</si>
  <si>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</si>
  <si>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</si>
  <si>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</si>
  <si>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</si>
  <si>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</si>
  <si>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</si>
  <si>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</si>
  <si>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</si>
  <si>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</si>
  <si>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</si>
  <si>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</si>
  <si>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</si>
  <si>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</si>
  <si>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</si>
  <si>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</si>
  <si>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</si>
  <si>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</si>
  <si>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</si>
  <si>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</si>
  <si>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</si>
  <si>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</si>
  <si>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</si>
  <si>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</si>
  <si>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</si>
  <si>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</si>
  <si>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</si>
  <si>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</si>
  <si>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Oil Losses</t>
  </si>
  <si>
    <t>Phosporic Acid (PA)</t>
  </si>
  <si>
    <t xml:space="preserve">Kg </t>
  </si>
  <si>
    <t>Bleaching Earth (BE) to Branded Spec</t>
  </si>
  <si>
    <t>Bleaching Earth (BE) to Poram Spec</t>
  </si>
  <si>
    <t>Chemical</t>
  </si>
  <si>
    <t>CHEMICAL CONSUMABLE</t>
  </si>
  <si>
    <t>Soft Stearin</t>
  </si>
  <si>
    <t>Olein IV 60</t>
  </si>
  <si>
    <t>Stearin</t>
  </si>
  <si>
    <t>Olein IV 58</t>
  </si>
  <si>
    <t>Olein IV 56</t>
  </si>
  <si>
    <t>PFAD</t>
  </si>
  <si>
    <t xml:space="preserve">RBDPO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</si>
  <si>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</si>
  <si>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</si>
  <si>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</si>
  <si>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</si>
  <si>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</si>
  <si>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</si>
  <si>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</si>
  <si>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</si>
  <si>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</si>
  <si>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</si>
  <si>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</si>
  <si>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</si>
  <si>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</si>
  <si>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</si>
  <si>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</si>
  <si>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</si>
  <si>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</si>
  <si>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</si>
  <si>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</si>
  <si>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</si>
  <si>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</si>
  <si>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</t>
  </si>
  <si>
    <t>PRODUCTION REPORT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</si>
  <si>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</si>
  <si>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</si>
  <si>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</si>
  <si>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</si>
  <si>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</si>
  <si>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</si>
  <si>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</si>
  <si>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</si>
  <si>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</si>
  <si>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</si>
  <si>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 xml:space="preserve">OUTGOING LOKAL </t>
  </si>
  <si>
    <t xml:space="preserve">Lokal </t>
  </si>
  <si>
    <t>RBDPO</t>
  </si>
  <si>
    <t xml:space="preserve">OUTGOING EKSPORT </t>
  </si>
  <si>
    <t>Eksport</t>
  </si>
  <si>
    <t>CPO Consume Total</t>
  </si>
  <si>
    <t>CPO Consume Poram</t>
  </si>
  <si>
    <t>CPO Consume Brand</t>
  </si>
  <si>
    <t>Olein IV 57 Received</t>
  </si>
  <si>
    <t>Olein IV 57 Consume</t>
  </si>
  <si>
    <t>Olein Received IV 57</t>
  </si>
  <si>
    <t>No</t>
  </si>
  <si>
    <t>ITEM</t>
  </si>
  <si>
    <t>Budget / Norma</t>
  </si>
  <si>
    <t>UoM</t>
  </si>
  <si>
    <t>TOTAL
(Kg)</t>
  </si>
  <si>
    <t>Olein IV 57 ( Retail )</t>
  </si>
  <si>
    <t xml:space="preserve">Minyakita SP 2 L  </t>
  </si>
  <si>
    <r>
      <t>m</t>
    </r>
    <r>
      <rPr>
        <b/>
        <vertAlign val="superscript"/>
        <sz val="11"/>
        <rFont val="Arial"/>
        <family val="2"/>
      </rPr>
      <t>3</t>
    </r>
  </si>
  <si>
    <t>Ratio Run CPO</t>
  </si>
  <si>
    <t>Ratio Run RBDPO</t>
  </si>
  <si>
    <t>Fractionation OLEIN IV 58 ( Bulk )</t>
  </si>
  <si>
    <t xml:space="preserve">OLEIN IV 58 </t>
  </si>
  <si>
    <t>Olein IV 58 ( Bulk )</t>
  </si>
  <si>
    <t>September</t>
  </si>
  <si>
    <t>Fractionation OLEIN IV 57</t>
  </si>
  <si>
    <t>RBDPOConsume</t>
  </si>
  <si>
    <t xml:space="preserve">OLEIN IV 57 </t>
  </si>
  <si>
    <t>Olein IV 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</si>
</sst>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(* #,##0.0000_);_(* \(#,##0.0000\);_(* &quot;-&quot;??.000_);_(@_)"/>
    <numFmt numFmtId="172" formatCode="_(* #,##0.0000_);_(* \(#,##0.0000\);_(* &quot;-&quot;??.00_);_(@_)"/>
    <numFmt numFmtId="173" formatCode="_(* #,##0.00_);_(* \(#,##0.00\);_(* &quot;-&quot;??.0_);_(@_)"/>
    <numFmt numFmtId="174" formatCode="_(* #,##0.0_);_(* \(#,##0.0\);_(* &quot;-&quot;??.0_);_(@_)"/>
    <numFmt numFmtId="175" formatCode="_(* #,##0.000_);_(* \(#,##0.000\);_(* &quot;-&quot;??.00_);_(@_)"/>
    <numFmt numFmtId="176" formatCode="_(* #.##0_);_(* \(#.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14"/>
      <name val="Arial"/>
      <family val="2"/>
    </font>
    <font>
      <b/>
      <u/>
      <sz val="11"/>
      <name val="Arial"/>
      <family val="2"/>
    </font>
    <font>
      <b/>
      <i/>
      <sz val="11"/>
      <name val="Arial"/>
      <family val="2"/>
    </font>
    <font>
      <u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4" tint="0.39997558519241921"/>
      <name val="Arial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2065187536243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41">
    <xf numFmtId="0" fontId="0" fillId="0" borderId="0" xfId="0"/>
    <xf numFmtId="166" fontId="2" fillId="0" borderId="4" xfId="1" applyNumberFormat="1" applyFont="1" applyFill="1" applyBorder="1"/>
    <xf numFmtId="168" fontId="2" fillId="0" borderId="4" xfId="1" applyNumberFormat="1" applyFont="1" applyFill="1" applyBorder="1"/>
    <xf numFmtId="0" fontId="2" fillId="0" borderId="0" xfId="0" applyFont="1"/>
    <xf numFmtId="165" fontId="2" fillId="0" borderId="4" xfId="2" applyNumberFormat="1" applyFont="1" applyFill="1" applyBorder="1"/>
    <xf numFmtId="0" fontId="4" fillId="0" borderId="4" xfId="0" applyFont="1" applyBorder="1" applyAlignment="1">
      <alignment horizontal="center"/>
    </xf>
    <xf numFmtId="166" fontId="2" fillId="3" borderId="6" xfId="1" applyNumberFormat="1" applyFont="1" applyFill="1" applyBorder="1"/>
    <xf numFmtId="166" fontId="2" fillId="0" borderId="4" xfId="1" applyNumberFormat="1" applyFont="1" applyFill="1" applyBorder="1" applyAlignment="1">
      <alignment vertical="center"/>
    </xf>
    <xf numFmtId="0" fontId="4" fillId="0" borderId="4" xfId="0" quotePrefix="1" applyFont="1" applyBorder="1" applyAlignment="1">
      <alignment horizontal="center"/>
    </xf>
    <xf numFmtId="0" fontId="2" fillId="3" borderId="6" xfId="0" quotePrefix="1" applyFont="1" applyFill="1" applyBorder="1" applyAlignment="1">
      <alignment horizontal="center"/>
    </xf>
    <xf numFmtId="43" fontId="2" fillId="0" borderId="4" xfId="1" applyFont="1" applyFill="1" applyBorder="1"/>
    <xf numFmtId="43" fontId="4" fillId="0" borderId="4" xfId="1" applyFont="1" applyFill="1" applyBorder="1" applyAlignment="1">
      <alignment vertical="center"/>
    </xf>
    <xf numFmtId="43" fontId="4" fillId="0" borderId="4" xfId="1" applyFont="1" applyFill="1" applyBorder="1"/>
    <xf numFmtId="166" fontId="2" fillId="3" borderId="6" xfId="1" applyNumberFormat="1" applyFont="1" applyFill="1" applyBorder="1" applyAlignment="1">
      <alignment vertical="center"/>
    </xf>
    <xf numFmtId="166" fontId="3" fillId="0" borderId="4" xfId="1" applyNumberFormat="1" applyFont="1" applyFill="1" applyBorder="1"/>
    <xf numFmtId="43" fontId="2" fillId="5" borderId="4" xfId="1" applyFont="1" applyFill="1" applyBorder="1" applyAlignment="1">
      <alignment horizontal="center"/>
    </xf>
    <xf numFmtId="0" fontId="4" fillId="3" borderId="6" xfId="0" quotePrefix="1" applyFont="1" applyFill="1" applyBorder="1" applyAlignment="1">
      <alignment horizontal="center"/>
    </xf>
    <xf numFmtId="41" fontId="2" fillId="0" borderId="0" xfId="2" applyFont="1"/>
    <xf numFmtId="0" fontId="4" fillId="0" borderId="4" xfId="0" quotePrefix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43" fontId="4" fillId="0" borderId="19" xfId="1" applyFont="1" applyFill="1" applyBorder="1"/>
    <xf numFmtId="43" fontId="2" fillId="0" borderId="19" xfId="1" applyFont="1" applyFill="1" applyBorder="1"/>
    <xf numFmtId="166" fontId="2" fillId="0" borderId="19" xfId="1" applyNumberFormat="1" applyFont="1" applyFill="1" applyBorder="1"/>
    <xf numFmtId="0" fontId="2" fillId="3" borderId="18" xfId="0" quotePrefix="1" applyFont="1" applyFill="1" applyBorder="1" applyAlignment="1">
      <alignment horizontal="center"/>
    </xf>
    <xf numFmtId="0" fontId="4" fillId="4" borderId="6" xfId="0" quotePrefix="1" applyFont="1" applyFill="1" applyBorder="1" applyAlignment="1">
      <alignment horizontal="center"/>
    </xf>
    <xf numFmtId="43" fontId="2" fillId="4" borderId="6" xfId="1" applyFont="1" applyFill="1" applyBorder="1"/>
    <xf numFmtId="0" fontId="4" fillId="4" borderId="4" xfId="0" quotePrefix="1" applyFont="1" applyFill="1" applyBorder="1" applyAlignment="1">
      <alignment horizontal="center"/>
    </xf>
    <xf numFmtId="43" fontId="2" fillId="4" borderId="4" xfId="1" applyFont="1" applyFill="1" applyBorder="1"/>
    <xf numFmtId="0" fontId="4" fillId="4" borderId="2" xfId="0" quotePrefix="1" applyFont="1" applyFill="1" applyBorder="1" applyAlignment="1">
      <alignment horizontal="center"/>
    </xf>
    <xf numFmtId="43" fontId="2" fillId="4" borderId="2" xfId="1" applyFont="1" applyFill="1" applyBorder="1"/>
    <xf numFmtId="0" fontId="4" fillId="4" borderId="14" xfId="0" quotePrefix="1" applyFont="1" applyFill="1" applyBorder="1" applyAlignment="1">
      <alignment horizontal="center"/>
    </xf>
    <xf numFmtId="43" fontId="2" fillId="4" borderId="14" xfId="1" applyFont="1" applyFill="1" applyBorder="1"/>
    <xf numFmtId="165" fontId="4" fillId="4" borderId="14" xfId="2" quotePrefix="1" applyNumberFormat="1" applyFont="1" applyFill="1" applyBorder="1" applyAlignment="1">
      <alignment horizontal="center"/>
    </xf>
    <xf numFmtId="165" fontId="4" fillId="4" borderId="14" xfId="2" applyNumberFormat="1" applyFont="1" applyFill="1" applyBorder="1"/>
    <xf numFmtId="0" fontId="4" fillId="3" borderId="4" xfId="0" quotePrefix="1" applyFont="1" applyFill="1" applyBorder="1" applyAlignment="1">
      <alignment horizontal="center"/>
    </xf>
    <xf numFmtId="43" fontId="4" fillId="0" borderId="0" xfId="1" applyFont="1" applyFill="1" applyBorder="1"/>
    <xf numFmtId="43" fontId="4" fillId="0" borderId="0" xfId="1" applyFont="1" applyFill="1" applyBorder="1" applyAlignment="1">
      <alignment vertical="center"/>
    </xf>
    <xf numFmtId="43" fontId="2" fillId="0" borderId="0" xfId="1" applyFont="1" applyFill="1" applyBorder="1"/>
    <xf numFmtId="166" fontId="2" fillId="0" borderId="0" xfId="1" applyNumberFormat="1" applyFont="1" applyFill="1" applyBorder="1"/>
    <xf numFmtId="166" fontId="2" fillId="0" borderId="19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0" fontId="2" fillId="2" borderId="0" xfId="0" quotePrefix="1" applyFont="1" applyFill="1" applyAlignment="1">
      <alignment horizontal="center"/>
    </xf>
    <xf numFmtId="43" fontId="2" fillId="4" borderId="19" xfId="1" applyFont="1" applyFill="1" applyBorder="1"/>
    <xf numFmtId="43" fontId="2" fillId="2" borderId="0" xfId="1" applyFont="1" applyFill="1" applyBorder="1"/>
    <xf numFmtId="43" fontId="2" fillId="4" borderId="20" xfId="1" applyFont="1" applyFill="1" applyBorder="1"/>
    <xf numFmtId="43" fontId="2" fillId="4" borderId="17" xfId="1" applyFont="1" applyFill="1" applyBorder="1"/>
    <xf numFmtId="166" fontId="4" fillId="4" borderId="13" xfId="1" applyNumberFormat="1" applyFont="1" applyFill="1" applyBorder="1"/>
    <xf numFmtId="165" fontId="4" fillId="4" borderId="17" xfId="2" applyNumberFormat="1" applyFont="1" applyFill="1" applyBorder="1"/>
    <xf numFmtId="165" fontId="4" fillId="2" borderId="0" xfId="2" applyNumberFormat="1" applyFont="1" applyFill="1" applyBorder="1"/>
    <xf numFmtId="43" fontId="4" fillId="0" borderId="24" xfId="1" applyFont="1" applyFill="1" applyBorder="1"/>
    <xf numFmtId="43" fontId="2" fillId="0" borderId="24" xfId="1" applyFont="1" applyFill="1" applyBorder="1"/>
    <xf numFmtId="166" fontId="2" fillId="0" borderId="24" xfId="1" applyNumberFormat="1" applyFont="1" applyFill="1" applyBorder="1"/>
    <xf numFmtId="166" fontId="2" fillId="0" borderId="24" xfId="1" applyNumberFormat="1" applyFont="1" applyFill="1" applyBorder="1" applyAlignment="1">
      <alignment vertical="center"/>
    </xf>
    <xf numFmtId="166" fontId="2" fillId="3" borderId="23" xfId="1" applyNumberFormat="1" applyFont="1" applyFill="1" applyBorder="1"/>
    <xf numFmtId="166" fontId="2" fillId="3" borderId="23" xfId="1" applyNumberFormat="1" applyFont="1" applyFill="1" applyBorder="1" applyAlignment="1">
      <alignment vertical="center"/>
    </xf>
    <xf numFmtId="0" fontId="2" fillId="3" borderId="23" xfId="0" quotePrefix="1" applyFont="1" applyFill="1" applyBorder="1" applyAlignment="1">
      <alignment horizontal="center"/>
    </xf>
    <xf numFmtId="168" fontId="2" fillId="0" borderId="24" xfId="1" applyNumberFormat="1" applyFont="1" applyFill="1" applyBorder="1"/>
    <xf numFmtId="43" fontId="2" fillId="0" borderId="10" xfId="1" applyFont="1" applyFill="1" applyBorder="1"/>
    <xf numFmtId="43" fontId="2" fillId="0" borderId="4" xfId="1" applyFont="1" applyFill="1" applyBorder="1" applyAlignment="1">
      <alignment vertical="center"/>
    </xf>
    <xf numFmtId="2" fontId="2" fillId="0" borderId="0" xfId="0" applyNumberFormat="1" applyFont="1"/>
    <xf numFmtId="166" fontId="4" fillId="0" borderId="16" xfId="1" applyNumberFormat="1" applyFont="1" applyFill="1" applyBorder="1"/>
    <xf numFmtId="166" fontId="2" fillId="3" borderId="18" xfId="1" applyNumberFormat="1" applyFont="1" applyFill="1" applyBorder="1"/>
    <xf numFmtId="166" fontId="2" fillId="3" borderId="18" xfId="1" applyNumberFormat="1" applyFont="1" applyFill="1" applyBorder="1" applyAlignment="1">
      <alignment vertical="center"/>
    </xf>
    <xf numFmtId="43" fontId="2" fillId="4" borderId="18" xfId="1" applyFont="1" applyFill="1" applyBorder="1"/>
    <xf numFmtId="168" fontId="2" fillId="0" borderId="19" xfId="1" applyNumberFormat="1" applyFont="1" applyFill="1" applyBorder="1"/>
    <xf numFmtId="43" fontId="2" fillId="0" borderId="24" xfId="1" applyFont="1" applyFill="1" applyBorder="1" applyAlignment="1">
      <alignment vertical="center"/>
    </xf>
    <xf numFmtId="43" fontId="2" fillId="0" borderId="19" xfId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172" fontId="2" fillId="0" borderId="4" xfId="1" applyNumberFormat="1" applyFont="1" applyFill="1" applyBorder="1"/>
    <xf numFmtId="171" fontId="2" fillId="0" borderId="4" xfId="1" applyNumberFormat="1" applyFont="1" applyFill="1" applyBorder="1"/>
    <xf numFmtId="0" fontId="4" fillId="0" borderId="3" xfId="0" applyFont="1" applyBorder="1" applyAlignment="1">
      <alignment horizontal="center"/>
    </xf>
    <xf numFmtId="0" fontId="2" fillId="0" borderId="8" xfId="0" quotePrefix="1" applyFont="1" applyBorder="1"/>
    <xf numFmtId="0" fontId="4" fillId="3" borderId="37" xfId="0" applyFont="1" applyFill="1" applyBorder="1" applyAlignment="1">
      <alignment vertical="center"/>
    </xf>
    <xf numFmtId="0" fontId="4" fillId="0" borderId="8" xfId="0" quotePrefix="1" applyFont="1" applyBorder="1"/>
    <xf numFmtId="0" fontId="5" fillId="0" borderId="8" xfId="0" quotePrefix="1" applyFont="1" applyBorder="1"/>
    <xf numFmtId="0" fontId="2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2" fillId="4" borderId="3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40" xfId="0" applyFont="1" applyFill="1" applyBorder="1" applyAlignment="1">
      <alignment vertical="center"/>
    </xf>
    <xf numFmtId="0" fontId="4" fillId="4" borderId="36" xfId="0" applyFont="1" applyFill="1" applyBorder="1" applyAlignment="1">
      <alignment vertical="center"/>
    </xf>
    <xf numFmtId="165" fontId="4" fillId="4" borderId="36" xfId="2" applyNumberFormat="1" applyFont="1" applyFill="1" applyBorder="1" applyAlignment="1">
      <alignment horizontal="left" vertical="top"/>
    </xf>
    <xf numFmtId="166" fontId="2" fillId="0" borderId="20" xfId="1" applyNumberFormat="1" applyFont="1" applyFill="1" applyBorder="1" applyAlignment="1">
      <alignment vertical="center"/>
    </xf>
    <xf numFmtId="0" fontId="4" fillId="8" borderId="14" xfId="0" applyFont="1" applyFill="1" applyBorder="1" applyAlignment="1">
      <alignment horizontal="center" vertical="center" wrapText="1"/>
    </xf>
    <xf numFmtId="0" fontId="4" fillId="8" borderId="33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166" fontId="2" fillId="3" borderId="6" xfId="1" applyNumberFormat="1" applyFont="1" applyFill="1" applyBorder="1" applyAlignment="1">
      <alignment horizontal="right" vertical="center"/>
    </xf>
    <xf numFmtId="166" fontId="2" fillId="0" borderId="0" xfId="0" applyNumberFormat="1" applyFont="1"/>
    <xf numFmtId="0" fontId="4" fillId="3" borderId="13" xfId="0" quotePrefix="1" applyFont="1" applyFill="1" applyBorder="1"/>
    <xf numFmtId="0" fontId="7" fillId="0" borderId="37" xfId="0" applyFont="1" applyBorder="1" applyAlignment="1">
      <alignment vertical="center"/>
    </xf>
    <xf numFmtId="0" fontId="2" fillId="5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166" fontId="4" fillId="0" borderId="6" xfId="1" applyNumberFormat="1" applyFont="1" applyFill="1" applyBorder="1"/>
    <xf numFmtId="166" fontId="4" fillId="2" borderId="6" xfId="1" applyNumberFormat="1" applyFont="1" applyFill="1" applyBorder="1"/>
    <xf numFmtId="166" fontId="2" fillId="0" borderId="23" xfId="1" applyNumberFormat="1" applyFont="1" applyFill="1" applyBorder="1"/>
    <xf numFmtId="166" fontId="2" fillId="0" borderId="18" xfId="1" applyNumberFormat="1" applyFont="1" applyFill="1" applyBorder="1"/>
    <xf numFmtId="0" fontId="8" fillId="0" borderId="3" xfId="0" applyFont="1" applyBorder="1"/>
    <xf numFmtId="0" fontId="2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6" fontId="2" fillId="0" borderId="3" xfId="0" applyNumberFormat="1" applyFont="1" applyBorder="1"/>
    <xf numFmtId="0" fontId="2" fillId="4" borderId="8" xfId="0" applyFont="1" applyFill="1" applyBorder="1"/>
    <xf numFmtId="166" fontId="2" fillId="5" borderId="4" xfId="1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66" fontId="2" fillId="4" borderId="4" xfId="1" applyNumberFormat="1" applyFont="1" applyFill="1" applyBorder="1"/>
    <xf numFmtId="166" fontId="2" fillId="4" borderId="24" xfId="1" applyNumberFormat="1" applyFont="1" applyFill="1" applyBorder="1"/>
    <xf numFmtId="166" fontId="2" fillId="4" borderId="19" xfId="1" applyNumberFormat="1" applyFont="1" applyFill="1" applyBorder="1"/>
    <xf numFmtId="166" fontId="2" fillId="4" borderId="3" xfId="0" applyNumberFormat="1" applyFont="1" applyFill="1" applyBorder="1"/>
    <xf numFmtId="166" fontId="2" fillId="4" borderId="3" xfId="1" applyNumberFormat="1" applyFont="1" applyFill="1" applyBorder="1"/>
    <xf numFmtId="165" fontId="2" fillId="0" borderId="24" xfId="2" applyNumberFormat="1" applyFont="1" applyFill="1" applyBorder="1"/>
    <xf numFmtId="165" fontId="2" fillId="0" borderId="19" xfId="2" applyNumberFormat="1" applyFont="1" applyFill="1" applyBorder="1"/>
    <xf numFmtId="164" fontId="2" fillId="0" borderId="3" xfId="0" applyNumberFormat="1" applyFont="1" applyBorder="1"/>
    <xf numFmtId="43" fontId="2" fillId="5" borderId="4" xfId="1" applyFont="1" applyFill="1" applyBorder="1" applyAlignment="1">
      <alignment horizontal="right"/>
    </xf>
    <xf numFmtId="0" fontId="8" fillId="2" borderId="8" xfId="0" applyFont="1" applyFill="1" applyBorder="1"/>
    <xf numFmtId="0" fontId="2" fillId="5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2" borderId="0" xfId="0" applyFont="1" applyFill="1"/>
    <xf numFmtId="166" fontId="5" fillId="0" borderId="3" xfId="0" applyNumberFormat="1" applyFont="1" applyBorder="1"/>
    <xf numFmtId="0" fontId="2" fillId="0" borderId="3" xfId="0" applyFont="1" applyBorder="1" applyAlignment="1">
      <alignment horizontal="center"/>
    </xf>
    <xf numFmtId="0" fontId="2" fillId="4" borderId="8" xfId="0" quotePrefix="1" applyFont="1" applyFill="1" applyBorder="1"/>
    <xf numFmtId="0" fontId="7" fillId="0" borderId="37" xfId="0" applyFont="1" applyBorder="1"/>
    <xf numFmtId="0" fontId="9" fillId="5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166" fontId="8" fillId="0" borderId="3" xfId="0" applyNumberFormat="1" applyFont="1" applyBorder="1"/>
    <xf numFmtId="41" fontId="2" fillId="5" borderId="4" xfId="2" applyFont="1" applyFill="1" applyBorder="1" applyAlignment="1">
      <alignment horizontal="center"/>
    </xf>
    <xf numFmtId="166" fontId="2" fillId="4" borderId="2" xfId="1" applyNumberFormat="1" applyFont="1" applyFill="1" applyBorder="1"/>
    <xf numFmtId="166" fontId="2" fillId="4" borderId="25" xfId="1" applyNumberFormat="1" applyFont="1" applyFill="1" applyBorder="1"/>
    <xf numFmtId="166" fontId="2" fillId="4" borderId="20" xfId="1" applyNumberFormat="1" applyFont="1" applyFill="1" applyBorder="1"/>
    <xf numFmtId="0" fontId="2" fillId="2" borderId="3" xfId="0" applyFont="1" applyFill="1" applyBorder="1" applyAlignment="1">
      <alignment horizontal="center"/>
    </xf>
    <xf numFmtId="41" fontId="2" fillId="2" borderId="4" xfId="2" applyFont="1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166" fontId="2" fillId="2" borderId="4" xfId="1" applyNumberFormat="1" applyFont="1" applyFill="1" applyBorder="1"/>
    <xf numFmtId="166" fontId="2" fillId="2" borderId="24" xfId="1" applyNumberFormat="1" applyFont="1" applyFill="1" applyBorder="1"/>
    <xf numFmtId="166" fontId="2" fillId="2" borderId="19" xfId="1" applyNumberFormat="1" applyFont="1" applyFill="1" applyBorder="1"/>
    <xf numFmtId="41" fontId="9" fillId="5" borderId="6" xfId="2" applyFont="1" applyFill="1" applyBorder="1" applyAlignment="1">
      <alignment horizontal="center"/>
    </xf>
    <xf numFmtId="176" fontId="2" fillId="0" borderId="6" xfId="1" applyNumberFormat="1" applyFont="1" applyFill="1" applyBorder="1"/>
    <xf numFmtId="166" fontId="4" fillId="0" borderId="6" xfId="1" applyNumberFormat="1" applyFont="1" applyFill="1" applyBorder="1" applyAlignment="1">
      <alignment horizontal="center"/>
    </xf>
    <xf numFmtId="166" fontId="4" fillId="2" borderId="6" xfId="1" applyNumberFormat="1" applyFont="1" applyFill="1" applyBorder="1" applyAlignment="1">
      <alignment horizontal="center"/>
    </xf>
    <xf numFmtId="166" fontId="4" fillId="0" borderId="23" xfId="1" applyNumberFormat="1" applyFont="1" applyFill="1" applyBorder="1" applyAlignment="1">
      <alignment horizontal="center"/>
    </xf>
    <xf numFmtId="166" fontId="4" fillId="0" borderId="18" xfId="1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41" fontId="9" fillId="5" borderId="4" xfId="2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6" fontId="2" fillId="4" borderId="3" xfId="0" applyNumberFormat="1" applyFont="1" applyFill="1" applyBorder="1" applyAlignment="1">
      <alignment vertical="center"/>
    </xf>
    <xf numFmtId="166" fontId="2" fillId="4" borderId="3" xfId="1" applyNumberFormat="1" applyFont="1" applyFill="1" applyBorder="1" applyAlignment="1">
      <alignment vertical="center"/>
    </xf>
    <xf numFmtId="0" fontId="4" fillId="3" borderId="37" xfId="0" quotePrefix="1" applyFont="1" applyFill="1" applyBorder="1"/>
    <xf numFmtId="0" fontId="2" fillId="3" borderId="6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5" xfId="0" quotePrefix="1" applyFont="1" applyFill="1" applyBorder="1"/>
    <xf numFmtId="0" fontId="2" fillId="2" borderId="8" xfId="0" quotePrefix="1" applyFont="1" applyFill="1" applyBorder="1"/>
    <xf numFmtId="43" fontId="2" fillId="0" borderId="3" xfId="1" applyFont="1" applyFill="1" applyBorder="1"/>
    <xf numFmtId="43" fontId="2" fillId="6" borderId="3" xfId="1" applyFont="1" applyFill="1" applyBorder="1"/>
    <xf numFmtId="43" fontId="2" fillId="4" borderId="3" xfId="1" applyFont="1" applyFill="1" applyBorder="1"/>
    <xf numFmtId="43" fontId="2" fillId="7" borderId="3" xfId="1" applyFont="1" applyFill="1" applyBorder="1"/>
    <xf numFmtId="0" fontId="2" fillId="0" borderId="1" xfId="0" applyFont="1" applyBorder="1" applyAlignment="1">
      <alignment horizontal="center"/>
    </xf>
    <xf numFmtId="0" fontId="4" fillId="3" borderId="37" xfId="0" applyFont="1" applyFill="1" applyBorder="1"/>
    <xf numFmtId="0" fontId="4" fillId="3" borderId="5" xfId="0" applyFont="1" applyFill="1" applyBorder="1"/>
    <xf numFmtId="166" fontId="2" fillId="0" borderId="3" xfId="1" applyNumberFormat="1" applyFont="1" applyBorder="1"/>
    <xf numFmtId="0" fontId="2" fillId="0" borderId="8" xfId="0" applyFont="1" applyBorder="1"/>
    <xf numFmtId="0" fontId="2" fillId="0" borderId="38" xfId="0" quotePrefix="1" applyFont="1" applyBorder="1"/>
    <xf numFmtId="43" fontId="2" fillId="5" borderId="12" xfId="1" applyFont="1" applyFill="1" applyBorder="1" applyAlignment="1">
      <alignment horizontal="center"/>
    </xf>
    <xf numFmtId="0" fontId="4" fillId="0" borderId="12" xfId="0" quotePrefix="1" applyFont="1" applyBorder="1" applyAlignment="1">
      <alignment horizontal="center"/>
    </xf>
    <xf numFmtId="166" fontId="2" fillId="0" borderId="12" xfId="1" applyNumberFormat="1" applyFont="1" applyFill="1" applyBorder="1"/>
    <xf numFmtId="166" fontId="2" fillId="0" borderId="15" xfId="1" applyNumberFormat="1" applyFont="1" applyFill="1" applyBorder="1"/>
    <xf numFmtId="166" fontId="2" fillId="0" borderId="26" xfId="1" applyNumberFormat="1" applyFont="1" applyFill="1" applyBorder="1"/>
    <xf numFmtId="166" fontId="2" fillId="0" borderId="42" xfId="1" applyNumberFormat="1" applyFont="1" applyFill="1" applyBorder="1"/>
    <xf numFmtId="166" fontId="2" fillId="0" borderId="9" xfId="0" applyNumberFormat="1" applyFont="1" applyBorder="1"/>
    <xf numFmtId="0" fontId="2" fillId="0" borderId="39" xfId="0" applyFont="1" applyBorder="1"/>
    <xf numFmtId="0" fontId="2" fillId="5" borderId="11" xfId="0" applyFont="1" applyFill="1" applyBorder="1" applyAlignment="1">
      <alignment horizontal="center"/>
    </xf>
    <xf numFmtId="0" fontId="4" fillId="0" borderId="11" xfId="0" quotePrefix="1" applyFont="1" applyBorder="1" applyAlignment="1">
      <alignment horizontal="center"/>
    </xf>
    <xf numFmtId="43" fontId="2" fillId="0" borderId="11" xfId="1" applyFont="1" applyFill="1" applyBorder="1"/>
    <xf numFmtId="43" fontId="2" fillId="0" borderId="22" xfId="1" applyFont="1" applyFill="1" applyBorder="1"/>
    <xf numFmtId="1" fontId="2" fillId="0" borderId="0" xfId="0" applyNumberFormat="1" applyFont="1"/>
    <xf numFmtId="0" fontId="2" fillId="0" borderId="40" xfId="0" applyFont="1" applyBorder="1"/>
    <xf numFmtId="0" fontId="4" fillId="0" borderId="2" xfId="0" quotePrefix="1" applyFont="1" applyBorder="1" applyAlignment="1">
      <alignment horizontal="center"/>
    </xf>
    <xf numFmtId="175" fontId="2" fillId="0" borderId="4" xfId="1" applyNumberFormat="1" applyFont="1" applyFill="1" applyBorder="1"/>
    <xf numFmtId="175" fontId="2" fillId="0" borderId="19" xfId="1" applyNumberFormat="1" applyFont="1" applyFill="1" applyBorder="1"/>
    <xf numFmtId="175" fontId="2" fillId="0" borderId="3" xfId="1" applyNumberFormat="1" applyFont="1" applyBorder="1"/>
    <xf numFmtId="0" fontId="4" fillId="2" borderId="3" xfId="0" applyFont="1" applyFill="1" applyBorder="1" applyAlignment="1">
      <alignment horizontal="center"/>
    </xf>
    <xf numFmtId="174" fontId="2" fillId="5" borderId="4" xfId="1" applyNumberFormat="1" applyFont="1" applyFill="1" applyBorder="1" applyAlignment="1">
      <alignment horizontal="center"/>
    </xf>
    <xf numFmtId="2" fontId="2" fillId="2" borderId="0" xfId="0" applyNumberFormat="1" applyFont="1" applyFill="1"/>
    <xf numFmtId="164" fontId="2" fillId="2" borderId="3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0" xfId="0" quotePrefix="1" applyFont="1" applyFill="1" applyBorder="1"/>
    <xf numFmtId="0" fontId="4" fillId="2" borderId="2" xfId="0" quotePrefix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 vertical="center"/>
    </xf>
    <xf numFmtId="166" fontId="4" fillId="0" borderId="4" xfId="1" applyNumberFormat="1" applyFont="1" applyFill="1" applyBorder="1"/>
    <xf numFmtId="166" fontId="4" fillId="0" borderId="24" xfId="1" applyNumberFormat="1" applyFont="1" applyFill="1" applyBorder="1"/>
    <xf numFmtId="166" fontId="4" fillId="0" borderId="19" xfId="1" applyNumberFormat="1" applyFont="1" applyFill="1" applyBorder="1"/>
    <xf numFmtId="166" fontId="4" fillId="0" borderId="0" xfId="0" applyNumberFormat="1" applyFont="1"/>
    <xf numFmtId="164" fontId="4" fillId="0" borderId="3" xfId="0" applyNumberFormat="1" applyFont="1" applyBorder="1"/>
    <xf numFmtId="0" fontId="4" fillId="5" borderId="4" xfId="0" applyFont="1" applyFill="1" applyBorder="1" applyAlignment="1">
      <alignment horizontal="center"/>
    </xf>
    <xf numFmtId="165" fontId="2" fillId="2" borderId="4" xfId="2" applyNumberFormat="1" applyFont="1" applyFill="1" applyBorder="1"/>
    <xf numFmtId="165" fontId="2" fillId="0" borderId="4" xfId="2" applyNumberFormat="1" applyFont="1" applyBorder="1"/>
    <xf numFmtId="165" fontId="2" fillId="0" borderId="4" xfId="2" applyNumberFormat="1" applyFont="1" applyFill="1" applyBorder="1" applyAlignment="1">
      <alignment vertical="center"/>
    </xf>
    <xf numFmtId="0" fontId="4" fillId="0" borderId="0" xfId="0" applyFont="1"/>
    <xf numFmtId="165" fontId="2" fillId="0" borderId="4" xfId="1" applyNumberFormat="1" applyFont="1" applyFill="1" applyBorder="1"/>
    <xf numFmtId="165" fontId="2" fillId="0" borderId="19" xfId="1" applyNumberFormat="1" applyFont="1" applyFill="1" applyBorder="1"/>
    <xf numFmtId="0" fontId="2" fillId="0" borderId="8" xfId="0" quotePrefix="1" applyFont="1" applyBorder="1" applyAlignment="1">
      <alignment vertical="center"/>
    </xf>
    <xf numFmtId="166" fontId="2" fillId="0" borderId="4" xfId="1" applyNumberFormat="1" applyFont="1" applyFill="1" applyBorder="1" applyAlignment="1">
      <alignment wrapText="1"/>
    </xf>
    <xf numFmtId="166" fontId="2" fillId="0" borderId="8" xfId="1" applyNumberFormat="1" applyFont="1" applyFill="1" applyBorder="1" applyAlignment="1">
      <alignment wrapText="1"/>
    </xf>
    <xf numFmtId="166" fontId="2" fillId="0" borderId="27" xfId="1" applyNumberFormat="1" applyFont="1" applyFill="1" applyBorder="1" applyAlignment="1">
      <alignment wrapText="1"/>
    </xf>
    <xf numFmtId="167" fontId="2" fillId="0" borderId="4" xfId="1" applyNumberFormat="1" applyFont="1" applyFill="1" applyBorder="1"/>
    <xf numFmtId="166" fontId="4" fillId="0" borderId="3" xfId="0" applyNumberFormat="1" applyFont="1" applyBorder="1"/>
    <xf numFmtId="166" fontId="2" fillId="0" borderId="3" xfId="0" applyNumberFormat="1" applyFont="1" applyBorder="1" applyAlignment="1">
      <alignment vertical="center"/>
    </xf>
    <xf numFmtId="41" fontId="2" fillId="0" borderId="4" xfId="2" applyFont="1" applyFill="1" applyBorder="1"/>
    <xf numFmtId="41" fontId="2" fillId="0" borderId="19" xfId="2" applyFont="1" applyFill="1" applyBorder="1"/>
    <xf numFmtId="43" fontId="2" fillId="3" borderId="6" xfId="1" applyFont="1" applyFill="1" applyBorder="1" applyAlignment="1">
      <alignment horizontal="center"/>
    </xf>
    <xf numFmtId="43" fontId="2" fillId="3" borderId="6" xfId="1" applyFont="1" applyFill="1" applyBorder="1"/>
    <xf numFmtId="43" fontId="2" fillId="3" borderId="23" xfId="1" applyFont="1" applyFill="1" applyBorder="1"/>
    <xf numFmtId="43" fontId="2" fillId="3" borderId="18" xfId="1" applyFont="1" applyFill="1" applyBorder="1"/>
    <xf numFmtId="43" fontId="2" fillId="0" borderId="27" xfId="1" applyFont="1" applyFill="1" applyBorder="1"/>
    <xf numFmtId="166" fontId="2" fillId="3" borderId="5" xfId="0" applyNumberFormat="1" applyFont="1" applyFill="1" applyBorder="1"/>
    <xf numFmtId="43" fontId="4" fillId="3" borderId="6" xfId="1" applyFont="1" applyFill="1" applyBorder="1" applyAlignment="1">
      <alignment horizontal="center"/>
    </xf>
    <xf numFmtId="43" fontId="2" fillId="3" borderId="23" xfId="1" applyFont="1" applyFill="1" applyBorder="1" applyAlignment="1">
      <alignment horizontal="center"/>
    </xf>
    <xf numFmtId="43" fontId="2" fillId="3" borderId="18" xfId="1" applyFont="1" applyFill="1" applyBorder="1" applyAlignment="1">
      <alignment horizontal="center"/>
    </xf>
    <xf numFmtId="43" fontId="2" fillId="2" borderId="0" xfId="1" applyFont="1" applyFill="1" applyBorder="1" applyAlignment="1">
      <alignment horizontal="center"/>
    </xf>
    <xf numFmtId="166" fontId="2" fillId="0" borderId="7" xfId="0" applyNumberFormat="1" applyFont="1" applyBorder="1"/>
    <xf numFmtId="164" fontId="4" fillId="3" borderId="3" xfId="0" applyNumberFormat="1" applyFont="1" applyFill="1" applyBorder="1"/>
    <xf numFmtId="43" fontId="2" fillId="3" borderId="4" xfId="1" applyFont="1" applyFill="1" applyBorder="1" applyAlignment="1">
      <alignment horizontal="center"/>
    </xf>
    <xf numFmtId="166" fontId="2" fillId="3" borderId="4" xfId="1" applyNumberFormat="1" applyFont="1" applyFill="1" applyBorder="1"/>
    <xf numFmtId="166" fontId="2" fillId="3" borderId="24" xfId="1" applyNumberFormat="1" applyFont="1" applyFill="1" applyBorder="1"/>
    <xf numFmtId="166" fontId="2" fillId="3" borderId="19" xfId="1" applyNumberFormat="1" applyFont="1" applyFill="1" applyBorder="1"/>
    <xf numFmtId="166" fontId="2" fillId="0" borderId="3" xfId="1" applyNumberFormat="1" applyFont="1" applyFill="1" applyBorder="1"/>
    <xf numFmtId="43" fontId="2" fillId="4" borderId="6" xfId="1" applyFont="1" applyFill="1" applyBorder="1" applyAlignment="1">
      <alignment horizontal="center"/>
    </xf>
    <xf numFmtId="166" fontId="2" fillId="4" borderId="5" xfId="0" applyNumberFormat="1" applyFont="1" applyFill="1" applyBorder="1"/>
    <xf numFmtId="43" fontId="2" fillId="4" borderId="4" xfId="1" applyFont="1" applyFill="1" applyBorder="1" applyAlignment="1">
      <alignment horizontal="center"/>
    </xf>
    <xf numFmtId="43" fontId="2" fillId="4" borderId="2" xfId="1" applyFont="1" applyFill="1" applyBorder="1" applyAlignment="1">
      <alignment horizontal="center"/>
    </xf>
    <xf numFmtId="166" fontId="2" fillId="4" borderId="7" xfId="0" applyNumberFormat="1" applyFont="1" applyFill="1" applyBorder="1"/>
    <xf numFmtId="43" fontId="2" fillId="4" borderId="14" xfId="1" applyFont="1" applyFill="1" applyBorder="1" applyAlignment="1">
      <alignment horizontal="center"/>
    </xf>
    <xf numFmtId="41" fontId="4" fillId="4" borderId="7" xfId="2" applyFont="1" applyFill="1" applyBorder="1"/>
    <xf numFmtId="168" fontId="2" fillId="0" borderId="3" xfId="0" applyNumberFormat="1" applyFont="1" applyBorder="1"/>
    <xf numFmtId="173" fontId="2" fillId="5" borderId="4" xfId="1" applyNumberFormat="1" applyFont="1" applyFill="1" applyBorder="1" applyAlignment="1">
      <alignment horizontal="center"/>
    </xf>
    <xf numFmtId="168" fontId="4" fillId="0" borderId="3" xfId="0" applyNumberFormat="1" applyFont="1" applyBorder="1"/>
    <xf numFmtId="0" fontId="5" fillId="0" borderId="3" xfId="0" applyFont="1" applyBorder="1"/>
    <xf numFmtId="168" fontId="2" fillId="0" borderId="4" xfId="1" applyNumberFormat="1" applyFont="1" applyBorder="1"/>
    <xf numFmtId="168" fontId="2" fillId="0" borderId="8" xfId="1" applyNumberFormat="1" applyFont="1" applyFill="1" applyBorder="1"/>
    <xf numFmtId="170" fontId="2" fillId="0" borderId="3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40" xfId="0" quotePrefix="1" applyFont="1" applyBorder="1"/>
    <xf numFmtId="43" fontId="4" fillId="5" borderId="2" xfId="1" applyFont="1" applyFill="1" applyBorder="1" applyAlignment="1">
      <alignment horizontal="center"/>
    </xf>
    <xf numFmtId="168" fontId="4" fillId="0" borderId="2" xfId="1" applyNumberFormat="1" applyFont="1" applyFill="1" applyBorder="1"/>
    <xf numFmtId="172" fontId="4" fillId="0" borderId="2" xfId="1" applyNumberFormat="1" applyFont="1" applyFill="1" applyBorder="1"/>
    <xf numFmtId="168" fontId="4" fillId="0" borderId="20" xfId="1" applyNumberFormat="1" applyFont="1" applyFill="1" applyBorder="1"/>
    <xf numFmtId="168" fontId="4" fillId="0" borderId="7" xfId="0" applyNumberFormat="1" applyFont="1" applyBorder="1"/>
    <xf numFmtId="0" fontId="4" fillId="3" borderId="8" xfId="0" quotePrefix="1" applyFont="1" applyFill="1" applyBorder="1"/>
    <xf numFmtId="0" fontId="4" fillId="3" borderId="4" xfId="0" applyFont="1" applyFill="1" applyBorder="1" applyAlignment="1">
      <alignment horizontal="center"/>
    </xf>
    <xf numFmtId="168" fontId="4" fillId="3" borderId="4" xfId="1" applyNumberFormat="1" applyFont="1" applyFill="1" applyBorder="1"/>
    <xf numFmtId="168" fontId="4" fillId="3" borderId="24" xfId="1" applyNumberFormat="1" applyFont="1" applyFill="1" applyBorder="1"/>
    <xf numFmtId="168" fontId="4" fillId="3" borderId="19" xfId="1" applyNumberFormat="1" applyFont="1" applyFill="1" applyBorder="1"/>
    <xf numFmtId="43" fontId="4" fillId="3" borderId="5" xfId="1" applyFont="1" applyFill="1" applyBorder="1"/>
    <xf numFmtId="167" fontId="5" fillId="0" borderId="3" xfId="0" applyNumberFormat="1" applyFont="1" applyBorder="1"/>
    <xf numFmtId="166" fontId="4" fillId="5" borderId="4" xfId="1" applyNumberFormat="1" applyFont="1" applyFill="1" applyBorder="1" applyAlignment="1">
      <alignment horizontal="center"/>
    </xf>
    <xf numFmtId="43" fontId="2" fillId="5" borderId="4" xfId="1" applyFont="1" applyFill="1" applyBorder="1" applyAlignment="1">
      <alignment horizontal="center" vertical="center"/>
    </xf>
    <xf numFmtId="43" fontId="4" fillId="0" borderId="3" xfId="1" applyFont="1" applyBorder="1" applyAlignment="1">
      <alignment vertical="center"/>
    </xf>
    <xf numFmtId="0" fontId="4" fillId="0" borderId="8" xfId="0" quotePrefix="1" applyFont="1" applyBorder="1" applyAlignment="1">
      <alignment vertical="center"/>
    </xf>
    <xf numFmtId="166" fontId="5" fillId="0" borderId="3" xfId="0" applyNumberFormat="1" applyFont="1" applyBorder="1" applyAlignment="1">
      <alignment vertical="center"/>
    </xf>
    <xf numFmtId="43" fontId="2" fillId="5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6" fontId="4" fillId="3" borderId="5" xfId="1" applyNumberFormat="1" applyFont="1" applyFill="1" applyBorder="1"/>
    <xf numFmtId="0" fontId="4" fillId="2" borderId="8" xfId="0" quotePrefix="1" applyFont="1" applyFill="1" applyBorder="1"/>
    <xf numFmtId="0" fontId="2" fillId="5" borderId="4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4" fillId="2" borderId="41" xfId="0" quotePrefix="1" applyFont="1" applyFill="1" applyBorder="1"/>
    <xf numFmtId="0" fontId="4" fillId="5" borderId="16" xfId="0" applyFont="1" applyFill="1" applyBorder="1" applyAlignment="1">
      <alignment horizontal="center"/>
    </xf>
    <xf numFmtId="0" fontId="4" fillId="2" borderId="16" xfId="0" quotePrefix="1" applyFont="1" applyFill="1" applyBorder="1" applyAlignment="1">
      <alignment horizontal="center"/>
    </xf>
    <xf numFmtId="166" fontId="4" fillId="0" borderId="1" xfId="0" applyNumberFormat="1" applyFont="1" applyBorder="1"/>
    <xf numFmtId="0" fontId="4" fillId="3" borderId="8" xfId="0" applyFont="1" applyFill="1" applyBorder="1"/>
    <xf numFmtId="0" fontId="2" fillId="3" borderId="4" xfId="0" applyFont="1" applyFill="1" applyBorder="1"/>
    <xf numFmtId="0" fontId="4" fillId="3" borderId="4" xfId="0" applyFont="1" applyFill="1" applyBorder="1"/>
    <xf numFmtId="0" fontId="8" fillId="3" borderId="3" xfId="0" applyFont="1" applyFill="1" applyBorder="1"/>
    <xf numFmtId="0" fontId="2" fillId="2" borderId="8" xfId="0" applyFont="1" applyFill="1" applyBorder="1"/>
    <xf numFmtId="166" fontId="2" fillId="0" borderId="4" xfId="1" applyNumberFormat="1" applyFont="1" applyBorder="1"/>
    <xf numFmtId="0" fontId="4" fillId="2" borderId="40" xfId="0" applyFont="1" applyFill="1" applyBorder="1"/>
    <xf numFmtId="0" fontId="4" fillId="5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66" fontId="4" fillId="0" borderId="2" xfId="1" applyNumberFormat="1" applyFont="1" applyBorder="1"/>
    <xf numFmtId="166" fontId="4" fillId="0" borderId="7" xfId="0" applyNumberFormat="1" applyFont="1" applyBorder="1"/>
    <xf numFmtId="0" fontId="2" fillId="3" borderId="6" xfId="0" applyFont="1" applyFill="1" applyBorder="1"/>
    <xf numFmtId="0" fontId="4" fillId="3" borderId="6" xfId="0" applyFont="1" applyFill="1" applyBorder="1"/>
    <xf numFmtId="43" fontId="3" fillId="0" borderId="4" xfId="1" applyFont="1" applyFill="1" applyBorder="1" applyAlignment="1">
      <alignment vertical="center"/>
    </xf>
    <xf numFmtId="168" fontId="3" fillId="0" borderId="4" xfId="1" applyNumberFormat="1" applyFont="1" applyFill="1" applyBorder="1"/>
    <xf numFmtId="0" fontId="11" fillId="2" borderId="0" xfId="0" applyFont="1" applyFill="1"/>
    <xf numFmtId="0" fontId="4" fillId="2" borderId="37" xfId="0" quotePrefix="1" applyFont="1" applyFill="1" applyBorder="1"/>
    <xf numFmtId="173" fontId="2" fillId="5" borderId="6" xfId="1" applyNumberFormat="1" applyFont="1" applyFill="1" applyBorder="1" applyAlignment="1">
      <alignment horizontal="center"/>
    </xf>
    <xf numFmtId="0" fontId="4" fillId="2" borderId="6" xfId="0" quotePrefix="1" applyFont="1" applyFill="1" applyBorder="1" applyAlignment="1">
      <alignment horizontal="center"/>
    </xf>
    <xf numFmtId="43" fontId="11" fillId="0" borderId="6" xfId="1" applyFont="1" applyFill="1" applyBorder="1"/>
    <xf numFmtId="43" fontId="11" fillId="0" borderId="18" xfId="1" applyFont="1" applyFill="1" applyBorder="1"/>
    <xf numFmtId="43" fontId="11" fillId="0" borderId="5" xfId="1" applyFont="1" applyFill="1" applyBorder="1"/>
    <xf numFmtId="41" fontId="11" fillId="2" borderId="0" xfId="2" applyFont="1" applyFill="1"/>
    <xf numFmtId="165" fontId="4" fillId="2" borderId="3" xfId="2" applyNumberFormat="1" applyFont="1" applyFill="1" applyBorder="1"/>
    <xf numFmtId="168" fontId="2" fillId="0" borderId="27" xfId="1" applyNumberFormat="1" applyFont="1" applyFill="1" applyBorder="1"/>
    <xf numFmtId="0" fontId="2" fillId="0" borderId="0" xfId="0" applyFont="1" applyAlignment="1">
      <alignment horizontal="left"/>
    </xf>
    <xf numFmtId="166" fontId="2" fillId="0" borderId="0" xfId="1" applyNumberFormat="1" applyFont="1"/>
    <xf numFmtId="0" fontId="12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76" fontId="2" fillId="0" borderId="0" xfId="0" applyNumberFormat="1" applyFont="1"/>
    <xf numFmtId="41" fontId="2" fillId="0" borderId="0" xfId="0" applyNumberFormat="1" applyFont="1"/>
    <xf numFmtId="41" fontId="2" fillId="0" borderId="0" xfId="2" applyFont="1" applyFill="1"/>
    <xf numFmtId="41" fontId="2" fillId="2" borderId="0" xfId="2" applyFont="1" applyFill="1"/>
    <xf numFmtId="0" fontId="12" fillId="2" borderId="0" xfId="0" applyFont="1" applyFill="1"/>
    <xf numFmtId="41" fontId="2" fillId="0" borderId="0" xfId="2" applyFont="1" applyAlignment="1">
      <alignment vertical="center"/>
    </xf>
    <xf numFmtId="0" fontId="12" fillId="0" borderId="0" xfId="0" applyFont="1" applyAlignment="1">
      <alignment vertical="center"/>
    </xf>
    <xf numFmtId="0" fontId="2" fillId="4" borderId="0" xfId="0" applyFont="1" applyFill="1"/>
    <xf numFmtId="165" fontId="2" fillId="0" borderId="0" xfId="2" applyNumberFormat="1" applyFont="1" applyFill="1"/>
    <xf numFmtId="166" fontId="2" fillId="0" borderId="0" xfId="0" applyNumberFormat="1" applyFont="1" applyAlignment="1">
      <alignment vertical="center"/>
    </xf>
    <xf numFmtId="41" fontId="4" fillId="0" borderId="0" xfId="2" applyFont="1" applyFill="1"/>
    <xf numFmtId="43" fontId="2" fillId="2" borderId="4" xfId="1" applyFont="1" applyFill="1" applyBorder="1"/>
    <xf numFmtId="43" fontId="2" fillId="2" borderId="13" xfId="1" applyFont="1" applyFill="1" applyBorder="1"/>
    <xf numFmtId="43" fontId="2" fillId="0" borderId="0" xfId="0" applyNumberFormat="1" applyFont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4" fillId="0" borderId="0" xfId="2" applyFont="1" applyFill="1" applyAlignment="1">
      <alignment horizontal="center"/>
    </xf>
    <xf numFmtId="172" fontId="3" fillId="0" borderId="4" xfId="1" applyNumberFormat="1" applyFont="1" applyFill="1" applyBorder="1"/>
    <xf numFmtId="169" fontId="2" fillId="0" borderId="0" xfId="0" applyNumberFormat="1" applyFont="1"/>
    <xf numFmtId="41" fontId="4" fillId="0" borderId="0" xfId="2" applyFont="1"/>
    <xf numFmtId="166" fontId="4" fillId="0" borderId="21" xfId="1" applyNumberFormat="1" applyFont="1" applyFill="1" applyBorder="1"/>
    <xf numFmtId="43" fontId="4" fillId="0" borderId="24" xfId="1" applyFont="1" applyFill="1" applyBorder="1" applyAlignment="1">
      <alignment vertical="center"/>
    </xf>
    <xf numFmtId="43" fontId="4" fillId="0" borderId="19" xfId="1" applyFont="1" applyFill="1" applyBorder="1" applyAlignment="1">
      <alignment vertical="center"/>
    </xf>
    <xf numFmtId="0" fontId="6" fillId="0" borderId="0" xfId="0" applyFont="1" applyAlignment="1">
      <alignment horizontal="center"/>
    </xf>
    <xf numFmtId="0" fontId="6" fillId="8" borderId="29" xfId="0" applyFont="1" applyFill="1" applyBorder="1" applyAlignment="1">
      <alignment horizontal="center"/>
    </xf>
    <xf numFmtId="0" fontId="4" fillId="8" borderId="30" xfId="0" applyFont="1" applyFill="1" applyBorder="1" applyAlignment="1">
      <alignment horizontal="center"/>
    </xf>
    <xf numFmtId="0" fontId="4" fillId="8" borderId="31" xfId="0" applyFont="1" applyFill="1" applyBorder="1" applyAlignment="1">
      <alignment horizontal="center"/>
    </xf>
    <xf numFmtId="0" fontId="4" fillId="0" borderId="32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8" borderId="34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35" xfId="0" applyFont="1" applyFill="1" applyBorder="1" applyAlignment="1">
      <alignment horizontal="center" vertical="center"/>
    </xf>
    <xf numFmtId="0" fontId="4" fillId="8" borderId="36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8" borderId="28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VP273"/>
  <sheetViews>
    <sheetView tabSelected="1" topLeftCell="AH1" zoomScale="80" zoomScaleNormal="80" workbookViewId="0">
      <selection activeCell="AN17" sqref="AN17"/>
    </sheetView>
  </sheetViews>
  <sheetFormatPr defaultColWidth="9" defaultRowHeight="14.4" x14ac:dyDescent="0.3"/>
  <cols>
    <col min="1" max="1" width="6.44140625" style="3" customWidth="1"/>
    <col min="2" max="2" width="4.6640625" style="303" customWidth="1"/>
    <col min="3" max="3" width="36.88671875" style="3" customWidth="1"/>
    <col min="4" max="4" width="14.6640625" style="3" customWidth="1"/>
    <col min="5" max="5" width="8.109375" style="199" customWidth="1"/>
    <col min="6" max="6" width="13.5546875" style="3" customWidth="1"/>
    <col min="7" max="7" width="15.21875" style="3" customWidth="1"/>
    <col min="8" max="8" width="13.5546875" style="3" customWidth="1"/>
    <col min="9" max="11" width="14.5546875" style="3" customWidth="1"/>
    <col min="12" max="14" width="13.5546875" style="3" customWidth="1"/>
    <col min="15" max="15" width="15.109375" style="3" customWidth="1"/>
    <col min="16" max="17" width="13.5546875" style="3" customWidth="1"/>
    <col min="18" max="18" width="14.33203125" style="3" customWidth="1"/>
    <col min="19" max="19" width="14.5546875" style="3" customWidth="1"/>
    <col min="20" max="22" width="13.5546875" style="3" customWidth="1"/>
    <col min="23" max="23" width="15.6640625" style="3" customWidth="1"/>
    <col min="24" max="28" width="13.5546875" style="3" customWidth="1"/>
    <col min="29" max="29" width="13.109375" style="3" customWidth="1"/>
    <col min="30" max="35" width="13.5546875" style="3" customWidth="1"/>
    <col min="36" max="36" width="9.44140625" style="3" customWidth="1"/>
    <col min="37" max="37" width="24.21875" style="3" customWidth="1"/>
    <col min="38" max="63" width="8.109375" style="3" customWidth="1"/>
    <col min="64" max="65" width="7.5546875" style="3" customWidth="1"/>
    <col min="66" max="70" width="8.109375" style="3" customWidth="1"/>
    <col min="71" max="82" width="9" style="3"/>
    <col min="83" max="83" width="12.6640625" style="3" customWidth="1"/>
    <col min="84" max="84" width="12.109375" style="3" customWidth="1"/>
    <col min="85" max="85" width="9.109375" style="3" customWidth="1"/>
    <col min="86" max="86" width="9.88671875" style="3" customWidth="1"/>
    <col min="87" max="87" width="15.88671875" style="3" customWidth="1"/>
    <col min="88" max="88" width="12.88671875" style="3" customWidth="1"/>
    <col min="89" max="89" width="14.109375" style="3" customWidth="1"/>
    <col min="90" max="101" width="9" style="3"/>
    <col min="102" max="102" width="9.5546875" style="17" customWidth="1"/>
    <col min="103" max="103" width="12.44140625" style="3" customWidth="1"/>
    <col min="104" max="15067" width="9" style="3"/>
    <col min="15068" max="16384" width="9" style="300"/>
  </cols>
  <sheetData>
    <row r="1" spans="2:102" x14ac:dyDescent="0.3">
      <c r="B1" s="298"/>
    </row>
    <row r="2" spans="2:102" ht="17.399999999999999" x14ac:dyDescent="0.3">
      <c r="B2" s="327" t="s">
        <v>97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01"/>
    </row>
    <row r="3" spans="2:102" x14ac:dyDescent="0.3">
      <c r="B3" s="302"/>
    </row>
    <row r="4" spans="2:102" ht="15" thickBot="1" x14ac:dyDescent="0.35">
      <c r="C4" s="304"/>
      <c r="D4" s="299"/>
      <c r="Z4" s="90"/>
      <c r="AB4" s="90"/>
    </row>
    <row r="5" spans="2:102" ht="15" customHeight="1" x14ac:dyDescent="0.3">
      <c r="B5" s="333" t="s">
        <v>119</v>
      </c>
      <c r="C5" s="335" t="s">
        <v>120</v>
      </c>
      <c r="D5" s="337" t="s">
        <v>121</v>
      </c>
      <c r="E5" s="339" t="s">
        <v>122</v>
      </c>
      <c r="F5" s="328" t="s">
        <v>132</v>
      </c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30"/>
      <c r="AK5" s="331" t="s">
        <v>123</v>
      </c>
    </row>
    <row r="6" spans="2:102" x14ac:dyDescent="0.3">
      <c r="B6" s="334"/>
      <c r="C6" s="336"/>
      <c r="D6" s="338"/>
      <c r="E6" s="340"/>
      <c r="F6" s="84">
        <v>1</v>
      </c>
      <c r="G6" s="84">
        <v>2</v>
      </c>
      <c r="H6" s="84">
        <v>3</v>
      </c>
      <c r="I6" s="84">
        <v>4</v>
      </c>
      <c r="J6" s="84">
        <v>5</v>
      </c>
      <c r="K6" s="84">
        <v>6</v>
      </c>
      <c r="L6" s="84">
        <v>7</v>
      </c>
      <c r="M6" s="84">
        <v>8</v>
      </c>
      <c r="N6" s="84">
        <v>9</v>
      </c>
      <c r="O6" s="84">
        <v>10</v>
      </c>
      <c r="P6" s="84">
        <v>11</v>
      </c>
      <c r="Q6" s="84">
        <v>12</v>
      </c>
      <c r="R6" s="84">
        <v>13</v>
      </c>
      <c r="S6" s="84">
        <v>14</v>
      </c>
      <c r="T6" s="84">
        <v>15</v>
      </c>
      <c r="U6" s="84">
        <v>16</v>
      </c>
      <c r="V6" s="84">
        <v>17</v>
      </c>
      <c r="W6" s="84">
        <v>18</v>
      </c>
      <c r="X6" s="84">
        <v>19</v>
      </c>
      <c r="Y6" s="84">
        <v>20</v>
      </c>
      <c r="Z6" s="84">
        <v>21</v>
      </c>
      <c r="AA6" s="84">
        <v>22</v>
      </c>
      <c r="AB6" s="84">
        <v>23</v>
      </c>
      <c r="AC6" s="84">
        <v>24</v>
      </c>
      <c r="AD6" s="84">
        <v>25</v>
      </c>
      <c r="AE6" s="84">
        <v>26</v>
      </c>
      <c r="AF6" s="84">
        <v>27</v>
      </c>
      <c r="AG6" s="85">
        <v>28</v>
      </c>
      <c r="AH6" s="85">
        <v>29</v>
      </c>
      <c r="AI6" s="86">
        <v>30</v>
      </c>
      <c r="AK6" s="332"/>
    </row>
    <row r="7" spans="2:102" x14ac:dyDescent="0.3">
      <c r="B7" s="87">
        <v>1</v>
      </c>
      <c r="C7" s="72" t="s">
        <v>96</v>
      </c>
      <c r="D7" s="88"/>
      <c r="E7" s="19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89"/>
      <c r="AD7" s="6"/>
      <c r="AE7" s="6"/>
      <c r="AF7" s="6"/>
      <c r="AG7" s="53"/>
      <c r="AH7" s="53"/>
      <c r="AI7" s="61"/>
      <c r="AJ7" s="90"/>
      <c r="AK7" s="91" t="s">
        <v>95</v>
      </c>
    </row>
    <row r="8" spans="2:102" x14ac:dyDescent="0.3">
      <c r="B8" s="70"/>
      <c r="C8" s="92" t="s">
        <v>18</v>
      </c>
      <c r="D8" s="93"/>
      <c r="E8" s="94"/>
      <c r="F8" s="95"/>
      <c r="G8" s="96"/>
      <c r="H8" s="95"/>
      <c r="I8" s="95"/>
      <c r="J8" s="97"/>
      <c r="K8" s="95"/>
      <c r="L8" s="95"/>
      <c r="M8" s="95"/>
      <c r="N8" s="95"/>
      <c r="O8" s="95"/>
      <c r="P8" s="95"/>
      <c r="Q8" s="95"/>
      <c r="R8" s="95"/>
      <c r="S8" s="95"/>
      <c r="T8" s="97"/>
      <c r="U8" s="98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9"/>
      <c r="AH8" s="99"/>
      <c r="AI8" s="100"/>
      <c r="AJ8" s="90"/>
      <c r="AK8" s="101" t="s">
        <v>18</v>
      </c>
    </row>
    <row r="9" spans="2:102" x14ac:dyDescent="0.3">
      <c r="B9" s="70"/>
      <c r="C9" s="75" t="s">
        <v>94</v>
      </c>
      <c r="D9" s="102"/>
      <c r="E9" s="103" t="s">
        <v>93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51">
        <v>1</v>
      </c>
      <c r="AH9" s="51">
        <v>1</v>
      </c>
      <c r="AI9" s="22">
        <v>1</v>
      </c>
      <c r="AJ9" s="90"/>
      <c r="AK9" s="104">
        <f>SUM(F9:AI9)</f>
        <v>30</v>
      </c>
    </row>
    <row r="10" spans="2:102" x14ac:dyDescent="0.3">
      <c r="B10" s="70"/>
      <c r="C10" s="75" t="s">
        <v>127</v>
      </c>
      <c r="D10" s="102"/>
      <c r="E10" s="5" t="s">
        <v>29</v>
      </c>
      <c r="F10" s="10">
        <f>F11/2200/1000*100</f>
        <v>82.516909090909081</v>
      </c>
      <c r="G10" s="10">
        <f t="shared" ref="G10:AI10" si="0">G11/2200/1000*100</f>
        <v>86.490681818181812</v>
      </c>
      <c r="H10" s="10">
        <f t="shared" si="0"/>
        <v>84.611363636363635</v>
      </c>
      <c r="I10" s="10">
        <f t="shared" si="0"/>
        <v>73.096954545454551</v>
      </c>
      <c r="J10" s="10">
        <f>J11/2200/1000*100</f>
        <v>69.569454545454548</v>
      </c>
      <c r="K10" s="10">
        <f t="shared" si="0"/>
        <v>67.460727272727269</v>
      </c>
      <c r="L10" s="10">
        <f t="shared" si="0"/>
        <v>76.185181818181817</v>
      </c>
      <c r="M10" s="10">
        <f t="shared" si="0"/>
        <v>54.887681818181818</v>
      </c>
      <c r="N10" s="10">
        <f t="shared" si="0"/>
        <v>63.799772727272732</v>
      </c>
      <c r="O10" s="10">
        <f t="shared" si="0"/>
        <v>51.291772727272722</v>
      </c>
      <c r="P10" s="10">
        <f t="shared" si="0"/>
        <v>46.559090909090905</v>
      </c>
      <c r="Q10" s="10">
        <f t="shared" si="0"/>
        <v>38.00445454545455</v>
      </c>
      <c r="R10" s="10">
        <f t="shared" si="0"/>
        <v>67.418545454545452</v>
      </c>
      <c r="S10" s="10">
        <f t="shared" si="0"/>
        <v>55.989136363636362</v>
      </c>
      <c r="T10" s="10">
        <f t="shared" si="0"/>
        <v>64.988500000000002</v>
      </c>
      <c r="U10" s="10">
        <f t="shared" si="0"/>
        <v>68.75836363636364</v>
      </c>
      <c r="V10" s="10">
        <f t="shared" si="0"/>
        <v>72.6249090909091</v>
      </c>
      <c r="W10" s="10">
        <f t="shared" si="0"/>
        <v>77.663045454545454</v>
      </c>
      <c r="X10" s="10">
        <f t="shared" si="0"/>
        <v>77.719681818181812</v>
      </c>
      <c r="Y10" s="10">
        <f t="shared" si="0"/>
        <v>65.383409090909097</v>
      </c>
      <c r="Z10" s="10">
        <f t="shared" si="0"/>
        <v>73.821954545454545</v>
      </c>
      <c r="AA10" s="10">
        <f t="shared" si="0"/>
        <v>71.839090909090913</v>
      </c>
      <c r="AB10" s="10">
        <f t="shared" si="0"/>
        <v>82.650409090909093</v>
      </c>
      <c r="AC10" s="10">
        <f t="shared" si="0"/>
        <v>81.754499999999993</v>
      </c>
      <c r="AD10" s="10">
        <f t="shared" si="0"/>
        <v>71.271863636363648</v>
      </c>
      <c r="AE10" s="10">
        <f t="shared" si="0"/>
        <v>62.766363636363629</v>
      </c>
      <c r="AF10" s="10">
        <f t="shared" si="0"/>
        <v>58.134819105611335</v>
      </c>
      <c r="AG10" s="10">
        <f>AG11/2200/1000*100</f>
        <v>27.366</v>
      </c>
      <c r="AH10" s="10">
        <f t="shared" si="0"/>
        <v>14.555000000000001</v>
      </c>
      <c r="AI10" s="21">
        <f t="shared" si="0"/>
        <v>53.17649999999999</v>
      </c>
      <c r="AJ10" s="90"/>
      <c r="AK10" s="154">
        <f>AVERAGE(F10:AI10)</f>
        <v>64.745204576247644</v>
      </c>
    </row>
    <row r="11" spans="2:102" s="3" customFormat="1" ht="13.8" x14ac:dyDescent="0.25">
      <c r="B11" s="70"/>
      <c r="C11" s="105" t="s">
        <v>113</v>
      </c>
      <c r="D11" s="106">
        <v>65100000</v>
      </c>
      <c r="E11" s="107" t="s">
        <v>16</v>
      </c>
      <c r="F11" s="108">
        <v>1815372</v>
      </c>
      <c r="G11" s="108">
        <v>1902795</v>
      </c>
      <c r="H11" s="108">
        <v>1861450</v>
      </c>
      <c r="I11" s="108">
        <v>1608133</v>
      </c>
      <c r="J11" s="108">
        <v>1530528</v>
      </c>
      <c r="K11" s="108">
        <v>1484136</v>
      </c>
      <c r="L11" s="108">
        <v>1676074</v>
      </c>
      <c r="M11" s="108">
        <v>1207529</v>
      </c>
      <c r="N11" s="108">
        <v>1403595</v>
      </c>
      <c r="O11" s="108">
        <v>1128419</v>
      </c>
      <c r="P11" s="108">
        <v>1024300</v>
      </c>
      <c r="Q11" s="108">
        <v>836098</v>
      </c>
      <c r="R11" s="108">
        <v>1483208</v>
      </c>
      <c r="S11" s="108">
        <v>1231761</v>
      </c>
      <c r="T11" s="108">
        <v>1429747</v>
      </c>
      <c r="U11" s="108">
        <v>1512684</v>
      </c>
      <c r="V11" s="108">
        <v>1597748</v>
      </c>
      <c r="W11" s="108">
        <v>1708587</v>
      </c>
      <c r="X11" s="108">
        <v>1709833</v>
      </c>
      <c r="Y11" s="108">
        <v>1438435</v>
      </c>
      <c r="Z11" s="108">
        <v>1624083</v>
      </c>
      <c r="AA11" s="108">
        <v>1580460</v>
      </c>
      <c r="AB11" s="108">
        <v>1818309</v>
      </c>
      <c r="AC11" s="108">
        <v>1798599</v>
      </c>
      <c r="AD11" s="108">
        <v>1567981</v>
      </c>
      <c r="AE11" s="108">
        <v>1380860</v>
      </c>
      <c r="AF11" s="108">
        <v>1278966.0203234495</v>
      </c>
      <c r="AG11" s="109">
        <v>602052</v>
      </c>
      <c r="AH11" s="109">
        <v>320210</v>
      </c>
      <c r="AI11" s="110">
        <v>1169883</v>
      </c>
      <c r="AK11" s="111">
        <f>SUM(F11:AI11)</f>
        <v>42731835.020323448</v>
      </c>
      <c r="BQ11" s="305"/>
      <c r="CX11" s="306"/>
    </row>
    <row r="12" spans="2:102" s="3" customFormat="1" ht="13.8" x14ac:dyDescent="0.25">
      <c r="B12" s="70"/>
      <c r="C12" s="105" t="s">
        <v>114</v>
      </c>
      <c r="D12" s="106"/>
      <c r="E12" s="107" t="s">
        <v>16</v>
      </c>
      <c r="F12" s="108">
        <f t="shared" ref="F12:AH12" si="1">F11-F29-F34</f>
        <v>1815372</v>
      </c>
      <c r="G12" s="108">
        <f>G11-G29-G34</f>
        <v>1902795</v>
      </c>
      <c r="H12" s="108">
        <f t="shared" si="1"/>
        <v>1861450</v>
      </c>
      <c r="I12" s="108">
        <f t="shared" si="1"/>
        <v>1608133</v>
      </c>
      <c r="J12" s="108">
        <f t="shared" si="1"/>
        <v>1530528</v>
      </c>
      <c r="K12" s="108">
        <f t="shared" si="1"/>
        <v>1320758.3172787712</v>
      </c>
      <c r="L12" s="108">
        <f t="shared" si="1"/>
        <v>1032481.5385201348</v>
      </c>
      <c r="M12" s="108">
        <f t="shared" si="1"/>
        <v>741101.64396741474</v>
      </c>
      <c r="N12" s="108">
        <f t="shared" si="1"/>
        <v>466729.15207565669</v>
      </c>
      <c r="O12" s="108">
        <f t="shared" si="1"/>
        <v>250311.06718051829</v>
      </c>
      <c r="P12" s="108">
        <f t="shared" si="1"/>
        <v>353124.43825595663</v>
      </c>
      <c r="Q12" s="108">
        <f t="shared" si="1"/>
        <v>481547.09252138593</v>
      </c>
      <c r="R12" s="108">
        <f t="shared" si="1"/>
        <v>1483208</v>
      </c>
      <c r="S12" s="108">
        <f>S11-S29-S34</f>
        <v>1231761</v>
      </c>
      <c r="T12" s="108">
        <f>T11-T29-T34</f>
        <v>1429747</v>
      </c>
      <c r="U12" s="108">
        <f>U11-U29-U34</f>
        <v>1512684</v>
      </c>
      <c r="V12" s="108">
        <f>V11-V29-V34</f>
        <v>1597748</v>
      </c>
      <c r="W12" s="108">
        <f t="shared" si="1"/>
        <v>1708587</v>
      </c>
      <c r="X12" s="108">
        <f t="shared" si="1"/>
        <v>1130835.3400345366</v>
      </c>
      <c r="Y12" s="108">
        <f t="shared" si="1"/>
        <v>574431.56411616155</v>
      </c>
      <c r="Z12" s="108">
        <f t="shared" si="1"/>
        <v>458916.72261499916</v>
      </c>
      <c r="AA12" s="108">
        <f t="shared" si="1"/>
        <v>759429.67048103455</v>
      </c>
      <c r="AB12" s="108">
        <f t="shared" si="1"/>
        <v>1193142.502526006</v>
      </c>
      <c r="AC12" s="108">
        <f t="shared" si="1"/>
        <v>1798599</v>
      </c>
      <c r="AD12" s="108">
        <f t="shared" si="1"/>
        <v>1181156.6301284372</v>
      </c>
      <c r="AE12" s="108">
        <f t="shared" si="1"/>
        <v>753873.52285852795</v>
      </c>
      <c r="AF12" s="108">
        <f t="shared" si="1"/>
        <v>543298.74249003024</v>
      </c>
      <c r="AG12" s="108">
        <f t="shared" si="1"/>
        <v>151561.5660131714</v>
      </c>
      <c r="AH12" s="108">
        <f t="shared" si="1"/>
        <v>21648.14430162363</v>
      </c>
      <c r="AI12" s="110">
        <f>AI11-AI29-AI34</f>
        <v>1169883</v>
      </c>
      <c r="AK12" s="112">
        <f>SUM(F12:AI12)</f>
        <v>32064842.655364364</v>
      </c>
      <c r="CX12" s="306"/>
    </row>
    <row r="13" spans="2:102" s="3" customFormat="1" ht="13.8" x14ac:dyDescent="0.25">
      <c r="B13" s="70"/>
      <c r="C13" s="105" t="s">
        <v>115</v>
      </c>
      <c r="D13" s="106"/>
      <c r="E13" s="107" t="s">
        <v>16</v>
      </c>
      <c r="F13" s="108">
        <f>F29+F34</f>
        <v>0</v>
      </c>
      <c r="G13" s="108">
        <f>G29+G34</f>
        <v>0</v>
      </c>
      <c r="H13" s="108">
        <f t="shared" ref="H13:Y13" si="2">H29+H34</f>
        <v>0</v>
      </c>
      <c r="I13" s="108">
        <f t="shared" si="2"/>
        <v>0</v>
      </c>
      <c r="J13" s="108">
        <f t="shared" si="2"/>
        <v>0</v>
      </c>
      <c r="K13" s="108">
        <f t="shared" si="2"/>
        <v>163377.68272122892</v>
      </c>
      <c r="L13" s="108">
        <f t="shared" si="2"/>
        <v>643592.46147986525</v>
      </c>
      <c r="M13" s="108">
        <f t="shared" si="2"/>
        <v>466427.35603258532</v>
      </c>
      <c r="N13" s="108">
        <f t="shared" si="2"/>
        <v>936865.84792434331</v>
      </c>
      <c r="O13" s="108">
        <f>O29+O34</f>
        <v>878107.93281948171</v>
      </c>
      <c r="P13" s="108">
        <f t="shared" si="2"/>
        <v>671175.56174404337</v>
      </c>
      <c r="Q13" s="108">
        <f t="shared" si="2"/>
        <v>354550.90747861407</v>
      </c>
      <c r="R13" s="108">
        <f t="shared" si="2"/>
        <v>0</v>
      </c>
      <c r="S13" s="108">
        <f t="shared" si="2"/>
        <v>0</v>
      </c>
      <c r="T13" s="108">
        <f>T29+T34</f>
        <v>0</v>
      </c>
      <c r="U13" s="108">
        <f>U29+U34</f>
        <v>0</v>
      </c>
      <c r="V13" s="108">
        <f>V29+V34</f>
        <v>0</v>
      </c>
      <c r="W13" s="108">
        <f>W29+W34</f>
        <v>0</v>
      </c>
      <c r="X13" s="108">
        <f t="shared" si="2"/>
        <v>578997.65996546345</v>
      </c>
      <c r="Y13" s="108">
        <f t="shared" si="2"/>
        <v>864003.43588383845</v>
      </c>
      <c r="Z13" s="108">
        <f>Z29+Z34</f>
        <v>1165166.2773850008</v>
      </c>
      <c r="AA13" s="108">
        <f>AA29+AA34</f>
        <v>821030.32951896556</v>
      </c>
      <c r="AB13" s="108">
        <f t="shared" ref="AB13:AH13" si="3">AB29+AB34</f>
        <v>625166.49747399404</v>
      </c>
      <c r="AC13" s="108">
        <f t="shared" si="3"/>
        <v>0</v>
      </c>
      <c r="AD13" s="108">
        <f t="shared" si="3"/>
        <v>386824.3698715627</v>
      </c>
      <c r="AE13" s="108">
        <f t="shared" si="3"/>
        <v>626986.47714147205</v>
      </c>
      <c r="AF13" s="108">
        <f t="shared" si="3"/>
        <v>735667.27783341927</v>
      </c>
      <c r="AG13" s="108">
        <f t="shared" si="3"/>
        <v>450490.43398682855</v>
      </c>
      <c r="AH13" s="108">
        <f t="shared" si="3"/>
        <v>298561.85569837637</v>
      </c>
      <c r="AI13" s="110">
        <f>AI29+AI34</f>
        <v>0</v>
      </c>
      <c r="AK13" s="112">
        <f>SUM(F13:AI13)</f>
        <v>10666992.364959083</v>
      </c>
      <c r="CX13" s="306"/>
    </row>
    <row r="14" spans="2:102" s="3" customFormat="1" ht="13.8" x14ac:dyDescent="0.25">
      <c r="B14" s="70"/>
      <c r="C14" s="71" t="s">
        <v>92</v>
      </c>
      <c r="D14" s="15">
        <v>5</v>
      </c>
      <c r="E14" s="5" t="s">
        <v>29</v>
      </c>
      <c r="F14" s="4">
        <v>4.03</v>
      </c>
      <c r="G14" s="4">
        <v>4.2</v>
      </c>
      <c r="H14" s="4">
        <v>4.3600000000000003</v>
      </c>
      <c r="I14" s="4">
        <v>4.53</v>
      </c>
      <c r="J14" s="4">
        <v>4.5</v>
      </c>
      <c r="K14" s="59">
        <v>4.7</v>
      </c>
      <c r="L14" s="4">
        <v>4.16</v>
      </c>
      <c r="M14" s="4">
        <v>3.97</v>
      </c>
      <c r="N14" s="4">
        <v>4</v>
      </c>
      <c r="O14" s="4">
        <v>4.09</v>
      </c>
      <c r="P14" s="4">
        <v>4.01</v>
      </c>
      <c r="Q14" s="4">
        <v>4.08</v>
      </c>
      <c r="R14" s="4">
        <v>4.2</v>
      </c>
      <c r="S14" s="59">
        <v>4.1500000000000004</v>
      </c>
      <c r="T14" s="4">
        <v>4.2</v>
      </c>
      <c r="U14" s="4">
        <v>4.18</v>
      </c>
      <c r="V14" s="4">
        <v>4.0599999999999996</v>
      </c>
      <c r="W14" s="4">
        <v>4.0999999999999996</v>
      </c>
      <c r="X14" s="4">
        <v>4.1900000000000004</v>
      </c>
      <c r="Y14" s="4">
        <v>4.2</v>
      </c>
      <c r="Z14" s="4">
        <v>4.01</v>
      </c>
      <c r="AA14" s="4">
        <v>3.96</v>
      </c>
      <c r="AB14" s="4">
        <v>4.0199999999999996</v>
      </c>
      <c r="AC14" s="4">
        <v>3.96</v>
      </c>
      <c r="AD14" s="4">
        <v>4.2</v>
      </c>
      <c r="AE14" s="4">
        <v>4.01</v>
      </c>
      <c r="AF14" s="4">
        <v>4.1500000000000004</v>
      </c>
      <c r="AG14" s="113">
        <v>4.2300000000000004</v>
      </c>
      <c r="AH14" s="113">
        <v>4.2699999999999996</v>
      </c>
      <c r="AI14" s="114">
        <v>4.08</v>
      </c>
      <c r="AK14" s="115">
        <f>AVERAGE(F14:AI14)</f>
        <v>4.16</v>
      </c>
      <c r="CX14" s="17"/>
    </row>
    <row r="15" spans="2:102" s="3" customFormat="1" ht="13.8" x14ac:dyDescent="0.25">
      <c r="B15" s="70"/>
      <c r="C15" s="71" t="s">
        <v>91</v>
      </c>
      <c r="D15" s="15">
        <v>0.5</v>
      </c>
      <c r="E15" s="5" t="s">
        <v>29</v>
      </c>
      <c r="F15" s="4">
        <v>0.41</v>
      </c>
      <c r="G15" s="4">
        <v>0.41</v>
      </c>
      <c r="H15" s="4">
        <v>0.44</v>
      </c>
      <c r="I15" s="4">
        <v>0.41</v>
      </c>
      <c r="J15" s="4">
        <v>0.4</v>
      </c>
      <c r="K15" s="59">
        <v>0.44</v>
      </c>
      <c r="L15" s="4">
        <v>0.43</v>
      </c>
      <c r="M15" s="4">
        <v>0.42</v>
      </c>
      <c r="N15" s="4">
        <v>0.42</v>
      </c>
      <c r="O15" s="4">
        <v>0.42</v>
      </c>
      <c r="P15" s="4">
        <v>0.4</v>
      </c>
      <c r="Q15" s="4">
        <v>0.41</v>
      </c>
      <c r="R15" s="4">
        <v>0.41</v>
      </c>
      <c r="S15" s="59">
        <v>0.4</v>
      </c>
      <c r="T15" s="4">
        <v>0.44</v>
      </c>
      <c r="U15" s="4">
        <v>0.43</v>
      </c>
      <c r="V15" s="4">
        <v>0.43</v>
      </c>
      <c r="W15" s="4">
        <v>0.41</v>
      </c>
      <c r="X15" s="4">
        <v>0.44</v>
      </c>
      <c r="Y15" s="4">
        <v>0.41</v>
      </c>
      <c r="Z15" s="4">
        <v>0.41</v>
      </c>
      <c r="AA15" s="4">
        <v>0.41</v>
      </c>
      <c r="AB15" s="4">
        <v>0.44</v>
      </c>
      <c r="AC15" s="4">
        <v>0.4</v>
      </c>
      <c r="AD15" s="4">
        <v>0.46</v>
      </c>
      <c r="AE15" s="4">
        <v>0.45</v>
      </c>
      <c r="AF15" s="4">
        <v>0.44</v>
      </c>
      <c r="AG15" s="113">
        <v>0.45</v>
      </c>
      <c r="AH15" s="113">
        <v>0.42</v>
      </c>
      <c r="AI15" s="114">
        <v>0.41</v>
      </c>
      <c r="AK15" s="115">
        <f>AVERAGE(F15:AI15)</f>
        <v>0.42233333333333334</v>
      </c>
      <c r="BQ15" s="305"/>
      <c r="CX15" s="306"/>
    </row>
    <row r="16" spans="2:102" s="3" customFormat="1" ht="13.8" x14ac:dyDescent="0.25">
      <c r="B16" s="70"/>
      <c r="C16" s="71" t="s">
        <v>90</v>
      </c>
      <c r="D16" s="116" t="s">
        <v>89</v>
      </c>
      <c r="E16" s="5" t="s">
        <v>29</v>
      </c>
      <c r="F16" s="4">
        <v>2.21</v>
      </c>
      <c r="G16" s="4">
        <v>2.21</v>
      </c>
      <c r="H16" s="4">
        <v>2.21</v>
      </c>
      <c r="I16" s="4">
        <v>2.21</v>
      </c>
      <c r="J16" s="4">
        <v>2.21</v>
      </c>
      <c r="K16" s="3">
        <v>2.2200000000000002</v>
      </c>
      <c r="L16" s="4">
        <v>2.21</v>
      </c>
      <c r="M16" s="4">
        <v>2.2200000000000002</v>
      </c>
      <c r="N16" s="4">
        <v>2.2200000000000002</v>
      </c>
      <c r="O16" s="4">
        <v>2.2200000000000002</v>
      </c>
      <c r="P16" s="4">
        <v>2.21</v>
      </c>
      <c r="Q16" s="4">
        <v>2.21</v>
      </c>
      <c r="R16" s="4">
        <v>2.2200000000000002</v>
      </c>
      <c r="S16" s="3">
        <v>2.21</v>
      </c>
      <c r="T16" s="4">
        <v>0.21</v>
      </c>
      <c r="U16" s="4">
        <v>2.2200000000000002</v>
      </c>
      <c r="V16" s="4">
        <v>2.2200000000000002</v>
      </c>
      <c r="W16" s="4">
        <v>2.21</v>
      </c>
      <c r="X16" s="4">
        <v>2.21</v>
      </c>
      <c r="Y16" s="4">
        <v>2.21</v>
      </c>
      <c r="Z16" s="4">
        <v>2.21</v>
      </c>
      <c r="AA16" s="4">
        <v>2.2200000000000002</v>
      </c>
      <c r="AB16" s="4">
        <v>2.21</v>
      </c>
      <c r="AC16" s="4">
        <v>2.2200000000000002</v>
      </c>
      <c r="AD16" s="4">
        <v>2.21</v>
      </c>
      <c r="AE16" s="4">
        <v>2.2200000000000002</v>
      </c>
      <c r="AF16" s="4">
        <v>2.21</v>
      </c>
      <c r="AG16" s="113">
        <v>2.21</v>
      </c>
      <c r="AH16" s="113">
        <v>2.2200000000000002</v>
      </c>
      <c r="AI16" s="114">
        <v>2.21</v>
      </c>
      <c r="AK16" s="115">
        <f>AVERAGE(F16:AI16)</f>
        <v>2.1469999999999998</v>
      </c>
      <c r="CX16" s="306"/>
    </row>
    <row r="17" spans="1:15115" s="3" customFormat="1" x14ac:dyDescent="0.3">
      <c r="B17" s="70"/>
      <c r="C17" s="117" t="s">
        <v>88</v>
      </c>
      <c r="D17" s="118"/>
      <c r="E17" s="11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51"/>
      <c r="AH17" s="51"/>
      <c r="AI17" s="22"/>
      <c r="AJ17" s="120"/>
      <c r="AK17" s="121" t="s">
        <v>88</v>
      </c>
      <c r="CX17" s="306"/>
    </row>
    <row r="18" spans="1:15115" s="3" customFormat="1" x14ac:dyDescent="0.3">
      <c r="B18" s="122"/>
      <c r="C18" s="123" t="s">
        <v>87</v>
      </c>
      <c r="D18" s="106">
        <f>D41%*D11</f>
        <v>61324200.000000007</v>
      </c>
      <c r="E18" s="26" t="s">
        <v>16</v>
      </c>
      <c r="F18" s="108">
        <v>1733171</v>
      </c>
      <c r="G18" s="108">
        <v>1818973</v>
      </c>
      <c r="H18" s="108">
        <v>1764823</v>
      </c>
      <c r="I18" s="108">
        <v>1517474</v>
      </c>
      <c r="J18" s="108">
        <v>1449901</v>
      </c>
      <c r="K18" s="108">
        <v>1394370</v>
      </c>
      <c r="L18" s="108">
        <v>1585820</v>
      </c>
      <c r="M18" s="108">
        <v>1139039</v>
      </c>
      <c r="N18" s="108">
        <v>1331699</v>
      </c>
      <c r="O18" s="108">
        <v>1072424</v>
      </c>
      <c r="P18" s="108">
        <v>972774</v>
      </c>
      <c r="Q18" s="108">
        <v>791644</v>
      </c>
      <c r="R18" s="108">
        <v>1413014</v>
      </c>
      <c r="S18" s="108">
        <v>1176200</v>
      </c>
      <c r="T18" s="108">
        <v>1363630</v>
      </c>
      <c r="U18" s="108">
        <v>1445636</v>
      </c>
      <c r="V18" s="108">
        <v>1521734</v>
      </c>
      <c r="W18" s="108">
        <v>1625919</v>
      </c>
      <c r="X18" s="108">
        <v>1630566.9731711128</v>
      </c>
      <c r="Y18" s="108">
        <v>1370918</v>
      </c>
      <c r="Z18" s="108">
        <v>1553776.9392476613</v>
      </c>
      <c r="AA18" s="108">
        <v>1511408.1387519974</v>
      </c>
      <c r="AB18" s="108">
        <v>1733310.1644691816</v>
      </c>
      <c r="AC18" s="108">
        <v>1723643</v>
      </c>
      <c r="AD18" s="108">
        <v>1496606</v>
      </c>
      <c r="AE18" s="108">
        <v>1309905</v>
      </c>
      <c r="AF18" s="108">
        <v>1225058.6713903386</v>
      </c>
      <c r="AG18" s="109">
        <v>577612</v>
      </c>
      <c r="AH18" s="109">
        <v>306289</v>
      </c>
      <c r="AI18" s="110">
        <v>1116969.2997281488</v>
      </c>
      <c r="AK18" s="111">
        <f>SUM(F18:AI18)</f>
        <v>40674308.186758436</v>
      </c>
      <c r="AL18" s="90"/>
      <c r="CX18" s="17"/>
      <c r="VGQ18" s="300"/>
      <c r="VGR18" s="300"/>
      <c r="VGS18" s="300"/>
      <c r="VGT18" s="300"/>
      <c r="VGU18" s="300"/>
      <c r="VGV18" s="300"/>
      <c r="VGW18" s="300"/>
      <c r="VGX18" s="300"/>
      <c r="VGY18" s="300"/>
      <c r="VGZ18" s="300"/>
      <c r="VHA18" s="300"/>
      <c r="VHB18" s="300"/>
      <c r="VHC18" s="300"/>
      <c r="VHD18" s="300"/>
      <c r="VHE18" s="300"/>
      <c r="VHF18" s="300"/>
      <c r="VHG18" s="300"/>
      <c r="VHH18" s="300"/>
      <c r="VHI18" s="300"/>
      <c r="VHJ18" s="300"/>
      <c r="VHK18" s="300"/>
      <c r="VHL18" s="300"/>
      <c r="VHM18" s="300"/>
      <c r="VHN18" s="300"/>
      <c r="VHO18" s="300"/>
      <c r="VHP18" s="300"/>
      <c r="VHQ18" s="300"/>
      <c r="VHR18" s="300"/>
      <c r="VHS18" s="300"/>
      <c r="VHT18" s="300"/>
      <c r="VHU18" s="300"/>
      <c r="VHV18" s="300"/>
      <c r="VHW18" s="300"/>
      <c r="VHX18" s="300"/>
      <c r="VHY18" s="300"/>
      <c r="VHZ18" s="300"/>
      <c r="VIA18" s="300"/>
      <c r="VIB18" s="300"/>
      <c r="VIC18" s="300"/>
      <c r="VID18" s="300"/>
      <c r="VIE18" s="300"/>
      <c r="VIF18" s="300"/>
      <c r="VIG18" s="300"/>
      <c r="VIH18" s="300"/>
      <c r="VII18" s="300"/>
    </row>
    <row r="19" spans="1:15115" s="3" customFormat="1" x14ac:dyDescent="0.3">
      <c r="B19" s="122"/>
      <c r="C19" s="123" t="s">
        <v>73</v>
      </c>
      <c r="D19" s="106">
        <f>D42%*D11</f>
        <v>3255000</v>
      </c>
      <c r="E19" s="26" t="s">
        <v>16</v>
      </c>
      <c r="F19" s="108">
        <v>68846</v>
      </c>
      <c r="G19" s="108">
        <v>70626</v>
      </c>
      <c r="H19" s="108">
        <v>83065</v>
      </c>
      <c r="I19" s="108">
        <v>79366</v>
      </c>
      <c r="J19" s="108">
        <v>69384</v>
      </c>
      <c r="K19" s="108">
        <v>78318</v>
      </c>
      <c r="L19" s="108">
        <v>77838</v>
      </c>
      <c r="M19" s="108">
        <v>59950</v>
      </c>
      <c r="N19" s="108">
        <v>61311</v>
      </c>
      <c r="O19" s="108">
        <v>47630</v>
      </c>
      <c r="P19" s="108">
        <v>44131</v>
      </c>
      <c r="Q19" s="108">
        <v>38282</v>
      </c>
      <c r="R19" s="108">
        <v>59781</v>
      </c>
      <c r="S19" s="108">
        <v>46364.288710687833</v>
      </c>
      <c r="T19" s="108">
        <v>56082.001731005847</v>
      </c>
      <c r="U19" s="108">
        <v>55918.13873850758</v>
      </c>
      <c r="V19" s="108">
        <v>63489</v>
      </c>
      <c r="W19" s="108">
        <v>70399</v>
      </c>
      <c r="X19" s="108">
        <v>67389.748197042674</v>
      </c>
      <c r="Y19" s="108">
        <v>56983</v>
      </c>
      <c r="Z19" s="108">
        <v>58747.304479761631</v>
      </c>
      <c r="AA19" s="108">
        <v>57685.63034828403</v>
      </c>
      <c r="AB19" s="108">
        <v>73316</v>
      </c>
      <c r="AC19" s="108">
        <v>60867</v>
      </c>
      <c r="AD19" s="108">
        <v>59419</v>
      </c>
      <c r="AE19" s="108">
        <v>60344</v>
      </c>
      <c r="AF19" s="108">
        <v>44900.924595460703</v>
      </c>
      <c r="AG19" s="109">
        <v>19958.12419027579</v>
      </c>
      <c r="AH19" s="109">
        <v>11676.583313543408</v>
      </c>
      <c r="AI19" s="110">
        <v>44058.446534877468</v>
      </c>
      <c r="AK19" s="111">
        <f>SUM(F19:AI19)</f>
        <v>1746126.1908394468</v>
      </c>
      <c r="CX19" s="17"/>
      <c r="VGQ19" s="300"/>
      <c r="VGR19" s="300"/>
      <c r="VGS19" s="300"/>
      <c r="VGT19" s="300"/>
      <c r="VGU19" s="300"/>
      <c r="VGV19" s="300"/>
      <c r="VGW19" s="300"/>
      <c r="VGX19" s="300"/>
      <c r="VGY19" s="300"/>
      <c r="VGZ19" s="300"/>
      <c r="VHA19" s="300"/>
      <c r="VHB19" s="300"/>
      <c r="VHC19" s="300"/>
      <c r="VHD19" s="300"/>
      <c r="VHE19" s="300"/>
      <c r="VHF19" s="300"/>
      <c r="VHG19" s="300"/>
      <c r="VHH19" s="300"/>
      <c r="VHI19" s="300"/>
      <c r="VHJ19" s="300"/>
      <c r="VHK19" s="300"/>
      <c r="VHL19" s="300"/>
      <c r="VHM19" s="300"/>
      <c r="VHN19" s="300"/>
      <c r="VHO19" s="300"/>
      <c r="VHP19" s="300"/>
      <c r="VHQ19" s="300"/>
      <c r="VHR19" s="300"/>
      <c r="VHS19" s="300"/>
      <c r="VHT19" s="300"/>
      <c r="VHU19" s="300"/>
      <c r="VHV19" s="300"/>
      <c r="VHW19" s="300"/>
      <c r="VHX19" s="300"/>
      <c r="VHY19" s="300"/>
      <c r="VHZ19" s="300"/>
      <c r="VIA19" s="300"/>
      <c r="VIB19" s="300"/>
      <c r="VIC19" s="300"/>
      <c r="VID19" s="300"/>
      <c r="VIE19" s="300"/>
      <c r="VIF19" s="300"/>
      <c r="VIG19" s="300"/>
      <c r="VIH19" s="300"/>
      <c r="VII19" s="300"/>
    </row>
    <row r="20" spans="1:15115" x14ac:dyDescent="0.3">
      <c r="B20" s="122"/>
      <c r="C20" s="124" t="s">
        <v>86</v>
      </c>
      <c r="D20" s="125"/>
      <c r="E20" s="126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9"/>
      <c r="AH20" s="99"/>
      <c r="AI20" s="100"/>
      <c r="AK20" s="127" t="s">
        <v>72</v>
      </c>
    </row>
    <row r="21" spans="1:15115" s="3" customFormat="1" ht="13.8" x14ac:dyDescent="0.25">
      <c r="B21" s="122"/>
      <c r="C21" s="123" t="s">
        <v>85</v>
      </c>
      <c r="D21" s="128">
        <f>SUM(D22:D23)</f>
        <v>27546000</v>
      </c>
      <c r="E21" s="26" t="s">
        <v>16</v>
      </c>
      <c r="F21" s="108">
        <f>F22+F23</f>
        <v>1069329</v>
      </c>
      <c r="G21" s="108">
        <f t="shared" ref="G21:AI21" si="4">G22+G23</f>
        <v>1605862</v>
      </c>
      <c r="H21" s="108">
        <f t="shared" si="4"/>
        <v>1696938</v>
      </c>
      <c r="I21" s="108">
        <f t="shared" si="4"/>
        <v>1601902</v>
      </c>
      <c r="J21" s="108">
        <f t="shared" si="4"/>
        <v>929488</v>
      </c>
      <c r="K21" s="108">
        <f t="shared" si="4"/>
        <v>1258788</v>
      </c>
      <c r="L21" s="108">
        <f t="shared" si="4"/>
        <v>193808</v>
      </c>
      <c r="M21" s="108">
        <f t="shared" si="4"/>
        <v>815846</v>
      </c>
      <c r="N21" s="108">
        <f t="shared" si="4"/>
        <v>37725</v>
      </c>
      <c r="O21" s="108">
        <f t="shared" si="4"/>
        <v>0</v>
      </c>
      <c r="P21" s="108">
        <f t="shared" si="4"/>
        <v>364569.82</v>
      </c>
      <c r="Q21" s="108">
        <f t="shared" si="4"/>
        <v>970095</v>
      </c>
      <c r="R21" s="108">
        <f t="shared" si="4"/>
        <v>716772</v>
      </c>
      <c r="S21" s="108">
        <f t="shared" si="4"/>
        <v>0</v>
      </c>
      <c r="T21" s="108">
        <f t="shared" si="4"/>
        <v>0</v>
      </c>
      <c r="U21" s="108">
        <f t="shared" si="4"/>
        <v>0</v>
      </c>
      <c r="V21" s="108">
        <f t="shared" si="4"/>
        <v>0</v>
      </c>
      <c r="W21" s="108">
        <f t="shared" si="4"/>
        <v>0</v>
      </c>
      <c r="X21" s="108">
        <f t="shared" si="4"/>
        <v>0</v>
      </c>
      <c r="Y21" s="108">
        <f t="shared" si="4"/>
        <v>558998</v>
      </c>
      <c r="Z21" s="108">
        <f t="shared" si="4"/>
        <v>0</v>
      </c>
      <c r="AA21" s="108">
        <f t="shared" si="4"/>
        <v>0</v>
      </c>
      <c r="AB21" s="108">
        <f t="shared" si="4"/>
        <v>783715.54014016921</v>
      </c>
      <c r="AC21" s="108">
        <f t="shared" si="4"/>
        <v>1829762</v>
      </c>
      <c r="AD21" s="108">
        <f t="shared" si="4"/>
        <v>1388348</v>
      </c>
      <c r="AE21" s="108">
        <f t="shared" si="4"/>
        <v>0</v>
      </c>
      <c r="AF21" s="108">
        <f t="shared" si="4"/>
        <v>0</v>
      </c>
      <c r="AG21" s="108">
        <f t="shared" si="4"/>
        <v>0</v>
      </c>
      <c r="AH21" s="108">
        <f t="shared" si="4"/>
        <v>624536</v>
      </c>
      <c r="AI21" s="110">
        <f t="shared" si="4"/>
        <v>1375786.8771444289</v>
      </c>
      <c r="AK21" s="111">
        <f>SUM(F21:AI21)</f>
        <v>17822269.237284597</v>
      </c>
      <c r="CX21" s="306"/>
    </row>
    <row r="22" spans="1:15115" x14ac:dyDescent="0.3">
      <c r="B22" s="122"/>
      <c r="C22" s="123" t="s">
        <v>84</v>
      </c>
      <c r="D22" s="128">
        <v>22588000</v>
      </c>
      <c r="E22" s="26" t="s">
        <v>16</v>
      </c>
      <c r="F22" s="108">
        <v>877198</v>
      </c>
      <c r="G22" s="108">
        <v>1316945</v>
      </c>
      <c r="H22" s="108">
        <v>1391874</v>
      </c>
      <c r="I22" s="108">
        <v>1313953</v>
      </c>
      <c r="J22" s="108">
        <v>762918</v>
      </c>
      <c r="K22" s="108">
        <f>1158328-115146</f>
        <v>1043182</v>
      </c>
      <c r="L22" s="108">
        <v>148527</v>
      </c>
      <c r="M22" s="108">
        <v>669590</v>
      </c>
      <c r="N22" s="108">
        <v>31879</v>
      </c>
      <c r="O22" s="108"/>
      <c r="P22" s="108">
        <v>294269</v>
      </c>
      <c r="Q22" s="108">
        <v>795780</v>
      </c>
      <c r="R22" s="108">
        <v>587799</v>
      </c>
      <c r="S22" s="108"/>
      <c r="T22" s="108"/>
      <c r="U22" s="108"/>
      <c r="V22" s="108"/>
      <c r="W22" s="108"/>
      <c r="X22" s="108"/>
      <c r="Y22" s="108">
        <v>458543</v>
      </c>
      <c r="Z22" s="108"/>
      <c r="AA22" s="108"/>
      <c r="AB22" s="108">
        <v>642728.54014016921</v>
      </c>
      <c r="AC22" s="108">
        <v>1500513</v>
      </c>
      <c r="AD22" s="108">
        <v>1138749</v>
      </c>
      <c r="AE22" s="108"/>
      <c r="AF22" s="108"/>
      <c r="AG22" s="109"/>
      <c r="AH22" s="109">
        <v>504093</v>
      </c>
      <c r="AI22" s="110">
        <v>1111727.8771444289</v>
      </c>
      <c r="AK22" s="111">
        <f>SUM(F22:AI22)</f>
        <v>14590268.417284597</v>
      </c>
    </row>
    <row r="23" spans="1:15115" x14ac:dyDescent="0.3">
      <c r="B23" s="122"/>
      <c r="C23" s="123" t="s">
        <v>83</v>
      </c>
      <c r="D23" s="128">
        <v>4958000</v>
      </c>
      <c r="E23" s="26" t="s">
        <v>16</v>
      </c>
      <c r="F23" s="129">
        <v>192131</v>
      </c>
      <c r="G23" s="129">
        <v>288917</v>
      </c>
      <c r="H23" s="129">
        <v>305064</v>
      </c>
      <c r="I23" s="129">
        <v>287949</v>
      </c>
      <c r="J23" s="129">
        <f>232970-66400</f>
        <v>166570</v>
      </c>
      <c r="K23" s="129">
        <f>253956-38350</f>
        <v>215606</v>
      </c>
      <c r="L23" s="129">
        <f>197481-152200</f>
        <v>45281</v>
      </c>
      <c r="M23" s="129">
        <f>255456-109200</f>
        <v>146256</v>
      </c>
      <c r="N23" s="129">
        <v>5846</v>
      </c>
      <c r="O23" s="129"/>
      <c r="P23" s="129">
        <v>70300.820000000007</v>
      </c>
      <c r="Q23" s="129">
        <v>174315</v>
      </c>
      <c r="R23" s="129">
        <v>128973</v>
      </c>
      <c r="S23" s="129"/>
      <c r="T23" s="129"/>
      <c r="U23" s="129"/>
      <c r="V23" s="129"/>
      <c r="W23" s="129"/>
      <c r="X23" s="129"/>
      <c r="Y23" s="129">
        <v>100455</v>
      </c>
      <c r="Z23" s="129"/>
      <c r="AA23" s="129"/>
      <c r="AB23" s="129">
        <v>140987</v>
      </c>
      <c r="AC23" s="129">
        <v>329249</v>
      </c>
      <c r="AD23" s="129">
        <v>249599</v>
      </c>
      <c r="AE23" s="129"/>
      <c r="AF23" s="129"/>
      <c r="AG23" s="130"/>
      <c r="AH23" s="130">
        <v>120443</v>
      </c>
      <c r="AI23" s="131">
        <v>264059</v>
      </c>
      <c r="AK23" s="111">
        <f>SUM(F23:AI23)</f>
        <v>3232000.8200000003</v>
      </c>
    </row>
    <row r="24" spans="1:15115" s="308" customFormat="1" x14ac:dyDescent="0.3">
      <c r="A24" s="120"/>
      <c r="B24" s="132"/>
      <c r="C24" s="124" t="s">
        <v>129</v>
      </c>
      <c r="D24" s="133"/>
      <c r="E24" s="134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6"/>
      <c r="AH24" s="136"/>
      <c r="AI24" s="137"/>
      <c r="AJ24" s="120"/>
      <c r="AK24" s="127" t="s">
        <v>131</v>
      </c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0"/>
      <c r="BF24" s="120"/>
      <c r="BG24" s="120"/>
      <c r="BH24" s="120"/>
      <c r="BI24" s="120"/>
      <c r="BJ24" s="120"/>
      <c r="BK24" s="120"/>
      <c r="BL24" s="120"/>
      <c r="BM24" s="120"/>
      <c r="BN24" s="120"/>
      <c r="BO24" s="120"/>
      <c r="BP24" s="120"/>
      <c r="BQ24" s="120"/>
      <c r="BR24" s="120"/>
      <c r="BS24" s="120"/>
      <c r="BT24" s="120"/>
      <c r="BU24" s="120"/>
      <c r="BV24" s="120"/>
      <c r="BW24" s="120"/>
      <c r="BX24" s="120"/>
      <c r="BY24" s="120"/>
      <c r="BZ24" s="120"/>
      <c r="CA24" s="120"/>
      <c r="CB24" s="120"/>
      <c r="CC24" s="120"/>
      <c r="CD24" s="120"/>
      <c r="CE24" s="120"/>
      <c r="CF24" s="120"/>
      <c r="CG24" s="120"/>
      <c r="CH24" s="120"/>
      <c r="CI24" s="120"/>
      <c r="CJ24" s="120"/>
      <c r="CK24" s="120"/>
      <c r="CL24" s="120"/>
      <c r="CM24" s="120"/>
      <c r="CN24" s="120"/>
      <c r="CO24" s="120"/>
      <c r="CP24" s="120"/>
      <c r="CQ24" s="120"/>
      <c r="CR24" s="120"/>
      <c r="CS24" s="120"/>
      <c r="CT24" s="120"/>
      <c r="CU24" s="120"/>
      <c r="CV24" s="120"/>
      <c r="CW24" s="120"/>
      <c r="CX24" s="307"/>
      <c r="CY24" s="120"/>
      <c r="CZ24" s="120"/>
      <c r="DA24" s="120"/>
      <c r="DB24" s="120"/>
      <c r="DC24" s="120"/>
      <c r="DD24" s="120"/>
      <c r="DE24" s="120"/>
      <c r="DF24" s="120"/>
      <c r="DG24" s="120"/>
      <c r="DH24" s="120"/>
      <c r="DI24" s="120"/>
      <c r="DJ24" s="120"/>
      <c r="DK24" s="120"/>
      <c r="DL24" s="120"/>
      <c r="DM24" s="120"/>
      <c r="DN24" s="120"/>
      <c r="DO24" s="120"/>
      <c r="DP24" s="120"/>
      <c r="DQ24" s="120"/>
      <c r="DR24" s="120"/>
      <c r="DS24" s="120"/>
      <c r="DT24" s="120"/>
      <c r="DU24" s="120"/>
      <c r="DV24" s="120"/>
      <c r="DW24" s="120"/>
      <c r="DX24" s="120"/>
      <c r="DY24" s="120"/>
      <c r="DZ24" s="120"/>
      <c r="EA24" s="120"/>
      <c r="EB24" s="120"/>
      <c r="EC24" s="120"/>
      <c r="ED24" s="120"/>
      <c r="EE24" s="120"/>
      <c r="EF24" s="120"/>
      <c r="EG24" s="120"/>
      <c r="EH24" s="120"/>
      <c r="EI24" s="120"/>
      <c r="EJ24" s="120"/>
      <c r="EK24" s="120"/>
      <c r="EL24" s="120"/>
      <c r="EM24" s="120"/>
      <c r="EN24" s="120"/>
      <c r="EO24" s="120"/>
      <c r="EP24" s="120"/>
      <c r="EQ24" s="120"/>
      <c r="ER24" s="120"/>
      <c r="ES24" s="120"/>
      <c r="ET24" s="120"/>
      <c r="EU24" s="120"/>
      <c r="EV24" s="120"/>
      <c r="EW24" s="120"/>
      <c r="EX24" s="120"/>
      <c r="EY24" s="120"/>
      <c r="EZ24" s="120"/>
      <c r="FA24" s="120"/>
      <c r="FB24" s="120"/>
      <c r="FC24" s="120"/>
      <c r="FD24" s="120"/>
      <c r="FE24" s="120"/>
      <c r="FF24" s="120"/>
      <c r="FG24" s="120"/>
      <c r="FH24" s="120"/>
      <c r="FI24" s="120"/>
      <c r="FJ24" s="120"/>
      <c r="FK24" s="120"/>
      <c r="FL24" s="120"/>
      <c r="FM24" s="120"/>
      <c r="FN24" s="120"/>
      <c r="FO24" s="120"/>
      <c r="FP24" s="120"/>
      <c r="FQ24" s="120"/>
      <c r="FR24" s="120"/>
      <c r="FS24" s="120"/>
      <c r="FT24" s="120"/>
      <c r="FU24" s="120"/>
      <c r="FV24" s="120"/>
      <c r="FW24" s="120"/>
      <c r="FX24" s="120"/>
      <c r="FY24" s="120"/>
      <c r="FZ24" s="120"/>
      <c r="GA24" s="120"/>
      <c r="GB24" s="120"/>
      <c r="GC24" s="120"/>
      <c r="GD24" s="120"/>
      <c r="GE24" s="120"/>
      <c r="GF24" s="120"/>
      <c r="GG24" s="120"/>
      <c r="GH24" s="120"/>
      <c r="GI24" s="120"/>
      <c r="GJ24" s="120"/>
      <c r="GK24" s="120"/>
      <c r="GL24" s="120"/>
      <c r="GM24" s="120"/>
      <c r="GN24" s="120"/>
      <c r="GO24" s="120"/>
      <c r="GP24" s="120"/>
      <c r="GQ24" s="120"/>
      <c r="GR24" s="120"/>
      <c r="GS24" s="120"/>
      <c r="GT24" s="120"/>
      <c r="GU24" s="120"/>
      <c r="GV24" s="120"/>
      <c r="GW24" s="120"/>
      <c r="GX24" s="120"/>
      <c r="GY24" s="120"/>
      <c r="GZ24" s="120"/>
      <c r="HA24" s="120"/>
      <c r="HB24" s="120"/>
      <c r="HC24" s="120"/>
      <c r="HD24" s="120"/>
      <c r="HE24" s="120"/>
      <c r="HF24" s="120"/>
      <c r="HG24" s="120"/>
      <c r="HH24" s="120"/>
      <c r="HI24" s="120"/>
      <c r="HJ24" s="120"/>
      <c r="HK24" s="120"/>
      <c r="HL24" s="120"/>
      <c r="HM24" s="120"/>
      <c r="HN24" s="120"/>
      <c r="HO24" s="120"/>
      <c r="HP24" s="120"/>
      <c r="HQ24" s="120"/>
      <c r="HR24" s="120"/>
      <c r="HS24" s="120"/>
      <c r="HT24" s="120"/>
      <c r="HU24" s="120"/>
      <c r="HV24" s="120"/>
      <c r="HW24" s="120"/>
      <c r="HX24" s="120"/>
      <c r="HY24" s="120"/>
      <c r="HZ24" s="120"/>
      <c r="IA24" s="120"/>
      <c r="IB24" s="120"/>
      <c r="IC24" s="120"/>
      <c r="ID24" s="120"/>
      <c r="IE24" s="120"/>
      <c r="IF24" s="120"/>
      <c r="IG24" s="120"/>
      <c r="IH24" s="120"/>
      <c r="II24" s="120"/>
      <c r="IJ24" s="120"/>
      <c r="IK24" s="120"/>
      <c r="IL24" s="120"/>
      <c r="IM24" s="120"/>
      <c r="IN24" s="120"/>
      <c r="IO24" s="120"/>
      <c r="IP24" s="120"/>
      <c r="IQ24" s="120"/>
      <c r="IR24" s="120"/>
      <c r="IS24" s="120"/>
      <c r="IT24" s="120"/>
      <c r="IU24" s="120"/>
      <c r="IV24" s="120"/>
      <c r="IW24" s="120"/>
      <c r="IX24" s="120"/>
      <c r="IY24" s="120"/>
      <c r="IZ24" s="120"/>
      <c r="JA24" s="120"/>
      <c r="JB24" s="120"/>
      <c r="JC24" s="120"/>
      <c r="JD24" s="120"/>
      <c r="JE24" s="120"/>
      <c r="JF24" s="120"/>
      <c r="JG24" s="120"/>
      <c r="JH24" s="120"/>
      <c r="JI24" s="120"/>
      <c r="JJ24" s="120"/>
      <c r="JK24" s="120"/>
      <c r="JL24" s="120"/>
      <c r="JM24" s="120"/>
      <c r="JN24" s="120"/>
      <c r="JO24" s="120"/>
      <c r="JP24" s="120"/>
      <c r="JQ24" s="120"/>
      <c r="JR24" s="120"/>
      <c r="JS24" s="120"/>
      <c r="JT24" s="120"/>
      <c r="JU24" s="120"/>
      <c r="JV24" s="120"/>
      <c r="JW24" s="120"/>
      <c r="JX24" s="120"/>
      <c r="JY24" s="120"/>
      <c r="JZ24" s="120"/>
      <c r="KA24" s="120"/>
      <c r="KB24" s="120"/>
      <c r="KC24" s="120"/>
      <c r="KD24" s="120"/>
      <c r="KE24" s="120"/>
      <c r="KF24" s="120"/>
      <c r="KG24" s="120"/>
      <c r="KH24" s="120"/>
      <c r="KI24" s="120"/>
      <c r="KJ24" s="120"/>
      <c r="KK24" s="120"/>
      <c r="KL24" s="120"/>
      <c r="KM24" s="120"/>
      <c r="KN24" s="120"/>
      <c r="KO24" s="120"/>
      <c r="KP24" s="120"/>
      <c r="KQ24" s="120"/>
      <c r="KR24" s="120"/>
      <c r="KS24" s="120"/>
      <c r="KT24" s="120"/>
      <c r="KU24" s="120"/>
      <c r="KV24" s="120"/>
      <c r="KW24" s="120"/>
      <c r="KX24" s="120"/>
      <c r="KY24" s="120"/>
      <c r="KZ24" s="120"/>
      <c r="LA24" s="120"/>
      <c r="LB24" s="120"/>
      <c r="LC24" s="120"/>
      <c r="LD24" s="120"/>
      <c r="LE24" s="120"/>
      <c r="LF24" s="120"/>
      <c r="LG24" s="120"/>
      <c r="LH24" s="120"/>
      <c r="LI24" s="120"/>
      <c r="LJ24" s="120"/>
      <c r="LK24" s="120"/>
      <c r="LL24" s="120"/>
      <c r="LM24" s="120"/>
      <c r="LN24" s="120"/>
      <c r="LO24" s="120"/>
      <c r="LP24" s="120"/>
      <c r="LQ24" s="120"/>
      <c r="LR24" s="120"/>
      <c r="LS24" s="120"/>
      <c r="LT24" s="120"/>
      <c r="LU24" s="120"/>
      <c r="LV24" s="120"/>
      <c r="LW24" s="120"/>
      <c r="LX24" s="120"/>
      <c r="LY24" s="120"/>
      <c r="LZ24" s="120"/>
      <c r="MA24" s="120"/>
      <c r="MB24" s="120"/>
      <c r="MC24" s="120"/>
      <c r="MD24" s="120"/>
      <c r="ME24" s="120"/>
      <c r="MF24" s="120"/>
      <c r="MG24" s="120"/>
      <c r="MH24" s="120"/>
      <c r="MI24" s="120"/>
      <c r="MJ24" s="120"/>
      <c r="MK24" s="120"/>
      <c r="ML24" s="120"/>
      <c r="MM24" s="120"/>
      <c r="MN24" s="120"/>
      <c r="MO24" s="120"/>
      <c r="MP24" s="120"/>
      <c r="MQ24" s="120"/>
      <c r="MR24" s="120"/>
      <c r="MS24" s="120"/>
      <c r="MT24" s="120"/>
      <c r="MU24" s="120"/>
      <c r="MV24" s="120"/>
      <c r="MW24" s="120"/>
      <c r="MX24" s="120"/>
      <c r="MY24" s="120"/>
      <c r="MZ24" s="120"/>
      <c r="NA24" s="120"/>
      <c r="NB24" s="120"/>
      <c r="NC24" s="120"/>
      <c r="ND24" s="120"/>
      <c r="NE24" s="120"/>
      <c r="NF24" s="120"/>
      <c r="NG24" s="120"/>
      <c r="NH24" s="120"/>
      <c r="NI24" s="120"/>
      <c r="NJ24" s="120"/>
      <c r="NK24" s="120"/>
      <c r="NL24" s="120"/>
      <c r="NM24" s="120"/>
      <c r="NN24" s="120"/>
      <c r="NO24" s="120"/>
      <c r="NP24" s="120"/>
      <c r="NQ24" s="120"/>
      <c r="NR24" s="120"/>
      <c r="NS24" s="120"/>
      <c r="NT24" s="120"/>
      <c r="NU24" s="120"/>
      <c r="NV24" s="120"/>
      <c r="NW24" s="120"/>
      <c r="NX24" s="120"/>
      <c r="NY24" s="120"/>
      <c r="NZ24" s="120"/>
      <c r="OA24" s="120"/>
      <c r="OB24" s="120"/>
      <c r="OC24" s="120"/>
      <c r="OD24" s="120"/>
      <c r="OE24" s="120"/>
      <c r="OF24" s="120"/>
      <c r="OG24" s="120"/>
      <c r="OH24" s="120"/>
      <c r="OI24" s="120"/>
      <c r="OJ24" s="120"/>
      <c r="OK24" s="120"/>
      <c r="OL24" s="120"/>
      <c r="OM24" s="120"/>
      <c r="ON24" s="120"/>
      <c r="OO24" s="120"/>
      <c r="OP24" s="120"/>
      <c r="OQ24" s="120"/>
      <c r="OR24" s="120"/>
      <c r="OS24" s="120"/>
      <c r="OT24" s="120"/>
      <c r="OU24" s="120"/>
      <c r="OV24" s="120"/>
      <c r="OW24" s="120"/>
      <c r="OX24" s="120"/>
      <c r="OY24" s="120"/>
      <c r="OZ24" s="120"/>
      <c r="PA24" s="120"/>
      <c r="PB24" s="120"/>
      <c r="PC24" s="120"/>
      <c r="PD24" s="120"/>
      <c r="PE24" s="120"/>
      <c r="PF24" s="120"/>
      <c r="PG24" s="120"/>
      <c r="PH24" s="120"/>
      <c r="PI24" s="120"/>
      <c r="PJ24" s="120"/>
      <c r="PK24" s="120"/>
      <c r="PL24" s="120"/>
      <c r="PM24" s="120"/>
      <c r="PN24" s="120"/>
      <c r="PO24" s="120"/>
      <c r="PP24" s="120"/>
      <c r="PQ24" s="120"/>
      <c r="PR24" s="120"/>
      <c r="PS24" s="120"/>
      <c r="PT24" s="120"/>
      <c r="PU24" s="120"/>
      <c r="PV24" s="120"/>
      <c r="PW24" s="120"/>
      <c r="PX24" s="120"/>
      <c r="PY24" s="120"/>
      <c r="PZ24" s="120"/>
      <c r="QA24" s="120"/>
      <c r="QB24" s="120"/>
      <c r="QC24" s="120"/>
      <c r="QD24" s="120"/>
      <c r="QE24" s="120"/>
      <c r="QF24" s="120"/>
      <c r="QG24" s="120"/>
      <c r="QH24" s="120"/>
      <c r="QI24" s="120"/>
      <c r="QJ24" s="120"/>
      <c r="QK24" s="120"/>
      <c r="QL24" s="120"/>
      <c r="QM24" s="120"/>
      <c r="QN24" s="120"/>
      <c r="QO24" s="120"/>
      <c r="QP24" s="120"/>
      <c r="QQ24" s="120"/>
      <c r="QR24" s="120"/>
      <c r="QS24" s="120"/>
      <c r="QT24" s="120"/>
      <c r="QU24" s="120"/>
      <c r="QV24" s="120"/>
      <c r="QW24" s="120"/>
      <c r="QX24" s="120"/>
      <c r="QY24" s="120"/>
      <c r="QZ24" s="120"/>
      <c r="RA24" s="120"/>
      <c r="RB24" s="120"/>
      <c r="RC24" s="120"/>
      <c r="RD24" s="120"/>
      <c r="RE24" s="120"/>
      <c r="RF24" s="120"/>
      <c r="RG24" s="120"/>
      <c r="RH24" s="120"/>
      <c r="RI24" s="120"/>
      <c r="RJ24" s="120"/>
      <c r="RK24" s="120"/>
      <c r="RL24" s="120"/>
      <c r="RM24" s="120"/>
      <c r="RN24" s="120"/>
      <c r="RO24" s="120"/>
      <c r="RP24" s="120"/>
      <c r="RQ24" s="120"/>
      <c r="RR24" s="120"/>
      <c r="RS24" s="120"/>
      <c r="RT24" s="120"/>
      <c r="RU24" s="120"/>
      <c r="RV24" s="120"/>
      <c r="RW24" s="120"/>
      <c r="RX24" s="120"/>
      <c r="RY24" s="120"/>
      <c r="RZ24" s="120"/>
      <c r="SA24" s="120"/>
      <c r="SB24" s="120"/>
      <c r="SC24" s="120"/>
      <c r="SD24" s="120"/>
      <c r="SE24" s="120"/>
      <c r="SF24" s="120"/>
      <c r="SG24" s="120"/>
      <c r="SH24" s="120"/>
      <c r="SI24" s="120"/>
      <c r="SJ24" s="120"/>
      <c r="SK24" s="120"/>
      <c r="SL24" s="120"/>
      <c r="SM24" s="120"/>
      <c r="SN24" s="120"/>
      <c r="SO24" s="120"/>
      <c r="SP24" s="120"/>
      <c r="SQ24" s="120"/>
      <c r="SR24" s="120"/>
      <c r="SS24" s="120"/>
      <c r="ST24" s="120"/>
      <c r="SU24" s="120"/>
      <c r="SV24" s="120"/>
      <c r="SW24" s="120"/>
      <c r="SX24" s="120"/>
      <c r="SY24" s="120"/>
      <c r="SZ24" s="120"/>
      <c r="TA24" s="120"/>
      <c r="TB24" s="120"/>
      <c r="TC24" s="120"/>
      <c r="TD24" s="120"/>
      <c r="TE24" s="120"/>
      <c r="TF24" s="120"/>
      <c r="TG24" s="120"/>
      <c r="TH24" s="120"/>
      <c r="TI24" s="120"/>
      <c r="TJ24" s="120"/>
      <c r="TK24" s="120"/>
      <c r="TL24" s="120"/>
      <c r="TM24" s="120"/>
      <c r="TN24" s="120"/>
      <c r="TO24" s="120"/>
      <c r="TP24" s="120"/>
      <c r="TQ24" s="120"/>
      <c r="TR24" s="120"/>
      <c r="TS24" s="120"/>
      <c r="TT24" s="120"/>
      <c r="TU24" s="120"/>
      <c r="TV24" s="120"/>
      <c r="TW24" s="120"/>
      <c r="TX24" s="120"/>
      <c r="TY24" s="120"/>
      <c r="TZ24" s="120"/>
      <c r="UA24" s="120"/>
      <c r="UB24" s="120"/>
      <c r="UC24" s="120"/>
      <c r="UD24" s="120"/>
      <c r="UE24" s="120"/>
      <c r="UF24" s="120"/>
      <c r="UG24" s="120"/>
      <c r="UH24" s="120"/>
      <c r="UI24" s="120"/>
      <c r="UJ24" s="120"/>
      <c r="UK24" s="120"/>
      <c r="UL24" s="120"/>
      <c r="UM24" s="120"/>
      <c r="UN24" s="120"/>
      <c r="UO24" s="120"/>
      <c r="UP24" s="120"/>
      <c r="UQ24" s="120"/>
      <c r="UR24" s="120"/>
      <c r="US24" s="120"/>
      <c r="UT24" s="120"/>
      <c r="UU24" s="120"/>
      <c r="UV24" s="120"/>
      <c r="UW24" s="120"/>
      <c r="UX24" s="120"/>
      <c r="UY24" s="120"/>
      <c r="UZ24" s="120"/>
      <c r="VA24" s="120"/>
      <c r="VB24" s="120"/>
      <c r="VC24" s="120"/>
      <c r="VD24" s="120"/>
      <c r="VE24" s="120"/>
      <c r="VF24" s="120"/>
      <c r="VG24" s="120"/>
      <c r="VH24" s="120"/>
      <c r="VI24" s="120"/>
      <c r="VJ24" s="120"/>
      <c r="VK24" s="120"/>
      <c r="VL24" s="120"/>
      <c r="VM24" s="120"/>
      <c r="VN24" s="120"/>
      <c r="VO24" s="120"/>
      <c r="VP24" s="120"/>
      <c r="VQ24" s="120"/>
      <c r="VR24" s="120"/>
      <c r="VS24" s="120"/>
      <c r="VT24" s="120"/>
      <c r="VU24" s="120"/>
      <c r="VV24" s="120"/>
      <c r="VW24" s="120"/>
      <c r="VX24" s="120"/>
      <c r="VY24" s="120"/>
      <c r="VZ24" s="120"/>
      <c r="WA24" s="120"/>
      <c r="WB24" s="120"/>
      <c r="WC24" s="120"/>
      <c r="WD24" s="120"/>
      <c r="WE24" s="120"/>
      <c r="WF24" s="120"/>
      <c r="WG24" s="120"/>
      <c r="WH24" s="120"/>
      <c r="WI24" s="120"/>
      <c r="WJ24" s="120"/>
      <c r="WK24" s="120"/>
      <c r="WL24" s="120"/>
      <c r="WM24" s="120"/>
      <c r="WN24" s="120"/>
      <c r="WO24" s="120"/>
      <c r="WP24" s="120"/>
      <c r="WQ24" s="120"/>
      <c r="WR24" s="120"/>
      <c r="WS24" s="120"/>
      <c r="WT24" s="120"/>
      <c r="WU24" s="120"/>
      <c r="WV24" s="120"/>
      <c r="WW24" s="120"/>
      <c r="WX24" s="120"/>
      <c r="WY24" s="120"/>
      <c r="WZ24" s="120"/>
      <c r="XA24" s="120"/>
      <c r="XB24" s="120"/>
      <c r="XC24" s="120"/>
      <c r="XD24" s="120"/>
      <c r="XE24" s="120"/>
      <c r="XF24" s="120"/>
      <c r="XG24" s="120"/>
      <c r="XH24" s="120"/>
      <c r="XI24" s="120"/>
      <c r="XJ24" s="120"/>
      <c r="XK24" s="120"/>
      <c r="XL24" s="120"/>
      <c r="XM24" s="120"/>
      <c r="XN24" s="120"/>
      <c r="XO24" s="120"/>
      <c r="XP24" s="120"/>
      <c r="XQ24" s="120"/>
      <c r="XR24" s="120"/>
      <c r="XS24" s="120"/>
      <c r="XT24" s="120"/>
      <c r="XU24" s="120"/>
      <c r="XV24" s="120"/>
      <c r="XW24" s="120"/>
      <c r="XX24" s="120"/>
      <c r="XY24" s="120"/>
      <c r="XZ24" s="120"/>
      <c r="YA24" s="120"/>
      <c r="YB24" s="120"/>
      <c r="YC24" s="120"/>
      <c r="YD24" s="120"/>
      <c r="YE24" s="120"/>
      <c r="YF24" s="120"/>
      <c r="YG24" s="120"/>
      <c r="YH24" s="120"/>
      <c r="YI24" s="120"/>
      <c r="YJ24" s="120"/>
      <c r="YK24" s="120"/>
      <c r="YL24" s="120"/>
      <c r="YM24" s="120"/>
      <c r="YN24" s="120"/>
      <c r="YO24" s="120"/>
      <c r="YP24" s="120"/>
      <c r="YQ24" s="120"/>
      <c r="YR24" s="120"/>
      <c r="YS24" s="120"/>
      <c r="YT24" s="120"/>
      <c r="YU24" s="120"/>
      <c r="YV24" s="120"/>
      <c r="YW24" s="120"/>
      <c r="YX24" s="120"/>
      <c r="YY24" s="120"/>
      <c r="YZ24" s="120"/>
      <c r="ZA24" s="120"/>
      <c r="ZB24" s="120"/>
      <c r="ZC24" s="120"/>
      <c r="ZD24" s="120"/>
      <c r="ZE24" s="120"/>
      <c r="ZF24" s="120"/>
      <c r="ZG24" s="120"/>
      <c r="ZH24" s="120"/>
      <c r="ZI24" s="120"/>
      <c r="ZJ24" s="120"/>
      <c r="ZK24" s="120"/>
      <c r="ZL24" s="120"/>
      <c r="ZM24" s="120"/>
      <c r="ZN24" s="120"/>
      <c r="ZO24" s="120"/>
      <c r="ZP24" s="120"/>
      <c r="ZQ24" s="120"/>
      <c r="ZR24" s="120"/>
      <c r="ZS24" s="120"/>
      <c r="ZT24" s="120"/>
      <c r="ZU24" s="120"/>
      <c r="ZV24" s="120"/>
      <c r="ZW24" s="120"/>
      <c r="ZX24" s="120"/>
      <c r="ZY24" s="120"/>
      <c r="ZZ24" s="120"/>
      <c r="AAA24" s="120"/>
      <c r="AAB24" s="120"/>
      <c r="AAC24" s="120"/>
      <c r="AAD24" s="120"/>
      <c r="AAE24" s="120"/>
      <c r="AAF24" s="120"/>
      <c r="AAG24" s="120"/>
      <c r="AAH24" s="120"/>
      <c r="AAI24" s="120"/>
      <c r="AAJ24" s="120"/>
      <c r="AAK24" s="120"/>
      <c r="AAL24" s="120"/>
      <c r="AAM24" s="120"/>
      <c r="AAN24" s="120"/>
      <c r="AAO24" s="120"/>
      <c r="AAP24" s="120"/>
      <c r="AAQ24" s="120"/>
      <c r="AAR24" s="120"/>
      <c r="AAS24" s="120"/>
      <c r="AAT24" s="120"/>
      <c r="AAU24" s="120"/>
      <c r="AAV24" s="120"/>
      <c r="AAW24" s="120"/>
      <c r="AAX24" s="120"/>
      <c r="AAY24" s="120"/>
      <c r="AAZ24" s="120"/>
      <c r="ABA24" s="120"/>
      <c r="ABB24" s="120"/>
      <c r="ABC24" s="120"/>
      <c r="ABD24" s="120"/>
      <c r="ABE24" s="120"/>
      <c r="ABF24" s="120"/>
      <c r="ABG24" s="120"/>
      <c r="ABH24" s="120"/>
      <c r="ABI24" s="120"/>
      <c r="ABJ24" s="120"/>
      <c r="ABK24" s="120"/>
      <c r="ABL24" s="120"/>
      <c r="ABM24" s="120"/>
      <c r="ABN24" s="120"/>
      <c r="ABO24" s="120"/>
      <c r="ABP24" s="120"/>
      <c r="ABQ24" s="120"/>
      <c r="ABR24" s="120"/>
      <c r="ABS24" s="120"/>
      <c r="ABT24" s="120"/>
      <c r="ABU24" s="120"/>
      <c r="ABV24" s="120"/>
      <c r="ABW24" s="120"/>
      <c r="ABX24" s="120"/>
      <c r="ABY24" s="120"/>
      <c r="ABZ24" s="120"/>
      <c r="ACA24" s="120"/>
      <c r="ACB24" s="120"/>
      <c r="ACC24" s="120"/>
      <c r="ACD24" s="120"/>
      <c r="ACE24" s="120"/>
      <c r="ACF24" s="120"/>
      <c r="ACG24" s="120"/>
      <c r="ACH24" s="120"/>
      <c r="ACI24" s="120"/>
      <c r="ACJ24" s="120"/>
      <c r="ACK24" s="120"/>
      <c r="ACL24" s="120"/>
      <c r="ACM24" s="120"/>
      <c r="ACN24" s="120"/>
      <c r="ACO24" s="120"/>
      <c r="ACP24" s="120"/>
      <c r="ACQ24" s="120"/>
      <c r="ACR24" s="120"/>
      <c r="ACS24" s="120"/>
      <c r="ACT24" s="120"/>
      <c r="ACU24" s="120"/>
      <c r="ACV24" s="120"/>
      <c r="ACW24" s="120"/>
      <c r="ACX24" s="120"/>
      <c r="ACY24" s="120"/>
      <c r="ACZ24" s="120"/>
      <c r="ADA24" s="120"/>
      <c r="ADB24" s="120"/>
      <c r="ADC24" s="120"/>
      <c r="ADD24" s="120"/>
      <c r="ADE24" s="120"/>
      <c r="ADF24" s="120"/>
      <c r="ADG24" s="120"/>
      <c r="ADH24" s="120"/>
      <c r="ADI24" s="120"/>
      <c r="ADJ24" s="120"/>
      <c r="ADK24" s="120"/>
      <c r="ADL24" s="120"/>
      <c r="ADM24" s="120"/>
      <c r="ADN24" s="120"/>
      <c r="ADO24" s="120"/>
      <c r="ADP24" s="120"/>
      <c r="ADQ24" s="120"/>
      <c r="ADR24" s="120"/>
      <c r="ADS24" s="120"/>
      <c r="ADT24" s="120"/>
      <c r="ADU24" s="120"/>
      <c r="ADV24" s="120"/>
      <c r="ADW24" s="120"/>
      <c r="ADX24" s="120"/>
      <c r="ADY24" s="120"/>
      <c r="ADZ24" s="120"/>
      <c r="AEA24" s="120"/>
      <c r="AEB24" s="120"/>
      <c r="AEC24" s="120"/>
      <c r="AED24" s="120"/>
      <c r="AEE24" s="120"/>
      <c r="AEF24" s="120"/>
      <c r="AEG24" s="120"/>
      <c r="AEH24" s="120"/>
      <c r="AEI24" s="120"/>
      <c r="AEJ24" s="120"/>
      <c r="AEK24" s="120"/>
      <c r="AEL24" s="120"/>
      <c r="AEM24" s="120"/>
      <c r="AEN24" s="120"/>
      <c r="AEO24" s="120"/>
      <c r="AEP24" s="120"/>
      <c r="AEQ24" s="120"/>
      <c r="AER24" s="120"/>
      <c r="AES24" s="120"/>
      <c r="AET24" s="120"/>
      <c r="AEU24" s="120"/>
      <c r="AEV24" s="120"/>
      <c r="AEW24" s="120"/>
      <c r="AEX24" s="120"/>
      <c r="AEY24" s="120"/>
      <c r="AEZ24" s="120"/>
      <c r="AFA24" s="120"/>
      <c r="AFB24" s="120"/>
      <c r="AFC24" s="120"/>
      <c r="AFD24" s="120"/>
      <c r="AFE24" s="120"/>
      <c r="AFF24" s="120"/>
      <c r="AFG24" s="120"/>
      <c r="AFH24" s="120"/>
      <c r="AFI24" s="120"/>
      <c r="AFJ24" s="120"/>
      <c r="AFK24" s="120"/>
      <c r="AFL24" s="120"/>
      <c r="AFM24" s="120"/>
      <c r="AFN24" s="120"/>
      <c r="AFO24" s="120"/>
      <c r="AFP24" s="120"/>
      <c r="AFQ24" s="120"/>
      <c r="AFR24" s="120"/>
      <c r="AFS24" s="120"/>
      <c r="AFT24" s="120"/>
      <c r="AFU24" s="120"/>
      <c r="AFV24" s="120"/>
      <c r="AFW24" s="120"/>
      <c r="AFX24" s="120"/>
      <c r="AFY24" s="120"/>
      <c r="AFZ24" s="120"/>
      <c r="AGA24" s="120"/>
      <c r="AGB24" s="120"/>
      <c r="AGC24" s="120"/>
      <c r="AGD24" s="120"/>
      <c r="AGE24" s="120"/>
      <c r="AGF24" s="120"/>
      <c r="AGG24" s="120"/>
      <c r="AGH24" s="120"/>
      <c r="AGI24" s="120"/>
      <c r="AGJ24" s="120"/>
      <c r="AGK24" s="120"/>
      <c r="AGL24" s="120"/>
      <c r="AGM24" s="120"/>
      <c r="AGN24" s="120"/>
      <c r="AGO24" s="120"/>
      <c r="AGP24" s="120"/>
      <c r="AGQ24" s="120"/>
      <c r="AGR24" s="120"/>
      <c r="AGS24" s="120"/>
      <c r="AGT24" s="120"/>
      <c r="AGU24" s="120"/>
      <c r="AGV24" s="120"/>
      <c r="AGW24" s="120"/>
      <c r="AGX24" s="120"/>
      <c r="AGY24" s="120"/>
      <c r="AGZ24" s="120"/>
      <c r="AHA24" s="120"/>
      <c r="AHB24" s="120"/>
      <c r="AHC24" s="120"/>
      <c r="AHD24" s="120"/>
      <c r="AHE24" s="120"/>
      <c r="AHF24" s="120"/>
      <c r="AHG24" s="120"/>
      <c r="AHH24" s="120"/>
      <c r="AHI24" s="120"/>
      <c r="AHJ24" s="120"/>
      <c r="AHK24" s="120"/>
      <c r="AHL24" s="120"/>
      <c r="AHM24" s="120"/>
      <c r="AHN24" s="120"/>
      <c r="AHO24" s="120"/>
      <c r="AHP24" s="120"/>
      <c r="AHQ24" s="120"/>
      <c r="AHR24" s="120"/>
      <c r="AHS24" s="120"/>
      <c r="AHT24" s="120"/>
      <c r="AHU24" s="120"/>
      <c r="AHV24" s="120"/>
      <c r="AHW24" s="120"/>
      <c r="AHX24" s="120"/>
      <c r="AHY24" s="120"/>
      <c r="AHZ24" s="120"/>
      <c r="AIA24" s="120"/>
      <c r="AIB24" s="120"/>
      <c r="AIC24" s="120"/>
      <c r="AID24" s="120"/>
      <c r="AIE24" s="120"/>
      <c r="AIF24" s="120"/>
      <c r="AIG24" s="120"/>
      <c r="AIH24" s="120"/>
      <c r="AII24" s="120"/>
      <c r="AIJ24" s="120"/>
      <c r="AIK24" s="120"/>
      <c r="AIL24" s="120"/>
      <c r="AIM24" s="120"/>
      <c r="AIN24" s="120"/>
      <c r="AIO24" s="120"/>
      <c r="AIP24" s="120"/>
      <c r="AIQ24" s="120"/>
      <c r="AIR24" s="120"/>
      <c r="AIS24" s="120"/>
      <c r="AIT24" s="120"/>
      <c r="AIU24" s="120"/>
      <c r="AIV24" s="120"/>
      <c r="AIW24" s="120"/>
      <c r="AIX24" s="120"/>
      <c r="AIY24" s="120"/>
      <c r="AIZ24" s="120"/>
      <c r="AJA24" s="120"/>
      <c r="AJB24" s="120"/>
      <c r="AJC24" s="120"/>
      <c r="AJD24" s="120"/>
      <c r="AJE24" s="120"/>
      <c r="AJF24" s="120"/>
      <c r="AJG24" s="120"/>
      <c r="AJH24" s="120"/>
      <c r="AJI24" s="120"/>
      <c r="AJJ24" s="120"/>
      <c r="AJK24" s="120"/>
      <c r="AJL24" s="120"/>
      <c r="AJM24" s="120"/>
      <c r="AJN24" s="120"/>
      <c r="AJO24" s="120"/>
      <c r="AJP24" s="120"/>
      <c r="AJQ24" s="120"/>
      <c r="AJR24" s="120"/>
      <c r="AJS24" s="120"/>
      <c r="AJT24" s="120"/>
      <c r="AJU24" s="120"/>
      <c r="AJV24" s="120"/>
      <c r="AJW24" s="120"/>
      <c r="AJX24" s="120"/>
      <c r="AJY24" s="120"/>
      <c r="AJZ24" s="120"/>
      <c r="AKA24" s="120"/>
      <c r="AKB24" s="120"/>
      <c r="AKC24" s="120"/>
      <c r="AKD24" s="120"/>
      <c r="AKE24" s="120"/>
      <c r="AKF24" s="120"/>
      <c r="AKG24" s="120"/>
      <c r="AKH24" s="120"/>
      <c r="AKI24" s="120"/>
      <c r="AKJ24" s="120"/>
      <c r="AKK24" s="120"/>
      <c r="AKL24" s="120"/>
      <c r="AKM24" s="120"/>
      <c r="AKN24" s="120"/>
      <c r="AKO24" s="120"/>
      <c r="AKP24" s="120"/>
      <c r="AKQ24" s="120"/>
      <c r="AKR24" s="120"/>
      <c r="AKS24" s="120"/>
      <c r="AKT24" s="120"/>
      <c r="AKU24" s="120"/>
      <c r="AKV24" s="120"/>
      <c r="AKW24" s="120"/>
      <c r="AKX24" s="120"/>
      <c r="AKY24" s="120"/>
      <c r="AKZ24" s="120"/>
      <c r="ALA24" s="120"/>
      <c r="ALB24" s="120"/>
      <c r="ALC24" s="120"/>
      <c r="ALD24" s="120"/>
      <c r="ALE24" s="120"/>
      <c r="ALF24" s="120"/>
      <c r="ALG24" s="120"/>
      <c r="ALH24" s="120"/>
      <c r="ALI24" s="120"/>
      <c r="ALJ24" s="120"/>
      <c r="ALK24" s="120"/>
      <c r="ALL24" s="120"/>
      <c r="ALM24" s="120"/>
      <c r="ALN24" s="120"/>
      <c r="ALO24" s="120"/>
      <c r="ALP24" s="120"/>
      <c r="ALQ24" s="120"/>
      <c r="ALR24" s="120"/>
      <c r="ALS24" s="120"/>
      <c r="ALT24" s="120"/>
      <c r="ALU24" s="120"/>
      <c r="ALV24" s="120"/>
      <c r="ALW24" s="120"/>
      <c r="ALX24" s="120"/>
      <c r="ALY24" s="120"/>
      <c r="ALZ24" s="120"/>
      <c r="AMA24" s="120"/>
      <c r="AMB24" s="120"/>
      <c r="AMC24" s="120"/>
      <c r="AMD24" s="120"/>
      <c r="AME24" s="120"/>
      <c r="AMF24" s="120"/>
      <c r="AMG24" s="120"/>
      <c r="AMH24" s="120"/>
      <c r="AMI24" s="120"/>
      <c r="AMJ24" s="120"/>
      <c r="AMK24" s="120"/>
      <c r="AML24" s="120"/>
      <c r="AMM24" s="120"/>
      <c r="AMN24" s="120"/>
      <c r="AMO24" s="120"/>
      <c r="AMP24" s="120"/>
      <c r="AMQ24" s="120"/>
      <c r="AMR24" s="120"/>
      <c r="AMS24" s="120"/>
      <c r="AMT24" s="120"/>
      <c r="AMU24" s="120"/>
      <c r="AMV24" s="120"/>
      <c r="AMW24" s="120"/>
      <c r="AMX24" s="120"/>
      <c r="AMY24" s="120"/>
      <c r="AMZ24" s="120"/>
      <c r="ANA24" s="120"/>
      <c r="ANB24" s="120"/>
      <c r="ANC24" s="120"/>
      <c r="AND24" s="120"/>
      <c r="ANE24" s="120"/>
      <c r="ANF24" s="120"/>
      <c r="ANG24" s="120"/>
      <c r="ANH24" s="120"/>
      <c r="ANI24" s="120"/>
      <c r="ANJ24" s="120"/>
      <c r="ANK24" s="120"/>
      <c r="ANL24" s="120"/>
      <c r="ANM24" s="120"/>
      <c r="ANN24" s="120"/>
      <c r="ANO24" s="120"/>
      <c r="ANP24" s="120"/>
      <c r="ANQ24" s="120"/>
      <c r="ANR24" s="120"/>
      <c r="ANS24" s="120"/>
      <c r="ANT24" s="120"/>
      <c r="ANU24" s="120"/>
      <c r="ANV24" s="120"/>
      <c r="ANW24" s="120"/>
      <c r="ANX24" s="120"/>
      <c r="ANY24" s="120"/>
      <c r="ANZ24" s="120"/>
      <c r="AOA24" s="120"/>
      <c r="AOB24" s="120"/>
      <c r="AOC24" s="120"/>
      <c r="AOD24" s="120"/>
      <c r="AOE24" s="120"/>
      <c r="AOF24" s="120"/>
      <c r="AOG24" s="120"/>
      <c r="AOH24" s="120"/>
      <c r="AOI24" s="120"/>
      <c r="AOJ24" s="120"/>
      <c r="AOK24" s="120"/>
      <c r="AOL24" s="120"/>
      <c r="AOM24" s="120"/>
      <c r="AON24" s="120"/>
      <c r="AOO24" s="120"/>
      <c r="AOP24" s="120"/>
      <c r="AOQ24" s="120"/>
      <c r="AOR24" s="120"/>
      <c r="AOS24" s="120"/>
      <c r="AOT24" s="120"/>
      <c r="AOU24" s="120"/>
      <c r="AOV24" s="120"/>
      <c r="AOW24" s="120"/>
      <c r="AOX24" s="120"/>
      <c r="AOY24" s="120"/>
      <c r="AOZ24" s="120"/>
      <c r="APA24" s="120"/>
      <c r="APB24" s="120"/>
      <c r="APC24" s="120"/>
      <c r="APD24" s="120"/>
      <c r="APE24" s="120"/>
      <c r="APF24" s="120"/>
      <c r="APG24" s="120"/>
      <c r="APH24" s="120"/>
      <c r="API24" s="120"/>
      <c r="APJ24" s="120"/>
      <c r="APK24" s="120"/>
      <c r="APL24" s="120"/>
      <c r="APM24" s="120"/>
      <c r="APN24" s="120"/>
      <c r="APO24" s="120"/>
      <c r="APP24" s="120"/>
      <c r="APQ24" s="120"/>
      <c r="APR24" s="120"/>
      <c r="APS24" s="120"/>
      <c r="APT24" s="120"/>
      <c r="APU24" s="120"/>
      <c r="APV24" s="120"/>
      <c r="APW24" s="120"/>
      <c r="APX24" s="120"/>
      <c r="APY24" s="120"/>
      <c r="APZ24" s="120"/>
      <c r="AQA24" s="120"/>
      <c r="AQB24" s="120"/>
      <c r="AQC24" s="120"/>
      <c r="AQD24" s="120"/>
      <c r="AQE24" s="120"/>
      <c r="AQF24" s="120"/>
      <c r="AQG24" s="120"/>
      <c r="AQH24" s="120"/>
      <c r="AQI24" s="120"/>
      <c r="AQJ24" s="120"/>
      <c r="AQK24" s="120"/>
      <c r="AQL24" s="120"/>
      <c r="AQM24" s="120"/>
      <c r="AQN24" s="120"/>
      <c r="AQO24" s="120"/>
      <c r="AQP24" s="120"/>
      <c r="AQQ24" s="120"/>
      <c r="AQR24" s="120"/>
      <c r="AQS24" s="120"/>
      <c r="AQT24" s="120"/>
      <c r="AQU24" s="120"/>
      <c r="AQV24" s="120"/>
      <c r="AQW24" s="120"/>
      <c r="AQX24" s="120"/>
      <c r="AQY24" s="120"/>
      <c r="AQZ24" s="120"/>
      <c r="ARA24" s="120"/>
      <c r="ARB24" s="120"/>
      <c r="ARC24" s="120"/>
      <c r="ARD24" s="120"/>
      <c r="ARE24" s="120"/>
      <c r="ARF24" s="120"/>
      <c r="ARG24" s="120"/>
      <c r="ARH24" s="120"/>
      <c r="ARI24" s="120"/>
      <c r="ARJ24" s="120"/>
      <c r="ARK24" s="120"/>
      <c r="ARL24" s="120"/>
      <c r="ARM24" s="120"/>
      <c r="ARN24" s="120"/>
      <c r="ARO24" s="120"/>
      <c r="ARP24" s="120"/>
      <c r="ARQ24" s="120"/>
      <c r="ARR24" s="120"/>
      <c r="ARS24" s="120"/>
      <c r="ART24" s="120"/>
      <c r="ARU24" s="120"/>
      <c r="ARV24" s="120"/>
      <c r="ARW24" s="120"/>
      <c r="ARX24" s="120"/>
      <c r="ARY24" s="120"/>
      <c r="ARZ24" s="120"/>
      <c r="ASA24" s="120"/>
      <c r="ASB24" s="120"/>
      <c r="ASC24" s="120"/>
      <c r="ASD24" s="120"/>
      <c r="ASE24" s="120"/>
      <c r="ASF24" s="120"/>
      <c r="ASG24" s="120"/>
      <c r="ASH24" s="120"/>
      <c r="ASI24" s="120"/>
      <c r="ASJ24" s="120"/>
      <c r="ASK24" s="120"/>
      <c r="ASL24" s="120"/>
      <c r="ASM24" s="120"/>
      <c r="ASN24" s="120"/>
      <c r="ASO24" s="120"/>
      <c r="ASP24" s="120"/>
      <c r="ASQ24" s="120"/>
      <c r="ASR24" s="120"/>
      <c r="ASS24" s="120"/>
      <c r="AST24" s="120"/>
      <c r="ASU24" s="120"/>
      <c r="ASV24" s="120"/>
      <c r="ASW24" s="120"/>
      <c r="ASX24" s="120"/>
      <c r="ASY24" s="120"/>
      <c r="ASZ24" s="120"/>
      <c r="ATA24" s="120"/>
      <c r="ATB24" s="120"/>
      <c r="ATC24" s="120"/>
      <c r="ATD24" s="120"/>
      <c r="ATE24" s="120"/>
      <c r="ATF24" s="120"/>
      <c r="ATG24" s="120"/>
      <c r="ATH24" s="120"/>
      <c r="ATI24" s="120"/>
      <c r="ATJ24" s="120"/>
      <c r="ATK24" s="120"/>
      <c r="ATL24" s="120"/>
      <c r="ATM24" s="120"/>
      <c r="ATN24" s="120"/>
      <c r="ATO24" s="120"/>
      <c r="ATP24" s="120"/>
      <c r="ATQ24" s="120"/>
      <c r="ATR24" s="120"/>
      <c r="ATS24" s="120"/>
      <c r="ATT24" s="120"/>
      <c r="ATU24" s="120"/>
      <c r="ATV24" s="120"/>
      <c r="ATW24" s="120"/>
      <c r="ATX24" s="120"/>
      <c r="ATY24" s="120"/>
      <c r="ATZ24" s="120"/>
      <c r="AUA24" s="120"/>
      <c r="AUB24" s="120"/>
      <c r="AUC24" s="120"/>
      <c r="AUD24" s="120"/>
      <c r="AUE24" s="120"/>
      <c r="AUF24" s="120"/>
      <c r="AUG24" s="120"/>
      <c r="AUH24" s="120"/>
      <c r="AUI24" s="120"/>
      <c r="AUJ24" s="120"/>
      <c r="AUK24" s="120"/>
      <c r="AUL24" s="120"/>
      <c r="AUM24" s="120"/>
      <c r="AUN24" s="120"/>
      <c r="AUO24" s="120"/>
      <c r="AUP24" s="120"/>
      <c r="AUQ24" s="120"/>
      <c r="AUR24" s="120"/>
      <c r="AUS24" s="120"/>
      <c r="AUT24" s="120"/>
      <c r="AUU24" s="120"/>
      <c r="AUV24" s="120"/>
      <c r="AUW24" s="120"/>
      <c r="AUX24" s="120"/>
      <c r="AUY24" s="120"/>
      <c r="AUZ24" s="120"/>
      <c r="AVA24" s="120"/>
      <c r="AVB24" s="120"/>
      <c r="AVC24" s="120"/>
      <c r="AVD24" s="120"/>
      <c r="AVE24" s="120"/>
      <c r="AVF24" s="120"/>
      <c r="AVG24" s="120"/>
      <c r="AVH24" s="120"/>
      <c r="AVI24" s="120"/>
      <c r="AVJ24" s="120"/>
      <c r="AVK24" s="120"/>
      <c r="AVL24" s="120"/>
      <c r="AVM24" s="120"/>
      <c r="AVN24" s="120"/>
      <c r="AVO24" s="120"/>
      <c r="AVP24" s="120"/>
      <c r="AVQ24" s="120"/>
      <c r="AVR24" s="120"/>
      <c r="AVS24" s="120"/>
      <c r="AVT24" s="120"/>
      <c r="AVU24" s="120"/>
      <c r="AVV24" s="120"/>
      <c r="AVW24" s="120"/>
      <c r="AVX24" s="120"/>
      <c r="AVY24" s="120"/>
      <c r="AVZ24" s="120"/>
      <c r="AWA24" s="120"/>
      <c r="AWB24" s="120"/>
      <c r="AWC24" s="120"/>
      <c r="AWD24" s="120"/>
      <c r="AWE24" s="120"/>
      <c r="AWF24" s="120"/>
      <c r="AWG24" s="120"/>
      <c r="AWH24" s="120"/>
      <c r="AWI24" s="120"/>
      <c r="AWJ24" s="120"/>
      <c r="AWK24" s="120"/>
      <c r="AWL24" s="120"/>
      <c r="AWM24" s="120"/>
      <c r="AWN24" s="120"/>
      <c r="AWO24" s="120"/>
      <c r="AWP24" s="120"/>
      <c r="AWQ24" s="120"/>
      <c r="AWR24" s="120"/>
      <c r="AWS24" s="120"/>
      <c r="AWT24" s="120"/>
      <c r="AWU24" s="120"/>
      <c r="AWV24" s="120"/>
      <c r="AWW24" s="120"/>
      <c r="AWX24" s="120"/>
      <c r="AWY24" s="120"/>
      <c r="AWZ24" s="120"/>
      <c r="AXA24" s="120"/>
      <c r="AXB24" s="120"/>
      <c r="AXC24" s="120"/>
      <c r="AXD24" s="120"/>
      <c r="AXE24" s="120"/>
      <c r="AXF24" s="120"/>
      <c r="AXG24" s="120"/>
      <c r="AXH24" s="120"/>
      <c r="AXI24" s="120"/>
      <c r="AXJ24" s="120"/>
      <c r="AXK24" s="120"/>
      <c r="AXL24" s="120"/>
      <c r="AXM24" s="120"/>
      <c r="AXN24" s="120"/>
      <c r="AXO24" s="120"/>
      <c r="AXP24" s="120"/>
      <c r="AXQ24" s="120"/>
      <c r="AXR24" s="120"/>
      <c r="AXS24" s="120"/>
      <c r="AXT24" s="120"/>
      <c r="AXU24" s="120"/>
      <c r="AXV24" s="120"/>
      <c r="AXW24" s="120"/>
      <c r="AXX24" s="120"/>
      <c r="AXY24" s="120"/>
      <c r="AXZ24" s="120"/>
      <c r="AYA24" s="120"/>
      <c r="AYB24" s="120"/>
      <c r="AYC24" s="120"/>
      <c r="AYD24" s="120"/>
      <c r="AYE24" s="120"/>
      <c r="AYF24" s="120"/>
      <c r="AYG24" s="120"/>
      <c r="AYH24" s="120"/>
      <c r="AYI24" s="120"/>
      <c r="AYJ24" s="120"/>
      <c r="AYK24" s="120"/>
      <c r="AYL24" s="120"/>
      <c r="AYM24" s="120"/>
      <c r="AYN24" s="120"/>
      <c r="AYO24" s="120"/>
      <c r="AYP24" s="120"/>
      <c r="AYQ24" s="120"/>
      <c r="AYR24" s="120"/>
      <c r="AYS24" s="120"/>
      <c r="AYT24" s="120"/>
      <c r="AYU24" s="120"/>
      <c r="AYV24" s="120"/>
      <c r="AYW24" s="120"/>
      <c r="AYX24" s="120"/>
      <c r="AYY24" s="120"/>
      <c r="AYZ24" s="120"/>
      <c r="AZA24" s="120"/>
      <c r="AZB24" s="120"/>
      <c r="AZC24" s="120"/>
      <c r="AZD24" s="120"/>
      <c r="AZE24" s="120"/>
      <c r="AZF24" s="120"/>
      <c r="AZG24" s="120"/>
      <c r="AZH24" s="120"/>
      <c r="AZI24" s="120"/>
      <c r="AZJ24" s="120"/>
      <c r="AZK24" s="120"/>
      <c r="AZL24" s="120"/>
      <c r="AZM24" s="120"/>
      <c r="AZN24" s="120"/>
      <c r="AZO24" s="120"/>
      <c r="AZP24" s="120"/>
      <c r="AZQ24" s="120"/>
      <c r="AZR24" s="120"/>
      <c r="AZS24" s="120"/>
      <c r="AZT24" s="120"/>
      <c r="AZU24" s="120"/>
      <c r="AZV24" s="120"/>
      <c r="AZW24" s="120"/>
      <c r="AZX24" s="120"/>
      <c r="AZY24" s="120"/>
      <c r="AZZ24" s="120"/>
      <c r="BAA24" s="120"/>
      <c r="BAB24" s="120"/>
      <c r="BAC24" s="120"/>
      <c r="BAD24" s="120"/>
      <c r="BAE24" s="120"/>
      <c r="BAF24" s="120"/>
      <c r="BAG24" s="120"/>
      <c r="BAH24" s="120"/>
      <c r="BAI24" s="120"/>
      <c r="BAJ24" s="120"/>
      <c r="BAK24" s="120"/>
      <c r="BAL24" s="120"/>
      <c r="BAM24" s="120"/>
      <c r="BAN24" s="120"/>
      <c r="BAO24" s="120"/>
      <c r="BAP24" s="120"/>
      <c r="BAQ24" s="120"/>
      <c r="BAR24" s="120"/>
      <c r="BAS24" s="120"/>
      <c r="BAT24" s="120"/>
      <c r="BAU24" s="120"/>
      <c r="BAV24" s="120"/>
      <c r="BAW24" s="120"/>
      <c r="BAX24" s="120"/>
      <c r="BAY24" s="120"/>
      <c r="BAZ24" s="120"/>
      <c r="BBA24" s="120"/>
      <c r="BBB24" s="120"/>
      <c r="BBC24" s="120"/>
      <c r="BBD24" s="120"/>
      <c r="BBE24" s="120"/>
      <c r="BBF24" s="120"/>
      <c r="BBG24" s="120"/>
      <c r="BBH24" s="120"/>
      <c r="BBI24" s="120"/>
      <c r="BBJ24" s="120"/>
      <c r="BBK24" s="120"/>
      <c r="BBL24" s="120"/>
      <c r="BBM24" s="120"/>
      <c r="BBN24" s="120"/>
      <c r="BBO24" s="120"/>
      <c r="BBP24" s="120"/>
      <c r="BBQ24" s="120"/>
      <c r="BBR24" s="120"/>
      <c r="BBS24" s="120"/>
      <c r="BBT24" s="120"/>
      <c r="BBU24" s="120"/>
      <c r="BBV24" s="120"/>
      <c r="BBW24" s="120"/>
      <c r="BBX24" s="120"/>
      <c r="BBY24" s="120"/>
      <c r="BBZ24" s="120"/>
      <c r="BCA24" s="120"/>
      <c r="BCB24" s="120"/>
      <c r="BCC24" s="120"/>
      <c r="BCD24" s="120"/>
      <c r="BCE24" s="120"/>
      <c r="BCF24" s="120"/>
      <c r="BCG24" s="120"/>
      <c r="BCH24" s="120"/>
      <c r="BCI24" s="120"/>
      <c r="BCJ24" s="120"/>
      <c r="BCK24" s="120"/>
      <c r="BCL24" s="120"/>
      <c r="BCM24" s="120"/>
      <c r="BCN24" s="120"/>
      <c r="BCO24" s="120"/>
      <c r="BCP24" s="120"/>
      <c r="BCQ24" s="120"/>
      <c r="BCR24" s="120"/>
      <c r="BCS24" s="120"/>
      <c r="BCT24" s="120"/>
      <c r="BCU24" s="120"/>
      <c r="BCV24" s="120"/>
      <c r="BCW24" s="120"/>
      <c r="BCX24" s="120"/>
      <c r="BCY24" s="120"/>
      <c r="BCZ24" s="120"/>
      <c r="BDA24" s="120"/>
      <c r="BDB24" s="120"/>
      <c r="BDC24" s="120"/>
      <c r="BDD24" s="120"/>
      <c r="BDE24" s="120"/>
      <c r="BDF24" s="120"/>
      <c r="BDG24" s="120"/>
      <c r="BDH24" s="120"/>
      <c r="BDI24" s="120"/>
      <c r="BDJ24" s="120"/>
      <c r="BDK24" s="120"/>
      <c r="BDL24" s="120"/>
      <c r="BDM24" s="120"/>
      <c r="BDN24" s="120"/>
      <c r="BDO24" s="120"/>
      <c r="BDP24" s="120"/>
      <c r="BDQ24" s="120"/>
      <c r="BDR24" s="120"/>
      <c r="BDS24" s="120"/>
      <c r="BDT24" s="120"/>
      <c r="BDU24" s="120"/>
      <c r="BDV24" s="120"/>
      <c r="BDW24" s="120"/>
      <c r="BDX24" s="120"/>
      <c r="BDY24" s="120"/>
      <c r="BDZ24" s="120"/>
      <c r="BEA24" s="120"/>
      <c r="BEB24" s="120"/>
      <c r="BEC24" s="120"/>
      <c r="BED24" s="120"/>
      <c r="BEE24" s="120"/>
      <c r="BEF24" s="120"/>
      <c r="BEG24" s="120"/>
      <c r="BEH24" s="120"/>
      <c r="BEI24" s="120"/>
      <c r="BEJ24" s="120"/>
      <c r="BEK24" s="120"/>
      <c r="BEL24" s="120"/>
      <c r="BEM24" s="120"/>
      <c r="BEN24" s="120"/>
      <c r="BEO24" s="120"/>
      <c r="BEP24" s="120"/>
      <c r="BEQ24" s="120"/>
      <c r="BER24" s="120"/>
      <c r="BES24" s="120"/>
      <c r="BET24" s="120"/>
      <c r="BEU24" s="120"/>
      <c r="BEV24" s="120"/>
      <c r="BEW24" s="120"/>
      <c r="BEX24" s="120"/>
      <c r="BEY24" s="120"/>
      <c r="BEZ24" s="120"/>
      <c r="BFA24" s="120"/>
      <c r="BFB24" s="120"/>
      <c r="BFC24" s="120"/>
      <c r="BFD24" s="120"/>
      <c r="BFE24" s="120"/>
      <c r="BFF24" s="120"/>
      <c r="BFG24" s="120"/>
      <c r="BFH24" s="120"/>
      <c r="BFI24" s="120"/>
      <c r="BFJ24" s="120"/>
      <c r="BFK24" s="120"/>
      <c r="BFL24" s="120"/>
      <c r="BFM24" s="120"/>
      <c r="BFN24" s="120"/>
      <c r="BFO24" s="120"/>
      <c r="BFP24" s="120"/>
      <c r="BFQ24" s="120"/>
      <c r="BFR24" s="120"/>
      <c r="BFS24" s="120"/>
      <c r="BFT24" s="120"/>
      <c r="BFU24" s="120"/>
      <c r="BFV24" s="120"/>
      <c r="BFW24" s="120"/>
      <c r="BFX24" s="120"/>
      <c r="BFY24" s="120"/>
      <c r="BFZ24" s="120"/>
      <c r="BGA24" s="120"/>
      <c r="BGB24" s="120"/>
      <c r="BGC24" s="120"/>
      <c r="BGD24" s="120"/>
      <c r="BGE24" s="120"/>
      <c r="BGF24" s="120"/>
      <c r="BGG24" s="120"/>
      <c r="BGH24" s="120"/>
      <c r="BGI24" s="120"/>
      <c r="BGJ24" s="120"/>
      <c r="BGK24" s="120"/>
      <c r="BGL24" s="120"/>
      <c r="BGM24" s="120"/>
      <c r="BGN24" s="120"/>
      <c r="BGO24" s="120"/>
      <c r="BGP24" s="120"/>
      <c r="BGQ24" s="120"/>
      <c r="BGR24" s="120"/>
      <c r="BGS24" s="120"/>
      <c r="BGT24" s="120"/>
      <c r="BGU24" s="120"/>
      <c r="BGV24" s="120"/>
      <c r="BGW24" s="120"/>
      <c r="BGX24" s="120"/>
      <c r="BGY24" s="120"/>
      <c r="BGZ24" s="120"/>
      <c r="BHA24" s="120"/>
      <c r="BHB24" s="120"/>
      <c r="BHC24" s="120"/>
      <c r="BHD24" s="120"/>
      <c r="BHE24" s="120"/>
      <c r="BHF24" s="120"/>
      <c r="BHG24" s="120"/>
      <c r="BHH24" s="120"/>
      <c r="BHI24" s="120"/>
      <c r="BHJ24" s="120"/>
      <c r="BHK24" s="120"/>
      <c r="BHL24" s="120"/>
      <c r="BHM24" s="120"/>
      <c r="BHN24" s="120"/>
      <c r="BHO24" s="120"/>
      <c r="BHP24" s="120"/>
      <c r="BHQ24" s="120"/>
      <c r="BHR24" s="120"/>
      <c r="BHS24" s="120"/>
      <c r="BHT24" s="120"/>
      <c r="BHU24" s="120"/>
      <c r="BHV24" s="120"/>
      <c r="BHW24" s="120"/>
      <c r="BHX24" s="120"/>
      <c r="BHY24" s="120"/>
      <c r="BHZ24" s="120"/>
      <c r="BIA24" s="120"/>
      <c r="BIB24" s="120"/>
      <c r="BIC24" s="120"/>
      <c r="BID24" s="120"/>
      <c r="BIE24" s="120"/>
      <c r="BIF24" s="120"/>
      <c r="BIG24" s="120"/>
      <c r="BIH24" s="120"/>
      <c r="BII24" s="120"/>
      <c r="BIJ24" s="120"/>
      <c r="BIK24" s="120"/>
      <c r="BIL24" s="120"/>
      <c r="BIM24" s="120"/>
      <c r="BIN24" s="120"/>
      <c r="BIO24" s="120"/>
      <c r="BIP24" s="120"/>
      <c r="BIQ24" s="120"/>
      <c r="BIR24" s="120"/>
      <c r="BIS24" s="120"/>
      <c r="BIT24" s="120"/>
      <c r="BIU24" s="120"/>
      <c r="BIV24" s="120"/>
      <c r="BIW24" s="120"/>
      <c r="BIX24" s="120"/>
      <c r="BIY24" s="120"/>
      <c r="BIZ24" s="120"/>
      <c r="BJA24" s="120"/>
      <c r="BJB24" s="120"/>
      <c r="BJC24" s="120"/>
      <c r="BJD24" s="120"/>
      <c r="BJE24" s="120"/>
      <c r="BJF24" s="120"/>
      <c r="BJG24" s="120"/>
      <c r="BJH24" s="120"/>
      <c r="BJI24" s="120"/>
      <c r="BJJ24" s="120"/>
      <c r="BJK24" s="120"/>
      <c r="BJL24" s="120"/>
      <c r="BJM24" s="120"/>
      <c r="BJN24" s="120"/>
      <c r="BJO24" s="120"/>
      <c r="BJP24" s="120"/>
      <c r="BJQ24" s="120"/>
      <c r="BJR24" s="120"/>
      <c r="BJS24" s="120"/>
      <c r="BJT24" s="120"/>
      <c r="BJU24" s="120"/>
      <c r="BJV24" s="120"/>
      <c r="BJW24" s="120"/>
      <c r="BJX24" s="120"/>
      <c r="BJY24" s="120"/>
      <c r="BJZ24" s="120"/>
      <c r="BKA24" s="120"/>
      <c r="BKB24" s="120"/>
      <c r="BKC24" s="120"/>
      <c r="BKD24" s="120"/>
      <c r="BKE24" s="120"/>
      <c r="BKF24" s="120"/>
      <c r="BKG24" s="120"/>
      <c r="BKH24" s="120"/>
      <c r="BKI24" s="120"/>
      <c r="BKJ24" s="120"/>
      <c r="BKK24" s="120"/>
      <c r="BKL24" s="120"/>
      <c r="BKM24" s="120"/>
      <c r="BKN24" s="120"/>
      <c r="BKO24" s="120"/>
      <c r="BKP24" s="120"/>
      <c r="BKQ24" s="120"/>
      <c r="BKR24" s="120"/>
      <c r="BKS24" s="120"/>
      <c r="BKT24" s="120"/>
      <c r="BKU24" s="120"/>
      <c r="BKV24" s="120"/>
      <c r="BKW24" s="120"/>
      <c r="BKX24" s="120"/>
      <c r="BKY24" s="120"/>
      <c r="BKZ24" s="120"/>
      <c r="BLA24" s="120"/>
      <c r="BLB24" s="120"/>
      <c r="BLC24" s="120"/>
      <c r="BLD24" s="120"/>
      <c r="BLE24" s="120"/>
      <c r="BLF24" s="120"/>
      <c r="BLG24" s="120"/>
      <c r="BLH24" s="120"/>
      <c r="BLI24" s="120"/>
      <c r="BLJ24" s="120"/>
      <c r="BLK24" s="120"/>
      <c r="BLL24" s="120"/>
      <c r="BLM24" s="120"/>
      <c r="BLN24" s="120"/>
      <c r="BLO24" s="120"/>
      <c r="BLP24" s="120"/>
      <c r="BLQ24" s="120"/>
      <c r="BLR24" s="120"/>
      <c r="BLS24" s="120"/>
      <c r="BLT24" s="120"/>
      <c r="BLU24" s="120"/>
      <c r="BLV24" s="120"/>
      <c r="BLW24" s="120"/>
      <c r="BLX24" s="120"/>
      <c r="BLY24" s="120"/>
      <c r="BLZ24" s="120"/>
      <c r="BMA24" s="120"/>
      <c r="BMB24" s="120"/>
      <c r="BMC24" s="120"/>
      <c r="BMD24" s="120"/>
      <c r="BME24" s="120"/>
      <c r="BMF24" s="120"/>
      <c r="BMG24" s="120"/>
      <c r="BMH24" s="120"/>
      <c r="BMI24" s="120"/>
      <c r="BMJ24" s="120"/>
      <c r="BMK24" s="120"/>
      <c r="BML24" s="120"/>
      <c r="BMM24" s="120"/>
      <c r="BMN24" s="120"/>
      <c r="BMO24" s="120"/>
      <c r="BMP24" s="120"/>
      <c r="BMQ24" s="120"/>
      <c r="BMR24" s="120"/>
      <c r="BMS24" s="120"/>
      <c r="BMT24" s="120"/>
      <c r="BMU24" s="120"/>
      <c r="BMV24" s="120"/>
      <c r="BMW24" s="120"/>
      <c r="BMX24" s="120"/>
      <c r="BMY24" s="120"/>
      <c r="BMZ24" s="120"/>
      <c r="BNA24" s="120"/>
      <c r="BNB24" s="120"/>
      <c r="BNC24" s="120"/>
      <c r="BND24" s="120"/>
      <c r="BNE24" s="120"/>
      <c r="BNF24" s="120"/>
      <c r="BNG24" s="120"/>
      <c r="BNH24" s="120"/>
      <c r="BNI24" s="120"/>
      <c r="BNJ24" s="120"/>
      <c r="BNK24" s="120"/>
      <c r="BNL24" s="120"/>
      <c r="BNM24" s="120"/>
      <c r="BNN24" s="120"/>
      <c r="BNO24" s="120"/>
      <c r="BNP24" s="120"/>
      <c r="BNQ24" s="120"/>
      <c r="BNR24" s="120"/>
      <c r="BNS24" s="120"/>
      <c r="BNT24" s="120"/>
      <c r="BNU24" s="120"/>
      <c r="BNV24" s="120"/>
      <c r="BNW24" s="120"/>
      <c r="BNX24" s="120"/>
      <c r="BNY24" s="120"/>
      <c r="BNZ24" s="120"/>
      <c r="BOA24" s="120"/>
      <c r="BOB24" s="120"/>
      <c r="BOC24" s="120"/>
      <c r="BOD24" s="120"/>
      <c r="BOE24" s="120"/>
      <c r="BOF24" s="120"/>
      <c r="BOG24" s="120"/>
      <c r="BOH24" s="120"/>
      <c r="BOI24" s="120"/>
      <c r="BOJ24" s="120"/>
      <c r="BOK24" s="120"/>
      <c r="BOL24" s="120"/>
      <c r="BOM24" s="120"/>
      <c r="BON24" s="120"/>
      <c r="BOO24" s="120"/>
      <c r="BOP24" s="120"/>
      <c r="BOQ24" s="120"/>
      <c r="BOR24" s="120"/>
      <c r="BOS24" s="120"/>
      <c r="BOT24" s="120"/>
      <c r="BOU24" s="120"/>
      <c r="BOV24" s="120"/>
      <c r="BOW24" s="120"/>
      <c r="BOX24" s="120"/>
      <c r="BOY24" s="120"/>
      <c r="BOZ24" s="120"/>
      <c r="BPA24" s="120"/>
      <c r="BPB24" s="120"/>
      <c r="BPC24" s="120"/>
      <c r="BPD24" s="120"/>
      <c r="BPE24" s="120"/>
      <c r="BPF24" s="120"/>
      <c r="BPG24" s="120"/>
      <c r="BPH24" s="120"/>
      <c r="BPI24" s="120"/>
      <c r="BPJ24" s="120"/>
      <c r="BPK24" s="120"/>
      <c r="BPL24" s="120"/>
      <c r="BPM24" s="120"/>
      <c r="BPN24" s="120"/>
      <c r="BPO24" s="120"/>
      <c r="BPP24" s="120"/>
      <c r="BPQ24" s="120"/>
      <c r="BPR24" s="120"/>
      <c r="BPS24" s="120"/>
      <c r="BPT24" s="120"/>
      <c r="BPU24" s="120"/>
      <c r="BPV24" s="120"/>
      <c r="BPW24" s="120"/>
      <c r="BPX24" s="120"/>
      <c r="BPY24" s="120"/>
      <c r="BPZ24" s="120"/>
      <c r="BQA24" s="120"/>
      <c r="BQB24" s="120"/>
      <c r="BQC24" s="120"/>
      <c r="BQD24" s="120"/>
      <c r="BQE24" s="120"/>
      <c r="BQF24" s="120"/>
      <c r="BQG24" s="120"/>
      <c r="BQH24" s="120"/>
      <c r="BQI24" s="120"/>
      <c r="BQJ24" s="120"/>
      <c r="BQK24" s="120"/>
      <c r="BQL24" s="120"/>
      <c r="BQM24" s="120"/>
      <c r="BQN24" s="120"/>
      <c r="BQO24" s="120"/>
      <c r="BQP24" s="120"/>
      <c r="BQQ24" s="120"/>
      <c r="BQR24" s="120"/>
      <c r="BQS24" s="120"/>
      <c r="BQT24" s="120"/>
      <c r="BQU24" s="120"/>
      <c r="BQV24" s="120"/>
      <c r="BQW24" s="120"/>
      <c r="BQX24" s="120"/>
      <c r="BQY24" s="120"/>
      <c r="BQZ24" s="120"/>
      <c r="BRA24" s="120"/>
      <c r="BRB24" s="120"/>
      <c r="BRC24" s="120"/>
      <c r="BRD24" s="120"/>
      <c r="BRE24" s="120"/>
      <c r="BRF24" s="120"/>
      <c r="BRG24" s="120"/>
      <c r="BRH24" s="120"/>
      <c r="BRI24" s="120"/>
      <c r="BRJ24" s="120"/>
      <c r="BRK24" s="120"/>
      <c r="BRL24" s="120"/>
      <c r="BRM24" s="120"/>
      <c r="BRN24" s="120"/>
      <c r="BRO24" s="120"/>
      <c r="BRP24" s="120"/>
      <c r="BRQ24" s="120"/>
      <c r="BRR24" s="120"/>
      <c r="BRS24" s="120"/>
      <c r="BRT24" s="120"/>
      <c r="BRU24" s="120"/>
      <c r="BRV24" s="120"/>
      <c r="BRW24" s="120"/>
      <c r="BRX24" s="120"/>
      <c r="BRY24" s="120"/>
      <c r="BRZ24" s="120"/>
      <c r="BSA24" s="120"/>
      <c r="BSB24" s="120"/>
      <c r="BSC24" s="120"/>
      <c r="BSD24" s="120"/>
      <c r="BSE24" s="120"/>
      <c r="BSF24" s="120"/>
      <c r="BSG24" s="120"/>
      <c r="BSH24" s="120"/>
      <c r="BSI24" s="120"/>
      <c r="BSJ24" s="120"/>
      <c r="BSK24" s="120"/>
      <c r="BSL24" s="120"/>
      <c r="BSM24" s="120"/>
      <c r="BSN24" s="120"/>
      <c r="BSO24" s="120"/>
      <c r="BSP24" s="120"/>
      <c r="BSQ24" s="120"/>
      <c r="BSR24" s="120"/>
      <c r="BSS24" s="120"/>
      <c r="BST24" s="120"/>
      <c r="BSU24" s="120"/>
      <c r="BSV24" s="120"/>
      <c r="BSW24" s="120"/>
      <c r="BSX24" s="120"/>
      <c r="BSY24" s="120"/>
      <c r="BSZ24" s="120"/>
      <c r="BTA24" s="120"/>
      <c r="BTB24" s="120"/>
      <c r="BTC24" s="120"/>
      <c r="BTD24" s="120"/>
      <c r="BTE24" s="120"/>
      <c r="BTF24" s="120"/>
      <c r="BTG24" s="120"/>
      <c r="BTH24" s="120"/>
      <c r="BTI24" s="120"/>
      <c r="BTJ24" s="120"/>
      <c r="BTK24" s="120"/>
      <c r="BTL24" s="120"/>
      <c r="BTM24" s="120"/>
      <c r="BTN24" s="120"/>
      <c r="BTO24" s="120"/>
      <c r="BTP24" s="120"/>
      <c r="BTQ24" s="120"/>
      <c r="BTR24" s="120"/>
      <c r="BTS24" s="120"/>
      <c r="BTT24" s="120"/>
      <c r="BTU24" s="120"/>
      <c r="BTV24" s="120"/>
      <c r="BTW24" s="120"/>
      <c r="BTX24" s="120"/>
      <c r="BTY24" s="120"/>
      <c r="BTZ24" s="120"/>
      <c r="BUA24" s="120"/>
      <c r="BUB24" s="120"/>
      <c r="BUC24" s="120"/>
      <c r="BUD24" s="120"/>
      <c r="BUE24" s="120"/>
      <c r="BUF24" s="120"/>
      <c r="BUG24" s="120"/>
      <c r="BUH24" s="120"/>
      <c r="BUI24" s="120"/>
      <c r="BUJ24" s="120"/>
      <c r="BUK24" s="120"/>
      <c r="BUL24" s="120"/>
      <c r="BUM24" s="120"/>
      <c r="BUN24" s="120"/>
      <c r="BUO24" s="120"/>
      <c r="BUP24" s="120"/>
      <c r="BUQ24" s="120"/>
      <c r="BUR24" s="120"/>
      <c r="BUS24" s="120"/>
      <c r="BUT24" s="120"/>
      <c r="BUU24" s="120"/>
      <c r="BUV24" s="120"/>
      <c r="BUW24" s="120"/>
      <c r="BUX24" s="120"/>
      <c r="BUY24" s="120"/>
      <c r="BUZ24" s="120"/>
      <c r="BVA24" s="120"/>
      <c r="BVB24" s="120"/>
      <c r="BVC24" s="120"/>
      <c r="BVD24" s="120"/>
      <c r="BVE24" s="120"/>
      <c r="BVF24" s="120"/>
      <c r="BVG24" s="120"/>
      <c r="BVH24" s="120"/>
      <c r="BVI24" s="120"/>
      <c r="BVJ24" s="120"/>
      <c r="BVK24" s="120"/>
      <c r="BVL24" s="120"/>
      <c r="BVM24" s="120"/>
      <c r="BVN24" s="120"/>
      <c r="BVO24" s="120"/>
      <c r="BVP24" s="120"/>
      <c r="BVQ24" s="120"/>
      <c r="BVR24" s="120"/>
      <c r="BVS24" s="120"/>
      <c r="BVT24" s="120"/>
      <c r="BVU24" s="120"/>
      <c r="BVV24" s="120"/>
      <c r="BVW24" s="120"/>
      <c r="BVX24" s="120"/>
      <c r="BVY24" s="120"/>
      <c r="BVZ24" s="120"/>
      <c r="BWA24" s="120"/>
      <c r="BWB24" s="120"/>
      <c r="BWC24" s="120"/>
      <c r="BWD24" s="120"/>
      <c r="BWE24" s="120"/>
      <c r="BWF24" s="120"/>
      <c r="BWG24" s="120"/>
      <c r="BWH24" s="120"/>
      <c r="BWI24" s="120"/>
      <c r="BWJ24" s="120"/>
      <c r="BWK24" s="120"/>
      <c r="BWL24" s="120"/>
      <c r="BWM24" s="120"/>
      <c r="BWN24" s="120"/>
      <c r="BWO24" s="120"/>
      <c r="BWP24" s="120"/>
      <c r="BWQ24" s="120"/>
      <c r="BWR24" s="120"/>
      <c r="BWS24" s="120"/>
      <c r="BWT24" s="120"/>
      <c r="BWU24" s="120"/>
      <c r="BWV24" s="120"/>
      <c r="BWW24" s="120"/>
      <c r="BWX24" s="120"/>
      <c r="BWY24" s="120"/>
      <c r="BWZ24" s="120"/>
      <c r="BXA24" s="120"/>
      <c r="BXB24" s="120"/>
      <c r="BXC24" s="120"/>
      <c r="BXD24" s="120"/>
      <c r="BXE24" s="120"/>
      <c r="BXF24" s="120"/>
      <c r="BXG24" s="120"/>
      <c r="BXH24" s="120"/>
      <c r="BXI24" s="120"/>
      <c r="BXJ24" s="120"/>
      <c r="BXK24" s="120"/>
      <c r="BXL24" s="120"/>
      <c r="BXM24" s="120"/>
      <c r="BXN24" s="120"/>
      <c r="BXO24" s="120"/>
      <c r="BXP24" s="120"/>
      <c r="BXQ24" s="120"/>
      <c r="BXR24" s="120"/>
      <c r="BXS24" s="120"/>
      <c r="BXT24" s="120"/>
      <c r="BXU24" s="120"/>
      <c r="BXV24" s="120"/>
      <c r="BXW24" s="120"/>
      <c r="BXX24" s="120"/>
      <c r="BXY24" s="120"/>
      <c r="BXZ24" s="120"/>
      <c r="BYA24" s="120"/>
      <c r="BYB24" s="120"/>
      <c r="BYC24" s="120"/>
      <c r="BYD24" s="120"/>
      <c r="BYE24" s="120"/>
      <c r="BYF24" s="120"/>
      <c r="BYG24" s="120"/>
      <c r="BYH24" s="120"/>
      <c r="BYI24" s="120"/>
      <c r="BYJ24" s="120"/>
      <c r="BYK24" s="120"/>
      <c r="BYL24" s="120"/>
      <c r="BYM24" s="120"/>
      <c r="BYN24" s="120"/>
      <c r="BYO24" s="120"/>
      <c r="BYP24" s="120"/>
      <c r="BYQ24" s="120"/>
      <c r="BYR24" s="120"/>
      <c r="BYS24" s="120"/>
      <c r="BYT24" s="120"/>
      <c r="BYU24" s="120"/>
      <c r="BYV24" s="120"/>
      <c r="BYW24" s="120"/>
      <c r="BYX24" s="120"/>
      <c r="BYY24" s="120"/>
      <c r="BYZ24" s="120"/>
      <c r="BZA24" s="120"/>
      <c r="BZB24" s="120"/>
      <c r="BZC24" s="120"/>
      <c r="BZD24" s="120"/>
      <c r="BZE24" s="120"/>
      <c r="BZF24" s="120"/>
      <c r="BZG24" s="120"/>
      <c r="BZH24" s="120"/>
      <c r="BZI24" s="120"/>
      <c r="BZJ24" s="120"/>
      <c r="BZK24" s="120"/>
      <c r="BZL24" s="120"/>
      <c r="BZM24" s="120"/>
      <c r="BZN24" s="120"/>
      <c r="BZO24" s="120"/>
      <c r="BZP24" s="120"/>
      <c r="BZQ24" s="120"/>
      <c r="BZR24" s="120"/>
      <c r="BZS24" s="120"/>
      <c r="BZT24" s="120"/>
      <c r="BZU24" s="120"/>
      <c r="BZV24" s="120"/>
      <c r="BZW24" s="120"/>
      <c r="BZX24" s="120"/>
      <c r="BZY24" s="120"/>
      <c r="BZZ24" s="120"/>
      <c r="CAA24" s="120"/>
      <c r="CAB24" s="120"/>
      <c r="CAC24" s="120"/>
      <c r="CAD24" s="120"/>
      <c r="CAE24" s="120"/>
      <c r="CAF24" s="120"/>
      <c r="CAG24" s="120"/>
      <c r="CAH24" s="120"/>
      <c r="CAI24" s="120"/>
      <c r="CAJ24" s="120"/>
      <c r="CAK24" s="120"/>
      <c r="CAL24" s="120"/>
      <c r="CAM24" s="120"/>
      <c r="CAN24" s="120"/>
      <c r="CAO24" s="120"/>
      <c r="CAP24" s="120"/>
      <c r="CAQ24" s="120"/>
      <c r="CAR24" s="120"/>
      <c r="CAS24" s="120"/>
      <c r="CAT24" s="120"/>
      <c r="CAU24" s="120"/>
      <c r="CAV24" s="120"/>
      <c r="CAW24" s="120"/>
      <c r="CAX24" s="120"/>
      <c r="CAY24" s="120"/>
      <c r="CAZ24" s="120"/>
      <c r="CBA24" s="120"/>
      <c r="CBB24" s="120"/>
      <c r="CBC24" s="120"/>
      <c r="CBD24" s="120"/>
      <c r="CBE24" s="120"/>
      <c r="CBF24" s="120"/>
      <c r="CBG24" s="120"/>
      <c r="CBH24" s="120"/>
      <c r="CBI24" s="120"/>
      <c r="CBJ24" s="120"/>
      <c r="CBK24" s="120"/>
      <c r="CBL24" s="120"/>
      <c r="CBM24" s="120"/>
      <c r="CBN24" s="120"/>
      <c r="CBO24" s="120"/>
      <c r="CBP24" s="120"/>
      <c r="CBQ24" s="120"/>
      <c r="CBR24" s="120"/>
      <c r="CBS24" s="120"/>
      <c r="CBT24" s="120"/>
      <c r="CBU24" s="120"/>
      <c r="CBV24" s="120"/>
      <c r="CBW24" s="120"/>
      <c r="CBX24" s="120"/>
      <c r="CBY24" s="120"/>
      <c r="CBZ24" s="120"/>
      <c r="CCA24" s="120"/>
      <c r="CCB24" s="120"/>
      <c r="CCC24" s="120"/>
      <c r="CCD24" s="120"/>
      <c r="CCE24" s="120"/>
      <c r="CCF24" s="120"/>
      <c r="CCG24" s="120"/>
      <c r="CCH24" s="120"/>
      <c r="CCI24" s="120"/>
      <c r="CCJ24" s="120"/>
      <c r="CCK24" s="120"/>
      <c r="CCL24" s="120"/>
      <c r="CCM24" s="120"/>
      <c r="CCN24" s="120"/>
      <c r="CCO24" s="120"/>
      <c r="CCP24" s="120"/>
      <c r="CCQ24" s="120"/>
      <c r="CCR24" s="120"/>
      <c r="CCS24" s="120"/>
      <c r="CCT24" s="120"/>
      <c r="CCU24" s="120"/>
      <c r="CCV24" s="120"/>
      <c r="CCW24" s="120"/>
      <c r="CCX24" s="120"/>
      <c r="CCY24" s="120"/>
      <c r="CCZ24" s="120"/>
      <c r="CDA24" s="120"/>
      <c r="CDB24" s="120"/>
      <c r="CDC24" s="120"/>
      <c r="CDD24" s="120"/>
      <c r="CDE24" s="120"/>
      <c r="CDF24" s="120"/>
      <c r="CDG24" s="120"/>
      <c r="CDH24" s="120"/>
      <c r="CDI24" s="120"/>
      <c r="CDJ24" s="120"/>
      <c r="CDK24" s="120"/>
      <c r="CDL24" s="120"/>
      <c r="CDM24" s="120"/>
      <c r="CDN24" s="120"/>
      <c r="CDO24" s="120"/>
      <c r="CDP24" s="120"/>
      <c r="CDQ24" s="120"/>
      <c r="CDR24" s="120"/>
      <c r="CDS24" s="120"/>
      <c r="CDT24" s="120"/>
      <c r="CDU24" s="120"/>
      <c r="CDV24" s="120"/>
      <c r="CDW24" s="120"/>
      <c r="CDX24" s="120"/>
      <c r="CDY24" s="120"/>
      <c r="CDZ24" s="120"/>
      <c r="CEA24" s="120"/>
      <c r="CEB24" s="120"/>
      <c r="CEC24" s="120"/>
      <c r="CED24" s="120"/>
      <c r="CEE24" s="120"/>
      <c r="CEF24" s="120"/>
      <c r="CEG24" s="120"/>
      <c r="CEH24" s="120"/>
      <c r="CEI24" s="120"/>
      <c r="CEJ24" s="120"/>
      <c r="CEK24" s="120"/>
      <c r="CEL24" s="120"/>
      <c r="CEM24" s="120"/>
      <c r="CEN24" s="120"/>
      <c r="CEO24" s="120"/>
      <c r="CEP24" s="120"/>
      <c r="CEQ24" s="120"/>
      <c r="CER24" s="120"/>
      <c r="CES24" s="120"/>
      <c r="CET24" s="120"/>
      <c r="CEU24" s="120"/>
      <c r="CEV24" s="120"/>
      <c r="CEW24" s="120"/>
      <c r="CEX24" s="120"/>
      <c r="CEY24" s="120"/>
      <c r="CEZ24" s="120"/>
      <c r="CFA24" s="120"/>
      <c r="CFB24" s="120"/>
      <c r="CFC24" s="120"/>
      <c r="CFD24" s="120"/>
      <c r="CFE24" s="120"/>
      <c r="CFF24" s="120"/>
      <c r="CFG24" s="120"/>
      <c r="CFH24" s="120"/>
      <c r="CFI24" s="120"/>
      <c r="CFJ24" s="120"/>
      <c r="CFK24" s="120"/>
      <c r="CFL24" s="120"/>
      <c r="CFM24" s="120"/>
      <c r="CFN24" s="120"/>
      <c r="CFO24" s="120"/>
      <c r="CFP24" s="120"/>
      <c r="CFQ24" s="120"/>
      <c r="CFR24" s="120"/>
      <c r="CFS24" s="120"/>
      <c r="CFT24" s="120"/>
      <c r="CFU24" s="120"/>
      <c r="CFV24" s="120"/>
      <c r="CFW24" s="120"/>
      <c r="CFX24" s="120"/>
      <c r="CFY24" s="120"/>
      <c r="CFZ24" s="120"/>
      <c r="CGA24" s="120"/>
      <c r="CGB24" s="120"/>
      <c r="CGC24" s="120"/>
      <c r="CGD24" s="120"/>
      <c r="CGE24" s="120"/>
      <c r="CGF24" s="120"/>
      <c r="CGG24" s="120"/>
      <c r="CGH24" s="120"/>
      <c r="CGI24" s="120"/>
      <c r="CGJ24" s="120"/>
      <c r="CGK24" s="120"/>
      <c r="CGL24" s="120"/>
      <c r="CGM24" s="120"/>
      <c r="CGN24" s="120"/>
      <c r="CGO24" s="120"/>
      <c r="CGP24" s="120"/>
      <c r="CGQ24" s="120"/>
      <c r="CGR24" s="120"/>
      <c r="CGS24" s="120"/>
      <c r="CGT24" s="120"/>
      <c r="CGU24" s="120"/>
      <c r="CGV24" s="120"/>
      <c r="CGW24" s="120"/>
      <c r="CGX24" s="120"/>
      <c r="CGY24" s="120"/>
      <c r="CGZ24" s="120"/>
      <c r="CHA24" s="120"/>
      <c r="CHB24" s="120"/>
      <c r="CHC24" s="120"/>
      <c r="CHD24" s="120"/>
      <c r="CHE24" s="120"/>
      <c r="CHF24" s="120"/>
      <c r="CHG24" s="120"/>
      <c r="CHH24" s="120"/>
      <c r="CHI24" s="120"/>
      <c r="CHJ24" s="120"/>
      <c r="CHK24" s="120"/>
      <c r="CHL24" s="120"/>
      <c r="CHM24" s="120"/>
      <c r="CHN24" s="120"/>
      <c r="CHO24" s="120"/>
      <c r="CHP24" s="120"/>
      <c r="CHQ24" s="120"/>
      <c r="CHR24" s="120"/>
      <c r="CHS24" s="120"/>
      <c r="CHT24" s="120"/>
      <c r="CHU24" s="120"/>
      <c r="CHV24" s="120"/>
      <c r="CHW24" s="120"/>
      <c r="CHX24" s="120"/>
      <c r="CHY24" s="120"/>
      <c r="CHZ24" s="120"/>
      <c r="CIA24" s="120"/>
      <c r="CIB24" s="120"/>
      <c r="CIC24" s="120"/>
      <c r="CID24" s="120"/>
      <c r="CIE24" s="120"/>
      <c r="CIF24" s="120"/>
      <c r="CIG24" s="120"/>
      <c r="CIH24" s="120"/>
      <c r="CII24" s="120"/>
      <c r="CIJ24" s="120"/>
      <c r="CIK24" s="120"/>
      <c r="CIL24" s="120"/>
      <c r="CIM24" s="120"/>
      <c r="CIN24" s="120"/>
      <c r="CIO24" s="120"/>
      <c r="CIP24" s="120"/>
      <c r="CIQ24" s="120"/>
      <c r="CIR24" s="120"/>
      <c r="CIS24" s="120"/>
      <c r="CIT24" s="120"/>
      <c r="CIU24" s="120"/>
      <c r="CIV24" s="120"/>
      <c r="CIW24" s="120"/>
      <c r="CIX24" s="120"/>
      <c r="CIY24" s="120"/>
      <c r="CIZ24" s="120"/>
      <c r="CJA24" s="120"/>
      <c r="CJB24" s="120"/>
      <c r="CJC24" s="120"/>
      <c r="CJD24" s="120"/>
      <c r="CJE24" s="120"/>
      <c r="CJF24" s="120"/>
      <c r="CJG24" s="120"/>
      <c r="CJH24" s="120"/>
      <c r="CJI24" s="120"/>
      <c r="CJJ24" s="120"/>
      <c r="CJK24" s="120"/>
      <c r="CJL24" s="120"/>
      <c r="CJM24" s="120"/>
      <c r="CJN24" s="120"/>
      <c r="CJO24" s="120"/>
      <c r="CJP24" s="120"/>
      <c r="CJQ24" s="120"/>
      <c r="CJR24" s="120"/>
      <c r="CJS24" s="120"/>
      <c r="CJT24" s="120"/>
      <c r="CJU24" s="120"/>
      <c r="CJV24" s="120"/>
      <c r="CJW24" s="120"/>
      <c r="CJX24" s="120"/>
      <c r="CJY24" s="120"/>
      <c r="CJZ24" s="120"/>
      <c r="CKA24" s="120"/>
      <c r="CKB24" s="120"/>
      <c r="CKC24" s="120"/>
      <c r="CKD24" s="120"/>
      <c r="CKE24" s="120"/>
      <c r="CKF24" s="120"/>
      <c r="CKG24" s="120"/>
      <c r="CKH24" s="120"/>
      <c r="CKI24" s="120"/>
      <c r="CKJ24" s="120"/>
      <c r="CKK24" s="120"/>
      <c r="CKL24" s="120"/>
      <c r="CKM24" s="120"/>
      <c r="CKN24" s="120"/>
      <c r="CKO24" s="120"/>
      <c r="CKP24" s="120"/>
      <c r="CKQ24" s="120"/>
      <c r="CKR24" s="120"/>
      <c r="CKS24" s="120"/>
      <c r="CKT24" s="120"/>
      <c r="CKU24" s="120"/>
      <c r="CKV24" s="120"/>
      <c r="CKW24" s="120"/>
      <c r="CKX24" s="120"/>
      <c r="CKY24" s="120"/>
      <c r="CKZ24" s="120"/>
      <c r="CLA24" s="120"/>
      <c r="CLB24" s="120"/>
      <c r="CLC24" s="120"/>
      <c r="CLD24" s="120"/>
      <c r="CLE24" s="120"/>
      <c r="CLF24" s="120"/>
      <c r="CLG24" s="120"/>
      <c r="CLH24" s="120"/>
      <c r="CLI24" s="120"/>
      <c r="CLJ24" s="120"/>
      <c r="CLK24" s="120"/>
      <c r="CLL24" s="120"/>
      <c r="CLM24" s="120"/>
      <c r="CLN24" s="120"/>
      <c r="CLO24" s="120"/>
      <c r="CLP24" s="120"/>
      <c r="CLQ24" s="120"/>
      <c r="CLR24" s="120"/>
      <c r="CLS24" s="120"/>
      <c r="CLT24" s="120"/>
      <c r="CLU24" s="120"/>
      <c r="CLV24" s="120"/>
      <c r="CLW24" s="120"/>
      <c r="CLX24" s="120"/>
      <c r="CLY24" s="120"/>
      <c r="CLZ24" s="120"/>
      <c r="CMA24" s="120"/>
      <c r="CMB24" s="120"/>
      <c r="CMC24" s="120"/>
      <c r="CMD24" s="120"/>
      <c r="CME24" s="120"/>
      <c r="CMF24" s="120"/>
      <c r="CMG24" s="120"/>
      <c r="CMH24" s="120"/>
      <c r="CMI24" s="120"/>
      <c r="CMJ24" s="120"/>
      <c r="CMK24" s="120"/>
      <c r="CML24" s="120"/>
      <c r="CMM24" s="120"/>
      <c r="CMN24" s="120"/>
      <c r="CMO24" s="120"/>
      <c r="CMP24" s="120"/>
      <c r="CMQ24" s="120"/>
      <c r="CMR24" s="120"/>
      <c r="CMS24" s="120"/>
      <c r="CMT24" s="120"/>
      <c r="CMU24" s="120"/>
      <c r="CMV24" s="120"/>
      <c r="CMW24" s="120"/>
      <c r="CMX24" s="120"/>
      <c r="CMY24" s="120"/>
      <c r="CMZ24" s="120"/>
      <c r="CNA24" s="120"/>
      <c r="CNB24" s="120"/>
      <c r="CNC24" s="120"/>
      <c r="CND24" s="120"/>
      <c r="CNE24" s="120"/>
      <c r="CNF24" s="120"/>
      <c r="CNG24" s="120"/>
      <c r="CNH24" s="120"/>
      <c r="CNI24" s="120"/>
      <c r="CNJ24" s="120"/>
      <c r="CNK24" s="120"/>
      <c r="CNL24" s="120"/>
      <c r="CNM24" s="120"/>
      <c r="CNN24" s="120"/>
      <c r="CNO24" s="120"/>
      <c r="CNP24" s="120"/>
      <c r="CNQ24" s="120"/>
      <c r="CNR24" s="120"/>
      <c r="CNS24" s="120"/>
      <c r="CNT24" s="120"/>
      <c r="CNU24" s="120"/>
      <c r="CNV24" s="120"/>
      <c r="CNW24" s="120"/>
      <c r="CNX24" s="120"/>
      <c r="CNY24" s="120"/>
      <c r="CNZ24" s="120"/>
      <c r="COA24" s="120"/>
      <c r="COB24" s="120"/>
      <c r="COC24" s="120"/>
      <c r="COD24" s="120"/>
      <c r="COE24" s="120"/>
      <c r="COF24" s="120"/>
      <c r="COG24" s="120"/>
      <c r="COH24" s="120"/>
      <c r="COI24" s="120"/>
      <c r="COJ24" s="120"/>
      <c r="COK24" s="120"/>
      <c r="COL24" s="120"/>
      <c r="COM24" s="120"/>
      <c r="CON24" s="120"/>
      <c r="COO24" s="120"/>
      <c r="COP24" s="120"/>
      <c r="COQ24" s="120"/>
      <c r="COR24" s="120"/>
      <c r="COS24" s="120"/>
      <c r="COT24" s="120"/>
      <c r="COU24" s="120"/>
      <c r="COV24" s="120"/>
      <c r="COW24" s="120"/>
      <c r="COX24" s="120"/>
      <c r="COY24" s="120"/>
      <c r="COZ24" s="120"/>
      <c r="CPA24" s="120"/>
      <c r="CPB24" s="120"/>
      <c r="CPC24" s="120"/>
      <c r="CPD24" s="120"/>
      <c r="CPE24" s="120"/>
      <c r="CPF24" s="120"/>
      <c r="CPG24" s="120"/>
      <c r="CPH24" s="120"/>
      <c r="CPI24" s="120"/>
      <c r="CPJ24" s="120"/>
      <c r="CPK24" s="120"/>
      <c r="CPL24" s="120"/>
      <c r="CPM24" s="120"/>
      <c r="CPN24" s="120"/>
      <c r="CPO24" s="120"/>
      <c r="CPP24" s="120"/>
      <c r="CPQ24" s="120"/>
      <c r="CPR24" s="120"/>
      <c r="CPS24" s="120"/>
      <c r="CPT24" s="120"/>
      <c r="CPU24" s="120"/>
      <c r="CPV24" s="120"/>
      <c r="CPW24" s="120"/>
      <c r="CPX24" s="120"/>
      <c r="CPY24" s="120"/>
      <c r="CPZ24" s="120"/>
      <c r="CQA24" s="120"/>
      <c r="CQB24" s="120"/>
      <c r="CQC24" s="120"/>
      <c r="CQD24" s="120"/>
      <c r="CQE24" s="120"/>
      <c r="CQF24" s="120"/>
      <c r="CQG24" s="120"/>
      <c r="CQH24" s="120"/>
      <c r="CQI24" s="120"/>
      <c r="CQJ24" s="120"/>
      <c r="CQK24" s="120"/>
      <c r="CQL24" s="120"/>
      <c r="CQM24" s="120"/>
      <c r="CQN24" s="120"/>
      <c r="CQO24" s="120"/>
      <c r="CQP24" s="120"/>
      <c r="CQQ24" s="120"/>
      <c r="CQR24" s="120"/>
      <c r="CQS24" s="120"/>
      <c r="CQT24" s="120"/>
      <c r="CQU24" s="120"/>
      <c r="CQV24" s="120"/>
      <c r="CQW24" s="120"/>
      <c r="CQX24" s="120"/>
      <c r="CQY24" s="120"/>
      <c r="CQZ24" s="120"/>
      <c r="CRA24" s="120"/>
      <c r="CRB24" s="120"/>
      <c r="CRC24" s="120"/>
      <c r="CRD24" s="120"/>
      <c r="CRE24" s="120"/>
      <c r="CRF24" s="120"/>
      <c r="CRG24" s="120"/>
      <c r="CRH24" s="120"/>
      <c r="CRI24" s="120"/>
      <c r="CRJ24" s="120"/>
      <c r="CRK24" s="120"/>
      <c r="CRL24" s="120"/>
      <c r="CRM24" s="120"/>
      <c r="CRN24" s="120"/>
      <c r="CRO24" s="120"/>
      <c r="CRP24" s="120"/>
      <c r="CRQ24" s="120"/>
      <c r="CRR24" s="120"/>
      <c r="CRS24" s="120"/>
      <c r="CRT24" s="120"/>
      <c r="CRU24" s="120"/>
      <c r="CRV24" s="120"/>
      <c r="CRW24" s="120"/>
      <c r="CRX24" s="120"/>
      <c r="CRY24" s="120"/>
      <c r="CRZ24" s="120"/>
      <c r="CSA24" s="120"/>
      <c r="CSB24" s="120"/>
      <c r="CSC24" s="120"/>
      <c r="CSD24" s="120"/>
      <c r="CSE24" s="120"/>
      <c r="CSF24" s="120"/>
      <c r="CSG24" s="120"/>
      <c r="CSH24" s="120"/>
      <c r="CSI24" s="120"/>
      <c r="CSJ24" s="120"/>
      <c r="CSK24" s="120"/>
      <c r="CSL24" s="120"/>
      <c r="CSM24" s="120"/>
      <c r="CSN24" s="120"/>
      <c r="CSO24" s="120"/>
      <c r="CSP24" s="120"/>
      <c r="CSQ24" s="120"/>
      <c r="CSR24" s="120"/>
      <c r="CSS24" s="120"/>
      <c r="CST24" s="120"/>
      <c r="CSU24" s="120"/>
      <c r="CSV24" s="120"/>
      <c r="CSW24" s="120"/>
      <c r="CSX24" s="120"/>
      <c r="CSY24" s="120"/>
      <c r="CSZ24" s="120"/>
      <c r="CTA24" s="120"/>
      <c r="CTB24" s="120"/>
      <c r="CTC24" s="120"/>
      <c r="CTD24" s="120"/>
      <c r="CTE24" s="120"/>
      <c r="CTF24" s="120"/>
      <c r="CTG24" s="120"/>
      <c r="CTH24" s="120"/>
      <c r="CTI24" s="120"/>
      <c r="CTJ24" s="120"/>
      <c r="CTK24" s="120"/>
      <c r="CTL24" s="120"/>
      <c r="CTM24" s="120"/>
      <c r="CTN24" s="120"/>
      <c r="CTO24" s="120"/>
      <c r="CTP24" s="120"/>
      <c r="CTQ24" s="120"/>
      <c r="CTR24" s="120"/>
      <c r="CTS24" s="120"/>
      <c r="CTT24" s="120"/>
      <c r="CTU24" s="120"/>
      <c r="CTV24" s="120"/>
      <c r="CTW24" s="120"/>
      <c r="CTX24" s="120"/>
      <c r="CTY24" s="120"/>
      <c r="CTZ24" s="120"/>
      <c r="CUA24" s="120"/>
      <c r="CUB24" s="120"/>
      <c r="CUC24" s="120"/>
      <c r="CUD24" s="120"/>
      <c r="CUE24" s="120"/>
      <c r="CUF24" s="120"/>
      <c r="CUG24" s="120"/>
      <c r="CUH24" s="120"/>
      <c r="CUI24" s="120"/>
      <c r="CUJ24" s="120"/>
      <c r="CUK24" s="120"/>
      <c r="CUL24" s="120"/>
      <c r="CUM24" s="120"/>
      <c r="CUN24" s="120"/>
      <c r="CUO24" s="120"/>
      <c r="CUP24" s="120"/>
      <c r="CUQ24" s="120"/>
      <c r="CUR24" s="120"/>
      <c r="CUS24" s="120"/>
      <c r="CUT24" s="120"/>
      <c r="CUU24" s="120"/>
      <c r="CUV24" s="120"/>
      <c r="CUW24" s="120"/>
      <c r="CUX24" s="120"/>
      <c r="CUY24" s="120"/>
      <c r="CUZ24" s="120"/>
      <c r="CVA24" s="120"/>
      <c r="CVB24" s="120"/>
      <c r="CVC24" s="120"/>
      <c r="CVD24" s="120"/>
      <c r="CVE24" s="120"/>
      <c r="CVF24" s="120"/>
      <c r="CVG24" s="120"/>
      <c r="CVH24" s="120"/>
      <c r="CVI24" s="120"/>
      <c r="CVJ24" s="120"/>
      <c r="CVK24" s="120"/>
      <c r="CVL24" s="120"/>
      <c r="CVM24" s="120"/>
      <c r="CVN24" s="120"/>
      <c r="CVO24" s="120"/>
      <c r="CVP24" s="120"/>
      <c r="CVQ24" s="120"/>
      <c r="CVR24" s="120"/>
      <c r="CVS24" s="120"/>
      <c r="CVT24" s="120"/>
      <c r="CVU24" s="120"/>
      <c r="CVV24" s="120"/>
      <c r="CVW24" s="120"/>
      <c r="CVX24" s="120"/>
      <c r="CVY24" s="120"/>
      <c r="CVZ24" s="120"/>
      <c r="CWA24" s="120"/>
      <c r="CWB24" s="120"/>
      <c r="CWC24" s="120"/>
      <c r="CWD24" s="120"/>
      <c r="CWE24" s="120"/>
      <c r="CWF24" s="120"/>
      <c r="CWG24" s="120"/>
      <c r="CWH24" s="120"/>
      <c r="CWI24" s="120"/>
      <c r="CWJ24" s="120"/>
      <c r="CWK24" s="120"/>
      <c r="CWL24" s="120"/>
      <c r="CWM24" s="120"/>
      <c r="CWN24" s="120"/>
      <c r="CWO24" s="120"/>
      <c r="CWP24" s="120"/>
      <c r="CWQ24" s="120"/>
      <c r="CWR24" s="120"/>
      <c r="CWS24" s="120"/>
      <c r="CWT24" s="120"/>
      <c r="CWU24" s="120"/>
      <c r="CWV24" s="120"/>
      <c r="CWW24" s="120"/>
      <c r="CWX24" s="120"/>
      <c r="CWY24" s="120"/>
      <c r="CWZ24" s="120"/>
      <c r="CXA24" s="120"/>
      <c r="CXB24" s="120"/>
      <c r="CXC24" s="120"/>
      <c r="CXD24" s="120"/>
      <c r="CXE24" s="120"/>
      <c r="CXF24" s="120"/>
      <c r="CXG24" s="120"/>
      <c r="CXH24" s="120"/>
      <c r="CXI24" s="120"/>
      <c r="CXJ24" s="120"/>
      <c r="CXK24" s="120"/>
      <c r="CXL24" s="120"/>
      <c r="CXM24" s="120"/>
      <c r="CXN24" s="120"/>
      <c r="CXO24" s="120"/>
      <c r="CXP24" s="120"/>
      <c r="CXQ24" s="120"/>
      <c r="CXR24" s="120"/>
      <c r="CXS24" s="120"/>
      <c r="CXT24" s="120"/>
      <c r="CXU24" s="120"/>
      <c r="CXV24" s="120"/>
      <c r="CXW24" s="120"/>
      <c r="CXX24" s="120"/>
      <c r="CXY24" s="120"/>
      <c r="CXZ24" s="120"/>
      <c r="CYA24" s="120"/>
      <c r="CYB24" s="120"/>
      <c r="CYC24" s="120"/>
      <c r="CYD24" s="120"/>
      <c r="CYE24" s="120"/>
      <c r="CYF24" s="120"/>
      <c r="CYG24" s="120"/>
      <c r="CYH24" s="120"/>
      <c r="CYI24" s="120"/>
      <c r="CYJ24" s="120"/>
      <c r="CYK24" s="120"/>
      <c r="CYL24" s="120"/>
      <c r="CYM24" s="120"/>
      <c r="CYN24" s="120"/>
      <c r="CYO24" s="120"/>
      <c r="CYP24" s="120"/>
      <c r="CYQ24" s="120"/>
      <c r="CYR24" s="120"/>
      <c r="CYS24" s="120"/>
      <c r="CYT24" s="120"/>
      <c r="CYU24" s="120"/>
      <c r="CYV24" s="120"/>
      <c r="CYW24" s="120"/>
      <c r="CYX24" s="120"/>
      <c r="CYY24" s="120"/>
      <c r="CYZ24" s="120"/>
      <c r="CZA24" s="120"/>
      <c r="CZB24" s="120"/>
      <c r="CZC24" s="120"/>
      <c r="CZD24" s="120"/>
      <c r="CZE24" s="120"/>
      <c r="CZF24" s="120"/>
      <c r="CZG24" s="120"/>
      <c r="CZH24" s="120"/>
      <c r="CZI24" s="120"/>
      <c r="CZJ24" s="120"/>
      <c r="CZK24" s="120"/>
      <c r="CZL24" s="120"/>
      <c r="CZM24" s="120"/>
      <c r="CZN24" s="120"/>
      <c r="CZO24" s="120"/>
      <c r="CZP24" s="120"/>
      <c r="CZQ24" s="120"/>
      <c r="CZR24" s="120"/>
      <c r="CZS24" s="120"/>
      <c r="CZT24" s="120"/>
      <c r="CZU24" s="120"/>
      <c r="CZV24" s="120"/>
      <c r="CZW24" s="120"/>
      <c r="CZX24" s="120"/>
      <c r="CZY24" s="120"/>
      <c r="CZZ24" s="120"/>
      <c r="DAA24" s="120"/>
      <c r="DAB24" s="120"/>
      <c r="DAC24" s="120"/>
      <c r="DAD24" s="120"/>
      <c r="DAE24" s="120"/>
      <c r="DAF24" s="120"/>
      <c r="DAG24" s="120"/>
      <c r="DAH24" s="120"/>
      <c r="DAI24" s="120"/>
      <c r="DAJ24" s="120"/>
      <c r="DAK24" s="120"/>
      <c r="DAL24" s="120"/>
      <c r="DAM24" s="120"/>
      <c r="DAN24" s="120"/>
      <c r="DAO24" s="120"/>
      <c r="DAP24" s="120"/>
      <c r="DAQ24" s="120"/>
      <c r="DAR24" s="120"/>
      <c r="DAS24" s="120"/>
      <c r="DAT24" s="120"/>
      <c r="DAU24" s="120"/>
      <c r="DAV24" s="120"/>
      <c r="DAW24" s="120"/>
      <c r="DAX24" s="120"/>
      <c r="DAY24" s="120"/>
      <c r="DAZ24" s="120"/>
      <c r="DBA24" s="120"/>
      <c r="DBB24" s="120"/>
      <c r="DBC24" s="120"/>
      <c r="DBD24" s="120"/>
      <c r="DBE24" s="120"/>
      <c r="DBF24" s="120"/>
      <c r="DBG24" s="120"/>
      <c r="DBH24" s="120"/>
      <c r="DBI24" s="120"/>
      <c r="DBJ24" s="120"/>
      <c r="DBK24" s="120"/>
      <c r="DBL24" s="120"/>
      <c r="DBM24" s="120"/>
      <c r="DBN24" s="120"/>
      <c r="DBO24" s="120"/>
      <c r="DBP24" s="120"/>
      <c r="DBQ24" s="120"/>
      <c r="DBR24" s="120"/>
      <c r="DBS24" s="120"/>
      <c r="DBT24" s="120"/>
      <c r="DBU24" s="120"/>
      <c r="DBV24" s="120"/>
      <c r="DBW24" s="120"/>
      <c r="DBX24" s="120"/>
      <c r="DBY24" s="120"/>
      <c r="DBZ24" s="120"/>
      <c r="DCA24" s="120"/>
      <c r="DCB24" s="120"/>
      <c r="DCC24" s="120"/>
      <c r="DCD24" s="120"/>
      <c r="DCE24" s="120"/>
      <c r="DCF24" s="120"/>
      <c r="DCG24" s="120"/>
      <c r="DCH24" s="120"/>
      <c r="DCI24" s="120"/>
      <c r="DCJ24" s="120"/>
      <c r="DCK24" s="120"/>
      <c r="DCL24" s="120"/>
      <c r="DCM24" s="120"/>
      <c r="DCN24" s="120"/>
      <c r="DCO24" s="120"/>
      <c r="DCP24" s="120"/>
      <c r="DCQ24" s="120"/>
      <c r="DCR24" s="120"/>
      <c r="DCS24" s="120"/>
      <c r="DCT24" s="120"/>
      <c r="DCU24" s="120"/>
      <c r="DCV24" s="120"/>
      <c r="DCW24" s="120"/>
      <c r="DCX24" s="120"/>
      <c r="DCY24" s="120"/>
      <c r="DCZ24" s="120"/>
      <c r="DDA24" s="120"/>
      <c r="DDB24" s="120"/>
      <c r="DDC24" s="120"/>
      <c r="DDD24" s="120"/>
      <c r="DDE24" s="120"/>
      <c r="DDF24" s="120"/>
      <c r="DDG24" s="120"/>
      <c r="DDH24" s="120"/>
      <c r="DDI24" s="120"/>
      <c r="DDJ24" s="120"/>
      <c r="DDK24" s="120"/>
      <c r="DDL24" s="120"/>
      <c r="DDM24" s="120"/>
      <c r="DDN24" s="120"/>
      <c r="DDO24" s="120"/>
      <c r="DDP24" s="120"/>
      <c r="DDQ24" s="120"/>
      <c r="DDR24" s="120"/>
      <c r="DDS24" s="120"/>
      <c r="DDT24" s="120"/>
      <c r="DDU24" s="120"/>
      <c r="DDV24" s="120"/>
      <c r="DDW24" s="120"/>
      <c r="DDX24" s="120"/>
      <c r="DDY24" s="120"/>
      <c r="DDZ24" s="120"/>
      <c r="DEA24" s="120"/>
      <c r="DEB24" s="120"/>
      <c r="DEC24" s="120"/>
      <c r="DED24" s="120"/>
      <c r="DEE24" s="120"/>
      <c r="DEF24" s="120"/>
      <c r="DEG24" s="120"/>
      <c r="DEH24" s="120"/>
      <c r="DEI24" s="120"/>
      <c r="DEJ24" s="120"/>
      <c r="DEK24" s="120"/>
      <c r="DEL24" s="120"/>
      <c r="DEM24" s="120"/>
      <c r="DEN24" s="120"/>
      <c r="DEO24" s="120"/>
      <c r="DEP24" s="120"/>
      <c r="DEQ24" s="120"/>
      <c r="DER24" s="120"/>
      <c r="DES24" s="120"/>
      <c r="DET24" s="120"/>
      <c r="DEU24" s="120"/>
      <c r="DEV24" s="120"/>
      <c r="DEW24" s="120"/>
      <c r="DEX24" s="120"/>
      <c r="DEY24" s="120"/>
      <c r="DEZ24" s="120"/>
      <c r="DFA24" s="120"/>
      <c r="DFB24" s="120"/>
      <c r="DFC24" s="120"/>
      <c r="DFD24" s="120"/>
      <c r="DFE24" s="120"/>
      <c r="DFF24" s="120"/>
      <c r="DFG24" s="120"/>
      <c r="DFH24" s="120"/>
      <c r="DFI24" s="120"/>
      <c r="DFJ24" s="120"/>
      <c r="DFK24" s="120"/>
      <c r="DFL24" s="120"/>
      <c r="DFM24" s="120"/>
      <c r="DFN24" s="120"/>
      <c r="DFO24" s="120"/>
      <c r="DFP24" s="120"/>
      <c r="DFQ24" s="120"/>
      <c r="DFR24" s="120"/>
      <c r="DFS24" s="120"/>
      <c r="DFT24" s="120"/>
      <c r="DFU24" s="120"/>
      <c r="DFV24" s="120"/>
      <c r="DFW24" s="120"/>
      <c r="DFX24" s="120"/>
      <c r="DFY24" s="120"/>
      <c r="DFZ24" s="120"/>
      <c r="DGA24" s="120"/>
      <c r="DGB24" s="120"/>
      <c r="DGC24" s="120"/>
      <c r="DGD24" s="120"/>
      <c r="DGE24" s="120"/>
      <c r="DGF24" s="120"/>
      <c r="DGG24" s="120"/>
      <c r="DGH24" s="120"/>
      <c r="DGI24" s="120"/>
      <c r="DGJ24" s="120"/>
      <c r="DGK24" s="120"/>
      <c r="DGL24" s="120"/>
      <c r="DGM24" s="120"/>
      <c r="DGN24" s="120"/>
      <c r="DGO24" s="120"/>
      <c r="DGP24" s="120"/>
      <c r="DGQ24" s="120"/>
      <c r="DGR24" s="120"/>
      <c r="DGS24" s="120"/>
      <c r="DGT24" s="120"/>
      <c r="DGU24" s="120"/>
      <c r="DGV24" s="120"/>
      <c r="DGW24" s="120"/>
      <c r="DGX24" s="120"/>
      <c r="DGY24" s="120"/>
      <c r="DGZ24" s="120"/>
      <c r="DHA24" s="120"/>
      <c r="DHB24" s="120"/>
      <c r="DHC24" s="120"/>
      <c r="DHD24" s="120"/>
      <c r="DHE24" s="120"/>
      <c r="DHF24" s="120"/>
      <c r="DHG24" s="120"/>
      <c r="DHH24" s="120"/>
      <c r="DHI24" s="120"/>
      <c r="DHJ24" s="120"/>
      <c r="DHK24" s="120"/>
      <c r="DHL24" s="120"/>
      <c r="DHM24" s="120"/>
      <c r="DHN24" s="120"/>
      <c r="DHO24" s="120"/>
      <c r="DHP24" s="120"/>
      <c r="DHQ24" s="120"/>
      <c r="DHR24" s="120"/>
      <c r="DHS24" s="120"/>
      <c r="DHT24" s="120"/>
      <c r="DHU24" s="120"/>
      <c r="DHV24" s="120"/>
      <c r="DHW24" s="120"/>
      <c r="DHX24" s="120"/>
      <c r="DHY24" s="120"/>
      <c r="DHZ24" s="120"/>
      <c r="DIA24" s="120"/>
      <c r="DIB24" s="120"/>
      <c r="DIC24" s="120"/>
      <c r="DID24" s="120"/>
      <c r="DIE24" s="120"/>
      <c r="DIF24" s="120"/>
      <c r="DIG24" s="120"/>
      <c r="DIH24" s="120"/>
      <c r="DII24" s="120"/>
      <c r="DIJ24" s="120"/>
      <c r="DIK24" s="120"/>
      <c r="DIL24" s="120"/>
      <c r="DIM24" s="120"/>
      <c r="DIN24" s="120"/>
      <c r="DIO24" s="120"/>
      <c r="DIP24" s="120"/>
      <c r="DIQ24" s="120"/>
      <c r="DIR24" s="120"/>
      <c r="DIS24" s="120"/>
      <c r="DIT24" s="120"/>
      <c r="DIU24" s="120"/>
      <c r="DIV24" s="120"/>
      <c r="DIW24" s="120"/>
      <c r="DIX24" s="120"/>
      <c r="DIY24" s="120"/>
      <c r="DIZ24" s="120"/>
      <c r="DJA24" s="120"/>
      <c r="DJB24" s="120"/>
      <c r="DJC24" s="120"/>
      <c r="DJD24" s="120"/>
      <c r="DJE24" s="120"/>
      <c r="DJF24" s="120"/>
      <c r="DJG24" s="120"/>
      <c r="DJH24" s="120"/>
      <c r="DJI24" s="120"/>
      <c r="DJJ24" s="120"/>
      <c r="DJK24" s="120"/>
      <c r="DJL24" s="120"/>
      <c r="DJM24" s="120"/>
      <c r="DJN24" s="120"/>
      <c r="DJO24" s="120"/>
      <c r="DJP24" s="120"/>
      <c r="DJQ24" s="120"/>
      <c r="DJR24" s="120"/>
      <c r="DJS24" s="120"/>
      <c r="DJT24" s="120"/>
      <c r="DJU24" s="120"/>
      <c r="DJV24" s="120"/>
      <c r="DJW24" s="120"/>
      <c r="DJX24" s="120"/>
      <c r="DJY24" s="120"/>
      <c r="DJZ24" s="120"/>
      <c r="DKA24" s="120"/>
      <c r="DKB24" s="120"/>
      <c r="DKC24" s="120"/>
      <c r="DKD24" s="120"/>
      <c r="DKE24" s="120"/>
      <c r="DKF24" s="120"/>
      <c r="DKG24" s="120"/>
      <c r="DKH24" s="120"/>
      <c r="DKI24" s="120"/>
      <c r="DKJ24" s="120"/>
      <c r="DKK24" s="120"/>
      <c r="DKL24" s="120"/>
      <c r="DKM24" s="120"/>
      <c r="DKN24" s="120"/>
      <c r="DKO24" s="120"/>
      <c r="DKP24" s="120"/>
      <c r="DKQ24" s="120"/>
      <c r="DKR24" s="120"/>
      <c r="DKS24" s="120"/>
      <c r="DKT24" s="120"/>
      <c r="DKU24" s="120"/>
      <c r="DKV24" s="120"/>
      <c r="DKW24" s="120"/>
      <c r="DKX24" s="120"/>
      <c r="DKY24" s="120"/>
      <c r="DKZ24" s="120"/>
      <c r="DLA24" s="120"/>
      <c r="DLB24" s="120"/>
      <c r="DLC24" s="120"/>
      <c r="DLD24" s="120"/>
      <c r="DLE24" s="120"/>
      <c r="DLF24" s="120"/>
      <c r="DLG24" s="120"/>
      <c r="DLH24" s="120"/>
      <c r="DLI24" s="120"/>
      <c r="DLJ24" s="120"/>
      <c r="DLK24" s="120"/>
      <c r="DLL24" s="120"/>
      <c r="DLM24" s="120"/>
      <c r="DLN24" s="120"/>
      <c r="DLO24" s="120"/>
      <c r="DLP24" s="120"/>
      <c r="DLQ24" s="120"/>
      <c r="DLR24" s="120"/>
      <c r="DLS24" s="120"/>
      <c r="DLT24" s="120"/>
      <c r="DLU24" s="120"/>
      <c r="DLV24" s="120"/>
      <c r="DLW24" s="120"/>
      <c r="DLX24" s="120"/>
      <c r="DLY24" s="120"/>
      <c r="DLZ24" s="120"/>
      <c r="DMA24" s="120"/>
      <c r="DMB24" s="120"/>
      <c r="DMC24" s="120"/>
      <c r="DMD24" s="120"/>
      <c r="DME24" s="120"/>
      <c r="DMF24" s="120"/>
      <c r="DMG24" s="120"/>
      <c r="DMH24" s="120"/>
      <c r="DMI24" s="120"/>
      <c r="DMJ24" s="120"/>
      <c r="DMK24" s="120"/>
      <c r="DML24" s="120"/>
      <c r="DMM24" s="120"/>
      <c r="DMN24" s="120"/>
      <c r="DMO24" s="120"/>
      <c r="DMP24" s="120"/>
      <c r="DMQ24" s="120"/>
      <c r="DMR24" s="120"/>
      <c r="DMS24" s="120"/>
      <c r="DMT24" s="120"/>
      <c r="DMU24" s="120"/>
      <c r="DMV24" s="120"/>
      <c r="DMW24" s="120"/>
      <c r="DMX24" s="120"/>
      <c r="DMY24" s="120"/>
      <c r="DMZ24" s="120"/>
      <c r="DNA24" s="120"/>
      <c r="DNB24" s="120"/>
      <c r="DNC24" s="120"/>
      <c r="DND24" s="120"/>
      <c r="DNE24" s="120"/>
      <c r="DNF24" s="120"/>
      <c r="DNG24" s="120"/>
      <c r="DNH24" s="120"/>
      <c r="DNI24" s="120"/>
      <c r="DNJ24" s="120"/>
      <c r="DNK24" s="120"/>
      <c r="DNL24" s="120"/>
      <c r="DNM24" s="120"/>
      <c r="DNN24" s="120"/>
      <c r="DNO24" s="120"/>
      <c r="DNP24" s="120"/>
      <c r="DNQ24" s="120"/>
      <c r="DNR24" s="120"/>
      <c r="DNS24" s="120"/>
      <c r="DNT24" s="120"/>
      <c r="DNU24" s="120"/>
      <c r="DNV24" s="120"/>
      <c r="DNW24" s="120"/>
      <c r="DNX24" s="120"/>
      <c r="DNY24" s="120"/>
      <c r="DNZ24" s="120"/>
      <c r="DOA24" s="120"/>
      <c r="DOB24" s="120"/>
      <c r="DOC24" s="120"/>
      <c r="DOD24" s="120"/>
      <c r="DOE24" s="120"/>
      <c r="DOF24" s="120"/>
      <c r="DOG24" s="120"/>
      <c r="DOH24" s="120"/>
      <c r="DOI24" s="120"/>
      <c r="DOJ24" s="120"/>
      <c r="DOK24" s="120"/>
      <c r="DOL24" s="120"/>
      <c r="DOM24" s="120"/>
      <c r="DON24" s="120"/>
      <c r="DOO24" s="120"/>
      <c r="DOP24" s="120"/>
      <c r="DOQ24" s="120"/>
      <c r="DOR24" s="120"/>
      <c r="DOS24" s="120"/>
      <c r="DOT24" s="120"/>
      <c r="DOU24" s="120"/>
      <c r="DOV24" s="120"/>
      <c r="DOW24" s="120"/>
      <c r="DOX24" s="120"/>
      <c r="DOY24" s="120"/>
      <c r="DOZ24" s="120"/>
      <c r="DPA24" s="120"/>
      <c r="DPB24" s="120"/>
      <c r="DPC24" s="120"/>
      <c r="DPD24" s="120"/>
      <c r="DPE24" s="120"/>
      <c r="DPF24" s="120"/>
      <c r="DPG24" s="120"/>
      <c r="DPH24" s="120"/>
      <c r="DPI24" s="120"/>
      <c r="DPJ24" s="120"/>
      <c r="DPK24" s="120"/>
      <c r="DPL24" s="120"/>
      <c r="DPM24" s="120"/>
      <c r="DPN24" s="120"/>
      <c r="DPO24" s="120"/>
      <c r="DPP24" s="120"/>
      <c r="DPQ24" s="120"/>
      <c r="DPR24" s="120"/>
      <c r="DPS24" s="120"/>
      <c r="DPT24" s="120"/>
      <c r="DPU24" s="120"/>
      <c r="DPV24" s="120"/>
      <c r="DPW24" s="120"/>
      <c r="DPX24" s="120"/>
      <c r="DPY24" s="120"/>
      <c r="DPZ24" s="120"/>
      <c r="DQA24" s="120"/>
      <c r="DQB24" s="120"/>
      <c r="DQC24" s="120"/>
      <c r="DQD24" s="120"/>
      <c r="DQE24" s="120"/>
      <c r="DQF24" s="120"/>
      <c r="DQG24" s="120"/>
      <c r="DQH24" s="120"/>
      <c r="DQI24" s="120"/>
      <c r="DQJ24" s="120"/>
      <c r="DQK24" s="120"/>
      <c r="DQL24" s="120"/>
      <c r="DQM24" s="120"/>
      <c r="DQN24" s="120"/>
      <c r="DQO24" s="120"/>
      <c r="DQP24" s="120"/>
      <c r="DQQ24" s="120"/>
      <c r="DQR24" s="120"/>
      <c r="DQS24" s="120"/>
      <c r="DQT24" s="120"/>
      <c r="DQU24" s="120"/>
      <c r="DQV24" s="120"/>
      <c r="DQW24" s="120"/>
      <c r="DQX24" s="120"/>
      <c r="DQY24" s="120"/>
      <c r="DQZ24" s="120"/>
      <c r="DRA24" s="120"/>
      <c r="DRB24" s="120"/>
      <c r="DRC24" s="120"/>
      <c r="DRD24" s="120"/>
      <c r="DRE24" s="120"/>
      <c r="DRF24" s="120"/>
      <c r="DRG24" s="120"/>
      <c r="DRH24" s="120"/>
      <c r="DRI24" s="120"/>
      <c r="DRJ24" s="120"/>
      <c r="DRK24" s="120"/>
      <c r="DRL24" s="120"/>
      <c r="DRM24" s="120"/>
      <c r="DRN24" s="120"/>
      <c r="DRO24" s="120"/>
      <c r="DRP24" s="120"/>
      <c r="DRQ24" s="120"/>
      <c r="DRR24" s="120"/>
      <c r="DRS24" s="120"/>
      <c r="DRT24" s="120"/>
      <c r="DRU24" s="120"/>
      <c r="DRV24" s="120"/>
      <c r="DRW24" s="120"/>
      <c r="DRX24" s="120"/>
      <c r="DRY24" s="120"/>
      <c r="DRZ24" s="120"/>
      <c r="DSA24" s="120"/>
      <c r="DSB24" s="120"/>
      <c r="DSC24" s="120"/>
      <c r="DSD24" s="120"/>
      <c r="DSE24" s="120"/>
      <c r="DSF24" s="120"/>
      <c r="DSG24" s="120"/>
      <c r="DSH24" s="120"/>
      <c r="DSI24" s="120"/>
      <c r="DSJ24" s="120"/>
      <c r="DSK24" s="120"/>
      <c r="DSL24" s="120"/>
      <c r="DSM24" s="120"/>
      <c r="DSN24" s="120"/>
      <c r="DSO24" s="120"/>
      <c r="DSP24" s="120"/>
      <c r="DSQ24" s="120"/>
      <c r="DSR24" s="120"/>
      <c r="DSS24" s="120"/>
      <c r="DST24" s="120"/>
      <c r="DSU24" s="120"/>
      <c r="DSV24" s="120"/>
      <c r="DSW24" s="120"/>
      <c r="DSX24" s="120"/>
      <c r="DSY24" s="120"/>
      <c r="DSZ24" s="120"/>
      <c r="DTA24" s="120"/>
      <c r="DTB24" s="120"/>
      <c r="DTC24" s="120"/>
      <c r="DTD24" s="120"/>
      <c r="DTE24" s="120"/>
      <c r="DTF24" s="120"/>
      <c r="DTG24" s="120"/>
      <c r="DTH24" s="120"/>
      <c r="DTI24" s="120"/>
      <c r="DTJ24" s="120"/>
      <c r="DTK24" s="120"/>
      <c r="DTL24" s="120"/>
      <c r="DTM24" s="120"/>
      <c r="DTN24" s="120"/>
      <c r="DTO24" s="120"/>
      <c r="DTP24" s="120"/>
      <c r="DTQ24" s="120"/>
      <c r="DTR24" s="120"/>
      <c r="DTS24" s="120"/>
      <c r="DTT24" s="120"/>
      <c r="DTU24" s="120"/>
      <c r="DTV24" s="120"/>
      <c r="DTW24" s="120"/>
      <c r="DTX24" s="120"/>
      <c r="DTY24" s="120"/>
      <c r="DTZ24" s="120"/>
      <c r="DUA24" s="120"/>
      <c r="DUB24" s="120"/>
      <c r="DUC24" s="120"/>
      <c r="DUD24" s="120"/>
      <c r="DUE24" s="120"/>
      <c r="DUF24" s="120"/>
      <c r="DUG24" s="120"/>
      <c r="DUH24" s="120"/>
      <c r="DUI24" s="120"/>
      <c r="DUJ24" s="120"/>
      <c r="DUK24" s="120"/>
      <c r="DUL24" s="120"/>
      <c r="DUM24" s="120"/>
      <c r="DUN24" s="120"/>
      <c r="DUO24" s="120"/>
      <c r="DUP24" s="120"/>
      <c r="DUQ24" s="120"/>
      <c r="DUR24" s="120"/>
      <c r="DUS24" s="120"/>
      <c r="DUT24" s="120"/>
      <c r="DUU24" s="120"/>
      <c r="DUV24" s="120"/>
      <c r="DUW24" s="120"/>
      <c r="DUX24" s="120"/>
      <c r="DUY24" s="120"/>
      <c r="DUZ24" s="120"/>
      <c r="DVA24" s="120"/>
      <c r="DVB24" s="120"/>
      <c r="DVC24" s="120"/>
      <c r="DVD24" s="120"/>
      <c r="DVE24" s="120"/>
      <c r="DVF24" s="120"/>
      <c r="DVG24" s="120"/>
      <c r="DVH24" s="120"/>
      <c r="DVI24" s="120"/>
      <c r="DVJ24" s="120"/>
      <c r="DVK24" s="120"/>
      <c r="DVL24" s="120"/>
      <c r="DVM24" s="120"/>
      <c r="DVN24" s="120"/>
      <c r="DVO24" s="120"/>
      <c r="DVP24" s="120"/>
      <c r="DVQ24" s="120"/>
      <c r="DVR24" s="120"/>
      <c r="DVS24" s="120"/>
      <c r="DVT24" s="120"/>
      <c r="DVU24" s="120"/>
      <c r="DVV24" s="120"/>
      <c r="DVW24" s="120"/>
      <c r="DVX24" s="120"/>
      <c r="DVY24" s="120"/>
      <c r="DVZ24" s="120"/>
      <c r="DWA24" s="120"/>
      <c r="DWB24" s="120"/>
      <c r="DWC24" s="120"/>
      <c r="DWD24" s="120"/>
      <c r="DWE24" s="120"/>
      <c r="DWF24" s="120"/>
      <c r="DWG24" s="120"/>
      <c r="DWH24" s="120"/>
      <c r="DWI24" s="120"/>
      <c r="DWJ24" s="120"/>
      <c r="DWK24" s="120"/>
      <c r="DWL24" s="120"/>
      <c r="DWM24" s="120"/>
      <c r="DWN24" s="120"/>
      <c r="DWO24" s="120"/>
      <c r="DWP24" s="120"/>
      <c r="DWQ24" s="120"/>
      <c r="DWR24" s="120"/>
      <c r="DWS24" s="120"/>
      <c r="DWT24" s="120"/>
      <c r="DWU24" s="120"/>
      <c r="DWV24" s="120"/>
      <c r="DWW24" s="120"/>
      <c r="DWX24" s="120"/>
      <c r="DWY24" s="120"/>
      <c r="DWZ24" s="120"/>
      <c r="DXA24" s="120"/>
      <c r="DXB24" s="120"/>
      <c r="DXC24" s="120"/>
      <c r="DXD24" s="120"/>
      <c r="DXE24" s="120"/>
      <c r="DXF24" s="120"/>
      <c r="DXG24" s="120"/>
      <c r="DXH24" s="120"/>
      <c r="DXI24" s="120"/>
      <c r="DXJ24" s="120"/>
      <c r="DXK24" s="120"/>
      <c r="DXL24" s="120"/>
      <c r="DXM24" s="120"/>
      <c r="DXN24" s="120"/>
      <c r="DXO24" s="120"/>
      <c r="DXP24" s="120"/>
      <c r="DXQ24" s="120"/>
      <c r="DXR24" s="120"/>
      <c r="DXS24" s="120"/>
      <c r="DXT24" s="120"/>
      <c r="DXU24" s="120"/>
      <c r="DXV24" s="120"/>
      <c r="DXW24" s="120"/>
      <c r="DXX24" s="120"/>
      <c r="DXY24" s="120"/>
      <c r="DXZ24" s="120"/>
      <c r="DYA24" s="120"/>
      <c r="DYB24" s="120"/>
      <c r="DYC24" s="120"/>
      <c r="DYD24" s="120"/>
      <c r="DYE24" s="120"/>
      <c r="DYF24" s="120"/>
      <c r="DYG24" s="120"/>
      <c r="DYH24" s="120"/>
      <c r="DYI24" s="120"/>
      <c r="DYJ24" s="120"/>
      <c r="DYK24" s="120"/>
      <c r="DYL24" s="120"/>
      <c r="DYM24" s="120"/>
      <c r="DYN24" s="120"/>
      <c r="DYO24" s="120"/>
      <c r="DYP24" s="120"/>
      <c r="DYQ24" s="120"/>
      <c r="DYR24" s="120"/>
      <c r="DYS24" s="120"/>
      <c r="DYT24" s="120"/>
      <c r="DYU24" s="120"/>
      <c r="DYV24" s="120"/>
      <c r="DYW24" s="120"/>
      <c r="DYX24" s="120"/>
      <c r="DYY24" s="120"/>
      <c r="DYZ24" s="120"/>
      <c r="DZA24" s="120"/>
      <c r="DZB24" s="120"/>
      <c r="DZC24" s="120"/>
      <c r="DZD24" s="120"/>
      <c r="DZE24" s="120"/>
      <c r="DZF24" s="120"/>
      <c r="DZG24" s="120"/>
      <c r="DZH24" s="120"/>
      <c r="DZI24" s="120"/>
      <c r="DZJ24" s="120"/>
      <c r="DZK24" s="120"/>
      <c r="DZL24" s="120"/>
      <c r="DZM24" s="120"/>
      <c r="DZN24" s="120"/>
      <c r="DZO24" s="120"/>
      <c r="DZP24" s="120"/>
      <c r="DZQ24" s="120"/>
      <c r="DZR24" s="120"/>
      <c r="DZS24" s="120"/>
      <c r="DZT24" s="120"/>
      <c r="DZU24" s="120"/>
      <c r="DZV24" s="120"/>
      <c r="DZW24" s="120"/>
      <c r="DZX24" s="120"/>
      <c r="DZY24" s="120"/>
      <c r="DZZ24" s="120"/>
      <c r="EAA24" s="120"/>
      <c r="EAB24" s="120"/>
      <c r="EAC24" s="120"/>
      <c r="EAD24" s="120"/>
      <c r="EAE24" s="120"/>
      <c r="EAF24" s="120"/>
      <c r="EAG24" s="120"/>
      <c r="EAH24" s="120"/>
      <c r="EAI24" s="120"/>
      <c r="EAJ24" s="120"/>
      <c r="EAK24" s="120"/>
      <c r="EAL24" s="120"/>
      <c r="EAM24" s="120"/>
      <c r="EAN24" s="120"/>
      <c r="EAO24" s="120"/>
      <c r="EAP24" s="120"/>
      <c r="EAQ24" s="120"/>
      <c r="EAR24" s="120"/>
      <c r="EAS24" s="120"/>
      <c r="EAT24" s="120"/>
      <c r="EAU24" s="120"/>
      <c r="EAV24" s="120"/>
      <c r="EAW24" s="120"/>
      <c r="EAX24" s="120"/>
      <c r="EAY24" s="120"/>
      <c r="EAZ24" s="120"/>
      <c r="EBA24" s="120"/>
      <c r="EBB24" s="120"/>
      <c r="EBC24" s="120"/>
      <c r="EBD24" s="120"/>
      <c r="EBE24" s="120"/>
      <c r="EBF24" s="120"/>
      <c r="EBG24" s="120"/>
      <c r="EBH24" s="120"/>
      <c r="EBI24" s="120"/>
      <c r="EBJ24" s="120"/>
      <c r="EBK24" s="120"/>
      <c r="EBL24" s="120"/>
      <c r="EBM24" s="120"/>
      <c r="EBN24" s="120"/>
      <c r="EBO24" s="120"/>
      <c r="EBP24" s="120"/>
      <c r="EBQ24" s="120"/>
      <c r="EBR24" s="120"/>
      <c r="EBS24" s="120"/>
      <c r="EBT24" s="120"/>
      <c r="EBU24" s="120"/>
      <c r="EBV24" s="120"/>
      <c r="EBW24" s="120"/>
      <c r="EBX24" s="120"/>
      <c r="EBY24" s="120"/>
      <c r="EBZ24" s="120"/>
      <c r="ECA24" s="120"/>
      <c r="ECB24" s="120"/>
      <c r="ECC24" s="120"/>
      <c r="ECD24" s="120"/>
      <c r="ECE24" s="120"/>
      <c r="ECF24" s="120"/>
      <c r="ECG24" s="120"/>
      <c r="ECH24" s="120"/>
      <c r="ECI24" s="120"/>
      <c r="ECJ24" s="120"/>
      <c r="ECK24" s="120"/>
      <c r="ECL24" s="120"/>
      <c r="ECM24" s="120"/>
      <c r="ECN24" s="120"/>
      <c r="ECO24" s="120"/>
      <c r="ECP24" s="120"/>
      <c r="ECQ24" s="120"/>
      <c r="ECR24" s="120"/>
      <c r="ECS24" s="120"/>
      <c r="ECT24" s="120"/>
      <c r="ECU24" s="120"/>
      <c r="ECV24" s="120"/>
      <c r="ECW24" s="120"/>
      <c r="ECX24" s="120"/>
      <c r="ECY24" s="120"/>
      <c r="ECZ24" s="120"/>
      <c r="EDA24" s="120"/>
      <c r="EDB24" s="120"/>
      <c r="EDC24" s="120"/>
      <c r="EDD24" s="120"/>
      <c r="EDE24" s="120"/>
      <c r="EDF24" s="120"/>
      <c r="EDG24" s="120"/>
      <c r="EDH24" s="120"/>
      <c r="EDI24" s="120"/>
      <c r="EDJ24" s="120"/>
      <c r="EDK24" s="120"/>
      <c r="EDL24" s="120"/>
      <c r="EDM24" s="120"/>
      <c r="EDN24" s="120"/>
      <c r="EDO24" s="120"/>
      <c r="EDP24" s="120"/>
      <c r="EDQ24" s="120"/>
      <c r="EDR24" s="120"/>
      <c r="EDS24" s="120"/>
      <c r="EDT24" s="120"/>
      <c r="EDU24" s="120"/>
      <c r="EDV24" s="120"/>
      <c r="EDW24" s="120"/>
      <c r="EDX24" s="120"/>
      <c r="EDY24" s="120"/>
      <c r="EDZ24" s="120"/>
      <c r="EEA24" s="120"/>
      <c r="EEB24" s="120"/>
      <c r="EEC24" s="120"/>
      <c r="EED24" s="120"/>
      <c r="EEE24" s="120"/>
      <c r="EEF24" s="120"/>
      <c r="EEG24" s="120"/>
      <c r="EEH24" s="120"/>
      <c r="EEI24" s="120"/>
      <c r="EEJ24" s="120"/>
      <c r="EEK24" s="120"/>
      <c r="EEL24" s="120"/>
      <c r="EEM24" s="120"/>
      <c r="EEN24" s="120"/>
      <c r="EEO24" s="120"/>
      <c r="EEP24" s="120"/>
      <c r="EEQ24" s="120"/>
      <c r="EER24" s="120"/>
      <c r="EES24" s="120"/>
      <c r="EET24" s="120"/>
      <c r="EEU24" s="120"/>
      <c r="EEV24" s="120"/>
      <c r="EEW24" s="120"/>
      <c r="EEX24" s="120"/>
      <c r="EEY24" s="120"/>
      <c r="EEZ24" s="120"/>
      <c r="EFA24" s="120"/>
      <c r="EFB24" s="120"/>
      <c r="EFC24" s="120"/>
      <c r="EFD24" s="120"/>
      <c r="EFE24" s="120"/>
      <c r="EFF24" s="120"/>
      <c r="EFG24" s="120"/>
      <c r="EFH24" s="120"/>
      <c r="EFI24" s="120"/>
      <c r="EFJ24" s="120"/>
      <c r="EFK24" s="120"/>
      <c r="EFL24" s="120"/>
      <c r="EFM24" s="120"/>
      <c r="EFN24" s="120"/>
      <c r="EFO24" s="120"/>
      <c r="EFP24" s="120"/>
      <c r="EFQ24" s="120"/>
      <c r="EFR24" s="120"/>
      <c r="EFS24" s="120"/>
      <c r="EFT24" s="120"/>
      <c r="EFU24" s="120"/>
      <c r="EFV24" s="120"/>
      <c r="EFW24" s="120"/>
      <c r="EFX24" s="120"/>
      <c r="EFY24" s="120"/>
      <c r="EFZ24" s="120"/>
      <c r="EGA24" s="120"/>
      <c r="EGB24" s="120"/>
      <c r="EGC24" s="120"/>
      <c r="EGD24" s="120"/>
      <c r="EGE24" s="120"/>
      <c r="EGF24" s="120"/>
      <c r="EGG24" s="120"/>
      <c r="EGH24" s="120"/>
      <c r="EGI24" s="120"/>
      <c r="EGJ24" s="120"/>
      <c r="EGK24" s="120"/>
      <c r="EGL24" s="120"/>
      <c r="EGM24" s="120"/>
      <c r="EGN24" s="120"/>
      <c r="EGO24" s="120"/>
      <c r="EGP24" s="120"/>
      <c r="EGQ24" s="120"/>
      <c r="EGR24" s="120"/>
      <c r="EGS24" s="120"/>
      <c r="EGT24" s="120"/>
      <c r="EGU24" s="120"/>
      <c r="EGV24" s="120"/>
      <c r="EGW24" s="120"/>
      <c r="EGX24" s="120"/>
      <c r="EGY24" s="120"/>
      <c r="EGZ24" s="120"/>
      <c r="EHA24" s="120"/>
      <c r="EHB24" s="120"/>
      <c r="EHC24" s="120"/>
      <c r="EHD24" s="120"/>
      <c r="EHE24" s="120"/>
      <c r="EHF24" s="120"/>
      <c r="EHG24" s="120"/>
      <c r="EHH24" s="120"/>
      <c r="EHI24" s="120"/>
      <c r="EHJ24" s="120"/>
      <c r="EHK24" s="120"/>
      <c r="EHL24" s="120"/>
      <c r="EHM24" s="120"/>
      <c r="EHN24" s="120"/>
      <c r="EHO24" s="120"/>
      <c r="EHP24" s="120"/>
      <c r="EHQ24" s="120"/>
      <c r="EHR24" s="120"/>
      <c r="EHS24" s="120"/>
      <c r="EHT24" s="120"/>
      <c r="EHU24" s="120"/>
      <c r="EHV24" s="120"/>
      <c r="EHW24" s="120"/>
      <c r="EHX24" s="120"/>
      <c r="EHY24" s="120"/>
      <c r="EHZ24" s="120"/>
      <c r="EIA24" s="120"/>
      <c r="EIB24" s="120"/>
      <c r="EIC24" s="120"/>
      <c r="EID24" s="120"/>
      <c r="EIE24" s="120"/>
      <c r="EIF24" s="120"/>
      <c r="EIG24" s="120"/>
      <c r="EIH24" s="120"/>
      <c r="EII24" s="120"/>
      <c r="EIJ24" s="120"/>
      <c r="EIK24" s="120"/>
      <c r="EIL24" s="120"/>
      <c r="EIM24" s="120"/>
      <c r="EIN24" s="120"/>
      <c r="EIO24" s="120"/>
      <c r="EIP24" s="120"/>
      <c r="EIQ24" s="120"/>
      <c r="EIR24" s="120"/>
      <c r="EIS24" s="120"/>
      <c r="EIT24" s="120"/>
      <c r="EIU24" s="120"/>
      <c r="EIV24" s="120"/>
      <c r="EIW24" s="120"/>
      <c r="EIX24" s="120"/>
      <c r="EIY24" s="120"/>
      <c r="EIZ24" s="120"/>
      <c r="EJA24" s="120"/>
      <c r="EJB24" s="120"/>
      <c r="EJC24" s="120"/>
      <c r="EJD24" s="120"/>
      <c r="EJE24" s="120"/>
      <c r="EJF24" s="120"/>
      <c r="EJG24" s="120"/>
      <c r="EJH24" s="120"/>
      <c r="EJI24" s="120"/>
      <c r="EJJ24" s="120"/>
      <c r="EJK24" s="120"/>
      <c r="EJL24" s="120"/>
      <c r="EJM24" s="120"/>
      <c r="EJN24" s="120"/>
      <c r="EJO24" s="120"/>
      <c r="EJP24" s="120"/>
      <c r="EJQ24" s="120"/>
      <c r="EJR24" s="120"/>
      <c r="EJS24" s="120"/>
      <c r="EJT24" s="120"/>
      <c r="EJU24" s="120"/>
      <c r="EJV24" s="120"/>
      <c r="EJW24" s="120"/>
      <c r="EJX24" s="120"/>
      <c r="EJY24" s="120"/>
      <c r="EJZ24" s="120"/>
      <c r="EKA24" s="120"/>
      <c r="EKB24" s="120"/>
      <c r="EKC24" s="120"/>
      <c r="EKD24" s="120"/>
      <c r="EKE24" s="120"/>
      <c r="EKF24" s="120"/>
      <c r="EKG24" s="120"/>
      <c r="EKH24" s="120"/>
      <c r="EKI24" s="120"/>
      <c r="EKJ24" s="120"/>
      <c r="EKK24" s="120"/>
      <c r="EKL24" s="120"/>
      <c r="EKM24" s="120"/>
      <c r="EKN24" s="120"/>
      <c r="EKO24" s="120"/>
      <c r="EKP24" s="120"/>
      <c r="EKQ24" s="120"/>
      <c r="EKR24" s="120"/>
      <c r="EKS24" s="120"/>
      <c r="EKT24" s="120"/>
      <c r="EKU24" s="120"/>
      <c r="EKV24" s="120"/>
      <c r="EKW24" s="120"/>
      <c r="EKX24" s="120"/>
      <c r="EKY24" s="120"/>
      <c r="EKZ24" s="120"/>
      <c r="ELA24" s="120"/>
      <c r="ELB24" s="120"/>
      <c r="ELC24" s="120"/>
      <c r="ELD24" s="120"/>
      <c r="ELE24" s="120"/>
      <c r="ELF24" s="120"/>
      <c r="ELG24" s="120"/>
      <c r="ELH24" s="120"/>
      <c r="ELI24" s="120"/>
      <c r="ELJ24" s="120"/>
      <c r="ELK24" s="120"/>
      <c r="ELL24" s="120"/>
      <c r="ELM24" s="120"/>
      <c r="ELN24" s="120"/>
      <c r="ELO24" s="120"/>
      <c r="ELP24" s="120"/>
      <c r="ELQ24" s="120"/>
      <c r="ELR24" s="120"/>
      <c r="ELS24" s="120"/>
      <c r="ELT24" s="120"/>
      <c r="ELU24" s="120"/>
      <c r="ELV24" s="120"/>
      <c r="ELW24" s="120"/>
      <c r="ELX24" s="120"/>
      <c r="ELY24" s="120"/>
      <c r="ELZ24" s="120"/>
      <c r="EMA24" s="120"/>
      <c r="EMB24" s="120"/>
      <c r="EMC24" s="120"/>
      <c r="EMD24" s="120"/>
      <c r="EME24" s="120"/>
      <c r="EMF24" s="120"/>
      <c r="EMG24" s="120"/>
      <c r="EMH24" s="120"/>
      <c r="EMI24" s="120"/>
      <c r="EMJ24" s="120"/>
      <c r="EMK24" s="120"/>
      <c r="EML24" s="120"/>
      <c r="EMM24" s="120"/>
      <c r="EMN24" s="120"/>
      <c r="EMO24" s="120"/>
      <c r="EMP24" s="120"/>
      <c r="EMQ24" s="120"/>
      <c r="EMR24" s="120"/>
      <c r="EMS24" s="120"/>
      <c r="EMT24" s="120"/>
      <c r="EMU24" s="120"/>
      <c r="EMV24" s="120"/>
      <c r="EMW24" s="120"/>
      <c r="EMX24" s="120"/>
      <c r="EMY24" s="120"/>
      <c r="EMZ24" s="120"/>
      <c r="ENA24" s="120"/>
      <c r="ENB24" s="120"/>
      <c r="ENC24" s="120"/>
      <c r="END24" s="120"/>
      <c r="ENE24" s="120"/>
      <c r="ENF24" s="120"/>
      <c r="ENG24" s="120"/>
      <c r="ENH24" s="120"/>
      <c r="ENI24" s="120"/>
      <c r="ENJ24" s="120"/>
      <c r="ENK24" s="120"/>
      <c r="ENL24" s="120"/>
      <c r="ENM24" s="120"/>
      <c r="ENN24" s="120"/>
      <c r="ENO24" s="120"/>
      <c r="ENP24" s="120"/>
      <c r="ENQ24" s="120"/>
      <c r="ENR24" s="120"/>
      <c r="ENS24" s="120"/>
      <c r="ENT24" s="120"/>
      <c r="ENU24" s="120"/>
      <c r="ENV24" s="120"/>
      <c r="ENW24" s="120"/>
      <c r="ENX24" s="120"/>
      <c r="ENY24" s="120"/>
      <c r="ENZ24" s="120"/>
      <c r="EOA24" s="120"/>
      <c r="EOB24" s="120"/>
      <c r="EOC24" s="120"/>
      <c r="EOD24" s="120"/>
      <c r="EOE24" s="120"/>
      <c r="EOF24" s="120"/>
      <c r="EOG24" s="120"/>
      <c r="EOH24" s="120"/>
      <c r="EOI24" s="120"/>
      <c r="EOJ24" s="120"/>
      <c r="EOK24" s="120"/>
      <c r="EOL24" s="120"/>
      <c r="EOM24" s="120"/>
      <c r="EON24" s="120"/>
      <c r="EOO24" s="120"/>
      <c r="EOP24" s="120"/>
      <c r="EOQ24" s="120"/>
      <c r="EOR24" s="120"/>
      <c r="EOS24" s="120"/>
      <c r="EOT24" s="120"/>
      <c r="EOU24" s="120"/>
      <c r="EOV24" s="120"/>
      <c r="EOW24" s="120"/>
      <c r="EOX24" s="120"/>
      <c r="EOY24" s="120"/>
      <c r="EOZ24" s="120"/>
      <c r="EPA24" s="120"/>
      <c r="EPB24" s="120"/>
      <c r="EPC24" s="120"/>
      <c r="EPD24" s="120"/>
      <c r="EPE24" s="120"/>
      <c r="EPF24" s="120"/>
      <c r="EPG24" s="120"/>
      <c r="EPH24" s="120"/>
      <c r="EPI24" s="120"/>
      <c r="EPJ24" s="120"/>
      <c r="EPK24" s="120"/>
      <c r="EPL24" s="120"/>
      <c r="EPM24" s="120"/>
      <c r="EPN24" s="120"/>
      <c r="EPO24" s="120"/>
      <c r="EPP24" s="120"/>
      <c r="EPQ24" s="120"/>
      <c r="EPR24" s="120"/>
      <c r="EPS24" s="120"/>
      <c r="EPT24" s="120"/>
      <c r="EPU24" s="120"/>
      <c r="EPV24" s="120"/>
      <c r="EPW24" s="120"/>
      <c r="EPX24" s="120"/>
      <c r="EPY24" s="120"/>
      <c r="EPZ24" s="120"/>
      <c r="EQA24" s="120"/>
      <c r="EQB24" s="120"/>
      <c r="EQC24" s="120"/>
      <c r="EQD24" s="120"/>
      <c r="EQE24" s="120"/>
      <c r="EQF24" s="120"/>
      <c r="EQG24" s="120"/>
      <c r="EQH24" s="120"/>
      <c r="EQI24" s="120"/>
      <c r="EQJ24" s="120"/>
      <c r="EQK24" s="120"/>
      <c r="EQL24" s="120"/>
      <c r="EQM24" s="120"/>
      <c r="EQN24" s="120"/>
      <c r="EQO24" s="120"/>
      <c r="EQP24" s="120"/>
      <c r="EQQ24" s="120"/>
      <c r="EQR24" s="120"/>
      <c r="EQS24" s="120"/>
      <c r="EQT24" s="120"/>
      <c r="EQU24" s="120"/>
      <c r="EQV24" s="120"/>
      <c r="EQW24" s="120"/>
      <c r="EQX24" s="120"/>
      <c r="EQY24" s="120"/>
      <c r="EQZ24" s="120"/>
      <c r="ERA24" s="120"/>
      <c r="ERB24" s="120"/>
      <c r="ERC24" s="120"/>
      <c r="ERD24" s="120"/>
      <c r="ERE24" s="120"/>
      <c r="ERF24" s="120"/>
      <c r="ERG24" s="120"/>
      <c r="ERH24" s="120"/>
      <c r="ERI24" s="120"/>
      <c r="ERJ24" s="120"/>
      <c r="ERK24" s="120"/>
      <c r="ERL24" s="120"/>
      <c r="ERM24" s="120"/>
      <c r="ERN24" s="120"/>
      <c r="ERO24" s="120"/>
      <c r="ERP24" s="120"/>
      <c r="ERQ24" s="120"/>
      <c r="ERR24" s="120"/>
      <c r="ERS24" s="120"/>
      <c r="ERT24" s="120"/>
      <c r="ERU24" s="120"/>
      <c r="ERV24" s="120"/>
      <c r="ERW24" s="120"/>
      <c r="ERX24" s="120"/>
      <c r="ERY24" s="120"/>
      <c r="ERZ24" s="120"/>
      <c r="ESA24" s="120"/>
      <c r="ESB24" s="120"/>
      <c r="ESC24" s="120"/>
      <c r="ESD24" s="120"/>
      <c r="ESE24" s="120"/>
      <c r="ESF24" s="120"/>
      <c r="ESG24" s="120"/>
      <c r="ESH24" s="120"/>
      <c r="ESI24" s="120"/>
      <c r="ESJ24" s="120"/>
      <c r="ESK24" s="120"/>
      <c r="ESL24" s="120"/>
      <c r="ESM24" s="120"/>
      <c r="ESN24" s="120"/>
      <c r="ESO24" s="120"/>
      <c r="ESP24" s="120"/>
      <c r="ESQ24" s="120"/>
      <c r="ESR24" s="120"/>
      <c r="ESS24" s="120"/>
      <c r="EST24" s="120"/>
      <c r="ESU24" s="120"/>
      <c r="ESV24" s="120"/>
      <c r="ESW24" s="120"/>
      <c r="ESX24" s="120"/>
      <c r="ESY24" s="120"/>
      <c r="ESZ24" s="120"/>
      <c r="ETA24" s="120"/>
      <c r="ETB24" s="120"/>
      <c r="ETC24" s="120"/>
      <c r="ETD24" s="120"/>
      <c r="ETE24" s="120"/>
      <c r="ETF24" s="120"/>
      <c r="ETG24" s="120"/>
      <c r="ETH24" s="120"/>
      <c r="ETI24" s="120"/>
      <c r="ETJ24" s="120"/>
      <c r="ETK24" s="120"/>
      <c r="ETL24" s="120"/>
      <c r="ETM24" s="120"/>
      <c r="ETN24" s="120"/>
      <c r="ETO24" s="120"/>
      <c r="ETP24" s="120"/>
      <c r="ETQ24" s="120"/>
      <c r="ETR24" s="120"/>
      <c r="ETS24" s="120"/>
      <c r="ETT24" s="120"/>
      <c r="ETU24" s="120"/>
      <c r="ETV24" s="120"/>
      <c r="ETW24" s="120"/>
      <c r="ETX24" s="120"/>
      <c r="ETY24" s="120"/>
      <c r="ETZ24" s="120"/>
      <c r="EUA24" s="120"/>
      <c r="EUB24" s="120"/>
      <c r="EUC24" s="120"/>
      <c r="EUD24" s="120"/>
      <c r="EUE24" s="120"/>
      <c r="EUF24" s="120"/>
      <c r="EUG24" s="120"/>
      <c r="EUH24" s="120"/>
      <c r="EUI24" s="120"/>
      <c r="EUJ24" s="120"/>
      <c r="EUK24" s="120"/>
      <c r="EUL24" s="120"/>
      <c r="EUM24" s="120"/>
      <c r="EUN24" s="120"/>
      <c r="EUO24" s="120"/>
      <c r="EUP24" s="120"/>
      <c r="EUQ24" s="120"/>
      <c r="EUR24" s="120"/>
      <c r="EUS24" s="120"/>
      <c r="EUT24" s="120"/>
      <c r="EUU24" s="120"/>
      <c r="EUV24" s="120"/>
      <c r="EUW24" s="120"/>
      <c r="EUX24" s="120"/>
      <c r="EUY24" s="120"/>
      <c r="EUZ24" s="120"/>
      <c r="EVA24" s="120"/>
      <c r="EVB24" s="120"/>
      <c r="EVC24" s="120"/>
      <c r="EVD24" s="120"/>
      <c r="EVE24" s="120"/>
      <c r="EVF24" s="120"/>
      <c r="EVG24" s="120"/>
      <c r="EVH24" s="120"/>
      <c r="EVI24" s="120"/>
      <c r="EVJ24" s="120"/>
      <c r="EVK24" s="120"/>
      <c r="EVL24" s="120"/>
      <c r="EVM24" s="120"/>
      <c r="EVN24" s="120"/>
      <c r="EVO24" s="120"/>
      <c r="EVP24" s="120"/>
      <c r="EVQ24" s="120"/>
      <c r="EVR24" s="120"/>
      <c r="EVS24" s="120"/>
      <c r="EVT24" s="120"/>
      <c r="EVU24" s="120"/>
      <c r="EVV24" s="120"/>
      <c r="EVW24" s="120"/>
      <c r="EVX24" s="120"/>
      <c r="EVY24" s="120"/>
      <c r="EVZ24" s="120"/>
      <c r="EWA24" s="120"/>
      <c r="EWB24" s="120"/>
      <c r="EWC24" s="120"/>
      <c r="EWD24" s="120"/>
      <c r="EWE24" s="120"/>
      <c r="EWF24" s="120"/>
      <c r="EWG24" s="120"/>
      <c r="EWH24" s="120"/>
      <c r="EWI24" s="120"/>
      <c r="EWJ24" s="120"/>
      <c r="EWK24" s="120"/>
      <c r="EWL24" s="120"/>
      <c r="EWM24" s="120"/>
      <c r="EWN24" s="120"/>
      <c r="EWO24" s="120"/>
      <c r="EWP24" s="120"/>
      <c r="EWQ24" s="120"/>
      <c r="EWR24" s="120"/>
      <c r="EWS24" s="120"/>
      <c r="EWT24" s="120"/>
      <c r="EWU24" s="120"/>
      <c r="EWV24" s="120"/>
      <c r="EWW24" s="120"/>
      <c r="EWX24" s="120"/>
      <c r="EWY24" s="120"/>
      <c r="EWZ24" s="120"/>
      <c r="EXA24" s="120"/>
      <c r="EXB24" s="120"/>
      <c r="EXC24" s="120"/>
      <c r="EXD24" s="120"/>
      <c r="EXE24" s="120"/>
      <c r="EXF24" s="120"/>
      <c r="EXG24" s="120"/>
      <c r="EXH24" s="120"/>
      <c r="EXI24" s="120"/>
      <c r="EXJ24" s="120"/>
      <c r="EXK24" s="120"/>
      <c r="EXL24" s="120"/>
      <c r="EXM24" s="120"/>
      <c r="EXN24" s="120"/>
      <c r="EXO24" s="120"/>
      <c r="EXP24" s="120"/>
      <c r="EXQ24" s="120"/>
      <c r="EXR24" s="120"/>
      <c r="EXS24" s="120"/>
      <c r="EXT24" s="120"/>
      <c r="EXU24" s="120"/>
      <c r="EXV24" s="120"/>
      <c r="EXW24" s="120"/>
      <c r="EXX24" s="120"/>
      <c r="EXY24" s="120"/>
      <c r="EXZ24" s="120"/>
      <c r="EYA24" s="120"/>
      <c r="EYB24" s="120"/>
      <c r="EYC24" s="120"/>
      <c r="EYD24" s="120"/>
      <c r="EYE24" s="120"/>
      <c r="EYF24" s="120"/>
      <c r="EYG24" s="120"/>
      <c r="EYH24" s="120"/>
      <c r="EYI24" s="120"/>
      <c r="EYJ24" s="120"/>
      <c r="EYK24" s="120"/>
      <c r="EYL24" s="120"/>
      <c r="EYM24" s="120"/>
      <c r="EYN24" s="120"/>
      <c r="EYO24" s="120"/>
      <c r="EYP24" s="120"/>
      <c r="EYQ24" s="120"/>
      <c r="EYR24" s="120"/>
      <c r="EYS24" s="120"/>
      <c r="EYT24" s="120"/>
      <c r="EYU24" s="120"/>
      <c r="EYV24" s="120"/>
      <c r="EYW24" s="120"/>
      <c r="EYX24" s="120"/>
      <c r="EYY24" s="120"/>
      <c r="EYZ24" s="120"/>
      <c r="EZA24" s="120"/>
      <c r="EZB24" s="120"/>
      <c r="EZC24" s="120"/>
      <c r="EZD24" s="120"/>
      <c r="EZE24" s="120"/>
      <c r="EZF24" s="120"/>
      <c r="EZG24" s="120"/>
      <c r="EZH24" s="120"/>
      <c r="EZI24" s="120"/>
      <c r="EZJ24" s="120"/>
      <c r="EZK24" s="120"/>
      <c r="EZL24" s="120"/>
      <c r="EZM24" s="120"/>
      <c r="EZN24" s="120"/>
      <c r="EZO24" s="120"/>
      <c r="EZP24" s="120"/>
      <c r="EZQ24" s="120"/>
      <c r="EZR24" s="120"/>
      <c r="EZS24" s="120"/>
      <c r="EZT24" s="120"/>
      <c r="EZU24" s="120"/>
      <c r="EZV24" s="120"/>
      <c r="EZW24" s="120"/>
      <c r="EZX24" s="120"/>
      <c r="EZY24" s="120"/>
      <c r="EZZ24" s="120"/>
      <c r="FAA24" s="120"/>
      <c r="FAB24" s="120"/>
      <c r="FAC24" s="120"/>
      <c r="FAD24" s="120"/>
      <c r="FAE24" s="120"/>
      <c r="FAF24" s="120"/>
      <c r="FAG24" s="120"/>
      <c r="FAH24" s="120"/>
      <c r="FAI24" s="120"/>
      <c r="FAJ24" s="120"/>
      <c r="FAK24" s="120"/>
      <c r="FAL24" s="120"/>
      <c r="FAM24" s="120"/>
      <c r="FAN24" s="120"/>
      <c r="FAO24" s="120"/>
      <c r="FAP24" s="120"/>
      <c r="FAQ24" s="120"/>
      <c r="FAR24" s="120"/>
      <c r="FAS24" s="120"/>
      <c r="FAT24" s="120"/>
      <c r="FAU24" s="120"/>
      <c r="FAV24" s="120"/>
      <c r="FAW24" s="120"/>
      <c r="FAX24" s="120"/>
      <c r="FAY24" s="120"/>
      <c r="FAZ24" s="120"/>
      <c r="FBA24" s="120"/>
      <c r="FBB24" s="120"/>
      <c r="FBC24" s="120"/>
      <c r="FBD24" s="120"/>
      <c r="FBE24" s="120"/>
      <c r="FBF24" s="120"/>
      <c r="FBG24" s="120"/>
      <c r="FBH24" s="120"/>
      <c r="FBI24" s="120"/>
      <c r="FBJ24" s="120"/>
      <c r="FBK24" s="120"/>
      <c r="FBL24" s="120"/>
      <c r="FBM24" s="120"/>
      <c r="FBN24" s="120"/>
      <c r="FBO24" s="120"/>
      <c r="FBP24" s="120"/>
      <c r="FBQ24" s="120"/>
      <c r="FBR24" s="120"/>
      <c r="FBS24" s="120"/>
      <c r="FBT24" s="120"/>
      <c r="FBU24" s="120"/>
      <c r="FBV24" s="120"/>
      <c r="FBW24" s="120"/>
      <c r="FBX24" s="120"/>
      <c r="FBY24" s="120"/>
      <c r="FBZ24" s="120"/>
      <c r="FCA24" s="120"/>
      <c r="FCB24" s="120"/>
      <c r="FCC24" s="120"/>
      <c r="FCD24" s="120"/>
      <c r="FCE24" s="120"/>
      <c r="FCF24" s="120"/>
      <c r="FCG24" s="120"/>
      <c r="FCH24" s="120"/>
      <c r="FCI24" s="120"/>
      <c r="FCJ24" s="120"/>
      <c r="FCK24" s="120"/>
      <c r="FCL24" s="120"/>
      <c r="FCM24" s="120"/>
      <c r="FCN24" s="120"/>
      <c r="FCO24" s="120"/>
      <c r="FCP24" s="120"/>
      <c r="FCQ24" s="120"/>
      <c r="FCR24" s="120"/>
      <c r="FCS24" s="120"/>
      <c r="FCT24" s="120"/>
      <c r="FCU24" s="120"/>
      <c r="FCV24" s="120"/>
      <c r="FCW24" s="120"/>
      <c r="FCX24" s="120"/>
      <c r="FCY24" s="120"/>
      <c r="FCZ24" s="120"/>
      <c r="FDA24" s="120"/>
      <c r="FDB24" s="120"/>
      <c r="FDC24" s="120"/>
      <c r="FDD24" s="120"/>
      <c r="FDE24" s="120"/>
      <c r="FDF24" s="120"/>
      <c r="FDG24" s="120"/>
      <c r="FDH24" s="120"/>
      <c r="FDI24" s="120"/>
      <c r="FDJ24" s="120"/>
      <c r="FDK24" s="120"/>
      <c r="FDL24" s="120"/>
      <c r="FDM24" s="120"/>
      <c r="FDN24" s="120"/>
      <c r="FDO24" s="120"/>
      <c r="FDP24" s="120"/>
      <c r="FDQ24" s="120"/>
      <c r="FDR24" s="120"/>
      <c r="FDS24" s="120"/>
      <c r="FDT24" s="120"/>
      <c r="FDU24" s="120"/>
      <c r="FDV24" s="120"/>
      <c r="FDW24" s="120"/>
      <c r="FDX24" s="120"/>
      <c r="FDY24" s="120"/>
      <c r="FDZ24" s="120"/>
      <c r="FEA24" s="120"/>
      <c r="FEB24" s="120"/>
      <c r="FEC24" s="120"/>
      <c r="FED24" s="120"/>
      <c r="FEE24" s="120"/>
      <c r="FEF24" s="120"/>
      <c r="FEG24" s="120"/>
      <c r="FEH24" s="120"/>
      <c r="FEI24" s="120"/>
      <c r="FEJ24" s="120"/>
      <c r="FEK24" s="120"/>
      <c r="FEL24" s="120"/>
      <c r="FEM24" s="120"/>
      <c r="FEN24" s="120"/>
      <c r="FEO24" s="120"/>
      <c r="FEP24" s="120"/>
      <c r="FEQ24" s="120"/>
      <c r="FER24" s="120"/>
      <c r="FES24" s="120"/>
      <c r="FET24" s="120"/>
      <c r="FEU24" s="120"/>
      <c r="FEV24" s="120"/>
      <c r="FEW24" s="120"/>
      <c r="FEX24" s="120"/>
      <c r="FEY24" s="120"/>
      <c r="FEZ24" s="120"/>
      <c r="FFA24" s="120"/>
      <c r="FFB24" s="120"/>
      <c r="FFC24" s="120"/>
      <c r="FFD24" s="120"/>
      <c r="FFE24" s="120"/>
      <c r="FFF24" s="120"/>
      <c r="FFG24" s="120"/>
      <c r="FFH24" s="120"/>
      <c r="FFI24" s="120"/>
      <c r="FFJ24" s="120"/>
      <c r="FFK24" s="120"/>
      <c r="FFL24" s="120"/>
      <c r="FFM24" s="120"/>
      <c r="FFN24" s="120"/>
      <c r="FFO24" s="120"/>
      <c r="FFP24" s="120"/>
      <c r="FFQ24" s="120"/>
      <c r="FFR24" s="120"/>
      <c r="FFS24" s="120"/>
      <c r="FFT24" s="120"/>
      <c r="FFU24" s="120"/>
      <c r="FFV24" s="120"/>
      <c r="FFW24" s="120"/>
      <c r="FFX24" s="120"/>
      <c r="FFY24" s="120"/>
      <c r="FFZ24" s="120"/>
      <c r="FGA24" s="120"/>
      <c r="FGB24" s="120"/>
      <c r="FGC24" s="120"/>
      <c r="FGD24" s="120"/>
      <c r="FGE24" s="120"/>
      <c r="FGF24" s="120"/>
      <c r="FGG24" s="120"/>
      <c r="FGH24" s="120"/>
      <c r="FGI24" s="120"/>
      <c r="FGJ24" s="120"/>
      <c r="FGK24" s="120"/>
      <c r="FGL24" s="120"/>
      <c r="FGM24" s="120"/>
      <c r="FGN24" s="120"/>
      <c r="FGO24" s="120"/>
      <c r="FGP24" s="120"/>
      <c r="FGQ24" s="120"/>
      <c r="FGR24" s="120"/>
      <c r="FGS24" s="120"/>
      <c r="FGT24" s="120"/>
      <c r="FGU24" s="120"/>
      <c r="FGV24" s="120"/>
      <c r="FGW24" s="120"/>
      <c r="FGX24" s="120"/>
      <c r="FGY24" s="120"/>
      <c r="FGZ24" s="120"/>
      <c r="FHA24" s="120"/>
      <c r="FHB24" s="120"/>
      <c r="FHC24" s="120"/>
      <c r="FHD24" s="120"/>
      <c r="FHE24" s="120"/>
      <c r="FHF24" s="120"/>
      <c r="FHG24" s="120"/>
      <c r="FHH24" s="120"/>
      <c r="FHI24" s="120"/>
      <c r="FHJ24" s="120"/>
      <c r="FHK24" s="120"/>
      <c r="FHL24" s="120"/>
      <c r="FHM24" s="120"/>
      <c r="FHN24" s="120"/>
      <c r="FHO24" s="120"/>
      <c r="FHP24" s="120"/>
      <c r="FHQ24" s="120"/>
      <c r="FHR24" s="120"/>
      <c r="FHS24" s="120"/>
      <c r="FHT24" s="120"/>
      <c r="FHU24" s="120"/>
      <c r="FHV24" s="120"/>
      <c r="FHW24" s="120"/>
      <c r="FHX24" s="120"/>
      <c r="FHY24" s="120"/>
      <c r="FHZ24" s="120"/>
      <c r="FIA24" s="120"/>
      <c r="FIB24" s="120"/>
      <c r="FIC24" s="120"/>
      <c r="FID24" s="120"/>
      <c r="FIE24" s="120"/>
      <c r="FIF24" s="120"/>
      <c r="FIG24" s="120"/>
      <c r="FIH24" s="120"/>
      <c r="FII24" s="120"/>
      <c r="FIJ24" s="120"/>
      <c r="FIK24" s="120"/>
      <c r="FIL24" s="120"/>
      <c r="FIM24" s="120"/>
      <c r="FIN24" s="120"/>
      <c r="FIO24" s="120"/>
      <c r="FIP24" s="120"/>
      <c r="FIQ24" s="120"/>
      <c r="FIR24" s="120"/>
      <c r="FIS24" s="120"/>
      <c r="FIT24" s="120"/>
      <c r="FIU24" s="120"/>
      <c r="FIV24" s="120"/>
      <c r="FIW24" s="120"/>
      <c r="FIX24" s="120"/>
      <c r="FIY24" s="120"/>
      <c r="FIZ24" s="120"/>
      <c r="FJA24" s="120"/>
      <c r="FJB24" s="120"/>
      <c r="FJC24" s="120"/>
      <c r="FJD24" s="120"/>
      <c r="FJE24" s="120"/>
      <c r="FJF24" s="120"/>
      <c r="FJG24" s="120"/>
      <c r="FJH24" s="120"/>
      <c r="FJI24" s="120"/>
      <c r="FJJ24" s="120"/>
      <c r="FJK24" s="120"/>
      <c r="FJL24" s="120"/>
      <c r="FJM24" s="120"/>
      <c r="FJN24" s="120"/>
      <c r="FJO24" s="120"/>
      <c r="FJP24" s="120"/>
      <c r="FJQ24" s="120"/>
      <c r="FJR24" s="120"/>
      <c r="FJS24" s="120"/>
      <c r="FJT24" s="120"/>
      <c r="FJU24" s="120"/>
      <c r="FJV24" s="120"/>
      <c r="FJW24" s="120"/>
      <c r="FJX24" s="120"/>
      <c r="FJY24" s="120"/>
      <c r="FJZ24" s="120"/>
      <c r="FKA24" s="120"/>
      <c r="FKB24" s="120"/>
      <c r="FKC24" s="120"/>
      <c r="FKD24" s="120"/>
      <c r="FKE24" s="120"/>
      <c r="FKF24" s="120"/>
      <c r="FKG24" s="120"/>
      <c r="FKH24" s="120"/>
      <c r="FKI24" s="120"/>
      <c r="FKJ24" s="120"/>
      <c r="FKK24" s="120"/>
      <c r="FKL24" s="120"/>
      <c r="FKM24" s="120"/>
      <c r="FKN24" s="120"/>
      <c r="FKO24" s="120"/>
      <c r="FKP24" s="120"/>
      <c r="FKQ24" s="120"/>
      <c r="FKR24" s="120"/>
      <c r="FKS24" s="120"/>
      <c r="FKT24" s="120"/>
      <c r="FKU24" s="120"/>
      <c r="FKV24" s="120"/>
      <c r="FKW24" s="120"/>
      <c r="FKX24" s="120"/>
      <c r="FKY24" s="120"/>
      <c r="FKZ24" s="120"/>
      <c r="FLA24" s="120"/>
      <c r="FLB24" s="120"/>
      <c r="FLC24" s="120"/>
      <c r="FLD24" s="120"/>
      <c r="FLE24" s="120"/>
      <c r="FLF24" s="120"/>
      <c r="FLG24" s="120"/>
      <c r="FLH24" s="120"/>
      <c r="FLI24" s="120"/>
      <c r="FLJ24" s="120"/>
      <c r="FLK24" s="120"/>
      <c r="FLL24" s="120"/>
      <c r="FLM24" s="120"/>
      <c r="FLN24" s="120"/>
      <c r="FLO24" s="120"/>
      <c r="FLP24" s="120"/>
      <c r="FLQ24" s="120"/>
      <c r="FLR24" s="120"/>
      <c r="FLS24" s="120"/>
      <c r="FLT24" s="120"/>
      <c r="FLU24" s="120"/>
      <c r="FLV24" s="120"/>
      <c r="FLW24" s="120"/>
      <c r="FLX24" s="120"/>
      <c r="FLY24" s="120"/>
      <c r="FLZ24" s="120"/>
      <c r="FMA24" s="120"/>
      <c r="FMB24" s="120"/>
      <c r="FMC24" s="120"/>
      <c r="FMD24" s="120"/>
      <c r="FME24" s="120"/>
      <c r="FMF24" s="120"/>
      <c r="FMG24" s="120"/>
      <c r="FMH24" s="120"/>
      <c r="FMI24" s="120"/>
      <c r="FMJ24" s="120"/>
      <c r="FMK24" s="120"/>
      <c r="FML24" s="120"/>
      <c r="FMM24" s="120"/>
      <c r="FMN24" s="120"/>
      <c r="FMO24" s="120"/>
      <c r="FMP24" s="120"/>
      <c r="FMQ24" s="120"/>
      <c r="FMR24" s="120"/>
      <c r="FMS24" s="120"/>
      <c r="FMT24" s="120"/>
      <c r="FMU24" s="120"/>
      <c r="FMV24" s="120"/>
      <c r="FMW24" s="120"/>
      <c r="FMX24" s="120"/>
      <c r="FMY24" s="120"/>
      <c r="FMZ24" s="120"/>
      <c r="FNA24" s="120"/>
      <c r="FNB24" s="120"/>
      <c r="FNC24" s="120"/>
      <c r="FND24" s="120"/>
      <c r="FNE24" s="120"/>
      <c r="FNF24" s="120"/>
      <c r="FNG24" s="120"/>
      <c r="FNH24" s="120"/>
      <c r="FNI24" s="120"/>
      <c r="FNJ24" s="120"/>
      <c r="FNK24" s="120"/>
      <c r="FNL24" s="120"/>
      <c r="FNM24" s="120"/>
      <c r="FNN24" s="120"/>
      <c r="FNO24" s="120"/>
      <c r="FNP24" s="120"/>
      <c r="FNQ24" s="120"/>
      <c r="FNR24" s="120"/>
      <c r="FNS24" s="120"/>
      <c r="FNT24" s="120"/>
      <c r="FNU24" s="120"/>
      <c r="FNV24" s="120"/>
      <c r="FNW24" s="120"/>
      <c r="FNX24" s="120"/>
      <c r="FNY24" s="120"/>
      <c r="FNZ24" s="120"/>
      <c r="FOA24" s="120"/>
      <c r="FOB24" s="120"/>
      <c r="FOC24" s="120"/>
      <c r="FOD24" s="120"/>
      <c r="FOE24" s="120"/>
      <c r="FOF24" s="120"/>
      <c r="FOG24" s="120"/>
      <c r="FOH24" s="120"/>
      <c r="FOI24" s="120"/>
      <c r="FOJ24" s="120"/>
      <c r="FOK24" s="120"/>
      <c r="FOL24" s="120"/>
      <c r="FOM24" s="120"/>
      <c r="FON24" s="120"/>
      <c r="FOO24" s="120"/>
      <c r="FOP24" s="120"/>
      <c r="FOQ24" s="120"/>
      <c r="FOR24" s="120"/>
      <c r="FOS24" s="120"/>
      <c r="FOT24" s="120"/>
      <c r="FOU24" s="120"/>
      <c r="FOV24" s="120"/>
      <c r="FOW24" s="120"/>
      <c r="FOX24" s="120"/>
      <c r="FOY24" s="120"/>
      <c r="FOZ24" s="120"/>
      <c r="FPA24" s="120"/>
      <c r="FPB24" s="120"/>
      <c r="FPC24" s="120"/>
      <c r="FPD24" s="120"/>
      <c r="FPE24" s="120"/>
      <c r="FPF24" s="120"/>
      <c r="FPG24" s="120"/>
      <c r="FPH24" s="120"/>
      <c r="FPI24" s="120"/>
      <c r="FPJ24" s="120"/>
      <c r="FPK24" s="120"/>
      <c r="FPL24" s="120"/>
      <c r="FPM24" s="120"/>
      <c r="FPN24" s="120"/>
      <c r="FPO24" s="120"/>
      <c r="FPP24" s="120"/>
      <c r="FPQ24" s="120"/>
      <c r="FPR24" s="120"/>
      <c r="FPS24" s="120"/>
      <c r="FPT24" s="120"/>
      <c r="FPU24" s="120"/>
      <c r="FPV24" s="120"/>
      <c r="FPW24" s="120"/>
      <c r="FPX24" s="120"/>
      <c r="FPY24" s="120"/>
      <c r="FPZ24" s="120"/>
      <c r="FQA24" s="120"/>
      <c r="FQB24" s="120"/>
      <c r="FQC24" s="120"/>
      <c r="FQD24" s="120"/>
      <c r="FQE24" s="120"/>
      <c r="FQF24" s="120"/>
      <c r="FQG24" s="120"/>
      <c r="FQH24" s="120"/>
      <c r="FQI24" s="120"/>
      <c r="FQJ24" s="120"/>
      <c r="FQK24" s="120"/>
      <c r="FQL24" s="120"/>
      <c r="FQM24" s="120"/>
      <c r="FQN24" s="120"/>
      <c r="FQO24" s="120"/>
      <c r="FQP24" s="120"/>
      <c r="FQQ24" s="120"/>
      <c r="FQR24" s="120"/>
      <c r="FQS24" s="120"/>
      <c r="FQT24" s="120"/>
      <c r="FQU24" s="120"/>
      <c r="FQV24" s="120"/>
      <c r="FQW24" s="120"/>
      <c r="FQX24" s="120"/>
      <c r="FQY24" s="120"/>
      <c r="FQZ24" s="120"/>
      <c r="FRA24" s="120"/>
      <c r="FRB24" s="120"/>
      <c r="FRC24" s="120"/>
      <c r="FRD24" s="120"/>
      <c r="FRE24" s="120"/>
      <c r="FRF24" s="120"/>
      <c r="FRG24" s="120"/>
      <c r="FRH24" s="120"/>
      <c r="FRI24" s="120"/>
      <c r="FRJ24" s="120"/>
      <c r="FRK24" s="120"/>
      <c r="FRL24" s="120"/>
      <c r="FRM24" s="120"/>
      <c r="FRN24" s="120"/>
      <c r="FRO24" s="120"/>
      <c r="FRP24" s="120"/>
      <c r="FRQ24" s="120"/>
      <c r="FRR24" s="120"/>
      <c r="FRS24" s="120"/>
      <c r="FRT24" s="120"/>
      <c r="FRU24" s="120"/>
      <c r="FRV24" s="120"/>
      <c r="FRW24" s="120"/>
      <c r="FRX24" s="120"/>
      <c r="FRY24" s="120"/>
      <c r="FRZ24" s="120"/>
      <c r="FSA24" s="120"/>
      <c r="FSB24" s="120"/>
      <c r="FSC24" s="120"/>
      <c r="FSD24" s="120"/>
      <c r="FSE24" s="120"/>
      <c r="FSF24" s="120"/>
      <c r="FSG24" s="120"/>
      <c r="FSH24" s="120"/>
      <c r="FSI24" s="120"/>
      <c r="FSJ24" s="120"/>
      <c r="FSK24" s="120"/>
      <c r="FSL24" s="120"/>
      <c r="FSM24" s="120"/>
      <c r="FSN24" s="120"/>
      <c r="FSO24" s="120"/>
      <c r="FSP24" s="120"/>
      <c r="FSQ24" s="120"/>
      <c r="FSR24" s="120"/>
      <c r="FSS24" s="120"/>
      <c r="FST24" s="120"/>
      <c r="FSU24" s="120"/>
      <c r="FSV24" s="120"/>
      <c r="FSW24" s="120"/>
      <c r="FSX24" s="120"/>
      <c r="FSY24" s="120"/>
      <c r="FSZ24" s="120"/>
      <c r="FTA24" s="120"/>
      <c r="FTB24" s="120"/>
      <c r="FTC24" s="120"/>
      <c r="FTD24" s="120"/>
      <c r="FTE24" s="120"/>
      <c r="FTF24" s="120"/>
      <c r="FTG24" s="120"/>
      <c r="FTH24" s="120"/>
      <c r="FTI24" s="120"/>
      <c r="FTJ24" s="120"/>
      <c r="FTK24" s="120"/>
      <c r="FTL24" s="120"/>
      <c r="FTM24" s="120"/>
      <c r="FTN24" s="120"/>
      <c r="FTO24" s="120"/>
      <c r="FTP24" s="120"/>
      <c r="FTQ24" s="120"/>
      <c r="FTR24" s="120"/>
      <c r="FTS24" s="120"/>
      <c r="FTT24" s="120"/>
      <c r="FTU24" s="120"/>
      <c r="FTV24" s="120"/>
      <c r="FTW24" s="120"/>
      <c r="FTX24" s="120"/>
      <c r="FTY24" s="120"/>
      <c r="FTZ24" s="120"/>
      <c r="FUA24" s="120"/>
      <c r="FUB24" s="120"/>
      <c r="FUC24" s="120"/>
      <c r="FUD24" s="120"/>
      <c r="FUE24" s="120"/>
      <c r="FUF24" s="120"/>
      <c r="FUG24" s="120"/>
      <c r="FUH24" s="120"/>
      <c r="FUI24" s="120"/>
      <c r="FUJ24" s="120"/>
      <c r="FUK24" s="120"/>
      <c r="FUL24" s="120"/>
      <c r="FUM24" s="120"/>
      <c r="FUN24" s="120"/>
      <c r="FUO24" s="120"/>
      <c r="FUP24" s="120"/>
      <c r="FUQ24" s="120"/>
      <c r="FUR24" s="120"/>
      <c r="FUS24" s="120"/>
      <c r="FUT24" s="120"/>
      <c r="FUU24" s="120"/>
      <c r="FUV24" s="120"/>
      <c r="FUW24" s="120"/>
      <c r="FUX24" s="120"/>
      <c r="FUY24" s="120"/>
      <c r="FUZ24" s="120"/>
      <c r="FVA24" s="120"/>
      <c r="FVB24" s="120"/>
      <c r="FVC24" s="120"/>
      <c r="FVD24" s="120"/>
      <c r="FVE24" s="120"/>
      <c r="FVF24" s="120"/>
      <c r="FVG24" s="120"/>
      <c r="FVH24" s="120"/>
      <c r="FVI24" s="120"/>
      <c r="FVJ24" s="120"/>
      <c r="FVK24" s="120"/>
      <c r="FVL24" s="120"/>
      <c r="FVM24" s="120"/>
      <c r="FVN24" s="120"/>
      <c r="FVO24" s="120"/>
      <c r="FVP24" s="120"/>
      <c r="FVQ24" s="120"/>
      <c r="FVR24" s="120"/>
      <c r="FVS24" s="120"/>
      <c r="FVT24" s="120"/>
      <c r="FVU24" s="120"/>
      <c r="FVV24" s="120"/>
      <c r="FVW24" s="120"/>
      <c r="FVX24" s="120"/>
      <c r="FVY24" s="120"/>
      <c r="FVZ24" s="120"/>
      <c r="FWA24" s="120"/>
      <c r="FWB24" s="120"/>
      <c r="FWC24" s="120"/>
      <c r="FWD24" s="120"/>
      <c r="FWE24" s="120"/>
      <c r="FWF24" s="120"/>
      <c r="FWG24" s="120"/>
      <c r="FWH24" s="120"/>
      <c r="FWI24" s="120"/>
      <c r="FWJ24" s="120"/>
      <c r="FWK24" s="120"/>
      <c r="FWL24" s="120"/>
      <c r="FWM24" s="120"/>
      <c r="FWN24" s="120"/>
      <c r="FWO24" s="120"/>
      <c r="FWP24" s="120"/>
      <c r="FWQ24" s="120"/>
      <c r="FWR24" s="120"/>
      <c r="FWS24" s="120"/>
      <c r="FWT24" s="120"/>
      <c r="FWU24" s="120"/>
      <c r="FWV24" s="120"/>
      <c r="FWW24" s="120"/>
      <c r="FWX24" s="120"/>
      <c r="FWY24" s="120"/>
      <c r="FWZ24" s="120"/>
      <c r="FXA24" s="120"/>
      <c r="FXB24" s="120"/>
      <c r="FXC24" s="120"/>
      <c r="FXD24" s="120"/>
      <c r="FXE24" s="120"/>
      <c r="FXF24" s="120"/>
      <c r="FXG24" s="120"/>
      <c r="FXH24" s="120"/>
      <c r="FXI24" s="120"/>
      <c r="FXJ24" s="120"/>
      <c r="FXK24" s="120"/>
      <c r="FXL24" s="120"/>
      <c r="FXM24" s="120"/>
      <c r="FXN24" s="120"/>
      <c r="FXO24" s="120"/>
      <c r="FXP24" s="120"/>
      <c r="FXQ24" s="120"/>
      <c r="FXR24" s="120"/>
      <c r="FXS24" s="120"/>
      <c r="FXT24" s="120"/>
      <c r="FXU24" s="120"/>
      <c r="FXV24" s="120"/>
      <c r="FXW24" s="120"/>
      <c r="FXX24" s="120"/>
      <c r="FXY24" s="120"/>
      <c r="FXZ24" s="120"/>
      <c r="FYA24" s="120"/>
      <c r="FYB24" s="120"/>
      <c r="FYC24" s="120"/>
      <c r="FYD24" s="120"/>
      <c r="FYE24" s="120"/>
      <c r="FYF24" s="120"/>
      <c r="FYG24" s="120"/>
      <c r="FYH24" s="120"/>
      <c r="FYI24" s="120"/>
      <c r="FYJ24" s="120"/>
      <c r="FYK24" s="120"/>
      <c r="FYL24" s="120"/>
      <c r="FYM24" s="120"/>
      <c r="FYN24" s="120"/>
      <c r="FYO24" s="120"/>
      <c r="FYP24" s="120"/>
      <c r="FYQ24" s="120"/>
      <c r="FYR24" s="120"/>
      <c r="FYS24" s="120"/>
      <c r="FYT24" s="120"/>
      <c r="FYU24" s="120"/>
      <c r="FYV24" s="120"/>
      <c r="FYW24" s="120"/>
      <c r="FYX24" s="120"/>
      <c r="FYY24" s="120"/>
      <c r="FYZ24" s="120"/>
      <c r="FZA24" s="120"/>
      <c r="FZB24" s="120"/>
      <c r="FZC24" s="120"/>
      <c r="FZD24" s="120"/>
      <c r="FZE24" s="120"/>
      <c r="FZF24" s="120"/>
      <c r="FZG24" s="120"/>
      <c r="FZH24" s="120"/>
      <c r="FZI24" s="120"/>
      <c r="FZJ24" s="120"/>
      <c r="FZK24" s="120"/>
      <c r="FZL24" s="120"/>
      <c r="FZM24" s="120"/>
      <c r="FZN24" s="120"/>
      <c r="FZO24" s="120"/>
      <c r="FZP24" s="120"/>
      <c r="FZQ24" s="120"/>
      <c r="FZR24" s="120"/>
      <c r="FZS24" s="120"/>
      <c r="FZT24" s="120"/>
      <c r="FZU24" s="120"/>
      <c r="FZV24" s="120"/>
      <c r="FZW24" s="120"/>
      <c r="FZX24" s="120"/>
      <c r="FZY24" s="120"/>
      <c r="FZZ24" s="120"/>
      <c r="GAA24" s="120"/>
      <c r="GAB24" s="120"/>
      <c r="GAC24" s="120"/>
      <c r="GAD24" s="120"/>
      <c r="GAE24" s="120"/>
      <c r="GAF24" s="120"/>
      <c r="GAG24" s="120"/>
      <c r="GAH24" s="120"/>
      <c r="GAI24" s="120"/>
      <c r="GAJ24" s="120"/>
      <c r="GAK24" s="120"/>
      <c r="GAL24" s="120"/>
      <c r="GAM24" s="120"/>
      <c r="GAN24" s="120"/>
      <c r="GAO24" s="120"/>
      <c r="GAP24" s="120"/>
      <c r="GAQ24" s="120"/>
      <c r="GAR24" s="120"/>
      <c r="GAS24" s="120"/>
      <c r="GAT24" s="120"/>
      <c r="GAU24" s="120"/>
      <c r="GAV24" s="120"/>
      <c r="GAW24" s="120"/>
      <c r="GAX24" s="120"/>
      <c r="GAY24" s="120"/>
      <c r="GAZ24" s="120"/>
      <c r="GBA24" s="120"/>
      <c r="GBB24" s="120"/>
      <c r="GBC24" s="120"/>
      <c r="GBD24" s="120"/>
      <c r="GBE24" s="120"/>
      <c r="GBF24" s="120"/>
      <c r="GBG24" s="120"/>
      <c r="GBH24" s="120"/>
      <c r="GBI24" s="120"/>
      <c r="GBJ24" s="120"/>
      <c r="GBK24" s="120"/>
      <c r="GBL24" s="120"/>
      <c r="GBM24" s="120"/>
      <c r="GBN24" s="120"/>
      <c r="GBO24" s="120"/>
      <c r="GBP24" s="120"/>
      <c r="GBQ24" s="120"/>
      <c r="GBR24" s="120"/>
      <c r="GBS24" s="120"/>
      <c r="GBT24" s="120"/>
      <c r="GBU24" s="120"/>
      <c r="GBV24" s="120"/>
      <c r="GBW24" s="120"/>
      <c r="GBX24" s="120"/>
      <c r="GBY24" s="120"/>
      <c r="GBZ24" s="120"/>
      <c r="GCA24" s="120"/>
      <c r="GCB24" s="120"/>
      <c r="GCC24" s="120"/>
      <c r="GCD24" s="120"/>
      <c r="GCE24" s="120"/>
      <c r="GCF24" s="120"/>
      <c r="GCG24" s="120"/>
      <c r="GCH24" s="120"/>
      <c r="GCI24" s="120"/>
      <c r="GCJ24" s="120"/>
      <c r="GCK24" s="120"/>
      <c r="GCL24" s="120"/>
      <c r="GCM24" s="120"/>
      <c r="GCN24" s="120"/>
      <c r="GCO24" s="120"/>
      <c r="GCP24" s="120"/>
      <c r="GCQ24" s="120"/>
      <c r="GCR24" s="120"/>
      <c r="GCS24" s="120"/>
      <c r="GCT24" s="120"/>
      <c r="GCU24" s="120"/>
      <c r="GCV24" s="120"/>
      <c r="GCW24" s="120"/>
      <c r="GCX24" s="120"/>
      <c r="GCY24" s="120"/>
      <c r="GCZ24" s="120"/>
      <c r="GDA24" s="120"/>
      <c r="GDB24" s="120"/>
      <c r="GDC24" s="120"/>
      <c r="GDD24" s="120"/>
      <c r="GDE24" s="120"/>
      <c r="GDF24" s="120"/>
      <c r="GDG24" s="120"/>
      <c r="GDH24" s="120"/>
      <c r="GDI24" s="120"/>
      <c r="GDJ24" s="120"/>
      <c r="GDK24" s="120"/>
      <c r="GDL24" s="120"/>
      <c r="GDM24" s="120"/>
      <c r="GDN24" s="120"/>
      <c r="GDO24" s="120"/>
      <c r="GDP24" s="120"/>
      <c r="GDQ24" s="120"/>
      <c r="GDR24" s="120"/>
      <c r="GDS24" s="120"/>
      <c r="GDT24" s="120"/>
      <c r="GDU24" s="120"/>
      <c r="GDV24" s="120"/>
      <c r="GDW24" s="120"/>
      <c r="GDX24" s="120"/>
      <c r="GDY24" s="120"/>
      <c r="GDZ24" s="120"/>
      <c r="GEA24" s="120"/>
      <c r="GEB24" s="120"/>
      <c r="GEC24" s="120"/>
      <c r="GED24" s="120"/>
      <c r="GEE24" s="120"/>
      <c r="GEF24" s="120"/>
      <c r="GEG24" s="120"/>
      <c r="GEH24" s="120"/>
      <c r="GEI24" s="120"/>
      <c r="GEJ24" s="120"/>
      <c r="GEK24" s="120"/>
      <c r="GEL24" s="120"/>
      <c r="GEM24" s="120"/>
      <c r="GEN24" s="120"/>
      <c r="GEO24" s="120"/>
      <c r="GEP24" s="120"/>
      <c r="GEQ24" s="120"/>
      <c r="GER24" s="120"/>
      <c r="GES24" s="120"/>
      <c r="GET24" s="120"/>
      <c r="GEU24" s="120"/>
      <c r="GEV24" s="120"/>
      <c r="GEW24" s="120"/>
      <c r="GEX24" s="120"/>
      <c r="GEY24" s="120"/>
      <c r="GEZ24" s="120"/>
      <c r="GFA24" s="120"/>
      <c r="GFB24" s="120"/>
      <c r="GFC24" s="120"/>
      <c r="GFD24" s="120"/>
      <c r="GFE24" s="120"/>
      <c r="GFF24" s="120"/>
      <c r="GFG24" s="120"/>
      <c r="GFH24" s="120"/>
      <c r="GFI24" s="120"/>
      <c r="GFJ24" s="120"/>
      <c r="GFK24" s="120"/>
      <c r="GFL24" s="120"/>
      <c r="GFM24" s="120"/>
      <c r="GFN24" s="120"/>
      <c r="GFO24" s="120"/>
      <c r="GFP24" s="120"/>
      <c r="GFQ24" s="120"/>
      <c r="GFR24" s="120"/>
      <c r="GFS24" s="120"/>
      <c r="GFT24" s="120"/>
      <c r="GFU24" s="120"/>
      <c r="GFV24" s="120"/>
      <c r="GFW24" s="120"/>
      <c r="GFX24" s="120"/>
      <c r="GFY24" s="120"/>
      <c r="GFZ24" s="120"/>
      <c r="GGA24" s="120"/>
      <c r="GGB24" s="120"/>
      <c r="GGC24" s="120"/>
      <c r="GGD24" s="120"/>
      <c r="GGE24" s="120"/>
      <c r="GGF24" s="120"/>
      <c r="GGG24" s="120"/>
      <c r="GGH24" s="120"/>
      <c r="GGI24" s="120"/>
      <c r="GGJ24" s="120"/>
      <c r="GGK24" s="120"/>
      <c r="GGL24" s="120"/>
      <c r="GGM24" s="120"/>
      <c r="GGN24" s="120"/>
      <c r="GGO24" s="120"/>
      <c r="GGP24" s="120"/>
      <c r="GGQ24" s="120"/>
      <c r="GGR24" s="120"/>
      <c r="GGS24" s="120"/>
      <c r="GGT24" s="120"/>
      <c r="GGU24" s="120"/>
      <c r="GGV24" s="120"/>
      <c r="GGW24" s="120"/>
      <c r="GGX24" s="120"/>
      <c r="GGY24" s="120"/>
      <c r="GGZ24" s="120"/>
      <c r="GHA24" s="120"/>
      <c r="GHB24" s="120"/>
      <c r="GHC24" s="120"/>
      <c r="GHD24" s="120"/>
      <c r="GHE24" s="120"/>
      <c r="GHF24" s="120"/>
      <c r="GHG24" s="120"/>
      <c r="GHH24" s="120"/>
      <c r="GHI24" s="120"/>
      <c r="GHJ24" s="120"/>
      <c r="GHK24" s="120"/>
      <c r="GHL24" s="120"/>
      <c r="GHM24" s="120"/>
      <c r="GHN24" s="120"/>
      <c r="GHO24" s="120"/>
      <c r="GHP24" s="120"/>
      <c r="GHQ24" s="120"/>
      <c r="GHR24" s="120"/>
      <c r="GHS24" s="120"/>
      <c r="GHT24" s="120"/>
      <c r="GHU24" s="120"/>
      <c r="GHV24" s="120"/>
      <c r="GHW24" s="120"/>
      <c r="GHX24" s="120"/>
      <c r="GHY24" s="120"/>
      <c r="GHZ24" s="120"/>
      <c r="GIA24" s="120"/>
      <c r="GIB24" s="120"/>
      <c r="GIC24" s="120"/>
      <c r="GID24" s="120"/>
      <c r="GIE24" s="120"/>
      <c r="GIF24" s="120"/>
      <c r="GIG24" s="120"/>
      <c r="GIH24" s="120"/>
      <c r="GII24" s="120"/>
      <c r="GIJ24" s="120"/>
      <c r="GIK24" s="120"/>
      <c r="GIL24" s="120"/>
      <c r="GIM24" s="120"/>
      <c r="GIN24" s="120"/>
      <c r="GIO24" s="120"/>
      <c r="GIP24" s="120"/>
      <c r="GIQ24" s="120"/>
      <c r="GIR24" s="120"/>
      <c r="GIS24" s="120"/>
      <c r="GIT24" s="120"/>
      <c r="GIU24" s="120"/>
      <c r="GIV24" s="120"/>
      <c r="GIW24" s="120"/>
      <c r="GIX24" s="120"/>
      <c r="GIY24" s="120"/>
      <c r="GIZ24" s="120"/>
      <c r="GJA24" s="120"/>
      <c r="GJB24" s="120"/>
      <c r="GJC24" s="120"/>
      <c r="GJD24" s="120"/>
      <c r="GJE24" s="120"/>
      <c r="GJF24" s="120"/>
      <c r="GJG24" s="120"/>
      <c r="GJH24" s="120"/>
      <c r="GJI24" s="120"/>
      <c r="GJJ24" s="120"/>
      <c r="GJK24" s="120"/>
      <c r="GJL24" s="120"/>
      <c r="GJM24" s="120"/>
      <c r="GJN24" s="120"/>
      <c r="GJO24" s="120"/>
      <c r="GJP24" s="120"/>
      <c r="GJQ24" s="120"/>
      <c r="GJR24" s="120"/>
      <c r="GJS24" s="120"/>
      <c r="GJT24" s="120"/>
      <c r="GJU24" s="120"/>
      <c r="GJV24" s="120"/>
      <c r="GJW24" s="120"/>
      <c r="GJX24" s="120"/>
      <c r="GJY24" s="120"/>
      <c r="GJZ24" s="120"/>
      <c r="GKA24" s="120"/>
      <c r="GKB24" s="120"/>
      <c r="GKC24" s="120"/>
      <c r="GKD24" s="120"/>
      <c r="GKE24" s="120"/>
      <c r="GKF24" s="120"/>
      <c r="GKG24" s="120"/>
      <c r="GKH24" s="120"/>
      <c r="GKI24" s="120"/>
      <c r="GKJ24" s="120"/>
      <c r="GKK24" s="120"/>
      <c r="GKL24" s="120"/>
      <c r="GKM24" s="120"/>
      <c r="GKN24" s="120"/>
      <c r="GKO24" s="120"/>
      <c r="GKP24" s="120"/>
      <c r="GKQ24" s="120"/>
      <c r="GKR24" s="120"/>
      <c r="GKS24" s="120"/>
      <c r="GKT24" s="120"/>
      <c r="GKU24" s="120"/>
      <c r="GKV24" s="120"/>
      <c r="GKW24" s="120"/>
      <c r="GKX24" s="120"/>
      <c r="GKY24" s="120"/>
      <c r="GKZ24" s="120"/>
      <c r="GLA24" s="120"/>
      <c r="GLB24" s="120"/>
      <c r="GLC24" s="120"/>
      <c r="GLD24" s="120"/>
      <c r="GLE24" s="120"/>
      <c r="GLF24" s="120"/>
      <c r="GLG24" s="120"/>
      <c r="GLH24" s="120"/>
      <c r="GLI24" s="120"/>
      <c r="GLJ24" s="120"/>
      <c r="GLK24" s="120"/>
      <c r="GLL24" s="120"/>
      <c r="GLM24" s="120"/>
      <c r="GLN24" s="120"/>
      <c r="GLO24" s="120"/>
      <c r="GLP24" s="120"/>
      <c r="GLQ24" s="120"/>
      <c r="GLR24" s="120"/>
      <c r="GLS24" s="120"/>
      <c r="GLT24" s="120"/>
      <c r="GLU24" s="120"/>
      <c r="GLV24" s="120"/>
      <c r="GLW24" s="120"/>
      <c r="GLX24" s="120"/>
      <c r="GLY24" s="120"/>
      <c r="GLZ24" s="120"/>
      <c r="GMA24" s="120"/>
      <c r="GMB24" s="120"/>
      <c r="GMC24" s="120"/>
      <c r="GMD24" s="120"/>
      <c r="GME24" s="120"/>
      <c r="GMF24" s="120"/>
      <c r="GMG24" s="120"/>
      <c r="GMH24" s="120"/>
      <c r="GMI24" s="120"/>
      <c r="GMJ24" s="120"/>
      <c r="GMK24" s="120"/>
      <c r="GML24" s="120"/>
      <c r="GMM24" s="120"/>
      <c r="GMN24" s="120"/>
      <c r="GMO24" s="120"/>
      <c r="GMP24" s="120"/>
      <c r="GMQ24" s="120"/>
      <c r="GMR24" s="120"/>
      <c r="GMS24" s="120"/>
      <c r="GMT24" s="120"/>
      <c r="GMU24" s="120"/>
      <c r="GMV24" s="120"/>
      <c r="GMW24" s="120"/>
      <c r="GMX24" s="120"/>
      <c r="GMY24" s="120"/>
      <c r="GMZ24" s="120"/>
      <c r="GNA24" s="120"/>
      <c r="GNB24" s="120"/>
      <c r="GNC24" s="120"/>
      <c r="GND24" s="120"/>
      <c r="GNE24" s="120"/>
      <c r="GNF24" s="120"/>
      <c r="GNG24" s="120"/>
      <c r="GNH24" s="120"/>
      <c r="GNI24" s="120"/>
      <c r="GNJ24" s="120"/>
      <c r="GNK24" s="120"/>
      <c r="GNL24" s="120"/>
      <c r="GNM24" s="120"/>
      <c r="GNN24" s="120"/>
      <c r="GNO24" s="120"/>
      <c r="GNP24" s="120"/>
      <c r="GNQ24" s="120"/>
      <c r="GNR24" s="120"/>
      <c r="GNS24" s="120"/>
      <c r="GNT24" s="120"/>
      <c r="GNU24" s="120"/>
      <c r="GNV24" s="120"/>
      <c r="GNW24" s="120"/>
      <c r="GNX24" s="120"/>
      <c r="GNY24" s="120"/>
      <c r="GNZ24" s="120"/>
      <c r="GOA24" s="120"/>
      <c r="GOB24" s="120"/>
      <c r="GOC24" s="120"/>
      <c r="GOD24" s="120"/>
      <c r="GOE24" s="120"/>
      <c r="GOF24" s="120"/>
      <c r="GOG24" s="120"/>
      <c r="GOH24" s="120"/>
      <c r="GOI24" s="120"/>
      <c r="GOJ24" s="120"/>
      <c r="GOK24" s="120"/>
      <c r="GOL24" s="120"/>
      <c r="GOM24" s="120"/>
      <c r="GON24" s="120"/>
      <c r="GOO24" s="120"/>
      <c r="GOP24" s="120"/>
      <c r="GOQ24" s="120"/>
      <c r="GOR24" s="120"/>
      <c r="GOS24" s="120"/>
      <c r="GOT24" s="120"/>
      <c r="GOU24" s="120"/>
      <c r="GOV24" s="120"/>
      <c r="GOW24" s="120"/>
      <c r="GOX24" s="120"/>
      <c r="GOY24" s="120"/>
      <c r="GOZ24" s="120"/>
      <c r="GPA24" s="120"/>
      <c r="GPB24" s="120"/>
      <c r="GPC24" s="120"/>
      <c r="GPD24" s="120"/>
      <c r="GPE24" s="120"/>
      <c r="GPF24" s="120"/>
      <c r="GPG24" s="120"/>
      <c r="GPH24" s="120"/>
      <c r="GPI24" s="120"/>
      <c r="GPJ24" s="120"/>
      <c r="GPK24" s="120"/>
      <c r="GPL24" s="120"/>
      <c r="GPM24" s="120"/>
      <c r="GPN24" s="120"/>
      <c r="GPO24" s="120"/>
      <c r="GPP24" s="120"/>
      <c r="GPQ24" s="120"/>
      <c r="GPR24" s="120"/>
      <c r="GPS24" s="120"/>
      <c r="GPT24" s="120"/>
      <c r="GPU24" s="120"/>
      <c r="GPV24" s="120"/>
      <c r="GPW24" s="120"/>
      <c r="GPX24" s="120"/>
      <c r="GPY24" s="120"/>
      <c r="GPZ24" s="120"/>
      <c r="GQA24" s="120"/>
      <c r="GQB24" s="120"/>
      <c r="GQC24" s="120"/>
      <c r="GQD24" s="120"/>
      <c r="GQE24" s="120"/>
      <c r="GQF24" s="120"/>
      <c r="GQG24" s="120"/>
      <c r="GQH24" s="120"/>
      <c r="GQI24" s="120"/>
      <c r="GQJ24" s="120"/>
      <c r="GQK24" s="120"/>
      <c r="GQL24" s="120"/>
      <c r="GQM24" s="120"/>
      <c r="GQN24" s="120"/>
      <c r="GQO24" s="120"/>
      <c r="GQP24" s="120"/>
      <c r="GQQ24" s="120"/>
      <c r="GQR24" s="120"/>
      <c r="GQS24" s="120"/>
      <c r="GQT24" s="120"/>
      <c r="GQU24" s="120"/>
      <c r="GQV24" s="120"/>
      <c r="GQW24" s="120"/>
      <c r="GQX24" s="120"/>
      <c r="GQY24" s="120"/>
      <c r="GQZ24" s="120"/>
      <c r="GRA24" s="120"/>
      <c r="GRB24" s="120"/>
      <c r="GRC24" s="120"/>
      <c r="GRD24" s="120"/>
      <c r="GRE24" s="120"/>
      <c r="GRF24" s="120"/>
      <c r="GRG24" s="120"/>
      <c r="GRH24" s="120"/>
      <c r="GRI24" s="120"/>
      <c r="GRJ24" s="120"/>
      <c r="GRK24" s="120"/>
      <c r="GRL24" s="120"/>
      <c r="GRM24" s="120"/>
      <c r="GRN24" s="120"/>
      <c r="GRO24" s="120"/>
      <c r="GRP24" s="120"/>
      <c r="GRQ24" s="120"/>
      <c r="GRR24" s="120"/>
      <c r="GRS24" s="120"/>
      <c r="GRT24" s="120"/>
      <c r="GRU24" s="120"/>
      <c r="GRV24" s="120"/>
      <c r="GRW24" s="120"/>
      <c r="GRX24" s="120"/>
      <c r="GRY24" s="120"/>
      <c r="GRZ24" s="120"/>
      <c r="GSA24" s="120"/>
      <c r="GSB24" s="120"/>
      <c r="GSC24" s="120"/>
      <c r="GSD24" s="120"/>
      <c r="GSE24" s="120"/>
      <c r="GSF24" s="120"/>
      <c r="GSG24" s="120"/>
      <c r="GSH24" s="120"/>
      <c r="GSI24" s="120"/>
      <c r="GSJ24" s="120"/>
      <c r="GSK24" s="120"/>
      <c r="GSL24" s="120"/>
      <c r="GSM24" s="120"/>
      <c r="GSN24" s="120"/>
      <c r="GSO24" s="120"/>
      <c r="GSP24" s="120"/>
      <c r="GSQ24" s="120"/>
      <c r="GSR24" s="120"/>
      <c r="GSS24" s="120"/>
      <c r="GST24" s="120"/>
      <c r="GSU24" s="120"/>
      <c r="GSV24" s="120"/>
      <c r="GSW24" s="120"/>
      <c r="GSX24" s="120"/>
      <c r="GSY24" s="120"/>
      <c r="GSZ24" s="120"/>
      <c r="GTA24" s="120"/>
      <c r="GTB24" s="120"/>
      <c r="GTC24" s="120"/>
      <c r="GTD24" s="120"/>
      <c r="GTE24" s="120"/>
      <c r="GTF24" s="120"/>
      <c r="GTG24" s="120"/>
      <c r="GTH24" s="120"/>
      <c r="GTI24" s="120"/>
      <c r="GTJ24" s="120"/>
      <c r="GTK24" s="120"/>
      <c r="GTL24" s="120"/>
      <c r="GTM24" s="120"/>
      <c r="GTN24" s="120"/>
      <c r="GTO24" s="120"/>
      <c r="GTP24" s="120"/>
      <c r="GTQ24" s="120"/>
      <c r="GTR24" s="120"/>
      <c r="GTS24" s="120"/>
      <c r="GTT24" s="120"/>
      <c r="GTU24" s="120"/>
      <c r="GTV24" s="120"/>
      <c r="GTW24" s="120"/>
      <c r="GTX24" s="120"/>
      <c r="GTY24" s="120"/>
      <c r="GTZ24" s="120"/>
      <c r="GUA24" s="120"/>
      <c r="GUB24" s="120"/>
      <c r="GUC24" s="120"/>
      <c r="GUD24" s="120"/>
      <c r="GUE24" s="120"/>
      <c r="GUF24" s="120"/>
      <c r="GUG24" s="120"/>
      <c r="GUH24" s="120"/>
      <c r="GUI24" s="120"/>
      <c r="GUJ24" s="120"/>
      <c r="GUK24" s="120"/>
      <c r="GUL24" s="120"/>
      <c r="GUM24" s="120"/>
      <c r="GUN24" s="120"/>
      <c r="GUO24" s="120"/>
      <c r="GUP24" s="120"/>
      <c r="GUQ24" s="120"/>
      <c r="GUR24" s="120"/>
      <c r="GUS24" s="120"/>
      <c r="GUT24" s="120"/>
      <c r="GUU24" s="120"/>
      <c r="GUV24" s="120"/>
      <c r="GUW24" s="120"/>
      <c r="GUX24" s="120"/>
      <c r="GUY24" s="120"/>
      <c r="GUZ24" s="120"/>
      <c r="GVA24" s="120"/>
      <c r="GVB24" s="120"/>
      <c r="GVC24" s="120"/>
      <c r="GVD24" s="120"/>
      <c r="GVE24" s="120"/>
      <c r="GVF24" s="120"/>
      <c r="GVG24" s="120"/>
      <c r="GVH24" s="120"/>
      <c r="GVI24" s="120"/>
      <c r="GVJ24" s="120"/>
      <c r="GVK24" s="120"/>
      <c r="GVL24" s="120"/>
      <c r="GVM24" s="120"/>
      <c r="GVN24" s="120"/>
      <c r="GVO24" s="120"/>
      <c r="GVP24" s="120"/>
      <c r="GVQ24" s="120"/>
      <c r="GVR24" s="120"/>
      <c r="GVS24" s="120"/>
      <c r="GVT24" s="120"/>
      <c r="GVU24" s="120"/>
      <c r="GVV24" s="120"/>
      <c r="GVW24" s="120"/>
      <c r="GVX24" s="120"/>
      <c r="GVY24" s="120"/>
      <c r="GVZ24" s="120"/>
      <c r="GWA24" s="120"/>
      <c r="GWB24" s="120"/>
      <c r="GWC24" s="120"/>
      <c r="GWD24" s="120"/>
      <c r="GWE24" s="120"/>
      <c r="GWF24" s="120"/>
      <c r="GWG24" s="120"/>
      <c r="GWH24" s="120"/>
      <c r="GWI24" s="120"/>
      <c r="GWJ24" s="120"/>
      <c r="GWK24" s="120"/>
      <c r="GWL24" s="120"/>
      <c r="GWM24" s="120"/>
      <c r="GWN24" s="120"/>
      <c r="GWO24" s="120"/>
      <c r="GWP24" s="120"/>
      <c r="GWQ24" s="120"/>
      <c r="GWR24" s="120"/>
      <c r="GWS24" s="120"/>
      <c r="GWT24" s="120"/>
      <c r="GWU24" s="120"/>
      <c r="GWV24" s="120"/>
      <c r="GWW24" s="120"/>
      <c r="GWX24" s="120"/>
      <c r="GWY24" s="120"/>
      <c r="GWZ24" s="120"/>
      <c r="GXA24" s="120"/>
      <c r="GXB24" s="120"/>
      <c r="GXC24" s="120"/>
      <c r="GXD24" s="120"/>
      <c r="GXE24" s="120"/>
      <c r="GXF24" s="120"/>
      <c r="GXG24" s="120"/>
      <c r="GXH24" s="120"/>
      <c r="GXI24" s="120"/>
      <c r="GXJ24" s="120"/>
      <c r="GXK24" s="120"/>
      <c r="GXL24" s="120"/>
      <c r="GXM24" s="120"/>
      <c r="GXN24" s="120"/>
      <c r="GXO24" s="120"/>
      <c r="GXP24" s="120"/>
      <c r="GXQ24" s="120"/>
      <c r="GXR24" s="120"/>
      <c r="GXS24" s="120"/>
      <c r="GXT24" s="120"/>
      <c r="GXU24" s="120"/>
      <c r="GXV24" s="120"/>
      <c r="GXW24" s="120"/>
      <c r="GXX24" s="120"/>
      <c r="GXY24" s="120"/>
      <c r="GXZ24" s="120"/>
      <c r="GYA24" s="120"/>
      <c r="GYB24" s="120"/>
      <c r="GYC24" s="120"/>
      <c r="GYD24" s="120"/>
      <c r="GYE24" s="120"/>
      <c r="GYF24" s="120"/>
      <c r="GYG24" s="120"/>
      <c r="GYH24" s="120"/>
      <c r="GYI24" s="120"/>
      <c r="GYJ24" s="120"/>
      <c r="GYK24" s="120"/>
      <c r="GYL24" s="120"/>
      <c r="GYM24" s="120"/>
      <c r="GYN24" s="120"/>
      <c r="GYO24" s="120"/>
      <c r="GYP24" s="120"/>
      <c r="GYQ24" s="120"/>
      <c r="GYR24" s="120"/>
      <c r="GYS24" s="120"/>
      <c r="GYT24" s="120"/>
      <c r="GYU24" s="120"/>
      <c r="GYV24" s="120"/>
      <c r="GYW24" s="120"/>
      <c r="GYX24" s="120"/>
      <c r="GYY24" s="120"/>
      <c r="GYZ24" s="120"/>
      <c r="GZA24" s="120"/>
      <c r="GZB24" s="120"/>
      <c r="GZC24" s="120"/>
      <c r="GZD24" s="120"/>
      <c r="GZE24" s="120"/>
      <c r="GZF24" s="120"/>
      <c r="GZG24" s="120"/>
      <c r="GZH24" s="120"/>
      <c r="GZI24" s="120"/>
      <c r="GZJ24" s="120"/>
      <c r="GZK24" s="120"/>
      <c r="GZL24" s="120"/>
      <c r="GZM24" s="120"/>
      <c r="GZN24" s="120"/>
      <c r="GZO24" s="120"/>
      <c r="GZP24" s="120"/>
      <c r="GZQ24" s="120"/>
      <c r="GZR24" s="120"/>
      <c r="GZS24" s="120"/>
      <c r="GZT24" s="120"/>
      <c r="GZU24" s="120"/>
      <c r="GZV24" s="120"/>
      <c r="GZW24" s="120"/>
      <c r="GZX24" s="120"/>
      <c r="GZY24" s="120"/>
      <c r="GZZ24" s="120"/>
      <c r="HAA24" s="120"/>
      <c r="HAB24" s="120"/>
      <c r="HAC24" s="120"/>
      <c r="HAD24" s="120"/>
      <c r="HAE24" s="120"/>
      <c r="HAF24" s="120"/>
      <c r="HAG24" s="120"/>
      <c r="HAH24" s="120"/>
      <c r="HAI24" s="120"/>
      <c r="HAJ24" s="120"/>
      <c r="HAK24" s="120"/>
      <c r="HAL24" s="120"/>
      <c r="HAM24" s="120"/>
      <c r="HAN24" s="120"/>
      <c r="HAO24" s="120"/>
      <c r="HAP24" s="120"/>
      <c r="HAQ24" s="120"/>
      <c r="HAR24" s="120"/>
      <c r="HAS24" s="120"/>
      <c r="HAT24" s="120"/>
      <c r="HAU24" s="120"/>
      <c r="HAV24" s="120"/>
      <c r="HAW24" s="120"/>
      <c r="HAX24" s="120"/>
      <c r="HAY24" s="120"/>
      <c r="HAZ24" s="120"/>
      <c r="HBA24" s="120"/>
      <c r="HBB24" s="120"/>
      <c r="HBC24" s="120"/>
      <c r="HBD24" s="120"/>
      <c r="HBE24" s="120"/>
      <c r="HBF24" s="120"/>
      <c r="HBG24" s="120"/>
      <c r="HBH24" s="120"/>
      <c r="HBI24" s="120"/>
      <c r="HBJ24" s="120"/>
      <c r="HBK24" s="120"/>
      <c r="HBL24" s="120"/>
      <c r="HBM24" s="120"/>
      <c r="HBN24" s="120"/>
      <c r="HBO24" s="120"/>
      <c r="HBP24" s="120"/>
      <c r="HBQ24" s="120"/>
      <c r="HBR24" s="120"/>
      <c r="HBS24" s="120"/>
      <c r="HBT24" s="120"/>
      <c r="HBU24" s="120"/>
      <c r="HBV24" s="120"/>
      <c r="HBW24" s="120"/>
      <c r="HBX24" s="120"/>
      <c r="HBY24" s="120"/>
      <c r="HBZ24" s="120"/>
      <c r="HCA24" s="120"/>
      <c r="HCB24" s="120"/>
      <c r="HCC24" s="120"/>
      <c r="HCD24" s="120"/>
      <c r="HCE24" s="120"/>
      <c r="HCF24" s="120"/>
      <c r="HCG24" s="120"/>
      <c r="HCH24" s="120"/>
      <c r="HCI24" s="120"/>
      <c r="HCJ24" s="120"/>
      <c r="HCK24" s="120"/>
      <c r="HCL24" s="120"/>
      <c r="HCM24" s="120"/>
      <c r="HCN24" s="120"/>
      <c r="HCO24" s="120"/>
      <c r="HCP24" s="120"/>
      <c r="HCQ24" s="120"/>
      <c r="HCR24" s="120"/>
      <c r="HCS24" s="120"/>
      <c r="HCT24" s="120"/>
      <c r="HCU24" s="120"/>
      <c r="HCV24" s="120"/>
      <c r="HCW24" s="120"/>
      <c r="HCX24" s="120"/>
      <c r="HCY24" s="120"/>
      <c r="HCZ24" s="120"/>
      <c r="HDA24" s="120"/>
      <c r="HDB24" s="120"/>
      <c r="HDC24" s="120"/>
      <c r="HDD24" s="120"/>
      <c r="HDE24" s="120"/>
      <c r="HDF24" s="120"/>
      <c r="HDG24" s="120"/>
      <c r="HDH24" s="120"/>
      <c r="HDI24" s="120"/>
      <c r="HDJ24" s="120"/>
      <c r="HDK24" s="120"/>
      <c r="HDL24" s="120"/>
      <c r="HDM24" s="120"/>
      <c r="HDN24" s="120"/>
      <c r="HDO24" s="120"/>
      <c r="HDP24" s="120"/>
      <c r="HDQ24" s="120"/>
      <c r="HDR24" s="120"/>
      <c r="HDS24" s="120"/>
      <c r="HDT24" s="120"/>
      <c r="HDU24" s="120"/>
      <c r="HDV24" s="120"/>
      <c r="HDW24" s="120"/>
      <c r="HDX24" s="120"/>
      <c r="HDY24" s="120"/>
      <c r="HDZ24" s="120"/>
      <c r="HEA24" s="120"/>
      <c r="HEB24" s="120"/>
      <c r="HEC24" s="120"/>
      <c r="HED24" s="120"/>
      <c r="HEE24" s="120"/>
      <c r="HEF24" s="120"/>
      <c r="HEG24" s="120"/>
      <c r="HEH24" s="120"/>
      <c r="HEI24" s="120"/>
      <c r="HEJ24" s="120"/>
      <c r="HEK24" s="120"/>
      <c r="HEL24" s="120"/>
      <c r="HEM24" s="120"/>
      <c r="HEN24" s="120"/>
      <c r="HEO24" s="120"/>
      <c r="HEP24" s="120"/>
      <c r="HEQ24" s="120"/>
      <c r="HER24" s="120"/>
      <c r="HES24" s="120"/>
      <c r="HET24" s="120"/>
      <c r="HEU24" s="120"/>
      <c r="HEV24" s="120"/>
      <c r="HEW24" s="120"/>
      <c r="HEX24" s="120"/>
      <c r="HEY24" s="120"/>
      <c r="HEZ24" s="120"/>
      <c r="HFA24" s="120"/>
      <c r="HFB24" s="120"/>
      <c r="HFC24" s="120"/>
      <c r="HFD24" s="120"/>
      <c r="HFE24" s="120"/>
      <c r="HFF24" s="120"/>
      <c r="HFG24" s="120"/>
      <c r="HFH24" s="120"/>
      <c r="HFI24" s="120"/>
      <c r="HFJ24" s="120"/>
      <c r="HFK24" s="120"/>
      <c r="HFL24" s="120"/>
      <c r="HFM24" s="120"/>
      <c r="HFN24" s="120"/>
      <c r="HFO24" s="120"/>
      <c r="HFP24" s="120"/>
      <c r="HFQ24" s="120"/>
      <c r="HFR24" s="120"/>
      <c r="HFS24" s="120"/>
      <c r="HFT24" s="120"/>
      <c r="HFU24" s="120"/>
      <c r="HFV24" s="120"/>
      <c r="HFW24" s="120"/>
      <c r="HFX24" s="120"/>
      <c r="HFY24" s="120"/>
      <c r="HFZ24" s="120"/>
      <c r="HGA24" s="120"/>
      <c r="HGB24" s="120"/>
      <c r="HGC24" s="120"/>
      <c r="HGD24" s="120"/>
      <c r="HGE24" s="120"/>
      <c r="HGF24" s="120"/>
      <c r="HGG24" s="120"/>
      <c r="HGH24" s="120"/>
      <c r="HGI24" s="120"/>
      <c r="HGJ24" s="120"/>
      <c r="HGK24" s="120"/>
      <c r="HGL24" s="120"/>
      <c r="HGM24" s="120"/>
      <c r="HGN24" s="120"/>
      <c r="HGO24" s="120"/>
      <c r="HGP24" s="120"/>
      <c r="HGQ24" s="120"/>
      <c r="HGR24" s="120"/>
      <c r="HGS24" s="120"/>
      <c r="HGT24" s="120"/>
      <c r="HGU24" s="120"/>
      <c r="HGV24" s="120"/>
      <c r="HGW24" s="120"/>
      <c r="HGX24" s="120"/>
      <c r="HGY24" s="120"/>
      <c r="HGZ24" s="120"/>
      <c r="HHA24" s="120"/>
      <c r="HHB24" s="120"/>
      <c r="HHC24" s="120"/>
      <c r="HHD24" s="120"/>
      <c r="HHE24" s="120"/>
      <c r="HHF24" s="120"/>
      <c r="HHG24" s="120"/>
      <c r="HHH24" s="120"/>
      <c r="HHI24" s="120"/>
      <c r="HHJ24" s="120"/>
      <c r="HHK24" s="120"/>
      <c r="HHL24" s="120"/>
      <c r="HHM24" s="120"/>
      <c r="HHN24" s="120"/>
      <c r="HHO24" s="120"/>
      <c r="HHP24" s="120"/>
      <c r="HHQ24" s="120"/>
      <c r="HHR24" s="120"/>
      <c r="HHS24" s="120"/>
      <c r="HHT24" s="120"/>
      <c r="HHU24" s="120"/>
      <c r="HHV24" s="120"/>
      <c r="HHW24" s="120"/>
      <c r="HHX24" s="120"/>
      <c r="HHY24" s="120"/>
      <c r="HHZ24" s="120"/>
      <c r="HIA24" s="120"/>
      <c r="HIB24" s="120"/>
      <c r="HIC24" s="120"/>
      <c r="HID24" s="120"/>
      <c r="HIE24" s="120"/>
      <c r="HIF24" s="120"/>
      <c r="HIG24" s="120"/>
      <c r="HIH24" s="120"/>
      <c r="HII24" s="120"/>
      <c r="HIJ24" s="120"/>
      <c r="HIK24" s="120"/>
      <c r="HIL24" s="120"/>
      <c r="HIM24" s="120"/>
      <c r="HIN24" s="120"/>
      <c r="HIO24" s="120"/>
      <c r="HIP24" s="120"/>
      <c r="HIQ24" s="120"/>
      <c r="HIR24" s="120"/>
      <c r="HIS24" s="120"/>
      <c r="HIT24" s="120"/>
      <c r="HIU24" s="120"/>
      <c r="HIV24" s="120"/>
      <c r="HIW24" s="120"/>
      <c r="HIX24" s="120"/>
      <c r="HIY24" s="120"/>
      <c r="HIZ24" s="120"/>
      <c r="HJA24" s="120"/>
      <c r="HJB24" s="120"/>
      <c r="HJC24" s="120"/>
      <c r="HJD24" s="120"/>
      <c r="HJE24" s="120"/>
      <c r="HJF24" s="120"/>
      <c r="HJG24" s="120"/>
      <c r="HJH24" s="120"/>
      <c r="HJI24" s="120"/>
      <c r="HJJ24" s="120"/>
      <c r="HJK24" s="120"/>
      <c r="HJL24" s="120"/>
      <c r="HJM24" s="120"/>
      <c r="HJN24" s="120"/>
      <c r="HJO24" s="120"/>
      <c r="HJP24" s="120"/>
      <c r="HJQ24" s="120"/>
      <c r="HJR24" s="120"/>
      <c r="HJS24" s="120"/>
      <c r="HJT24" s="120"/>
      <c r="HJU24" s="120"/>
      <c r="HJV24" s="120"/>
      <c r="HJW24" s="120"/>
      <c r="HJX24" s="120"/>
      <c r="HJY24" s="120"/>
      <c r="HJZ24" s="120"/>
      <c r="HKA24" s="120"/>
      <c r="HKB24" s="120"/>
      <c r="HKC24" s="120"/>
      <c r="HKD24" s="120"/>
      <c r="HKE24" s="120"/>
      <c r="HKF24" s="120"/>
      <c r="HKG24" s="120"/>
      <c r="HKH24" s="120"/>
      <c r="HKI24" s="120"/>
      <c r="HKJ24" s="120"/>
      <c r="HKK24" s="120"/>
      <c r="HKL24" s="120"/>
      <c r="HKM24" s="120"/>
      <c r="HKN24" s="120"/>
      <c r="HKO24" s="120"/>
      <c r="HKP24" s="120"/>
      <c r="HKQ24" s="120"/>
      <c r="HKR24" s="120"/>
      <c r="HKS24" s="120"/>
      <c r="HKT24" s="120"/>
      <c r="HKU24" s="120"/>
      <c r="HKV24" s="120"/>
      <c r="HKW24" s="120"/>
      <c r="HKX24" s="120"/>
      <c r="HKY24" s="120"/>
      <c r="HKZ24" s="120"/>
      <c r="HLA24" s="120"/>
      <c r="HLB24" s="120"/>
      <c r="HLC24" s="120"/>
      <c r="HLD24" s="120"/>
      <c r="HLE24" s="120"/>
      <c r="HLF24" s="120"/>
      <c r="HLG24" s="120"/>
      <c r="HLH24" s="120"/>
      <c r="HLI24" s="120"/>
      <c r="HLJ24" s="120"/>
      <c r="HLK24" s="120"/>
      <c r="HLL24" s="120"/>
      <c r="HLM24" s="120"/>
      <c r="HLN24" s="120"/>
      <c r="HLO24" s="120"/>
      <c r="HLP24" s="120"/>
      <c r="HLQ24" s="120"/>
      <c r="HLR24" s="120"/>
      <c r="HLS24" s="120"/>
      <c r="HLT24" s="120"/>
      <c r="HLU24" s="120"/>
      <c r="HLV24" s="120"/>
      <c r="HLW24" s="120"/>
      <c r="HLX24" s="120"/>
      <c r="HLY24" s="120"/>
      <c r="HLZ24" s="120"/>
      <c r="HMA24" s="120"/>
      <c r="HMB24" s="120"/>
      <c r="HMC24" s="120"/>
      <c r="HMD24" s="120"/>
      <c r="HME24" s="120"/>
      <c r="HMF24" s="120"/>
      <c r="HMG24" s="120"/>
      <c r="HMH24" s="120"/>
      <c r="HMI24" s="120"/>
      <c r="HMJ24" s="120"/>
      <c r="HMK24" s="120"/>
      <c r="HML24" s="120"/>
      <c r="HMM24" s="120"/>
      <c r="HMN24" s="120"/>
      <c r="HMO24" s="120"/>
      <c r="HMP24" s="120"/>
      <c r="HMQ24" s="120"/>
      <c r="HMR24" s="120"/>
      <c r="HMS24" s="120"/>
      <c r="HMT24" s="120"/>
      <c r="HMU24" s="120"/>
      <c r="HMV24" s="120"/>
      <c r="HMW24" s="120"/>
      <c r="HMX24" s="120"/>
      <c r="HMY24" s="120"/>
      <c r="HMZ24" s="120"/>
      <c r="HNA24" s="120"/>
      <c r="HNB24" s="120"/>
      <c r="HNC24" s="120"/>
      <c r="HND24" s="120"/>
      <c r="HNE24" s="120"/>
      <c r="HNF24" s="120"/>
      <c r="HNG24" s="120"/>
      <c r="HNH24" s="120"/>
      <c r="HNI24" s="120"/>
      <c r="HNJ24" s="120"/>
      <c r="HNK24" s="120"/>
      <c r="HNL24" s="120"/>
      <c r="HNM24" s="120"/>
      <c r="HNN24" s="120"/>
      <c r="HNO24" s="120"/>
      <c r="HNP24" s="120"/>
      <c r="HNQ24" s="120"/>
      <c r="HNR24" s="120"/>
      <c r="HNS24" s="120"/>
      <c r="HNT24" s="120"/>
      <c r="HNU24" s="120"/>
      <c r="HNV24" s="120"/>
      <c r="HNW24" s="120"/>
      <c r="HNX24" s="120"/>
      <c r="HNY24" s="120"/>
      <c r="HNZ24" s="120"/>
      <c r="HOA24" s="120"/>
      <c r="HOB24" s="120"/>
      <c r="HOC24" s="120"/>
      <c r="HOD24" s="120"/>
      <c r="HOE24" s="120"/>
      <c r="HOF24" s="120"/>
      <c r="HOG24" s="120"/>
      <c r="HOH24" s="120"/>
      <c r="HOI24" s="120"/>
      <c r="HOJ24" s="120"/>
      <c r="HOK24" s="120"/>
      <c r="HOL24" s="120"/>
      <c r="HOM24" s="120"/>
      <c r="HON24" s="120"/>
      <c r="HOO24" s="120"/>
      <c r="HOP24" s="120"/>
      <c r="HOQ24" s="120"/>
      <c r="HOR24" s="120"/>
      <c r="HOS24" s="120"/>
      <c r="HOT24" s="120"/>
      <c r="HOU24" s="120"/>
      <c r="HOV24" s="120"/>
      <c r="HOW24" s="120"/>
      <c r="HOX24" s="120"/>
      <c r="HOY24" s="120"/>
      <c r="HOZ24" s="120"/>
      <c r="HPA24" s="120"/>
      <c r="HPB24" s="120"/>
      <c r="HPC24" s="120"/>
      <c r="HPD24" s="120"/>
      <c r="HPE24" s="120"/>
      <c r="HPF24" s="120"/>
      <c r="HPG24" s="120"/>
      <c r="HPH24" s="120"/>
      <c r="HPI24" s="120"/>
      <c r="HPJ24" s="120"/>
      <c r="HPK24" s="120"/>
      <c r="HPL24" s="120"/>
      <c r="HPM24" s="120"/>
      <c r="HPN24" s="120"/>
      <c r="HPO24" s="120"/>
      <c r="HPP24" s="120"/>
      <c r="HPQ24" s="120"/>
      <c r="HPR24" s="120"/>
      <c r="HPS24" s="120"/>
      <c r="HPT24" s="120"/>
      <c r="HPU24" s="120"/>
      <c r="HPV24" s="120"/>
      <c r="HPW24" s="120"/>
      <c r="HPX24" s="120"/>
      <c r="HPY24" s="120"/>
      <c r="HPZ24" s="120"/>
      <c r="HQA24" s="120"/>
      <c r="HQB24" s="120"/>
      <c r="HQC24" s="120"/>
      <c r="HQD24" s="120"/>
      <c r="HQE24" s="120"/>
      <c r="HQF24" s="120"/>
      <c r="HQG24" s="120"/>
      <c r="HQH24" s="120"/>
      <c r="HQI24" s="120"/>
      <c r="HQJ24" s="120"/>
      <c r="HQK24" s="120"/>
      <c r="HQL24" s="120"/>
      <c r="HQM24" s="120"/>
      <c r="HQN24" s="120"/>
      <c r="HQO24" s="120"/>
      <c r="HQP24" s="120"/>
      <c r="HQQ24" s="120"/>
      <c r="HQR24" s="120"/>
      <c r="HQS24" s="120"/>
      <c r="HQT24" s="120"/>
      <c r="HQU24" s="120"/>
      <c r="HQV24" s="120"/>
      <c r="HQW24" s="120"/>
      <c r="HQX24" s="120"/>
      <c r="HQY24" s="120"/>
      <c r="HQZ24" s="120"/>
      <c r="HRA24" s="120"/>
      <c r="HRB24" s="120"/>
      <c r="HRC24" s="120"/>
      <c r="HRD24" s="120"/>
      <c r="HRE24" s="120"/>
      <c r="HRF24" s="120"/>
      <c r="HRG24" s="120"/>
      <c r="HRH24" s="120"/>
      <c r="HRI24" s="120"/>
      <c r="HRJ24" s="120"/>
      <c r="HRK24" s="120"/>
      <c r="HRL24" s="120"/>
      <c r="HRM24" s="120"/>
      <c r="HRN24" s="120"/>
      <c r="HRO24" s="120"/>
      <c r="HRP24" s="120"/>
      <c r="HRQ24" s="120"/>
      <c r="HRR24" s="120"/>
      <c r="HRS24" s="120"/>
      <c r="HRT24" s="120"/>
      <c r="HRU24" s="120"/>
      <c r="HRV24" s="120"/>
      <c r="HRW24" s="120"/>
      <c r="HRX24" s="120"/>
      <c r="HRY24" s="120"/>
      <c r="HRZ24" s="120"/>
      <c r="HSA24" s="120"/>
      <c r="HSB24" s="120"/>
      <c r="HSC24" s="120"/>
      <c r="HSD24" s="120"/>
      <c r="HSE24" s="120"/>
      <c r="HSF24" s="120"/>
      <c r="HSG24" s="120"/>
      <c r="HSH24" s="120"/>
      <c r="HSI24" s="120"/>
      <c r="HSJ24" s="120"/>
      <c r="HSK24" s="120"/>
      <c r="HSL24" s="120"/>
      <c r="HSM24" s="120"/>
      <c r="HSN24" s="120"/>
      <c r="HSO24" s="120"/>
      <c r="HSP24" s="120"/>
      <c r="HSQ24" s="120"/>
      <c r="HSR24" s="120"/>
      <c r="HSS24" s="120"/>
      <c r="HST24" s="120"/>
      <c r="HSU24" s="120"/>
      <c r="HSV24" s="120"/>
      <c r="HSW24" s="120"/>
      <c r="HSX24" s="120"/>
      <c r="HSY24" s="120"/>
      <c r="HSZ24" s="120"/>
      <c r="HTA24" s="120"/>
      <c r="HTB24" s="120"/>
      <c r="HTC24" s="120"/>
      <c r="HTD24" s="120"/>
      <c r="HTE24" s="120"/>
      <c r="HTF24" s="120"/>
      <c r="HTG24" s="120"/>
      <c r="HTH24" s="120"/>
      <c r="HTI24" s="120"/>
      <c r="HTJ24" s="120"/>
      <c r="HTK24" s="120"/>
      <c r="HTL24" s="120"/>
      <c r="HTM24" s="120"/>
      <c r="HTN24" s="120"/>
      <c r="HTO24" s="120"/>
      <c r="HTP24" s="120"/>
      <c r="HTQ24" s="120"/>
      <c r="HTR24" s="120"/>
      <c r="HTS24" s="120"/>
      <c r="HTT24" s="120"/>
      <c r="HTU24" s="120"/>
      <c r="HTV24" s="120"/>
      <c r="HTW24" s="120"/>
      <c r="HTX24" s="120"/>
      <c r="HTY24" s="120"/>
      <c r="HTZ24" s="120"/>
      <c r="HUA24" s="120"/>
      <c r="HUB24" s="120"/>
      <c r="HUC24" s="120"/>
      <c r="HUD24" s="120"/>
      <c r="HUE24" s="120"/>
      <c r="HUF24" s="120"/>
      <c r="HUG24" s="120"/>
      <c r="HUH24" s="120"/>
      <c r="HUI24" s="120"/>
      <c r="HUJ24" s="120"/>
      <c r="HUK24" s="120"/>
      <c r="HUL24" s="120"/>
      <c r="HUM24" s="120"/>
      <c r="HUN24" s="120"/>
      <c r="HUO24" s="120"/>
      <c r="HUP24" s="120"/>
      <c r="HUQ24" s="120"/>
      <c r="HUR24" s="120"/>
      <c r="HUS24" s="120"/>
      <c r="HUT24" s="120"/>
      <c r="HUU24" s="120"/>
      <c r="HUV24" s="120"/>
      <c r="HUW24" s="120"/>
      <c r="HUX24" s="120"/>
      <c r="HUY24" s="120"/>
      <c r="HUZ24" s="120"/>
      <c r="HVA24" s="120"/>
      <c r="HVB24" s="120"/>
      <c r="HVC24" s="120"/>
      <c r="HVD24" s="120"/>
      <c r="HVE24" s="120"/>
      <c r="HVF24" s="120"/>
      <c r="HVG24" s="120"/>
      <c r="HVH24" s="120"/>
      <c r="HVI24" s="120"/>
      <c r="HVJ24" s="120"/>
      <c r="HVK24" s="120"/>
      <c r="HVL24" s="120"/>
      <c r="HVM24" s="120"/>
      <c r="HVN24" s="120"/>
      <c r="HVO24" s="120"/>
      <c r="HVP24" s="120"/>
      <c r="HVQ24" s="120"/>
      <c r="HVR24" s="120"/>
      <c r="HVS24" s="120"/>
      <c r="HVT24" s="120"/>
      <c r="HVU24" s="120"/>
      <c r="HVV24" s="120"/>
      <c r="HVW24" s="120"/>
      <c r="HVX24" s="120"/>
      <c r="HVY24" s="120"/>
      <c r="HVZ24" s="120"/>
      <c r="HWA24" s="120"/>
      <c r="HWB24" s="120"/>
      <c r="HWC24" s="120"/>
      <c r="HWD24" s="120"/>
      <c r="HWE24" s="120"/>
      <c r="HWF24" s="120"/>
      <c r="HWG24" s="120"/>
      <c r="HWH24" s="120"/>
      <c r="HWI24" s="120"/>
      <c r="HWJ24" s="120"/>
      <c r="HWK24" s="120"/>
      <c r="HWL24" s="120"/>
      <c r="HWM24" s="120"/>
      <c r="HWN24" s="120"/>
      <c r="HWO24" s="120"/>
      <c r="HWP24" s="120"/>
      <c r="HWQ24" s="120"/>
      <c r="HWR24" s="120"/>
      <c r="HWS24" s="120"/>
      <c r="HWT24" s="120"/>
      <c r="HWU24" s="120"/>
      <c r="HWV24" s="120"/>
      <c r="HWW24" s="120"/>
      <c r="HWX24" s="120"/>
      <c r="HWY24" s="120"/>
      <c r="HWZ24" s="120"/>
      <c r="HXA24" s="120"/>
      <c r="HXB24" s="120"/>
      <c r="HXC24" s="120"/>
      <c r="HXD24" s="120"/>
      <c r="HXE24" s="120"/>
      <c r="HXF24" s="120"/>
      <c r="HXG24" s="120"/>
      <c r="HXH24" s="120"/>
      <c r="HXI24" s="120"/>
      <c r="HXJ24" s="120"/>
      <c r="HXK24" s="120"/>
      <c r="HXL24" s="120"/>
      <c r="HXM24" s="120"/>
      <c r="HXN24" s="120"/>
      <c r="HXO24" s="120"/>
      <c r="HXP24" s="120"/>
      <c r="HXQ24" s="120"/>
      <c r="HXR24" s="120"/>
      <c r="HXS24" s="120"/>
      <c r="HXT24" s="120"/>
      <c r="HXU24" s="120"/>
      <c r="HXV24" s="120"/>
      <c r="HXW24" s="120"/>
      <c r="HXX24" s="120"/>
      <c r="HXY24" s="120"/>
      <c r="HXZ24" s="120"/>
      <c r="HYA24" s="120"/>
      <c r="HYB24" s="120"/>
      <c r="HYC24" s="120"/>
      <c r="HYD24" s="120"/>
      <c r="HYE24" s="120"/>
      <c r="HYF24" s="120"/>
      <c r="HYG24" s="120"/>
      <c r="HYH24" s="120"/>
      <c r="HYI24" s="120"/>
      <c r="HYJ24" s="120"/>
      <c r="HYK24" s="120"/>
      <c r="HYL24" s="120"/>
      <c r="HYM24" s="120"/>
      <c r="HYN24" s="120"/>
      <c r="HYO24" s="120"/>
      <c r="HYP24" s="120"/>
      <c r="HYQ24" s="120"/>
      <c r="HYR24" s="120"/>
      <c r="HYS24" s="120"/>
      <c r="HYT24" s="120"/>
      <c r="HYU24" s="120"/>
      <c r="HYV24" s="120"/>
      <c r="HYW24" s="120"/>
      <c r="HYX24" s="120"/>
      <c r="HYY24" s="120"/>
      <c r="HYZ24" s="120"/>
      <c r="HZA24" s="120"/>
      <c r="HZB24" s="120"/>
      <c r="HZC24" s="120"/>
      <c r="HZD24" s="120"/>
      <c r="HZE24" s="120"/>
      <c r="HZF24" s="120"/>
      <c r="HZG24" s="120"/>
      <c r="HZH24" s="120"/>
      <c r="HZI24" s="120"/>
      <c r="HZJ24" s="120"/>
      <c r="HZK24" s="120"/>
      <c r="HZL24" s="120"/>
      <c r="HZM24" s="120"/>
      <c r="HZN24" s="120"/>
      <c r="HZO24" s="120"/>
      <c r="HZP24" s="120"/>
      <c r="HZQ24" s="120"/>
      <c r="HZR24" s="120"/>
      <c r="HZS24" s="120"/>
      <c r="HZT24" s="120"/>
      <c r="HZU24" s="120"/>
      <c r="HZV24" s="120"/>
      <c r="HZW24" s="120"/>
      <c r="HZX24" s="120"/>
      <c r="HZY24" s="120"/>
      <c r="HZZ24" s="120"/>
      <c r="IAA24" s="120"/>
      <c r="IAB24" s="120"/>
      <c r="IAC24" s="120"/>
      <c r="IAD24" s="120"/>
      <c r="IAE24" s="120"/>
      <c r="IAF24" s="120"/>
      <c r="IAG24" s="120"/>
      <c r="IAH24" s="120"/>
      <c r="IAI24" s="120"/>
      <c r="IAJ24" s="120"/>
      <c r="IAK24" s="120"/>
      <c r="IAL24" s="120"/>
      <c r="IAM24" s="120"/>
      <c r="IAN24" s="120"/>
      <c r="IAO24" s="120"/>
      <c r="IAP24" s="120"/>
      <c r="IAQ24" s="120"/>
      <c r="IAR24" s="120"/>
      <c r="IAS24" s="120"/>
      <c r="IAT24" s="120"/>
      <c r="IAU24" s="120"/>
      <c r="IAV24" s="120"/>
      <c r="IAW24" s="120"/>
      <c r="IAX24" s="120"/>
      <c r="IAY24" s="120"/>
      <c r="IAZ24" s="120"/>
      <c r="IBA24" s="120"/>
      <c r="IBB24" s="120"/>
      <c r="IBC24" s="120"/>
      <c r="IBD24" s="120"/>
      <c r="IBE24" s="120"/>
      <c r="IBF24" s="120"/>
      <c r="IBG24" s="120"/>
      <c r="IBH24" s="120"/>
      <c r="IBI24" s="120"/>
      <c r="IBJ24" s="120"/>
      <c r="IBK24" s="120"/>
      <c r="IBL24" s="120"/>
      <c r="IBM24" s="120"/>
      <c r="IBN24" s="120"/>
      <c r="IBO24" s="120"/>
      <c r="IBP24" s="120"/>
      <c r="IBQ24" s="120"/>
      <c r="IBR24" s="120"/>
      <c r="IBS24" s="120"/>
      <c r="IBT24" s="120"/>
      <c r="IBU24" s="120"/>
      <c r="IBV24" s="120"/>
      <c r="IBW24" s="120"/>
      <c r="IBX24" s="120"/>
      <c r="IBY24" s="120"/>
      <c r="IBZ24" s="120"/>
      <c r="ICA24" s="120"/>
      <c r="ICB24" s="120"/>
      <c r="ICC24" s="120"/>
      <c r="ICD24" s="120"/>
      <c r="ICE24" s="120"/>
      <c r="ICF24" s="120"/>
      <c r="ICG24" s="120"/>
      <c r="ICH24" s="120"/>
      <c r="ICI24" s="120"/>
      <c r="ICJ24" s="120"/>
      <c r="ICK24" s="120"/>
      <c r="ICL24" s="120"/>
      <c r="ICM24" s="120"/>
      <c r="ICN24" s="120"/>
      <c r="ICO24" s="120"/>
      <c r="ICP24" s="120"/>
      <c r="ICQ24" s="120"/>
      <c r="ICR24" s="120"/>
      <c r="ICS24" s="120"/>
      <c r="ICT24" s="120"/>
      <c r="ICU24" s="120"/>
      <c r="ICV24" s="120"/>
      <c r="ICW24" s="120"/>
      <c r="ICX24" s="120"/>
      <c r="ICY24" s="120"/>
      <c r="ICZ24" s="120"/>
      <c r="IDA24" s="120"/>
      <c r="IDB24" s="120"/>
      <c r="IDC24" s="120"/>
      <c r="IDD24" s="120"/>
      <c r="IDE24" s="120"/>
      <c r="IDF24" s="120"/>
      <c r="IDG24" s="120"/>
      <c r="IDH24" s="120"/>
      <c r="IDI24" s="120"/>
      <c r="IDJ24" s="120"/>
      <c r="IDK24" s="120"/>
      <c r="IDL24" s="120"/>
      <c r="IDM24" s="120"/>
      <c r="IDN24" s="120"/>
      <c r="IDO24" s="120"/>
      <c r="IDP24" s="120"/>
      <c r="IDQ24" s="120"/>
      <c r="IDR24" s="120"/>
      <c r="IDS24" s="120"/>
      <c r="IDT24" s="120"/>
      <c r="IDU24" s="120"/>
      <c r="IDV24" s="120"/>
      <c r="IDW24" s="120"/>
      <c r="IDX24" s="120"/>
      <c r="IDY24" s="120"/>
      <c r="IDZ24" s="120"/>
      <c r="IEA24" s="120"/>
      <c r="IEB24" s="120"/>
      <c r="IEC24" s="120"/>
      <c r="IED24" s="120"/>
      <c r="IEE24" s="120"/>
      <c r="IEF24" s="120"/>
      <c r="IEG24" s="120"/>
      <c r="IEH24" s="120"/>
      <c r="IEI24" s="120"/>
      <c r="IEJ24" s="120"/>
      <c r="IEK24" s="120"/>
      <c r="IEL24" s="120"/>
      <c r="IEM24" s="120"/>
      <c r="IEN24" s="120"/>
      <c r="IEO24" s="120"/>
      <c r="IEP24" s="120"/>
      <c r="IEQ24" s="120"/>
      <c r="IER24" s="120"/>
      <c r="IES24" s="120"/>
      <c r="IET24" s="120"/>
      <c r="IEU24" s="120"/>
      <c r="IEV24" s="120"/>
      <c r="IEW24" s="120"/>
      <c r="IEX24" s="120"/>
      <c r="IEY24" s="120"/>
      <c r="IEZ24" s="120"/>
      <c r="IFA24" s="120"/>
      <c r="IFB24" s="120"/>
      <c r="IFC24" s="120"/>
      <c r="IFD24" s="120"/>
      <c r="IFE24" s="120"/>
      <c r="IFF24" s="120"/>
      <c r="IFG24" s="120"/>
      <c r="IFH24" s="120"/>
      <c r="IFI24" s="120"/>
      <c r="IFJ24" s="120"/>
      <c r="IFK24" s="120"/>
      <c r="IFL24" s="120"/>
      <c r="IFM24" s="120"/>
      <c r="IFN24" s="120"/>
      <c r="IFO24" s="120"/>
      <c r="IFP24" s="120"/>
      <c r="IFQ24" s="120"/>
      <c r="IFR24" s="120"/>
      <c r="IFS24" s="120"/>
      <c r="IFT24" s="120"/>
      <c r="IFU24" s="120"/>
      <c r="IFV24" s="120"/>
      <c r="IFW24" s="120"/>
      <c r="IFX24" s="120"/>
      <c r="IFY24" s="120"/>
      <c r="IFZ24" s="120"/>
      <c r="IGA24" s="120"/>
      <c r="IGB24" s="120"/>
      <c r="IGC24" s="120"/>
      <c r="IGD24" s="120"/>
      <c r="IGE24" s="120"/>
      <c r="IGF24" s="120"/>
      <c r="IGG24" s="120"/>
      <c r="IGH24" s="120"/>
      <c r="IGI24" s="120"/>
      <c r="IGJ24" s="120"/>
      <c r="IGK24" s="120"/>
      <c r="IGL24" s="120"/>
      <c r="IGM24" s="120"/>
      <c r="IGN24" s="120"/>
      <c r="IGO24" s="120"/>
      <c r="IGP24" s="120"/>
      <c r="IGQ24" s="120"/>
      <c r="IGR24" s="120"/>
      <c r="IGS24" s="120"/>
      <c r="IGT24" s="120"/>
      <c r="IGU24" s="120"/>
      <c r="IGV24" s="120"/>
      <c r="IGW24" s="120"/>
      <c r="IGX24" s="120"/>
      <c r="IGY24" s="120"/>
      <c r="IGZ24" s="120"/>
      <c r="IHA24" s="120"/>
      <c r="IHB24" s="120"/>
      <c r="IHC24" s="120"/>
      <c r="IHD24" s="120"/>
      <c r="IHE24" s="120"/>
      <c r="IHF24" s="120"/>
      <c r="IHG24" s="120"/>
      <c r="IHH24" s="120"/>
      <c r="IHI24" s="120"/>
      <c r="IHJ24" s="120"/>
      <c r="IHK24" s="120"/>
      <c r="IHL24" s="120"/>
      <c r="IHM24" s="120"/>
      <c r="IHN24" s="120"/>
      <c r="IHO24" s="120"/>
      <c r="IHP24" s="120"/>
      <c r="IHQ24" s="120"/>
      <c r="IHR24" s="120"/>
      <c r="IHS24" s="120"/>
      <c r="IHT24" s="120"/>
      <c r="IHU24" s="120"/>
      <c r="IHV24" s="120"/>
      <c r="IHW24" s="120"/>
      <c r="IHX24" s="120"/>
      <c r="IHY24" s="120"/>
      <c r="IHZ24" s="120"/>
      <c r="IIA24" s="120"/>
      <c r="IIB24" s="120"/>
      <c r="IIC24" s="120"/>
      <c r="IID24" s="120"/>
      <c r="IIE24" s="120"/>
      <c r="IIF24" s="120"/>
      <c r="IIG24" s="120"/>
      <c r="IIH24" s="120"/>
      <c r="III24" s="120"/>
      <c r="IIJ24" s="120"/>
      <c r="IIK24" s="120"/>
      <c r="IIL24" s="120"/>
      <c r="IIM24" s="120"/>
      <c r="IIN24" s="120"/>
      <c r="IIO24" s="120"/>
      <c r="IIP24" s="120"/>
      <c r="IIQ24" s="120"/>
      <c r="IIR24" s="120"/>
      <c r="IIS24" s="120"/>
      <c r="IIT24" s="120"/>
      <c r="IIU24" s="120"/>
      <c r="IIV24" s="120"/>
      <c r="IIW24" s="120"/>
      <c r="IIX24" s="120"/>
      <c r="IIY24" s="120"/>
      <c r="IIZ24" s="120"/>
      <c r="IJA24" s="120"/>
      <c r="IJB24" s="120"/>
      <c r="IJC24" s="120"/>
      <c r="IJD24" s="120"/>
      <c r="IJE24" s="120"/>
      <c r="IJF24" s="120"/>
      <c r="IJG24" s="120"/>
      <c r="IJH24" s="120"/>
      <c r="IJI24" s="120"/>
      <c r="IJJ24" s="120"/>
      <c r="IJK24" s="120"/>
      <c r="IJL24" s="120"/>
      <c r="IJM24" s="120"/>
      <c r="IJN24" s="120"/>
      <c r="IJO24" s="120"/>
      <c r="IJP24" s="120"/>
      <c r="IJQ24" s="120"/>
      <c r="IJR24" s="120"/>
      <c r="IJS24" s="120"/>
      <c r="IJT24" s="120"/>
      <c r="IJU24" s="120"/>
      <c r="IJV24" s="120"/>
      <c r="IJW24" s="120"/>
      <c r="IJX24" s="120"/>
      <c r="IJY24" s="120"/>
      <c r="IJZ24" s="120"/>
      <c r="IKA24" s="120"/>
      <c r="IKB24" s="120"/>
      <c r="IKC24" s="120"/>
      <c r="IKD24" s="120"/>
      <c r="IKE24" s="120"/>
      <c r="IKF24" s="120"/>
      <c r="IKG24" s="120"/>
      <c r="IKH24" s="120"/>
      <c r="IKI24" s="120"/>
      <c r="IKJ24" s="120"/>
      <c r="IKK24" s="120"/>
      <c r="IKL24" s="120"/>
      <c r="IKM24" s="120"/>
      <c r="IKN24" s="120"/>
      <c r="IKO24" s="120"/>
      <c r="IKP24" s="120"/>
      <c r="IKQ24" s="120"/>
      <c r="IKR24" s="120"/>
      <c r="IKS24" s="120"/>
      <c r="IKT24" s="120"/>
      <c r="IKU24" s="120"/>
      <c r="IKV24" s="120"/>
      <c r="IKW24" s="120"/>
      <c r="IKX24" s="120"/>
      <c r="IKY24" s="120"/>
      <c r="IKZ24" s="120"/>
      <c r="ILA24" s="120"/>
      <c r="ILB24" s="120"/>
      <c r="ILC24" s="120"/>
      <c r="ILD24" s="120"/>
      <c r="ILE24" s="120"/>
      <c r="ILF24" s="120"/>
      <c r="ILG24" s="120"/>
      <c r="ILH24" s="120"/>
      <c r="ILI24" s="120"/>
      <c r="ILJ24" s="120"/>
      <c r="ILK24" s="120"/>
      <c r="ILL24" s="120"/>
      <c r="ILM24" s="120"/>
      <c r="ILN24" s="120"/>
      <c r="ILO24" s="120"/>
      <c r="ILP24" s="120"/>
      <c r="ILQ24" s="120"/>
      <c r="ILR24" s="120"/>
      <c r="ILS24" s="120"/>
      <c r="ILT24" s="120"/>
      <c r="ILU24" s="120"/>
      <c r="ILV24" s="120"/>
      <c r="ILW24" s="120"/>
      <c r="ILX24" s="120"/>
      <c r="ILY24" s="120"/>
      <c r="ILZ24" s="120"/>
      <c r="IMA24" s="120"/>
      <c r="IMB24" s="120"/>
      <c r="IMC24" s="120"/>
      <c r="IMD24" s="120"/>
      <c r="IME24" s="120"/>
      <c r="IMF24" s="120"/>
      <c r="IMG24" s="120"/>
      <c r="IMH24" s="120"/>
      <c r="IMI24" s="120"/>
      <c r="IMJ24" s="120"/>
      <c r="IMK24" s="120"/>
      <c r="IML24" s="120"/>
      <c r="IMM24" s="120"/>
      <c r="IMN24" s="120"/>
      <c r="IMO24" s="120"/>
      <c r="IMP24" s="120"/>
      <c r="IMQ24" s="120"/>
      <c r="IMR24" s="120"/>
      <c r="IMS24" s="120"/>
      <c r="IMT24" s="120"/>
      <c r="IMU24" s="120"/>
      <c r="IMV24" s="120"/>
      <c r="IMW24" s="120"/>
      <c r="IMX24" s="120"/>
      <c r="IMY24" s="120"/>
      <c r="IMZ24" s="120"/>
      <c r="INA24" s="120"/>
      <c r="INB24" s="120"/>
      <c r="INC24" s="120"/>
      <c r="IND24" s="120"/>
      <c r="INE24" s="120"/>
      <c r="INF24" s="120"/>
      <c r="ING24" s="120"/>
      <c r="INH24" s="120"/>
      <c r="INI24" s="120"/>
      <c r="INJ24" s="120"/>
      <c r="INK24" s="120"/>
      <c r="INL24" s="120"/>
      <c r="INM24" s="120"/>
      <c r="INN24" s="120"/>
      <c r="INO24" s="120"/>
      <c r="INP24" s="120"/>
      <c r="INQ24" s="120"/>
      <c r="INR24" s="120"/>
      <c r="INS24" s="120"/>
      <c r="INT24" s="120"/>
      <c r="INU24" s="120"/>
      <c r="INV24" s="120"/>
      <c r="INW24" s="120"/>
      <c r="INX24" s="120"/>
      <c r="INY24" s="120"/>
      <c r="INZ24" s="120"/>
      <c r="IOA24" s="120"/>
      <c r="IOB24" s="120"/>
      <c r="IOC24" s="120"/>
      <c r="IOD24" s="120"/>
      <c r="IOE24" s="120"/>
      <c r="IOF24" s="120"/>
      <c r="IOG24" s="120"/>
      <c r="IOH24" s="120"/>
      <c r="IOI24" s="120"/>
      <c r="IOJ24" s="120"/>
      <c r="IOK24" s="120"/>
      <c r="IOL24" s="120"/>
      <c r="IOM24" s="120"/>
      <c r="ION24" s="120"/>
      <c r="IOO24" s="120"/>
      <c r="IOP24" s="120"/>
      <c r="IOQ24" s="120"/>
      <c r="IOR24" s="120"/>
      <c r="IOS24" s="120"/>
      <c r="IOT24" s="120"/>
      <c r="IOU24" s="120"/>
      <c r="IOV24" s="120"/>
      <c r="IOW24" s="120"/>
      <c r="IOX24" s="120"/>
      <c r="IOY24" s="120"/>
      <c r="IOZ24" s="120"/>
      <c r="IPA24" s="120"/>
      <c r="IPB24" s="120"/>
      <c r="IPC24" s="120"/>
      <c r="IPD24" s="120"/>
      <c r="IPE24" s="120"/>
      <c r="IPF24" s="120"/>
      <c r="IPG24" s="120"/>
      <c r="IPH24" s="120"/>
      <c r="IPI24" s="120"/>
      <c r="IPJ24" s="120"/>
      <c r="IPK24" s="120"/>
      <c r="IPL24" s="120"/>
      <c r="IPM24" s="120"/>
      <c r="IPN24" s="120"/>
      <c r="IPO24" s="120"/>
      <c r="IPP24" s="120"/>
      <c r="IPQ24" s="120"/>
      <c r="IPR24" s="120"/>
      <c r="IPS24" s="120"/>
      <c r="IPT24" s="120"/>
      <c r="IPU24" s="120"/>
      <c r="IPV24" s="120"/>
      <c r="IPW24" s="120"/>
      <c r="IPX24" s="120"/>
      <c r="IPY24" s="120"/>
      <c r="IPZ24" s="120"/>
      <c r="IQA24" s="120"/>
      <c r="IQB24" s="120"/>
      <c r="IQC24" s="120"/>
      <c r="IQD24" s="120"/>
      <c r="IQE24" s="120"/>
      <c r="IQF24" s="120"/>
      <c r="IQG24" s="120"/>
      <c r="IQH24" s="120"/>
      <c r="IQI24" s="120"/>
      <c r="IQJ24" s="120"/>
      <c r="IQK24" s="120"/>
      <c r="IQL24" s="120"/>
      <c r="IQM24" s="120"/>
      <c r="IQN24" s="120"/>
      <c r="IQO24" s="120"/>
      <c r="IQP24" s="120"/>
      <c r="IQQ24" s="120"/>
      <c r="IQR24" s="120"/>
      <c r="IQS24" s="120"/>
      <c r="IQT24" s="120"/>
      <c r="IQU24" s="120"/>
      <c r="IQV24" s="120"/>
      <c r="IQW24" s="120"/>
      <c r="IQX24" s="120"/>
      <c r="IQY24" s="120"/>
      <c r="IQZ24" s="120"/>
      <c r="IRA24" s="120"/>
      <c r="IRB24" s="120"/>
      <c r="IRC24" s="120"/>
      <c r="IRD24" s="120"/>
      <c r="IRE24" s="120"/>
      <c r="IRF24" s="120"/>
      <c r="IRG24" s="120"/>
      <c r="IRH24" s="120"/>
      <c r="IRI24" s="120"/>
      <c r="IRJ24" s="120"/>
      <c r="IRK24" s="120"/>
      <c r="IRL24" s="120"/>
      <c r="IRM24" s="120"/>
      <c r="IRN24" s="120"/>
      <c r="IRO24" s="120"/>
      <c r="IRP24" s="120"/>
      <c r="IRQ24" s="120"/>
      <c r="IRR24" s="120"/>
      <c r="IRS24" s="120"/>
      <c r="IRT24" s="120"/>
      <c r="IRU24" s="120"/>
      <c r="IRV24" s="120"/>
      <c r="IRW24" s="120"/>
      <c r="IRX24" s="120"/>
      <c r="IRY24" s="120"/>
      <c r="IRZ24" s="120"/>
      <c r="ISA24" s="120"/>
      <c r="ISB24" s="120"/>
      <c r="ISC24" s="120"/>
      <c r="ISD24" s="120"/>
      <c r="ISE24" s="120"/>
      <c r="ISF24" s="120"/>
      <c r="ISG24" s="120"/>
      <c r="ISH24" s="120"/>
      <c r="ISI24" s="120"/>
      <c r="ISJ24" s="120"/>
      <c r="ISK24" s="120"/>
      <c r="ISL24" s="120"/>
      <c r="ISM24" s="120"/>
      <c r="ISN24" s="120"/>
      <c r="ISO24" s="120"/>
      <c r="ISP24" s="120"/>
      <c r="ISQ24" s="120"/>
      <c r="ISR24" s="120"/>
      <c r="ISS24" s="120"/>
      <c r="IST24" s="120"/>
      <c r="ISU24" s="120"/>
      <c r="ISV24" s="120"/>
      <c r="ISW24" s="120"/>
      <c r="ISX24" s="120"/>
      <c r="ISY24" s="120"/>
      <c r="ISZ24" s="120"/>
      <c r="ITA24" s="120"/>
      <c r="ITB24" s="120"/>
      <c r="ITC24" s="120"/>
      <c r="ITD24" s="120"/>
      <c r="ITE24" s="120"/>
      <c r="ITF24" s="120"/>
      <c r="ITG24" s="120"/>
      <c r="ITH24" s="120"/>
      <c r="ITI24" s="120"/>
      <c r="ITJ24" s="120"/>
      <c r="ITK24" s="120"/>
      <c r="ITL24" s="120"/>
      <c r="ITM24" s="120"/>
      <c r="ITN24" s="120"/>
      <c r="ITO24" s="120"/>
      <c r="ITP24" s="120"/>
      <c r="ITQ24" s="120"/>
      <c r="ITR24" s="120"/>
      <c r="ITS24" s="120"/>
      <c r="ITT24" s="120"/>
      <c r="ITU24" s="120"/>
      <c r="ITV24" s="120"/>
      <c r="ITW24" s="120"/>
      <c r="ITX24" s="120"/>
      <c r="ITY24" s="120"/>
      <c r="ITZ24" s="120"/>
      <c r="IUA24" s="120"/>
      <c r="IUB24" s="120"/>
      <c r="IUC24" s="120"/>
      <c r="IUD24" s="120"/>
      <c r="IUE24" s="120"/>
      <c r="IUF24" s="120"/>
      <c r="IUG24" s="120"/>
      <c r="IUH24" s="120"/>
      <c r="IUI24" s="120"/>
      <c r="IUJ24" s="120"/>
      <c r="IUK24" s="120"/>
      <c r="IUL24" s="120"/>
      <c r="IUM24" s="120"/>
      <c r="IUN24" s="120"/>
      <c r="IUO24" s="120"/>
      <c r="IUP24" s="120"/>
      <c r="IUQ24" s="120"/>
      <c r="IUR24" s="120"/>
      <c r="IUS24" s="120"/>
      <c r="IUT24" s="120"/>
      <c r="IUU24" s="120"/>
      <c r="IUV24" s="120"/>
      <c r="IUW24" s="120"/>
      <c r="IUX24" s="120"/>
      <c r="IUY24" s="120"/>
      <c r="IUZ24" s="120"/>
      <c r="IVA24" s="120"/>
      <c r="IVB24" s="120"/>
      <c r="IVC24" s="120"/>
      <c r="IVD24" s="120"/>
      <c r="IVE24" s="120"/>
      <c r="IVF24" s="120"/>
      <c r="IVG24" s="120"/>
      <c r="IVH24" s="120"/>
      <c r="IVI24" s="120"/>
      <c r="IVJ24" s="120"/>
      <c r="IVK24" s="120"/>
      <c r="IVL24" s="120"/>
      <c r="IVM24" s="120"/>
      <c r="IVN24" s="120"/>
      <c r="IVO24" s="120"/>
      <c r="IVP24" s="120"/>
      <c r="IVQ24" s="120"/>
      <c r="IVR24" s="120"/>
      <c r="IVS24" s="120"/>
      <c r="IVT24" s="120"/>
      <c r="IVU24" s="120"/>
      <c r="IVV24" s="120"/>
      <c r="IVW24" s="120"/>
      <c r="IVX24" s="120"/>
      <c r="IVY24" s="120"/>
      <c r="IVZ24" s="120"/>
      <c r="IWA24" s="120"/>
      <c r="IWB24" s="120"/>
      <c r="IWC24" s="120"/>
      <c r="IWD24" s="120"/>
      <c r="IWE24" s="120"/>
      <c r="IWF24" s="120"/>
      <c r="IWG24" s="120"/>
      <c r="IWH24" s="120"/>
      <c r="IWI24" s="120"/>
      <c r="IWJ24" s="120"/>
      <c r="IWK24" s="120"/>
      <c r="IWL24" s="120"/>
      <c r="IWM24" s="120"/>
      <c r="IWN24" s="120"/>
      <c r="IWO24" s="120"/>
      <c r="IWP24" s="120"/>
      <c r="IWQ24" s="120"/>
      <c r="IWR24" s="120"/>
      <c r="IWS24" s="120"/>
      <c r="IWT24" s="120"/>
      <c r="IWU24" s="120"/>
      <c r="IWV24" s="120"/>
      <c r="IWW24" s="120"/>
      <c r="IWX24" s="120"/>
      <c r="IWY24" s="120"/>
      <c r="IWZ24" s="120"/>
      <c r="IXA24" s="120"/>
      <c r="IXB24" s="120"/>
      <c r="IXC24" s="120"/>
      <c r="IXD24" s="120"/>
      <c r="IXE24" s="120"/>
      <c r="IXF24" s="120"/>
      <c r="IXG24" s="120"/>
      <c r="IXH24" s="120"/>
      <c r="IXI24" s="120"/>
      <c r="IXJ24" s="120"/>
      <c r="IXK24" s="120"/>
      <c r="IXL24" s="120"/>
      <c r="IXM24" s="120"/>
      <c r="IXN24" s="120"/>
      <c r="IXO24" s="120"/>
      <c r="IXP24" s="120"/>
      <c r="IXQ24" s="120"/>
      <c r="IXR24" s="120"/>
      <c r="IXS24" s="120"/>
      <c r="IXT24" s="120"/>
      <c r="IXU24" s="120"/>
      <c r="IXV24" s="120"/>
      <c r="IXW24" s="120"/>
      <c r="IXX24" s="120"/>
      <c r="IXY24" s="120"/>
      <c r="IXZ24" s="120"/>
      <c r="IYA24" s="120"/>
      <c r="IYB24" s="120"/>
      <c r="IYC24" s="120"/>
      <c r="IYD24" s="120"/>
      <c r="IYE24" s="120"/>
      <c r="IYF24" s="120"/>
      <c r="IYG24" s="120"/>
      <c r="IYH24" s="120"/>
      <c r="IYI24" s="120"/>
      <c r="IYJ24" s="120"/>
      <c r="IYK24" s="120"/>
      <c r="IYL24" s="120"/>
      <c r="IYM24" s="120"/>
      <c r="IYN24" s="120"/>
      <c r="IYO24" s="120"/>
      <c r="IYP24" s="120"/>
      <c r="IYQ24" s="120"/>
      <c r="IYR24" s="120"/>
      <c r="IYS24" s="120"/>
      <c r="IYT24" s="120"/>
      <c r="IYU24" s="120"/>
      <c r="IYV24" s="120"/>
      <c r="IYW24" s="120"/>
      <c r="IYX24" s="120"/>
      <c r="IYY24" s="120"/>
      <c r="IYZ24" s="120"/>
      <c r="IZA24" s="120"/>
      <c r="IZB24" s="120"/>
      <c r="IZC24" s="120"/>
      <c r="IZD24" s="120"/>
      <c r="IZE24" s="120"/>
      <c r="IZF24" s="120"/>
      <c r="IZG24" s="120"/>
      <c r="IZH24" s="120"/>
      <c r="IZI24" s="120"/>
      <c r="IZJ24" s="120"/>
      <c r="IZK24" s="120"/>
      <c r="IZL24" s="120"/>
      <c r="IZM24" s="120"/>
      <c r="IZN24" s="120"/>
      <c r="IZO24" s="120"/>
      <c r="IZP24" s="120"/>
      <c r="IZQ24" s="120"/>
      <c r="IZR24" s="120"/>
      <c r="IZS24" s="120"/>
      <c r="IZT24" s="120"/>
      <c r="IZU24" s="120"/>
      <c r="IZV24" s="120"/>
      <c r="IZW24" s="120"/>
      <c r="IZX24" s="120"/>
      <c r="IZY24" s="120"/>
      <c r="IZZ24" s="120"/>
      <c r="JAA24" s="120"/>
      <c r="JAB24" s="120"/>
      <c r="JAC24" s="120"/>
      <c r="JAD24" s="120"/>
      <c r="JAE24" s="120"/>
      <c r="JAF24" s="120"/>
      <c r="JAG24" s="120"/>
      <c r="JAH24" s="120"/>
      <c r="JAI24" s="120"/>
      <c r="JAJ24" s="120"/>
      <c r="JAK24" s="120"/>
      <c r="JAL24" s="120"/>
      <c r="JAM24" s="120"/>
      <c r="JAN24" s="120"/>
      <c r="JAO24" s="120"/>
      <c r="JAP24" s="120"/>
      <c r="JAQ24" s="120"/>
      <c r="JAR24" s="120"/>
      <c r="JAS24" s="120"/>
      <c r="JAT24" s="120"/>
      <c r="JAU24" s="120"/>
      <c r="JAV24" s="120"/>
      <c r="JAW24" s="120"/>
      <c r="JAX24" s="120"/>
      <c r="JAY24" s="120"/>
      <c r="JAZ24" s="120"/>
      <c r="JBA24" s="120"/>
      <c r="JBB24" s="120"/>
      <c r="JBC24" s="120"/>
      <c r="JBD24" s="120"/>
      <c r="JBE24" s="120"/>
      <c r="JBF24" s="120"/>
      <c r="JBG24" s="120"/>
      <c r="JBH24" s="120"/>
      <c r="JBI24" s="120"/>
      <c r="JBJ24" s="120"/>
      <c r="JBK24" s="120"/>
      <c r="JBL24" s="120"/>
      <c r="JBM24" s="120"/>
      <c r="JBN24" s="120"/>
      <c r="JBO24" s="120"/>
      <c r="JBP24" s="120"/>
      <c r="JBQ24" s="120"/>
      <c r="JBR24" s="120"/>
      <c r="JBS24" s="120"/>
      <c r="JBT24" s="120"/>
      <c r="JBU24" s="120"/>
      <c r="JBV24" s="120"/>
      <c r="JBW24" s="120"/>
      <c r="JBX24" s="120"/>
      <c r="JBY24" s="120"/>
      <c r="JBZ24" s="120"/>
      <c r="JCA24" s="120"/>
      <c r="JCB24" s="120"/>
      <c r="JCC24" s="120"/>
      <c r="JCD24" s="120"/>
      <c r="JCE24" s="120"/>
      <c r="JCF24" s="120"/>
      <c r="JCG24" s="120"/>
      <c r="JCH24" s="120"/>
      <c r="JCI24" s="120"/>
      <c r="JCJ24" s="120"/>
      <c r="JCK24" s="120"/>
      <c r="JCL24" s="120"/>
      <c r="JCM24" s="120"/>
      <c r="JCN24" s="120"/>
      <c r="JCO24" s="120"/>
      <c r="JCP24" s="120"/>
      <c r="JCQ24" s="120"/>
      <c r="JCR24" s="120"/>
      <c r="JCS24" s="120"/>
      <c r="JCT24" s="120"/>
      <c r="JCU24" s="120"/>
      <c r="JCV24" s="120"/>
      <c r="JCW24" s="120"/>
      <c r="JCX24" s="120"/>
      <c r="JCY24" s="120"/>
      <c r="JCZ24" s="120"/>
      <c r="JDA24" s="120"/>
      <c r="JDB24" s="120"/>
      <c r="JDC24" s="120"/>
      <c r="JDD24" s="120"/>
      <c r="JDE24" s="120"/>
      <c r="JDF24" s="120"/>
      <c r="JDG24" s="120"/>
      <c r="JDH24" s="120"/>
      <c r="JDI24" s="120"/>
      <c r="JDJ24" s="120"/>
      <c r="JDK24" s="120"/>
      <c r="JDL24" s="120"/>
      <c r="JDM24" s="120"/>
      <c r="JDN24" s="120"/>
      <c r="JDO24" s="120"/>
      <c r="JDP24" s="120"/>
      <c r="JDQ24" s="120"/>
      <c r="JDR24" s="120"/>
      <c r="JDS24" s="120"/>
      <c r="JDT24" s="120"/>
      <c r="JDU24" s="120"/>
      <c r="JDV24" s="120"/>
      <c r="JDW24" s="120"/>
      <c r="JDX24" s="120"/>
      <c r="JDY24" s="120"/>
      <c r="JDZ24" s="120"/>
      <c r="JEA24" s="120"/>
      <c r="JEB24" s="120"/>
      <c r="JEC24" s="120"/>
      <c r="JED24" s="120"/>
      <c r="JEE24" s="120"/>
      <c r="JEF24" s="120"/>
      <c r="JEG24" s="120"/>
      <c r="JEH24" s="120"/>
      <c r="JEI24" s="120"/>
      <c r="JEJ24" s="120"/>
      <c r="JEK24" s="120"/>
      <c r="JEL24" s="120"/>
      <c r="JEM24" s="120"/>
      <c r="JEN24" s="120"/>
      <c r="JEO24" s="120"/>
      <c r="JEP24" s="120"/>
      <c r="JEQ24" s="120"/>
      <c r="JER24" s="120"/>
      <c r="JES24" s="120"/>
      <c r="JET24" s="120"/>
      <c r="JEU24" s="120"/>
      <c r="JEV24" s="120"/>
      <c r="JEW24" s="120"/>
      <c r="JEX24" s="120"/>
      <c r="JEY24" s="120"/>
      <c r="JEZ24" s="120"/>
      <c r="JFA24" s="120"/>
      <c r="JFB24" s="120"/>
      <c r="JFC24" s="120"/>
      <c r="JFD24" s="120"/>
      <c r="JFE24" s="120"/>
      <c r="JFF24" s="120"/>
      <c r="JFG24" s="120"/>
      <c r="JFH24" s="120"/>
      <c r="JFI24" s="120"/>
      <c r="JFJ24" s="120"/>
      <c r="JFK24" s="120"/>
      <c r="JFL24" s="120"/>
      <c r="JFM24" s="120"/>
      <c r="JFN24" s="120"/>
      <c r="JFO24" s="120"/>
      <c r="JFP24" s="120"/>
      <c r="JFQ24" s="120"/>
      <c r="JFR24" s="120"/>
      <c r="JFS24" s="120"/>
      <c r="JFT24" s="120"/>
      <c r="JFU24" s="120"/>
      <c r="JFV24" s="120"/>
      <c r="JFW24" s="120"/>
      <c r="JFX24" s="120"/>
      <c r="JFY24" s="120"/>
      <c r="JFZ24" s="120"/>
      <c r="JGA24" s="120"/>
      <c r="JGB24" s="120"/>
      <c r="JGC24" s="120"/>
      <c r="JGD24" s="120"/>
      <c r="JGE24" s="120"/>
      <c r="JGF24" s="120"/>
      <c r="JGG24" s="120"/>
      <c r="JGH24" s="120"/>
      <c r="JGI24" s="120"/>
      <c r="JGJ24" s="120"/>
      <c r="JGK24" s="120"/>
      <c r="JGL24" s="120"/>
      <c r="JGM24" s="120"/>
      <c r="JGN24" s="120"/>
      <c r="JGO24" s="120"/>
      <c r="JGP24" s="120"/>
      <c r="JGQ24" s="120"/>
      <c r="JGR24" s="120"/>
      <c r="JGS24" s="120"/>
      <c r="JGT24" s="120"/>
      <c r="JGU24" s="120"/>
      <c r="JGV24" s="120"/>
      <c r="JGW24" s="120"/>
      <c r="JGX24" s="120"/>
      <c r="JGY24" s="120"/>
      <c r="JGZ24" s="120"/>
      <c r="JHA24" s="120"/>
      <c r="JHB24" s="120"/>
      <c r="JHC24" s="120"/>
      <c r="JHD24" s="120"/>
      <c r="JHE24" s="120"/>
      <c r="JHF24" s="120"/>
      <c r="JHG24" s="120"/>
      <c r="JHH24" s="120"/>
      <c r="JHI24" s="120"/>
      <c r="JHJ24" s="120"/>
      <c r="JHK24" s="120"/>
      <c r="JHL24" s="120"/>
      <c r="JHM24" s="120"/>
      <c r="JHN24" s="120"/>
      <c r="JHO24" s="120"/>
      <c r="JHP24" s="120"/>
      <c r="JHQ24" s="120"/>
      <c r="JHR24" s="120"/>
      <c r="JHS24" s="120"/>
      <c r="JHT24" s="120"/>
      <c r="JHU24" s="120"/>
      <c r="JHV24" s="120"/>
      <c r="JHW24" s="120"/>
      <c r="JHX24" s="120"/>
      <c r="JHY24" s="120"/>
      <c r="JHZ24" s="120"/>
      <c r="JIA24" s="120"/>
      <c r="JIB24" s="120"/>
      <c r="JIC24" s="120"/>
      <c r="JID24" s="120"/>
      <c r="JIE24" s="120"/>
      <c r="JIF24" s="120"/>
      <c r="JIG24" s="120"/>
      <c r="JIH24" s="120"/>
      <c r="JII24" s="120"/>
      <c r="JIJ24" s="120"/>
      <c r="JIK24" s="120"/>
      <c r="JIL24" s="120"/>
      <c r="JIM24" s="120"/>
      <c r="JIN24" s="120"/>
      <c r="JIO24" s="120"/>
      <c r="JIP24" s="120"/>
      <c r="JIQ24" s="120"/>
      <c r="JIR24" s="120"/>
      <c r="JIS24" s="120"/>
      <c r="JIT24" s="120"/>
      <c r="JIU24" s="120"/>
      <c r="JIV24" s="120"/>
      <c r="JIW24" s="120"/>
      <c r="JIX24" s="120"/>
      <c r="JIY24" s="120"/>
      <c r="JIZ24" s="120"/>
      <c r="JJA24" s="120"/>
      <c r="JJB24" s="120"/>
      <c r="JJC24" s="120"/>
      <c r="JJD24" s="120"/>
      <c r="JJE24" s="120"/>
      <c r="JJF24" s="120"/>
      <c r="JJG24" s="120"/>
      <c r="JJH24" s="120"/>
      <c r="JJI24" s="120"/>
      <c r="JJJ24" s="120"/>
      <c r="JJK24" s="120"/>
      <c r="JJL24" s="120"/>
      <c r="JJM24" s="120"/>
      <c r="JJN24" s="120"/>
      <c r="JJO24" s="120"/>
      <c r="JJP24" s="120"/>
      <c r="JJQ24" s="120"/>
      <c r="JJR24" s="120"/>
      <c r="JJS24" s="120"/>
      <c r="JJT24" s="120"/>
      <c r="JJU24" s="120"/>
      <c r="JJV24" s="120"/>
      <c r="JJW24" s="120"/>
      <c r="JJX24" s="120"/>
      <c r="JJY24" s="120"/>
      <c r="JJZ24" s="120"/>
      <c r="JKA24" s="120"/>
      <c r="JKB24" s="120"/>
      <c r="JKC24" s="120"/>
      <c r="JKD24" s="120"/>
      <c r="JKE24" s="120"/>
      <c r="JKF24" s="120"/>
      <c r="JKG24" s="120"/>
      <c r="JKH24" s="120"/>
      <c r="JKI24" s="120"/>
      <c r="JKJ24" s="120"/>
      <c r="JKK24" s="120"/>
      <c r="JKL24" s="120"/>
      <c r="JKM24" s="120"/>
      <c r="JKN24" s="120"/>
      <c r="JKO24" s="120"/>
      <c r="JKP24" s="120"/>
      <c r="JKQ24" s="120"/>
      <c r="JKR24" s="120"/>
      <c r="JKS24" s="120"/>
      <c r="JKT24" s="120"/>
      <c r="JKU24" s="120"/>
      <c r="JKV24" s="120"/>
      <c r="JKW24" s="120"/>
      <c r="JKX24" s="120"/>
      <c r="JKY24" s="120"/>
      <c r="JKZ24" s="120"/>
      <c r="JLA24" s="120"/>
      <c r="JLB24" s="120"/>
      <c r="JLC24" s="120"/>
      <c r="JLD24" s="120"/>
      <c r="JLE24" s="120"/>
      <c r="JLF24" s="120"/>
      <c r="JLG24" s="120"/>
      <c r="JLH24" s="120"/>
      <c r="JLI24" s="120"/>
      <c r="JLJ24" s="120"/>
      <c r="JLK24" s="120"/>
      <c r="JLL24" s="120"/>
      <c r="JLM24" s="120"/>
      <c r="JLN24" s="120"/>
      <c r="JLO24" s="120"/>
      <c r="JLP24" s="120"/>
      <c r="JLQ24" s="120"/>
      <c r="JLR24" s="120"/>
      <c r="JLS24" s="120"/>
      <c r="JLT24" s="120"/>
      <c r="JLU24" s="120"/>
      <c r="JLV24" s="120"/>
      <c r="JLW24" s="120"/>
      <c r="JLX24" s="120"/>
      <c r="JLY24" s="120"/>
      <c r="JLZ24" s="120"/>
      <c r="JMA24" s="120"/>
      <c r="JMB24" s="120"/>
      <c r="JMC24" s="120"/>
      <c r="JMD24" s="120"/>
      <c r="JME24" s="120"/>
      <c r="JMF24" s="120"/>
      <c r="JMG24" s="120"/>
      <c r="JMH24" s="120"/>
      <c r="JMI24" s="120"/>
      <c r="JMJ24" s="120"/>
      <c r="JMK24" s="120"/>
      <c r="JML24" s="120"/>
      <c r="JMM24" s="120"/>
      <c r="JMN24" s="120"/>
      <c r="JMO24" s="120"/>
      <c r="JMP24" s="120"/>
      <c r="JMQ24" s="120"/>
      <c r="JMR24" s="120"/>
      <c r="JMS24" s="120"/>
      <c r="JMT24" s="120"/>
      <c r="JMU24" s="120"/>
      <c r="JMV24" s="120"/>
      <c r="JMW24" s="120"/>
      <c r="JMX24" s="120"/>
      <c r="JMY24" s="120"/>
      <c r="JMZ24" s="120"/>
      <c r="JNA24" s="120"/>
      <c r="JNB24" s="120"/>
      <c r="JNC24" s="120"/>
      <c r="JND24" s="120"/>
      <c r="JNE24" s="120"/>
      <c r="JNF24" s="120"/>
      <c r="JNG24" s="120"/>
      <c r="JNH24" s="120"/>
      <c r="JNI24" s="120"/>
      <c r="JNJ24" s="120"/>
      <c r="JNK24" s="120"/>
      <c r="JNL24" s="120"/>
      <c r="JNM24" s="120"/>
      <c r="JNN24" s="120"/>
      <c r="JNO24" s="120"/>
      <c r="JNP24" s="120"/>
      <c r="JNQ24" s="120"/>
      <c r="JNR24" s="120"/>
      <c r="JNS24" s="120"/>
      <c r="JNT24" s="120"/>
      <c r="JNU24" s="120"/>
      <c r="JNV24" s="120"/>
      <c r="JNW24" s="120"/>
      <c r="JNX24" s="120"/>
      <c r="JNY24" s="120"/>
      <c r="JNZ24" s="120"/>
      <c r="JOA24" s="120"/>
      <c r="JOB24" s="120"/>
      <c r="JOC24" s="120"/>
      <c r="JOD24" s="120"/>
      <c r="JOE24" s="120"/>
      <c r="JOF24" s="120"/>
      <c r="JOG24" s="120"/>
      <c r="JOH24" s="120"/>
      <c r="JOI24" s="120"/>
      <c r="JOJ24" s="120"/>
      <c r="JOK24" s="120"/>
      <c r="JOL24" s="120"/>
      <c r="JOM24" s="120"/>
      <c r="JON24" s="120"/>
      <c r="JOO24" s="120"/>
      <c r="JOP24" s="120"/>
      <c r="JOQ24" s="120"/>
      <c r="JOR24" s="120"/>
      <c r="JOS24" s="120"/>
      <c r="JOT24" s="120"/>
      <c r="JOU24" s="120"/>
      <c r="JOV24" s="120"/>
      <c r="JOW24" s="120"/>
      <c r="JOX24" s="120"/>
      <c r="JOY24" s="120"/>
      <c r="JOZ24" s="120"/>
      <c r="JPA24" s="120"/>
      <c r="JPB24" s="120"/>
      <c r="JPC24" s="120"/>
      <c r="JPD24" s="120"/>
      <c r="JPE24" s="120"/>
      <c r="JPF24" s="120"/>
      <c r="JPG24" s="120"/>
      <c r="JPH24" s="120"/>
      <c r="JPI24" s="120"/>
      <c r="JPJ24" s="120"/>
      <c r="JPK24" s="120"/>
      <c r="JPL24" s="120"/>
      <c r="JPM24" s="120"/>
      <c r="JPN24" s="120"/>
      <c r="JPO24" s="120"/>
      <c r="JPP24" s="120"/>
      <c r="JPQ24" s="120"/>
      <c r="JPR24" s="120"/>
      <c r="JPS24" s="120"/>
      <c r="JPT24" s="120"/>
      <c r="JPU24" s="120"/>
      <c r="JPV24" s="120"/>
      <c r="JPW24" s="120"/>
      <c r="JPX24" s="120"/>
      <c r="JPY24" s="120"/>
      <c r="JPZ24" s="120"/>
      <c r="JQA24" s="120"/>
      <c r="JQB24" s="120"/>
      <c r="JQC24" s="120"/>
      <c r="JQD24" s="120"/>
      <c r="JQE24" s="120"/>
      <c r="JQF24" s="120"/>
      <c r="JQG24" s="120"/>
      <c r="JQH24" s="120"/>
      <c r="JQI24" s="120"/>
      <c r="JQJ24" s="120"/>
      <c r="JQK24" s="120"/>
      <c r="JQL24" s="120"/>
      <c r="JQM24" s="120"/>
      <c r="JQN24" s="120"/>
      <c r="JQO24" s="120"/>
      <c r="JQP24" s="120"/>
      <c r="JQQ24" s="120"/>
      <c r="JQR24" s="120"/>
      <c r="JQS24" s="120"/>
      <c r="JQT24" s="120"/>
      <c r="JQU24" s="120"/>
      <c r="JQV24" s="120"/>
      <c r="JQW24" s="120"/>
      <c r="JQX24" s="120"/>
      <c r="JQY24" s="120"/>
      <c r="JQZ24" s="120"/>
      <c r="JRA24" s="120"/>
      <c r="JRB24" s="120"/>
      <c r="JRC24" s="120"/>
      <c r="JRD24" s="120"/>
      <c r="JRE24" s="120"/>
      <c r="JRF24" s="120"/>
      <c r="JRG24" s="120"/>
      <c r="JRH24" s="120"/>
      <c r="JRI24" s="120"/>
      <c r="JRJ24" s="120"/>
      <c r="JRK24" s="120"/>
      <c r="JRL24" s="120"/>
      <c r="JRM24" s="120"/>
      <c r="JRN24" s="120"/>
      <c r="JRO24" s="120"/>
      <c r="JRP24" s="120"/>
      <c r="JRQ24" s="120"/>
      <c r="JRR24" s="120"/>
      <c r="JRS24" s="120"/>
      <c r="JRT24" s="120"/>
      <c r="JRU24" s="120"/>
      <c r="JRV24" s="120"/>
      <c r="JRW24" s="120"/>
      <c r="JRX24" s="120"/>
      <c r="JRY24" s="120"/>
      <c r="JRZ24" s="120"/>
      <c r="JSA24" s="120"/>
      <c r="JSB24" s="120"/>
      <c r="JSC24" s="120"/>
      <c r="JSD24" s="120"/>
      <c r="JSE24" s="120"/>
      <c r="JSF24" s="120"/>
      <c r="JSG24" s="120"/>
      <c r="JSH24" s="120"/>
      <c r="JSI24" s="120"/>
      <c r="JSJ24" s="120"/>
      <c r="JSK24" s="120"/>
      <c r="JSL24" s="120"/>
      <c r="JSM24" s="120"/>
      <c r="JSN24" s="120"/>
      <c r="JSO24" s="120"/>
      <c r="JSP24" s="120"/>
      <c r="JSQ24" s="120"/>
      <c r="JSR24" s="120"/>
      <c r="JSS24" s="120"/>
      <c r="JST24" s="120"/>
      <c r="JSU24" s="120"/>
      <c r="JSV24" s="120"/>
      <c r="JSW24" s="120"/>
      <c r="JSX24" s="120"/>
      <c r="JSY24" s="120"/>
      <c r="JSZ24" s="120"/>
      <c r="JTA24" s="120"/>
      <c r="JTB24" s="120"/>
      <c r="JTC24" s="120"/>
      <c r="JTD24" s="120"/>
      <c r="JTE24" s="120"/>
      <c r="JTF24" s="120"/>
      <c r="JTG24" s="120"/>
      <c r="JTH24" s="120"/>
      <c r="JTI24" s="120"/>
      <c r="JTJ24" s="120"/>
      <c r="JTK24" s="120"/>
      <c r="JTL24" s="120"/>
      <c r="JTM24" s="120"/>
      <c r="JTN24" s="120"/>
      <c r="JTO24" s="120"/>
      <c r="JTP24" s="120"/>
      <c r="JTQ24" s="120"/>
      <c r="JTR24" s="120"/>
      <c r="JTS24" s="120"/>
      <c r="JTT24" s="120"/>
      <c r="JTU24" s="120"/>
      <c r="JTV24" s="120"/>
      <c r="JTW24" s="120"/>
      <c r="JTX24" s="120"/>
      <c r="JTY24" s="120"/>
      <c r="JTZ24" s="120"/>
      <c r="JUA24" s="120"/>
      <c r="JUB24" s="120"/>
      <c r="JUC24" s="120"/>
      <c r="JUD24" s="120"/>
      <c r="JUE24" s="120"/>
      <c r="JUF24" s="120"/>
      <c r="JUG24" s="120"/>
      <c r="JUH24" s="120"/>
      <c r="JUI24" s="120"/>
      <c r="JUJ24" s="120"/>
      <c r="JUK24" s="120"/>
      <c r="JUL24" s="120"/>
      <c r="JUM24" s="120"/>
      <c r="JUN24" s="120"/>
      <c r="JUO24" s="120"/>
      <c r="JUP24" s="120"/>
      <c r="JUQ24" s="120"/>
      <c r="JUR24" s="120"/>
      <c r="JUS24" s="120"/>
      <c r="JUT24" s="120"/>
      <c r="JUU24" s="120"/>
      <c r="JUV24" s="120"/>
      <c r="JUW24" s="120"/>
      <c r="JUX24" s="120"/>
      <c r="JUY24" s="120"/>
      <c r="JUZ24" s="120"/>
      <c r="JVA24" s="120"/>
      <c r="JVB24" s="120"/>
      <c r="JVC24" s="120"/>
      <c r="JVD24" s="120"/>
      <c r="JVE24" s="120"/>
      <c r="JVF24" s="120"/>
      <c r="JVG24" s="120"/>
      <c r="JVH24" s="120"/>
      <c r="JVI24" s="120"/>
      <c r="JVJ24" s="120"/>
      <c r="JVK24" s="120"/>
      <c r="JVL24" s="120"/>
      <c r="JVM24" s="120"/>
      <c r="JVN24" s="120"/>
      <c r="JVO24" s="120"/>
      <c r="JVP24" s="120"/>
      <c r="JVQ24" s="120"/>
      <c r="JVR24" s="120"/>
      <c r="JVS24" s="120"/>
      <c r="JVT24" s="120"/>
      <c r="JVU24" s="120"/>
      <c r="JVV24" s="120"/>
      <c r="JVW24" s="120"/>
      <c r="JVX24" s="120"/>
      <c r="JVY24" s="120"/>
      <c r="JVZ24" s="120"/>
      <c r="JWA24" s="120"/>
      <c r="JWB24" s="120"/>
      <c r="JWC24" s="120"/>
      <c r="JWD24" s="120"/>
      <c r="JWE24" s="120"/>
      <c r="JWF24" s="120"/>
      <c r="JWG24" s="120"/>
      <c r="JWH24" s="120"/>
      <c r="JWI24" s="120"/>
      <c r="JWJ24" s="120"/>
      <c r="JWK24" s="120"/>
      <c r="JWL24" s="120"/>
      <c r="JWM24" s="120"/>
      <c r="JWN24" s="120"/>
      <c r="JWO24" s="120"/>
      <c r="JWP24" s="120"/>
      <c r="JWQ24" s="120"/>
      <c r="JWR24" s="120"/>
      <c r="JWS24" s="120"/>
      <c r="JWT24" s="120"/>
      <c r="JWU24" s="120"/>
      <c r="JWV24" s="120"/>
      <c r="JWW24" s="120"/>
      <c r="JWX24" s="120"/>
      <c r="JWY24" s="120"/>
      <c r="JWZ24" s="120"/>
      <c r="JXA24" s="120"/>
      <c r="JXB24" s="120"/>
      <c r="JXC24" s="120"/>
      <c r="JXD24" s="120"/>
      <c r="JXE24" s="120"/>
      <c r="JXF24" s="120"/>
      <c r="JXG24" s="120"/>
      <c r="JXH24" s="120"/>
      <c r="JXI24" s="120"/>
      <c r="JXJ24" s="120"/>
      <c r="JXK24" s="120"/>
      <c r="JXL24" s="120"/>
      <c r="JXM24" s="120"/>
      <c r="JXN24" s="120"/>
      <c r="JXO24" s="120"/>
      <c r="JXP24" s="120"/>
      <c r="JXQ24" s="120"/>
      <c r="JXR24" s="120"/>
      <c r="JXS24" s="120"/>
      <c r="JXT24" s="120"/>
      <c r="JXU24" s="120"/>
      <c r="JXV24" s="120"/>
      <c r="JXW24" s="120"/>
      <c r="JXX24" s="120"/>
      <c r="JXY24" s="120"/>
      <c r="JXZ24" s="120"/>
      <c r="JYA24" s="120"/>
      <c r="JYB24" s="120"/>
      <c r="JYC24" s="120"/>
      <c r="JYD24" s="120"/>
      <c r="JYE24" s="120"/>
      <c r="JYF24" s="120"/>
      <c r="JYG24" s="120"/>
      <c r="JYH24" s="120"/>
      <c r="JYI24" s="120"/>
      <c r="JYJ24" s="120"/>
      <c r="JYK24" s="120"/>
      <c r="JYL24" s="120"/>
      <c r="JYM24" s="120"/>
      <c r="JYN24" s="120"/>
      <c r="JYO24" s="120"/>
      <c r="JYP24" s="120"/>
      <c r="JYQ24" s="120"/>
      <c r="JYR24" s="120"/>
      <c r="JYS24" s="120"/>
      <c r="JYT24" s="120"/>
      <c r="JYU24" s="120"/>
      <c r="JYV24" s="120"/>
      <c r="JYW24" s="120"/>
      <c r="JYX24" s="120"/>
      <c r="JYY24" s="120"/>
      <c r="JYZ24" s="120"/>
      <c r="JZA24" s="120"/>
      <c r="JZB24" s="120"/>
      <c r="JZC24" s="120"/>
      <c r="JZD24" s="120"/>
      <c r="JZE24" s="120"/>
      <c r="JZF24" s="120"/>
      <c r="JZG24" s="120"/>
      <c r="JZH24" s="120"/>
      <c r="JZI24" s="120"/>
      <c r="JZJ24" s="120"/>
      <c r="JZK24" s="120"/>
      <c r="JZL24" s="120"/>
      <c r="JZM24" s="120"/>
      <c r="JZN24" s="120"/>
      <c r="JZO24" s="120"/>
      <c r="JZP24" s="120"/>
      <c r="JZQ24" s="120"/>
      <c r="JZR24" s="120"/>
      <c r="JZS24" s="120"/>
      <c r="JZT24" s="120"/>
      <c r="JZU24" s="120"/>
      <c r="JZV24" s="120"/>
      <c r="JZW24" s="120"/>
      <c r="JZX24" s="120"/>
      <c r="JZY24" s="120"/>
      <c r="JZZ24" s="120"/>
      <c r="KAA24" s="120"/>
      <c r="KAB24" s="120"/>
      <c r="KAC24" s="120"/>
      <c r="KAD24" s="120"/>
      <c r="KAE24" s="120"/>
      <c r="KAF24" s="120"/>
      <c r="KAG24" s="120"/>
      <c r="KAH24" s="120"/>
      <c r="KAI24" s="120"/>
      <c r="KAJ24" s="120"/>
      <c r="KAK24" s="120"/>
      <c r="KAL24" s="120"/>
      <c r="KAM24" s="120"/>
      <c r="KAN24" s="120"/>
      <c r="KAO24" s="120"/>
      <c r="KAP24" s="120"/>
      <c r="KAQ24" s="120"/>
      <c r="KAR24" s="120"/>
      <c r="KAS24" s="120"/>
      <c r="KAT24" s="120"/>
      <c r="KAU24" s="120"/>
      <c r="KAV24" s="120"/>
      <c r="KAW24" s="120"/>
      <c r="KAX24" s="120"/>
      <c r="KAY24" s="120"/>
      <c r="KAZ24" s="120"/>
      <c r="KBA24" s="120"/>
      <c r="KBB24" s="120"/>
      <c r="KBC24" s="120"/>
      <c r="KBD24" s="120"/>
      <c r="KBE24" s="120"/>
      <c r="KBF24" s="120"/>
      <c r="KBG24" s="120"/>
      <c r="KBH24" s="120"/>
      <c r="KBI24" s="120"/>
      <c r="KBJ24" s="120"/>
      <c r="KBK24" s="120"/>
      <c r="KBL24" s="120"/>
      <c r="KBM24" s="120"/>
      <c r="KBN24" s="120"/>
      <c r="KBO24" s="120"/>
      <c r="KBP24" s="120"/>
      <c r="KBQ24" s="120"/>
      <c r="KBR24" s="120"/>
      <c r="KBS24" s="120"/>
      <c r="KBT24" s="120"/>
      <c r="KBU24" s="120"/>
      <c r="KBV24" s="120"/>
      <c r="KBW24" s="120"/>
      <c r="KBX24" s="120"/>
      <c r="KBY24" s="120"/>
      <c r="KBZ24" s="120"/>
      <c r="KCA24" s="120"/>
      <c r="KCB24" s="120"/>
      <c r="KCC24" s="120"/>
      <c r="KCD24" s="120"/>
      <c r="KCE24" s="120"/>
      <c r="KCF24" s="120"/>
      <c r="KCG24" s="120"/>
      <c r="KCH24" s="120"/>
      <c r="KCI24" s="120"/>
      <c r="KCJ24" s="120"/>
      <c r="KCK24" s="120"/>
      <c r="KCL24" s="120"/>
      <c r="KCM24" s="120"/>
      <c r="KCN24" s="120"/>
      <c r="KCO24" s="120"/>
      <c r="KCP24" s="120"/>
      <c r="KCQ24" s="120"/>
      <c r="KCR24" s="120"/>
      <c r="KCS24" s="120"/>
      <c r="KCT24" s="120"/>
      <c r="KCU24" s="120"/>
      <c r="KCV24" s="120"/>
      <c r="KCW24" s="120"/>
      <c r="KCX24" s="120"/>
      <c r="KCY24" s="120"/>
      <c r="KCZ24" s="120"/>
      <c r="KDA24" s="120"/>
      <c r="KDB24" s="120"/>
      <c r="KDC24" s="120"/>
      <c r="KDD24" s="120"/>
      <c r="KDE24" s="120"/>
      <c r="KDF24" s="120"/>
      <c r="KDG24" s="120"/>
      <c r="KDH24" s="120"/>
      <c r="KDI24" s="120"/>
      <c r="KDJ24" s="120"/>
      <c r="KDK24" s="120"/>
      <c r="KDL24" s="120"/>
      <c r="KDM24" s="120"/>
      <c r="KDN24" s="120"/>
      <c r="KDO24" s="120"/>
      <c r="KDP24" s="120"/>
      <c r="KDQ24" s="120"/>
      <c r="KDR24" s="120"/>
      <c r="KDS24" s="120"/>
      <c r="KDT24" s="120"/>
      <c r="KDU24" s="120"/>
      <c r="KDV24" s="120"/>
      <c r="KDW24" s="120"/>
      <c r="KDX24" s="120"/>
      <c r="KDY24" s="120"/>
      <c r="KDZ24" s="120"/>
      <c r="KEA24" s="120"/>
      <c r="KEB24" s="120"/>
      <c r="KEC24" s="120"/>
      <c r="KED24" s="120"/>
      <c r="KEE24" s="120"/>
      <c r="KEF24" s="120"/>
      <c r="KEG24" s="120"/>
      <c r="KEH24" s="120"/>
      <c r="KEI24" s="120"/>
      <c r="KEJ24" s="120"/>
      <c r="KEK24" s="120"/>
      <c r="KEL24" s="120"/>
      <c r="KEM24" s="120"/>
      <c r="KEN24" s="120"/>
      <c r="KEO24" s="120"/>
      <c r="KEP24" s="120"/>
      <c r="KEQ24" s="120"/>
      <c r="KER24" s="120"/>
      <c r="KES24" s="120"/>
      <c r="KET24" s="120"/>
      <c r="KEU24" s="120"/>
      <c r="KEV24" s="120"/>
      <c r="KEW24" s="120"/>
      <c r="KEX24" s="120"/>
      <c r="KEY24" s="120"/>
      <c r="KEZ24" s="120"/>
      <c r="KFA24" s="120"/>
      <c r="KFB24" s="120"/>
      <c r="KFC24" s="120"/>
      <c r="KFD24" s="120"/>
      <c r="KFE24" s="120"/>
      <c r="KFF24" s="120"/>
      <c r="KFG24" s="120"/>
      <c r="KFH24" s="120"/>
      <c r="KFI24" s="120"/>
      <c r="KFJ24" s="120"/>
      <c r="KFK24" s="120"/>
      <c r="KFL24" s="120"/>
      <c r="KFM24" s="120"/>
      <c r="KFN24" s="120"/>
      <c r="KFO24" s="120"/>
      <c r="KFP24" s="120"/>
      <c r="KFQ24" s="120"/>
      <c r="KFR24" s="120"/>
      <c r="KFS24" s="120"/>
      <c r="KFT24" s="120"/>
      <c r="KFU24" s="120"/>
      <c r="KFV24" s="120"/>
      <c r="KFW24" s="120"/>
      <c r="KFX24" s="120"/>
      <c r="KFY24" s="120"/>
      <c r="KFZ24" s="120"/>
      <c r="KGA24" s="120"/>
      <c r="KGB24" s="120"/>
      <c r="KGC24" s="120"/>
      <c r="KGD24" s="120"/>
      <c r="KGE24" s="120"/>
      <c r="KGF24" s="120"/>
      <c r="KGG24" s="120"/>
      <c r="KGH24" s="120"/>
      <c r="KGI24" s="120"/>
      <c r="KGJ24" s="120"/>
      <c r="KGK24" s="120"/>
      <c r="KGL24" s="120"/>
      <c r="KGM24" s="120"/>
      <c r="KGN24" s="120"/>
      <c r="KGO24" s="120"/>
      <c r="KGP24" s="120"/>
      <c r="KGQ24" s="120"/>
      <c r="KGR24" s="120"/>
      <c r="KGS24" s="120"/>
      <c r="KGT24" s="120"/>
      <c r="KGU24" s="120"/>
      <c r="KGV24" s="120"/>
      <c r="KGW24" s="120"/>
      <c r="KGX24" s="120"/>
      <c r="KGY24" s="120"/>
      <c r="KGZ24" s="120"/>
      <c r="KHA24" s="120"/>
      <c r="KHB24" s="120"/>
      <c r="KHC24" s="120"/>
      <c r="KHD24" s="120"/>
      <c r="KHE24" s="120"/>
      <c r="KHF24" s="120"/>
      <c r="KHG24" s="120"/>
      <c r="KHH24" s="120"/>
      <c r="KHI24" s="120"/>
      <c r="KHJ24" s="120"/>
      <c r="KHK24" s="120"/>
      <c r="KHL24" s="120"/>
      <c r="KHM24" s="120"/>
      <c r="KHN24" s="120"/>
      <c r="KHO24" s="120"/>
      <c r="KHP24" s="120"/>
      <c r="KHQ24" s="120"/>
      <c r="KHR24" s="120"/>
      <c r="KHS24" s="120"/>
      <c r="KHT24" s="120"/>
      <c r="KHU24" s="120"/>
      <c r="KHV24" s="120"/>
      <c r="KHW24" s="120"/>
      <c r="KHX24" s="120"/>
      <c r="KHY24" s="120"/>
      <c r="KHZ24" s="120"/>
      <c r="KIA24" s="120"/>
      <c r="KIB24" s="120"/>
      <c r="KIC24" s="120"/>
      <c r="KID24" s="120"/>
      <c r="KIE24" s="120"/>
      <c r="KIF24" s="120"/>
      <c r="KIG24" s="120"/>
      <c r="KIH24" s="120"/>
      <c r="KII24" s="120"/>
      <c r="KIJ24" s="120"/>
      <c r="KIK24" s="120"/>
      <c r="KIL24" s="120"/>
      <c r="KIM24" s="120"/>
      <c r="KIN24" s="120"/>
      <c r="KIO24" s="120"/>
      <c r="KIP24" s="120"/>
      <c r="KIQ24" s="120"/>
      <c r="KIR24" s="120"/>
      <c r="KIS24" s="120"/>
      <c r="KIT24" s="120"/>
      <c r="KIU24" s="120"/>
      <c r="KIV24" s="120"/>
      <c r="KIW24" s="120"/>
      <c r="KIX24" s="120"/>
      <c r="KIY24" s="120"/>
      <c r="KIZ24" s="120"/>
      <c r="KJA24" s="120"/>
      <c r="KJB24" s="120"/>
      <c r="KJC24" s="120"/>
      <c r="KJD24" s="120"/>
      <c r="KJE24" s="120"/>
      <c r="KJF24" s="120"/>
      <c r="KJG24" s="120"/>
      <c r="KJH24" s="120"/>
      <c r="KJI24" s="120"/>
      <c r="KJJ24" s="120"/>
      <c r="KJK24" s="120"/>
      <c r="KJL24" s="120"/>
      <c r="KJM24" s="120"/>
      <c r="KJN24" s="120"/>
      <c r="KJO24" s="120"/>
      <c r="KJP24" s="120"/>
      <c r="KJQ24" s="120"/>
      <c r="KJR24" s="120"/>
      <c r="KJS24" s="120"/>
      <c r="KJT24" s="120"/>
      <c r="KJU24" s="120"/>
      <c r="KJV24" s="120"/>
      <c r="KJW24" s="120"/>
      <c r="KJX24" s="120"/>
      <c r="KJY24" s="120"/>
      <c r="KJZ24" s="120"/>
      <c r="KKA24" s="120"/>
      <c r="KKB24" s="120"/>
      <c r="KKC24" s="120"/>
      <c r="KKD24" s="120"/>
      <c r="KKE24" s="120"/>
      <c r="KKF24" s="120"/>
      <c r="KKG24" s="120"/>
      <c r="KKH24" s="120"/>
      <c r="KKI24" s="120"/>
      <c r="KKJ24" s="120"/>
      <c r="KKK24" s="120"/>
      <c r="KKL24" s="120"/>
      <c r="KKM24" s="120"/>
      <c r="KKN24" s="120"/>
      <c r="KKO24" s="120"/>
      <c r="KKP24" s="120"/>
      <c r="KKQ24" s="120"/>
      <c r="KKR24" s="120"/>
      <c r="KKS24" s="120"/>
      <c r="KKT24" s="120"/>
      <c r="KKU24" s="120"/>
      <c r="KKV24" s="120"/>
      <c r="KKW24" s="120"/>
      <c r="KKX24" s="120"/>
      <c r="KKY24" s="120"/>
      <c r="KKZ24" s="120"/>
      <c r="KLA24" s="120"/>
      <c r="KLB24" s="120"/>
      <c r="KLC24" s="120"/>
      <c r="KLD24" s="120"/>
      <c r="KLE24" s="120"/>
      <c r="KLF24" s="120"/>
      <c r="KLG24" s="120"/>
      <c r="KLH24" s="120"/>
      <c r="KLI24" s="120"/>
      <c r="KLJ24" s="120"/>
      <c r="KLK24" s="120"/>
      <c r="KLL24" s="120"/>
      <c r="KLM24" s="120"/>
      <c r="KLN24" s="120"/>
      <c r="KLO24" s="120"/>
      <c r="KLP24" s="120"/>
      <c r="KLQ24" s="120"/>
      <c r="KLR24" s="120"/>
      <c r="KLS24" s="120"/>
      <c r="KLT24" s="120"/>
      <c r="KLU24" s="120"/>
      <c r="KLV24" s="120"/>
      <c r="KLW24" s="120"/>
      <c r="KLX24" s="120"/>
      <c r="KLY24" s="120"/>
      <c r="KLZ24" s="120"/>
      <c r="KMA24" s="120"/>
      <c r="KMB24" s="120"/>
      <c r="KMC24" s="120"/>
      <c r="KMD24" s="120"/>
      <c r="KME24" s="120"/>
      <c r="KMF24" s="120"/>
      <c r="KMG24" s="120"/>
      <c r="KMH24" s="120"/>
      <c r="KMI24" s="120"/>
      <c r="KMJ24" s="120"/>
      <c r="KMK24" s="120"/>
      <c r="KML24" s="120"/>
      <c r="KMM24" s="120"/>
      <c r="KMN24" s="120"/>
      <c r="KMO24" s="120"/>
      <c r="KMP24" s="120"/>
      <c r="KMQ24" s="120"/>
      <c r="KMR24" s="120"/>
      <c r="KMS24" s="120"/>
      <c r="KMT24" s="120"/>
      <c r="KMU24" s="120"/>
      <c r="KMV24" s="120"/>
      <c r="KMW24" s="120"/>
      <c r="KMX24" s="120"/>
      <c r="KMY24" s="120"/>
      <c r="KMZ24" s="120"/>
      <c r="KNA24" s="120"/>
      <c r="KNB24" s="120"/>
      <c r="KNC24" s="120"/>
      <c r="KND24" s="120"/>
      <c r="KNE24" s="120"/>
      <c r="KNF24" s="120"/>
      <c r="KNG24" s="120"/>
      <c r="KNH24" s="120"/>
      <c r="KNI24" s="120"/>
      <c r="KNJ24" s="120"/>
      <c r="KNK24" s="120"/>
      <c r="KNL24" s="120"/>
      <c r="KNM24" s="120"/>
      <c r="KNN24" s="120"/>
      <c r="KNO24" s="120"/>
      <c r="KNP24" s="120"/>
      <c r="KNQ24" s="120"/>
      <c r="KNR24" s="120"/>
      <c r="KNS24" s="120"/>
      <c r="KNT24" s="120"/>
      <c r="KNU24" s="120"/>
      <c r="KNV24" s="120"/>
      <c r="KNW24" s="120"/>
      <c r="KNX24" s="120"/>
      <c r="KNY24" s="120"/>
      <c r="KNZ24" s="120"/>
      <c r="KOA24" s="120"/>
      <c r="KOB24" s="120"/>
      <c r="KOC24" s="120"/>
      <c r="KOD24" s="120"/>
      <c r="KOE24" s="120"/>
      <c r="KOF24" s="120"/>
      <c r="KOG24" s="120"/>
      <c r="KOH24" s="120"/>
      <c r="KOI24" s="120"/>
      <c r="KOJ24" s="120"/>
      <c r="KOK24" s="120"/>
      <c r="KOL24" s="120"/>
      <c r="KOM24" s="120"/>
      <c r="KON24" s="120"/>
      <c r="KOO24" s="120"/>
      <c r="KOP24" s="120"/>
      <c r="KOQ24" s="120"/>
      <c r="KOR24" s="120"/>
      <c r="KOS24" s="120"/>
      <c r="KOT24" s="120"/>
      <c r="KOU24" s="120"/>
      <c r="KOV24" s="120"/>
      <c r="KOW24" s="120"/>
      <c r="KOX24" s="120"/>
      <c r="KOY24" s="120"/>
      <c r="KOZ24" s="120"/>
      <c r="KPA24" s="120"/>
      <c r="KPB24" s="120"/>
      <c r="KPC24" s="120"/>
      <c r="KPD24" s="120"/>
      <c r="KPE24" s="120"/>
      <c r="KPF24" s="120"/>
      <c r="KPG24" s="120"/>
      <c r="KPH24" s="120"/>
      <c r="KPI24" s="120"/>
      <c r="KPJ24" s="120"/>
      <c r="KPK24" s="120"/>
      <c r="KPL24" s="120"/>
      <c r="KPM24" s="120"/>
      <c r="KPN24" s="120"/>
      <c r="KPO24" s="120"/>
      <c r="KPP24" s="120"/>
      <c r="KPQ24" s="120"/>
      <c r="KPR24" s="120"/>
      <c r="KPS24" s="120"/>
      <c r="KPT24" s="120"/>
      <c r="KPU24" s="120"/>
      <c r="KPV24" s="120"/>
      <c r="KPW24" s="120"/>
      <c r="KPX24" s="120"/>
      <c r="KPY24" s="120"/>
      <c r="KPZ24" s="120"/>
      <c r="KQA24" s="120"/>
      <c r="KQB24" s="120"/>
      <c r="KQC24" s="120"/>
      <c r="KQD24" s="120"/>
      <c r="KQE24" s="120"/>
      <c r="KQF24" s="120"/>
      <c r="KQG24" s="120"/>
      <c r="KQH24" s="120"/>
      <c r="KQI24" s="120"/>
      <c r="KQJ24" s="120"/>
      <c r="KQK24" s="120"/>
      <c r="KQL24" s="120"/>
      <c r="KQM24" s="120"/>
      <c r="KQN24" s="120"/>
      <c r="KQO24" s="120"/>
      <c r="KQP24" s="120"/>
      <c r="KQQ24" s="120"/>
      <c r="KQR24" s="120"/>
      <c r="KQS24" s="120"/>
      <c r="KQT24" s="120"/>
      <c r="KQU24" s="120"/>
      <c r="KQV24" s="120"/>
      <c r="KQW24" s="120"/>
      <c r="KQX24" s="120"/>
      <c r="KQY24" s="120"/>
      <c r="KQZ24" s="120"/>
      <c r="KRA24" s="120"/>
      <c r="KRB24" s="120"/>
      <c r="KRC24" s="120"/>
      <c r="KRD24" s="120"/>
      <c r="KRE24" s="120"/>
      <c r="KRF24" s="120"/>
      <c r="KRG24" s="120"/>
      <c r="KRH24" s="120"/>
      <c r="KRI24" s="120"/>
      <c r="KRJ24" s="120"/>
      <c r="KRK24" s="120"/>
      <c r="KRL24" s="120"/>
      <c r="KRM24" s="120"/>
      <c r="KRN24" s="120"/>
      <c r="KRO24" s="120"/>
      <c r="KRP24" s="120"/>
      <c r="KRQ24" s="120"/>
      <c r="KRR24" s="120"/>
      <c r="KRS24" s="120"/>
      <c r="KRT24" s="120"/>
      <c r="KRU24" s="120"/>
      <c r="KRV24" s="120"/>
      <c r="KRW24" s="120"/>
      <c r="KRX24" s="120"/>
      <c r="KRY24" s="120"/>
      <c r="KRZ24" s="120"/>
      <c r="KSA24" s="120"/>
      <c r="KSB24" s="120"/>
      <c r="KSC24" s="120"/>
      <c r="KSD24" s="120"/>
      <c r="KSE24" s="120"/>
      <c r="KSF24" s="120"/>
      <c r="KSG24" s="120"/>
      <c r="KSH24" s="120"/>
      <c r="KSI24" s="120"/>
      <c r="KSJ24" s="120"/>
      <c r="KSK24" s="120"/>
      <c r="KSL24" s="120"/>
      <c r="KSM24" s="120"/>
      <c r="KSN24" s="120"/>
      <c r="KSO24" s="120"/>
      <c r="KSP24" s="120"/>
      <c r="KSQ24" s="120"/>
      <c r="KSR24" s="120"/>
      <c r="KSS24" s="120"/>
      <c r="KST24" s="120"/>
      <c r="KSU24" s="120"/>
      <c r="KSV24" s="120"/>
      <c r="KSW24" s="120"/>
      <c r="KSX24" s="120"/>
      <c r="KSY24" s="120"/>
      <c r="KSZ24" s="120"/>
      <c r="KTA24" s="120"/>
      <c r="KTB24" s="120"/>
      <c r="KTC24" s="120"/>
      <c r="KTD24" s="120"/>
      <c r="KTE24" s="120"/>
      <c r="KTF24" s="120"/>
      <c r="KTG24" s="120"/>
      <c r="KTH24" s="120"/>
      <c r="KTI24" s="120"/>
      <c r="KTJ24" s="120"/>
      <c r="KTK24" s="120"/>
      <c r="KTL24" s="120"/>
      <c r="KTM24" s="120"/>
      <c r="KTN24" s="120"/>
      <c r="KTO24" s="120"/>
      <c r="KTP24" s="120"/>
      <c r="KTQ24" s="120"/>
      <c r="KTR24" s="120"/>
      <c r="KTS24" s="120"/>
      <c r="KTT24" s="120"/>
      <c r="KTU24" s="120"/>
      <c r="KTV24" s="120"/>
      <c r="KTW24" s="120"/>
      <c r="KTX24" s="120"/>
      <c r="KTY24" s="120"/>
      <c r="KTZ24" s="120"/>
      <c r="KUA24" s="120"/>
      <c r="KUB24" s="120"/>
      <c r="KUC24" s="120"/>
      <c r="KUD24" s="120"/>
      <c r="KUE24" s="120"/>
      <c r="KUF24" s="120"/>
      <c r="KUG24" s="120"/>
      <c r="KUH24" s="120"/>
      <c r="KUI24" s="120"/>
      <c r="KUJ24" s="120"/>
      <c r="KUK24" s="120"/>
      <c r="KUL24" s="120"/>
      <c r="KUM24" s="120"/>
      <c r="KUN24" s="120"/>
      <c r="KUO24" s="120"/>
      <c r="KUP24" s="120"/>
      <c r="KUQ24" s="120"/>
      <c r="KUR24" s="120"/>
      <c r="KUS24" s="120"/>
      <c r="KUT24" s="120"/>
      <c r="KUU24" s="120"/>
      <c r="KUV24" s="120"/>
      <c r="KUW24" s="120"/>
      <c r="KUX24" s="120"/>
      <c r="KUY24" s="120"/>
      <c r="KUZ24" s="120"/>
      <c r="KVA24" s="120"/>
      <c r="KVB24" s="120"/>
      <c r="KVC24" s="120"/>
      <c r="KVD24" s="120"/>
      <c r="KVE24" s="120"/>
      <c r="KVF24" s="120"/>
      <c r="KVG24" s="120"/>
      <c r="KVH24" s="120"/>
      <c r="KVI24" s="120"/>
      <c r="KVJ24" s="120"/>
      <c r="KVK24" s="120"/>
      <c r="KVL24" s="120"/>
      <c r="KVM24" s="120"/>
      <c r="KVN24" s="120"/>
      <c r="KVO24" s="120"/>
      <c r="KVP24" s="120"/>
      <c r="KVQ24" s="120"/>
      <c r="KVR24" s="120"/>
      <c r="KVS24" s="120"/>
      <c r="KVT24" s="120"/>
      <c r="KVU24" s="120"/>
      <c r="KVV24" s="120"/>
      <c r="KVW24" s="120"/>
      <c r="KVX24" s="120"/>
      <c r="KVY24" s="120"/>
      <c r="KVZ24" s="120"/>
      <c r="KWA24" s="120"/>
      <c r="KWB24" s="120"/>
      <c r="KWC24" s="120"/>
      <c r="KWD24" s="120"/>
      <c r="KWE24" s="120"/>
      <c r="KWF24" s="120"/>
      <c r="KWG24" s="120"/>
      <c r="KWH24" s="120"/>
      <c r="KWI24" s="120"/>
      <c r="KWJ24" s="120"/>
      <c r="KWK24" s="120"/>
      <c r="KWL24" s="120"/>
      <c r="KWM24" s="120"/>
      <c r="KWN24" s="120"/>
      <c r="KWO24" s="120"/>
      <c r="KWP24" s="120"/>
      <c r="KWQ24" s="120"/>
      <c r="KWR24" s="120"/>
      <c r="KWS24" s="120"/>
      <c r="KWT24" s="120"/>
      <c r="KWU24" s="120"/>
      <c r="KWV24" s="120"/>
      <c r="KWW24" s="120"/>
      <c r="KWX24" s="120"/>
      <c r="KWY24" s="120"/>
      <c r="KWZ24" s="120"/>
      <c r="KXA24" s="120"/>
      <c r="KXB24" s="120"/>
      <c r="KXC24" s="120"/>
      <c r="KXD24" s="120"/>
      <c r="KXE24" s="120"/>
      <c r="KXF24" s="120"/>
      <c r="KXG24" s="120"/>
      <c r="KXH24" s="120"/>
      <c r="KXI24" s="120"/>
      <c r="KXJ24" s="120"/>
      <c r="KXK24" s="120"/>
      <c r="KXL24" s="120"/>
      <c r="KXM24" s="120"/>
      <c r="KXN24" s="120"/>
      <c r="KXO24" s="120"/>
      <c r="KXP24" s="120"/>
      <c r="KXQ24" s="120"/>
      <c r="KXR24" s="120"/>
      <c r="KXS24" s="120"/>
      <c r="KXT24" s="120"/>
      <c r="KXU24" s="120"/>
      <c r="KXV24" s="120"/>
      <c r="KXW24" s="120"/>
      <c r="KXX24" s="120"/>
      <c r="KXY24" s="120"/>
      <c r="KXZ24" s="120"/>
      <c r="KYA24" s="120"/>
      <c r="KYB24" s="120"/>
      <c r="KYC24" s="120"/>
      <c r="KYD24" s="120"/>
      <c r="KYE24" s="120"/>
      <c r="KYF24" s="120"/>
      <c r="KYG24" s="120"/>
      <c r="KYH24" s="120"/>
      <c r="KYI24" s="120"/>
      <c r="KYJ24" s="120"/>
      <c r="KYK24" s="120"/>
      <c r="KYL24" s="120"/>
      <c r="KYM24" s="120"/>
      <c r="KYN24" s="120"/>
      <c r="KYO24" s="120"/>
      <c r="KYP24" s="120"/>
      <c r="KYQ24" s="120"/>
      <c r="KYR24" s="120"/>
      <c r="KYS24" s="120"/>
      <c r="KYT24" s="120"/>
      <c r="KYU24" s="120"/>
      <c r="KYV24" s="120"/>
      <c r="KYW24" s="120"/>
      <c r="KYX24" s="120"/>
      <c r="KYY24" s="120"/>
      <c r="KYZ24" s="120"/>
      <c r="KZA24" s="120"/>
      <c r="KZB24" s="120"/>
      <c r="KZC24" s="120"/>
      <c r="KZD24" s="120"/>
      <c r="KZE24" s="120"/>
      <c r="KZF24" s="120"/>
      <c r="KZG24" s="120"/>
      <c r="KZH24" s="120"/>
      <c r="KZI24" s="120"/>
      <c r="KZJ24" s="120"/>
      <c r="KZK24" s="120"/>
      <c r="KZL24" s="120"/>
      <c r="KZM24" s="120"/>
      <c r="KZN24" s="120"/>
      <c r="KZO24" s="120"/>
      <c r="KZP24" s="120"/>
      <c r="KZQ24" s="120"/>
      <c r="KZR24" s="120"/>
      <c r="KZS24" s="120"/>
      <c r="KZT24" s="120"/>
      <c r="KZU24" s="120"/>
      <c r="KZV24" s="120"/>
      <c r="KZW24" s="120"/>
      <c r="KZX24" s="120"/>
      <c r="KZY24" s="120"/>
      <c r="KZZ24" s="120"/>
      <c r="LAA24" s="120"/>
      <c r="LAB24" s="120"/>
      <c r="LAC24" s="120"/>
      <c r="LAD24" s="120"/>
      <c r="LAE24" s="120"/>
      <c r="LAF24" s="120"/>
      <c r="LAG24" s="120"/>
      <c r="LAH24" s="120"/>
      <c r="LAI24" s="120"/>
      <c r="LAJ24" s="120"/>
      <c r="LAK24" s="120"/>
      <c r="LAL24" s="120"/>
      <c r="LAM24" s="120"/>
      <c r="LAN24" s="120"/>
      <c r="LAO24" s="120"/>
      <c r="LAP24" s="120"/>
      <c r="LAQ24" s="120"/>
      <c r="LAR24" s="120"/>
      <c r="LAS24" s="120"/>
      <c r="LAT24" s="120"/>
      <c r="LAU24" s="120"/>
      <c r="LAV24" s="120"/>
      <c r="LAW24" s="120"/>
      <c r="LAX24" s="120"/>
      <c r="LAY24" s="120"/>
      <c r="LAZ24" s="120"/>
      <c r="LBA24" s="120"/>
      <c r="LBB24" s="120"/>
      <c r="LBC24" s="120"/>
      <c r="LBD24" s="120"/>
      <c r="LBE24" s="120"/>
      <c r="LBF24" s="120"/>
      <c r="LBG24" s="120"/>
      <c r="LBH24" s="120"/>
      <c r="LBI24" s="120"/>
      <c r="LBJ24" s="120"/>
      <c r="LBK24" s="120"/>
      <c r="LBL24" s="120"/>
      <c r="LBM24" s="120"/>
      <c r="LBN24" s="120"/>
      <c r="LBO24" s="120"/>
      <c r="LBP24" s="120"/>
      <c r="LBQ24" s="120"/>
      <c r="LBR24" s="120"/>
      <c r="LBS24" s="120"/>
      <c r="LBT24" s="120"/>
      <c r="LBU24" s="120"/>
      <c r="LBV24" s="120"/>
      <c r="LBW24" s="120"/>
      <c r="LBX24" s="120"/>
      <c r="LBY24" s="120"/>
      <c r="LBZ24" s="120"/>
      <c r="LCA24" s="120"/>
      <c r="LCB24" s="120"/>
      <c r="LCC24" s="120"/>
      <c r="LCD24" s="120"/>
      <c r="LCE24" s="120"/>
      <c r="LCF24" s="120"/>
      <c r="LCG24" s="120"/>
      <c r="LCH24" s="120"/>
      <c r="LCI24" s="120"/>
      <c r="LCJ24" s="120"/>
      <c r="LCK24" s="120"/>
      <c r="LCL24" s="120"/>
      <c r="LCM24" s="120"/>
      <c r="LCN24" s="120"/>
      <c r="LCO24" s="120"/>
      <c r="LCP24" s="120"/>
      <c r="LCQ24" s="120"/>
      <c r="LCR24" s="120"/>
      <c r="LCS24" s="120"/>
      <c r="LCT24" s="120"/>
      <c r="LCU24" s="120"/>
      <c r="LCV24" s="120"/>
      <c r="LCW24" s="120"/>
      <c r="LCX24" s="120"/>
      <c r="LCY24" s="120"/>
      <c r="LCZ24" s="120"/>
      <c r="LDA24" s="120"/>
      <c r="LDB24" s="120"/>
      <c r="LDC24" s="120"/>
      <c r="LDD24" s="120"/>
      <c r="LDE24" s="120"/>
      <c r="LDF24" s="120"/>
      <c r="LDG24" s="120"/>
      <c r="LDH24" s="120"/>
      <c r="LDI24" s="120"/>
      <c r="LDJ24" s="120"/>
      <c r="LDK24" s="120"/>
      <c r="LDL24" s="120"/>
      <c r="LDM24" s="120"/>
      <c r="LDN24" s="120"/>
      <c r="LDO24" s="120"/>
      <c r="LDP24" s="120"/>
      <c r="LDQ24" s="120"/>
      <c r="LDR24" s="120"/>
      <c r="LDS24" s="120"/>
      <c r="LDT24" s="120"/>
      <c r="LDU24" s="120"/>
      <c r="LDV24" s="120"/>
      <c r="LDW24" s="120"/>
      <c r="LDX24" s="120"/>
      <c r="LDY24" s="120"/>
      <c r="LDZ24" s="120"/>
      <c r="LEA24" s="120"/>
      <c r="LEB24" s="120"/>
      <c r="LEC24" s="120"/>
      <c r="LED24" s="120"/>
      <c r="LEE24" s="120"/>
      <c r="LEF24" s="120"/>
      <c r="LEG24" s="120"/>
      <c r="LEH24" s="120"/>
      <c r="LEI24" s="120"/>
      <c r="LEJ24" s="120"/>
      <c r="LEK24" s="120"/>
      <c r="LEL24" s="120"/>
      <c r="LEM24" s="120"/>
      <c r="LEN24" s="120"/>
      <c r="LEO24" s="120"/>
      <c r="LEP24" s="120"/>
      <c r="LEQ24" s="120"/>
      <c r="LER24" s="120"/>
      <c r="LES24" s="120"/>
      <c r="LET24" s="120"/>
      <c r="LEU24" s="120"/>
      <c r="LEV24" s="120"/>
      <c r="LEW24" s="120"/>
      <c r="LEX24" s="120"/>
      <c r="LEY24" s="120"/>
      <c r="LEZ24" s="120"/>
      <c r="LFA24" s="120"/>
      <c r="LFB24" s="120"/>
      <c r="LFC24" s="120"/>
      <c r="LFD24" s="120"/>
      <c r="LFE24" s="120"/>
      <c r="LFF24" s="120"/>
      <c r="LFG24" s="120"/>
      <c r="LFH24" s="120"/>
      <c r="LFI24" s="120"/>
      <c r="LFJ24" s="120"/>
      <c r="LFK24" s="120"/>
      <c r="LFL24" s="120"/>
      <c r="LFM24" s="120"/>
      <c r="LFN24" s="120"/>
      <c r="LFO24" s="120"/>
      <c r="LFP24" s="120"/>
      <c r="LFQ24" s="120"/>
      <c r="LFR24" s="120"/>
      <c r="LFS24" s="120"/>
      <c r="LFT24" s="120"/>
      <c r="LFU24" s="120"/>
      <c r="LFV24" s="120"/>
      <c r="LFW24" s="120"/>
      <c r="LFX24" s="120"/>
      <c r="LFY24" s="120"/>
      <c r="LFZ24" s="120"/>
      <c r="LGA24" s="120"/>
      <c r="LGB24" s="120"/>
      <c r="LGC24" s="120"/>
      <c r="LGD24" s="120"/>
      <c r="LGE24" s="120"/>
      <c r="LGF24" s="120"/>
      <c r="LGG24" s="120"/>
      <c r="LGH24" s="120"/>
      <c r="LGI24" s="120"/>
      <c r="LGJ24" s="120"/>
      <c r="LGK24" s="120"/>
      <c r="LGL24" s="120"/>
      <c r="LGM24" s="120"/>
      <c r="LGN24" s="120"/>
      <c r="LGO24" s="120"/>
      <c r="LGP24" s="120"/>
      <c r="LGQ24" s="120"/>
      <c r="LGR24" s="120"/>
      <c r="LGS24" s="120"/>
      <c r="LGT24" s="120"/>
      <c r="LGU24" s="120"/>
      <c r="LGV24" s="120"/>
      <c r="LGW24" s="120"/>
      <c r="LGX24" s="120"/>
      <c r="LGY24" s="120"/>
      <c r="LGZ24" s="120"/>
      <c r="LHA24" s="120"/>
      <c r="LHB24" s="120"/>
      <c r="LHC24" s="120"/>
      <c r="LHD24" s="120"/>
      <c r="LHE24" s="120"/>
      <c r="LHF24" s="120"/>
      <c r="LHG24" s="120"/>
      <c r="LHH24" s="120"/>
      <c r="LHI24" s="120"/>
      <c r="LHJ24" s="120"/>
      <c r="LHK24" s="120"/>
      <c r="LHL24" s="120"/>
      <c r="LHM24" s="120"/>
      <c r="LHN24" s="120"/>
      <c r="LHO24" s="120"/>
      <c r="LHP24" s="120"/>
      <c r="LHQ24" s="120"/>
      <c r="LHR24" s="120"/>
      <c r="LHS24" s="120"/>
      <c r="LHT24" s="120"/>
      <c r="LHU24" s="120"/>
      <c r="LHV24" s="120"/>
      <c r="LHW24" s="120"/>
      <c r="LHX24" s="120"/>
      <c r="LHY24" s="120"/>
      <c r="LHZ24" s="120"/>
      <c r="LIA24" s="120"/>
      <c r="LIB24" s="120"/>
      <c r="LIC24" s="120"/>
      <c r="LID24" s="120"/>
      <c r="LIE24" s="120"/>
      <c r="LIF24" s="120"/>
      <c r="LIG24" s="120"/>
      <c r="LIH24" s="120"/>
      <c r="LII24" s="120"/>
      <c r="LIJ24" s="120"/>
      <c r="LIK24" s="120"/>
      <c r="LIL24" s="120"/>
      <c r="LIM24" s="120"/>
      <c r="LIN24" s="120"/>
      <c r="LIO24" s="120"/>
      <c r="LIP24" s="120"/>
      <c r="LIQ24" s="120"/>
      <c r="LIR24" s="120"/>
      <c r="LIS24" s="120"/>
      <c r="LIT24" s="120"/>
      <c r="LIU24" s="120"/>
      <c r="LIV24" s="120"/>
      <c r="LIW24" s="120"/>
      <c r="LIX24" s="120"/>
      <c r="LIY24" s="120"/>
      <c r="LIZ24" s="120"/>
      <c r="LJA24" s="120"/>
      <c r="LJB24" s="120"/>
      <c r="LJC24" s="120"/>
      <c r="LJD24" s="120"/>
      <c r="LJE24" s="120"/>
      <c r="LJF24" s="120"/>
      <c r="LJG24" s="120"/>
      <c r="LJH24" s="120"/>
      <c r="LJI24" s="120"/>
      <c r="LJJ24" s="120"/>
      <c r="LJK24" s="120"/>
      <c r="LJL24" s="120"/>
      <c r="LJM24" s="120"/>
      <c r="LJN24" s="120"/>
      <c r="LJO24" s="120"/>
      <c r="LJP24" s="120"/>
      <c r="LJQ24" s="120"/>
      <c r="LJR24" s="120"/>
      <c r="LJS24" s="120"/>
      <c r="LJT24" s="120"/>
      <c r="LJU24" s="120"/>
      <c r="LJV24" s="120"/>
      <c r="LJW24" s="120"/>
      <c r="LJX24" s="120"/>
      <c r="LJY24" s="120"/>
      <c r="LJZ24" s="120"/>
      <c r="LKA24" s="120"/>
      <c r="LKB24" s="120"/>
      <c r="LKC24" s="120"/>
      <c r="LKD24" s="120"/>
      <c r="LKE24" s="120"/>
      <c r="LKF24" s="120"/>
      <c r="LKG24" s="120"/>
      <c r="LKH24" s="120"/>
      <c r="LKI24" s="120"/>
      <c r="LKJ24" s="120"/>
      <c r="LKK24" s="120"/>
      <c r="LKL24" s="120"/>
      <c r="LKM24" s="120"/>
      <c r="LKN24" s="120"/>
      <c r="LKO24" s="120"/>
      <c r="LKP24" s="120"/>
      <c r="LKQ24" s="120"/>
      <c r="LKR24" s="120"/>
      <c r="LKS24" s="120"/>
      <c r="LKT24" s="120"/>
      <c r="LKU24" s="120"/>
      <c r="LKV24" s="120"/>
      <c r="LKW24" s="120"/>
      <c r="LKX24" s="120"/>
      <c r="LKY24" s="120"/>
      <c r="LKZ24" s="120"/>
      <c r="LLA24" s="120"/>
      <c r="LLB24" s="120"/>
      <c r="LLC24" s="120"/>
      <c r="LLD24" s="120"/>
      <c r="LLE24" s="120"/>
      <c r="LLF24" s="120"/>
      <c r="LLG24" s="120"/>
      <c r="LLH24" s="120"/>
      <c r="LLI24" s="120"/>
      <c r="LLJ24" s="120"/>
      <c r="LLK24" s="120"/>
      <c r="LLL24" s="120"/>
      <c r="LLM24" s="120"/>
      <c r="LLN24" s="120"/>
      <c r="LLO24" s="120"/>
      <c r="LLP24" s="120"/>
      <c r="LLQ24" s="120"/>
      <c r="LLR24" s="120"/>
      <c r="LLS24" s="120"/>
      <c r="LLT24" s="120"/>
      <c r="LLU24" s="120"/>
      <c r="LLV24" s="120"/>
      <c r="LLW24" s="120"/>
      <c r="LLX24" s="120"/>
      <c r="LLY24" s="120"/>
      <c r="LLZ24" s="120"/>
      <c r="LMA24" s="120"/>
      <c r="LMB24" s="120"/>
      <c r="LMC24" s="120"/>
      <c r="LMD24" s="120"/>
      <c r="LME24" s="120"/>
      <c r="LMF24" s="120"/>
      <c r="LMG24" s="120"/>
      <c r="LMH24" s="120"/>
      <c r="LMI24" s="120"/>
      <c r="LMJ24" s="120"/>
      <c r="LMK24" s="120"/>
      <c r="LML24" s="120"/>
      <c r="LMM24" s="120"/>
      <c r="LMN24" s="120"/>
      <c r="LMO24" s="120"/>
      <c r="LMP24" s="120"/>
      <c r="LMQ24" s="120"/>
      <c r="LMR24" s="120"/>
      <c r="LMS24" s="120"/>
      <c r="LMT24" s="120"/>
      <c r="LMU24" s="120"/>
      <c r="LMV24" s="120"/>
      <c r="LMW24" s="120"/>
      <c r="LMX24" s="120"/>
      <c r="LMY24" s="120"/>
      <c r="LMZ24" s="120"/>
      <c r="LNA24" s="120"/>
      <c r="LNB24" s="120"/>
      <c r="LNC24" s="120"/>
      <c r="LND24" s="120"/>
      <c r="LNE24" s="120"/>
      <c r="LNF24" s="120"/>
      <c r="LNG24" s="120"/>
      <c r="LNH24" s="120"/>
      <c r="LNI24" s="120"/>
      <c r="LNJ24" s="120"/>
      <c r="LNK24" s="120"/>
      <c r="LNL24" s="120"/>
      <c r="LNM24" s="120"/>
      <c r="LNN24" s="120"/>
      <c r="LNO24" s="120"/>
      <c r="LNP24" s="120"/>
      <c r="LNQ24" s="120"/>
      <c r="LNR24" s="120"/>
      <c r="LNS24" s="120"/>
      <c r="LNT24" s="120"/>
      <c r="LNU24" s="120"/>
      <c r="LNV24" s="120"/>
      <c r="LNW24" s="120"/>
      <c r="LNX24" s="120"/>
      <c r="LNY24" s="120"/>
      <c r="LNZ24" s="120"/>
      <c r="LOA24" s="120"/>
      <c r="LOB24" s="120"/>
      <c r="LOC24" s="120"/>
      <c r="LOD24" s="120"/>
      <c r="LOE24" s="120"/>
      <c r="LOF24" s="120"/>
      <c r="LOG24" s="120"/>
      <c r="LOH24" s="120"/>
      <c r="LOI24" s="120"/>
      <c r="LOJ24" s="120"/>
      <c r="LOK24" s="120"/>
      <c r="LOL24" s="120"/>
      <c r="LOM24" s="120"/>
      <c r="LON24" s="120"/>
      <c r="LOO24" s="120"/>
      <c r="LOP24" s="120"/>
      <c r="LOQ24" s="120"/>
      <c r="LOR24" s="120"/>
      <c r="LOS24" s="120"/>
      <c r="LOT24" s="120"/>
      <c r="LOU24" s="120"/>
      <c r="LOV24" s="120"/>
      <c r="LOW24" s="120"/>
      <c r="LOX24" s="120"/>
      <c r="LOY24" s="120"/>
      <c r="LOZ24" s="120"/>
      <c r="LPA24" s="120"/>
      <c r="LPB24" s="120"/>
      <c r="LPC24" s="120"/>
      <c r="LPD24" s="120"/>
      <c r="LPE24" s="120"/>
      <c r="LPF24" s="120"/>
      <c r="LPG24" s="120"/>
      <c r="LPH24" s="120"/>
      <c r="LPI24" s="120"/>
      <c r="LPJ24" s="120"/>
      <c r="LPK24" s="120"/>
      <c r="LPL24" s="120"/>
      <c r="LPM24" s="120"/>
      <c r="LPN24" s="120"/>
      <c r="LPO24" s="120"/>
      <c r="LPP24" s="120"/>
      <c r="LPQ24" s="120"/>
      <c r="LPR24" s="120"/>
      <c r="LPS24" s="120"/>
      <c r="LPT24" s="120"/>
      <c r="LPU24" s="120"/>
      <c r="LPV24" s="120"/>
      <c r="LPW24" s="120"/>
      <c r="LPX24" s="120"/>
      <c r="LPY24" s="120"/>
      <c r="LPZ24" s="120"/>
      <c r="LQA24" s="120"/>
      <c r="LQB24" s="120"/>
      <c r="LQC24" s="120"/>
      <c r="LQD24" s="120"/>
      <c r="LQE24" s="120"/>
      <c r="LQF24" s="120"/>
      <c r="LQG24" s="120"/>
      <c r="LQH24" s="120"/>
      <c r="LQI24" s="120"/>
      <c r="LQJ24" s="120"/>
      <c r="LQK24" s="120"/>
      <c r="LQL24" s="120"/>
      <c r="LQM24" s="120"/>
      <c r="LQN24" s="120"/>
      <c r="LQO24" s="120"/>
      <c r="LQP24" s="120"/>
      <c r="LQQ24" s="120"/>
      <c r="LQR24" s="120"/>
      <c r="LQS24" s="120"/>
      <c r="LQT24" s="120"/>
      <c r="LQU24" s="120"/>
      <c r="LQV24" s="120"/>
      <c r="LQW24" s="120"/>
      <c r="LQX24" s="120"/>
      <c r="LQY24" s="120"/>
      <c r="LQZ24" s="120"/>
      <c r="LRA24" s="120"/>
      <c r="LRB24" s="120"/>
      <c r="LRC24" s="120"/>
      <c r="LRD24" s="120"/>
      <c r="LRE24" s="120"/>
      <c r="LRF24" s="120"/>
      <c r="LRG24" s="120"/>
      <c r="LRH24" s="120"/>
      <c r="LRI24" s="120"/>
      <c r="LRJ24" s="120"/>
      <c r="LRK24" s="120"/>
      <c r="LRL24" s="120"/>
      <c r="LRM24" s="120"/>
      <c r="LRN24" s="120"/>
      <c r="LRO24" s="120"/>
      <c r="LRP24" s="120"/>
      <c r="LRQ24" s="120"/>
      <c r="LRR24" s="120"/>
      <c r="LRS24" s="120"/>
      <c r="LRT24" s="120"/>
      <c r="LRU24" s="120"/>
      <c r="LRV24" s="120"/>
      <c r="LRW24" s="120"/>
      <c r="LRX24" s="120"/>
      <c r="LRY24" s="120"/>
      <c r="LRZ24" s="120"/>
      <c r="LSA24" s="120"/>
      <c r="LSB24" s="120"/>
      <c r="LSC24" s="120"/>
      <c r="LSD24" s="120"/>
      <c r="LSE24" s="120"/>
      <c r="LSF24" s="120"/>
      <c r="LSG24" s="120"/>
      <c r="LSH24" s="120"/>
      <c r="LSI24" s="120"/>
      <c r="LSJ24" s="120"/>
      <c r="LSK24" s="120"/>
      <c r="LSL24" s="120"/>
      <c r="LSM24" s="120"/>
      <c r="LSN24" s="120"/>
      <c r="LSO24" s="120"/>
      <c r="LSP24" s="120"/>
      <c r="LSQ24" s="120"/>
      <c r="LSR24" s="120"/>
      <c r="LSS24" s="120"/>
      <c r="LST24" s="120"/>
      <c r="LSU24" s="120"/>
      <c r="LSV24" s="120"/>
      <c r="LSW24" s="120"/>
      <c r="LSX24" s="120"/>
      <c r="LSY24" s="120"/>
      <c r="LSZ24" s="120"/>
      <c r="LTA24" s="120"/>
      <c r="LTB24" s="120"/>
      <c r="LTC24" s="120"/>
      <c r="LTD24" s="120"/>
      <c r="LTE24" s="120"/>
      <c r="LTF24" s="120"/>
      <c r="LTG24" s="120"/>
      <c r="LTH24" s="120"/>
      <c r="LTI24" s="120"/>
      <c r="LTJ24" s="120"/>
      <c r="LTK24" s="120"/>
      <c r="LTL24" s="120"/>
      <c r="LTM24" s="120"/>
      <c r="LTN24" s="120"/>
      <c r="LTO24" s="120"/>
      <c r="LTP24" s="120"/>
      <c r="LTQ24" s="120"/>
      <c r="LTR24" s="120"/>
      <c r="LTS24" s="120"/>
      <c r="LTT24" s="120"/>
      <c r="LTU24" s="120"/>
      <c r="LTV24" s="120"/>
      <c r="LTW24" s="120"/>
      <c r="LTX24" s="120"/>
      <c r="LTY24" s="120"/>
      <c r="LTZ24" s="120"/>
      <c r="LUA24" s="120"/>
      <c r="LUB24" s="120"/>
      <c r="LUC24" s="120"/>
      <c r="LUD24" s="120"/>
      <c r="LUE24" s="120"/>
      <c r="LUF24" s="120"/>
      <c r="LUG24" s="120"/>
      <c r="LUH24" s="120"/>
      <c r="LUI24" s="120"/>
      <c r="LUJ24" s="120"/>
      <c r="LUK24" s="120"/>
      <c r="LUL24" s="120"/>
      <c r="LUM24" s="120"/>
      <c r="LUN24" s="120"/>
      <c r="LUO24" s="120"/>
      <c r="LUP24" s="120"/>
      <c r="LUQ24" s="120"/>
      <c r="LUR24" s="120"/>
      <c r="LUS24" s="120"/>
      <c r="LUT24" s="120"/>
      <c r="LUU24" s="120"/>
      <c r="LUV24" s="120"/>
      <c r="LUW24" s="120"/>
      <c r="LUX24" s="120"/>
      <c r="LUY24" s="120"/>
      <c r="LUZ24" s="120"/>
      <c r="LVA24" s="120"/>
      <c r="LVB24" s="120"/>
      <c r="LVC24" s="120"/>
      <c r="LVD24" s="120"/>
      <c r="LVE24" s="120"/>
      <c r="LVF24" s="120"/>
      <c r="LVG24" s="120"/>
      <c r="LVH24" s="120"/>
      <c r="LVI24" s="120"/>
      <c r="LVJ24" s="120"/>
      <c r="LVK24" s="120"/>
      <c r="LVL24" s="120"/>
      <c r="LVM24" s="120"/>
      <c r="LVN24" s="120"/>
      <c r="LVO24" s="120"/>
      <c r="LVP24" s="120"/>
      <c r="LVQ24" s="120"/>
      <c r="LVR24" s="120"/>
      <c r="LVS24" s="120"/>
      <c r="LVT24" s="120"/>
      <c r="LVU24" s="120"/>
      <c r="LVV24" s="120"/>
      <c r="LVW24" s="120"/>
      <c r="LVX24" s="120"/>
      <c r="LVY24" s="120"/>
      <c r="LVZ24" s="120"/>
      <c r="LWA24" s="120"/>
      <c r="LWB24" s="120"/>
      <c r="LWC24" s="120"/>
      <c r="LWD24" s="120"/>
      <c r="LWE24" s="120"/>
      <c r="LWF24" s="120"/>
      <c r="LWG24" s="120"/>
      <c r="LWH24" s="120"/>
      <c r="LWI24" s="120"/>
      <c r="LWJ24" s="120"/>
      <c r="LWK24" s="120"/>
      <c r="LWL24" s="120"/>
      <c r="LWM24" s="120"/>
      <c r="LWN24" s="120"/>
      <c r="LWO24" s="120"/>
      <c r="LWP24" s="120"/>
      <c r="LWQ24" s="120"/>
      <c r="LWR24" s="120"/>
      <c r="LWS24" s="120"/>
      <c r="LWT24" s="120"/>
      <c r="LWU24" s="120"/>
      <c r="LWV24" s="120"/>
      <c r="LWW24" s="120"/>
      <c r="LWX24" s="120"/>
      <c r="LWY24" s="120"/>
      <c r="LWZ24" s="120"/>
      <c r="LXA24" s="120"/>
      <c r="LXB24" s="120"/>
      <c r="LXC24" s="120"/>
      <c r="LXD24" s="120"/>
      <c r="LXE24" s="120"/>
      <c r="LXF24" s="120"/>
      <c r="LXG24" s="120"/>
      <c r="LXH24" s="120"/>
      <c r="LXI24" s="120"/>
      <c r="LXJ24" s="120"/>
      <c r="LXK24" s="120"/>
      <c r="LXL24" s="120"/>
      <c r="LXM24" s="120"/>
      <c r="LXN24" s="120"/>
      <c r="LXO24" s="120"/>
      <c r="LXP24" s="120"/>
      <c r="LXQ24" s="120"/>
      <c r="LXR24" s="120"/>
      <c r="LXS24" s="120"/>
      <c r="LXT24" s="120"/>
      <c r="LXU24" s="120"/>
      <c r="LXV24" s="120"/>
      <c r="LXW24" s="120"/>
      <c r="LXX24" s="120"/>
      <c r="LXY24" s="120"/>
      <c r="LXZ24" s="120"/>
      <c r="LYA24" s="120"/>
      <c r="LYB24" s="120"/>
      <c r="LYC24" s="120"/>
      <c r="LYD24" s="120"/>
      <c r="LYE24" s="120"/>
      <c r="LYF24" s="120"/>
      <c r="LYG24" s="120"/>
      <c r="LYH24" s="120"/>
      <c r="LYI24" s="120"/>
      <c r="LYJ24" s="120"/>
      <c r="LYK24" s="120"/>
      <c r="LYL24" s="120"/>
      <c r="LYM24" s="120"/>
      <c r="LYN24" s="120"/>
      <c r="LYO24" s="120"/>
      <c r="LYP24" s="120"/>
      <c r="LYQ24" s="120"/>
      <c r="LYR24" s="120"/>
      <c r="LYS24" s="120"/>
      <c r="LYT24" s="120"/>
      <c r="LYU24" s="120"/>
      <c r="LYV24" s="120"/>
      <c r="LYW24" s="120"/>
      <c r="LYX24" s="120"/>
      <c r="LYY24" s="120"/>
      <c r="LYZ24" s="120"/>
      <c r="LZA24" s="120"/>
      <c r="LZB24" s="120"/>
      <c r="LZC24" s="120"/>
      <c r="LZD24" s="120"/>
      <c r="LZE24" s="120"/>
      <c r="LZF24" s="120"/>
      <c r="LZG24" s="120"/>
      <c r="LZH24" s="120"/>
      <c r="LZI24" s="120"/>
      <c r="LZJ24" s="120"/>
      <c r="LZK24" s="120"/>
      <c r="LZL24" s="120"/>
      <c r="LZM24" s="120"/>
      <c r="LZN24" s="120"/>
      <c r="LZO24" s="120"/>
      <c r="LZP24" s="120"/>
      <c r="LZQ24" s="120"/>
      <c r="LZR24" s="120"/>
      <c r="LZS24" s="120"/>
      <c r="LZT24" s="120"/>
      <c r="LZU24" s="120"/>
      <c r="LZV24" s="120"/>
      <c r="LZW24" s="120"/>
      <c r="LZX24" s="120"/>
      <c r="LZY24" s="120"/>
      <c r="LZZ24" s="120"/>
      <c r="MAA24" s="120"/>
      <c r="MAB24" s="120"/>
      <c r="MAC24" s="120"/>
      <c r="MAD24" s="120"/>
      <c r="MAE24" s="120"/>
      <c r="MAF24" s="120"/>
      <c r="MAG24" s="120"/>
      <c r="MAH24" s="120"/>
      <c r="MAI24" s="120"/>
      <c r="MAJ24" s="120"/>
      <c r="MAK24" s="120"/>
      <c r="MAL24" s="120"/>
      <c r="MAM24" s="120"/>
      <c r="MAN24" s="120"/>
      <c r="MAO24" s="120"/>
      <c r="MAP24" s="120"/>
      <c r="MAQ24" s="120"/>
      <c r="MAR24" s="120"/>
      <c r="MAS24" s="120"/>
      <c r="MAT24" s="120"/>
      <c r="MAU24" s="120"/>
      <c r="MAV24" s="120"/>
      <c r="MAW24" s="120"/>
      <c r="MAX24" s="120"/>
      <c r="MAY24" s="120"/>
      <c r="MAZ24" s="120"/>
      <c r="MBA24" s="120"/>
      <c r="MBB24" s="120"/>
      <c r="MBC24" s="120"/>
      <c r="MBD24" s="120"/>
      <c r="MBE24" s="120"/>
      <c r="MBF24" s="120"/>
      <c r="MBG24" s="120"/>
      <c r="MBH24" s="120"/>
      <c r="MBI24" s="120"/>
      <c r="MBJ24" s="120"/>
      <c r="MBK24" s="120"/>
      <c r="MBL24" s="120"/>
      <c r="MBM24" s="120"/>
      <c r="MBN24" s="120"/>
      <c r="MBO24" s="120"/>
      <c r="MBP24" s="120"/>
      <c r="MBQ24" s="120"/>
      <c r="MBR24" s="120"/>
      <c r="MBS24" s="120"/>
      <c r="MBT24" s="120"/>
      <c r="MBU24" s="120"/>
      <c r="MBV24" s="120"/>
      <c r="MBW24" s="120"/>
      <c r="MBX24" s="120"/>
      <c r="MBY24" s="120"/>
      <c r="MBZ24" s="120"/>
      <c r="MCA24" s="120"/>
      <c r="MCB24" s="120"/>
      <c r="MCC24" s="120"/>
      <c r="MCD24" s="120"/>
      <c r="MCE24" s="120"/>
      <c r="MCF24" s="120"/>
      <c r="MCG24" s="120"/>
      <c r="MCH24" s="120"/>
      <c r="MCI24" s="120"/>
      <c r="MCJ24" s="120"/>
      <c r="MCK24" s="120"/>
      <c r="MCL24" s="120"/>
      <c r="MCM24" s="120"/>
      <c r="MCN24" s="120"/>
      <c r="MCO24" s="120"/>
      <c r="MCP24" s="120"/>
      <c r="MCQ24" s="120"/>
      <c r="MCR24" s="120"/>
      <c r="MCS24" s="120"/>
      <c r="MCT24" s="120"/>
      <c r="MCU24" s="120"/>
      <c r="MCV24" s="120"/>
      <c r="MCW24" s="120"/>
      <c r="MCX24" s="120"/>
      <c r="MCY24" s="120"/>
      <c r="MCZ24" s="120"/>
      <c r="MDA24" s="120"/>
      <c r="MDB24" s="120"/>
      <c r="MDC24" s="120"/>
      <c r="MDD24" s="120"/>
      <c r="MDE24" s="120"/>
      <c r="MDF24" s="120"/>
      <c r="MDG24" s="120"/>
      <c r="MDH24" s="120"/>
      <c r="MDI24" s="120"/>
      <c r="MDJ24" s="120"/>
      <c r="MDK24" s="120"/>
      <c r="MDL24" s="120"/>
      <c r="MDM24" s="120"/>
      <c r="MDN24" s="120"/>
      <c r="MDO24" s="120"/>
      <c r="MDP24" s="120"/>
      <c r="MDQ24" s="120"/>
      <c r="MDR24" s="120"/>
      <c r="MDS24" s="120"/>
      <c r="MDT24" s="120"/>
      <c r="MDU24" s="120"/>
      <c r="MDV24" s="120"/>
      <c r="MDW24" s="120"/>
      <c r="MDX24" s="120"/>
      <c r="MDY24" s="120"/>
      <c r="MDZ24" s="120"/>
      <c r="MEA24" s="120"/>
      <c r="MEB24" s="120"/>
      <c r="MEC24" s="120"/>
      <c r="MED24" s="120"/>
      <c r="MEE24" s="120"/>
      <c r="MEF24" s="120"/>
      <c r="MEG24" s="120"/>
      <c r="MEH24" s="120"/>
      <c r="MEI24" s="120"/>
      <c r="MEJ24" s="120"/>
      <c r="MEK24" s="120"/>
      <c r="MEL24" s="120"/>
      <c r="MEM24" s="120"/>
      <c r="MEN24" s="120"/>
      <c r="MEO24" s="120"/>
      <c r="MEP24" s="120"/>
      <c r="MEQ24" s="120"/>
      <c r="MER24" s="120"/>
      <c r="MES24" s="120"/>
      <c r="MET24" s="120"/>
      <c r="MEU24" s="120"/>
      <c r="MEV24" s="120"/>
      <c r="MEW24" s="120"/>
      <c r="MEX24" s="120"/>
      <c r="MEY24" s="120"/>
      <c r="MEZ24" s="120"/>
      <c r="MFA24" s="120"/>
      <c r="MFB24" s="120"/>
      <c r="MFC24" s="120"/>
      <c r="MFD24" s="120"/>
      <c r="MFE24" s="120"/>
      <c r="MFF24" s="120"/>
      <c r="MFG24" s="120"/>
      <c r="MFH24" s="120"/>
      <c r="MFI24" s="120"/>
      <c r="MFJ24" s="120"/>
      <c r="MFK24" s="120"/>
      <c r="MFL24" s="120"/>
      <c r="MFM24" s="120"/>
      <c r="MFN24" s="120"/>
      <c r="MFO24" s="120"/>
      <c r="MFP24" s="120"/>
      <c r="MFQ24" s="120"/>
      <c r="MFR24" s="120"/>
      <c r="MFS24" s="120"/>
      <c r="MFT24" s="120"/>
      <c r="MFU24" s="120"/>
      <c r="MFV24" s="120"/>
      <c r="MFW24" s="120"/>
      <c r="MFX24" s="120"/>
      <c r="MFY24" s="120"/>
      <c r="MFZ24" s="120"/>
      <c r="MGA24" s="120"/>
      <c r="MGB24" s="120"/>
      <c r="MGC24" s="120"/>
      <c r="MGD24" s="120"/>
      <c r="MGE24" s="120"/>
      <c r="MGF24" s="120"/>
      <c r="MGG24" s="120"/>
      <c r="MGH24" s="120"/>
      <c r="MGI24" s="120"/>
      <c r="MGJ24" s="120"/>
      <c r="MGK24" s="120"/>
      <c r="MGL24" s="120"/>
      <c r="MGM24" s="120"/>
      <c r="MGN24" s="120"/>
      <c r="MGO24" s="120"/>
      <c r="MGP24" s="120"/>
      <c r="MGQ24" s="120"/>
      <c r="MGR24" s="120"/>
      <c r="MGS24" s="120"/>
      <c r="MGT24" s="120"/>
      <c r="MGU24" s="120"/>
      <c r="MGV24" s="120"/>
      <c r="MGW24" s="120"/>
      <c r="MGX24" s="120"/>
      <c r="MGY24" s="120"/>
      <c r="MGZ24" s="120"/>
      <c r="MHA24" s="120"/>
      <c r="MHB24" s="120"/>
      <c r="MHC24" s="120"/>
      <c r="MHD24" s="120"/>
      <c r="MHE24" s="120"/>
      <c r="MHF24" s="120"/>
      <c r="MHG24" s="120"/>
      <c r="MHH24" s="120"/>
      <c r="MHI24" s="120"/>
      <c r="MHJ24" s="120"/>
      <c r="MHK24" s="120"/>
      <c r="MHL24" s="120"/>
      <c r="MHM24" s="120"/>
      <c r="MHN24" s="120"/>
      <c r="MHO24" s="120"/>
      <c r="MHP24" s="120"/>
      <c r="MHQ24" s="120"/>
      <c r="MHR24" s="120"/>
      <c r="MHS24" s="120"/>
      <c r="MHT24" s="120"/>
      <c r="MHU24" s="120"/>
      <c r="MHV24" s="120"/>
      <c r="MHW24" s="120"/>
      <c r="MHX24" s="120"/>
      <c r="MHY24" s="120"/>
      <c r="MHZ24" s="120"/>
      <c r="MIA24" s="120"/>
      <c r="MIB24" s="120"/>
      <c r="MIC24" s="120"/>
      <c r="MID24" s="120"/>
      <c r="MIE24" s="120"/>
      <c r="MIF24" s="120"/>
      <c r="MIG24" s="120"/>
      <c r="MIH24" s="120"/>
      <c r="MII24" s="120"/>
      <c r="MIJ24" s="120"/>
      <c r="MIK24" s="120"/>
      <c r="MIL24" s="120"/>
      <c r="MIM24" s="120"/>
      <c r="MIN24" s="120"/>
      <c r="MIO24" s="120"/>
      <c r="MIP24" s="120"/>
      <c r="MIQ24" s="120"/>
      <c r="MIR24" s="120"/>
      <c r="MIS24" s="120"/>
      <c r="MIT24" s="120"/>
      <c r="MIU24" s="120"/>
      <c r="MIV24" s="120"/>
      <c r="MIW24" s="120"/>
      <c r="MIX24" s="120"/>
      <c r="MIY24" s="120"/>
      <c r="MIZ24" s="120"/>
      <c r="MJA24" s="120"/>
      <c r="MJB24" s="120"/>
      <c r="MJC24" s="120"/>
      <c r="MJD24" s="120"/>
      <c r="MJE24" s="120"/>
      <c r="MJF24" s="120"/>
      <c r="MJG24" s="120"/>
      <c r="MJH24" s="120"/>
      <c r="MJI24" s="120"/>
      <c r="MJJ24" s="120"/>
      <c r="MJK24" s="120"/>
      <c r="MJL24" s="120"/>
      <c r="MJM24" s="120"/>
      <c r="MJN24" s="120"/>
      <c r="MJO24" s="120"/>
      <c r="MJP24" s="120"/>
      <c r="MJQ24" s="120"/>
      <c r="MJR24" s="120"/>
      <c r="MJS24" s="120"/>
      <c r="MJT24" s="120"/>
      <c r="MJU24" s="120"/>
      <c r="MJV24" s="120"/>
      <c r="MJW24" s="120"/>
      <c r="MJX24" s="120"/>
      <c r="MJY24" s="120"/>
      <c r="MJZ24" s="120"/>
      <c r="MKA24" s="120"/>
      <c r="MKB24" s="120"/>
      <c r="MKC24" s="120"/>
      <c r="MKD24" s="120"/>
      <c r="MKE24" s="120"/>
      <c r="MKF24" s="120"/>
      <c r="MKG24" s="120"/>
      <c r="MKH24" s="120"/>
      <c r="MKI24" s="120"/>
      <c r="MKJ24" s="120"/>
      <c r="MKK24" s="120"/>
      <c r="MKL24" s="120"/>
      <c r="MKM24" s="120"/>
      <c r="MKN24" s="120"/>
      <c r="MKO24" s="120"/>
      <c r="MKP24" s="120"/>
      <c r="MKQ24" s="120"/>
      <c r="MKR24" s="120"/>
      <c r="MKS24" s="120"/>
      <c r="MKT24" s="120"/>
      <c r="MKU24" s="120"/>
      <c r="MKV24" s="120"/>
      <c r="MKW24" s="120"/>
      <c r="MKX24" s="120"/>
      <c r="MKY24" s="120"/>
      <c r="MKZ24" s="120"/>
      <c r="MLA24" s="120"/>
      <c r="MLB24" s="120"/>
      <c r="MLC24" s="120"/>
      <c r="MLD24" s="120"/>
      <c r="MLE24" s="120"/>
      <c r="MLF24" s="120"/>
      <c r="MLG24" s="120"/>
      <c r="MLH24" s="120"/>
      <c r="MLI24" s="120"/>
      <c r="MLJ24" s="120"/>
      <c r="MLK24" s="120"/>
      <c r="MLL24" s="120"/>
      <c r="MLM24" s="120"/>
      <c r="MLN24" s="120"/>
      <c r="MLO24" s="120"/>
      <c r="MLP24" s="120"/>
      <c r="MLQ24" s="120"/>
      <c r="MLR24" s="120"/>
      <c r="MLS24" s="120"/>
      <c r="MLT24" s="120"/>
      <c r="MLU24" s="120"/>
      <c r="MLV24" s="120"/>
      <c r="MLW24" s="120"/>
      <c r="MLX24" s="120"/>
      <c r="MLY24" s="120"/>
      <c r="MLZ24" s="120"/>
      <c r="MMA24" s="120"/>
      <c r="MMB24" s="120"/>
      <c r="MMC24" s="120"/>
      <c r="MMD24" s="120"/>
      <c r="MME24" s="120"/>
      <c r="MMF24" s="120"/>
      <c r="MMG24" s="120"/>
      <c r="MMH24" s="120"/>
      <c r="MMI24" s="120"/>
      <c r="MMJ24" s="120"/>
      <c r="MMK24" s="120"/>
      <c r="MML24" s="120"/>
      <c r="MMM24" s="120"/>
      <c r="MMN24" s="120"/>
      <c r="MMO24" s="120"/>
      <c r="MMP24" s="120"/>
      <c r="MMQ24" s="120"/>
      <c r="MMR24" s="120"/>
      <c r="MMS24" s="120"/>
      <c r="MMT24" s="120"/>
      <c r="MMU24" s="120"/>
      <c r="MMV24" s="120"/>
      <c r="MMW24" s="120"/>
      <c r="MMX24" s="120"/>
      <c r="MMY24" s="120"/>
      <c r="MMZ24" s="120"/>
      <c r="MNA24" s="120"/>
      <c r="MNB24" s="120"/>
      <c r="MNC24" s="120"/>
      <c r="MND24" s="120"/>
      <c r="MNE24" s="120"/>
      <c r="MNF24" s="120"/>
      <c r="MNG24" s="120"/>
      <c r="MNH24" s="120"/>
      <c r="MNI24" s="120"/>
      <c r="MNJ24" s="120"/>
      <c r="MNK24" s="120"/>
      <c r="MNL24" s="120"/>
      <c r="MNM24" s="120"/>
      <c r="MNN24" s="120"/>
      <c r="MNO24" s="120"/>
      <c r="MNP24" s="120"/>
      <c r="MNQ24" s="120"/>
      <c r="MNR24" s="120"/>
      <c r="MNS24" s="120"/>
      <c r="MNT24" s="120"/>
      <c r="MNU24" s="120"/>
      <c r="MNV24" s="120"/>
      <c r="MNW24" s="120"/>
      <c r="MNX24" s="120"/>
      <c r="MNY24" s="120"/>
      <c r="MNZ24" s="120"/>
      <c r="MOA24" s="120"/>
      <c r="MOB24" s="120"/>
      <c r="MOC24" s="120"/>
      <c r="MOD24" s="120"/>
      <c r="MOE24" s="120"/>
      <c r="MOF24" s="120"/>
      <c r="MOG24" s="120"/>
      <c r="MOH24" s="120"/>
      <c r="MOI24" s="120"/>
      <c r="MOJ24" s="120"/>
      <c r="MOK24" s="120"/>
      <c r="MOL24" s="120"/>
      <c r="MOM24" s="120"/>
      <c r="MON24" s="120"/>
      <c r="MOO24" s="120"/>
      <c r="MOP24" s="120"/>
      <c r="MOQ24" s="120"/>
      <c r="MOR24" s="120"/>
      <c r="MOS24" s="120"/>
      <c r="MOT24" s="120"/>
      <c r="MOU24" s="120"/>
      <c r="MOV24" s="120"/>
      <c r="MOW24" s="120"/>
      <c r="MOX24" s="120"/>
      <c r="MOY24" s="120"/>
      <c r="MOZ24" s="120"/>
      <c r="MPA24" s="120"/>
      <c r="MPB24" s="120"/>
      <c r="MPC24" s="120"/>
      <c r="MPD24" s="120"/>
      <c r="MPE24" s="120"/>
      <c r="MPF24" s="120"/>
      <c r="MPG24" s="120"/>
      <c r="MPH24" s="120"/>
      <c r="MPI24" s="120"/>
      <c r="MPJ24" s="120"/>
      <c r="MPK24" s="120"/>
      <c r="MPL24" s="120"/>
      <c r="MPM24" s="120"/>
      <c r="MPN24" s="120"/>
      <c r="MPO24" s="120"/>
      <c r="MPP24" s="120"/>
      <c r="MPQ24" s="120"/>
      <c r="MPR24" s="120"/>
      <c r="MPS24" s="120"/>
      <c r="MPT24" s="120"/>
      <c r="MPU24" s="120"/>
      <c r="MPV24" s="120"/>
      <c r="MPW24" s="120"/>
      <c r="MPX24" s="120"/>
      <c r="MPY24" s="120"/>
      <c r="MPZ24" s="120"/>
      <c r="MQA24" s="120"/>
      <c r="MQB24" s="120"/>
      <c r="MQC24" s="120"/>
      <c r="MQD24" s="120"/>
      <c r="MQE24" s="120"/>
      <c r="MQF24" s="120"/>
      <c r="MQG24" s="120"/>
      <c r="MQH24" s="120"/>
      <c r="MQI24" s="120"/>
      <c r="MQJ24" s="120"/>
      <c r="MQK24" s="120"/>
      <c r="MQL24" s="120"/>
      <c r="MQM24" s="120"/>
      <c r="MQN24" s="120"/>
      <c r="MQO24" s="120"/>
      <c r="MQP24" s="120"/>
      <c r="MQQ24" s="120"/>
      <c r="MQR24" s="120"/>
      <c r="MQS24" s="120"/>
      <c r="MQT24" s="120"/>
      <c r="MQU24" s="120"/>
      <c r="MQV24" s="120"/>
      <c r="MQW24" s="120"/>
      <c r="MQX24" s="120"/>
      <c r="MQY24" s="120"/>
      <c r="MQZ24" s="120"/>
      <c r="MRA24" s="120"/>
      <c r="MRB24" s="120"/>
      <c r="MRC24" s="120"/>
      <c r="MRD24" s="120"/>
      <c r="MRE24" s="120"/>
      <c r="MRF24" s="120"/>
      <c r="MRG24" s="120"/>
      <c r="MRH24" s="120"/>
      <c r="MRI24" s="120"/>
      <c r="MRJ24" s="120"/>
      <c r="MRK24" s="120"/>
      <c r="MRL24" s="120"/>
      <c r="MRM24" s="120"/>
      <c r="MRN24" s="120"/>
      <c r="MRO24" s="120"/>
      <c r="MRP24" s="120"/>
      <c r="MRQ24" s="120"/>
      <c r="MRR24" s="120"/>
      <c r="MRS24" s="120"/>
      <c r="MRT24" s="120"/>
      <c r="MRU24" s="120"/>
      <c r="MRV24" s="120"/>
      <c r="MRW24" s="120"/>
      <c r="MRX24" s="120"/>
      <c r="MRY24" s="120"/>
      <c r="MRZ24" s="120"/>
      <c r="MSA24" s="120"/>
      <c r="MSB24" s="120"/>
      <c r="MSC24" s="120"/>
      <c r="MSD24" s="120"/>
      <c r="MSE24" s="120"/>
      <c r="MSF24" s="120"/>
      <c r="MSG24" s="120"/>
      <c r="MSH24" s="120"/>
      <c r="MSI24" s="120"/>
      <c r="MSJ24" s="120"/>
      <c r="MSK24" s="120"/>
      <c r="MSL24" s="120"/>
      <c r="MSM24" s="120"/>
      <c r="MSN24" s="120"/>
      <c r="MSO24" s="120"/>
      <c r="MSP24" s="120"/>
      <c r="MSQ24" s="120"/>
      <c r="MSR24" s="120"/>
      <c r="MSS24" s="120"/>
      <c r="MST24" s="120"/>
      <c r="MSU24" s="120"/>
      <c r="MSV24" s="120"/>
      <c r="MSW24" s="120"/>
      <c r="MSX24" s="120"/>
      <c r="MSY24" s="120"/>
      <c r="MSZ24" s="120"/>
      <c r="MTA24" s="120"/>
      <c r="MTB24" s="120"/>
      <c r="MTC24" s="120"/>
      <c r="MTD24" s="120"/>
      <c r="MTE24" s="120"/>
      <c r="MTF24" s="120"/>
      <c r="MTG24" s="120"/>
      <c r="MTH24" s="120"/>
      <c r="MTI24" s="120"/>
      <c r="MTJ24" s="120"/>
      <c r="MTK24" s="120"/>
      <c r="MTL24" s="120"/>
      <c r="MTM24" s="120"/>
      <c r="MTN24" s="120"/>
      <c r="MTO24" s="120"/>
      <c r="MTP24" s="120"/>
      <c r="MTQ24" s="120"/>
      <c r="MTR24" s="120"/>
      <c r="MTS24" s="120"/>
      <c r="MTT24" s="120"/>
      <c r="MTU24" s="120"/>
      <c r="MTV24" s="120"/>
      <c r="MTW24" s="120"/>
      <c r="MTX24" s="120"/>
      <c r="MTY24" s="120"/>
      <c r="MTZ24" s="120"/>
      <c r="MUA24" s="120"/>
      <c r="MUB24" s="120"/>
      <c r="MUC24" s="120"/>
      <c r="MUD24" s="120"/>
      <c r="MUE24" s="120"/>
      <c r="MUF24" s="120"/>
      <c r="MUG24" s="120"/>
      <c r="MUH24" s="120"/>
      <c r="MUI24" s="120"/>
      <c r="MUJ24" s="120"/>
      <c r="MUK24" s="120"/>
      <c r="MUL24" s="120"/>
      <c r="MUM24" s="120"/>
      <c r="MUN24" s="120"/>
      <c r="MUO24" s="120"/>
      <c r="MUP24" s="120"/>
      <c r="MUQ24" s="120"/>
      <c r="MUR24" s="120"/>
      <c r="MUS24" s="120"/>
      <c r="MUT24" s="120"/>
      <c r="MUU24" s="120"/>
      <c r="MUV24" s="120"/>
      <c r="MUW24" s="120"/>
      <c r="MUX24" s="120"/>
      <c r="MUY24" s="120"/>
      <c r="MUZ24" s="120"/>
      <c r="MVA24" s="120"/>
      <c r="MVB24" s="120"/>
      <c r="MVC24" s="120"/>
      <c r="MVD24" s="120"/>
      <c r="MVE24" s="120"/>
      <c r="MVF24" s="120"/>
      <c r="MVG24" s="120"/>
      <c r="MVH24" s="120"/>
      <c r="MVI24" s="120"/>
      <c r="MVJ24" s="120"/>
      <c r="MVK24" s="120"/>
      <c r="MVL24" s="120"/>
      <c r="MVM24" s="120"/>
      <c r="MVN24" s="120"/>
      <c r="MVO24" s="120"/>
      <c r="MVP24" s="120"/>
      <c r="MVQ24" s="120"/>
      <c r="MVR24" s="120"/>
      <c r="MVS24" s="120"/>
      <c r="MVT24" s="120"/>
      <c r="MVU24" s="120"/>
      <c r="MVV24" s="120"/>
      <c r="MVW24" s="120"/>
      <c r="MVX24" s="120"/>
      <c r="MVY24" s="120"/>
      <c r="MVZ24" s="120"/>
      <c r="MWA24" s="120"/>
      <c r="MWB24" s="120"/>
      <c r="MWC24" s="120"/>
      <c r="MWD24" s="120"/>
      <c r="MWE24" s="120"/>
      <c r="MWF24" s="120"/>
      <c r="MWG24" s="120"/>
      <c r="MWH24" s="120"/>
      <c r="MWI24" s="120"/>
      <c r="MWJ24" s="120"/>
      <c r="MWK24" s="120"/>
      <c r="MWL24" s="120"/>
      <c r="MWM24" s="120"/>
      <c r="MWN24" s="120"/>
      <c r="MWO24" s="120"/>
      <c r="MWP24" s="120"/>
      <c r="MWQ24" s="120"/>
      <c r="MWR24" s="120"/>
      <c r="MWS24" s="120"/>
      <c r="MWT24" s="120"/>
      <c r="MWU24" s="120"/>
      <c r="MWV24" s="120"/>
      <c r="MWW24" s="120"/>
      <c r="MWX24" s="120"/>
      <c r="MWY24" s="120"/>
      <c r="MWZ24" s="120"/>
      <c r="MXA24" s="120"/>
      <c r="MXB24" s="120"/>
      <c r="MXC24" s="120"/>
      <c r="MXD24" s="120"/>
      <c r="MXE24" s="120"/>
      <c r="MXF24" s="120"/>
      <c r="MXG24" s="120"/>
      <c r="MXH24" s="120"/>
      <c r="MXI24" s="120"/>
      <c r="MXJ24" s="120"/>
      <c r="MXK24" s="120"/>
      <c r="MXL24" s="120"/>
      <c r="MXM24" s="120"/>
      <c r="MXN24" s="120"/>
      <c r="MXO24" s="120"/>
      <c r="MXP24" s="120"/>
      <c r="MXQ24" s="120"/>
      <c r="MXR24" s="120"/>
      <c r="MXS24" s="120"/>
      <c r="MXT24" s="120"/>
      <c r="MXU24" s="120"/>
      <c r="MXV24" s="120"/>
      <c r="MXW24" s="120"/>
      <c r="MXX24" s="120"/>
      <c r="MXY24" s="120"/>
      <c r="MXZ24" s="120"/>
      <c r="MYA24" s="120"/>
      <c r="MYB24" s="120"/>
      <c r="MYC24" s="120"/>
      <c r="MYD24" s="120"/>
      <c r="MYE24" s="120"/>
      <c r="MYF24" s="120"/>
      <c r="MYG24" s="120"/>
      <c r="MYH24" s="120"/>
      <c r="MYI24" s="120"/>
      <c r="MYJ24" s="120"/>
      <c r="MYK24" s="120"/>
      <c r="MYL24" s="120"/>
      <c r="MYM24" s="120"/>
      <c r="MYN24" s="120"/>
      <c r="MYO24" s="120"/>
      <c r="MYP24" s="120"/>
      <c r="MYQ24" s="120"/>
      <c r="MYR24" s="120"/>
      <c r="MYS24" s="120"/>
      <c r="MYT24" s="120"/>
      <c r="MYU24" s="120"/>
      <c r="MYV24" s="120"/>
      <c r="MYW24" s="120"/>
      <c r="MYX24" s="120"/>
      <c r="MYY24" s="120"/>
      <c r="MYZ24" s="120"/>
      <c r="MZA24" s="120"/>
      <c r="MZB24" s="120"/>
      <c r="MZC24" s="120"/>
      <c r="MZD24" s="120"/>
      <c r="MZE24" s="120"/>
      <c r="MZF24" s="120"/>
      <c r="MZG24" s="120"/>
      <c r="MZH24" s="120"/>
      <c r="MZI24" s="120"/>
      <c r="MZJ24" s="120"/>
      <c r="MZK24" s="120"/>
      <c r="MZL24" s="120"/>
      <c r="MZM24" s="120"/>
      <c r="MZN24" s="120"/>
      <c r="MZO24" s="120"/>
      <c r="MZP24" s="120"/>
      <c r="MZQ24" s="120"/>
      <c r="MZR24" s="120"/>
      <c r="MZS24" s="120"/>
      <c r="MZT24" s="120"/>
      <c r="MZU24" s="120"/>
      <c r="MZV24" s="120"/>
      <c r="MZW24" s="120"/>
      <c r="MZX24" s="120"/>
      <c r="MZY24" s="120"/>
      <c r="MZZ24" s="120"/>
      <c r="NAA24" s="120"/>
      <c r="NAB24" s="120"/>
      <c r="NAC24" s="120"/>
      <c r="NAD24" s="120"/>
      <c r="NAE24" s="120"/>
      <c r="NAF24" s="120"/>
      <c r="NAG24" s="120"/>
      <c r="NAH24" s="120"/>
      <c r="NAI24" s="120"/>
      <c r="NAJ24" s="120"/>
      <c r="NAK24" s="120"/>
      <c r="NAL24" s="120"/>
      <c r="NAM24" s="120"/>
      <c r="NAN24" s="120"/>
      <c r="NAO24" s="120"/>
      <c r="NAP24" s="120"/>
      <c r="NAQ24" s="120"/>
      <c r="NAR24" s="120"/>
      <c r="NAS24" s="120"/>
      <c r="NAT24" s="120"/>
      <c r="NAU24" s="120"/>
      <c r="NAV24" s="120"/>
      <c r="NAW24" s="120"/>
      <c r="NAX24" s="120"/>
      <c r="NAY24" s="120"/>
      <c r="NAZ24" s="120"/>
      <c r="NBA24" s="120"/>
      <c r="NBB24" s="120"/>
      <c r="NBC24" s="120"/>
      <c r="NBD24" s="120"/>
      <c r="NBE24" s="120"/>
      <c r="NBF24" s="120"/>
      <c r="NBG24" s="120"/>
      <c r="NBH24" s="120"/>
      <c r="NBI24" s="120"/>
      <c r="NBJ24" s="120"/>
      <c r="NBK24" s="120"/>
      <c r="NBL24" s="120"/>
      <c r="NBM24" s="120"/>
      <c r="NBN24" s="120"/>
      <c r="NBO24" s="120"/>
      <c r="NBP24" s="120"/>
      <c r="NBQ24" s="120"/>
      <c r="NBR24" s="120"/>
      <c r="NBS24" s="120"/>
      <c r="NBT24" s="120"/>
      <c r="NBU24" s="120"/>
      <c r="NBV24" s="120"/>
      <c r="NBW24" s="120"/>
      <c r="NBX24" s="120"/>
      <c r="NBY24" s="120"/>
      <c r="NBZ24" s="120"/>
      <c r="NCA24" s="120"/>
      <c r="NCB24" s="120"/>
      <c r="NCC24" s="120"/>
      <c r="NCD24" s="120"/>
      <c r="NCE24" s="120"/>
      <c r="NCF24" s="120"/>
      <c r="NCG24" s="120"/>
      <c r="NCH24" s="120"/>
      <c r="NCI24" s="120"/>
      <c r="NCJ24" s="120"/>
      <c r="NCK24" s="120"/>
      <c r="NCL24" s="120"/>
      <c r="NCM24" s="120"/>
      <c r="NCN24" s="120"/>
      <c r="NCO24" s="120"/>
      <c r="NCP24" s="120"/>
      <c r="NCQ24" s="120"/>
      <c r="NCR24" s="120"/>
      <c r="NCS24" s="120"/>
      <c r="NCT24" s="120"/>
      <c r="NCU24" s="120"/>
      <c r="NCV24" s="120"/>
      <c r="NCW24" s="120"/>
      <c r="NCX24" s="120"/>
      <c r="NCY24" s="120"/>
      <c r="NCZ24" s="120"/>
      <c r="NDA24" s="120"/>
      <c r="NDB24" s="120"/>
      <c r="NDC24" s="120"/>
      <c r="NDD24" s="120"/>
      <c r="NDE24" s="120"/>
      <c r="NDF24" s="120"/>
      <c r="NDG24" s="120"/>
      <c r="NDH24" s="120"/>
      <c r="NDI24" s="120"/>
      <c r="NDJ24" s="120"/>
      <c r="NDK24" s="120"/>
      <c r="NDL24" s="120"/>
      <c r="NDM24" s="120"/>
      <c r="NDN24" s="120"/>
      <c r="NDO24" s="120"/>
      <c r="NDP24" s="120"/>
      <c r="NDQ24" s="120"/>
      <c r="NDR24" s="120"/>
      <c r="NDS24" s="120"/>
      <c r="NDT24" s="120"/>
      <c r="NDU24" s="120"/>
      <c r="NDV24" s="120"/>
      <c r="NDW24" s="120"/>
      <c r="NDX24" s="120"/>
      <c r="NDY24" s="120"/>
      <c r="NDZ24" s="120"/>
      <c r="NEA24" s="120"/>
      <c r="NEB24" s="120"/>
      <c r="NEC24" s="120"/>
      <c r="NED24" s="120"/>
      <c r="NEE24" s="120"/>
      <c r="NEF24" s="120"/>
      <c r="NEG24" s="120"/>
      <c r="NEH24" s="120"/>
      <c r="NEI24" s="120"/>
      <c r="NEJ24" s="120"/>
      <c r="NEK24" s="120"/>
      <c r="NEL24" s="120"/>
      <c r="NEM24" s="120"/>
      <c r="NEN24" s="120"/>
      <c r="NEO24" s="120"/>
      <c r="NEP24" s="120"/>
      <c r="NEQ24" s="120"/>
      <c r="NER24" s="120"/>
      <c r="NES24" s="120"/>
      <c r="NET24" s="120"/>
      <c r="NEU24" s="120"/>
      <c r="NEV24" s="120"/>
      <c r="NEW24" s="120"/>
      <c r="NEX24" s="120"/>
      <c r="NEY24" s="120"/>
      <c r="NEZ24" s="120"/>
      <c r="NFA24" s="120"/>
      <c r="NFB24" s="120"/>
      <c r="NFC24" s="120"/>
      <c r="NFD24" s="120"/>
      <c r="NFE24" s="120"/>
      <c r="NFF24" s="120"/>
      <c r="NFG24" s="120"/>
      <c r="NFH24" s="120"/>
      <c r="NFI24" s="120"/>
      <c r="NFJ24" s="120"/>
      <c r="NFK24" s="120"/>
      <c r="NFL24" s="120"/>
      <c r="NFM24" s="120"/>
      <c r="NFN24" s="120"/>
      <c r="NFO24" s="120"/>
      <c r="NFP24" s="120"/>
      <c r="NFQ24" s="120"/>
      <c r="NFR24" s="120"/>
      <c r="NFS24" s="120"/>
      <c r="NFT24" s="120"/>
      <c r="NFU24" s="120"/>
      <c r="NFV24" s="120"/>
      <c r="NFW24" s="120"/>
      <c r="NFX24" s="120"/>
      <c r="NFY24" s="120"/>
      <c r="NFZ24" s="120"/>
      <c r="NGA24" s="120"/>
      <c r="NGB24" s="120"/>
      <c r="NGC24" s="120"/>
      <c r="NGD24" s="120"/>
      <c r="NGE24" s="120"/>
      <c r="NGF24" s="120"/>
      <c r="NGG24" s="120"/>
      <c r="NGH24" s="120"/>
      <c r="NGI24" s="120"/>
      <c r="NGJ24" s="120"/>
      <c r="NGK24" s="120"/>
      <c r="NGL24" s="120"/>
      <c r="NGM24" s="120"/>
      <c r="NGN24" s="120"/>
      <c r="NGO24" s="120"/>
      <c r="NGP24" s="120"/>
      <c r="NGQ24" s="120"/>
      <c r="NGR24" s="120"/>
      <c r="NGS24" s="120"/>
      <c r="NGT24" s="120"/>
      <c r="NGU24" s="120"/>
      <c r="NGV24" s="120"/>
      <c r="NGW24" s="120"/>
      <c r="NGX24" s="120"/>
      <c r="NGY24" s="120"/>
      <c r="NGZ24" s="120"/>
      <c r="NHA24" s="120"/>
      <c r="NHB24" s="120"/>
      <c r="NHC24" s="120"/>
      <c r="NHD24" s="120"/>
      <c r="NHE24" s="120"/>
      <c r="NHF24" s="120"/>
      <c r="NHG24" s="120"/>
      <c r="NHH24" s="120"/>
      <c r="NHI24" s="120"/>
      <c r="NHJ24" s="120"/>
      <c r="NHK24" s="120"/>
      <c r="NHL24" s="120"/>
      <c r="NHM24" s="120"/>
      <c r="NHN24" s="120"/>
      <c r="NHO24" s="120"/>
      <c r="NHP24" s="120"/>
      <c r="NHQ24" s="120"/>
      <c r="NHR24" s="120"/>
      <c r="NHS24" s="120"/>
      <c r="NHT24" s="120"/>
      <c r="NHU24" s="120"/>
      <c r="NHV24" s="120"/>
      <c r="NHW24" s="120"/>
      <c r="NHX24" s="120"/>
      <c r="NHY24" s="120"/>
      <c r="NHZ24" s="120"/>
      <c r="NIA24" s="120"/>
      <c r="NIB24" s="120"/>
      <c r="NIC24" s="120"/>
      <c r="NID24" s="120"/>
      <c r="NIE24" s="120"/>
      <c r="NIF24" s="120"/>
      <c r="NIG24" s="120"/>
      <c r="NIH24" s="120"/>
      <c r="NII24" s="120"/>
      <c r="NIJ24" s="120"/>
      <c r="NIK24" s="120"/>
      <c r="NIL24" s="120"/>
      <c r="NIM24" s="120"/>
      <c r="NIN24" s="120"/>
      <c r="NIO24" s="120"/>
      <c r="NIP24" s="120"/>
      <c r="NIQ24" s="120"/>
      <c r="NIR24" s="120"/>
      <c r="NIS24" s="120"/>
      <c r="NIT24" s="120"/>
      <c r="NIU24" s="120"/>
      <c r="NIV24" s="120"/>
      <c r="NIW24" s="120"/>
      <c r="NIX24" s="120"/>
      <c r="NIY24" s="120"/>
      <c r="NIZ24" s="120"/>
      <c r="NJA24" s="120"/>
      <c r="NJB24" s="120"/>
      <c r="NJC24" s="120"/>
      <c r="NJD24" s="120"/>
      <c r="NJE24" s="120"/>
      <c r="NJF24" s="120"/>
      <c r="NJG24" s="120"/>
      <c r="NJH24" s="120"/>
      <c r="NJI24" s="120"/>
      <c r="NJJ24" s="120"/>
      <c r="NJK24" s="120"/>
      <c r="NJL24" s="120"/>
      <c r="NJM24" s="120"/>
      <c r="NJN24" s="120"/>
      <c r="NJO24" s="120"/>
      <c r="NJP24" s="120"/>
      <c r="NJQ24" s="120"/>
      <c r="NJR24" s="120"/>
      <c r="NJS24" s="120"/>
      <c r="NJT24" s="120"/>
      <c r="NJU24" s="120"/>
      <c r="NJV24" s="120"/>
      <c r="NJW24" s="120"/>
      <c r="NJX24" s="120"/>
      <c r="NJY24" s="120"/>
      <c r="NJZ24" s="120"/>
      <c r="NKA24" s="120"/>
      <c r="NKB24" s="120"/>
      <c r="NKC24" s="120"/>
      <c r="NKD24" s="120"/>
      <c r="NKE24" s="120"/>
      <c r="NKF24" s="120"/>
      <c r="NKG24" s="120"/>
      <c r="NKH24" s="120"/>
      <c r="NKI24" s="120"/>
      <c r="NKJ24" s="120"/>
      <c r="NKK24" s="120"/>
      <c r="NKL24" s="120"/>
      <c r="NKM24" s="120"/>
      <c r="NKN24" s="120"/>
      <c r="NKO24" s="120"/>
      <c r="NKP24" s="120"/>
      <c r="NKQ24" s="120"/>
      <c r="NKR24" s="120"/>
      <c r="NKS24" s="120"/>
      <c r="NKT24" s="120"/>
      <c r="NKU24" s="120"/>
      <c r="NKV24" s="120"/>
      <c r="NKW24" s="120"/>
      <c r="NKX24" s="120"/>
      <c r="NKY24" s="120"/>
      <c r="NKZ24" s="120"/>
      <c r="NLA24" s="120"/>
      <c r="NLB24" s="120"/>
      <c r="NLC24" s="120"/>
      <c r="NLD24" s="120"/>
      <c r="NLE24" s="120"/>
      <c r="NLF24" s="120"/>
      <c r="NLG24" s="120"/>
      <c r="NLH24" s="120"/>
      <c r="NLI24" s="120"/>
      <c r="NLJ24" s="120"/>
      <c r="NLK24" s="120"/>
      <c r="NLL24" s="120"/>
      <c r="NLM24" s="120"/>
      <c r="NLN24" s="120"/>
      <c r="NLO24" s="120"/>
      <c r="NLP24" s="120"/>
      <c r="NLQ24" s="120"/>
      <c r="NLR24" s="120"/>
      <c r="NLS24" s="120"/>
      <c r="NLT24" s="120"/>
      <c r="NLU24" s="120"/>
      <c r="NLV24" s="120"/>
      <c r="NLW24" s="120"/>
      <c r="NLX24" s="120"/>
      <c r="NLY24" s="120"/>
      <c r="NLZ24" s="120"/>
      <c r="NMA24" s="120"/>
      <c r="NMB24" s="120"/>
      <c r="NMC24" s="120"/>
      <c r="NMD24" s="120"/>
      <c r="NME24" s="120"/>
      <c r="NMF24" s="120"/>
      <c r="NMG24" s="120"/>
      <c r="NMH24" s="120"/>
      <c r="NMI24" s="120"/>
      <c r="NMJ24" s="120"/>
      <c r="NMK24" s="120"/>
      <c r="NML24" s="120"/>
      <c r="NMM24" s="120"/>
      <c r="NMN24" s="120"/>
      <c r="NMO24" s="120"/>
      <c r="NMP24" s="120"/>
      <c r="NMQ24" s="120"/>
      <c r="NMR24" s="120"/>
      <c r="NMS24" s="120"/>
      <c r="NMT24" s="120"/>
      <c r="NMU24" s="120"/>
      <c r="NMV24" s="120"/>
      <c r="NMW24" s="120"/>
      <c r="NMX24" s="120"/>
      <c r="NMY24" s="120"/>
      <c r="NMZ24" s="120"/>
      <c r="NNA24" s="120"/>
      <c r="NNB24" s="120"/>
      <c r="NNC24" s="120"/>
      <c r="NND24" s="120"/>
      <c r="NNE24" s="120"/>
      <c r="NNF24" s="120"/>
      <c r="NNG24" s="120"/>
      <c r="NNH24" s="120"/>
      <c r="NNI24" s="120"/>
      <c r="NNJ24" s="120"/>
      <c r="NNK24" s="120"/>
      <c r="NNL24" s="120"/>
      <c r="NNM24" s="120"/>
      <c r="NNN24" s="120"/>
      <c r="NNO24" s="120"/>
      <c r="NNP24" s="120"/>
      <c r="NNQ24" s="120"/>
      <c r="NNR24" s="120"/>
      <c r="NNS24" s="120"/>
      <c r="NNT24" s="120"/>
      <c r="NNU24" s="120"/>
      <c r="NNV24" s="120"/>
      <c r="NNW24" s="120"/>
      <c r="NNX24" s="120"/>
      <c r="NNY24" s="120"/>
      <c r="NNZ24" s="120"/>
      <c r="NOA24" s="120"/>
      <c r="NOB24" s="120"/>
      <c r="NOC24" s="120"/>
      <c r="NOD24" s="120"/>
      <c r="NOE24" s="120"/>
      <c r="NOF24" s="120"/>
      <c r="NOG24" s="120"/>
      <c r="NOH24" s="120"/>
      <c r="NOI24" s="120"/>
      <c r="NOJ24" s="120"/>
      <c r="NOK24" s="120"/>
      <c r="NOL24" s="120"/>
      <c r="NOM24" s="120"/>
      <c r="NON24" s="120"/>
      <c r="NOO24" s="120"/>
      <c r="NOP24" s="120"/>
      <c r="NOQ24" s="120"/>
      <c r="NOR24" s="120"/>
      <c r="NOS24" s="120"/>
      <c r="NOT24" s="120"/>
      <c r="NOU24" s="120"/>
      <c r="NOV24" s="120"/>
      <c r="NOW24" s="120"/>
      <c r="NOX24" s="120"/>
      <c r="NOY24" s="120"/>
      <c r="NOZ24" s="120"/>
      <c r="NPA24" s="120"/>
      <c r="NPB24" s="120"/>
      <c r="NPC24" s="120"/>
      <c r="NPD24" s="120"/>
      <c r="NPE24" s="120"/>
      <c r="NPF24" s="120"/>
      <c r="NPG24" s="120"/>
      <c r="NPH24" s="120"/>
      <c r="NPI24" s="120"/>
      <c r="NPJ24" s="120"/>
      <c r="NPK24" s="120"/>
      <c r="NPL24" s="120"/>
      <c r="NPM24" s="120"/>
      <c r="NPN24" s="120"/>
      <c r="NPO24" s="120"/>
      <c r="NPP24" s="120"/>
      <c r="NPQ24" s="120"/>
      <c r="NPR24" s="120"/>
      <c r="NPS24" s="120"/>
      <c r="NPT24" s="120"/>
      <c r="NPU24" s="120"/>
      <c r="NPV24" s="120"/>
      <c r="NPW24" s="120"/>
      <c r="NPX24" s="120"/>
      <c r="NPY24" s="120"/>
      <c r="NPZ24" s="120"/>
      <c r="NQA24" s="120"/>
      <c r="NQB24" s="120"/>
      <c r="NQC24" s="120"/>
      <c r="NQD24" s="120"/>
      <c r="NQE24" s="120"/>
      <c r="NQF24" s="120"/>
      <c r="NQG24" s="120"/>
      <c r="NQH24" s="120"/>
      <c r="NQI24" s="120"/>
      <c r="NQJ24" s="120"/>
      <c r="NQK24" s="120"/>
      <c r="NQL24" s="120"/>
      <c r="NQM24" s="120"/>
      <c r="NQN24" s="120"/>
      <c r="NQO24" s="120"/>
      <c r="NQP24" s="120"/>
      <c r="NQQ24" s="120"/>
      <c r="NQR24" s="120"/>
      <c r="NQS24" s="120"/>
      <c r="NQT24" s="120"/>
      <c r="NQU24" s="120"/>
      <c r="NQV24" s="120"/>
      <c r="NQW24" s="120"/>
      <c r="NQX24" s="120"/>
      <c r="NQY24" s="120"/>
      <c r="NQZ24" s="120"/>
      <c r="NRA24" s="120"/>
      <c r="NRB24" s="120"/>
      <c r="NRC24" s="120"/>
      <c r="NRD24" s="120"/>
      <c r="NRE24" s="120"/>
      <c r="NRF24" s="120"/>
      <c r="NRG24" s="120"/>
      <c r="NRH24" s="120"/>
      <c r="NRI24" s="120"/>
      <c r="NRJ24" s="120"/>
      <c r="NRK24" s="120"/>
      <c r="NRL24" s="120"/>
      <c r="NRM24" s="120"/>
      <c r="NRN24" s="120"/>
      <c r="NRO24" s="120"/>
      <c r="NRP24" s="120"/>
      <c r="NRQ24" s="120"/>
      <c r="NRR24" s="120"/>
      <c r="NRS24" s="120"/>
      <c r="NRT24" s="120"/>
      <c r="NRU24" s="120"/>
      <c r="NRV24" s="120"/>
      <c r="NRW24" s="120"/>
      <c r="NRX24" s="120"/>
      <c r="NRY24" s="120"/>
      <c r="NRZ24" s="120"/>
      <c r="NSA24" s="120"/>
      <c r="NSB24" s="120"/>
      <c r="NSC24" s="120"/>
      <c r="NSD24" s="120"/>
      <c r="NSE24" s="120"/>
      <c r="NSF24" s="120"/>
      <c r="NSG24" s="120"/>
      <c r="NSH24" s="120"/>
      <c r="NSI24" s="120"/>
      <c r="NSJ24" s="120"/>
      <c r="NSK24" s="120"/>
      <c r="NSL24" s="120"/>
      <c r="NSM24" s="120"/>
      <c r="NSN24" s="120"/>
      <c r="NSO24" s="120"/>
      <c r="NSP24" s="120"/>
      <c r="NSQ24" s="120"/>
      <c r="NSR24" s="120"/>
      <c r="NSS24" s="120"/>
      <c r="NST24" s="120"/>
      <c r="NSU24" s="120"/>
      <c r="NSV24" s="120"/>
      <c r="NSW24" s="120"/>
      <c r="NSX24" s="120"/>
      <c r="NSY24" s="120"/>
      <c r="NSZ24" s="120"/>
      <c r="NTA24" s="120"/>
      <c r="NTB24" s="120"/>
      <c r="NTC24" s="120"/>
      <c r="NTD24" s="120"/>
      <c r="NTE24" s="120"/>
      <c r="NTF24" s="120"/>
      <c r="NTG24" s="120"/>
      <c r="NTH24" s="120"/>
      <c r="NTI24" s="120"/>
      <c r="NTJ24" s="120"/>
      <c r="NTK24" s="120"/>
      <c r="NTL24" s="120"/>
      <c r="NTM24" s="120"/>
      <c r="NTN24" s="120"/>
      <c r="NTO24" s="120"/>
      <c r="NTP24" s="120"/>
      <c r="NTQ24" s="120"/>
      <c r="NTR24" s="120"/>
      <c r="NTS24" s="120"/>
      <c r="NTT24" s="120"/>
      <c r="NTU24" s="120"/>
      <c r="NTV24" s="120"/>
      <c r="NTW24" s="120"/>
      <c r="NTX24" s="120"/>
      <c r="NTY24" s="120"/>
      <c r="NTZ24" s="120"/>
      <c r="NUA24" s="120"/>
      <c r="NUB24" s="120"/>
      <c r="NUC24" s="120"/>
      <c r="NUD24" s="120"/>
      <c r="NUE24" s="120"/>
      <c r="NUF24" s="120"/>
      <c r="NUG24" s="120"/>
      <c r="NUH24" s="120"/>
      <c r="NUI24" s="120"/>
      <c r="NUJ24" s="120"/>
      <c r="NUK24" s="120"/>
      <c r="NUL24" s="120"/>
      <c r="NUM24" s="120"/>
      <c r="NUN24" s="120"/>
      <c r="NUO24" s="120"/>
      <c r="NUP24" s="120"/>
      <c r="NUQ24" s="120"/>
      <c r="NUR24" s="120"/>
      <c r="NUS24" s="120"/>
      <c r="NUT24" s="120"/>
      <c r="NUU24" s="120"/>
      <c r="NUV24" s="120"/>
      <c r="NUW24" s="120"/>
      <c r="NUX24" s="120"/>
      <c r="NUY24" s="120"/>
      <c r="NUZ24" s="120"/>
      <c r="NVA24" s="120"/>
      <c r="NVB24" s="120"/>
      <c r="NVC24" s="120"/>
      <c r="NVD24" s="120"/>
      <c r="NVE24" s="120"/>
      <c r="NVF24" s="120"/>
      <c r="NVG24" s="120"/>
      <c r="NVH24" s="120"/>
      <c r="NVI24" s="120"/>
      <c r="NVJ24" s="120"/>
      <c r="NVK24" s="120"/>
      <c r="NVL24" s="120"/>
      <c r="NVM24" s="120"/>
      <c r="NVN24" s="120"/>
      <c r="NVO24" s="120"/>
      <c r="NVP24" s="120"/>
      <c r="NVQ24" s="120"/>
      <c r="NVR24" s="120"/>
      <c r="NVS24" s="120"/>
      <c r="NVT24" s="120"/>
      <c r="NVU24" s="120"/>
      <c r="NVV24" s="120"/>
      <c r="NVW24" s="120"/>
      <c r="NVX24" s="120"/>
      <c r="NVY24" s="120"/>
      <c r="NVZ24" s="120"/>
      <c r="NWA24" s="120"/>
      <c r="NWB24" s="120"/>
      <c r="NWC24" s="120"/>
      <c r="NWD24" s="120"/>
      <c r="NWE24" s="120"/>
      <c r="NWF24" s="120"/>
      <c r="NWG24" s="120"/>
      <c r="NWH24" s="120"/>
      <c r="NWI24" s="120"/>
      <c r="NWJ24" s="120"/>
      <c r="NWK24" s="120"/>
      <c r="NWL24" s="120"/>
      <c r="NWM24" s="120"/>
      <c r="NWN24" s="120"/>
      <c r="NWO24" s="120"/>
      <c r="NWP24" s="120"/>
      <c r="NWQ24" s="120"/>
      <c r="NWR24" s="120"/>
      <c r="NWS24" s="120"/>
      <c r="NWT24" s="120"/>
      <c r="NWU24" s="120"/>
      <c r="NWV24" s="120"/>
      <c r="NWW24" s="120"/>
      <c r="NWX24" s="120"/>
      <c r="NWY24" s="120"/>
      <c r="NWZ24" s="120"/>
      <c r="NXA24" s="120"/>
      <c r="NXB24" s="120"/>
      <c r="NXC24" s="120"/>
      <c r="NXD24" s="120"/>
      <c r="NXE24" s="120"/>
      <c r="NXF24" s="120"/>
      <c r="NXG24" s="120"/>
      <c r="NXH24" s="120"/>
      <c r="NXI24" s="120"/>
      <c r="NXJ24" s="120"/>
      <c r="NXK24" s="120"/>
      <c r="NXL24" s="120"/>
      <c r="NXM24" s="120"/>
      <c r="NXN24" s="120"/>
      <c r="NXO24" s="120"/>
      <c r="NXP24" s="120"/>
      <c r="NXQ24" s="120"/>
      <c r="NXR24" s="120"/>
      <c r="NXS24" s="120"/>
      <c r="NXT24" s="120"/>
      <c r="NXU24" s="120"/>
      <c r="NXV24" s="120"/>
      <c r="NXW24" s="120"/>
      <c r="NXX24" s="120"/>
      <c r="NXY24" s="120"/>
      <c r="NXZ24" s="120"/>
      <c r="NYA24" s="120"/>
      <c r="NYB24" s="120"/>
      <c r="NYC24" s="120"/>
      <c r="NYD24" s="120"/>
      <c r="NYE24" s="120"/>
      <c r="NYF24" s="120"/>
      <c r="NYG24" s="120"/>
      <c r="NYH24" s="120"/>
      <c r="NYI24" s="120"/>
      <c r="NYJ24" s="120"/>
      <c r="NYK24" s="120"/>
      <c r="NYL24" s="120"/>
      <c r="NYM24" s="120"/>
      <c r="NYN24" s="120"/>
      <c r="NYO24" s="120"/>
      <c r="NYP24" s="120"/>
      <c r="NYQ24" s="120"/>
      <c r="NYR24" s="120"/>
      <c r="NYS24" s="120"/>
      <c r="NYT24" s="120"/>
      <c r="NYU24" s="120"/>
      <c r="NYV24" s="120"/>
      <c r="NYW24" s="120"/>
      <c r="NYX24" s="120"/>
      <c r="NYY24" s="120"/>
      <c r="NYZ24" s="120"/>
      <c r="NZA24" s="120"/>
      <c r="NZB24" s="120"/>
      <c r="NZC24" s="120"/>
      <c r="NZD24" s="120"/>
      <c r="NZE24" s="120"/>
      <c r="NZF24" s="120"/>
      <c r="NZG24" s="120"/>
      <c r="NZH24" s="120"/>
      <c r="NZI24" s="120"/>
      <c r="NZJ24" s="120"/>
      <c r="NZK24" s="120"/>
      <c r="NZL24" s="120"/>
      <c r="NZM24" s="120"/>
      <c r="NZN24" s="120"/>
      <c r="NZO24" s="120"/>
      <c r="NZP24" s="120"/>
      <c r="NZQ24" s="120"/>
      <c r="NZR24" s="120"/>
      <c r="NZS24" s="120"/>
      <c r="NZT24" s="120"/>
      <c r="NZU24" s="120"/>
      <c r="NZV24" s="120"/>
      <c r="NZW24" s="120"/>
      <c r="NZX24" s="120"/>
      <c r="NZY24" s="120"/>
      <c r="NZZ24" s="120"/>
      <c r="OAA24" s="120"/>
      <c r="OAB24" s="120"/>
      <c r="OAC24" s="120"/>
      <c r="OAD24" s="120"/>
      <c r="OAE24" s="120"/>
      <c r="OAF24" s="120"/>
      <c r="OAG24" s="120"/>
      <c r="OAH24" s="120"/>
      <c r="OAI24" s="120"/>
      <c r="OAJ24" s="120"/>
      <c r="OAK24" s="120"/>
      <c r="OAL24" s="120"/>
      <c r="OAM24" s="120"/>
      <c r="OAN24" s="120"/>
      <c r="OAO24" s="120"/>
      <c r="OAP24" s="120"/>
      <c r="OAQ24" s="120"/>
      <c r="OAR24" s="120"/>
      <c r="OAS24" s="120"/>
      <c r="OAT24" s="120"/>
      <c r="OAU24" s="120"/>
      <c r="OAV24" s="120"/>
      <c r="OAW24" s="120"/>
      <c r="OAX24" s="120"/>
      <c r="OAY24" s="120"/>
      <c r="OAZ24" s="120"/>
      <c r="OBA24" s="120"/>
      <c r="OBB24" s="120"/>
      <c r="OBC24" s="120"/>
      <c r="OBD24" s="120"/>
      <c r="OBE24" s="120"/>
      <c r="OBF24" s="120"/>
      <c r="OBG24" s="120"/>
      <c r="OBH24" s="120"/>
      <c r="OBI24" s="120"/>
      <c r="OBJ24" s="120"/>
      <c r="OBK24" s="120"/>
      <c r="OBL24" s="120"/>
      <c r="OBM24" s="120"/>
      <c r="OBN24" s="120"/>
      <c r="OBO24" s="120"/>
      <c r="OBP24" s="120"/>
      <c r="OBQ24" s="120"/>
      <c r="OBR24" s="120"/>
      <c r="OBS24" s="120"/>
      <c r="OBT24" s="120"/>
      <c r="OBU24" s="120"/>
      <c r="OBV24" s="120"/>
      <c r="OBW24" s="120"/>
      <c r="OBX24" s="120"/>
      <c r="OBY24" s="120"/>
      <c r="OBZ24" s="120"/>
      <c r="OCA24" s="120"/>
      <c r="OCB24" s="120"/>
      <c r="OCC24" s="120"/>
      <c r="OCD24" s="120"/>
      <c r="OCE24" s="120"/>
      <c r="OCF24" s="120"/>
      <c r="OCG24" s="120"/>
      <c r="OCH24" s="120"/>
      <c r="OCI24" s="120"/>
      <c r="OCJ24" s="120"/>
      <c r="OCK24" s="120"/>
      <c r="OCL24" s="120"/>
      <c r="OCM24" s="120"/>
      <c r="OCN24" s="120"/>
      <c r="OCO24" s="120"/>
      <c r="OCP24" s="120"/>
      <c r="OCQ24" s="120"/>
      <c r="OCR24" s="120"/>
      <c r="OCS24" s="120"/>
      <c r="OCT24" s="120"/>
      <c r="OCU24" s="120"/>
      <c r="OCV24" s="120"/>
      <c r="OCW24" s="120"/>
      <c r="OCX24" s="120"/>
      <c r="OCY24" s="120"/>
      <c r="OCZ24" s="120"/>
      <c r="ODA24" s="120"/>
      <c r="ODB24" s="120"/>
      <c r="ODC24" s="120"/>
      <c r="ODD24" s="120"/>
      <c r="ODE24" s="120"/>
      <c r="ODF24" s="120"/>
      <c r="ODG24" s="120"/>
      <c r="ODH24" s="120"/>
      <c r="ODI24" s="120"/>
      <c r="ODJ24" s="120"/>
      <c r="ODK24" s="120"/>
      <c r="ODL24" s="120"/>
      <c r="ODM24" s="120"/>
      <c r="ODN24" s="120"/>
      <c r="ODO24" s="120"/>
      <c r="ODP24" s="120"/>
      <c r="ODQ24" s="120"/>
      <c r="ODR24" s="120"/>
      <c r="ODS24" s="120"/>
      <c r="ODT24" s="120"/>
      <c r="ODU24" s="120"/>
      <c r="ODV24" s="120"/>
      <c r="ODW24" s="120"/>
      <c r="ODX24" s="120"/>
      <c r="ODY24" s="120"/>
      <c r="ODZ24" s="120"/>
      <c r="OEA24" s="120"/>
      <c r="OEB24" s="120"/>
      <c r="OEC24" s="120"/>
      <c r="OED24" s="120"/>
      <c r="OEE24" s="120"/>
      <c r="OEF24" s="120"/>
      <c r="OEG24" s="120"/>
      <c r="OEH24" s="120"/>
      <c r="OEI24" s="120"/>
      <c r="OEJ24" s="120"/>
      <c r="OEK24" s="120"/>
      <c r="OEL24" s="120"/>
      <c r="OEM24" s="120"/>
      <c r="OEN24" s="120"/>
      <c r="OEO24" s="120"/>
      <c r="OEP24" s="120"/>
      <c r="OEQ24" s="120"/>
      <c r="OER24" s="120"/>
      <c r="OES24" s="120"/>
      <c r="OET24" s="120"/>
      <c r="OEU24" s="120"/>
      <c r="OEV24" s="120"/>
      <c r="OEW24" s="120"/>
      <c r="OEX24" s="120"/>
      <c r="OEY24" s="120"/>
      <c r="OEZ24" s="120"/>
      <c r="OFA24" s="120"/>
      <c r="OFB24" s="120"/>
      <c r="OFC24" s="120"/>
      <c r="OFD24" s="120"/>
      <c r="OFE24" s="120"/>
      <c r="OFF24" s="120"/>
      <c r="OFG24" s="120"/>
      <c r="OFH24" s="120"/>
      <c r="OFI24" s="120"/>
      <c r="OFJ24" s="120"/>
      <c r="OFK24" s="120"/>
      <c r="OFL24" s="120"/>
      <c r="OFM24" s="120"/>
      <c r="OFN24" s="120"/>
      <c r="OFO24" s="120"/>
      <c r="OFP24" s="120"/>
      <c r="OFQ24" s="120"/>
      <c r="OFR24" s="120"/>
      <c r="OFS24" s="120"/>
      <c r="OFT24" s="120"/>
      <c r="OFU24" s="120"/>
      <c r="OFV24" s="120"/>
      <c r="OFW24" s="120"/>
      <c r="OFX24" s="120"/>
      <c r="OFY24" s="120"/>
      <c r="OFZ24" s="120"/>
      <c r="OGA24" s="120"/>
      <c r="OGB24" s="120"/>
      <c r="OGC24" s="120"/>
      <c r="OGD24" s="120"/>
      <c r="OGE24" s="120"/>
      <c r="OGF24" s="120"/>
      <c r="OGG24" s="120"/>
      <c r="OGH24" s="120"/>
      <c r="OGI24" s="120"/>
      <c r="OGJ24" s="120"/>
      <c r="OGK24" s="120"/>
      <c r="OGL24" s="120"/>
      <c r="OGM24" s="120"/>
      <c r="OGN24" s="120"/>
      <c r="OGO24" s="120"/>
      <c r="OGP24" s="120"/>
      <c r="OGQ24" s="120"/>
      <c r="OGR24" s="120"/>
      <c r="OGS24" s="120"/>
      <c r="OGT24" s="120"/>
      <c r="OGU24" s="120"/>
      <c r="OGV24" s="120"/>
      <c r="OGW24" s="120"/>
      <c r="OGX24" s="120"/>
      <c r="OGY24" s="120"/>
      <c r="OGZ24" s="120"/>
      <c r="OHA24" s="120"/>
      <c r="OHB24" s="120"/>
      <c r="OHC24" s="120"/>
      <c r="OHD24" s="120"/>
      <c r="OHE24" s="120"/>
      <c r="OHF24" s="120"/>
      <c r="OHG24" s="120"/>
      <c r="OHH24" s="120"/>
      <c r="OHI24" s="120"/>
      <c r="OHJ24" s="120"/>
      <c r="OHK24" s="120"/>
      <c r="OHL24" s="120"/>
      <c r="OHM24" s="120"/>
      <c r="OHN24" s="120"/>
      <c r="OHO24" s="120"/>
      <c r="OHP24" s="120"/>
      <c r="OHQ24" s="120"/>
      <c r="OHR24" s="120"/>
      <c r="OHS24" s="120"/>
      <c r="OHT24" s="120"/>
      <c r="OHU24" s="120"/>
      <c r="OHV24" s="120"/>
      <c r="OHW24" s="120"/>
      <c r="OHX24" s="120"/>
      <c r="OHY24" s="120"/>
      <c r="OHZ24" s="120"/>
      <c r="OIA24" s="120"/>
      <c r="OIB24" s="120"/>
      <c r="OIC24" s="120"/>
      <c r="OID24" s="120"/>
      <c r="OIE24" s="120"/>
      <c r="OIF24" s="120"/>
      <c r="OIG24" s="120"/>
      <c r="OIH24" s="120"/>
      <c r="OII24" s="120"/>
      <c r="OIJ24" s="120"/>
      <c r="OIK24" s="120"/>
      <c r="OIL24" s="120"/>
      <c r="OIM24" s="120"/>
      <c r="OIN24" s="120"/>
      <c r="OIO24" s="120"/>
      <c r="OIP24" s="120"/>
      <c r="OIQ24" s="120"/>
      <c r="OIR24" s="120"/>
      <c r="OIS24" s="120"/>
      <c r="OIT24" s="120"/>
      <c r="OIU24" s="120"/>
      <c r="OIV24" s="120"/>
      <c r="OIW24" s="120"/>
      <c r="OIX24" s="120"/>
      <c r="OIY24" s="120"/>
      <c r="OIZ24" s="120"/>
      <c r="OJA24" s="120"/>
      <c r="OJB24" s="120"/>
      <c r="OJC24" s="120"/>
      <c r="OJD24" s="120"/>
      <c r="OJE24" s="120"/>
      <c r="OJF24" s="120"/>
      <c r="OJG24" s="120"/>
      <c r="OJH24" s="120"/>
      <c r="OJI24" s="120"/>
      <c r="OJJ24" s="120"/>
      <c r="OJK24" s="120"/>
      <c r="OJL24" s="120"/>
      <c r="OJM24" s="120"/>
      <c r="OJN24" s="120"/>
      <c r="OJO24" s="120"/>
      <c r="OJP24" s="120"/>
      <c r="OJQ24" s="120"/>
      <c r="OJR24" s="120"/>
      <c r="OJS24" s="120"/>
      <c r="OJT24" s="120"/>
      <c r="OJU24" s="120"/>
      <c r="OJV24" s="120"/>
      <c r="OJW24" s="120"/>
      <c r="OJX24" s="120"/>
      <c r="OJY24" s="120"/>
      <c r="OJZ24" s="120"/>
      <c r="OKA24" s="120"/>
      <c r="OKB24" s="120"/>
      <c r="OKC24" s="120"/>
      <c r="OKD24" s="120"/>
      <c r="OKE24" s="120"/>
      <c r="OKF24" s="120"/>
      <c r="OKG24" s="120"/>
      <c r="OKH24" s="120"/>
      <c r="OKI24" s="120"/>
      <c r="OKJ24" s="120"/>
      <c r="OKK24" s="120"/>
      <c r="OKL24" s="120"/>
      <c r="OKM24" s="120"/>
      <c r="OKN24" s="120"/>
      <c r="OKO24" s="120"/>
      <c r="OKP24" s="120"/>
      <c r="OKQ24" s="120"/>
      <c r="OKR24" s="120"/>
      <c r="OKS24" s="120"/>
      <c r="OKT24" s="120"/>
      <c r="OKU24" s="120"/>
      <c r="OKV24" s="120"/>
      <c r="OKW24" s="120"/>
      <c r="OKX24" s="120"/>
      <c r="OKY24" s="120"/>
      <c r="OKZ24" s="120"/>
      <c r="OLA24" s="120"/>
      <c r="OLB24" s="120"/>
      <c r="OLC24" s="120"/>
      <c r="OLD24" s="120"/>
      <c r="OLE24" s="120"/>
      <c r="OLF24" s="120"/>
      <c r="OLG24" s="120"/>
      <c r="OLH24" s="120"/>
      <c r="OLI24" s="120"/>
      <c r="OLJ24" s="120"/>
      <c r="OLK24" s="120"/>
      <c r="OLL24" s="120"/>
      <c r="OLM24" s="120"/>
      <c r="OLN24" s="120"/>
      <c r="OLO24" s="120"/>
      <c r="OLP24" s="120"/>
      <c r="OLQ24" s="120"/>
      <c r="OLR24" s="120"/>
      <c r="OLS24" s="120"/>
      <c r="OLT24" s="120"/>
      <c r="OLU24" s="120"/>
      <c r="OLV24" s="120"/>
      <c r="OLW24" s="120"/>
      <c r="OLX24" s="120"/>
      <c r="OLY24" s="120"/>
      <c r="OLZ24" s="120"/>
      <c r="OMA24" s="120"/>
      <c r="OMB24" s="120"/>
      <c r="OMC24" s="120"/>
      <c r="OMD24" s="120"/>
      <c r="OME24" s="120"/>
      <c r="OMF24" s="120"/>
      <c r="OMG24" s="120"/>
      <c r="OMH24" s="120"/>
      <c r="OMI24" s="120"/>
      <c r="OMJ24" s="120"/>
      <c r="OMK24" s="120"/>
      <c r="OML24" s="120"/>
      <c r="OMM24" s="120"/>
      <c r="OMN24" s="120"/>
      <c r="OMO24" s="120"/>
      <c r="OMP24" s="120"/>
      <c r="OMQ24" s="120"/>
      <c r="OMR24" s="120"/>
      <c r="OMS24" s="120"/>
      <c r="OMT24" s="120"/>
      <c r="OMU24" s="120"/>
      <c r="OMV24" s="120"/>
      <c r="OMW24" s="120"/>
      <c r="OMX24" s="120"/>
      <c r="OMY24" s="120"/>
      <c r="OMZ24" s="120"/>
      <c r="ONA24" s="120"/>
      <c r="ONB24" s="120"/>
      <c r="ONC24" s="120"/>
      <c r="OND24" s="120"/>
      <c r="ONE24" s="120"/>
      <c r="ONF24" s="120"/>
      <c r="ONG24" s="120"/>
      <c r="ONH24" s="120"/>
      <c r="ONI24" s="120"/>
      <c r="ONJ24" s="120"/>
      <c r="ONK24" s="120"/>
      <c r="ONL24" s="120"/>
      <c r="ONM24" s="120"/>
      <c r="ONN24" s="120"/>
      <c r="ONO24" s="120"/>
      <c r="ONP24" s="120"/>
      <c r="ONQ24" s="120"/>
      <c r="ONR24" s="120"/>
      <c r="ONS24" s="120"/>
      <c r="ONT24" s="120"/>
      <c r="ONU24" s="120"/>
      <c r="ONV24" s="120"/>
      <c r="ONW24" s="120"/>
      <c r="ONX24" s="120"/>
      <c r="ONY24" s="120"/>
      <c r="ONZ24" s="120"/>
      <c r="OOA24" s="120"/>
      <c r="OOB24" s="120"/>
      <c r="OOC24" s="120"/>
      <c r="OOD24" s="120"/>
      <c r="OOE24" s="120"/>
      <c r="OOF24" s="120"/>
      <c r="OOG24" s="120"/>
      <c r="OOH24" s="120"/>
      <c r="OOI24" s="120"/>
      <c r="OOJ24" s="120"/>
      <c r="OOK24" s="120"/>
      <c r="OOL24" s="120"/>
      <c r="OOM24" s="120"/>
      <c r="OON24" s="120"/>
      <c r="OOO24" s="120"/>
      <c r="OOP24" s="120"/>
      <c r="OOQ24" s="120"/>
      <c r="OOR24" s="120"/>
      <c r="OOS24" s="120"/>
      <c r="OOT24" s="120"/>
      <c r="OOU24" s="120"/>
      <c r="OOV24" s="120"/>
      <c r="OOW24" s="120"/>
      <c r="OOX24" s="120"/>
      <c r="OOY24" s="120"/>
      <c r="OOZ24" s="120"/>
      <c r="OPA24" s="120"/>
      <c r="OPB24" s="120"/>
      <c r="OPC24" s="120"/>
      <c r="OPD24" s="120"/>
      <c r="OPE24" s="120"/>
      <c r="OPF24" s="120"/>
      <c r="OPG24" s="120"/>
      <c r="OPH24" s="120"/>
      <c r="OPI24" s="120"/>
      <c r="OPJ24" s="120"/>
      <c r="OPK24" s="120"/>
      <c r="OPL24" s="120"/>
      <c r="OPM24" s="120"/>
      <c r="OPN24" s="120"/>
      <c r="OPO24" s="120"/>
      <c r="OPP24" s="120"/>
      <c r="OPQ24" s="120"/>
      <c r="OPR24" s="120"/>
      <c r="OPS24" s="120"/>
      <c r="OPT24" s="120"/>
      <c r="OPU24" s="120"/>
      <c r="OPV24" s="120"/>
      <c r="OPW24" s="120"/>
      <c r="OPX24" s="120"/>
      <c r="OPY24" s="120"/>
      <c r="OPZ24" s="120"/>
      <c r="OQA24" s="120"/>
      <c r="OQB24" s="120"/>
      <c r="OQC24" s="120"/>
      <c r="OQD24" s="120"/>
      <c r="OQE24" s="120"/>
      <c r="OQF24" s="120"/>
      <c r="OQG24" s="120"/>
      <c r="OQH24" s="120"/>
      <c r="OQI24" s="120"/>
      <c r="OQJ24" s="120"/>
      <c r="OQK24" s="120"/>
      <c r="OQL24" s="120"/>
      <c r="OQM24" s="120"/>
      <c r="OQN24" s="120"/>
      <c r="OQO24" s="120"/>
      <c r="OQP24" s="120"/>
      <c r="OQQ24" s="120"/>
      <c r="OQR24" s="120"/>
      <c r="OQS24" s="120"/>
      <c r="OQT24" s="120"/>
      <c r="OQU24" s="120"/>
      <c r="OQV24" s="120"/>
      <c r="OQW24" s="120"/>
      <c r="OQX24" s="120"/>
      <c r="OQY24" s="120"/>
      <c r="OQZ24" s="120"/>
      <c r="ORA24" s="120"/>
      <c r="ORB24" s="120"/>
      <c r="ORC24" s="120"/>
      <c r="ORD24" s="120"/>
      <c r="ORE24" s="120"/>
      <c r="ORF24" s="120"/>
      <c r="ORG24" s="120"/>
      <c r="ORH24" s="120"/>
      <c r="ORI24" s="120"/>
      <c r="ORJ24" s="120"/>
      <c r="ORK24" s="120"/>
      <c r="ORL24" s="120"/>
      <c r="ORM24" s="120"/>
      <c r="ORN24" s="120"/>
      <c r="ORO24" s="120"/>
      <c r="ORP24" s="120"/>
      <c r="ORQ24" s="120"/>
      <c r="ORR24" s="120"/>
      <c r="ORS24" s="120"/>
      <c r="ORT24" s="120"/>
      <c r="ORU24" s="120"/>
      <c r="ORV24" s="120"/>
      <c r="ORW24" s="120"/>
      <c r="ORX24" s="120"/>
      <c r="ORY24" s="120"/>
      <c r="ORZ24" s="120"/>
      <c r="OSA24" s="120"/>
      <c r="OSB24" s="120"/>
      <c r="OSC24" s="120"/>
      <c r="OSD24" s="120"/>
      <c r="OSE24" s="120"/>
      <c r="OSF24" s="120"/>
      <c r="OSG24" s="120"/>
      <c r="OSH24" s="120"/>
      <c r="OSI24" s="120"/>
      <c r="OSJ24" s="120"/>
      <c r="OSK24" s="120"/>
      <c r="OSL24" s="120"/>
      <c r="OSM24" s="120"/>
      <c r="OSN24" s="120"/>
      <c r="OSO24" s="120"/>
      <c r="OSP24" s="120"/>
      <c r="OSQ24" s="120"/>
      <c r="OSR24" s="120"/>
      <c r="OSS24" s="120"/>
      <c r="OST24" s="120"/>
      <c r="OSU24" s="120"/>
      <c r="OSV24" s="120"/>
      <c r="OSW24" s="120"/>
      <c r="OSX24" s="120"/>
      <c r="OSY24" s="120"/>
      <c r="OSZ24" s="120"/>
      <c r="OTA24" s="120"/>
      <c r="OTB24" s="120"/>
      <c r="OTC24" s="120"/>
      <c r="OTD24" s="120"/>
      <c r="OTE24" s="120"/>
      <c r="OTF24" s="120"/>
      <c r="OTG24" s="120"/>
      <c r="OTH24" s="120"/>
      <c r="OTI24" s="120"/>
      <c r="OTJ24" s="120"/>
      <c r="OTK24" s="120"/>
      <c r="OTL24" s="120"/>
      <c r="OTM24" s="120"/>
      <c r="OTN24" s="120"/>
      <c r="OTO24" s="120"/>
      <c r="OTP24" s="120"/>
      <c r="OTQ24" s="120"/>
      <c r="OTR24" s="120"/>
      <c r="OTS24" s="120"/>
      <c r="OTT24" s="120"/>
      <c r="OTU24" s="120"/>
      <c r="OTV24" s="120"/>
      <c r="OTW24" s="120"/>
      <c r="OTX24" s="120"/>
      <c r="OTY24" s="120"/>
      <c r="OTZ24" s="120"/>
      <c r="OUA24" s="120"/>
      <c r="OUB24" s="120"/>
      <c r="OUC24" s="120"/>
      <c r="OUD24" s="120"/>
      <c r="OUE24" s="120"/>
      <c r="OUF24" s="120"/>
      <c r="OUG24" s="120"/>
      <c r="OUH24" s="120"/>
      <c r="OUI24" s="120"/>
      <c r="OUJ24" s="120"/>
      <c r="OUK24" s="120"/>
      <c r="OUL24" s="120"/>
      <c r="OUM24" s="120"/>
      <c r="OUN24" s="120"/>
      <c r="OUO24" s="120"/>
      <c r="OUP24" s="120"/>
      <c r="OUQ24" s="120"/>
      <c r="OUR24" s="120"/>
      <c r="OUS24" s="120"/>
      <c r="OUT24" s="120"/>
      <c r="OUU24" s="120"/>
      <c r="OUV24" s="120"/>
      <c r="OUW24" s="120"/>
      <c r="OUX24" s="120"/>
      <c r="OUY24" s="120"/>
      <c r="OUZ24" s="120"/>
      <c r="OVA24" s="120"/>
      <c r="OVB24" s="120"/>
      <c r="OVC24" s="120"/>
      <c r="OVD24" s="120"/>
      <c r="OVE24" s="120"/>
      <c r="OVF24" s="120"/>
      <c r="OVG24" s="120"/>
      <c r="OVH24" s="120"/>
      <c r="OVI24" s="120"/>
      <c r="OVJ24" s="120"/>
      <c r="OVK24" s="120"/>
      <c r="OVL24" s="120"/>
      <c r="OVM24" s="120"/>
      <c r="OVN24" s="120"/>
      <c r="OVO24" s="120"/>
      <c r="OVP24" s="120"/>
      <c r="OVQ24" s="120"/>
      <c r="OVR24" s="120"/>
      <c r="OVS24" s="120"/>
      <c r="OVT24" s="120"/>
      <c r="OVU24" s="120"/>
      <c r="OVV24" s="120"/>
      <c r="OVW24" s="120"/>
      <c r="OVX24" s="120"/>
      <c r="OVY24" s="120"/>
      <c r="OVZ24" s="120"/>
      <c r="OWA24" s="120"/>
      <c r="OWB24" s="120"/>
      <c r="OWC24" s="120"/>
      <c r="OWD24" s="120"/>
      <c r="OWE24" s="120"/>
      <c r="OWF24" s="120"/>
      <c r="OWG24" s="120"/>
      <c r="OWH24" s="120"/>
      <c r="OWI24" s="120"/>
      <c r="OWJ24" s="120"/>
      <c r="OWK24" s="120"/>
      <c r="OWL24" s="120"/>
      <c r="OWM24" s="120"/>
      <c r="OWN24" s="120"/>
      <c r="OWO24" s="120"/>
      <c r="OWP24" s="120"/>
      <c r="OWQ24" s="120"/>
      <c r="OWR24" s="120"/>
      <c r="OWS24" s="120"/>
      <c r="OWT24" s="120"/>
      <c r="OWU24" s="120"/>
      <c r="OWV24" s="120"/>
      <c r="OWW24" s="120"/>
      <c r="OWX24" s="120"/>
      <c r="OWY24" s="120"/>
      <c r="OWZ24" s="120"/>
      <c r="OXA24" s="120"/>
      <c r="OXB24" s="120"/>
      <c r="OXC24" s="120"/>
      <c r="OXD24" s="120"/>
      <c r="OXE24" s="120"/>
      <c r="OXF24" s="120"/>
      <c r="OXG24" s="120"/>
      <c r="OXH24" s="120"/>
      <c r="OXI24" s="120"/>
      <c r="OXJ24" s="120"/>
      <c r="OXK24" s="120"/>
      <c r="OXL24" s="120"/>
      <c r="OXM24" s="120"/>
      <c r="OXN24" s="120"/>
      <c r="OXO24" s="120"/>
      <c r="OXP24" s="120"/>
      <c r="OXQ24" s="120"/>
      <c r="OXR24" s="120"/>
      <c r="OXS24" s="120"/>
      <c r="OXT24" s="120"/>
      <c r="OXU24" s="120"/>
      <c r="OXV24" s="120"/>
      <c r="OXW24" s="120"/>
      <c r="OXX24" s="120"/>
      <c r="OXY24" s="120"/>
      <c r="OXZ24" s="120"/>
      <c r="OYA24" s="120"/>
      <c r="OYB24" s="120"/>
      <c r="OYC24" s="120"/>
      <c r="OYD24" s="120"/>
      <c r="OYE24" s="120"/>
      <c r="OYF24" s="120"/>
      <c r="OYG24" s="120"/>
      <c r="OYH24" s="120"/>
      <c r="OYI24" s="120"/>
      <c r="OYJ24" s="120"/>
      <c r="OYK24" s="120"/>
      <c r="OYL24" s="120"/>
      <c r="OYM24" s="120"/>
      <c r="OYN24" s="120"/>
      <c r="OYO24" s="120"/>
      <c r="OYP24" s="120"/>
      <c r="OYQ24" s="120"/>
      <c r="OYR24" s="120"/>
      <c r="OYS24" s="120"/>
      <c r="OYT24" s="120"/>
      <c r="OYU24" s="120"/>
      <c r="OYV24" s="120"/>
      <c r="OYW24" s="120"/>
      <c r="OYX24" s="120"/>
      <c r="OYY24" s="120"/>
      <c r="OYZ24" s="120"/>
      <c r="OZA24" s="120"/>
      <c r="OZB24" s="120"/>
      <c r="OZC24" s="120"/>
      <c r="OZD24" s="120"/>
      <c r="OZE24" s="120"/>
      <c r="OZF24" s="120"/>
      <c r="OZG24" s="120"/>
      <c r="OZH24" s="120"/>
      <c r="OZI24" s="120"/>
      <c r="OZJ24" s="120"/>
      <c r="OZK24" s="120"/>
      <c r="OZL24" s="120"/>
      <c r="OZM24" s="120"/>
      <c r="OZN24" s="120"/>
      <c r="OZO24" s="120"/>
      <c r="OZP24" s="120"/>
      <c r="OZQ24" s="120"/>
      <c r="OZR24" s="120"/>
      <c r="OZS24" s="120"/>
      <c r="OZT24" s="120"/>
      <c r="OZU24" s="120"/>
      <c r="OZV24" s="120"/>
      <c r="OZW24" s="120"/>
      <c r="OZX24" s="120"/>
      <c r="OZY24" s="120"/>
      <c r="OZZ24" s="120"/>
      <c r="PAA24" s="120"/>
      <c r="PAB24" s="120"/>
      <c r="PAC24" s="120"/>
      <c r="PAD24" s="120"/>
      <c r="PAE24" s="120"/>
      <c r="PAF24" s="120"/>
      <c r="PAG24" s="120"/>
      <c r="PAH24" s="120"/>
      <c r="PAI24" s="120"/>
      <c r="PAJ24" s="120"/>
      <c r="PAK24" s="120"/>
      <c r="PAL24" s="120"/>
      <c r="PAM24" s="120"/>
      <c r="PAN24" s="120"/>
      <c r="PAO24" s="120"/>
      <c r="PAP24" s="120"/>
      <c r="PAQ24" s="120"/>
      <c r="PAR24" s="120"/>
      <c r="PAS24" s="120"/>
      <c r="PAT24" s="120"/>
      <c r="PAU24" s="120"/>
      <c r="PAV24" s="120"/>
      <c r="PAW24" s="120"/>
      <c r="PAX24" s="120"/>
      <c r="PAY24" s="120"/>
      <c r="PAZ24" s="120"/>
      <c r="PBA24" s="120"/>
      <c r="PBB24" s="120"/>
      <c r="PBC24" s="120"/>
      <c r="PBD24" s="120"/>
      <c r="PBE24" s="120"/>
      <c r="PBF24" s="120"/>
      <c r="PBG24" s="120"/>
      <c r="PBH24" s="120"/>
      <c r="PBI24" s="120"/>
      <c r="PBJ24" s="120"/>
      <c r="PBK24" s="120"/>
      <c r="PBL24" s="120"/>
      <c r="PBM24" s="120"/>
      <c r="PBN24" s="120"/>
      <c r="PBO24" s="120"/>
      <c r="PBP24" s="120"/>
      <c r="PBQ24" s="120"/>
      <c r="PBR24" s="120"/>
      <c r="PBS24" s="120"/>
      <c r="PBT24" s="120"/>
      <c r="PBU24" s="120"/>
      <c r="PBV24" s="120"/>
      <c r="PBW24" s="120"/>
      <c r="PBX24" s="120"/>
      <c r="PBY24" s="120"/>
      <c r="PBZ24" s="120"/>
      <c r="PCA24" s="120"/>
      <c r="PCB24" s="120"/>
      <c r="PCC24" s="120"/>
      <c r="PCD24" s="120"/>
      <c r="PCE24" s="120"/>
      <c r="PCF24" s="120"/>
      <c r="PCG24" s="120"/>
      <c r="PCH24" s="120"/>
      <c r="PCI24" s="120"/>
      <c r="PCJ24" s="120"/>
      <c r="PCK24" s="120"/>
      <c r="PCL24" s="120"/>
      <c r="PCM24" s="120"/>
      <c r="PCN24" s="120"/>
      <c r="PCO24" s="120"/>
      <c r="PCP24" s="120"/>
      <c r="PCQ24" s="120"/>
      <c r="PCR24" s="120"/>
      <c r="PCS24" s="120"/>
      <c r="PCT24" s="120"/>
      <c r="PCU24" s="120"/>
      <c r="PCV24" s="120"/>
      <c r="PCW24" s="120"/>
      <c r="PCX24" s="120"/>
      <c r="PCY24" s="120"/>
      <c r="PCZ24" s="120"/>
      <c r="PDA24" s="120"/>
      <c r="PDB24" s="120"/>
      <c r="PDC24" s="120"/>
      <c r="PDD24" s="120"/>
      <c r="PDE24" s="120"/>
      <c r="PDF24" s="120"/>
      <c r="PDG24" s="120"/>
      <c r="PDH24" s="120"/>
      <c r="PDI24" s="120"/>
      <c r="PDJ24" s="120"/>
      <c r="PDK24" s="120"/>
      <c r="PDL24" s="120"/>
      <c r="PDM24" s="120"/>
      <c r="PDN24" s="120"/>
      <c r="PDO24" s="120"/>
      <c r="PDP24" s="120"/>
      <c r="PDQ24" s="120"/>
      <c r="PDR24" s="120"/>
      <c r="PDS24" s="120"/>
      <c r="PDT24" s="120"/>
      <c r="PDU24" s="120"/>
      <c r="PDV24" s="120"/>
      <c r="PDW24" s="120"/>
      <c r="PDX24" s="120"/>
      <c r="PDY24" s="120"/>
      <c r="PDZ24" s="120"/>
      <c r="PEA24" s="120"/>
      <c r="PEB24" s="120"/>
      <c r="PEC24" s="120"/>
      <c r="PED24" s="120"/>
      <c r="PEE24" s="120"/>
      <c r="PEF24" s="120"/>
      <c r="PEG24" s="120"/>
      <c r="PEH24" s="120"/>
      <c r="PEI24" s="120"/>
      <c r="PEJ24" s="120"/>
      <c r="PEK24" s="120"/>
      <c r="PEL24" s="120"/>
      <c r="PEM24" s="120"/>
      <c r="PEN24" s="120"/>
      <c r="PEO24" s="120"/>
      <c r="PEP24" s="120"/>
      <c r="PEQ24" s="120"/>
      <c r="PER24" s="120"/>
      <c r="PES24" s="120"/>
      <c r="PET24" s="120"/>
      <c r="PEU24" s="120"/>
      <c r="PEV24" s="120"/>
      <c r="PEW24" s="120"/>
      <c r="PEX24" s="120"/>
      <c r="PEY24" s="120"/>
      <c r="PEZ24" s="120"/>
      <c r="PFA24" s="120"/>
      <c r="PFB24" s="120"/>
      <c r="PFC24" s="120"/>
      <c r="PFD24" s="120"/>
      <c r="PFE24" s="120"/>
      <c r="PFF24" s="120"/>
      <c r="PFG24" s="120"/>
      <c r="PFH24" s="120"/>
      <c r="PFI24" s="120"/>
      <c r="PFJ24" s="120"/>
      <c r="PFK24" s="120"/>
      <c r="PFL24" s="120"/>
      <c r="PFM24" s="120"/>
      <c r="PFN24" s="120"/>
      <c r="PFO24" s="120"/>
      <c r="PFP24" s="120"/>
      <c r="PFQ24" s="120"/>
      <c r="PFR24" s="120"/>
      <c r="PFS24" s="120"/>
      <c r="PFT24" s="120"/>
      <c r="PFU24" s="120"/>
      <c r="PFV24" s="120"/>
      <c r="PFW24" s="120"/>
      <c r="PFX24" s="120"/>
      <c r="PFY24" s="120"/>
      <c r="PFZ24" s="120"/>
      <c r="PGA24" s="120"/>
      <c r="PGB24" s="120"/>
      <c r="PGC24" s="120"/>
      <c r="PGD24" s="120"/>
      <c r="PGE24" s="120"/>
      <c r="PGF24" s="120"/>
      <c r="PGG24" s="120"/>
      <c r="PGH24" s="120"/>
      <c r="PGI24" s="120"/>
      <c r="PGJ24" s="120"/>
      <c r="PGK24" s="120"/>
      <c r="PGL24" s="120"/>
      <c r="PGM24" s="120"/>
      <c r="PGN24" s="120"/>
      <c r="PGO24" s="120"/>
      <c r="PGP24" s="120"/>
      <c r="PGQ24" s="120"/>
      <c r="PGR24" s="120"/>
      <c r="PGS24" s="120"/>
      <c r="PGT24" s="120"/>
      <c r="PGU24" s="120"/>
      <c r="PGV24" s="120"/>
      <c r="PGW24" s="120"/>
      <c r="PGX24" s="120"/>
      <c r="PGY24" s="120"/>
      <c r="PGZ24" s="120"/>
      <c r="PHA24" s="120"/>
      <c r="PHB24" s="120"/>
      <c r="PHC24" s="120"/>
      <c r="PHD24" s="120"/>
      <c r="PHE24" s="120"/>
      <c r="PHF24" s="120"/>
      <c r="PHG24" s="120"/>
      <c r="PHH24" s="120"/>
      <c r="PHI24" s="120"/>
      <c r="PHJ24" s="120"/>
      <c r="PHK24" s="120"/>
      <c r="PHL24" s="120"/>
      <c r="PHM24" s="120"/>
      <c r="PHN24" s="120"/>
      <c r="PHO24" s="120"/>
      <c r="PHP24" s="120"/>
      <c r="PHQ24" s="120"/>
      <c r="PHR24" s="120"/>
      <c r="PHS24" s="120"/>
      <c r="PHT24" s="120"/>
      <c r="PHU24" s="120"/>
      <c r="PHV24" s="120"/>
      <c r="PHW24" s="120"/>
      <c r="PHX24" s="120"/>
      <c r="PHY24" s="120"/>
      <c r="PHZ24" s="120"/>
      <c r="PIA24" s="120"/>
      <c r="PIB24" s="120"/>
      <c r="PIC24" s="120"/>
      <c r="PID24" s="120"/>
      <c r="PIE24" s="120"/>
      <c r="PIF24" s="120"/>
      <c r="PIG24" s="120"/>
      <c r="PIH24" s="120"/>
      <c r="PII24" s="120"/>
      <c r="PIJ24" s="120"/>
      <c r="PIK24" s="120"/>
      <c r="PIL24" s="120"/>
      <c r="PIM24" s="120"/>
      <c r="PIN24" s="120"/>
      <c r="PIO24" s="120"/>
      <c r="PIP24" s="120"/>
      <c r="PIQ24" s="120"/>
      <c r="PIR24" s="120"/>
      <c r="PIS24" s="120"/>
      <c r="PIT24" s="120"/>
      <c r="PIU24" s="120"/>
      <c r="PIV24" s="120"/>
      <c r="PIW24" s="120"/>
      <c r="PIX24" s="120"/>
      <c r="PIY24" s="120"/>
      <c r="PIZ24" s="120"/>
      <c r="PJA24" s="120"/>
      <c r="PJB24" s="120"/>
      <c r="PJC24" s="120"/>
      <c r="PJD24" s="120"/>
      <c r="PJE24" s="120"/>
      <c r="PJF24" s="120"/>
      <c r="PJG24" s="120"/>
      <c r="PJH24" s="120"/>
      <c r="PJI24" s="120"/>
      <c r="PJJ24" s="120"/>
      <c r="PJK24" s="120"/>
      <c r="PJL24" s="120"/>
      <c r="PJM24" s="120"/>
      <c r="PJN24" s="120"/>
      <c r="PJO24" s="120"/>
      <c r="PJP24" s="120"/>
      <c r="PJQ24" s="120"/>
      <c r="PJR24" s="120"/>
      <c r="PJS24" s="120"/>
      <c r="PJT24" s="120"/>
      <c r="PJU24" s="120"/>
      <c r="PJV24" s="120"/>
      <c r="PJW24" s="120"/>
      <c r="PJX24" s="120"/>
      <c r="PJY24" s="120"/>
      <c r="PJZ24" s="120"/>
      <c r="PKA24" s="120"/>
      <c r="PKB24" s="120"/>
      <c r="PKC24" s="120"/>
      <c r="PKD24" s="120"/>
      <c r="PKE24" s="120"/>
      <c r="PKF24" s="120"/>
      <c r="PKG24" s="120"/>
      <c r="PKH24" s="120"/>
      <c r="PKI24" s="120"/>
      <c r="PKJ24" s="120"/>
      <c r="PKK24" s="120"/>
      <c r="PKL24" s="120"/>
      <c r="PKM24" s="120"/>
      <c r="PKN24" s="120"/>
      <c r="PKO24" s="120"/>
      <c r="PKP24" s="120"/>
      <c r="PKQ24" s="120"/>
      <c r="PKR24" s="120"/>
      <c r="PKS24" s="120"/>
      <c r="PKT24" s="120"/>
      <c r="PKU24" s="120"/>
      <c r="PKV24" s="120"/>
      <c r="PKW24" s="120"/>
      <c r="PKX24" s="120"/>
      <c r="PKY24" s="120"/>
      <c r="PKZ24" s="120"/>
      <c r="PLA24" s="120"/>
      <c r="PLB24" s="120"/>
      <c r="PLC24" s="120"/>
      <c r="PLD24" s="120"/>
      <c r="PLE24" s="120"/>
      <c r="PLF24" s="120"/>
      <c r="PLG24" s="120"/>
      <c r="PLH24" s="120"/>
      <c r="PLI24" s="120"/>
      <c r="PLJ24" s="120"/>
      <c r="PLK24" s="120"/>
      <c r="PLL24" s="120"/>
      <c r="PLM24" s="120"/>
      <c r="PLN24" s="120"/>
      <c r="PLO24" s="120"/>
      <c r="PLP24" s="120"/>
      <c r="PLQ24" s="120"/>
      <c r="PLR24" s="120"/>
      <c r="PLS24" s="120"/>
      <c r="PLT24" s="120"/>
      <c r="PLU24" s="120"/>
      <c r="PLV24" s="120"/>
      <c r="PLW24" s="120"/>
      <c r="PLX24" s="120"/>
      <c r="PLY24" s="120"/>
      <c r="PLZ24" s="120"/>
      <c r="PMA24" s="120"/>
      <c r="PMB24" s="120"/>
      <c r="PMC24" s="120"/>
      <c r="PMD24" s="120"/>
      <c r="PME24" s="120"/>
      <c r="PMF24" s="120"/>
      <c r="PMG24" s="120"/>
      <c r="PMH24" s="120"/>
      <c r="PMI24" s="120"/>
      <c r="PMJ24" s="120"/>
      <c r="PMK24" s="120"/>
      <c r="PML24" s="120"/>
      <c r="PMM24" s="120"/>
      <c r="PMN24" s="120"/>
      <c r="PMO24" s="120"/>
      <c r="PMP24" s="120"/>
      <c r="PMQ24" s="120"/>
      <c r="PMR24" s="120"/>
      <c r="PMS24" s="120"/>
      <c r="PMT24" s="120"/>
      <c r="PMU24" s="120"/>
      <c r="PMV24" s="120"/>
      <c r="PMW24" s="120"/>
      <c r="PMX24" s="120"/>
      <c r="PMY24" s="120"/>
      <c r="PMZ24" s="120"/>
      <c r="PNA24" s="120"/>
      <c r="PNB24" s="120"/>
      <c r="PNC24" s="120"/>
      <c r="PND24" s="120"/>
      <c r="PNE24" s="120"/>
      <c r="PNF24" s="120"/>
      <c r="PNG24" s="120"/>
      <c r="PNH24" s="120"/>
      <c r="PNI24" s="120"/>
      <c r="PNJ24" s="120"/>
      <c r="PNK24" s="120"/>
      <c r="PNL24" s="120"/>
      <c r="PNM24" s="120"/>
      <c r="PNN24" s="120"/>
      <c r="PNO24" s="120"/>
      <c r="PNP24" s="120"/>
      <c r="PNQ24" s="120"/>
      <c r="PNR24" s="120"/>
      <c r="PNS24" s="120"/>
      <c r="PNT24" s="120"/>
      <c r="PNU24" s="120"/>
      <c r="PNV24" s="120"/>
      <c r="PNW24" s="120"/>
      <c r="PNX24" s="120"/>
      <c r="PNY24" s="120"/>
      <c r="PNZ24" s="120"/>
      <c r="POA24" s="120"/>
      <c r="POB24" s="120"/>
      <c r="POC24" s="120"/>
      <c r="POD24" s="120"/>
      <c r="POE24" s="120"/>
      <c r="POF24" s="120"/>
      <c r="POG24" s="120"/>
      <c r="POH24" s="120"/>
      <c r="POI24" s="120"/>
      <c r="POJ24" s="120"/>
      <c r="POK24" s="120"/>
      <c r="POL24" s="120"/>
      <c r="POM24" s="120"/>
      <c r="PON24" s="120"/>
      <c r="POO24" s="120"/>
      <c r="POP24" s="120"/>
      <c r="POQ24" s="120"/>
      <c r="POR24" s="120"/>
      <c r="POS24" s="120"/>
      <c r="POT24" s="120"/>
      <c r="POU24" s="120"/>
      <c r="POV24" s="120"/>
      <c r="POW24" s="120"/>
      <c r="POX24" s="120"/>
      <c r="POY24" s="120"/>
      <c r="POZ24" s="120"/>
      <c r="PPA24" s="120"/>
      <c r="PPB24" s="120"/>
      <c r="PPC24" s="120"/>
      <c r="PPD24" s="120"/>
      <c r="PPE24" s="120"/>
      <c r="PPF24" s="120"/>
      <c r="PPG24" s="120"/>
      <c r="PPH24" s="120"/>
      <c r="PPI24" s="120"/>
      <c r="PPJ24" s="120"/>
      <c r="PPK24" s="120"/>
      <c r="PPL24" s="120"/>
      <c r="PPM24" s="120"/>
      <c r="PPN24" s="120"/>
      <c r="PPO24" s="120"/>
      <c r="PPP24" s="120"/>
      <c r="PPQ24" s="120"/>
      <c r="PPR24" s="120"/>
      <c r="PPS24" s="120"/>
      <c r="PPT24" s="120"/>
      <c r="PPU24" s="120"/>
      <c r="PPV24" s="120"/>
      <c r="PPW24" s="120"/>
      <c r="PPX24" s="120"/>
      <c r="PPY24" s="120"/>
      <c r="PPZ24" s="120"/>
      <c r="PQA24" s="120"/>
      <c r="PQB24" s="120"/>
      <c r="PQC24" s="120"/>
      <c r="PQD24" s="120"/>
      <c r="PQE24" s="120"/>
      <c r="PQF24" s="120"/>
      <c r="PQG24" s="120"/>
      <c r="PQH24" s="120"/>
      <c r="PQI24" s="120"/>
      <c r="PQJ24" s="120"/>
      <c r="PQK24" s="120"/>
      <c r="PQL24" s="120"/>
      <c r="PQM24" s="120"/>
      <c r="PQN24" s="120"/>
      <c r="PQO24" s="120"/>
      <c r="PQP24" s="120"/>
      <c r="PQQ24" s="120"/>
      <c r="PQR24" s="120"/>
      <c r="PQS24" s="120"/>
      <c r="PQT24" s="120"/>
      <c r="PQU24" s="120"/>
      <c r="PQV24" s="120"/>
      <c r="PQW24" s="120"/>
      <c r="PQX24" s="120"/>
      <c r="PQY24" s="120"/>
      <c r="PQZ24" s="120"/>
      <c r="PRA24" s="120"/>
      <c r="PRB24" s="120"/>
      <c r="PRC24" s="120"/>
      <c r="PRD24" s="120"/>
      <c r="PRE24" s="120"/>
      <c r="PRF24" s="120"/>
      <c r="PRG24" s="120"/>
      <c r="PRH24" s="120"/>
      <c r="PRI24" s="120"/>
      <c r="PRJ24" s="120"/>
      <c r="PRK24" s="120"/>
      <c r="PRL24" s="120"/>
      <c r="PRM24" s="120"/>
      <c r="PRN24" s="120"/>
      <c r="PRO24" s="120"/>
      <c r="PRP24" s="120"/>
      <c r="PRQ24" s="120"/>
      <c r="PRR24" s="120"/>
      <c r="PRS24" s="120"/>
      <c r="PRT24" s="120"/>
      <c r="PRU24" s="120"/>
      <c r="PRV24" s="120"/>
      <c r="PRW24" s="120"/>
      <c r="PRX24" s="120"/>
      <c r="PRY24" s="120"/>
      <c r="PRZ24" s="120"/>
      <c r="PSA24" s="120"/>
      <c r="PSB24" s="120"/>
      <c r="PSC24" s="120"/>
      <c r="PSD24" s="120"/>
      <c r="PSE24" s="120"/>
      <c r="PSF24" s="120"/>
      <c r="PSG24" s="120"/>
      <c r="PSH24" s="120"/>
      <c r="PSI24" s="120"/>
      <c r="PSJ24" s="120"/>
      <c r="PSK24" s="120"/>
      <c r="PSL24" s="120"/>
      <c r="PSM24" s="120"/>
      <c r="PSN24" s="120"/>
      <c r="PSO24" s="120"/>
      <c r="PSP24" s="120"/>
      <c r="PSQ24" s="120"/>
      <c r="PSR24" s="120"/>
      <c r="PSS24" s="120"/>
      <c r="PST24" s="120"/>
      <c r="PSU24" s="120"/>
      <c r="PSV24" s="120"/>
      <c r="PSW24" s="120"/>
      <c r="PSX24" s="120"/>
      <c r="PSY24" s="120"/>
      <c r="PSZ24" s="120"/>
      <c r="PTA24" s="120"/>
      <c r="PTB24" s="120"/>
      <c r="PTC24" s="120"/>
      <c r="PTD24" s="120"/>
      <c r="PTE24" s="120"/>
      <c r="PTF24" s="120"/>
      <c r="PTG24" s="120"/>
      <c r="PTH24" s="120"/>
      <c r="PTI24" s="120"/>
      <c r="PTJ24" s="120"/>
      <c r="PTK24" s="120"/>
      <c r="PTL24" s="120"/>
      <c r="PTM24" s="120"/>
      <c r="PTN24" s="120"/>
      <c r="PTO24" s="120"/>
      <c r="PTP24" s="120"/>
      <c r="PTQ24" s="120"/>
      <c r="PTR24" s="120"/>
      <c r="PTS24" s="120"/>
      <c r="PTT24" s="120"/>
      <c r="PTU24" s="120"/>
      <c r="PTV24" s="120"/>
      <c r="PTW24" s="120"/>
      <c r="PTX24" s="120"/>
      <c r="PTY24" s="120"/>
      <c r="PTZ24" s="120"/>
      <c r="PUA24" s="120"/>
      <c r="PUB24" s="120"/>
      <c r="PUC24" s="120"/>
      <c r="PUD24" s="120"/>
      <c r="PUE24" s="120"/>
      <c r="PUF24" s="120"/>
      <c r="PUG24" s="120"/>
      <c r="PUH24" s="120"/>
      <c r="PUI24" s="120"/>
      <c r="PUJ24" s="120"/>
      <c r="PUK24" s="120"/>
      <c r="PUL24" s="120"/>
      <c r="PUM24" s="120"/>
      <c r="PUN24" s="120"/>
      <c r="PUO24" s="120"/>
      <c r="PUP24" s="120"/>
      <c r="PUQ24" s="120"/>
      <c r="PUR24" s="120"/>
      <c r="PUS24" s="120"/>
      <c r="PUT24" s="120"/>
      <c r="PUU24" s="120"/>
      <c r="PUV24" s="120"/>
      <c r="PUW24" s="120"/>
      <c r="PUX24" s="120"/>
      <c r="PUY24" s="120"/>
      <c r="PUZ24" s="120"/>
      <c r="PVA24" s="120"/>
      <c r="PVB24" s="120"/>
      <c r="PVC24" s="120"/>
      <c r="PVD24" s="120"/>
      <c r="PVE24" s="120"/>
      <c r="PVF24" s="120"/>
      <c r="PVG24" s="120"/>
      <c r="PVH24" s="120"/>
      <c r="PVI24" s="120"/>
      <c r="PVJ24" s="120"/>
      <c r="PVK24" s="120"/>
      <c r="PVL24" s="120"/>
      <c r="PVM24" s="120"/>
      <c r="PVN24" s="120"/>
      <c r="PVO24" s="120"/>
      <c r="PVP24" s="120"/>
      <c r="PVQ24" s="120"/>
      <c r="PVR24" s="120"/>
      <c r="PVS24" s="120"/>
      <c r="PVT24" s="120"/>
      <c r="PVU24" s="120"/>
      <c r="PVV24" s="120"/>
      <c r="PVW24" s="120"/>
      <c r="PVX24" s="120"/>
      <c r="PVY24" s="120"/>
      <c r="PVZ24" s="120"/>
      <c r="PWA24" s="120"/>
      <c r="PWB24" s="120"/>
      <c r="PWC24" s="120"/>
      <c r="PWD24" s="120"/>
      <c r="PWE24" s="120"/>
      <c r="PWF24" s="120"/>
      <c r="PWG24" s="120"/>
      <c r="PWH24" s="120"/>
      <c r="PWI24" s="120"/>
      <c r="PWJ24" s="120"/>
      <c r="PWK24" s="120"/>
      <c r="PWL24" s="120"/>
      <c r="PWM24" s="120"/>
      <c r="PWN24" s="120"/>
      <c r="PWO24" s="120"/>
      <c r="PWP24" s="120"/>
      <c r="PWQ24" s="120"/>
      <c r="PWR24" s="120"/>
      <c r="PWS24" s="120"/>
      <c r="PWT24" s="120"/>
      <c r="PWU24" s="120"/>
      <c r="PWV24" s="120"/>
      <c r="PWW24" s="120"/>
      <c r="PWX24" s="120"/>
      <c r="PWY24" s="120"/>
      <c r="PWZ24" s="120"/>
      <c r="PXA24" s="120"/>
      <c r="PXB24" s="120"/>
      <c r="PXC24" s="120"/>
      <c r="PXD24" s="120"/>
      <c r="PXE24" s="120"/>
      <c r="PXF24" s="120"/>
      <c r="PXG24" s="120"/>
      <c r="PXH24" s="120"/>
      <c r="PXI24" s="120"/>
      <c r="PXJ24" s="120"/>
      <c r="PXK24" s="120"/>
      <c r="PXL24" s="120"/>
      <c r="PXM24" s="120"/>
      <c r="PXN24" s="120"/>
      <c r="PXO24" s="120"/>
      <c r="PXP24" s="120"/>
      <c r="PXQ24" s="120"/>
      <c r="PXR24" s="120"/>
      <c r="PXS24" s="120"/>
      <c r="PXT24" s="120"/>
      <c r="PXU24" s="120"/>
      <c r="PXV24" s="120"/>
      <c r="PXW24" s="120"/>
      <c r="PXX24" s="120"/>
      <c r="PXY24" s="120"/>
      <c r="PXZ24" s="120"/>
      <c r="PYA24" s="120"/>
      <c r="PYB24" s="120"/>
      <c r="PYC24" s="120"/>
      <c r="PYD24" s="120"/>
      <c r="PYE24" s="120"/>
      <c r="PYF24" s="120"/>
      <c r="PYG24" s="120"/>
      <c r="PYH24" s="120"/>
      <c r="PYI24" s="120"/>
      <c r="PYJ24" s="120"/>
      <c r="PYK24" s="120"/>
      <c r="PYL24" s="120"/>
      <c r="PYM24" s="120"/>
      <c r="PYN24" s="120"/>
      <c r="PYO24" s="120"/>
      <c r="PYP24" s="120"/>
      <c r="PYQ24" s="120"/>
      <c r="PYR24" s="120"/>
      <c r="PYS24" s="120"/>
      <c r="PYT24" s="120"/>
      <c r="PYU24" s="120"/>
      <c r="PYV24" s="120"/>
      <c r="PYW24" s="120"/>
      <c r="PYX24" s="120"/>
      <c r="PYY24" s="120"/>
      <c r="PYZ24" s="120"/>
      <c r="PZA24" s="120"/>
      <c r="PZB24" s="120"/>
      <c r="PZC24" s="120"/>
      <c r="PZD24" s="120"/>
      <c r="PZE24" s="120"/>
      <c r="PZF24" s="120"/>
      <c r="PZG24" s="120"/>
      <c r="PZH24" s="120"/>
      <c r="PZI24" s="120"/>
      <c r="PZJ24" s="120"/>
      <c r="PZK24" s="120"/>
      <c r="PZL24" s="120"/>
      <c r="PZM24" s="120"/>
      <c r="PZN24" s="120"/>
      <c r="PZO24" s="120"/>
      <c r="PZP24" s="120"/>
      <c r="PZQ24" s="120"/>
      <c r="PZR24" s="120"/>
      <c r="PZS24" s="120"/>
      <c r="PZT24" s="120"/>
      <c r="PZU24" s="120"/>
      <c r="PZV24" s="120"/>
      <c r="PZW24" s="120"/>
      <c r="PZX24" s="120"/>
      <c r="PZY24" s="120"/>
      <c r="PZZ24" s="120"/>
      <c r="QAA24" s="120"/>
      <c r="QAB24" s="120"/>
      <c r="QAC24" s="120"/>
      <c r="QAD24" s="120"/>
      <c r="QAE24" s="120"/>
      <c r="QAF24" s="120"/>
      <c r="QAG24" s="120"/>
      <c r="QAH24" s="120"/>
      <c r="QAI24" s="120"/>
      <c r="QAJ24" s="120"/>
      <c r="QAK24" s="120"/>
      <c r="QAL24" s="120"/>
      <c r="QAM24" s="120"/>
      <c r="QAN24" s="120"/>
      <c r="QAO24" s="120"/>
      <c r="QAP24" s="120"/>
      <c r="QAQ24" s="120"/>
      <c r="QAR24" s="120"/>
      <c r="QAS24" s="120"/>
      <c r="QAT24" s="120"/>
      <c r="QAU24" s="120"/>
      <c r="QAV24" s="120"/>
      <c r="QAW24" s="120"/>
      <c r="QAX24" s="120"/>
      <c r="QAY24" s="120"/>
      <c r="QAZ24" s="120"/>
      <c r="QBA24" s="120"/>
      <c r="QBB24" s="120"/>
      <c r="QBC24" s="120"/>
      <c r="QBD24" s="120"/>
      <c r="QBE24" s="120"/>
      <c r="QBF24" s="120"/>
      <c r="QBG24" s="120"/>
      <c r="QBH24" s="120"/>
      <c r="QBI24" s="120"/>
      <c r="QBJ24" s="120"/>
      <c r="QBK24" s="120"/>
      <c r="QBL24" s="120"/>
      <c r="QBM24" s="120"/>
      <c r="QBN24" s="120"/>
      <c r="QBO24" s="120"/>
      <c r="QBP24" s="120"/>
      <c r="QBQ24" s="120"/>
      <c r="QBR24" s="120"/>
      <c r="QBS24" s="120"/>
      <c r="QBT24" s="120"/>
      <c r="QBU24" s="120"/>
      <c r="QBV24" s="120"/>
      <c r="QBW24" s="120"/>
      <c r="QBX24" s="120"/>
      <c r="QBY24" s="120"/>
      <c r="QBZ24" s="120"/>
      <c r="QCA24" s="120"/>
      <c r="QCB24" s="120"/>
      <c r="QCC24" s="120"/>
      <c r="QCD24" s="120"/>
      <c r="QCE24" s="120"/>
      <c r="QCF24" s="120"/>
      <c r="QCG24" s="120"/>
      <c r="QCH24" s="120"/>
      <c r="QCI24" s="120"/>
      <c r="QCJ24" s="120"/>
      <c r="QCK24" s="120"/>
      <c r="QCL24" s="120"/>
      <c r="QCM24" s="120"/>
      <c r="QCN24" s="120"/>
      <c r="QCO24" s="120"/>
      <c r="QCP24" s="120"/>
      <c r="QCQ24" s="120"/>
      <c r="QCR24" s="120"/>
      <c r="QCS24" s="120"/>
      <c r="QCT24" s="120"/>
      <c r="QCU24" s="120"/>
      <c r="QCV24" s="120"/>
      <c r="QCW24" s="120"/>
      <c r="QCX24" s="120"/>
      <c r="QCY24" s="120"/>
      <c r="QCZ24" s="120"/>
      <c r="QDA24" s="120"/>
      <c r="QDB24" s="120"/>
      <c r="QDC24" s="120"/>
      <c r="QDD24" s="120"/>
      <c r="QDE24" s="120"/>
      <c r="QDF24" s="120"/>
      <c r="QDG24" s="120"/>
      <c r="QDH24" s="120"/>
      <c r="QDI24" s="120"/>
      <c r="QDJ24" s="120"/>
      <c r="QDK24" s="120"/>
      <c r="QDL24" s="120"/>
      <c r="QDM24" s="120"/>
      <c r="QDN24" s="120"/>
      <c r="QDO24" s="120"/>
      <c r="QDP24" s="120"/>
      <c r="QDQ24" s="120"/>
      <c r="QDR24" s="120"/>
      <c r="QDS24" s="120"/>
      <c r="QDT24" s="120"/>
      <c r="QDU24" s="120"/>
      <c r="QDV24" s="120"/>
      <c r="QDW24" s="120"/>
      <c r="QDX24" s="120"/>
      <c r="QDY24" s="120"/>
      <c r="QDZ24" s="120"/>
      <c r="QEA24" s="120"/>
      <c r="QEB24" s="120"/>
      <c r="QEC24" s="120"/>
      <c r="QED24" s="120"/>
      <c r="QEE24" s="120"/>
      <c r="QEF24" s="120"/>
      <c r="QEG24" s="120"/>
      <c r="QEH24" s="120"/>
      <c r="QEI24" s="120"/>
      <c r="QEJ24" s="120"/>
      <c r="QEK24" s="120"/>
      <c r="QEL24" s="120"/>
      <c r="QEM24" s="120"/>
      <c r="QEN24" s="120"/>
      <c r="QEO24" s="120"/>
      <c r="QEP24" s="120"/>
      <c r="QEQ24" s="120"/>
      <c r="QER24" s="120"/>
      <c r="QES24" s="120"/>
      <c r="QET24" s="120"/>
      <c r="QEU24" s="120"/>
      <c r="QEV24" s="120"/>
      <c r="QEW24" s="120"/>
      <c r="QEX24" s="120"/>
      <c r="QEY24" s="120"/>
      <c r="QEZ24" s="120"/>
      <c r="QFA24" s="120"/>
      <c r="QFB24" s="120"/>
      <c r="QFC24" s="120"/>
      <c r="QFD24" s="120"/>
      <c r="QFE24" s="120"/>
      <c r="QFF24" s="120"/>
      <c r="QFG24" s="120"/>
      <c r="QFH24" s="120"/>
      <c r="QFI24" s="120"/>
      <c r="QFJ24" s="120"/>
      <c r="QFK24" s="120"/>
      <c r="QFL24" s="120"/>
      <c r="QFM24" s="120"/>
      <c r="QFN24" s="120"/>
      <c r="QFO24" s="120"/>
      <c r="QFP24" s="120"/>
      <c r="QFQ24" s="120"/>
      <c r="QFR24" s="120"/>
      <c r="QFS24" s="120"/>
      <c r="QFT24" s="120"/>
      <c r="QFU24" s="120"/>
      <c r="QFV24" s="120"/>
      <c r="QFW24" s="120"/>
      <c r="QFX24" s="120"/>
      <c r="QFY24" s="120"/>
      <c r="QFZ24" s="120"/>
      <c r="QGA24" s="120"/>
      <c r="QGB24" s="120"/>
      <c r="QGC24" s="120"/>
      <c r="QGD24" s="120"/>
      <c r="QGE24" s="120"/>
      <c r="QGF24" s="120"/>
      <c r="QGG24" s="120"/>
      <c r="QGH24" s="120"/>
      <c r="QGI24" s="120"/>
      <c r="QGJ24" s="120"/>
      <c r="QGK24" s="120"/>
      <c r="QGL24" s="120"/>
      <c r="QGM24" s="120"/>
      <c r="QGN24" s="120"/>
      <c r="QGO24" s="120"/>
      <c r="QGP24" s="120"/>
      <c r="QGQ24" s="120"/>
      <c r="QGR24" s="120"/>
      <c r="QGS24" s="120"/>
      <c r="QGT24" s="120"/>
      <c r="QGU24" s="120"/>
      <c r="QGV24" s="120"/>
      <c r="QGW24" s="120"/>
      <c r="QGX24" s="120"/>
      <c r="QGY24" s="120"/>
      <c r="QGZ24" s="120"/>
      <c r="QHA24" s="120"/>
      <c r="QHB24" s="120"/>
      <c r="QHC24" s="120"/>
      <c r="QHD24" s="120"/>
      <c r="QHE24" s="120"/>
      <c r="QHF24" s="120"/>
      <c r="QHG24" s="120"/>
      <c r="QHH24" s="120"/>
      <c r="QHI24" s="120"/>
      <c r="QHJ24" s="120"/>
      <c r="QHK24" s="120"/>
      <c r="QHL24" s="120"/>
      <c r="QHM24" s="120"/>
      <c r="QHN24" s="120"/>
      <c r="QHO24" s="120"/>
      <c r="QHP24" s="120"/>
      <c r="QHQ24" s="120"/>
      <c r="QHR24" s="120"/>
      <c r="QHS24" s="120"/>
      <c r="QHT24" s="120"/>
      <c r="QHU24" s="120"/>
      <c r="QHV24" s="120"/>
      <c r="QHW24" s="120"/>
      <c r="QHX24" s="120"/>
      <c r="QHY24" s="120"/>
      <c r="QHZ24" s="120"/>
      <c r="QIA24" s="120"/>
      <c r="QIB24" s="120"/>
      <c r="QIC24" s="120"/>
      <c r="QID24" s="120"/>
      <c r="QIE24" s="120"/>
      <c r="QIF24" s="120"/>
      <c r="QIG24" s="120"/>
      <c r="QIH24" s="120"/>
      <c r="QII24" s="120"/>
      <c r="QIJ24" s="120"/>
      <c r="QIK24" s="120"/>
      <c r="QIL24" s="120"/>
      <c r="QIM24" s="120"/>
      <c r="QIN24" s="120"/>
      <c r="QIO24" s="120"/>
      <c r="QIP24" s="120"/>
      <c r="QIQ24" s="120"/>
      <c r="QIR24" s="120"/>
      <c r="QIS24" s="120"/>
      <c r="QIT24" s="120"/>
      <c r="QIU24" s="120"/>
      <c r="QIV24" s="120"/>
      <c r="QIW24" s="120"/>
      <c r="QIX24" s="120"/>
      <c r="QIY24" s="120"/>
      <c r="QIZ24" s="120"/>
      <c r="QJA24" s="120"/>
      <c r="QJB24" s="120"/>
      <c r="QJC24" s="120"/>
      <c r="QJD24" s="120"/>
      <c r="QJE24" s="120"/>
      <c r="QJF24" s="120"/>
      <c r="QJG24" s="120"/>
      <c r="QJH24" s="120"/>
      <c r="QJI24" s="120"/>
      <c r="QJJ24" s="120"/>
      <c r="QJK24" s="120"/>
      <c r="QJL24" s="120"/>
      <c r="QJM24" s="120"/>
      <c r="QJN24" s="120"/>
      <c r="QJO24" s="120"/>
      <c r="QJP24" s="120"/>
      <c r="QJQ24" s="120"/>
      <c r="QJR24" s="120"/>
      <c r="QJS24" s="120"/>
      <c r="QJT24" s="120"/>
      <c r="QJU24" s="120"/>
      <c r="QJV24" s="120"/>
      <c r="QJW24" s="120"/>
      <c r="QJX24" s="120"/>
      <c r="QJY24" s="120"/>
      <c r="QJZ24" s="120"/>
      <c r="QKA24" s="120"/>
      <c r="QKB24" s="120"/>
      <c r="QKC24" s="120"/>
      <c r="QKD24" s="120"/>
      <c r="QKE24" s="120"/>
      <c r="QKF24" s="120"/>
      <c r="QKG24" s="120"/>
      <c r="QKH24" s="120"/>
      <c r="QKI24" s="120"/>
      <c r="QKJ24" s="120"/>
      <c r="QKK24" s="120"/>
      <c r="QKL24" s="120"/>
      <c r="QKM24" s="120"/>
      <c r="QKN24" s="120"/>
      <c r="QKO24" s="120"/>
      <c r="QKP24" s="120"/>
      <c r="QKQ24" s="120"/>
      <c r="QKR24" s="120"/>
      <c r="QKS24" s="120"/>
      <c r="QKT24" s="120"/>
      <c r="QKU24" s="120"/>
      <c r="QKV24" s="120"/>
      <c r="QKW24" s="120"/>
      <c r="QKX24" s="120"/>
      <c r="QKY24" s="120"/>
      <c r="QKZ24" s="120"/>
      <c r="QLA24" s="120"/>
      <c r="QLB24" s="120"/>
      <c r="QLC24" s="120"/>
      <c r="QLD24" s="120"/>
      <c r="QLE24" s="120"/>
      <c r="QLF24" s="120"/>
      <c r="QLG24" s="120"/>
      <c r="QLH24" s="120"/>
      <c r="QLI24" s="120"/>
      <c r="QLJ24" s="120"/>
      <c r="QLK24" s="120"/>
      <c r="QLL24" s="120"/>
      <c r="QLM24" s="120"/>
      <c r="QLN24" s="120"/>
      <c r="QLO24" s="120"/>
      <c r="QLP24" s="120"/>
      <c r="QLQ24" s="120"/>
      <c r="QLR24" s="120"/>
      <c r="QLS24" s="120"/>
      <c r="QLT24" s="120"/>
      <c r="QLU24" s="120"/>
      <c r="QLV24" s="120"/>
      <c r="QLW24" s="120"/>
      <c r="QLX24" s="120"/>
      <c r="QLY24" s="120"/>
      <c r="QLZ24" s="120"/>
      <c r="QMA24" s="120"/>
      <c r="QMB24" s="120"/>
      <c r="QMC24" s="120"/>
      <c r="QMD24" s="120"/>
      <c r="QME24" s="120"/>
      <c r="QMF24" s="120"/>
      <c r="QMG24" s="120"/>
      <c r="QMH24" s="120"/>
      <c r="QMI24" s="120"/>
      <c r="QMJ24" s="120"/>
      <c r="QMK24" s="120"/>
      <c r="QML24" s="120"/>
      <c r="QMM24" s="120"/>
      <c r="QMN24" s="120"/>
      <c r="QMO24" s="120"/>
      <c r="QMP24" s="120"/>
      <c r="QMQ24" s="120"/>
      <c r="QMR24" s="120"/>
      <c r="QMS24" s="120"/>
      <c r="QMT24" s="120"/>
      <c r="QMU24" s="120"/>
      <c r="QMV24" s="120"/>
      <c r="QMW24" s="120"/>
      <c r="QMX24" s="120"/>
      <c r="QMY24" s="120"/>
      <c r="QMZ24" s="120"/>
      <c r="QNA24" s="120"/>
      <c r="QNB24" s="120"/>
      <c r="QNC24" s="120"/>
      <c r="QND24" s="120"/>
      <c r="QNE24" s="120"/>
      <c r="QNF24" s="120"/>
      <c r="QNG24" s="120"/>
      <c r="QNH24" s="120"/>
      <c r="QNI24" s="120"/>
      <c r="QNJ24" s="120"/>
      <c r="QNK24" s="120"/>
      <c r="QNL24" s="120"/>
      <c r="QNM24" s="120"/>
      <c r="QNN24" s="120"/>
      <c r="QNO24" s="120"/>
      <c r="QNP24" s="120"/>
      <c r="QNQ24" s="120"/>
      <c r="QNR24" s="120"/>
      <c r="QNS24" s="120"/>
      <c r="QNT24" s="120"/>
      <c r="QNU24" s="120"/>
      <c r="QNV24" s="120"/>
      <c r="QNW24" s="120"/>
      <c r="QNX24" s="120"/>
      <c r="QNY24" s="120"/>
      <c r="QNZ24" s="120"/>
      <c r="QOA24" s="120"/>
      <c r="QOB24" s="120"/>
      <c r="QOC24" s="120"/>
      <c r="QOD24" s="120"/>
      <c r="QOE24" s="120"/>
      <c r="QOF24" s="120"/>
      <c r="QOG24" s="120"/>
      <c r="QOH24" s="120"/>
      <c r="QOI24" s="120"/>
      <c r="QOJ24" s="120"/>
      <c r="QOK24" s="120"/>
      <c r="QOL24" s="120"/>
      <c r="QOM24" s="120"/>
      <c r="QON24" s="120"/>
      <c r="QOO24" s="120"/>
      <c r="QOP24" s="120"/>
      <c r="QOQ24" s="120"/>
      <c r="QOR24" s="120"/>
      <c r="QOS24" s="120"/>
      <c r="QOT24" s="120"/>
      <c r="QOU24" s="120"/>
      <c r="QOV24" s="120"/>
      <c r="QOW24" s="120"/>
      <c r="QOX24" s="120"/>
      <c r="QOY24" s="120"/>
      <c r="QOZ24" s="120"/>
      <c r="QPA24" s="120"/>
      <c r="QPB24" s="120"/>
      <c r="QPC24" s="120"/>
      <c r="QPD24" s="120"/>
      <c r="QPE24" s="120"/>
      <c r="QPF24" s="120"/>
      <c r="QPG24" s="120"/>
      <c r="QPH24" s="120"/>
      <c r="QPI24" s="120"/>
      <c r="QPJ24" s="120"/>
      <c r="QPK24" s="120"/>
      <c r="QPL24" s="120"/>
      <c r="QPM24" s="120"/>
      <c r="QPN24" s="120"/>
      <c r="QPO24" s="120"/>
      <c r="QPP24" s="120"/>
      <c r="QPQ24" s="120"/>
      <c r="QPR24" s="120"/>
      <c r="QPS24" s="120"/>
      <c r="QPT24" s="120"/>
      <c r="QPU24" s="120"/>
      <c r="QPV24" s="120"/>
      <c r="QPW24" s="120"/>
      <c r="QPX24" s="120"/>
      <c r="QPY24" s="120"/>
      <c r="QPZ24" s="120"/>
      <c r="QQA24" s="120"/>
      <c r="QQB24" s="120"/>
      <c r="QQC24" s="120"/>
      <c r="QQD24" s="120"/>
      <c r="QQE24" s="120"/>
      <c r="QQF24" s="120"/>
      <c r="QQG24" s="120"/>
      <c r="QQH24" s="120"/>
      <c r="QQI24" s="120"/>
      <c r="QQJ24" s="120"/>
      <c r="QQK24" s="120"/>
      <c r="QQL24" s="120"/>
      <c r="QQM24" s="120"/>
      <c r="QQN24" s="120"/>
      <c r="QQO24" s="120"/>
      <c r="QQP24" s="120"/>
      <c r="QQQ24" s="120"/>
      <c r="QQR24" s="120"/>
      <c r="QQS24" s="120"/>
      <c r="QQT24" s="120"/>
      <c r="QQU24" s="120"/>
      <c r="QQV24" s="120"/>
      <c r="QQW24" s="120"/>
      <c r="QQX24" s="120"/>
      <c r="QQY24" s="120"/>
      <c r="QQZ24" s="120"/>
      <c r="QRA24" s="120"/>
      <c r="QRB24" s="120"/>
      <c r="QRC24" s="120"/>
      <c r="QRD24" s="120"/>
      <c r="QRE24" s="120"/>
      <c r="QRF24" s="120"/>
      <c r="QRG24" s="120"/>
      <c r="QRH24" s="120"/>
      <c r="QRI24" s="120"/>
      <c r="QRJ24" s="120"/>
      <c r="QRK24" s="120"/>
      <c r="QRL24" s="120"/>
      <c r="QRM24" s="120"/>
      <c r="QRN24" s="120"/>
      <c r="QRO24" s="120"/>
      <c r="QRP24" s="120"/>
      <c r="QRQ24" s="120"/>
      <c r="QRR24" s="120"/>
      <c r="QRS24" s="120"/>
      <c r="QRT24" s="120"/>
      <c r="QRU24" s="120"/>
      <c r="QRV24" s="120"/>
      <c r="QRW24" s="120"/>
      <c r="QRX24" s="120"/>
      <c r="QRY24" s="120"/>
      <c r="QRZ24" s="120"/>
      <c r="QSA24" s="120"/>
      <c r="QSB24" s="120"/>
      <c r="QSC24" s="120"/>
      <c r="QSD24" s="120"/>
      <c r="QSE24" s="120"/>
      <c r="QSF24" s="120"/>
      <c r="QSG24" s="120"/>
      <c r="QSH24" s="120"/>
      <c r="QSI24" s="120"/>
      <c r="QSJ24" s="120"/>
      <c r="QSK24" s="120"/>
      <c r="QSL24" s="120"/>
      <c r="QSM24" s="120"/>
      <c r="QSN24" s="120"/>
      <c r="QSO24" s="120"/>
      <c r="QSP24" s="120"/>
      <c r="QSQ24" s="120"/>
      <c r="QSR24" s="120"/>
      <c r="QSS24" s="120"/>
      <c r="QST24" s="120"/>
      <c r="QSU24" s="120"/>
      <c r="QSV24" s="120"/>
      <c r="QSW24" s="120"/>
      <c r="QSX24" s="120"/>
      <c r="QSY24" s="120"/>
      <c r="QSZ24" s="120"/>
      <c r="QTA24" s="120"/>
      <c r="QTB24" s="120"/>
      <c r="QTC24" s="120"/>
      <c r="QTD24" s="120"/>
      <c r="QTE24" s="120"/>
      <c r="QTF24" s="120"/>
      <c r="QTG24" s="120"/>
      <c r="QTH24" s="120"/>
      <c r="QTI24" s="120"/>
      <c r="QTJ24" s="120"/>
      <c r="QTK24" s="120"/>
      <c r="QTL24" s="120"/>
      <c r="QTM24" s="120"/>
      <c r="QTN24" s="120"/>
      <c r="QTO24" s="120"/>
      <c r="QTP24" s="120"/>
      <c r="QTQ24" s="120"/>
      <c r="QTR24" s="120"/>
      <c r="QTS24" s="120"/>
      <c r="QTT24" s="120"/>
      <c r="QTU24" s="120"/>
      <c r="QTV24" s="120"/>
      <c r="QTW24" s="120"/>
      <c r="QTX24" s="120"/>
      <c r="QTY24" s="120"/>
      <c r="QTZ24" s="120"/>
      <c r="QUA24" s="120"/>
      <c r="QUB24" s="120"/>
      <c r="QUC24" s="120"/>
      <c r="QUD24" s="120"/>
      <c r="QUE24" s="120"/>
      <c r="QUF24" s="120"/>
      <c r="QUG24" s="120"/>
      <c r="QUH24" s="120"/>
      <c r="QUI24" s="120"/>
      <c r="QUJ24" s="120"/>
      <c r="QUK24" s="120"/>
      <c r="QUL24" s="120"/>
      <c r="QUM24" s="120"/>
      <c r="QUN24" s="120"/>
      <c r="QUO24" s="120"/>
      <c r="QUP24" s="120"/>
      <c r="QUQ24" s="120"/>
      <c r="QUR24" s="120"/>
      <c r="QUS24" s="120"/>
      <c r="QUT24" s="120"/>
      <c r="QUU24" s="120"/>
      <c r="QUV24" s="120"/>
      <c r="QUW24" s="120"/>
      <c r="QUX24" s="120"/>
      <c r="QUY24" s="120"/>
      <c r="QUZ24" s="120"/>
      <c r="QVA24" s="120"/>
      <c r="QVB24" s="120"/>
      <c r="QVC24" s="120"/>
      <c r="QVD24" s="120"/>
      <c r="QVE24" s="120"/>
      <c r="QVF24" s="120"/>
      <c r="QVG24" s="120"/>
      <c r="QVH24" s="120"/>
      <c r="QVI24" s="120"/>
      <c r="QVJ24" s="120"/>
      <c r="QVK24" s="120"/>
      <c r="QVL24" s="120"/>
      <c r="QVM24" s="120"/>
      <c r="QVN24" s="120"/>
      <c r="QVO24" s="120"/>
      <c r="QVP24" s="120"/>
      <c r="QVQ24" s="120"/>
      <c r="QVR24" s="120"/>
      <c r="QVS24" s="120"/>
      <c r="QVT24" s="120"/>
      <c r="QVU24" s="120"/>
      <c r="QVV24" s="120"/>
      <c r="QVW24" s="120"/>
      <c r="QVX24" s="120"/>
      <c r="QVY24" s="120"/>
      <c r="QVZ24" s="120"/>
      <c r="QWA24" s="120"/>
      <c r="QWB24" s="120"/>
      <c r="QWC24" s="120"/>
      <c r="QWD24" s="120"/>
      <c r="QWE24" s="120"/>
      <c r="QWF24" s="120"/>
      <c r="QWG24" s="120"/>
      <c r="QWH24" s="120"/>
      <c r="QWI24" s="120"/>
      <c r="QWJ24" s="120"/>
      <c r="QWK24" s="120"/>
      <c r="QWL24" s="120"/>
      <c r="QWM24" s="120"/>
      <c r="QWN24" s="120"/>
      <c r="QWO24" s="120"/>
      <c r="QWP24" s="120"/>
      <c r="QWQ24" s="120"/>
      <c r="QWR24" s="120"/>
      <c r="QWS24" s="120"/>
      <c r="QWT24" s="120"/>
      <c r="QWU24" s="120"/>
      <c r="QWV24" s="120"/>
      <c r="QWW24" s="120"/>
      <c r="QWX24" s="120"/>
      <c r="QWY24" s="120"/>
      <c r="QWZ24" s="120"/>
      <c r="QXA24" s="120"/>
      <c r="QXB24" s="120"/>
      <c r="QXC24" s="120"/>
      <c r="QXD24" s="120"/>
      <c r="QXE24" s="120"/>
      <c r="QXF24" s="120"/>
      <c r="QXG24" s="120"/>
      <c r="QXH24" s="120"/>
      <c r="QXI24" s="120"/>
      <c r="QXJ24" s="120"/>
      <c r="QXK24" s="120"/>
      <c r="QXL24" s="120"/>
      <c r="QXM24" s="120"/>
      <c r="QXN24" s="120"/>
      <c r="QXO24" s="120"/>
      <c r="QXP24" s="120"/>
      <c r="QXQ24" s="120"/>
      <c r="QXR24" s="120"/>
      <c r="QXS24" s="120"/>
      <c r="QXT24" s="120"/>
      <c r="QXU24" s="120"/>
      <c r="QXV24" s="120"/>
      <c r="QXW24" s="120"/>
      <c r="QXX24" s="120"/>
      <c r="QXY24" s="120"/>
      <c r="QXZ24" s="120"/>
      <c r="QYA24" s="120"/>
      <c r="QYB24" s="120"/>
      <c r="QYC24" s="120"/>
      <c r="QYD24" s="120"/>
      <c r="QYE24" s="120"/>
      <c r="QYF24" s="120"/>
      <c r="QYG24" s="120"/>
      <c r="QYH24" s="120"/>
      <c r="QYI24" s="120"/>
      <c r="QYJ24" s="120"/>
      <c r="QYK24" s="120"/>
      <c r="QYL24" s="120"/>
      <c r="QYM24" s="120"/>
      <c r="QYN24" s="120"/>
      <c r="QYO24" s="120"/>
      <c r="QYP24" s="120"/>
      <c r="QYQ24" s="120"/>
      <c r="QYR24" s="120"/>
      <c r="QYS24" s="120"/>
      <c r="QYT24" s="120"/>
      <c r="QYU24" s="120"/>
      <c r="QYV24" s="120"/>
      <c r="QYW24" s="120"/>
      <c r="QYX24" s="120"/>
      <c r="QYY24" s="120"/>
      <c r="QYZ24" s="120"/>
      <c r="QZA24" s="120"/>
      <c r="QZB24" s="120"/>
      <c r="QZC24" s="120"/>
      <c r="QZD24" s="120"/>
      <c r="QZE24" s="120"/>
      <c r="QZF24" s="120"/>
      <c r="QZG24" s="120"/>
      <c r="QZH24" s="120"/>
      <c r="QZI24" s="120"/>
      <c r="QZJ24" s="120"/>
      <c r="QZK24" s="120"/>
      <c r="QZL24" s="120"/>
      <c r="QZM24" s="120"/>
      <c r="QZN24" s="120"/>
      <c r="QZO24" s="120"/>
      <c r="QZP24" s="120"/>
      <c r="QZQ24" s="120"/>
      <c r="QZR24" s="120"/>
      <c r="QZS24" s="120"/>
      <c r="QZT24" s="120"/>
      <c r="QZU24" s="120"/>
      <c r="QZV24" s="120"/>
      <c r="QZW24" s="120"/>
      <c r="QZX24" s="120"/>
      <c r="QZY24" s="120"/>
      <c r="QZZ24" s="120"/>
      <c r="RAA24" s="120"/>
      <c r="RAB24" s="120"/>
      <c r="RAC24" s="120"/>
      <c r="RAD24" s="120"/>
      <c r="RAE24" s="120"/>
      <c r="RAF24" s="120"/>
      <c r="RAG24" s="120"/>
      <c r="RAH24" s="120"/>
      <c r="RAI24" s="120"/>
      <c r="RAJ24" s="120"/>
      <c r="RAK24" s="120"/>
      <c r="RAL24" s="120"/>
      <c r="RAM24" s="120"/>
      <c r="RAN24" s="120"/>
      <c r="RAO24" s="120"/>
      <c r="RAP24" s="120"/>
      <c r="RAQ24" s="120"/>
      <c r="RAR24" s="120"/>
      <c r="RAS24" s="120"/>
      <c r="RAT24" s="120"/>
      <c r="RAU24" s="120"/>
      <c r="RAV24" s="120"/>
      <c r="RAW24" s="120"/>
      <c r="RAX24" s="120"/>
      <c r="RAY24" s="120"/>
      <c r="RAZ24" s="120"/>
      <c r="RBA24" s="120"/>
      <c r="RBB24" s="120"/>
      <c r="RBC24" s="120"/>
      <c r="RBD24" s="120"/>
      <c r="RBE24" s="120"/>
      <c r="RBF24" s="120"/>
      <c r="RBG24" s="120"/>
      <c r="RBH24" s="120"/>
      <c r="RBI24" s="120"/>
      <c r="RBJ24" s="120"/>
      <c r="RBK24" s="120"/>
      <c r="RBL24" s="120"/>
      <c r="RBM24" s="120"/>
      <c r="RBN24" s="120"/>
      <c r="RBO24" s="120"/>
      <c r="RBP24" s="120"/>
      <c r="RBQ24" s="120"/>
      <c r="RBR24" s="120"/>
      <c r="RBS24" s="120"/>
      <c r="RBT24" s="120"/>
      <c r="RBU24" s="120"/>
      <c r="RBV24" s="120"/>
      <c r="RBW24" s="120"/>
      <c r="RBX24" s="120"/>
      <c r="RBY24" s="120"/>
      <c r="RBZ24" s="120"/>
      <c r="RCA24" s="120"/>
      <c r="RCB24" s="120"/>
      <c r="RCC24" s="120"/>
      <c r="RCD24" s="120"/>
      <c r="RCE24" s="120"/>
      <c r="RCF24" s="120"/>
      <c r="RCG24" s="120"/>
      <c r="RCH24" s="120"/>
      <c r="RCI24" s="120"/>
      <c r="RCJ24" s="120"/>
      <c r="RCK24" s="120"/>
      <c r="RCL24" s="120"/>
      <c r="RCM24" s="120"/>
      <c r="RCN24" s="120"/>
      <c r="RCO24" s="120"/>
      <c r="RCP24" s="120"/>
      <c r="RCQ24" s="120"/>
      <c r="RCR24" s="120"/>
      <c r="RCS24" s="120"/>
      <c r="RCT24" s="120"/>
      <c r="RCU24" s="120"/>
      <c r="RCV24" s="120"/>
      <c r="RCW24" s="120"/>
      <c r="RCX24" s="120"/>
      <c r="RCY24" s="120"/>
      <c r="RCZ24" s="120"/>
      <c r="RDA24" s="120"/>
      <c r="RDB24" s="120"/>
      <c r="RDC24" s="120"/>
      <c r="RDD24" s="120"/>
      <c r="RDE24" s="120"/>
      <c r="RDF24" s="120"/>
      <c r="RDG24" s="120"/>
      <c r="RDH24" s="120"/>
      <c r="RDI24" s="120"/>
      <c r="RDJ24" s="120"/>
      <c r="RDK24" s="120"/>
      <c r="RDL24" s="120"/>
      <c r="RDM24" s="120"/>
      <c r="RDN24" s="120"/>
      <c r="RDO24" s="120"/>
      <c r="RDP24" s="120"/>
      <c r="RDQ24" s="120"/>
      <c r="RDR24" s="120"/>
      <c r="RDS24" s="120"/>
      <c r="RDT24" s="120"/>
      <c r="RDU24" s="120"/>
      <c r="RDV24" s="120"/>
      <c r="RDW24" s="120"/>
      <c r="RDX24" s="120"/>
      <c r="RDY24" s="120"/>
      <c r="RDZ24" s="120"/>
      <c r="REA24" s="120"/>
      <c r="REB24" s="120"/>
      <c r="REC24" s="120"/>
      <c r="RED24" s="120"/>
      <c r="REE24" s="120"/>
      <c r="REF24" s="120"/>
      <c r="REG24" s="120"/>
      <c r="REH24" s="120"/>
      <c r="REI24" s="120"/>
      <c r="REJ24" s="120"/>
      <c r="REK24" s="120"/>
      <c r="REL24" s="120"/>
      <c r="REM24" s="120"/>
      <c r="REN24" s="120"/>
      <c r="REO24" s="120"/>
      <c r="REP24" s="120"/>
      <c r="REQ24" s="120"/>
      <c r="RER24" s="120"/>
      <c r="RES24" s="120"/>
      <c r="RET24" s="120"/>
      <c r="REU24" s="120"/>
      <c r="REV24" s="120"/>
      <c r="REW24" s="120"/>
      <c r="REX24" s="120"/>
      <c r="REY24" s="120"/>
      <c r="REZ24" s="120"/>
      <c r="RFA24" s="120"/>
      <c r="RFB24" s="120"/>
      <c r="RFC24" s="120"/>
      <c r="RFD24" s="120"/>
      <c r="RFE24" s="120"/>
      <c r="RFF24" s="120"/>
      <c r="RFG24" s="120"/>
      <c r="RFH24" s="120"/>
      <c r="RFI24" s="120"/>
      <c r="RFJ24" s="120"/>
      <c r="RFK24" s="120"/>
      <c r="RFL24" s="120"/>
      <c r="RFM24" s="120"/>
      <c r="RFN24" s="120"/>
      <c r="RFO24" s="120"/>
      <c r="RFP24" s="120"/>
      <c r="RFQ24" s="120"/>
      <c r="RFR24" s="120"/>
      <c r="RFS24" s="120"/>
      <c r="RFT24" s="120"/>
      <c r="RFU24" s="120"/>
      <c r="RFV24" s="120"/>
      <c r="RFW24" s="120"/>
      <c r="RFX24" s="120"/>
      <c r="RFY24" s="120"/>
      <c r="RFZ24" s="120"/>
      <c r="RGA24" s="120"/>
      <c r="RGB24" s="120"/>
      <c r="RGC24" s="120"/>
      <c r="RGD24" s="120"/>
      <c r="RGE24" s="120"/>
      <c r="RGF24" s="120"/>
      <c r="RGG24" s="120"/>
      <c r="RGH24" s="120"/>
      <c r="RGI24" s="120"/>
      <c r="RGJ24" s="120"/>
      <c r="RGK24" s="120"/>
      <c r="RGL24" s="120"/>
      <c r="RGM24" s="120"/>
      <c r="RGN24" s="120"/>
      <c r="RGO24" s="120"/>
      <c r="RGP24" s="120"/>
      <c r="RGQ24" s="120"/>
      <c r="RGR24" s="120"/>
      <c r="RGS24" s="120"/>
      <c r="RGT24" s="120"/>
      <c r="RGU24" s="120"/>
      <c r="RGV24" s="120"/>
      <c r="RGW24" s="120"/>
      <c r="RGX24" s="120"/>
      <c r="RGY24" s="120"/>
      <c r="RGZ24" s="120"/>
      <c r="RHA24" s="120"/>
      <c r="RHB24" s="120"/>
      <c r="RHC24" s="120"/>
      <c r="RHD24" s="120"/>
      <c r="RHE24" s="120"/>
      <c r="RHF24" s="120"/>
      <c r="RHG24" s="120"/>
      <c r="RHH24" s="120"/>
      <c r="RHI24" s="120"/>
      <c r="RHJ24" s="120"/>
      <c r="RHK24" s="120"/>
      <c r="RHL24" s="120"/>
      <c r="RHM24" s="120"/>
      <c r="RHN24" s="120"/>
      <c r="RHO24" s="120"/>
      <c r="RHP24" s="120"/>
      <c r="RHQ24" s="120"/>
      <c r="RHR24" s="120"/>
      <c r="RHS24" s="120"/>
      <c r="RHT24" s="120"/>
      <c r="RHU24" s="120"/>
      <c r="RHV24" s="120"/>
      <c r="RHW24" s="120"/>
      <c r="RHX24" s="120"/>
      <c r="RHY24" s="120"/>
      <c r="RHZ24" s="120"/>
      <c r="RIA24" s="120"/>
      <c r="RIB24" s="120"/>
      <c r="RIC24" s="120"/>
      <c r="RID24" s="120"/>
      <c r="RIE24" s="120"/>
      <c r="RIF24" s="120"/>
      <c r="RIG24" s="120"/>
      <c r="RIH24" s="120"/>
      <c r="RII24" s="120"/>
      <c r="RIJ24" s="120"/>
      <c r="RIK24" s="120"/>
      <c r="RIL24" s="120"/>
      <c r="RIM24" s="120"/>
      <c r="RIN24" s="120"/>
      <c r="RIO24" s="120"/>
      <c r="RIP24" s="120"/>
      <c r="RIQ24" s="120"/>
      <c r="RIR24" s="120"/>
      <c r="RIS24" s="120"/>
      <c r="RIT24" s="120"/>
      <c r="RIU24" s="120"/>
      <c r="RIV24" s="120"/>
      <c r="RIW24" s="120"/>
      <c r="RIX24" s="120"/>
      <c r="RIY24" s="120"/>
      <c r="RIZ24" s="120"/>
      <c r="RJA24" s="120"/>
      <c r="RJB24" s="120"/>
      <c r="RJC24" s="120"/>
      <c r="RJD24" s="120"/>
      <c r="RJE24" s="120"/>
      <c r="RJF24" s="120"/>
      <c r="RJG24" s="120"/>
      <c r="RJH24" s="120"/>
      <c r="RJI24" s="120"/>
      <c r="RJJ24" s="120"/>
      <c r="RJK24" s="120"/>
      <c r="RJL24" s="120"/>
      <c r="RJM24" s="120"/>
      <c r="RJN24" s="120"/>
      <c r="RJO24" s="120"/>
      <c r="RJP24" s="120"/>
      <c r="RJQ24" s="120"/>
      <c r="RJR24" s="120"/>
      <c r="RJS24" s="120"/>
      <c r="RJT24" s="120"/>
      <c r="RJU24" s="120"/>
      <c r="RJV24" s="120"/>
      <c r="RJW24" s="120"/>
      <c r="RJX24" s="120"/>
      <c r="RJY24" s="120"/>
      <c r="RJZ24" s="120"/>
      <c r="RKA24" s="120"/>
      <c r="RKB24" s="120"/>
      <c r="RKC24" s="120"/>
      <c r="RKD24" s="120"/>
      <c r="RKE24" s="120"/>
      <c r="RKF24" s="120"/>
      <c r="RKG24" s="120"/>
      <c r="RKH24" s="120"/>
      <c r="RKI24" s="120"/>
      <c r="RKJ24" s="120"/>
      <c r="RKK24" s="120"/>
      <c r="RKL24" s="120"/>
      <c r="RKM24" s="120"/>
      <c r="RKN24" s="120"/>
      <c r="RKO24" s="120"/>
      <c r="RKP24" s="120"/>
      <c r="RKQ24" s="120"/>
      <c r="RKR24" s="120"/>
      <c r="RKS24" s="120"/>
      <c r="RKT24" s="120"/>
      <c r="RKU24" s="120"/>
      <c r="RKV24" s="120"/>
      <c r="RKW24" s="120"/>
      <c r="RKX24" s="120"/>
      <c r="RKY24" s="120"/>
      <c r="RKZ24" s="120"/>
      <c r="RLA24" s="120"/>
      <c r="RLB24" s="120"/>
      <c r="RLC24" s="120"/>
      <c r="RLD24" s="120"/>
      <c r="RLE24" s="120"/>
      <c r="RLF24" s="120"/>
      <c r="RLG24" s="120"/>
      <c r="RLH24" s="120"/>
      <c r="RLI24" s="120"/>
      <c r="RLJ24" s="120"/>
      <c r="RLK24" s="120"/>
      <c r="RLL24" s="120"/>
      <c r="RLM24" s="120"/>
      <c r="RLN24" s="120"/>
      <c r="RLO24" s="120"/>
      <c r="RLP24" s="120"/>
      <c r="RLQ24" s="120"/>
      <c r="RLR24" s="120"/>
      <c r="RLS24" s="120"/>
      <c r="RLT24" s="120"/>
      <c r="RLU24" s="120"/>
      <c r="RLV24" s="120"/>
      <c r="RLW24" s="120"/>
      <c r="RLX24" s="120"/>
      <c r="RLY24" s="120"/>
      <c r="RLZ24" s="120"/>
      <c r="RMA24" s="120"/>
      <c r="RMB24" s="120"/>
      <c r="RMC24" s="120"/>
      <c r="RMD24" s="120"/>
      <c r="RME24" s="120"/>
      <c r="RMF24" s="120"/>
      <c r="RMG24" s="120"/>
      <c r="RMH24" s="120"/>
      <c r="RMI24" s="120"/>
      <c r="RMJ24" s="120"/>
      <c r="RMK24" s="120"/>
      <c r="RML24" s="120"/>
      <c r="RMM24" s="120"/>
      <c r="RMN24" s="120"/>
      <c r="RMO24" s="120"/>
      <c r="RMP24" s="120"/>
      <c r="RMQ24" s="120"/>
      <c r="RMR24" s="120"/>
      <c r="RMS24" s="120"/>
      <c r="RMT24" s="120"/>
      <c r="RMU24" s="120"/>
      <c r="RMV24" s="120"/>
      <c r="RMW24" s="120"/>
      <c r="RMX24" s="120"/>
      <c r="RMY24" s="120"/>
      <c r="RMZ24" s="120"/>
      <c r="RNA24" s="120"/>
      <c r="RNB24" s="120"/>
      <c r="RNC24" s="120"/>
      <c r="RND24" s="120"/>
      <c r="RNE24" s="120"/>
      <c r="RNF24" s="120"/>
      <c r="RNG24" s="120"/>
      <c r="RNH24" s="120"/>
      <c r="RNI24" s="120"/>
      <c r="RNJ24" s="120"/>
      <c r="RNK24" s="120"/>
      <c r="RNL24" s="120"/>
      <c r="RNM24" s="120"/>
      <c r="RNN24" s="120"/>
      <c r="RNO24" s="120"/>
      <c r="RNP24" s="120"/>
      <c r="RNQ24" s="120"/>
      <c r="RNR24" s="120"/>
      <c r="RNS24" s="120"/>
      <c r="RNT24" s="120"/>
      <c r="RNU24" s="120"/>
      <c r="RNV24" s="120"/>
      <c r="RNW24" s="120"/>
      <c r="RNX24" s="120"/>
      <c r="RNY24" s="120"/>
      <c r="RNZ24" s="120"/>
      <c r="ROA24" s="120"/>
      <c r="ROB24" s="120"/>
      <c r="ROC24" s="120"/>
      <c r="ROD24" s="120"/>
      <c r="ROE24" s="120"/>
      <c r="ROF24" s="120"/>
      <c r="ROG24" s="120"/>
      <c r="ROH24" s="120"/>
      <c r="ROI24" s="120"/>
      <c r="ROJ24" s="120"/>
      <c r="ROK24" s="120"/>
      <c r="ROL24" s="120"/>
      <c r="ROM24" s="120"/>
      <c r="RON24" s="120"/>
      <c r="ROO24" s="120"/>
      <c r="ROP24" s="120"/>
      <c r="ROQ24" s="120"/>
      <c r="ROR24" s="120"/>
      <c r="ROS24" s="120"/>
      <c r="ROT24" s="120"/>
      <c r="ROU24" s="120"/>
      <c r="ROV24" s="120"/>
      <c r="ROW24" s="120"/>
      <c r="ROX24" s="120"/>
      <c r="ROY24" s="120"/>
      <c r="ROZ24" s="120"/>
      <c r="RPA24" s="120"/>
      <c r="RPB24" s="120"/>
      <c r="RPC24" s="120"/>
      <c r="RPD24" s="120"/>
      <c r="RPE24" s="120"/>
      <c r="RPF24" s="120"/>
      <c r="RPG24" s="120"/>
      <c r="RPH24" s="120"/>
      <c r="RPI24" s="120"/>
      <c r="RPJ24" s="120"/>
      <c r="RPK24" s="120"/>
      <c r="RPL24" s="120"/>
      <c r="RPM24" s="120"/>
      <c r="RPN24" s="120"/>
      <c r="RPO24" s="120"/>
      <c r="RPP24" s="120"/>
      <c r="RPQ24" s="120"/>
      <c r="RPR24" s="120"/>
      <c r="RPS24" s="120"/>
      <c r="RPT24" s="120"/>
      <c r="RPU24" s="120"/>
      <c r="RPV24" s="120"/>
      <c r="RPW24" s="120"/>
      <c r="RPX24" s="120"/>
      <c r="RPY24" s="120"/>
      <c r="RPZ24" s="120"/>
      <c r="RQA24" s="120"/>
      <c r="RQB24" s="120"/>
      <c r="RQC24" s="120"/>
      <c r="RQD24" s="120"/>
      <c r="RQE24" s="120"/>
      <c r="RQF24" s="120"/>
      <c r="RQG24" s="120"/>
      <c r="RQH24" s="120"/>
      <c r="RQI24" s="120"/>
      <c r="RQJ24" s="120"/>
      <c r="RQK24" s="120"/>
      <c r="RQL24" s="120"/>
      <c r="RQM24" s="120"/>
      <c r="RQN24" s="120"/>
      <c r="RQO24" s="120"/>
      <c r="RQP24" s="120"/>
      <c r="RQQ24" s="120"/>
      <c r="RQR24" s="120"/>
      <c r="RQS24" s="120"/>
      <c r="RQT24" s="120"/>
      <c r="RQU24" s="120"/>
      <c r="RQV24" s="120"/>
      <c r="RQW24" s="120"/>
      <c r="RQX24" s="120"/>
      <c r="RQY24" s="120"/>
      <c r="RQZ24" s="120"/>
      <c r="RRA24" s="120"/>
      <c r="RRB24" s="120"/>
      <c r="RRC24" s="120"/>
      <c r="RRD24" s="120"/>
      <c r="RRE24" s="120"/>
      <c r="RRF24" s="120"/>
      <c r="RRG24" s="120"/>
      <c r="RRH24" s="120"/>
      <c r="RRI24" s="120"/>
      <c r="RRJ24" s="120"/>
      <c r="RRK24" s="120"/>
      <c r="RRL24" s="120"/>
      <c r="RRM24" s="120"/>
      <c r="RRN24" s="120"/>
      <c r="RRO24" s="120"/>
      <c r="RRP24" s="120"/>
      <c r="RRQ24" s="120"/>
      <c r="RRR24" s="120"/>
      <c r="RRS24" s="120"/>
      <c r="RRT24" s="120"/>
      <c r="RRU24" s="120"/>
      <c r="RRV24" s="120"/>
      <c r="RRW24" s="120"/>
      <c r="RRX24" s="120"/>
      <c r="RRY24" s="120"/>
      <c r="RRZ24" s="120"/>
      <c r="RSA24" s="120"/>
      <c r="RSB24" s="120"/>
      <c r="RSC24" s="120"/>
      <c r="RSD24" s="120"/>
      <c r="RSE24" s="120"/>
      <c r="RSF24" s="120"/>
      <c r="RSG24" s="120"/>
      <c r="RSH24" s="120"/>
      <c r="RSI24" s="120"/>
      <c r="RSJ24" s="120"/>
      <c r="RSK24" s="120"/>
      <c r="RSL24" s="120"/>
      <c r="RSM24" s="120"/>
      <c r="RSN24" s="120"/>
      <c r="RSO24" s="120"/>
      <c r="RSP24" s="120"/>
      <c r="RSQ24" s="120"/>
      <c r="RSR24" s="120"/>
      <c r="RSS24" s="120"/>
      <c r="RST24" s="120"/>
      <c r="RSU24" s="120"/>
      <c r="RSV24" s="120"/>
      <c r="RSW24" s="120"/>
      <c r="RSX24" s="120"/>
      <c r="RSY24" s="120"/>
      <c r="RSZ24" s="120"/>
      <c r="RTA24" s="120"/>
      <c r="RTB24" s="120"/>
      <c r="RTC24" s="120"/>
      <c r="RTD24" s="120"/>
      <c r="RTE24" s="120"/>
      <c r="RTF24" s="120"/>
      <c r="RTG24" s="120"/>
      <c r="RTH24" s="120"/>
      <c r="RTI24" s="120"/>
      <c r="RTJ24" s="120"/>
      <c r="RTK24" s="120"/>
      <c r="RTL24" s="120"/>
      <c r="RTM24" s="120"/>
      <c r="RTN24" s="120"/>
      <c r="RTO24" s="120"/>
      <c r="RTP24" s="120"/>
      <c r="RTQ24" s="120"/>
      <c r="RTR24" s="120"/>
      <c r="RTS24" s="120"/>
      <c r="RTT24" s="120"/>
      <c r="RTU24" s="120"/>
      <c r="RTV24" s="120"/>
      <c r="RTW24" s="120"/>
      <c r="RTX24" s="120"/>
      <c r="RTY24" s="120"/>
      <c r="RTZ24" s="120"/>
      <c r="RUA24" s="120"/>
      <c r="RUB24" s="120"/>
      <c r="RUC24" s="120"/>
      <c r="RUD24" s="120"/>
      <c r="RUE24" s="120"/>
      <c r="RUF24" s="120"/>
      <c r="RUG24" s="120"/>
      <c r="RUH24" s="120"/>
      <c r="RUI24" s="120"/>
      <c r="RUJ24" s="120"/>
      <c r="RUK24" s="120"/>
      <c r="RUL24" s="120"/>
      <c r="RUM24" s="120"/>
      <c r="RUN24" s="120"/>
      <c r="RUO24" s="120"/>
      <c r="RUP24" s="120"/>
      <c r="RUQ24" s="120"/>
      <c r="RUR24" s="120"/>
      <c r="RUS24" s="120"/>
      <c r="RUT24" s="120"/>
      <c r="RUU24" s="120"/>
      <c r="RUV24" s="120"/>
      <c r="RUW24" s="120"/>
      <c r="RUX24" s="120"/>
      <c r="RUY24" s="120"/>
      <c r="RUZ24" s="120"/>
      <c r="RVA24" s="120"/>
      <c r="RVB24" s="120"/>
      <c r="RVC24" s="120"/>
      <c r="RVD24" s="120"/>
      <c r="RVE24" s="120"/>
      <c r="RVF24" s="120"/>
      <c r="RVG24" s="120"/>
      <c r="RVH24" s="120"/>
      <c r="RVI24" s="120"/>
      <c r="RVJ24" s="120"/>
      <c r="RVK24" s="120"/>
      <c r="RVL24" s="120"/>
      <c r="RVM24" s="120"/>
      <c r="RVN24" s="120"/>
      <c r="RVO24" s="120"/>
      <c r="RVP24" s="120"/>
      <c r="RVQ24" s="120"/>
      <c r="RVR24" s="120"/>
      <c r="RVS24" s="120"/>
      <c r="RVT24" s="120"/>
      <c r="RVU24" s="120"/>
      <c r="RVV24" s="120"/>
      <c r="RVW24" s="120"/>
      <c r="RVX24" s="120"/>
      <c r="RVY24" s="120"/>
      <c r="RVZ24" s="120"/>
      <c r="RWA24" s="120"/>
      <c r="RWB24" s="120"/>
      <c r="RWC24" s="120"/>
      <c r="RWD24" s="120"/>
      <c r="RWE24" s="120"/>
      <c r="RWF24" s="120"/>
      <c r="RWG24" s="120"/>
      <c r="RWH24" s="120"/>
      <c r="RWI24" s="120"/>
      <c r="RWJ24" s="120"/>
      <c r="RWK24" s="120"/>
      <c r="RWL24" s="120"/>
      <c r="RWM24" s="120"/>
      <c r="RWN24" s="120"/>
      <c r="RWO24" s="120"/>
      <c r="RWP24" s="120"/>
      <c r="RWQ24" s="120"/>
      <c r="RWR24" s="120"/>
      <c r="RWS24" s="120"/>
      <c r="RWT24" s="120"/>
      <c r="RWU24" s="120"/>
      <c r="RWV24" s="120"/>
      <c r="RWW24" s="120"/>
      <c r="RWX24" s="120"/>
      <c r="RWY24" s="120"/>
      <c r="RWZ24" s="120"/>
      <c r="RXA24" s="120"/>
      <c r="RXB24" s="120"/>
      <c r="RXC24" s="120"/>
      <c r="RXD24" s="120"/>
      <c r="RXE24" s="120"/>
      <c r="RXF24" s="120"/>
      <c r="RXG24" s="120"/>
      <c r="RXH24" s="120"/>
      <c r="RXI24" s="120"/>
      <c r="RXJ24" s="120"/>
      <c r="RXK24" s="120"/>
      <c r="RXL24" s="120"/>
      <c r="RXM24" s="120"/>
      <c r="RXN24" s="120"/>
      <c r="RXO24" s="120"/>
      <c r="RXP24" s="120"/>
      <c r="RXQ24" s="120"/>
      <c r="RXR24" s="120"/>
      <c r="RXS24" s="120"/>
      <c r="RXT24" s="120"/>
      <c r="RXU24" s="120"/>
      <c r="RXV24" s="120"/>
      <c r="RXW24" s="120"/>
      <c r="RXX24" s="120"/>
      <c r="RXY24" s="120"/>
      <c r="RXZ24" s="120"/>
      <c r="RYA24" s="120"/>
      <c r="RYB24" s="120"/>
      <c r="RYC24" s="120"/>
      <c r="RYD24" s="120"/>
      <c r="RYE24" s="120"/>
      <c r="RYF24" s="120"/>
      <c r="RYG24" s="120"/>
      <c r="RYH24" s="120"/>
      <c r="RYI24" s="120"/>
      <c r="RYJ24" s="120"/>
      <c r="RYK24" s="120"/>
      <c r="RYL24" s="120"/>
      <c r="RYM24" s="120"/>
      <c r="RYN24" s="120"/>
      <c r="RYO24" s="120"/>
      <c r="RYP24" s="120"/>
      <c r="RYQ24" s="120"/>
      <c r="RYR24" s="120"/>
      <c r="RYS24" s="120"/>
      <c r="RYT24" s="120"/>
      <c r="RYU24" s="120"/>
      <c r="RYV24" s="120"/>
      <c r="RYW24" s="120"/>
      <c r="RYX24" s="120"/>
      <c r="RYY24" s="120"/>
      <c r="RYZ24" s="120"/>
      <c r="RZA24" s="120"/>
      <c r="RZB24" s="120"/>
      <c r="RZC24" s="120"/>
      <c r="RZD24" s="120"/>
      <c r="RZE24" s="120"/>
      <c r="RZF24" s="120"/>
      <c r="RZG24" s="120"/>
      <c r="RZH24" s="120"/>
      <c r="RZI24" s="120"/>
      <c r="RZJ24" s="120"/>
      <c r="RZK24" s="120"/>
      <c r="RZL24" s="120"/>
      <c r="RZM24" s="120"/>
      <c r="RZN24" s="120"/>
      <c r="RZO24" s="120"/>
      <c r="RZP24" s="120"/>
      <c r="RZQ24" s="120"/>
      <c r="RZR24" s="120"/>
      <c r="RZS24" s="120"/>
      <c r="RZT24" s="120"/>
      <c r="RZU24" s="120"/>
      <c r="RZV24" s="120"/>
      <c r="RZW24" s="120"/>
      <c r="RZX24" s="120"/>
      <c r="RZY24" s="120"/>
      <c r="RZZ24" s="120"/>
      <c r="SAA24" s="120"/>
      <c r="SAB24" s="120"/>
      <c r="SAC24" s="120"/>
      <c r="SAD24" s="120"/>
      <c r="SAE24" s="120"/>
      <c r="SAF24" s="120"/>
      <c r="SAG24" s="120"/>
      <c r="SAH24" s="120"/>
      <c r="SAI24" s="120"/>
      <c r="SAJ24" s="120"/>
      <c r="SAK24" s="120"/>
      <c r="SAL24" s="120"/>
      <c r="SAM24" s="120"/>
      <c r="SAN24" s="120"/>
      <c r="SAO24" s="120"/>
      <c r="SAP24" s="120"/>
      <c r="SAQ24" s="120"/>
      <c r="SAR24" s="120"/>
      <c r="SAS24" s="120"/>
      <c r="SAT24" s="120"/>
      <c r="SAU24" s="120"/>
      <c r="SAV24" s="120"/>
      <c r="SAW24" s="120"/>
      <c r="SAX24" s="120"/>
      <c r="SAY24" s="120"/>
      <c r="SAZ24" s="120"/>
      <c r="SBA24" s="120"/>
      <c r="SBB24" s="120"/>
      <c r="SBC24" s="120"/>
      <c r="SBD24" s="120"/>
      <c r="SBE24" s="120"/>
      <c r="SBF24" s="120"/>
      <c r="SBG24" s="120"/>
      <c r="SBH24" s="120"/>
      <c r="SBI24" s="120"/>
      <c r="SBJ24" s="120"/>
      <c r="SBK24" s="120"/>
      <c r="SBL24" s="120"/>
      <c r="SBM24" s="120"/>
      <c r="SBN24" s="120"/>
      <c r="SBO24" s="120"/>
      <c r="SBP24" s="120"/>
      <c r="SBQ24" s="120"/>
      <c r="SBR24" s="120"/>
      <c r="SBS24" s="120"/>
      <c r="SBT24" s="120"/>
      <c r="SBU24" s="120"/>
      <c r="SBV24" s="120"/>
      <c r="SBW24" s="120"/>
      <c r="SBX24" s="120"/>
      <c r="SBY24" s="120"/>
      <c r="SBZ24" s="120"/>
      <c r="SCA24" s="120"/>
      <c r="SCB24" s="120"/>
      <c r="SCC24" s="120"/>
      <c r="SCD24" s="120"/>
      <c r="SCE24" s="120"/>
      <c r="SCF24" s="120"/>
      <c r="SCG24" s="120"/>
      <c r="SCH24" s="120"/>
      <c r="SCI24" s="120"/>
      <c r="SCJ24" s="120"/>
      <c r="SCK24" s="120"/>
      <c r="SCL24" s="120"/>
      <c r="SCM24" s="120"/>
      <c r="SCN24" s="120"/>
      <c r="SCO24" s="120"/>
      <c r="SCP24" s="120"/>
      <c r="SCQ24" s="120"/>
      <c r="SCR24" s="120"/>
      <c r="SCS24" s="120"/>
      <c r="SCT24" s="120"/>
      <c r="SCU24" s="120"/>
      <c r="SCV24" s="120"/>
      <c r="SCW24" s="120"/>
      <c r="SCX24" s="120"/>
      <c r="SCY24" s="120"/>
      <c r="SCZ24" s="120"/>
      <c r="SDA24" s="120"/>
      <c r="SDB24" s="120"/>
      <c r="SDC24" s="120"/>
      <c r="SDD24" s="120"/>
      <c r="SDE24" s="120"/>
      <c r="SDF24" s="120"/>
      <c r="SDG24" s="120"/>
      <c r="SDH24" s="120"/>
      <c r="SDI24" s="120"/>
      <c r="SDJ24" s="120"/>
      <c r="SDK24" s="120"/>
      <c r="SDL24" s="120"/>
      <c r="SDM24" s="120"/>
      <c r="SDN24" s="120"/>
      <c r="SDO24" s="120"/>
      <c r="SDP24" s="120"/>
      <c r="SDQ24" s="120"/>
      <c r="SDR24" s="120"/>
      <c r="SDS24" s="120"/>
      <c r="SDT24" s="120"/>
      <c r="SDU24" s="120"/>
      <c r="SDV24" s="120"/>
      <c r="SDW24" s="120"/>
      <c r="SDX24" s="120"/>
      <c r="SDY24" s="120"/>
      <c r="SDZ24" s="120"/>
      <c r="SEA24" s="120"/>
      <c r="SEB24" s="120"/>
      <c r="SEC24" s="120"/>
      <c r="SED24" s="120"/>
      <c r="SEE24" s="120"/>
      <c r="SEF24" s="120"/>
      <c r="SEG24" s="120"/>
      <c r="SEH24" s="120"/>
      <c r="SEI24" s="120"/>
      <c r="SEJ24" s="120"/>
      <c r="SEK24" s="120"/>
      <c r="SEL24" s="120"/>
      <c r="SEM24" s="120"/>
      <c r="SEN24" s="120"/>
      <c r="SEO24" s="120"/>
      <c r="SEP24" s="120"/>
      <c r="SEQ24" s="120"/>
      <c r="SER24" s="120"/>
      <c r="SES24" s="120"/>
      <c r="SET24" s="120"/>
      <c r="SEU24" s="120"/>
      <c r="SEV24" s="120"/>
      <c r="SEW24" s="120"/>
      <c r="SEX24" s="120"/>
      <c r="SEY24" s="120"/>
      <c r="SEZ24" s="120"/>
      <c r="SFA24" s="120"/>
      <c r="SFB24" s="120"/>
      <c r="SFC24" s="120"/>
      <c r="SFD24" s="120"/>
      <c r="SFE24" s="120"/>
      <c r="SFF24" s="120"/>
      <c r="SFG24" s="120"/>
      <c r="SFH24" s="120"/>
      <c r="SFI24" s="120"/>
      <c r="SFJ24" s="120"/>
      <c r="SFK24" s="120"/>
      <c r="SFL24" s="120"/>
      <c r="SFM24" s="120"/>
      <c r="SFN24" s="120"/>
      <c r="SFO24" s="120"/>
      <c r="SFP24" s="120"/>
      <c r="SFQ24" s="120"/>
      <c r="SFR24" s="120"/>
      <c r="SFS24" s="120"/>
      <c r="SFT24" s="120"/>
      <c r="SFU24" s="120"/>
      <c r="SFV24" s="120"/>
      <c r="SFW24" s="120"/>
      <c r="SFX24" s="120"/>
      <c r="SFY24" s="120"/>
      <c r="SFZ24" s="120"/>
      <c r="SGA24" s="120"/>
      <c r="SGB24" s="120"/>
      <c r="SGC24" s="120"/>
      <c r="SGD24" s="120"/>
      <c r="SGE24" s="120"/>
      <c r="SGF24" s="120"/>
      <c r="SGG24" s="120"/>
      <c r="SGH24" s="120"/>
      <c r="SGI24" s="120"/>
      <c r="SGJ24" s="120"/>
      <c r="SGK24" s="120"/>
      <c r="SGL24" s="120"/>
      <c r="SGM24" s="120"/>
      <c r="SGN24" s="120"/>
      <c r="SGO24" s="120"/>
      <c r="SGP24" s="120"/>
      <c r="SGQ24" s="120"/>
      <c r="SGR24" s="120"/>
      <c r="SGS24" s="120"/>
      <c r="SGT24" s="120"/>
      <c r="SGU24" s="120"/>
      <c r="SGV24" s="120"/>
      <c r="SGW24" s="120"/>
      <c r="SGX24" s="120"/>
      <c r="SGY24" s="120"/>
      <c r="SGZ24" s="120"/>
      <c r="SHA24" s="120"/>
      <c r="SHB24" s="120"/>
      <c r="SHC24" s="120"/>
      <c r="SHD24" s="120"/>
      <c r="SHE24" s="120"/>
      <c r="SHF24" s="120"/>
      <c r="SHG24" s="120"/>
      <c r="SHH24" s="120"/>
      <c r="SHI24" s="120"/>
      <c r="SHJ24" s="120"/>
      <c r="SHK24" s="120"/>
      <c r="SHL24" s="120"/>
      <c r="SHM24" s="120"/>
      <c r="SHN24" s="120"/>
      <c r="SHO24" s="120"/>
      <c r="SHP24" s="120"/>
      <c r="SHQ24" s="120"/>
      <c r="SHR24" s="120"/>
      <c r="SHS24" s="120"/>
      <c r="SHT24" s="120"/>
      <c r="SHU24" s="120"/>
      <c r="SHV24" s="120"/>
      <c r="SHW24" s="120"/>
      <c r="SHX24" s="120"/>
      <c r="SHY24" s="120"/>
      <c r="SHZ24" s="120"/>
      <c r="SIA24" s="120"/>
      <c r="SIB24" s="120"/>
      <c r="SIC24" s="120"/>
      <c r="SID24" s="120"/>
      <c r="SIE24" s="120"/>
      <c r="SIF24" s="120"/>
      <c r="SIG24" s="120"/>
      <c r="SIH24" s="120"/>
      <c r="SII24" s="120"/>
      <c r="SIJ24" s="120"/>
      <c r="SIK24" s="120"/>
      <c r="SIL24" s="120"/>
      <c r="SIM24" s="120"/>
      <c r="SIN24" s="120"/>
      <c r="SIO24" s="120"/>
      <c r="SIP24" s="120"/>
      <c r="SIQ24" s="120"/>
      <c r="SIR24" s="120"/>
      <c r="SIS24" s="120"/>
      <c r="SIT24" s="120"/>
      <c r="SIU24" s="120"/>
      <c r="SIV24" s="120"/>
      <c r="SIW24" s="120"/>
      <c r="SIX24" s="120"/>
      <c r="SIY24" s="120"/>
      <c r="SIZ24" s="120"/>
      <c r="SJA24" s="120"/>
      <c r="SJB24" s="120"/>
      <c r="SJC24" s="120"/>
      <c r="SJD24" s="120"/>
      <c r="SJE24" s="120"/>
      <c r="SJF24" s="120"/>
      <c r="SJG24" s="120"/>
      <c r="SJH24" s="120"/>
      <c r="SJI24" s="120"/>
      <c r="SJJ24" s="120"/>
      <c r="SJK24" s="120"/>
      <c r="SJL24" s="120"/>
      <c r="SJM24" s="120"/>
      <c r="SJN24" s="120"/>
      <c r="SJO24" s="120"/>
      <c r="SJP24" s="120"/>
      <c r="SJQ24" s="120"/>
      <c r="SJR24" s="120"/>
      <c r="SJS24" s="120"/>
      <c r="SJT24" s="120"/>
      <c r="SJU24" s="120"/>
      <c r="SJV24" s="120"/>
      <c r="SJW24" s="120"/>
      <c r="SJX24" s="120"/>
      <c r="SJY24" s="120"/>
      <c r="SJZ24" s="120"/>
      <c r="SKA24" s="120"/>
      <c r="SKB24" s="120"/>
      <c r="SKC24" s="120"/>
      <c r="SKD24" s="120"/>
      <c r="SKE24" s="120"/>
      <c r="SKF24" s="120"/>
      <c r="SKG24" s="120"/>
      <c r="SKH24" s="120"/>
      <c r="SKI24" s="120"/>
      <c r="SKJ24" s="120"/>
      <c r="SKK24" s="120"/>
      <c r="SKL24" s="120"/>
      <c r="SKM24" s="120"/>
      <c r="SKN24" s="120"/>
      <c r="SKO24" s="120"/>
      <c r="SKP24" s="120"/>
      <c r="SKQ24" s="120"/>
      <c r="SKR24" s="120"/>
      <c r="SKS24" s="120"/>
      <c r="SKT24" s="120"/>
      <c r="SKU24" s="120"/>
      <c r="SKV24" s="120"/>
      <c r="SKW24" s="120"/>
      <c r="SKX24" s="120"/>
      <c r="SKY24" s="120"/>
      <c r="SKZ24" s="120"/>
      <c r="SLA24" s="120"/>
      <c r="SLB24" s="120"/>
      <c r="SLC24" s="120"/>
      <c r="SLD24" s="120"/>
      <c r="SLE24" s="120"/>
      <c r="SLF24" s="120"/>
      <c r="SLG24" s="120"/>
      <c r="SLH24" s="120"/>
      <c r="SLI24" s="120"/>
      <c r="SLJ24" s="120"/>
      <c r="SLK24" s="120"/>
      <c r="SLL24" s="120"/>
      <c r="SLM24" s="120"/>
      <c r="SLN24" s="120"/>
      <c r="SLO24" s="120"/>
      <c r="SLP24" s="120"/>
      <c r="SLQ24" s="120"/>
      <c r="SLR24" s="120"/>
      <c r="SLS24" s="120"/>
      <c r="SLT24" s="120"/>
      <c r="SLU24" s="120"/>
      <c r="SLV24" s="120"/>
      <c r="SLW24" s="120"/>
      <c r="SLX24" s="120"/>
      <c r="SLY24" s="120"/>
      <c r="SLZ24" s="120"/>
      <c r="SMA24" s="120"/>
      <c r="SMB24" s="120"/>
      <c r="SMC24" s="120"/>
      <c r="SMD24" s="120"/>
      <c r="SME24" s="120"/>
      <c r="SMF24" s="120"/>
      <c r="SMG24" s="120"/>
      <c r="SMH24" s="120"/>
      <c r="SMI24" s="120"/>
      <c r="SMJ24" s="120"/>
      <c r="SMK24" s="120"/>
      <c r="SML24" s="120"/>
      <c r="SMM24" s="120"/>
      <c r="SMN24" s="120"/>
      <c r="SMO24" s="120"/>
      <c r="SMP24" s="120"/>
      <c r="SMQ24" s="120"/>
      <c r="SMR24" s="120"/>
      <c r="SMS24" s="120"/>
      <c r="SMT24" s="120"/>
      <c r="SMU24" s="120"/>
      <c r="SMV24" s="120"/>
      <c r="SMW24" s="120"/>
      <c r="SMX24" s="120"/>
      <c r="SMY24" s="120"/>
      <c r="SMZ24" s="120"/>
      <c r="SNA24" s="120"/>
      <c r="SNB24" s="120"/>
      <c r="SNC24" s="120"/>
      <c r="SND24" s="120"/>
      <c r="SNE24" s="120"/>
      <c r="SNF24" s="120"/>
      <c r="SNG24" s="120"/>
      <c r="SNH24" s="120"/>
      <c r="SNI24" s="120"/>
      <c r="SNJ24" s="120"/>
      <c r="SNK24" s="120"/>
      <c r="SNL24" s="120"/>
      <c r="SNM24" s="120"/>
      <c r="SNN24" s="120"/>
      <c r="SNO24" s="120"/>
      <c r="SNP24" s="120"/>
      <c r="SNQ24" s="120"/>
      <c r="SNR24" s="120"/>
      <c r="SNS24" s="120"/>
      <c r="SNT24" s="120"/>
      <c r="SNU24" s="120"/>
      <c r="SNV24" s="120"/>
      <c r="SNW24" s="120"/>
      <c r="SNX24" s="120"/>
      <c r="SNY24" s="120"/>
      <c r="SNZ24" s="120"/>
      <c r="SOA24" s="120"/>
      <c r="SOB24" s="120"/>
      <c r="SOC24" s="120"/>
      <c r="SOD24" s="120"/>
      <c r="SOE24" s="120"/>
      <c r="SOF24" s="120"/>
      <c r="SOG24" s="120"/>
      <c r="SOH24" s="120"/>
      <c r="SOI24" s="120"/>
      <c r="SOJ24" s="120"/>
      <c r="SOK24" s="120"/>
      <c r="SOL24" s="120"/>
      <c r="SOM24" s="120"/>
      <c r="SON24" s="120"/>
      <c r="SOO24" s="120"/>
      <c r="SOP24" s="120"/>
      <c r="SOQ24" s="120"/>
      <c r="SOR24" s="120"/>
      <c r="SOS24" s="120"/>
      <c r="SOT24" s="120"/>
      <c r="SOU24" s="120"/>
      <c r="SOV24" s="120"/>
      <c r="SOW24" s="120"/>
      <c r="SOX24" s="120"/>
      <c r="SOY24" s="120"/>
      <c r="SOZ24" s="120"/>
      <c r="SPA24" s="120"/>
      <c r="SPB24" s="120"/>
      <c r="SPC24" s="120"/>
      <c r="SPD24" s="120"/>
      <c r="SPE24" s="120"/>
      <c r="SPF24" s="120"/>
      <c r="SPG24" s="120"/>
      <c r="SPH24" s="120"/>
      <c r="SPI24" s="120"/>
      <c r="SPJ24" s="120"/>
      <c r="SPK24" s="120"/>
      <c r="SPL24" s="120"/>
      <c r="SPM24" s="120"/>
      <c r="SPN24" s="120"/>
      <c r="SPO24" s="120"/>
      <c r="SPP24" s="120"/>
      <c r="SPQ24" s="120"/>
      <c r="SPR24" s="120"/>
      <c r="SPS24" s="120"/>
      <c r="SPT24" s="120"/>
      <c r="SPU24" s="120"/>
      <c r="SPV24" s="120"/>
      <c r="SPW24" s="120"/>
      <c r="SPX24" s="120"/>
      <c r="SPY24" s="120"/>
      <c r="SPZ24" s="120"/>
      <c r="SQA24" s="120"/>
      <c r="SQB24" s="120"/>
      <c r="SQC24" s="120"/>
      <c r="SQD24" s="120"/>
      <c r="SQE24" s="120"/>
      <c r="SQF24" s="120"/>
      <c r="SQG24" s="120"/>
      <c r="SQH24" s="120"/>
      <c r="SQI24" s="120"/>
      <c r="SQJ24" s="120"/>
      <c r="SQK24" s="120"/>
      <c r="SQL24" s="120"/>
      <c r="SQM24" s="120"/>
      <c r="SQN24" s="120"/>
      <c r="SQO24" s="120"/>
      <c r="SQP24" s="120"/>
      <c r="SQQ24" s="120"/>
      <c r="SQR24" s="120"/>
      <c r="SQS24" s="120"/>
      <c r="SQT24" s="120"/>
      <c r="SQU24" s="120"/>
      <c r="SQV24" s="120"/>
      <c r="SQW24" s="120"/>
      <c r="SQX24" s="120"/>
      <c r="SQY24" s="120"/>
      <c r="SQZ24" s="120"/>
      <c r="SRA24" s="120"/>
      <c r="SRB24" s="120"/>
      <c r="SRC24" s="120"/>
      <c r="SRD24" s="120"/>
      <c r="SRE24" s="120"/>
      <c r="SRF24" s="120"/>
      <c r="SRG24" s="120"/>
      <c r="SRH24" s="120"/>
      <c r="SRI24" s="120"/>
      <c r="SRJ24" s="120"/>
      <c r="SRK24" s="120"/>
      <c r="SRL24" s="120"/>
      <c r="SRM24" s="120"/>
      <c r="SRN24" s="120"/>
      <c r="SRO24" s="120"/>
      <c r="SRP24" s="120"/>
      <c r="SRQ24" s="120"/>
      <c r="SRR24" s="120"/>
      <c r="SRS24" s="120"/>
      <c r="SRT24" s="120"/>
      <c r="SRU24" s="120"/>
      <c r="SRV24" s="120"/>
      <c r="SRW24" s="120"/>
      <c r="SRX24" s="120"/>
      <c r="SRY24" s="120"/>
      <c r="SRZ24" s="120"/>
      <c r="SSA24" s="120"/>
      <c r="SSB24" s="120"/>
      <c r="SSC24" s="120"/>
      <c r="SSD24" s="120"/>
      <c r="SSE24" s="120"/>
      <c r="SSF24" s="120"/>
      <c r="SSG24" s="120"/>
      <c r="SSH24" s="120"/>
      <c r="SSI24" s="120"/>
      <c r="SSJ24" s="120"/>
      <c r="SSK24" s="120"/>
      <c r="SSL24" s="120"/>
      <c r="SSM24" s="120"/>
      <c r="SSN24" s="120"/>
      <c r="SSO24" s="120"/>
      <c r="SSP24" s="120"/>
      <c r="SSQ24" s="120"/>
      <c r="SSR24" s="120"/>
      <c r="SSS24" s="120"/>
      <c r="SST24" s="120"/>
      <c r="SSU24" s="120"/>
      <c r="SSV24" s="120"/>
      <c r="SSW24" s="120"/>
      <c r="SSX24" s="120"/>
      <c r="SSY24" s="120"/>
      <c r="SSZ24" s="120"/>
      <c r="STA24" s="120"/>
      <c r="STB24" s="120"/>
      <c r="STC24" s="120"/>
      <c r="STD24" s="120"/>
      <c r="STE24" s="120"/>
      <c r="STF24" s="120"/>
      <c r="STG24" s="120"/>
      <c r="STH24" s="120"/>
      <c r="STI24" s="120"/>
      <c r="STJ24" s="120"/>
      <c r="STK24" s="120"/>
      <c r="STL24" s="120"/>
      <c r="STM24" s="120"/>
      <c r="STN24" s="120"/>
      <c r="STO24" s="120"/>
      <c r="STP24" s="120"/>
      <c r="STQ24" s="120"/>
      <c r="STR24" s="120"/>
      <c r="STS24" s="120"/>
      <c r="STT24" s="120"/>
      <c r="STU24" s="120"/>
      <c r="STV24" s="120"/>
      <c r="STW24" s="120"/>
      <c r="STX24" s="120"/>
      <c r="STY24" s="120"/>
      <c r="STZ24" s="120"/>
      <c r="SUA24" s="120"/>
      <c r="SUB24" s="120"/>
      <c r="SUC24" s="120"/>
      <c r="SUD24" s="120"/>
      <c r="SUE24" s="120"/>
      <c r="SUF24" s="120"/>
      <c r="SUG24" s="120"/>
      <c r="SUH24" s="120"/>
      <c r="SUI24" s="120"/>
      <c r="SUJ24" s="120"/>
      <c r="SUK24" s="120"/>
      <c r="SUL24" s="120"/>
      <c r="SUM24" s="120"/>
      <c r="SUN24" s="120"/>
      <c r="SUO24" s="120"/>
      <c r="SUP24" s="120"/>
      <c r="SUQ24" s="120"/>
      <c r="SUR24" s="120"/>
      <c r="SUS24" s="120"/>
      <c r="SUT24" s="120"/>
      <c r="SUU24" s="120"/>
      <c r="SUV24" s="120"/>
      <c r="SUW24" s="120"/>
      <c r="SUX24" s="120"/>
      <c r="SUY24" s="120"/>
      <c r="SUZ24" s="120"/>
      <c r="SVA24" s="120"/>
      <c r="SVB24" s="120"/>
      <c r="SVC24" s="120"/>
      <c r="SVD24" s="120"/>
      <c r="SVE24" s="120"/>
      <c r="SVF24" s="120"/>
      <c r="SVG24" s="120"/>
      <c r="SVH24" s="120"/>
      <c r="SVI24" s="120"/>
      <c r="SVJ24" s="120"/>
      <c r="SVK24" s="120"/>
      <c r="SVL24" s="120"/>
      <c r="SVM24" s="120"/>
      <c r="SVN24" s="120"/>
      <c r="SVO24" s="120"/>
      <c r="SVP24" s="120"/>
      <c r="SVQ24" s="120"/>
      <c r="SVR24" s="120"/>
      <c r="SVS24" s="120"/>
      <c r="SVT24" s="120"/>
      <c r="SVU24" s="120"/>
      <c r="SVV24" s="120"/>
      <c r="SVW24" s="120"/>
      <c r="SVX24" s="120"/>
      <c r="SVY24" s="120"/>
      <c r="SVZ24" s="120"/>
      <c r="SWA24" s="120"/>
      <c r="SWB24" s="120"/>
      <c r="SWC24" s="120"/>
      <c r="SWD24" s="120"/>
      <c r="SWE24" s="120"/>
      <c r="SWF24" s="120"/>
      <c r="SWG24" s="120"/>
      <c r="SWH24" s="120"/>
      <c r="SWI24" s="120"/>
      <c r="SWJ24" s="120"/>
      <c r="SWK24" s="120"/>
      <c r="SWL24" s="120"/>
      <c r="SWM24" s="120"/>
      <c r="SWN24" s="120"/>
      <c r="SWO24" s="120"/>
      <c r="SWP24" s="120"/>
      <c r="SWQ24" s="120"/>
      <c r="SWR24" s="120"/>
      <c r="SWS24" s="120"/>
      <c r="SWT24" s="120"/>
      <c r="SWU24" s="120"/>
      <c r="SWV24" s="120"/>
      <c r="SWW24" s="120"/>
      <c r="SWX24" s="120"/>
      <c r="SWY24" s="120"/>
      <c r="SWZ24" s="120"/>
      <c r="SXA24" s="120"/>
      <c r="SXB24" s="120"/>
      <c r="SXC24" s="120"/>
      <c r="SXD24" s="120"/>
      <c r="SXE24" s="120"/>
      <c r="SXF24" s="120"/>
      <c r="SXG24" s="120"/>
      <c r="SXH24" s="120"/>
      <c r="SXI24" s="120"/>
      <c r="SXJ24" s="120"/>
      <c r="SXK24" s="120"/>
      <c r="SXL24" s="120"/>
      <c r="SXM24" s="120"/>
      <c r="SXN24" s="120"/>
      <c r="SXO24" s="120"/>
      <c r="SXP24" s="120"/>
      <c r="SXQ24" s="120"/>
      <c r="SXR24" s="120"/>
      <c r="SXS24" s="120"/>
      <c r="SXT24" s="120"/>
      <c r="SXU24" s="120"/>
      <c r="SXV24" s="120"/>
      <c r="SXW24" s="120"/>
      <c r="SXX24" s="120"/>
      <c r="SXY24" s="120"/>
      <c r="SXZ24" s="120"/>
      <c r="SYA24" s="120"/>
      <c r="SYB24" s="120"/>
      <c r="SYC24" s="120"/>
      <c r="SYD24" s="120"/>
      <c r="SYE24" s="120"/>
      <c r="SYF24" s="120"/>
      <c r="SYG24" s="120"/>
      <c r="SYH24" s="120"/>
      <c r="SYI24" s="120"/>
      <c r="SYJ24" s="120"/>
      <c r="SYK24" s="120"/>
      <c r="SYL24" s="120"/>
      <c r="SYM24" s="120"/>
      <c r="SYN24" s="120"/>
      <c r="SYO24" s="120"/>
      <c r="SYP24" s="120"/>
      <c r="SYQ24" s="120"/>
      <c r="SYR24" s="120"/>
      <c r="SYS24" s="120"/>
      <c r="SYT24" s="120"/>
      <c r="SYU24" s="120"/>
      <c r="SYV24" s="120"/>
      <c r="SYW24" s="120"/>
      <c r="SYX24" s="120"/>
      <c r="SYY24" s="120"/>
      <c r="SYZ24" s="120"/>
      <c r="SZA24" s="120"/>
      <c r="SZB24" s="120"/>
      <c r="SZC24" s="120"/>
      <c r="SZD24" s="120"/>
      <c r="SZE24" s="120"/>
      <c r="SZF24" s="120"/>
      <c r="SZG24" s="120"/>
      <c r="SZH24" s="120"/>
      <c r="SZI24" s="120"/>
      <c r="SZJ24" s="120"/>
      <c r="SZK24" s="120"/>
      <c r="SZL24" s="120"/>
      <c r="SZM24" s="120"/>
      <c r="SZN24" s="120"/>
      <c r="SZO24" s="120"/>
      <c r="SZP24" s="120"/>
      <c r="SZQ24" s="120"/>
      <c r="SZR24" s="120"/>
      <c r="SZS24" s="120"/>
      <c r="SZT24" s="120"/>
      <c r="SZU24" s="120"/>
      <c r="SZV24" s="120"/>
      <c r="SZW24" s="120"/>
      <c r="SZX24" s="120"/>
      <c r="SZY24" s="120"/>
      <c r="SZZ24" s="120"/>
      <c r="TAA24" s="120"/>
      <c r="TAB24" s="120"/>
      <c r="TAC24" s="120"/>
      <c r="TAD24" s="120"/>
      <c r="TAE24" s="120"/>
      <c r="TAF24" s="120"/>
      <c r="TAG24" s="120"/>
      <c r="TAH24" s="120"/>
      <c r="TAI24" s="120"/>
      <c r="TAJ24" s="120"/>
      <c r="TAK24" s="120"/>
      <c r="TAL24" s="120"/>
      <c r="TAM24" s="120"/>
      <c r="TAN24" s="120"/>
      <c r="TAO24" s="120"/>
      <c r="TAP24" s="120"/>
      <c r="TAQ24" s="120"/>
      <c r="TAR24" s="120"/>
      <c r="TAS24" s="120"/>
      <c r="TAT24" s="120"/>
      <c r="TAU24" s="120"/>
      <c r="TAV24" s="120"/>
      <c r="TAW24" s="120"/>
      <c r="TAX24" s="120"/>
      <c r="TAY24" s="120"/>
      <c r="TAZ24" s="120"/>
      <c r="TBA24" s="120"/>
      <c r="TBB24" s="120"/>
      <c r="TBC24" s="120"/>
      <c r="TBD24" s="120"/>
      <c r="TBE24" s="120"/>
      <c r="TBF24" s="120"/>
      <c r="TBG24" s="120"/>
      <c r="TBH24" s="120"/>
      <c r="TBI24" s="120"/>
      <c r="TBJ24" s="120"/>
      <c r="TBK24" s="120"/>
      <c r="TBL24" s="120"/>
      <c r="TBM24" s="120"/>
      <c r="TBN24" s="120"/>
      <c r="TBO24" s="120"/>
      <c r="TBP24" s="120"/>
      <c r="TBQ24" s="120"/>
      <c r="TBR24" s="120"/>
      <c r="TBS24" s="120"/>
      <c r="TBT24" s="120"/>
      <c r="TBU24" s="120"/>
      <c r="TBV24" s="120"/>
      <c r="TBW24" s="120"/>
      <c r="TBX24" s="120"/>
      <c r="TBY24" s="120"/>
      <c r="TBZ24" s="120"/>
      <c r="TCA24" s="120"/>
      <c r="TCB24" s="120"/>
      <c r="TCC24" s="120"/>
      <c r="TCD24" s="120"/>
      <c r="TCE24" s="120"/>
      <c r="TCF24" s="120"/>
      <c r="TCG24" s="120"/>
      <c r="TCH24" s="120"/>
      <c r="TCI24" s="120"/>
      <c r="TCJ24" s="120"/>
      <c r="TCK24" s="120"/>
      <c r="TCL24" s="120"/>
      <c r="TCM24" s="120"/>
      <c r="TCN24" s="120"/>
      <c r="TCO24" s="120"/>
      <c r="TCP24" s="120"/>
      <c r="TCQ24" s="120"/>
      <c r="TCR24" s="120"/>
      <c r="TCS24" s="120"/>
      <c r="TCT24" s="120"/>
      <c r="TCU24" s="120"/>
      <c r="TCV24" s="120"/>
      <c r="TCW24" s="120"/>
      <c r="TCX24" s="120"/>
      <c r="TCY24" s="120"/>
      <c r="TCZ24" s="120"/>
      <c r="TDA24" s="120"/>
      <c r="TDB24" s="120"/>
      <c r="TDC24" s="120"/>
      <c r="TDD24" s="120"/>
      <c r="TDE24" s="120"/>
      <c r="TDF24" s="120"/>
      <c r="TDG24" s="120"/>
      <c r="TDH24" s="120"/>
      <c r="TDI24" s="120"/>
      <c r="TDJ24" s="120"/>
      <c r="TDK24" s="120"/>
      <c r="TDL24" s="120"/>
      <c r="TDM24" s="120"/>
      <c r="TDN24" s="120"/>
      <c r="TDO24" s="120"/>
      <c r="TDP24" s="120"/>
      <c r="TDQ24" s="120"/>
      <c r="TDR24" s="120"/>
      <c r="TDS24" s="120"/>
      <c r="TDT24" s="120"/>
      <c r="TDU24" s="120"/>
      <c r="TDV24" s="120"/>
      <c r="TDW24" s="120"/>
      <c r="TDX24" s="120"/>
      <c r="TDY24" s="120"/>
      <c r="TDZ24" s="120"/>
      <c r="TEA24" s="120"/>
      <c r="TEB24" s="120"/>
      <c r="TEC24" s="120"/>
      <c r="TED24" s="120"/>
      <c r="TEE24" s="120"/>
      <c r="TEF24" s="120"/>
      <c r="TEG24" s="120"/>
      <c r="TEH24" s="120"/>
      <c r="TEI24" s="120"/>
      <c r="TEJ24" s="120"/>
      <c r="TEK24" s="120"/>
      <c r="TEL24" s="120"/>
      <c r="TEM24" s="120"/>
      <c r="TEN24" s="120"/>
      <c r="TEO24" s="120"/>
      <c r="TEP24" s="120"/>
      <c r="TEQ24" s="120"/>
      <c r="TER24" s="120"/>
      <c r="TES24" s="120"/>
      <c r="TET24" s="120"/>
      <c r="TEU24" s="120"/>
      <c r="TEV24" s="120"/>
      <c r="TEW24" s="120"/>
      <c r="TEX24" s="120"/>
      <c r="TEY24" s="120"/>
      <c r="TEZ24" s="120"/>
      <c r="TFA24" s="120"/>
      <c r="TFB24" s="120"/>
      <c r="TFC24" s="120"/>
      <c r="TFD24" s="120"/>
      <c r="TFE24" s="120"/>
      <c r="TFF24" s="120"/>
      <c r="TFG24" s="120"/>
      <c r="TFH24" s="120"/>
      <c r="TFI24" s="120"/>
      <c r="TFJ24" s="120"/>
      <c r="TFK24" s="120"/>
      <c r="TFL24" s="120"/>
      <c r="TFM24" s="120"/>
      <c r="TFN24" s="120"/>
      <c r="TFO24" s="120"/>
      <c r="TFP24" s="120"/>
      <c r="TFQ24" s="120"/>
      <c r="TFR24" s="120"/>
      <c r="TFS24" s="120"/>
      <c r="TFT24" s="120"/>
      <c r="TFU24" s="120"/>
      <c r="TFV24" s="120"/>
      <c r="TFW24" s="120"/>
      <c r="TFX24" s="120"/>
      <c r="TFY24" s="120"/>
      <c r="TFZ24" s="120"/>
      <c r="TGA24" s="120"/>
      <c r="TGB24" s="120"/>
      <c r="TGC24" s="120"/>
      <c r="TGD24" s="120"/>
      <c r="TGE24" s="120"/>
      <c r="TGF24" s="120"/>
      <c r="TGG24" s="120"/>
      <c r="TGH24" s="120"/>
      <c r="TGI24" s="120"/>
      <c r="TGJ24" s="120"/>
      <c r="TGK24" s="120"/>
      <c r="TGL24" s="120"/>
      <c r="TGM24" s="120"/>
      <c r="TGN24" s="120"/>
      <c r="TGO24" s="120"/>
      <c r="TGP24" s="120"/>
      <c r="TGQ24" s="120"/>
      <c r="TGR24" s="120"/>
      <c r="TGS24" s="120"/>
      <c r="TGT24" s="120"/>
      <c r="TGU24" s="120"/>
      <c r="TGV24" s="120"/>
      <c r="TGW24" s="120"/>
      <c r="TGX24" s="120"/>
      <c r="TGY24" s="120"/>
      <c r="TGZ24" s="120"/>
      <c r="THA24" s="120"/>
      <c r="THB24" s="120"/>
      <c r="THC24" s="120"/>
      <c r="THD24" s="120"/>
      <c r="THE24" s="120"/>
      <c r="THF24" s="120"/>
      <c r="THG24" s="120"/>
      <c r="THH24" s="120"/>
      <c r="THI24" s="120"/>
      <c r="THJ24" s="120"/>
      <c r="THK24" s="120"/>
      <c r="THL24" s="120"/>
      <c r="THM24" s="120"/>
      <c r="THN24" s="120"/>
      <c r="THO24" s="120"/>
      <c r="THP24" s="120"/>
      <c r="THQ24" s="120"/>
      <c r="THR24" s="120"/>
      <c r="THS24" s="120"/>
      <c r="THT24" s="120"/>
      <c r="THU24" s="120"/>
      <c r="THV24" s="120"/>
      <c r="THW24" s="120"/>
      <c r="THX24" s="120"/>
      <c r="THY24" s="120"/>
      <c r="THZ24" s="120"/>
      <c r="TIA24" s="120"/>
      <c r="TIB24" s="120"/>
      <c r="TIC24" s="120"/>
      <c r="TID24" s="120"/>
      <c r="TIE24" s="120"/>
      <c r="TIF24" s="120"/>
      <c r="TIG24" s="120"/>
      <c r="TIH24" s="120"/>
      <c r="TII24" s="120"/>
      <c r="TIJ24" s="120"/>
      <c r="TIK24" s="120"/>
      <c r="TIL24" s="120"/>
      <c r="TIM24" s="120"/>
      <c r="TIN24" s="120"/>
      <c r="TIO24" s="120"/>
      <c r="TIP24" s="120"/>
      <c r="TIQ24" s="120"/>
      <c r="TIR24" s="120"/>
      <c r="TIS24" s="120"/>
      <c r="TIT24" s="120"/>
      <c r="TIU24" s="120"/>
      <c r="TIV24" s="120"/>
      <c r="TIW24" s="120"/>
      <c r="TIX24" s="120"/>
      <c r="TIY24" s="120"/>
      <c r="TIZ24" s="120"/>
      <c r="TJA24" s="120"/>
      <c r="TJB24" s="120"/>
      <c r="TJC24" s="120"/>
      <c r="TJD24" s="120"/>
      <c r="TJE24" s="120"/>
      <c r="TJF24" s="120"/>
      <c r="TJG24" s="120"/>
      <c r="TJH24" s="120"/>
      <c r="TJI24" s="120"/>
      <c r="TJJ24" s="120"/>
      <c r="TJK24" s="120"/>
      <c r="TJL24" s="120"/>
      <c r="TJM24" s="120"/>
      <c r="TJN24" s="120"/>
      <c r="TJO24" s="120"/>
      <c r="TJP24" s="120"/>
      <c r="TJQ24" s="120"/>
      <c r="TJR24" s="120"/>
      <c r="TJS24" s="120"/>
      <c r="TJT24" s="120"/>
      <c r="TJU24" s="120"/>
      <c r="TJV24" s="120"/>
      <c r="TJW24" s="120"/>
      <c r="TJX24" s="120"/>
      <c r="TJY24" s="120"/>
      <c r="TJZ24" s="120"/>
      <c r="TKA24" s="120"/>
      <c r="TKB24" s="120"/>
      <c r="TKC24" s="120"/>
      <c r="TKD24" s="120"/>
      <c r="TKE24" s="120"/>
      <c r="TKF24" s="120"/>
      <c r="TKG24" s="120"/>
      <c r="TKH24" s="120"/>
      <c r="TKI24" s="120"/>
      <c r="TKJ24" s="120"/>
      <c r="TKK24" s="120"/>
      <c r="TKL24" s="120"/>
      <c r="TKM24" s="120"/>
      <c r="TKN24" s="120"/>
      <c r="TKO24" s="120"/>
      <c r="TKP24" s="120"/>
      <c r="TKQ24" s="120"/>
      <c r="TKR24" s="120"/>
      <c r="TKS24" s="120"/>
      <c r="TKT24" s="120"/>
      <c r="TKU24" s="120"/>
      <c r="TKV24" s="120"/>
      <c r="TKW24" s="120"/>
      <c r="TKX24" s="120"/>
      <c r="TKY24" s="120"/>
      <c r="TKZ24" s="120"/>
      <c r="TLA24" s="120"/>
      <c r="TLB24" s="120"/>
      <c r="TLC24" s="120"/>
      <c r="TLD24" s="120"/>
      <c r="TLE24" s="120"/>
      <c r="TLF24" s="120"/>
      <c r="TLG24" s="120"/>
      <c r="TLH24" s="120"/>
      <c r="TLI24" s="120"/>
      <c r="TLJ24" s="120"/>
      <c r="TLK24" s="120"/>
      <c r="TLL24" s="120"/>
      <c r="TLM24" s="120"/>
      <c r="TLN24" s="120"/>
      <c r="TLO24" s="120"/>
      <c r="TLP24" s="120"/>
      <c r="TLQ24" s="120"/>
      <c r="TLR24" s="120"/>
      <c r="TLS24" s="120"/>
      <c r="TLT24" s="120"/>
      <c r="TLU24" s="120"/>
      <c r="TLV24" s="120"/>
      <c r="TLW24" s="120"/>
      <c r="TLX24" s="120"/>
      <c r="TLY24" s="120"/>
      <c r="TLZ24" s="120"/>
      <c r="TMA24" s="120"/>
      <c r="TMB24" s="120"/>
      <c r="TMC24" s="120"/>
      <c r="TMD24" s="120"/>
      <c r="TME24" s="120"/>
      <c r="TMF24" s="120"/>
      <c r="TMG24" s="120"/>
      <c r="TMH24" s="120"/>
      <c r="TMI24" s="120"/>
      <c r="TMJ24" s="120"/>
      <c r="TMK24" s="120"/>
      <c r="TML24" s="120"/>
      <c r="TMM24" s="120"/>
      <c r="TMN24" s="120"/>
      <c r="TMO24" s="120"/>
      <c r="TMP24" s="120"/>
      <c r="TMQ24" s="120"/>
      <c r="TMR24" s="120"/>
      <c r="TMS24" s="120"/>
      <c r="TMT24" s="120"/>
      <c r="TMU24" s="120"/>
      <c r="TMV24" s="120"/>
      <c r="TMW24" s="120"/>
      <c r="TMX24" s="120"/>
      <c r="TMY24" s="120"/>
      <c r="TMZ24" s="120"/>
      <c r="TNA24" s="120"/>
      <c r="TNB24" s="120"/>
      <c r="TNC24" s="120"/>
      <c r="TND24" s="120"/>
      <c r="TNE24" s="120"/>
      <c r="TNF24" s="120"/>
      <c r="TNG24" s="120"/>
      <c r="TNH24" s="120"/>
      <c r="TNI24" s="120"/>
      <c r="TNJ24" s="120"/>
      <c r="TNK24" s="120"/>
      <c r="TNL24" s="120"/>
      <c r="TNM24" s="120"/>
      <c r="TNN24" s="120"/>
      <c r="TNO24" s="120"/>
      <c r="TNP24" s="120"/>
      <c r="TNQ24" s="120"/>
      <c r="TNR24" s="120"/>
      <c r="TNS24" s="120"/>
      <c r="TNT24" s="120"/>
      <c r="TNU24" s="120"/>
      <c r="TNV24" s="120"/>
      <c r="TNW24" s="120"/>
      <c r="TNX24" s="120"/>
      <c r="TNY24" s="120"/>
      <c r="TNZ24" s="120"/>
      <c r="TOA24" s="120"/>
      <c r="TOB24" s="120"/>
      <c r="TOC24" s="120"/>
      <c r="TOD24" s="120"/>
      <c r="TOE24" s="120"/>
      <c r="TOF24" s="120"/>
      <c r="TOG24" s="120"/>
      <c r="TOH24" s="120"/>
      <c r="TOI24" s="120"/>
      <c r="TOJ24" s="120"/>
      <c r="TOK24" s="120"/>
      <c r="TOL24" s="120"/>
      <c r="TOM24" s="120"/>
      <c r="TON24" s="120"/>
      <c r="TOO24" s="120"/>
      <c r="TOP24" s="120"/>
      <c r="TOQ24" s="120"/>
      <c r="TOR24" s="120"/>
      <c r="TOS24" s="120"/>
      <c r="TOT24" s="120"/>
      <c r="TOU24" s="120"/>
      <c r="TOV24" s="120"/>
      <c r="TOW24" s="120"/>
      <c r="TOX24" s="120"/>
      <c r="TOY24" s="120"/>
      <c r="TOZ24" s="120"/>
      <c r="TPA24" s="120"/>
      <c r="TPB24" s="120"/>
      <c r="TPC24" s="120"/>
      <c r="TPD24" s="120"/>
      <c r="TPE24" s="120"/>
      <c r="TPF24" s="120"/>
      <c r="TPG24" s="120"/>
      <c r="TPH24" s="120"/>
      <c r="TPI24" s="120"/>
      <c r="TPJ24" s="120"/>
      <c r="TPK24" s="120"/>
      <c r="TPL24" s="120"/>
      <c r="TPM24" s="120"/>
      <c r="TPN24" s="120"/>
      <c r="TPO24" s="120"/>
      <c r="TPP24" s="120"/>
      <c r="TPQ24" s="120"/>
      <c r="TPR24" s="120"/>
      <c r="TPS24" s="120"/>
      <c r="TPT24" s="120"/>
      <c r="TPU24" s="120"/>
      <c r="TPV24" s="120"/>
      <c r="TPW24" s="120"/>
      <c r="TPX24" s="120"/>
      <c r="TPY24" s="120"/>
      <c r="TPZ24" s="120"/>
      <c r="TQA24" s="120"/>
      <c r="TQB24" s="120"/>
      <c r="TQC24" s="120"/>
      <c r="TQD24" s="120"/>
      <c r="TQE24" s="120"/>
      <c r="TQF24" s="120"/>
      <c r="TQG24" s="120"/>
      <c r="TQH24" s="120"/>
      <c r="TQI24" s="120"/>
      <c r="TQJ24" s="120"/>
      <c r="TQK24" s="120"/>
      <c r="TQL24" s="120"/>
      <c r="TQM24" s="120"/>
      <c r="TQN24" s="120"/>
      <c r="TQO24" s="120"/>
      <c r="TQP24" s="120"/>
      <c r="TQQ24" s="120"/>
      <c r="TQR24" s="120"/>
      <c r="TQS24" s="120"/>
      <c r="TQT24" s="120"/>
      <c r="TQU24" s="120"/>
      <c r="TQV24" s="120"/>
      <c r="TQW24" s="120"/>
      <c r="TQX24" s="120"/>
      <c r="TQY24" s="120"/>
      <c r="TQZ24" s="120"/>
      <c r="TRA24" s="120"/>
      <c r="TRB24" s="120"/>
      <c r="TRC24" s="120"/>
      <c r="TRD24" s="120"/>
      <c r="TRE24" s="120"/>
      <c r="TRF24" s="120"/>
      <c r="TRG24" s="120"/>
      <c r="TRH24" s="120"/>
      <c r="TRI24" s="120"/>
      <c r="TRJ24" s="120"/>
      <c r="TRK24" s="120"/>
      <c r="TRL24" s="120"/>
      <c r="TRM24" s="120"/>
      <c r="TRN24" s="120"/>
      <c r="TRO24" s="120"/>
      <c r="TRP24" s="120"/>
      <c r="TRQ24" s="120"/>
      <c r="TRR24" s="120"/>
      <c r="TRS24" s="120"/>
      <c r="TRT24" s="120"/>
      <c r="TRU24" s="120"/>
      <c r="TRV24" s="120"/>
      <c r="TRW24" s="120"/>
      <c r="TRX24" s="120"/>
      <c r="TRY24" s="120"/>
      <c r="TRZ24" s="120"/>
      <c r="TSA24" s="120"/>
      <c r="TSB24" s="120"/>
      <c r="TSC24" s="120"/>
      <c r="TSD24" s="120"/>
      <c r="TSE24" s="120"/>
      <c r="TSF24" s="120"/>
      <c r="TSG24" s="120"/>
      <c r="TSH24" s="120"/>
      <c r="TSI24" s="120"/>
      <c r="TSJ24" s="120"/>
      <c r="TSK24" s="120"/>
      <c r="TSL24" s="120"/>
      <c r="TSM24" s="120"/>
      <c r="TSN24" s="120"/>
      <c r="TSO24" s="120"/>
      <c r="TSP24" s="120"/>
      <c r="TSQ24" s="120"/>
      <c r="TSR24" s="120"/>
      <c r="TSS24" s="120"/>
      <c r="TST24" s="120"/>
      <c r="TSU24" s="120"/>
      <c r="TSV24" s="120"/>
      <c r="TSW24" s="120"/>
      <c r="TSX24" s="120"/>
      <c r="TSY24" s="120"/>
      <c r="TSZ24" s="120"/>
      <c r="TTA24" s="120"/>
      <c r="TTB24" s="120"/>
      <c r="TTC24" s="120"/>
      <c r="TTD24" s="120"/>
      <c r="TTE24" s="120"/>
      <c r="TTF24" s="120"/>
      <c r="TTG24" s="120"/>
      <c r="TTH24" s="120"/>
      <c r="TTI24" s="120"/>
      <c r="TTJ24" s="120"/>
      <c r="TTK24" s="120"/>
      <c r="TTL24" s="120"/>
      <c r="TTM24" s="120"/>
      <c r="TTN24" s="120"/>
      <c r="TTO24" s="120"/>
      <c r="TTP24" s="120"/>
      <c r="TTQ24" s="120"/>
      <c r="TTR24" s="120"/>
      <c r="TTS24" s="120"/>
      <c r="TTT24" s="120"/>
      <c r="TTU24" s="120"/>
      <c r="TTV24" s="120"/>
      <c r="TTW24" s="120"/>
      <c r="TTX24" s="120"/>
      <c r="TTY24" s="120"/>
      <c r="TTZ24" s="120"/>
      <c r="TUA24" s="120"/>
      <c r="TUB24" s="120"/>
      <c r="TUC24" s="120"/>
      <c r="TUD24" s="120"/>
      <c r="TUE24" s="120"/>
      <c r="TUF24" s="120"/>
      <c r="TUG24" s="120"/>
      <c r="TUH24" s="120"/>
      <c r="TUI24" s="120"/>
      <c r="TUJ24" s="120"/>
      <c r="TUK24" s="120"/>
      <c r="TUL24" s="120"/>
      <c r="TUM24" s="120"/>
      <c r="TUN24" s="120"/>
      <c r="TUO24" s="120"/>
      <c r="TUP24" s="120"/>
      <c r="TUQ24" s="120"/>
      <c r="TUR24" s="120"/>
      <c r="TUS24" s="120"/>
      <c r="TUT24" s="120"/>
      <c r="TUU24" s="120"/>
      <c r="TUV24" s="120"/>
      <c r="TUW24" s="120"/>
      <c r="TUX24" s="120"/>
      <c r="TUY24" s="120"/>
      <c r="TUZ24" s="120"/>
      <c r="TVA24" s="120"/>
      <c r="TVB24" s="120"/>
      <c r="TVC24" s="120"/>
      <c r="TVD24" s="120"/>
      <c r="TVE24" s="120"/>
      <c r="TVF24" s="120"/>
      <c r="TVG24" s="120"/>
      <c r="TVH24" s="120"/>
      <c r="TVI24" s="120"/>
      <c r="TVJ24" s="120"/>
      <c r="TVK24" s="120"/>
      <c r="TVL24" s="120"/>
      <c r="TVM24" s="120"/>
      <c r="TVN24" s="120"/>
      <c r="TVO24" s="120"/>
      <c r="TVP24" s="120"/>
      <c r="TVQ24" s="120"/>
      <c r="TVR24" s="120"/>
      <c r="TVS24" s="120"/>
      <c r="TVT24" s="120"/>
      <c r="TVU24" s="120"/>
      <c r="TVV24" s="120"/>
      <c r="TVW24" s="120"/>
      <c r="TVX24" s="120"/>
      <c r="TVY24" s="120"/>
      <c r="TVZ24" s="120"/>
      <c r="TWA24" s="120"/>
      <c r="TWB24" s="120"/>
      <c r="TWC24" s="120"/>
      <c r="TWD24" s="120"/>
      <c r="TWE24" s="120"/>
      <c r="TWF24" s="120"/>
      <c r="TWG24" s="120"/>
      <c r="TWH24" s="120"/>
      <c r="TWI24" s="120"/>
      <c r="TWJ24" s="120"/>
      <c r="TWK24" s="120"/>
      <c r="TWL24" s="120"/>
      <c r="TWM24" s="120"/>
      <c r="TWN24" s="120"/>
      <c r="TWO24" s="120"/>
      <c r="TWP24" s="120"/>
      <c r="TWQ24" s="120"/>
      <c r="TWR24" s="120"/>
      <c r="TWS24" s="120"/>
      <c r="TWT24" s="120"/>
      <c r="TWU24" s="120"/>
      <c r="TWV24" s="120"/>
      <c r="TWW24" s="120"/>
      <c r="TWX24" s="120"/>
      <c r="TWY24" s="120"/>
      <c r="TWZ24" s="120"/>
      <c r="TXA24" s="120"/>
      <c r="TXB24" s="120"/>
      <c r="TXC24" s="120"/>
      <c r="TXD24" s="120"/>
      <c r="TXE24" s="120"/>
      <c r="TXF24" s="120"/>
      <c r="TXG24" s="120"/>
      <c r="TXH24" s="120"/>
      <c r="TXI24" s="120"/>
      <c r="TXJ24" s="120"/>
      <c r="TXK24" s="120"/>
      <c r="TXL24" s="120"/>
      <c r="TXM24" s="120"/>
      <c r="TXN24" s="120"/>
      <c r="TXO24" s="120"/>
      <c r="TXP24" s="120"/>
      <c r="TXQ24" s="120"/>
      <c r="TXR24" s="120"/>
      <c r="TXS24" s="120"/>
      <c r="TXT24" s="120"/>
      <c r="TXU24" s="120"/>
      <c r="TXV24" s="120"/>
      <c r="TXW24" s="120"/>
      <c r="TXX24" s="120"/>
      <c r="TXY24" s="120"/>
      <c r="TXZ24" s="120"/>
      <c r="TYA24" s="120"/>
      <c r="TYB24" s="120"/>
      <c r="TYC24" s="120"/>
      <c r="TYD24" s="120"/>
      <c r="TYE24" s="120"/>
      <c r="TYF24" s="120"/>
      <c r="TYG24" s="120"/>
      <c r="TYH24" s="120"/>
      <c r="TYI24" s="120"/>
      <c r="TYJ24" s="120"/>
      <c r="TYK24" s="120"/>
      <c r="TYL24" s="120"/>
      <c r="TYM24" s="120"/>
      <c r="TYN24" s="120"/>
      <c r="TYO24" s="120"/>
      <c r="TYP24" s="120"/>
      <c r="TYQ24" s="120"/>
      <c r="TYR24" s="120"/>
      <c r="TYS24" s="120"/>
      <c r="TYT24" s="120"/>
      <c r="TYU24" s="120"/>
      <c r="TYV24" s="120"/>
      <c r="TYW24" s="120"/>
      <c r="TYX24" s="120"/>
      <c r="TYY24" s="120"/>
      <c r="TYZ24" s="120"/>
      <c r="TZA24" s="120"/>
      <c r="TZB24" s="120"/>
      <c r="TZC24" s="120"/>
      <c r="TZD24" s="120"/>
      <c r="TZE24" s="120"/>
      <c r="TZF24" s="120"/>
      <c r="TZG24" s="120"/>
      <c r="TZH24" s="120"/>
      <c r="TZI24" s="120"/>
      <c r="TZJ24" s="120"/>
      <c r="TZK24" s="120"/>
      <c r="TZL24" s="120"/>
      <c r="TZM24" s="120"/>
      <c r="TZN24" s="120"/>
      <c r="TZO24" s="120"/>
      <c r="TZP24" s="120"/>
      <c r="TZQ24" s="120"/>
      <c r="TZR24" s="120"/>
      <c r="TZS24" s="120"/>
      <c r="TZT24" s="120"/>
      <c r="TZU24" s="120"/>
      <c r="TZV24" s="120"/>
      <c r="TZW24" s="120"/>
      <c r="TZX24" s="120"/>
      <c r="TZY24" s="120"/>
      <c r="TZZ24" s="120"/>
      <c r="UAA24" s="120"/>
      <c r="UAB24" s="120"/>
      <c r="UAC24" s="120"/>
      <c r="UAD24" s="120"/>
      <c r="UAE24" s="120"/>
      <c r="UAF24" s="120"/>
      <c r="UAG24" s="120"/>
      <c r="UAH24" s="120"/>
      <c r="UAI24" s="120"/>
      <c r="UAJ24" s="120"/>
      <c r="UAK24" s="120"/>
      <c r="UAL24" s="120"/>
      <c r="UAM24" s="120"/>
      <c r="UAN24" s="120"/>
      <c r="UAO24" s="120"/>
      <c r="UAP24" s="120"/>
      <c r="UAQ24" s="120"/>
      <c r="UAR24" s="120"/>
      <c r="UAS24" s="120"/>
      <c r="UAT24" s="120"/>
      <c r="UAU24" s="120"/>
      <c r="UAV24" s="120"/>
      <c r="UAW24" s="120"/>
      <c r="UAX24" s="120"/>
      <c r="UAY24" s="120"/>
      <c r="UAZ24" s="120"/>
      <c r="UBA24" s="120"/>
      <c r="UBB24" s="120"/>
      <c r="UBC24" s="120"/>
      <c r="UBD24" s="120"/>
      <c r="UBE24" s="120"/>
      <c r="UBF24" s="120"/>
      <c r="UBG24" s="120"/>
      <c r="UBH24" s="120"/>
      <c r="UBI24" s="120"/>
      <c r="UBJ24" s="120"/>
      <c r="UBK24" s="120"/>
      <c r="UBL24" s="120"/>
      <c r="UBM24" s="120"/>
      <c r="UBN24" s="120"/>
      <c r="UBO24" s="120"/>
      <c r="UBP24" s="120"/>
      <c r="UBQ24" s="120"/>
      <c r="UBR24" s="120"/>
      <c r="UBS24" s="120"/>
      <c r="UBT24" s="120"/>
      <c r="UBU24" s="120"/>
      <c r="UBV24" s="120"/>
      <c r="UBW24" s="120"/>
      <c r="UBX24" s="120"/>
      <c r="UBY24" s="120"/>
      <c r="UBZ24" s="120"/>
      <c r="UCA24" s="120"/>
      <c r="UCB24" s="120"/>
      <c r="UCC24" s="120"/>
      <c r="UCD24" s="120"/>
      <c r="UCE24" s="120"/>
      <c r="UCF24" s="120"/>
      <c r="UCG24" s="120"/>
      <c r="UCH24" s="120"/>
      <c r="UCI24" s="120"/>
      <c r="UCJ24" s="120"/>
      <c r="UCK24" s="120"/>
      <c r="UCL24" s="120"/>
      <c r="UCM24" s="120"/>
      <c r="UCN24" s="120"/>
      <c r="UCO24" s="120"/>
      <c r="UCP24" s="120"/>
      <c r="UCQ24" s="120"/>
      <c r="UCR24" s="120"/>
      <c r="UCS24" s="120"/>
      <c r="UCT24" s="120"/>
      <c r="UCU24" s="120"/>
      <c r="UCV24" s="120"/>
      <c r="UCW24" s="120"/>
      <c r="UCX24" s="120"/>
      <c r="UCY24" s="120"/>
      <c r="UCZ24" s="120"/>
      <c r="UDA24" s="120"/>
      <c r="UDB24" s="120"/>
      <c r="UDC24" s="120"/>
      <c r="UDD24" s="120"/>
      <c r="UDE24" s="120"/>
      <c r="UDF24" s="120"/>
      <c r="UDG24" s="120"/>
      <c r="UDH24" s="120"/>
      <c r="UDI24" s="120"/>
      <c r="UDJ24" s="120"/>
      <c r="UDK24" s="120"/>
      <c r="UDL24" s="120"/>
      <c r="UDM24" s="120"/>
      <c r="UDN24" s="120"/>
      <c r="UDO24" s="120"/>
      <c r="UDP24" s="120"/>
      <c r="UDQ24" s="120"/>
      <c r="UDR24" s="120"/>
      <c r="UDS24" s="120"/>
      <c r="UDT24" s="120"/>
      <c r="UDU24" s="120"/>
      <c r="UDV24" s="120"/>
      <c r="UDW24" s="120"/>
      <c r="UDX24" s="120"/>
      <c r="UDY24" s="120"/>
      <c r="UDZ24" s="120"/>
      <c r="UEA24" s="120"/>
      <c r="UEB24" s="120"/>
      <c r="UEC24" s="120"/>
      <c r="UED24" s="120"/>
      <c r="UEE24" s="120"/>
      <c r="UEF24" s="120"/>
      <c r="UEG24" s="120"/>
      <c r="UEH24" s="120"/>
      <c r="UEI24" s="120"/>
      <c r="UEJ24" s="120"/>
      <c r="UEK24" s="120"/>
      <c r="UEL24" s="120"/>
      <c r="UEM24" s="120"/>
      <c r="UEN24" s="120"/>
      <c r="UEO24" s="120"/>
      <c r="UEP24" s="120"/>
      <c r="UEQ24" s="120"/>
      <c r="UER24" s="120"/>
      <c r="UES24" s="120"/>
      <c r="UET24" s="120"/>
      <c r="UEU24" s="120"/>
      <c r="UEV24" s="120"/>
      <c r="UEW24" s="120"/>
      <c r="UEX24" s="120"/>
      <c r="UEY24" s="120"/>
      <c r="UEZ24" s="120"/>
      <c r="UFA24" s="120"/>
      <c r="UFB24" s="120"/>
      <c r="UFC24" s="120"/>
      <c r="UFD24" s="120"/>
      <c r="UFE24" s="120"/>
      <c r="UFF24" s="120"/>
      <c r="UFG24" s="120"/>
      <c r="UFH24" s="120"/>
      <c r="UFI24" s="120"/>
      <c r="UFJ24" s="120"/>
      <c r="UFK24" s="120"/>
      <c r="UFL24" s="120"/>
      <c r="UFM24" s="120"/>
      <c r="UFN24" s="120"/>
      <c r="UFO24" s="120"/>
      <c r="UFP24" s="120"/>
      <c r="UFQ24" s="120"/>
      <c r="UFR24" s="120"/>
      <c r="UFS24" s="120"/>
      <c r="UFT24" s="120"/>
      <c r="UFU24" s="120"/>
      <c r="UFV24" s="120"/>
      <c r="UFW24" s="120"/>
      <c r="UFX24" s="120"/>
      <c r="UFY24" s="120"/>
      <c r="UFZ24" s="120"/>
      <c r="UGA24" s="120"/>
      <c r="UGB24" s="120"/>
      <c r="UGC24" s="120"/>
      <c r="UGD24" s="120"/>
      <c r="UGE24" s="120"/>
      <c r="UGF24" s="120"/>
      <c r="UGG24" s="120"/>
      <c r="UGH24" s="120"/>
      <c r="UGI24" s="120"/>
      <c r="UGJ24" s="120"/>
      <c r="UGK24" s="120"/>
      <c r="UGL24" s="120"/>
      <c r="UGM24" s="120"/>
      <c r="UGN24" s="120"/>
      <c r="UGO24" s="120"/>
      <c r="UGP24" s="120"/>
      <c r="UGQ24" s="120"/>
      <c r="UGR24" s="120"/>
      <c r="UGS24" s="120"/>
      <c r="UGT24" s="120"/>
      <c r="UGU24" s="120"/>
      <c r="UGV24" s="120"/>
      <c r="UGW24" s="120"/>
      <c r="UGX24" s="120"/>
      <c r="UGY24" s="120"/>
      <c r="UGZ24" s="120"/>
      <c r="UHA24" s="120"/>
      <c r="UHB24" s="120"/>
      <c r="UHC24" s="120"/>
      <c r="UHD24" s="120"/>
      <c r="UHE24" s="120"/>
      <c r="UHF24" s="120"/>
      <c r="UHG24" s="120"/>
      <c r="UHH24" s="120"/>
      <c r="UHI24" s="120"/>
      <c r="UHJ24" s="120"/>
      <c r="UHK24" s="120"/>
      <c r="UHL24" s="120"/>
      <c r="UHM24" s="120"/>
      <c r="UHN24" s="120"/>
      <c r="UHO24" s="120"/>
      <c r="UHP24" s="120"/>
      <c r="UHQ24" s="120"/>
      <c r="UHR24" s="120"/>
      <c r="UHS24" s="120"/>
      <c r="UHT24" s="120"/>
      <c r="UHU24" s="120"/>
      <c r="UHV24" s="120"/>
      <c r="UHW24" s="120"/>
      <c r="UHX24" s="120"/>
      <c r="UHY24" s="120"/>
      <c r="UHZ24" s="120"/>
      <c r="UIA24" s="120"/>
      <c r="UIB24" s="120"/>
      <c r="UIC24" s="120"/>
      <c r="UID24" s="120"/>
      <c r="UIE24" s="120"/>
      <c r="UIF24" s="120"/>
      <c r="UIG24" s="120"/>
      <c r="UIH24" s="120"/>
      <c r="UII24" s="120"/>
      <c r="UIJ24" s="120"/>
      <c r="UIK24" s="120"/>
      <c r="UIL24" s="120"/>
      <c r="UIM24" s="120"/>
      <c r="UIN24" s="120"/>
      <c r="UIO24" s="120"/>
      <c r="UIP24" s="120"/>
      <c r="UIQ24" s="120"/>
      <c r="UIR24" s="120"/>
      <c r="UIS24" s="120"/>
      <c r="UIT24" s="120"/>
      <c r="UIU24" s="120"/>
      <c r="UIV24" s="120"/>
      <c r="UIW24" s="120"/>
      <c r="UIX24" s="120"/>
      <c r="UIY24" s="120"/>
      <c r="UIZ24" s="120"/>
      <c r="UJA24" s="120"/>
      <c r="UJB24" s="120"/>
      <c r="UJC24" s="120"/>
      <c r="UJD24" s="120"/>
      <c r="UJE24" s="120"/>
      <c r="UJF24" s="120"/>
      <c r="UJG24" s="120"/>
      <c r="UJH24" s="120"/>
      <c r="UJI24" s="120"/>
      <c r="UJJ24" s="120"/>
      <c r="UJK24" s="120"/>
      <c r="UJL24" s="120"/>
      <c r="UJM24" s="120"/>
      <c r="UJN24" s="120"/>
      <c r="UJO24" s="120"/>
      <c r="UJP24" s="120"/>
      <c r="UJQ24" s="120"/>
      <c r="UJR24" s="120"/>
      <c r="UJS24" s="120"/>
      <c r="UJT24" s="120"/>
      <c r="UJU24" s="120"/>
      <c r="UJV24" s="120"/>
      <c r="UJW24" s="120"/>
      <c r="UJX24" s="120"/>
      <c r="UJY24" s="120"/>
      <c r="UJZ24" s="120"/>
      <c r="UKA24" s="120"/>
      <c r="UKB24" s="120"/>
      <c r="UKC24" s="120"/>
      <c r="UKD24" s="120"/>
      <c r="UKE24" s="120"/>
      <c r="UKF24" s="120"/>
      <c r="UKG24" s="120"/>
      <c r="UKH24" s="120"/>
      <c r="UKI24" s="120"/>
      <c r="UKJ24" s="120"/>
      <c r="UKK24" s="120"/>
      <c r="UKL24" s="120"/>
      <c r="UKM24" s="120"/>
      <c r="UKN24" s="120"/>
      <c r="UKO24" s="120"/>
      <c r="UKP24" s="120"/>
      <c r="UKQ24" s="120"/>
      <c r="UKR24" s="120"/>
      <c r="UKS24" s="120"/>
      <c r="UKT24" s="120"/>
      <c r="UKU24" s="120"/>
      <c r="UKV24" s="120"/>
      <c r="UKW24" s="120"/>
      <c r="UKX24" s="120"/>
      <c r="UKY24" s="120"/>
      <c r="UKZ24" s="120"/>
      <c r="ULA24" s="120"/>
      <c r="ULB24" s="120"/>
      <c r="ULC24" s="120"/>
      <c r="ULD24" s="120"/>
      <c r="ULE24" s="120"/>
      <c r="ULF24" s="120"/>
      <c r="ULG24" s="120"/>
      <c r="ULH24" s="120"/>
      <c r="ULI24" s="120"/>
      <c r="ULJ24" s="120"/>
      <c r="ULK24" s="120"/>
      <c r="ULL24" s="120"/>
      <c r="ULM24" s="120"/>
      <c r="ULN24" s="120"/>
      <c r="ULO24" s="120"/>
      <c r="ULP24" s="120"/>
      <c r="ULQ24" s="120"/>
      <c r="ULR24" s="120"/>
      <c r="ULS24" s="120"/>
      <c r="ULT24" s="120"/>
      <c r="ULU24" s="120"/>
      <c r="ULV24" s="120"/>
      <c r="ULW24" s="120"/>
      <c r="ULX24" s="120"/>
      <c r="ULY24" s="120"/>
      <c r="ULZ24" s="120"/>
      <c r="UMA24" s="120"/>
      <c r="UMB24" s="120"/>
      <c r="UMC24" s="120"/>
      <c r="UMD24" s="120"/>
      <c r="UME24" s="120"/>
      <c r="UMF24" s="120"/>
      <c r="UMG24" s="120"/>
      <c r="UMH24" s="120"/>
      <c r="UMI24" s="120"/>
      <c r="UMJ24" s="120"/>
      <c r="UMK24" s="120"/>
      <c r="UML24" s="120"/>
      <c r="UMM24" s="120"/>
      <c r="UMN24" s="120"/>
      <c r="UMO24" s="120"/>
      <c r="UMP24" s="120"/>
      <c r="UMQ24" s="120"/>
      <c r="UMR24" s="120"/>
      <c r="UMS24" s="120"/>
      <c r="UMT24" s="120"/>
      <c r="UMU24" s="120"/>
      <c r="UMV24" s="120"/>
      <c r="UMW24" s="120"/>
      <c r="UMX24" s="120"/>
      <c r="UMY24" s="120"/>
      <c r="UMZ24" s="120"/>
      <c r="UNA24" s="120"/>
      <c r="UNB24" s="120"/>
      <c r="UNC24" s="120"/>
      <c r="UND24" s="120"/>
      <c r="UNE24" s="120"/>
      <c r="UNF24" s="120"/>
      <c r="UNG24" s="120"/>
      <c r="UNH24" s="120"/>
      <c r="UNI24" s="120"/>
      <c r="UNJ24" s="120"/>
      <c r="UNK24" s="120"/>
      <c r="UNL24" s="120"/>
      <c r="UNM24" s="120"/>
      <c r="UNN24" s="120"/>
      <c r="UNO24" s="120"/>
      <c r="UNP24" s="120"/>
      <c r="UNQ24" s="120"/>
      <c r="UNR24" s="120"/>
      <c r="UNS24" s="120"/>
      <c r="UNT24" s="120"/>
      <c r="UNU24" s="120"/>
      <c r="UNV24" s="120"/>
      <c r="UNW24" s="120"/>
      <c r="UNX24" s="120"/>
      <c r="UNY24" s="120"/>
      <c r="UNZ24" s="120"/>
      <c r="UOA24" s="120"/>
      <c r="UOB24" s="120"/>
      <c r="UOC24" s="120"/>
      <c r="UOD24" s="120"/>
      <c r="UOE24" s="120"/>
      <c r="UOF24" s="120"/>
      <c r="UOG24" s="120"/>
      <c r="UOH24" s="120"/>
      <c r="UOI24" s="120"/>
      <c r="UOJ24" s="120"/>
      <c r="UOK24" s="120"/>
      <c r="UOL24" s="120"/>
      <c r="UOM24" s="120"/>
      <c r="UON24" s="120"/>
      <c r="UOO24" s="120"/>
      <c r="UOP24" s="120"/>
      <c r="UOQ24" s="120"/>
      <c r="UOR24" s="120"/>
      <c r="UOS24" s="120"/>
      <c r="UOT24" s="120"/>
      <c r="UOU24" s="120"/>
      <c r="UOV24" s="120"/>
      <c r="UOW24" s="120"/>
      <c r="UOX24" s="120"/>
      <c r="UOY24" s="120"/>
      <c r="UOZ24" s="120"/>
      <c r="UPA24" s="120"/>
      <c r="UPB24" s="120"/>
      <c r="UPC24" s="120"/>
      <c r="UPD24" s="120"/>
      <c r="UPE24" s="120"/>
      <c r="UPF24" s="120"/>
      <c r="UPG24" s="120"/>
      <c r="UPH24" s="120"/>
      <c r="UPI24" s="120"/>
      <c r="UPJ24" s="120"/>
      <c r="UPK24" s="120"/>
      <c r="UPL24" s="120"/>
      <c r="UPM24" s="120"/>
      <c r="UPN24" s="120"/>
      <c r="UPO24" s="120"/>
      <c r="UPP24" s="120"/>
      <c r="UPQ24" s="120"/>
      <c r="UPR24" s="120"/>
      <c r="UPS24" s="120"/>
      <c r="UPT24" s="120"/>
      <c r="UPU24" s="120"/>
      <c r="UPV24" s="120"/>
      <c r="UPW24" s="120"/>
      <c r="UPX24" s="120"/>
      <c r="UPY24" s="120"/>
      <c r="UPZ24" s="120"/>
      <c r="UQA24" s="120"/>
      <c r="UQB24" s="120"/>
      <c r="UQC24" s="120"/>
      <c r="UQD24" s="120"/>
      <c r="UQE24" s="120"/>
      <c r="UQF24" s="120"/>
      <c r="UQG24" s="120"/>
      <c r="UQH24" s="120"/>
      <c r="UQI24" s="120"/>
      <c r="UQJ24" s="120"/>
      <c r="UQK24" s="120"/>
      <c r="UQL24" s="120"/>
      <c r="UQM24" s="120"/>
      <c r="UQN24" s="120"/>
      <c r="UQO24" s="120"/>
      <c r="UQP24" s="120"/>
      <c r="UQQ24" s="120"/>
      <c r="UQR24" s="120"/>
      <c r="UQS24" s="120"/>
      <c r="UQT24" s="120"/>
      <c r="UQU24" s="120"/>
      <c r="UQV24" s="120"/>
      <c r="UQW24" s="120"/>
      <c r="UQX24" s="120"/>
      <c r="UQY24" s="120"/>
      <c r="UQZ24" s="120"/>
      <c r="URA24" s="120"/>
      <c r="URB24" s="120"/>
      <c r="URC24" s="120"/>
      <c r="URD24" s="120"/>
      <c r="URE24" s="120"/>
      <c r="URF24" s="120"/>
      <c r="URG24" s="120"/>
      <c r="URH24" s="120"/>
      <c r="URI24" s="120"/>
      <c r="URJ24" s="120"/>
      <c r="URK24" s="120"/>
      <c r="URL24" s="120"/>
      <c r="URM24" s="120"/>
      <c r="URN24" s="120"/>
      <c r="URO24" s="120"/>
      <c r="URP24" s="120"/>
      <c r="URQ24" s="120"/>
      <c r="URR24" s="120"/>
      <c r="URS24" s="120"/>
      <c r="URT24" s="120"/>
      <c r="URU24" s="120"/>
      <c r="URV24" s="120"/>
      <c r="URW24" s="120"/>
      <c r="URX24" s="120"/>
      <c r="URY24" s="120"/>
      <c r="URZ24" s="120"/>
      <c r="USA24" s="120"/>
      <c r="USB24" s="120"/>
      <c r="USC24" s="120"/>
      <c r="USD24" s="120"/>
      <c r="USE24" s="120"/>
      <c r="USF24" s="120"/>
      <c r="USG24" s="120"/>
      <c r="USH24" s="120"/>
      <c r="USI24" s="120"/>
      <c r="USJ24" s="120"/>
      <c r="USK24" s="120"/>
      <c r="USL24" s="120"/>
      <c r="USM24" s="120"/>
      <c r="USN24" s="120"/>
      <c r="USO24" s="120"/>
      <c r="USP24" s="120"/>
      <c r="USQ24" s="120"/>
      <c r="USR24" s="120"/>
      <c r="USS24" s="120"/>
      <c r="UST24" s="120"/>
      <c r="USU24" s="120"/>
      <c r="USV24" s="120"/>
      <c r="USW24" s="120"/>
      <c r="USX24" s="120"/>
      <c r="USY24" s="120"/>
      <c r="USZ24" s="120"/>
      <c r="UTA24" s="120"/>
      <c r="UTB24" s="120"/>
      <c r="UTC24" s="120"/>
      <c r="UTD24" s="120"/>
      <c r="UTE24" s="120"/>
      <c r="UTF24" s="120"/>
      <c r="UTG24" s="120"/>
      <c r="UTH24" s="120"/>
      <c r="UTI24" s="120"/>
      <c r="UTJ24" s="120"/>
      <c r="UTK24" s="120"/>
      <c r="UTL24" s="120"/>
      <c r="UTM24" s="120"/>
      <c r="UTN24" s="120"/>
      <c r="UTO24" s="120"/>
      <c r="UTP24" s="120"/>
      <c r="UTQ24" s="120"/>
      <c r="UTR24" s="120"/>
      <c r="UTS24" s="120"/>
      <c r="UTT24" s="120"/>
      <c r="UTU24" s="120"/>
      <c r="UTV24" s="120"/>
      <c r="UTW24" s="120"/>
      <c r="UTX24" s="120"/>
      <c r="UTY24" s="120"/>
      <c r="UTZ24" s="120"/>
      <c r="UUA24" s="120"/>
      <c r="UUB24" s="120"/>
      <c r="UUC24" s="120"/>
      <c r="UUD24" s="120"/>
      <c r="UUE24" s="120"/>
      <c r="UUF24" s="120"/>
      <c r="UUG24" s="120"/>
      <c r="UUH24" s="120"/>
      <c r="UUI24" s="120"/>
      <c r="UUJ24" s="120"/>
      <c r="UUK24" s="120"/>
      <c r="UUL24" s="120"/>
      <c r="UUM24" s="120"/>
      <c r="UUN24" s="120"/>
      <c r="UUO24" s="120"/>
      <c r="UUP24" s="120"/>
      <c r="UUQ24" s="120"/>
      <c r="UUR24" s="120"/>
      <c r="UUS24" s="120"/>
      <c r="UUT24" s="120"/>
      <c r="UUU24" s="120"/>
      <c r="UUV24" s="120"/>
      <c r="UUW24" s="120"/>
      <c r="UUX24" s="120"/>
      <c r="UUY24" s="120"/>
      <c r="UUZ24" s="120"/>
      <c r="UVA24" s="120"/>
      <c r="UVB24" s="120"/>
      <c r="UVC24" s="120"/>
      <c r="UVD24" s="120"/>
      <c r="UVE24" s="120"/>
      <c r="UVF24" s="120"/>
      <c r="UVG24" s="120"/>
      <c r="UVH24" s="120"/>
      <c r="UVI24" s="120"/>
      <c r="UVJ24" s="120"/>
      <c r="UVK24" s="120"/>
      <c r="UVL24" s="120"/>
      <c r="UVM24" s="120"/>
      <c r="UVN24" s="120"/>
      <c r="UVO24" s="120"/>
      <c r="UVP24" s="120"/>
      <c r="UVQ24" s="120"/>
      <c r="UVR24" s="120"/>
      <c r="UVS24" s="120"/>
      <c r="UVT24" s="120"/>
      <c r="UVU24" s="120"/>
      <c r="UVV24" s="120"/>
      <c r="UVW24" s="120"/>
      <c r="UVX24" s="120"/>
      <c r="UVY24" s="120"/>
      <c r="UVZ24" s="120"/>
      <c r="UWA24" s="120"/>
      <c r="UWB24" s="120"/>
      <c r="UWC24" s="120"/>
      <c r="UWD24" s="120"/>
      <c r="UWE24" s="120"/>
      <c r="UWF24" s="120"/>
      <c r="UWG24" s="120"/>
      <c r="UWH24" s="120"/>
      <c r="UWI24" s="120"/>
      <c r="UWJ24" s="120"/>
      <c r="UWK24" s="120"/>
      <c r="UWL24" s="120"/>
      <c r="UWM24" s="120"/>
      <c r="UWN24" s="120"/>
      <c r="UWO24" s="120"/>
      <c r="UWP24" s="120"/>
      <c r="UWQ24" s="120"/>
      <c r="UWR24" s="120"/>
      <c r="UWS24" s="120"/>
      <c r="UWT24" s="120"/>
      <c r="UWU24" s="120"/>
      <c r="UWV24" s="120"/>
      <c r="UWW24" s="120"/>
      <c r="UWX24" s="120"/>
      <c r="UWY24" s="120"/>
      <c r="UWZ24" s="120"/>
      <c r="UXA24" s="120"/>
      <c r="UXB24" s="120"/>
      <c r="UXC24" s="120"/>
      <c r="UXD24" s="120"/>
      <c r="UXE24" s="120"/>
      <c r="UXF24" s="120"/>
      <c r="UXG24" s="120"/>
      <c r="UXH24" s="120"/>
      <c r="UXI24" s="120"/>
      <c r="UXJ24" s="120"/>
      <c r="UXK24" s="120"/>
      <c r="UXL24" s="120"/>
      <c r="UXM24" s="120"/>
      <c r="UXN24" s="120"/>
      <c r="UXO24" s="120"/>
      <c r="UXP24" s="120"/>
      <c r="UXQ24" s="120"/>
      <c r="UXR24" s="120"/>
      <c r="UXS24" s="120"/>
      <c r="UXT24" s="120"/>
      <c r="UXU24" s="120"/>
      <c r="UXV24" s="120"/>
      <c r="UXW24" s="120"/>
      <c r="UXX24" s="120"/>
      <c r="UXY24" s="120"/>
      <c r="UXZ24" s="120"/>
      <c r="UYA24" s="120"/>
      <c r="UYB24" s="120"/>
      <c r="UYC24" s="120"/>
      <c r="UYD24" s="120"/>
      <c r="UYE24" s="120"/>
      <c r="UYF24" s="120"/>
      <c r="UYG24" s="120"/>
      <c r="UYH24" s="120"/>
      <c r="UYI24" s="120"/>
      <c r="UYJ24" s="120"/>
      <c r="UYK24" s="120"/>
      <c r="UYL24" s="120"/>
      <c r="UYM24" s="120"/>
      <c r="UYN24" s="120"/>
      <c r="UYO24" s="120"/>
      <c r="UYP24" s="120"/>
      <c r="UYQ24" s="120"/>
      <c r="UYR24" s="120"/>
      <c r="UYS24" s="120"/>
      <c r="UYT24" s="120"/>
      <c r="UYU24" s="120"/>
      <c r="UYV24" s="120"/>
      <c r="UYW24" s="120"/>
      <c r="UYX24" s="120"/>
      <c r="UYY24" s="120"/>
      <c r="UYZ24" s="120"/>
      <c r="UZA24" s="120"/>
      <c r="UZB24" s="120"/>
      <c r="UZC24" s="120"/>
      <c r="UZD24" s="120"/>
      <c r="UZE24" s="120"/>
      <c r="UZF24" s="120"/>
      <c r="UZG24" s="120"/>
      <c r="UZH24" s="120"/>
      <c r="UZI24" s="120"/>
      <c r="UZJ24" s="120"/>
      <c r="UZK24" s="120"/>
      <c r="UZL24" s="120"/>
      <c r="UZM24" s="120"/>
      <c r="UZN24" s="120"/>
      <c r="UZO24" s="120"/>
      <c r="UZP24" s="120"/>
      <c r="UZQ24" s="120"/>
      <c r="UZR24" s="120"/>
      <c r="UZS24" s="120"/>
      <c r="UZT24" s="120"/>
      <c r="UZU24" s="120"/>
      <c r="UZV24" s="120"/>
      <c r="UZW24" s="120"/>
      <c r="UZX24" s="120"/>
      <c r="UZY24" s="120"/>
      <c r="UZZ24" s="120"/>
      <c r="VAA24" s="120"/>
      <c r="VAB24" s="120"/>
      <c r="VAC24" s="120"/>
      <c r="VAD24" s="120"/>
      <c r="VAE24" s="120"/>
      <c r="VAF24" s="120"/>
      <c r="VAG24" s="120"/>
      <c r="VAH24" s="120"/>
      <c r="VAI24" s="120"/>
      <c r="VAJ24" s="120"/>
      <c r="VAK24" s="120"/>
      <c r="VAL24" s="120"/>
      <c r="VAM24" s="120"/>
      <c r="VAN24" s="120"/>
      <c r="VAO24" s="120"/>
      <c r="VAP24" s="120"/>
      <c r="VAQ24" s="120"/>
      <c r="VAR24" s="120"/>
      <c r="VAS24" s="120"/>
      <c r="VAT24" s="120"/>
      <c r="VAU24" s="120"/>
      <c r="VAV24" s="120"/>
      <c r="VAW24" s="120"/>
      <c r="VAX24" s="120"/>
      <c r="VAY24" s="120"/>
      <c r="VAZ24" s="120"/>
      <c r="VBA24" s="120"/>
      <c r="VBB24" s="120"/>
      <c r="VBC24" s="120"/>
      <c r="VBD24" s="120"/>
      <c r="VBE24" s="120"/>
      <c r="VBF24" s="120"/>
      <c r="VBG24" s="120"/>
      <c r="VBH24" s="120"/>
      <c r="VBI24" s="120"/>
      <c r="VBJ24" s="120"/>
      <c r="VBK24" s="120"/>
      <c r="VBL24" s="120"/>
      <c r="VBM24" s="120"/>
      <c r="VBN24" s="120"/>
      <c r="VBO24" s="120"/>
      <c r="VBP24" s="120"/>
      <c r="VBQ24" s="120"/>
      <c r="VBR24" s="120"/>
      <c r="VBS24" s="120"/>
      <c r="VBT24" s="120"/>
      <c r="VBU24" s="120"/>
      <c r="VBV24" s="120"/>
      <c r="VBW24" s="120"/>
      <c r="VBX24" s="120"/>
      <c r="VBY24" s="120"/>
      <c r="VBZ24" s="120"/>
      <c r="VCA24" s="120"/>
      <c r="VCB24" s="120"/>
      <c r="VCC24" s="120"/>
      <c r="VCD24" s="120"/>
      <c r="VCE24" s="120"/>
      <c r="VCF24" s="120"/>
      <c r="VCG24" s="120"/>
      <c r="VCH24" s="120"/>
      <c r="VCI24" s="120"/>
      <c r="VCJ24" s="120"/>
      <c r="VCK24" s="120"/>
      <c r="VCL24" s="120"/>
      <c r="VCM24" s="120"/>
      <c r="VCN24" s="120"/>
      <c r="VCO24" s="120"/>
      <c r="VCP24" s="120"/>
      <c r="VCQ24" s="120"/>
      <c r="VCR24" s="120"/>
      <c r="VCS24" s="120"/>
      <c r="VCT24" s="120"/>
      <c r="VCU24" s="120"/>
      <c r="VCV24" s="120"/>
      <c r="VCW24" s="120"/>
      <c r="VCX24" s="120"/>
      <c r="VCY24" s="120"/>
      <c r="VCZ24" s="120"/>
      <c r="VDA24" s="120"/>
      <c r="VDB24" s="120"/>
      <c r="VDC24" s="120"/>
      <c r="VDD24" s="120"/>
      <c r="VDE24" s="120"/>
      <c r="VDF24" s="120"/>
      <c r="VDG24" s="120"/>
      <c r="VDH24" s="120"/>
      <c r="VDI24" s="120"/>
      <c r="VDJ24" s="120"/>
      <c r="VDK24" s="120"/>
      <c r="VDL24" s="120"/>
      <c r="VDM24" s="120"/>
      <c r="VDN24" s="120"/>
      <c r="VDO24" s="120"/>
      <c r="VDP24" s="120"/>
      <c r="VDQ24" s="120"/>
      <c r="VDR24" s="120"/>
      <c r="VDS24" s="120"/>
      <c r="VDT24" s="120"/>
      <c r="VDU24" s="120"/>
      <c r="VDV24" s="120"/>
      <c r="VDW24" s="120"/>
      <c r="VDX24" s="120"/>
      <c r="VDY24" s="120"/>
      <c r="VDZ24" s="120"/>
      <c r="VEA24" s="120"/>
      <c r="VEB24" s="120"/>
      <c r="VEC24" s="120"/>
      <c r="VED24" s="120"/>
      <c r="VEE24" s="120"/>
      <c r="VEF24" s="120"/>
      <c r="VEG24" s="120"/>
      <c r="VEH24" s="120"/>
      <c r="VEI24" s="120"/>
      <c r="VEJ24" s="120"/>
      <c r="VEK24" s="120"/>
      <c r="VEL24" s="120"/>
      <c r="VEM24" s="120"/>
      <c r="VEN24" s="120"/>
      <c r="VEO24" s="120"/>
      <c r="VEP24" s="120"/>
      <c r="VEQ24" s="120"/>
      <c r="VER24" s="120"/>
      <c r="VES24" s="120"/>
      <c r="VET24" s="120"/>
      <c r="VEU24" s="120"/>
      <c r="VEV24" s="120"/>
      <c r="VEW24" s="120"/>
      <c r="VEX24" s="120"/>
      <c r="VEY24" s="120"/>
      <c r="VEZ24" s="120"/>
      <c r="VFA24" s="120"/>
      <c r="VFB24" s="120"/>
      <c r="VFC24" s="120"/>
      <c r="VFD24" s="120"/>
      <c r="VFE24" s="120"/>
      <c r="VFF24" s="120"/>
      <c r="VFG24" s="120"/>
      <c r="VFH24" s="120"/>
      <c r="VFI24" s="120"/>
      <c r="VFJ24" s="120"/>
      <c r="VFK24" s="120"/>
      <c r="VFL24" s="120"/>
      <c r="VFM24" s="120"/>
      <c r="VFN24" s="120"/>
      <c r="VFO24" s="120"/>
      <c r="VFP24" s="120"/>
      <c r="VFQ24" s="120"/>
      <c r="VFR24" s="120"/>
      <c r="VFS24" s="120"/>
      <c r="VFT24" s="120"/>
      <c r="VFU24" s="120"/>
      <c r="VFV24" s="120"/>
      <c r="VFW24" s="120"/>
      <c r="VFX24" s="120"/>
      <c r="VFY24" s="120"/>
      <c r="VFZ24" s="120"/>
      <c r="VGA24" s="120"/>
      <c r="VGB24" s="120"/>
      <c r="VGC24" s="120"/>
      <c r="VGD24" s="120"/>
      <c r="VGE24" s="120"/>
      <c r="VGF24" s="120"/>
      <c r="VGG24" s="120"/>
      <c r="VGH24" s="120"/>
      <c r="VGI24" s="120"/>
      <c r="VGJ24" s="120"/>
      <c r="VGK24" s="120"/>
      <c r="VGL24" s="120"/>
      <c r="VGM24" s="120"/>
    </row>
    <row r="25" spans="1:15115" x14ac:dyDescent="0.3">
      <c r="B25" s="122"/>
      <c r="C25" s="123" t="s">
        <v>85</v>
      </c>
      <c r="D25" s="128">
        <f>SUM(D26:D27)</f>
        <v>0</v>
      </c>
      <c r="E25" s="26" t="s">
        <v>16</v>
      </c>
      <c r="F25" s="108">
        <f>F26+F27</f>
        <v>0</v>
      </c>
      <c r="G25" s="108">
        <f t="shared" ref="G25:AI25" si="5">G26+G27</f>
        <v>0</v>
      </c>
      <c r="H25" s="108">
        <f t="shared" si="5"/>
        <v>0</v>
      </c>
      <c r="I25" s="108">
        <f t="shared" si="5"/>
        <v>0</v>
      </c>
      <c r="J25" s="108">
        <f t="shared" si="5"/>
        <v>221404</v>
      </c>
      <c r="K25" s="108">
        <f t="shared" si="5"/>
        <v>0</v>
      </c>
      <c r="L25" s="108">
        <f t="shared" si="5"/>
        <v>0</v>
      </c>
      <c r="M25" s="108">
        <f t="shared" si="5"/>
        <v>0</v>
      </c>
      <c r="N25" s="108">
        <f t="shared" si="5"/>
        <v>0</v>
      </c>
      <c r="O25" s="108">
        <f t="shared" si="5"/>
        <v>0</v>
      </c>
      <c r="P25" s="108">
        <f t="shared" si="5"/>
        <v>0</v>
      </c>
      <c r="Q25" s="108">
        <f>Q26+Q27</f>
        <v>0</v>
      </c>
      <c r="R25" s="108">
        <f t="shared" si="5"/>
        <v>384568</v>
      </c>
      <c r="S25" s="108">
        <f t="shared" si="5"/>
        <v>1046820.5727054917</v>
      </c>
      <c r="T25" s="108">
        <f t="shared" si="5"/>
        <v>1335057.9673406535</v>
      </c>
      <c r="U25" s="108">
        <f t="shared" si="5"/>
        <v>1635004.1306111286</v>
      </c>
      <c r="V25" s="108">
        <f t="shared" si="5"/>
        <v>1402134</v>
      </c>
      <c r="W25" s="108">
        <f t="shared" si="5"/>
        <v>1005343</v>
      </c>
      <c r="X25" s="108">
        <f t="shared" si="5"/>
        <v>979861</v>
      </c>
      <c r="Y25" s="108">
        <f t="shared" si="5"/>
        <v>0</v>
      </c>
      <c r="Z25" s="108">
        <f t="shared" si="5"/>
        <v>0</v>
      </c>
      <c r="AA25" s="108">
        <f t="shared" si="5"/>
        <v>0</v>
      </c>
      <c r="AB25" s="108">
        <f t="shared" si="5"/>
        <v>0</v>
      </c>
      <c r="AC25" s="108">
        <f t="shared" si="5"/>
        <v>0</v>
      </c>
      <c r="AD25" s="108">
        <f t="shared" si="5"/>
        <v>0</v>
      </c>
      <c r="AE25" s="108">
        <f t="shared" si="5"/>
        <v>0</v>
      </c>
      <c r="AF25" s="108">
        <f t="shared" si="5"/>
        <v>0</v>
      </c>
      <c r="AG25" s="108">
        <f t="shared" si="5"/>
        <v>0</v>
      </c>
      <c r="AH25" s="108">
        <f t="shared" si="5"/>
        <v>0</v>
      </c>
      <c r="AI25" s="110">
        <f t="shared" si="5"/>
        <v>0</v>
      </c>
      <c r="AK25" s="111">
        <f>SUM(F25:AI25)</f>
        <v>8010192.6706572734</v>
      </c>
    </row>
    <row r="26" spans="1:15115" x14ac:dyDescent="0.3">
      <c r="B26" s="122"/>
      <c r="C26" s="123" t="s">
        <v>130</v>
      </c>
      <c r="D26" s="128"/>
      <c r="E26" s="26" t="s">
        <v>16</v>
      </c>
      <c r="F26" s="108"/>
      <c r="G26" s="108"/>
      <c r="H26" s="108"/>
      <c r="I26" s="108"/>
      <c r="J26" s="108">
        <v>155004</v>
      </c>
      <c r="K26" s="108"/>
      <c r="L26" s="108"/>
      <c r="M26" s="108"/>
      <c r="N26" s="108"/>
      <c r="O26" s="108"/>
      <c r="P26" s="108"/>
      <c r="Q26" s="108"/>
      <c r="R26" s="108">
        <v>269658</v>
      </c>
      <c r="S26" s="108">
        <v>733867.01424404955</v>
      </c>
      <c r="T26" s="108">
        <v>934950</v>
      </c>
      <c r="U26" s="108">
        <v>1144696.7320623549</v>
      </c>
      <c r="V26" s="108">
        <v>981851</v>
      </c>
      <c r="W26" s="108">
        <v>704170</v>
      </c>
      <c r="X26" s="108">
        <v>686644</v>
      </c>
      <c r="Y26" s="108">
        <v>0</v>
      </c>
      <c r="Z26" s="108">
        <v>0</v>
      </c>
      <c r="AA26" s="108"/>
      <c r="AB26" s="108"/>
      <c r="AC26" s="108"/>
      <c r="AD26" s="108"/>
      <c r="AE26" s="108"/>
      <c r="AF26" s="108"/>
      <c r="AG26" s="109"/>
      <c r="AH26" s="109"/>
      <c r="AI26" s="110"/>
      <c r="AK26" s="111">
        <f>SUM(F26:AI26)</f>
        <v>5610840.7463064045</v>
      </c>
    </row>
    <row r="27" spans="1:15115" x14ac:dyDescent="0.3">
      <c r="B27" s="122"/>
      <c r="C27" s="123" t="s">
        <v>83</v>
      </c>
      <c r="D27" s="128"/>
      <c r="E27" s="26" t="s">
        <v>16</v>
      </c>
      <c r="F27" s="108"/>
      <c r="G27" s="108"/>
      <c r="H27" s="108"/>
      <c r="I27" s="108"/>
      <c r="J27" s="108">
        <v>66400</v>
      </c>
      <c r="K27" s="108"/>
      <c r="L27" s="108"/>
      <c r="M27" s="108"/>
      <c r="N27" s="108"/>
      <c r="O27" s="108"/>
      <c r="P27" s="108"/>
      <c r="Q27" s="108"/>
      <c r="R27" s="108">
        <v>114910</v>
      </c>
      <c r="S27" s="108">
        <v>312953.55846144212</v>
      </c>
      <c r="T27" s="108">
        <v>400107.96734065353</v>
      </c>
      <c r="U27" s="108">
        <v>490307.39854877372</v>
      </c>
      <c r="V27" s="108">
        <v>420283</v>
      </c>
      <c r="W27" s="108">
        <v>301173</v>
      </c>
      <c r="X27" s="108">
        <v>293217</v>
      </c>
      <c r="Y27" s="108">
        <v>0</v>
      </c>
      <c r="Z27" s="108">
        <v>0</v>
      </c>
      <c r="AA27" s="129"/>
      <c r="AB27" s="108"/>
      <c r="AC27" s="108"/>
      <c r="AD27" s="108"/>
      <c r="AE27" s="108"/>
      <c r="AF27" s="108"/>
      <c r="AG27" s="109"/>
      <c r="AH27" s="109"/>
      <c r="AI27" s="110"/>
      <c r="AK27" s="111">
        <f>SUM(F27:AI27)</f>
        <v>2399351.9243508694</v>
      </c>
    </row>
    <row r="28" spans="1:15115" x14ac:dyDescent="0.3">
      <c r="B28" s="122"/>
      <c r="C28" s="124" t="s">
        <v>133</v>
      </c>
      <c r="D28" s="138"/>
      <c r="E28" s="126"/>
      <c r="F28" s="95"/>
      <c r="G28" s="95"/>
      <c r="H28" s="95"/>
      <c r="I28" s="139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140"/>
      <c r="Z28" s="141"/>
      <c r="AA28" s="135"/>
      <c r="AB28" s="140"/>
      <c r="AC28" s="140"/>
      <c r="AD28" s="140"/>
      <c r="AE28" s="140"/>
      <c r="AF28" s="140"/>
      <c r="AG28" s="142"/>
      <c r="AH28" s="142"/>
      <c r="AI28" s="143"/>
      <c r="AK28" s="127" t="s">
        <v>136</v>
      </c>
    </row>
    <row r="29" spans="1:15115" s="310" customFormat="1" x14ac:dyDescent="0.25">
      <c r="A29" s="67"/>
      <c r="B29" s="144"/>
      <c r="C29" s="79" t="s">
        <v>81</v>
      </c>
      <c r="D29" s="145"/>
      <c r="E29" s="146" t="s">
        <v>16</v>
      </c>
      <c r="F29" s="108"/>
      <c r="G29" s="108"/>
      <c r="H29" s="108"/>
      <c r="I29" s="108"/>
      <c r="J29" s="108"/>
      <c r="K29" s="108">
        <f>K30/K41*100</f>
        <v>163377.68272122892</v>
      </c>
      <c r="L29" s="108">
        <f t="shared" ref="L29:AI29" si="6">L30/L41*100</f>
        <v>643592.46147986525</v>
      </c>
      <c r="M29" s="108">
        <f t="shared" si="6"/>
        <v>466427.35603258532</v>
      </c>
      <c r="N29" s="108">
        <f t="shared" si="6"/>
        <v>936865.84792434331</v>
      </c>
      <c r="O29" s="108">
        <f t="shared" si="6"/>
        <v>878107.93281948171</v>
      </c>
      <c r="P29" s="108">
        <f t="shared" si="6"/>
        <v>671175.56174404337</v>
      </c>
      <c r="Q29" s="108">
        <f t="shared" si="6"/>
        <v>0</v>
      </c>
      <c r="R29" s="108">
        <f t="shared" si="6"/>
        <v>0</v>
      </c>
      <c r="S29" s="108">
        <f t="shared" si="6"/>
        <v>0</v>
      </c>
      <c r="T29" s="108">
        <f t="shared" si="6"/>
        <v>0</v>
      </c>
      <c r="U29" s="108">
        <f t="shared" si="6"/>
        <v>0</v>
      </c>
      <c r="V29" s="108">
        <f t="shared" si="6"/>
        <v>0</v>
      </c>
      <c r="W29" s="108">
        <f t="shared" si="6"/>
        <v>0</v>
      </c>
      <c r="X29" s="108">
        <f t="shared" si="6"/>
        <v>578997.65996546345</v>
      </c>
      <c r="Y29" s="108">
        <f t="shared" si="6"/>
        <v>864003.43588383845</v>
      </c>
      <c r="Z29" s="108">
        <f t="shared" si="6"/>
        <v>1165166.2773850008</v>
      </c>
      <c r="AA29" s="108">
        <f t="shared" si="6"/>
        <v>516448.86390629626</v>
      </c>
      <c r="AB29" s="108">
        <f t="shared" si="6"/>
        <v>625166.49747399404</v>
      </c>
      <c r="AC29" s="108">
        <f t="shared" si="6"/>
        <v>0</v>
      </c>
      <c r="AD29" s="108">
        <f t="shared" si="6"/>
        <v>386824.3698715627</v>
      </c>
      <c r="AE29" s="108">
        <f t="shared" si="6"/>
        <v>199652.049560846</v>
      </c>
      <c r="AF29" s="108">
        <f t="shared" si="6"/>
        <v>735667.27783341927</v>
      </c>
      <c r="AG29" s="108">
        <f t="shared" si="6"/>
        <v>73689.383697014608</v>
      </c>
      <c r="AH29" s="108">
        <f t="shared" si="6"/>
        <v>0</v>
      </c>
      <c r="AI29" s="108">
        <f t="shared" si="6"/>
        <v>0</v>
      </c>
      <c r="AJ29" s="67"/>
      <c r="AK29" s="147">
        <f>SUM(F29:AI29)</f>
        <v>8905162.6582989823</v>
      </c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309"/>
      <c r="CY29" s="67"/>
      <c r="CZ29" s="67"/>
      <c r="DA29" s="67"/>
      <c r="DB29" s="67"/>
      <c r="DC29" s="67"/>
      <c r="DD29" s="67"/>
      <c r="DE29" s="67"/>
      <c r="DF29" s="67"/>
      <c r="DG29" s="67"/>
      <c r="DH29" s="67"/>
      <c r="DI29" s="67"/>
      <c r="DJ29" s="67"/>
      <c r="DK29" s="67"/>
      <c r="DL29" s="67"/>
      <c r="DM29" s="67"/>
      <c r="DN29" s="67"/>
      <c r="DO29" s="67"/>
      <c r="DP29" s="67"/>
      <c r="DQ29" s="67"/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ED29" s="67"/>
      <c r="EE29" s="67"/>
      <c r="EF29" s="67"/>
      <c r="EG29" s="67"/>
      <c r="EH29" s="67"/>
      <c r="EI29" s="67"/>
      <c r="EJ29" s="67"/>
      <c r="EK29" s="67"/>
      <c r="EL29" s="67"/>
      <c r="EM29" s="67"/>
      <c r="EN29" s="67"/>
      <c r="EO29" s="67"/>
      <c r="EP29" s="67"/>
      <c r="EQ29" s="67"/>
      <c r="ER29" s="67"/>
      <c r="ES29" s="67"/>
      <c r="ET29" s="67"/>
      <c r="EU29" s="67"/>
      <c r="EV29" s="67"/>
      <c r="EW29" s="67"/>
      <c r="EX29" s="67"/>
      <c r="EY29" s="67"/>
      <c r="EZ29" s="67"/>
      <c r="FA29" s="67"/>
      <c r="FB29" s="67"/>
      <c r="FC29" s="67"/>
      <c r="FD29" s="67"/>
      <c r="FE29" s="67"/>
      <c r="FF29" s="67"/>
      <c r="FG29" s="67"/>
      <c r="FH29" s="67"/>
      <c r="FI29" s="67"/>
      <c r="FJ29" s="67"/>
      <c r="FK29" s="67"/>
      <c r="FL29" s="67"/>
      <c r="FM29" s="67"/>
      <c r="FN29" s="67"/>
      <c r="FO29" s="67"/>
      <c r="FP29" s="67"/>
      <c r="FQ29" s="67"/>
      <c r="FR29" s="67"/>
      <c r="FS29" s="67"/>
      <c r="FT29" s="67"/>
      <c r="FU29" s="67"/>
      <c r="FV29" s="67"/>
      <c r="FW29" s="67"/>
      <c r="FX29" s="67"/>
      <c r="FY29" s="67"/>
      <c r="FZ29" s="67"/>
      <c r="GA29" s="67"/>
      <c r="GB29" s="67"/>
      <c r="GC29" s="67"/>
      <c r="GD29" s="67"/>
      <c r="GE29" s="67"/>
      <c r="GF29" s="67"/>
      <c r="GG29" s="67"/>
      <c r="GH29" s="67"/>
      <c r="GI29" s="67"/>
      <c r="GJ29" s="67"/>
      <c r="GK29" s="67"/>
      <c r="GL29" s="67"/>
      <c r="GM29" s="67"/>
      <c r="GN29" s="67"/>
      <c r="GO29" s="67"/>
      <c r="GP29" s="67"/>
      <c r="GQ29" s="67"/>
      <c r="GR29" s="67"/>
      <c r="GS29" s="67"/>
      <c r="GT29" s="67"/>
      <c r="GU29" s="67"/>
      <c r="GV29" s="67"/>
      <c r="GW29" s="67"/>
      <c r="GX29" s="67"/>
      <c r="GY29" s="67"/>
      <c r="GZ29" s="67"/>
      <c r="HA29" s="67"/>
      <c r="HB29" s="67"/>
      <c r="HC29" s="67"/>
      <c r="HD29" s="67"/>
      <c r="HE29" s="67"/>
      <c r="HF29" s="67"/>
      <c r="HG29" s="67"/>
      <c r="HH29" s="67"/>
      <c r="HI29" s="67"/>
      <c r="HJ29" s="67"/>
      <c r="HK29" s="67"/>
      <c r="HL29" s="67"/>
      <c r="HM29" s="67"/>
      <c r="HN29" s="67"/>
      <c r="HO29" s="67"/>
      <c r="HP29" s="67"/>
      <c r="HQ29" s="67"/>
      <c r="HR29" s="67"/>
      <c r="HS29" s="67"/>
      <c r="HT29" s="67"/>
      <c r="HU29" s="67"/>
      <c r="HV29" s="67"/>
      <c r="HW29" s="67"/>
      <c r="HX29" s="67"/>
      <c r="HY29" s="67"/>
      <c r="HZ29" s="67"/>
      <c r="IA29" s="67"/>
      <c r="IB29" s="67"/>
      <c r="IC29" s="67"/>
      <c r="ID29" s="67"/>
      <c r="IE29" s="67"/>
      <c r="IF29" s="67"/>
      <c r="IG29" s="67"/>
      <c r="IH29" s="67"/>
      <c r="II29" s="67"/>
      <c r="IJ29" s="67"/>
      <c r="IK29" s="67"/>
      <c r="IL29" s="67"/>
      <c r="IM29" s="67"/>
      <c r="IN29" s="67"/>
      <c r="IO29" s="67"/>
      <c r="IP29" s="67"/>
      <c r="IQ29" s="67"/>
      <c r="IR29" s="67"/>
      <c r="IS29" s="67"/>
      <c r="IT29" s="67"/>
      <c r="IU29" s="67"/>
      <c r="IV29" s="67"/>
      <c r="IW29" s="67"/>
      <c r="IX29" s="67"/>
      <c r="IY29" s="67"/>
      <c r="IZ29" s="67"/>
      <c r="JA29" s="67"/>
      <c r="JB29" s="67"/>
      <c r="JC29" s="67"/>
      <c r="JD29" s="67"/>
      <c r="JE29" s="67"/>
      <c r="JF29" s="67"/>
      <c r="JG29" s="67"/>
      <c r="JH29" s="67"/>
      <c r="JI29" s="67"/>
      <c r="JJ29" s="67"/>
      <c r="JK29" s="67"/>
      <c r="JL29" s="67"/>
      <c r="JM29" s="67"/>
      <c r="JN29" s="67"/>
      <c r="JO29" s="67"/>
      <c r="JP29" s="67"/>
      <c r="JQ29" s="67"/>
      <c r="JR29" s="67"/>
      <c r="JS29" s="67"/>
      <c r="JT29" s="67"/>
      <c r="JU29" s="67"/>
      <c r="JV29" s="67"/>
      <c r="JW29" s="67"/>
      <c r="JX29" s="67"/>
      <c r="JY29" s="67"/>
      <c r="JZ29" s="67"/>
      <c r="KA29" s="67"/>
      <c r="KB29" s="67"/>
      <c r="KC29" s="67"/>
      <c r="KD29" s="67"/>
      <c r="KE29" s="67"/>
      <c r="KF29" s="67"/>
      <c r="KG29" s="67"/>
      <c r="KH29" s="67"/>
      <c r="KI29" s="67"/>
      <c r="KJ29" s="67"/>
      <c r="KK29" s="67"/>
      <c r="KL29" s="67"/>
      <c r="KM29" s="67"/>
      <c r="KN29" s="67"/>
      <c r="KO29" s="67"/>
      <c r="KP29" s="67"/>
      <c r="KQ29" s="67"/>
      <c r="KR29" s="67"/>
      <c r="KS29" s="67"/>
      <c r="KT29" s="67"/>
      <c r="KU29" s="67"/>
      <c r="KV29" s="67"/>
      <c r="KW29" s="67"/>
      <c r="KX29" s="67"/>
      <c r="KY29" s="67"/>
      <c r="KZ29" s="67"/>
      <c r="LA29" s="67"/>
      <c r="LB29" s="67"/>
      <c r="LC29" s="67"/>
      <c r="LD29" s="67"/>
      <c r="LE29" s="67"/>
      <c r="LF29" s="67"/>
      <c r="LG29" s="67"/>
      <c r="LH29" s="67"/>
      <c r="LI29" s="67"/>
      <c r="LJ29" s="67"/>
      <c r="LK29" s="67"/>
      <c r="LL29" s="67"/>
      <c r="LM29" s="67"/>
      <c r="LN29" s="67"/>
      <c r="LO29" s="67"/>
      <c r="LP29" s="67"/>
      <c r="LQ29" s="67"/>
      <c r="LR29" s="67"/>
      <c r="LS29" s="67"/>
      <c r="LT29" s="67"/>
      <c r="LU29" s="67"/>
      <c r="LV29" s="67"/>
      <c r="LW29" s="67"/>
      <c r="LX29" s="67"/>
      <c r="LY29" s="67"/>
      <c r="LZ29" s="67"/>
      <c r="MA29" s="67"/>
      <c r="MB29" s="67"/>
      <c r="MC29" s="67"/>
      <c r="MD29" s="67"/>
      <c r="ME29" s="67"/>
      <c r="MF29" s="67"/>
      <c r="MG29" s="67"/>
      <c r="MH29" s="67"/>
      <c r="MI29" s="67"/>
      <c r="MJ29" s="67"/>
      <c r="MK29" s="67"/>
      <c r="ML29" s="67"/>
      <c r="MM29" s="67"/>
      <c r="MN29" s="67"/>
      <c r="MO29" s="67"/>
      <c r="MP29" s="67"/>
      <c r="MQ29" s="67"/>
      <c r="MR29" s="67"/>
      <c r="MS29" s="67"/>
      <c r="MT29" s="67"/>
      <c r="MU29" s="67"/>
      <c r="MV29" s="67"/>
      <c r="MW29" s="67"/>
      <c r="MX29" s="67"/>
      <c r="MY29" s="67"/>
      <c r="MZ29" s="67"/>
      <c r="NA29" s="67"/>
      <c r="NB29" s="67"/>
      <c r="NC29" s="67"/>
      <c r="ND29" s="67"/>
      <c r="NE29" s="67"/>
      <c r="NF29" s="67"/>
      <c r="NG29" s="67"/>
      <c r="NH29" s="67"/>
      <c r="NI29" s="67"/>
      <c r="NJ29" s="67"/>
      <c r="NK29" s="67"/>
      <c r="NL29" s="67"/>
      <c r="NM29" s="67"/>
      <c r="NN29" s="67"/>
      <c r="NO29" s="67"/>
      <c r="NP29" s="67"/>
      <c r="NQ29" s="67"/>
      <c r="NR29" s="67"/>
      <c r="NS29" s="67"/>
      <c r="NT29" s="67"/>
      <c r="NU29" s="67"/>
      <c r="NV29" s="67"/>
      <c r="NW29" s="67"/>
      <c r="NX29" s="67"/>
      <c r="NY29" s="67"/>
      <c r="NZ29" s="67"/>
      <c r="OA29" s="67"/>
      <c r="OB29" s="67"/>
      <c r="OC29" s="67"/>
      <c r="OD29" s="67"/>
      <c r="OE29" s="67"/>
      <c r="OF29" s="67"/>
      <c r="OG29" s="67"/>
      <c r="OH29" s="67"/>
      <c r="OI29" s="67"/>
      <c r="OJ29" s="67"/>
      <c r="OK29" s="67"/>
      <c r="OL29" s="67"/>
      <c r="OM29" s="67"/>
      <c r="ON29" s="67"/>
      <c r="OO29" s="67"/>
      <c r="OP29" s="67"/>
      <c r="OQ29" s="67"/>
      <c r="OR29" s="67"/>
      <c r="OS29" s="67"/>
      <c r="OT29" s="67"/>
      <c r="OU29" s="67"/>
      <c r="OV29" s="67"/>
      <c r="OW29" s="67"/>
      <c r="OX29" s="67"/>
      <c r="OY29" s="67"/>
      <c r="OZ29" s="67"/>
      <c r="PA29" s="67"/>
      <c r="PB29" s="67"/>
      <c r="PC29" s="67"/>
      <c r="PD29" s="67"/>
      <c r="PE29" s="67"/>
      <c r="PF29" s="67"/>
      <c r="PG29" s="67"/>
      <c r="PH29" s="67"/>
      <c r="PI29" s="67"/>
      <c r="PJ29" s="67"/>
      <c r="PK29" s="67"/>
      <c r="PL29" s="67"/>
      <c r="PM29" s="67"/>
      <c r="PN29" s="67"/>
      <c r="PO29" s="67"/>
      <c r="PP29" s="67"/>
      <c r="PQ29" s="67"/>
      <c r="PR29" s="67"/>
      <c r="PS29" s="67"/>
      <c r="PT29" s="67"/>
      <c r="PU29" s="67"/>
      <c r="PV29" s="67"/>
      <c r="PW29" s="67"/>
      <c r="PX29" s="67"/>
      <c r="PY29" s="67"/>
      <c r="PZ29" s="67"/>
      <c r="QA29" s="67"/>
      <c r="QB29" s="67"/>
      <c r="QC29" s="67"/>
      <c r="QD29" s="67"/>
      <c r="QE29" s="67"/>
      <c r="QF29" s="67"/>
      <c r="QG29" s="67"/>
      <c r="QH29" s="67"/>
      <c r="QI29" s="67"/>
      <c r="QJ29" s="67"/>
      <c r="QK29" s="67"/>
      <c r="QL29" s="67"/>
      <c r="QM29" s="67"/>
      <c r="QN29" s="67"/>
      <c r="QO29" s="67"/>
      <c r="QP29" s="67"/>
      <c r="QQ29" s="67"/>
      <c r="QR29" s="67"/>
      <c r="QS29" s="67"/>
      <c r="QT29" s="67"/>
      <c r="QU29" s="67"/>
      <c r="QV29" s="67"/>
      <c r="QW29" s="67"/>
      <c r="QX29" s="67"/>
      <c r="QY29" s="67"/>
      <c r="QZ29" s="67"/>
      <c r="RA29" s="67"/>
      <c r="RB29" s="67"/>
      <c r="RC29" s="67"/>
      <c r="RD29" s="67"/>
      <c r="RE29" s="67"/>
      <c r="RF29" s="67"/>
      <c r="RG29" s="67"/>
      <c r="RH29" s="67"/>
      <c r="RI29" s="67"/>
      <c r="RJ29" s="67"/>
      <c r="RK29" s="67"/>
      <c r="RL29" s="67"/>
      <c r="RM29" s="67"/>
      <c r="RN29" s="67"/>
      <c r="RO29" s="67"/>
      <c r="RP29" s="67"/>
      <c r="RQ29" s="67"/>
      <c r="RR29" s="67"/>
      <c r="RS29" s="67"/>
      <c r="RT29" s="67"/>
      <c r="RU29" s="67"/>
      <c r="RV29" s="67"/>
      <c r="RW29" s="67"/>
      <c r="RX29" s="67"/>
      <c r="RY29" s="67"/>
      <c r="RZ29" s="67"/>
      <c r="SA29" s="67"/>
      <c r="SB29" s="67"/>
      <c r="SC29" s="67"/>
      <c r="SD29" s="67"/>
      <c r="SE29" s="67"/>
      <c r="SF29" s="67"/>
      <c r="SG29" s="67"/>
      <c r="SH29" s="67"/>
      <c r="SI29" s="67"/>
      <c r="SJ29" s="67"/>
      <c r="SK29" s="67"/>
      <c r="SL29" s="67"/>
      <c r="SM29" s="67"/>
      <c r="SN29" s="67"/>
      <c r="SO29" s="67"/>
      <c r="SP29" s="67"/>
      <c r="SQ29" s="67"/>
      <c r="SR29" s="67"/>
      <c r="SS29" s="67"/>
      <c r="ST29" s="67"/>
      <c r="SU29" s="67"/>
      <c r="SV29" s="67"/>
      <c r="SW29" s="67"/>
      <c r="SX29" s="67"/>
      <c r="SY29" s="67"/>
      <c r="SZ29" s="67"/>
      <c r="TA29" s="67"/>
      <c r="TB29" s="67"/>
      <c r="TC29" s="67"/>
      <c r="TD29" s="67"/>
      <c r="TE29" s="67"/>
      <c r="TF29" s="67"/>
      <c r="TG29" s="67"/>
      <c r="TH29" s="67"/>
      <c r="TI29" s="67"/>
      <c r="TJ29" s="67"/>
      <c r="TK29" s="67"/>
      <c r="TL29" s="67"/>
      <c r="TM29" s="67"/>
      <c r="TN29" s="67"/>
      <c r="TO29" s="67"/>
      <c r="TP29" s="67"/>
      <c r="TQ29" s="67"/>
      <c r="TR29" s="67"/>
      <c r="TS29" s="67"/>
      <c r="TT29" s="67"/>
      <c r="TU29" s="67"/>
      <c r="TV29" s="67"/>
      <c r="TW29" s="67"/>
      <c r="TX29" s="67"/>
      <c r="TY29" s="67"/>
      <c r="TZ29" s="67"/>
      <c r="UA29" s="67"/>
      <c r="UB29" s="67"/>
      <c r="UC29" s="67"/>
      <c r="UD29" s="67"/>
      <c r="UE29" s="67"/>
      <c r="UF29" s="67"/>
      <c r="UG29" s="67"/>
      <c r="UH29" s="67"/>
      <c r="UI29" s="67"/>
      <c r="UJ29" s="67"/>
      <c r="UK29" s="67"/>
      <c r="UL29" s="67"/>
      <c r="UM29" s="67"/>
      <c r="UN29" s="67"/>
      <c r="UO29" s="67"/>
      <c r="UP29" s="67"/>
      <c r="UQ29" s="67"/>
      <c r="UR29" s="67"/>
      <c r="US29" s="67"/>
      <c r="UT29" s="67"/>
      <c r="UU29" s="67"/>
      <c r="UV29" s="67"/>
      <c r="UW29" s="67"/>
      <c r="UX29" s="67"/>
      <c r="UY29" s="67"/>
      <c r="UZ29" s="67"/>
      <c r="VA29" s="67"/>
      <c r="VB29" s="67"/>
      <c r="VC29" s="67"/>
      <c r="VD29" s="67"/>
      <c r="VE29" s="67"/>
      <c r="VF29" s="67"/>
      <c r="VG29" s="67"/>
      <c r="VH29" s="67"/>
      <c r="VI29" s="67"/>
      <c r="VJ29" s="67"/>
      <c r="VK29" s="67"/>
      <c r="VL29" s="67"/>
      <c r="VM29" s="67"/>
      <c r="VN29" s="67"/>
      <c r="VO29" s="67"/>
      <c r="VP29" s="67"/>
      <c r="VQ29" s="67"/>
      <c r="VR29" s="67"/>
      <c r="VS29" s="67"/>
      <c r="VT29" s="67"/>
      <c r="VU29" s="67"/>
      <c r="VV29" s="67"/>
      <c r="VW29" s="67"/>
      <c r="VX29" s="67"/>
      <c r="VY29" s="67"/>
      <c r="VZ29" s="67"/>
      <c r="WA29" s="67"/>
      <c r="WB29" s="67"/>
      <c r="WC29" s="67"/>
      <c r="WD29" s="67"/>
      <c r="WE29" s="67"/>
      <c r="WF29" s="67"/>
      <c r="WG29" s="67"/>
      <c r="WH29" s="67"/>
      <c r="WI29" s="67"/>
      <c r="WJ29" s="67"/>
      <c r="WK29" s="67"/>
      <c r="WL29" s="67"/>
      <c r="WM29" s="67"/>
      <c r="WN29" s="67"/>
      <c r="WO29" s="67"/>
      <c r="WP29" s="67"/>
      <c r="WQ29" s="67"/>
      <c r="WR29" s="67"/>
      <c r="WS29" s="67"/>
      <c r="WT29" s="67"/>
      <c r="WU29" s="67"/>
      <c r="WV29" s="67"/>
      <c r="WW29" s="67"/>
      <c r="WX29" s="67"/>
      <c r="WY29" s="67"/>
      <c r="WZ29" s="67"/>
      <c r="XA29" s="67"/>
      <c r="XB29" s="67"/>
      <c r="XC29" s="67"/>
      <c r="XD29" s="67"/>
      <c r="XE29" s="67"/>
      <c r="XF29" s="67"/>
      <c r="XG29" s="67"/>
      <c r="XH29" s="67"/>
      <c r="XI29" s="67"/>
      <c r="XJ29" s="67"/>
      <c r="XK29" s="67"/>
      <c r="XL29" s="67"/>
      <c r="XM29" s="67"/>
      <c r="XN29" s="67"/>
      <c r="XO29" s="67"/>
      <c r="XP29" s="67"/>
      <c r="XQ29" s="67"/>
      <c r="XR29" s="67"/>
      <c r="XS29" s="67"/>
      <c r="XT29" s="67"/>
      <c r="XU29" s="67"/>
      <c r="XV29" s="67"/>
      <c r="XW29" s="67"/>
      <c r="XX29" s="67"/>
      <c r="XY29" s="67"/>
      <c r="XZ29" s="67"/>
      <c r="YA29" s="67"/>
      <c r="YB29" s="67"/>
      <c r="YC29" s="67"/>
      <c r="YD29" s="67"/>
      <c r="YE29" s="67"/>
      <c r="YF29" s="67"/>
      <c r="YG29" s="67"/>
      <c r="YH29" s="67"/>
      <c r="YI29" s="67"/>
      <c r="YJ29" s="67"/>
      <c r="YK29" s="67"/>
      <c r="YL29" s="67"/>
      <c r="YM29" s="67"/>
      <c r="YN29" s="67"/>
      <c r="YO29" s="67"/>
      <c r="YP29" s="67"/>
      <c r="YQ29" s="67"/>
      <c r="YR29" s="67"/>
      <c r="YS29" s="67"/>
      <c r="YT29" s="67"/>
      <c r="YU29" s="67"/>
      <c r="YV29" s="67"/>
      <c r="YW29" s="67"/>
      <c r="YX29" s="67"/>
      <c r="YY29" s="67"/>
      <c r="YZ29" s="67"/>
      <c r="ZA29" s="67"/>
      <c r="ZB29" s="67"/>
      <c r="ZC29" s="67"/>
      <c r="ZD29" s="67"/>
      <c r="ZE29" s="67"/>
      <c r="ZF29" s="67"/>
      <c r="ZG29" s="67"/>
      <c r="ZH29" s="67"/>
      <c r="ZI29" s="67"/>
      <c r="ZJ29" s="67"/>
      <c r="ZK29" s="67"/>
      <c r="ZL29" s="67"/>
      <c r="ZM29" s="67"/>
      <c r="ZN29" s="67"/>
      <c r="ZO29" s="67"/>
      <c r="ZP29" s="67"/>
      <c r="ZQ29" s="67"/>
      <c r="ZR29" s="67"/>
      <c r="ZS29" s="67"/>
      <c r="ZT29" s="67"/>
      <c r="ZU29" s="67"/>
      <c r="ZV29" s="67"/>
      <c r="ZW29" s="67"/>
      <c r="ZX29" s="67"/>
      <c r="ZY29" s="67"/>
      <c r="ZZ29" s="67"/>
      <c r="AAA29" s="67"/>
      <c r="AAB29" s="67"/>
      <c r="AAC29" s="67"/>
      <c r="AAD29" s="67"/>
      <c r="AAE29" s="67"/>
      <c r="AAF29" s="67"/>
      <c r="AAG29" s="67"/>
      <c r="AAH29" s="67"/>
      <c r="AAI29" s="67"/>
      <c r="AAJ29" s="67"/>
      <c r="AAK29" s="67"/>
      <c r="AAL29" s="67"/>
      <c r="AAM29" s="67"/>
      <c r="AAN29" s="67"/>
      <c r="AAO29" s="67"/>
      <c r="AAP29" s="67"/>
      <c r="AAQ29" s="67"/>
      <c r="AAR29" s="67"/>
      <c r="AAS29" s="67"/>
      <c r="AAT29" s="67"/>
      <c r="AAU29" s="67"/>
      <c r="AAV29" s="67"/>
      <c r="AAW29" s="67"/>
      <c r="AAX29" s="67"/>
      <c r="AAY29" s="67"/>
      <c r="AAZ29" s="67"/>
      <c r="ABA29" s="67"/>
      <c r="ABB29" s="67"/>
      <c r="ABC29" s="67"/>
      <c r="ABD29" s="67"/>
      <c r="ABE29" s="67"/>
      <c r="ABF29" s="67"/>
      <c r="ABG29" s="67"/>
      <c r="ABH29" s="67"/>
      <c r="ABI29" s="67"/>
      <c r="ABJ29" s="67"/>
      <c r="ABK29" s="67"/>
      <c r="ABL29" s="67"/>
      <c r="ABM29" s="67"/>
      <c r="ABN29" s="67"/>
      <c r="ABO29" s="67"/>
      <c r="ABP29" s="67"/>
      <c r="ABQ29" s="67"/>
      <c r="ABR29" s="67"/>
      <c r="ABS29" s="67"/>
      <c r="ABT29" s="67"/>
      <c r="ABU29" s="67"/>
      <c r="ABV29" s="67"/>
      <c r="ABW29" s="67"/>
      <c r="ABX29" s="67"/>
      <c r="ABY29" s="67"/>
      <c r="ABZ29" s="67"/>
      <c r="ACA29" s="67"/>
      <c r="ACB29" s="67"/>
      <c r="ACC29" s="67"/>
      <c r="ACD29" s="67"/>
      <c r="ACE29" s="67"/>
      <c r="ACF29" s="67"/>
      <c r="ACG29" s="67"/>
      <c r="ACH29" s="67"/>
      <c r="ACI29" s="67"/>
      <c r="ACJ29" s="67"/>
      <c r="ACK29" s="67"/>
      <c r="ACL29" s="67"/>
      <c r="ACM29" s="67"/>
      <c r="ACN29" s="67"/>
      <c r="ACO29" s="67"/>
      <c r="ACP29" s="67"/>
      <c r="ACQ29" s="67"/>
      <c r="ACR29" s="67"/>
      <c r="ACS29" s="67"/>
      <c r="ACT29" s="67"/>
      <c r="ACU29" s="67"/>
      <c r="ACV29" s="67"/>
      <c r="ACW29" s="67"/>
      <c r="ACX29" s="67"/>
      <c r="ACY29" s="67"/>
      <c r="ACZ29" s="67"/>
      <c r="ADA29" s="67"/>
      <c r="ADB29" s="67"/>
      <c r="ADC29" s="67"/>
      <c r="ADD29" s="67"/>
      <c r="ADE29" s="67"/>
      <c r="ADF29" s="67"/>
      <c r="ADG29" s="67"/>
      <c r="ADH29" s="67"/>
      <c r="ADI29" s="67"/>
      <c r="ADJ29" s="67"/>
      <c r="ADK29" s="67"/>
      <c r="ADL29" s="67"/>
      <c r="ADM29" s="67"/>
      <c r="ADN29" s="67"/>
      <c r="ADO29" s="67"/>
      <c r="ADP29" s="67"/>
      <c r="ADQ29" s="67"/>
      <c r="ADR29" s="67"/>
      <c r="ADS29" s="67"/>
      <c r="ADT29" s="67"/>
      <c r="ADU29" s="67"/>
      <c r="ADV29" s="67"/>
      <c r="ADW29" s="67"/>
      <c r="ADX29" s="67"/>
      <c r="ADY29" s="67"/>
      <c r="ADZ29" s="67"/>
      <c r="AEA29" s="67"/>
      <c r="AEB29" s="67"/>
      <c r="AEC29" s="67"/>
      <c r="AED29" s="67"/>
      <c r="AEE29" s="67"/>
      <c r="AEF29" s="67"/>
      <c r="AEG29" s="67"/>
      <c r="AEH29" s="67"/>
      <c r="AEI29" s="67"/>
      <c r="AEJ29" s="67"/>
      <c r="AEK29" s="67"/>
      <c r="AEL29" s="67"/>
      <c r="AEM29" s="67"/>
      <c r="AEN29" s="67"/>
      <c r="AEO29" s="67"/>
      <c r="AEP29" s="67"/>
      <c r="AEQ29" s="67"/>
      <c r="AER29" s="67"/>
      <c r="AES29" s="67"/>
      <c r="AET29" s="67"/>
      <c r="AEU29" s="67"/>
      <c r="AEV29" s="67"/>
      <c r="AEW29" s="67"/>
      <c r="AEX29" s="67"/>
      <c r="AEY29" s="67"/>
      <c r="AEZ29" s="67"/>
      <c r="AFA29" s="67"/>
      <c r="AFB29" s="67"/>
      <c r="AFC29" s="67"/>
      <c r="AFD29" s="67"/>
      <c r="AFE29" s="67"/>
      <c r="AFF29" s="67"/>
      <c r="AFG29" s="67"/>
      <c r="AFH29" s="67"/>
      <c r="AFI29" s="67"/>
      <c r="AFJ29" s="67"/>
      <c r="AFK29" s="67"/>
      <c r="AFL29" s="67"/>
      <c r="AFM29" s="67"/>
      <c r="AFN29" s="67"/>
      <c r="AFO29" s="67"/>
      <c r="AFP29" s="67"/>
      <c r="AFQ29" s="67"/>
      <c r="AFR29" s="67"/>
      <c r="AFS29" s="67"/>
      <c r="AFT29" s="67"/>
      <c r="AFU29" s="67"/>
      <c r="AFV29" s="67"/>
      <c r="AFW29" s="67"/>
      <c r="AFX29" s="67"/>
      <c r="AFY29" s="67"/>
      <c r="AFZ29" s="67"/>
      <c r="AGA29" s="67"/>
      <c r="AGB29" s="67"/>
      <c r="AGC29" s="67"/>
      <c r="AGD29" s="67"/>
      <c r="AGE29" s="67"/>
      <c r="AGF29" s="67"/>
      <c r="AGG29" s="67"/>
      <c r="AGH29" s="67"/>
      <c r="AGI29" s="67"/>
      <c r="AGJ29" s="67"/>
      <c r="AGK29" s="67"/>
      <c r="AGL29" s="67"/>
      <c r="AGM29" s="67"/>
      <c r="AGN29" s="67"/>
      <c r="AGO29" s="67"/>
      <c r="AGP29" s="67"/>
      <c r="AGQ29" s="67"/>
      <c r="AGR29" s="67"/>
      <c r="AGS29" s="67"/>
      <c r="AGT29" s="67"/>
      <c r="AGU29" s="67"/>
      <c r="AGV29" s="67"/>
      <c r="AGW29" s="67"/>
      <c r="AGX29" s="67"/>
      <c r="AGY29" s="67"/>
      <c r="AGZ29" s="67"/>
      <c r="AHA29" s="67"/>
      <c r="AHB29" s="67"/>
      <c r="AHC29" s="67"/>
      <c r="AHD29" s="67"/>
      <c r="AHE29" s="67"/>
      <c r="AHF29" s="67"/>
      <c r="AHG29" s="67"/>
      <c r="AHH29" s="67"/>
      <c r="AHI29" s="67"/>
      <c r="AHJ29" s="67"/>
      <c r="AHK29" s="67"/>
      <c r="AHL29" s="67"/>
      <c r="AHM29" s="67"/>
      <c r="AHN29" s="67"/>
      <c r="AHO29" s="67"/>
      <c r="AHP29" s="67"/>
      <c r="AHQ29" s="67"/>
      <c r="AHR29" s="67"/>
      <c r="AHS29" s="67"/>
      <c r="AHT29" s="67"/>
      <c r="AHU29" s="67"/>
      <c r="AHV29" s="67"/>
      <c r="AHW29" s="67"/>
      <c r="AHX29" s="67"/>
      <c r="AHY29" s="67"/>
      <c r="AHZ29" s="67"/>
      <c r="AIA29" s="67"/>
      <c r="AIB29" s="67"/>
      <c r="AIC29" s="67"/>
      <c r="AID29" s="67"/>
      <c r="AIE29" s="67"/>
      <c r="AIF29" s="67"/>
      <c r="AIG29" s="67"/>
      <c r="AIH29" s="67"/>
      <c r="AII29" s="67"/>
      <c r="AIJ29" s="67"/>
      <c r="AIK29" s="67"/>
      <c r="AIL29" s="67"/>
      <c r="AIM29" s="67"/>
      <c r="AIN29" s="67"/>
      <c r="AIO29" s="67"/>
      <c r="AIP29" s="67"/>
      <c r="AIQ29" s="67"/>
      <c r="AIR29" s="67"/>
      <c r="AIS29" s="67"/>
      <c r="AIT29" s="67"/>
      <c r="AIU29" s="67"/>
      <c r="AIV29" s="67"/>
      <c r="AIW29" s="67"/>
      <c r="AIX29" s="67"/>
      <c r="AIY29" s="67"/>
      <c r="AIZ29" s="67"/>
      <c r="AJA29" s="67"/>
      <c r="AJB29" s="67"/>
      <c r="AJC29" s="67"/>
      <c r="AJD29" s="67"/>
      <c r="AJE29" s="67"/>
      <c r="AJF29" s="67"/>
      <c r="AJG29" s="67"/>
      <c r="AJH29" s="67"/>
      <c r="AJI29" s="67"/>
      <c r="AJJ29" s="67"/>
      <c r="AJK29" s="67"/>
      <c r="AJL29" s="67"/>
      <c r="AJM29" s="67"/>
      <c r="AJN29" s="67"/>
      <c r="AJO29" s="67"/>
      <c r="AJP29" s="67"/>
      <c r="AJQ29" s="67"/>
      <c r="AJR29" s="67"/>
      <c r="AJS29" s="67"/>
      <c r="AJT29" s="67"/>
      <c r="AJU29" s="67"/>
      <c r="AJV29" s="67"/>
      <c r="AJW29" s="67"/>
      <c r="AJX29" s="67"/>
      <c r="AJY29" s="67"/>
      <c r="AJZ29" s="67"/>
      <c r="AKA29" s="67"/>
      <c r="AKB29" s="67"/>
      <c r="AKC29" s="67"/>
      <c r="AKD29" s="67"/>
      <c r="AKE29" s="67"/>
      <c r="AKF29" s="67"/>
      <c r="AKG29" s="67"/>
      <c r="AKH29" s="67"/>
      <c r="AKI29" s="67"/>
      <c r="AKJ29" s="67"/>
      <c r="AKK29" s="67"/>
      <c r="AKL29" s="67"/>
      <c r="AKM29" s="67"/>
      <c r="AKN29" s="67"/>
      <c r="AKO29" s="67"/>
      <c r="AKP29" s="67"/>
      <c r="AKQ29" s="67"/>
      <c r="AKR29" s="67"/>
      <c r="AKS29" s="67"/>
      <c r="AKT29" s="67"/>
      <c r="AKU29" s="67"/>
      <c r="AKV29" s="67"/>
      <c r="AKW29" s="67"/>
      <c r="AKX29" s="67"/>
      <c r="AKY29" s="67"/>
      <c r="AKZ29" s="67"/>
      <c r="ALA29" s="67"/>
      <c r="ALB29" s="67"/>
      <c r="ALC29" s="67"/>
      <c r="ALD29" s="67"/>
      <c r="ALE29" s="67"/>
      <c r="ALF29" s="67"/>
      <c r="ALG29" s="67"/>
      <c r="ALH29" s="67"/>
      <c r="ALI29" s="67"/>
      <c r="ALJ29" s="67"/>
      <c r="ALK29" s="67"/>
      <c r="ALL29" s="67"/>
      <c r="ALM29" s="67"/>
      <c r="ALN29" s="67"/>
      <c r="ALO29" s="67"/>
      <c r="ALP29" s="67"/>
      <c r="ALQ29" s="67"/>
      <c r="ALR29" s="67"/>
      <c r="ALS29" s="67"/>
      <c r="ALT29" s="67"/>
      <c r="ALU29" s="67"/>
      <c r="ALV29" s="67"/>
      <c r="ALW29" s="67"/>
      <c r="ALX29" s="67"/>
      <c r="ALY29" s="67"/>
      <c r="ALZ29" s="67"/>
      <c r="AMA29" s="67"/>
      <c r="AMB29" s="67"/>
      <c r="AMC29" s="67"/>
      <c r="AMD29" s="67"/>
      <c r="AME29" s="67"/>
      <c r="AMF29" s="67"/>
      <c r="AMG29" s="67"/>
      <c r="AMH29" s="67"/>
      <c r="AMI29" s="67"/>
      <c r="AMJ29" s="67"/>
      <c r="AMK29" s="67"/>
      <c r="AML29" s="67"/>
      <c r="AMM29" s="67"/>
      <c r="AMN29" s="67"/>
      <c r="AMO29" s="67"/>
      <c r="AMP29" s="67"/>
      <c r="AMQ29" s="67"/>
      <c r="AMR29" s="67"/>
      <c r="AMS29" s="67"/>
      <c r="AMT29" s="67"/>
      <c r="AMU29" s="67"/>
      <c r="AMV29" s="67"/>
      <c r="AMW29" s="67"/>
      <c r="AMX29" s="67"/>
      <c r="AMY29" s="67"/>
      <c r="AMZ29" s="67"/>
      <c r="ANA29" s="67"/>
      <c r="ANB29" s="67"/>
      <c r="ANC29" s="67"/>
      <c r="AND29" s="67"/>
      <c r="ANE29" s="67"/>
      <c r="ANF29" s="67"/>
      <c r="ANG29" s="67"/>
      <c r="ANH29" s="67"/>
      <c r="ANI29" s="67"/>
      <c r="ANJ29" s="67"/>
      <c r="ANK29" s="67"/>
      <c r="ANL29" s="67"/>
      <c r="ANM29" s="67"/>
      <c r="ANN29" s="67"/>
      <c r="ANO29" s="67"/>
      <c r="ANP29" s="67"/>
      <c r="ANQ29" s="67"/>
      <c r="ANR29" s="67"/>
      <c r="ANS29" s="67"/>
      <c r="ANT29" s="67"/>
      <c r="ANU29" s="67"/>
      <c r="ANV29" s="67"/>
      <c r="ANW29" s="67"/>
      <c r="ANX29" s="67"/>
      <c r="ANY29" s="67"/>
      <c r="ANZ29" s="67"/>
      <c r="AOA29" s="67"/>
      <c r="AOB29" s="67"/>
      <c r="AOC29" s="67"/>
      <c r="AOD29" s="67"/>
      <c r="AOE29" s="67"/>
      <c r="AOF29" s="67"/>
      <c r="AOG29" s="67"/>
      <c r="AOH29" s="67"/>
      <c r="AOI29" s="67"/>
      <c r="AOJ29" s="67"/>
      <c r="AOK29" s="67"/>
      <c r="AOL29" s="67"/>
      <c r="AOM29" s="67"/>
      <c r="AON29" s="67"/>
      <c r="AOO29" s="67"/>
      <c r="AOP29" s="67"/>
      <c r="AOQ29" s="67"/>
      <c r="AOR29" s="67"/>
      <c r="AOS29" s="67"/>
      <c r="AOT29" s="67"/>
      <c r="AOU29" s="67"/>
      <c r="AOV29" s="67"/>
      <c r="AOW29" s="67"/>
      <c r="AOX29" s="67"/>
      <c r="AOY29" s="67"/>
      <c r="AOZ29" s="67"/>
      <c r="APA29" s="67"/>
      <c r="APB29" s="67"/>
      <c r="APC29" s="67"/>
      <c r="APD29" s="67"/>
      <c r="APE29" s="67"/>
      <c r="APF29" s="67"/>
      <c r="APG29" s="67"/>
      <c r="APH29" s="67"/>
      <c r="API29" s="67"/>
      <c r="APJ29" s="67"/>
      <c r="APK29" s="67"/>
      <c r="APL29" s="67"/>
      <c r="APM29" s="67"/>
      <c r="APN29" s="67"/>
      <c r="APO29" s="67"/>
      <c r="APP29" s="67"/>
      <c r="APQ29" s="67"/>
      <c r="APR29" s="67"/>
      <c r="APS29" s="67"/>
      <c r="APT29" s="67"/>
      <c r="APU29" s="67"/>
      <c r="APV29" s="67"/>
      <c r="APW29" s="67"/>
      <c r="APX29" s="67"/>
      <c r="APY29" s="67"/>
      <c r="APZ29" s="67"/>
      <c r="AQA29" s="67"/>
      <c r="AQB29" s="67"/>
      <c r="AQC29" s="67"/>
      <c r="AQD29" s="67"/>
      <c r="AQE29" s="67"/>
      <c r="AQF29" s="67"/>
      <c r="AQG29" s="67"/>
      <c r="AQH29" s="67"/>
      <c r="AQI29" s="67"/>
      <c r="AQJ29" s="67"/>
      <c r="AQK29" s="67"/>
      <c r="AQL29" s="67"/>
      <c r="AQM29" s="67"/>
      <c r="AQN29" s="67"/>
      <c r="AQO29" s="67"/>
      <c r="AQP29" s="67"/>
      <c r="AQQ29" s="67"/>
      <c r="AQR29" s="67"/>
      <c r="AQS29" s="67"/>
      <c r="AQT29" s="67"/>
      <c r="AQU29" s="67"/>
      <c r="AQV29" s="67"/>
      <c r="AQW29" s="67"/>
      <c r="AQX29" s="67"/>
      <c r="AQY29" s="67"/>
      <c r="AQZ29" s="67"/>
      <c r="ARA29" s="67"/>
      <c r="ARB29" s="67"/>
      <c r="ARC29" s="67"/>
      <c r="ARD29" s="67"/>
      <c r="ARE29" s="67"/>
      <c r="ARF29" s="67"/>
      <c r="ARG29" s="67"/>
      <c r="ARH29" s="67"/>
      <c r="ARI29" s="67"/>
      <c r="ARJ29" s="67"/>
      <c r="ARK29" s="67"/>
      <c r="ARL29" s="67"/>
      <c r="ARM29" s="67"/>
      <c r="ARN29" s="67"/>
      <c r="ARO29" s="67"/>
      <c r="ARP29" s="67"/>
      <c r="ARQ29" s="67"/>
      <c r="ARR29" s="67"/>
      <c r="ARS29" s="67"/>
      <c r="ART29" s="67"/>
      <c r="ARU29" s="67"/>
      <c r="ARV29" s="67"/>
      <c r="ARW29" s="67"/>
      <c r="ARX29" s="67"/>
      <c r="ARY29" s="67"/>
      <c r="ARZ29" s="67"/>
      <c r="ASA29" s="67"/>
      <c r="ASB29" s="67"/>
      <c r="ASC29" s="67"/>
      <c r="ASD29" s="67"/>
      <c r="ASE29" s="67"/>
      <c r="ASF29" s="67"/>
      <c r="ASG29" s="67"/>
      <c r="ASH29" s="67"/>
      <c r="ASI29" s="67"/>
      <c r="ASJ29" s="67"/>
      <c r="ASK29" s="67"/>
      <c r="ASL29" s="67"/>
      <c r="ASM29" s="67"/>
      <c r="ASN29" s="67"/>
      <c r="ASO29" s="67"/>
      <c r="ASP29" s="67"/>
      <c r="ASQ29" s="67"/>
      <c r="ASR29" s="67"/>
      <c r="ASS29" s="67"/>
      <c r="AST29" s="67"/>
      <c r="ASU29" s="67"/>
      <c r="ASV29" s="67"/>
      <c r="ASW29" s="67"/>
      <c r="ASX29" s="67"/>
      <c r="ASY29" s="67"/>
      <c r="ASZ29" s="67"/>
      <c r="ATA29" s="67"/>
      <c r="ATB29" s="67"/>
      <c r="ATC29" s="67"/>
      <c r="ATD29" s="67"/>
      <c r="ATE29" s="67"/>
      <c r="ATF29" s="67"/>
      <c r="ATG29" s="67"/>
      <c r="ATH29" s="67"/>
      <c r="ATI29" s="67"/>
      <c r="ATJ29" s="67"/>
      <c r="ATK29" s="67"/>
      <c r="ATL29" s="67"/>
      <c r="ATM29" s="67"/>
      <c r="ATN29" s="67"/>
      <c r="ATO29" s="67"/>
      <c r="ATP29" s="67"/>
      <c r="ATQ29" s="67"/>
      <c r="ATR29" s="67"/>
      <c r="ATS29" s="67"/>
      <c r="ATT29" s="67"/>
      <c r="ATU29" s="67"/>
      <c r="ATV29" s="67"/>
      <c r="ATW29" s="67"/>
      <c r="ATX29" s="67"/>
      <c r="ATY29" s="67"/>
      <c r="ATZ29" s="67"/>
      <c r="AUA29" s="67"/>
      <c r="AUB29" s="67"/>
      <c r="AUC29" s="67"/>
      <c r="AUD29" s="67"/>
      <c r="AUE29" s="67"/>
      <c r="AUF29" s="67"/>
      <c r="AUG29" s="67"/>
      <c r="AUH29" s="67"/>
      <c r="AUI29" s="67"/>
      <c r="AUJ29" s="67"/>
      <c r="AUK29" s="67"/>
      <c r="AUL29" s="67"/>
      <c r="AUM29" s="67"/>
      <c r="AUN29" s="67"/>
      <c r="AUO29" s="67"/>
      <c r="AUP29" s="67"/>
      <c r="AUQ29" s="67"/>
      <c r="AUR29" s="67"/>
      <c r="AUS29" s="67"/>
      <c r="AUT29" s="67"/>
      <c r="AUU29" s="67"/>
      <c r="AUV29" s="67"/>
      <c r="AUW29" s="67"/>
      <c r="AUX29" s="67"/>
      <c r="AUY29" s="67"/>
      <c r="AUZ29" s="67"/>
      <c r="AVA29" s="67"/>
      <c r="AVB29" s="67"/>
      <c r="AVC29" s="67"/>
      <c r="AVD29" s="67"/>
      <c r="AVE29" s="67"/>
      <c r="AVF29" s="67"/>
      <c r="AVG29" s="67"/>
      <c r="AVH29" s="67"/>
      <c r="AVI29" s="67"/>
      <c r="AVJ29" s="67"/>
      <c r="AVK29" s="67"/>
      <c r="AVL29" s="67"/>
      <c r="AVM29" s="67"/>
      <c r="AVN29" s="67"/>
      <c r="AVO29" s="67"/>
      <c r="AVP29" s="67"/>
      <c r="AVQ29" s="67"/>
      <c r="AVR29" s="67"/>
      <c r="AVS29" s="67"/>
      <c r="AVT29" s="67"/>
      <c r="AVU29" s="67"/>
      <c r="AVV29" s="67"/>
      <c r="AVW29" s="67"/>
      <c r="AVX29" s="67"/>
      <c r="AVY29" s="67"/>
      <c r="AVZ29" s="67"/>
      <c r="AWA29" s="67"/>
      <c r="AWB29" s="67"/>
      <c r="AWC29" s="67"/>
      <c r="AWD29" s="67"/>
      <c r="AWE29" s="67"/>
      <c r="AWF29" s="67"/>
      <c r="AWG29" s="67"/>
      <c r="AWH29" s="67"/>
      <c r="AWI29" s="67"/>
      <c r="AWJ29" s="67"/>
      <c r="AWK29" s="67"/>
      <c r="AWL29" s="67"/>
      <c r="AWM29" s="67"/>
      <c r="AWN29" s="67"/>
      <c r="AWO29" s="67"/>
      <c r="AWP29" s="67"/>
      <c r="AWQ29" s="67"/>
      <c r="AWR29" s="67"/>
      <c r="AWS29" s="67"/>
      <c r="AWT29" s="67"/>
      <c r="AWU29" s="67"/>
      <c r="AWV29" s="67"/>
      <c r="AWW29" s="67"/>
      <c r="AWX29" s="67"/>
      <c r="AWY29" s="67"/>
      <c r="AWZ29" s="67"/>
      <c r="AXA29" s="67"/>
      <c r="AXB29" s="67"/>
      <c r="AXC29" s="67"/>
      <c r="AXD29" s="67"/>
      <c r="AXE29" s="67"/>
      <c r="AXF29" s="67"/>
      <c r="AXG29" s="67"/>
      <c r="AXH29" s="67"/>
      <c r="AXI29" s="67"/>
      <c r="AXJ29" s="67"/>
      <c r="AXK29" s="67"/>
      <c r="AXL29" s="67"/>
      <c r="AXM29" s="67"/>
      <c r="AXN29" s="67"/>
      <c r="AXO29" s="67"/>
      <c r="AXP29" s="67"/>
      <c r="AXQ29" s="67"/>
      <c r="AXR29" s="67"/>
      <c r="AXS29" s="67"/>
      <c r="AXT29" s="67"/>
      <c r="AXU29" s="67"/>
      <c r="AXV29" s="67"/>
      <c r="AXW29" s="67"/>
      <c r="AXX29" s="67"/>
      <c r="AXY29" s="67"/>
      <c r="AXZ29" s="67"/>
      <c r="AYA29" s="67"/>
      <c r="AYB29" s="67"/>
      <c r="AYC29" s="67"/>
      <c r="AYD29" s="67"/>
      <c r="AYE29" s="67"/>
      <c r="AYF29" s="67"/>
      <c r="AYG29" s="67"/>
      <c r="AYH29" s="67"/>
      <c r="AYI29" s="67"/>
      <c r="AYJ29" s="67"/>
      <c r="AYK29" s="67"/>
      <c r="AYL29" s="67"/>
      <c r="AYM29" s="67"/>
      <c r="AYN29" s="67"/>
      <c r="AYO29" s="67"/>
      <c r="AYP29" s="67"/>
      <c r="AYQ29" s="67"/>
      <c r="AYR29" s="67"/>
      <c r="AYS29" s="67"/>
      <c r="AYT29" s="67"/>
      <c r="AYU29" s="67"/>
      <c r="AYV29" s="67"/>
      <c r="AYW29" s="67"/>
      <c r="AYX29" s="67"/>
      <c r="AYY29" s="67"/>
      <c r="AYZ29" s="67"/>
      <c r="AZA29" s="67"/>
      <c r="AZB29" s="67"/>
      <c r="AZC29" s="67"/>
      <c r="AZD29" s="67"/>
      <c r="AZE29" s="67"/>
      <c r="AZF29" s="67"/>
      <c r="AZG29" s="67"/>
      <c r="AZH29" s="67"/>
      <c r="AZI29" s="67"/>
      <c r="AZJ29" s="67"/>
      <c r="AZK29" s="67"/>
      <c r="AZL29" s="67"/>
      <c r="AZM29" s="67"/>
      <c r="AZN29" s="67"/>
      <c r="AZO29" s="67"/>
      <c r="AZP29" s="67"/>
      <c r="AZQ29" s="67"/>
      <c r="AZR29" s="67"/>
      <c r="AZS29" s="67"/>
      <c r="AZT29" s="67"/>
      <c r="AZU29" s="67"/>
      <c r="AZV29" s="67"/>
      <c r="AZW29" s="67"/>
      <c r="AZX29" s="67"/>
      <c r="AZY29" s="67"/>
      <c r="AZZ29" s="67"/>
      <c r="BAA29" s="67"/>
      <c r="BAB29" s="67"/>
      <c r="BAC29" s="67"/>
      <c r="BAD29" s="67"/>
      <c r="BAE29" s="67"/>
      <c r="BAF29" s="67"/>
      <c r="BAG29" s="67"/>
      <c r="BAH29" s="67"/>
      <c r="BAI29" s="67"/>
      <c r="BAJ29" s="67"/>
      <c r="BAK29" s="67"/>
      <c r="BAL29" s="67"/>
      <c r="BAM29" s="67"/>
      <c r="BAN29" s="67"/>
      <c r="BAO29" s="67"/>
      <c r="BAP29" s="67"/>
      <c r="BAQ29" s="67"/>
      <c r="BAR29" s="67"/>
      <c r="BAS29" s="67"/>
      <c r="BAT29" s="67"/>
      <c r="BAU29" s="67"/>
      <c r="BAV29" s="67"/>
      <c r="BAW29" s="67"/>
      <c r="BAX29" s="67"/>
      <c r="BAY29" s="67"/>
      <c r="BAZ29" s="67"/>
      <c r="BBA29" s="67"/>
      <c r="BBB29" s="67"/>
      <c r="BBC29" s="67"/>
      <c r="BBD29" s="67"/>
      <c r="BBE29" s="67"/>
      <c r="BBF29" s="67"/>
      <c r="BBG29" s="67"/>
      <c r="BBH29" s="67"/>
      <c r="BBI29" s="67"/>
      <c r="BBJ29" s="67"/>
      <c r="BBK29" s="67"/>
      <c r="BBL29" s="67"/>
      <c r="BBM29" s="67"/>
      <c r="BBN29" s="67"/>
      <c r="BBO29" s="67"/>
      <c r="BBP29" s="67"/>
      <c r="BBQ29" s="67"/>
      <c r="BBR29" s="67"/>
      <c r="BBS29" s="67"/>
      <c r="BBT29" s="67"/>
      <c r="BBU29" s="67"/>
      <c r="BBV29" s="67"/>
      <c r="BBW29" s="67"/>
      <c r="BBX29" s="67"/>
      <c r="BBY29" s="67"/>
      <c r="BBZ29" s="67"/>
      <c r="BCA29" s="67"/>
      <c r="BCB29" s="67"/>
      <c r="BCC29" s="67"/>
      <c r="BCD29" s="67"/>
      <c r="BCE29" s="67"/>
      <c r="BCF29" s="67"/>
      <c r="BCG29" s="67"/>
      <c r="BCH29" s="67"/>
      <c r="BCI29" s="67"/>
      <c r="BCJ29" s="67"/>
      <c r="BCK29" s="67"/>
      <c r="BCL29" s="67"/>
      <c r="BCM29" s="67"/>
      <c r="BCN29" s="67"/>
      <c r="BCO29" s="67"/>
      <c r="BCP29" s="67"/>
      <c r="BCQ29" s="67"/>
      <c r="BCR29" s="67"/>
      <c r="BCS29" s="67"/>
      <c r="BCT29" s="67"/>
      <c r="BCU29" s="67"/>
      <c r="BCV29" s="67"/>
      <c r="BCW29" s="67"/>
      <c r="BCX29" s="67"/>
      <c r="BCY29" s="67"/>
      <c r="BCZ29" s="67"/>
      <c r="BDA29" s="67"/>
      <c r="BDB29" s="67"/>
      <c r="BDC29" s="67"/>
      <c r="BDD29" s="67"/>
      <c r="BDE29" s="67"/>
      <c r="BDF29" s="67"/>
      <c r="BDG29" s="67"/>
      <c r="BDH29" s="67"/>
      <c r="BDI29" s="67"/>
      <c r="BDJ29" s="67"/>
      <c r="BDK29" s="67"/>
      <c r="BDL29" s="67"/>
      <c r="BDM29" s="67"/>
      <c r="BDN29" s="67"/>
      <c r="BDO29" s="67"/>
      <c r="BDP29" s="67"/>
      <c r="BDQ29" s="67"/>
      <c r="BDR29" s="67"/>
      <c r="BDS29" s="67"/>
      <c r="BDT29" s="67"/>
      <c r="BDU29" s="67"/>
      <c r="BDV29" s="67"/>
      <c r="BDW29" s="67"/>
      <c r="BDX29" s="67"/>
      <c r="BDY29" s="67"/>
      <c r="BDZ29" s="67"/>
      <c r="BEA29" s="67"/>
      <c r="BEB29" s="67"/>
      <c r="BEC29" s="67"/>
      <c r="BED29" s="67"/>
      <c r="BEE29" s="67"/>
      <c r="BEF29" s="67"/>
      <c r="BEG29" s="67"/>
      <c r="BEH29" s="67"/>
      <c r="BEI29" s="67"/>
      <c r="BEJ29" s="67"/>
      <c r="BEK29" s="67"/>
      <c r="BEL29" s="67"/>
      <c r="BEM29" s="67"/>
      <c r="BEN29" s="67"/>
      <c r="BEO29" s="67"/>
      <c r="BEP29" s="67"/>
      <c r="BEQ29" s="67"/>
      <c r="BER29" s="67"/>
      <c r="BES29" s="67"/>
      <c r="BET29" s="67"/>
      <c r="BEU29" s="67"/>
      <c r="BEV29" s="67"/>
      <c r="BEW29" s="67"/>
      <c r="BEX29" s="67"/>
      <c r="BEY29" s="67"/>
      <c r="BEZ29" s="67"/>
      <c r="BFA29" s="67"/>
      <c r="BFB29" s="67"/>
      <c r="BFC29" s="67"/>
      <c r="BFD29" s="67"/>
      <c r="BFE29" s="67"/>
      <c r="BFF29" s="67"/>
      <c r="BFG29" s="67"/>
      <c r="BFH29" s="67"/>
      <c r="BFI29" s="67"/>
      <c r="BFJ29" s="67"/>
      <c r="BFK29" s="67"/>
      <c r="BFL29" s="67"/>
      <c r="BFM29" s="67"/>
      <c r="BFN29" s="67"/>
      <c r="BFO29" s="67"/>
      <c r="BFP29" s="67"/>
      <c r="BFQ29" s="67"/>
      <c r="BFR29" s="67"/>
      <c r="BFS29" s="67"/>
      <c r="BFT29" s="67"/>
      <c r="BFU29" s="67"/>
      <c r="BFV29" s="67"/>
      <c r="BFW29" s="67"/>
      <c r="BFX29" s="67"/>
      <c r="BFY29" s="67"/>
      <c r="BFZ29" s="67"/>
      <c r="BGA29" s="67"/>
      <c r="BGB29" s="67"/>
      <c r="BGC29" s="67"/>
      <c r="BGD29" s="67"/>
      <c r="BGE29" s="67"/>
      <c r="BGF29" s="67"/>
      <c r="BGG29" s="67"/>
      <c r="BGH29" s="67"/>
      <c r="BGI29" s="67"/>
      <c r="BGJ29" s="67"/>
      <c r="BGK29" s="67"/>
      <c r="BGL29" s="67"/>
      <c r="BGM29" s="67"/>
      <c r="BGN29" s="67"/>
      <c r="BGO29" s="67"/>
      <c r="BGP29" s="67"/>
      <c r="BGQ29" s="67"/>
      <c r="BGR29" s="67"/>
      <c r="BGS29" s="67"/>
      <c r="BGT29" s="67"/>
      <c r="BGU29" s="67"/>
      <c r="BGV29" s="67"/>
      <c r="BGW29" s="67"/>
      <c r="BGX29" s="67"/>
      <c r="BGY29" s="67"/>
      <c r="BGZ29" s="67"/>
      <c r="BHA29" s="67"/>
      <c r="BHB29" s="67"/>
      <c r="BHC29" s="67"/>
      <c r="BHD29" s="67"/>
      <c r="BHE29" s="67"/>
      <c r="BHF29" s="67"/>
      <c r="BHG29" s="67"/>
      <c r="BHH29" s="67"/>
      <c r="BHI29" s="67"/>
      <c r="BHJ29" s="67"/>
      <c r="BHK29" s="67"/>
      <c r="BHL29" s="67"/>
      <c r="BHM29" s="67"/>
      <c r="BHN29" s="67"/>
      <c r="BHO29" s="67"/>
      <c r="BHP29" s="67"/>
      <c r="BHQ29" s="67"/>
      <c r="BHR29" s="67"/>
      <c r="BHS29" s="67"/>
      <c r="BHT29" s="67"/>
      <c r="BHU29" s="67"/>
      <c r="BHV29" s="67"/>
      <c r="BHW29" s="67"/>
      <c r="BHX29" s="67"/>
      <c r="BHY29" s="67"/>
      <c r="BHZ29" s="67"/>
      <c r="BIA29" s="67"/>
      <c r="BIB29" s="67"/>
      <c r="BIC29" s="67"/>
      <c r="BID29" s="67"/>
      <c r="BIE29" s="67"/>
      <c r="BIF29" s="67"/>
      <c r="BIG29" s="67"/>
      <c r="BIH29" s="67"/>
      <c r="BII29" s="67"/>
      <c r="BIJ29" s="67"/>
      <c r="BIK29" s="67"/>
      <c r="BIL29" s="67"/>
      <c r="BIM29" s="67"/>
      <c r="BIN29" s="67"/>
      <c r="BIO29" s="67"/>
      <c r="BIP29" s="67"/>
      <c r="BIQ29" s="67"/>
      <c r="BIR29" s="67"/>
      <c r="BIS29" s="67"/>
      <c r="BIT29" s="67"/>
      <c r="BIU29" s="67"/>
      <c r="BIV29" s="67"/>
      <c r="BIW29" s="67"/>
      <c r="BIX29" s="67"/>
      <c r="BIY29" s="67"/>
      <c r="BIZ29" s="67"/>
      <c r="BJA29" s="67"/>
      <c r="BJB29" s="67"/>
      <c r="BJC29" s="67"/>
      <c r="BJD29" s="67"/>
      <c r="BJE29" s="67"/>
      <c r="BJF29" s="67"/>
      <c r="BJG29" s="67"/>
      <c r="BJH29" s="67"/>
      <c r="BJI29" s="67"/>
      <c r="BJJ29" s="67"/>
      <c r="BJK29" s="67"/>
      <c r="BJL29" s="67"/>
      <c r="BJM29" s="67"/>
      <c r="BJN29" s="67"/>
      <c r="BJO29" s="67"/>
      <c r="BJP29" s="67"/>
      <c r="BJQ29" s="67"/>
      <c r="BJR29" s="67"/>
      <c r="BJS29" s="67"/>
      <c r="BJT29" s="67"/>
      <c r="BJU29" s="67"/>
      <c r="BJV29" s="67"/>
      <c r="BJW29" s="67"/>
      <c r="BJX29" s="67"/>
      <c r="BJY29" s="67"/>
      <c r="BJZ29" s="67"/>
      <c r="BKA29" s="67"/>
      <c r="BKB29" s="67"/>
      <c r="BKC29" s="67"/>
      <c r="BKD29" s="67"/>
      <c r="BKE29" s="67"/>
      <c r="BKF29" s="67"/>
      <c r="BKG29" s="67"/>
      <c r="BKH29" s="67"/>
      <c r="BKI29" s="67"/>
      <c r="BKJ29" s="67"/>
      <c r="BKK29" s="67"/>
      <c r="BKL29" s="67"/>
      <c r="BKM29" s="67"/>
      <c r="BKN29" s="67"/>
      <c r="BKO29" s="67"/>
      <c r="BKP29" s="67"/>
      <c r="BKQ29" s="67"/>
      <c r="BKR29" s="67"/>
      <c r="BKS29" s="67"/>
      <c r="BKT29" s="67"/>
      <c r="BKU29" s="67"/>
      <c r="BKV29" s="67"/>
      <c r="BKW29" s="67"/>
      <c r="BKX29" s="67"/>
      <c r="BKY29" s="67"/>
      <c r="BKZ29" s="67"/>
      <c r="BLA29" s="67"/>
      <c r="BLB29" s="67"/>
      <c r="BLC29" s="67"/>
      <c r="BLD29" s="67"/>
      <c r="BLE29" s="67"/>
      <c r="BLF29" s="67"/>
      <c r="BLG29" s="67"/>
      <c r="BLH29" s="67"/>
      <c r="BLI29" s="67"/>
      <c r="BLJ29" s="67"/>
      <c r="BLK29" s="67"/>
      <c r="BLL29" s="67"/>
      <c r="BLM29" s="67"/>
      <c r="BLN29" s="67"/>
      <c r="BLO29" s="67"/>
      <c r="BLP29" s="67"/>
      <c r="BLQ29" s="67"/>
      <c r="BLR29" s="67"/>
      <c r="BLS29" s="67"/>
      <c r="BLT29" s="67"/>
      <c r="BLU29" s="67"/>
      <c r="BLV29" s="67"/>
      <c r="BLW29" s="67"/>
      <c r="BLX29" s="67"/>
      <c r="BLY29" s="67"/>
      <c r="BLZ29" s="67"/>
      <c r="BMA29" s="67"/>
      <c r="BMB29" s="67"/>
      <c r="BMC29" s="67"/>
      <c r="BMD29" s="67"/>
      <c r="BME29" s="67"/>
      <c r="BMF29" s="67"/>
      <c r="BMG29" s="67"/>
      <c r="BMH29" s="67"/>
      <c r="BMI29" s="67"/>
      <c r="BMJ29" s="67"/>
      <c r="BMK29" s="67"/>
      <c r="BML29" s="67"/>
      <c r="BMM29" s="67"/>
      <c r="BMN29" s="67"/>
      <c r="BMO29" s="67"/>
      <c r="BMP29" s="67"/>
      <c r="BMQ29" s="67"/>
      <c r="BMR29" s="67"/>
      <c r="BMS29" s="67"/>
      <c r="BMT29" s="67"/>
      <c r="BMU29" s="67"/>
      <c r="BMV29" s="67"/>
      <c r="BMW29" s="67"/>
      <c r="BMX29" s="67"/>
      <c r="BMY29" s="67"/>
      <c r="BMZ29" s="67"/>
      <c r="BNA29" s="67"/>
      <c r="BNB29" s="67"/>
      <c r="BNC29" s="67"/>
      <c r="BND29" s="67"/>
      <c r="BNE29" s="67"/>
      <c r="BNF29" s="67"/>
      <c r="BNG29" s="67"/>
      <c r="BNH29" s="67"/>
      <c r="BNI29" s="67"/>
      <c r="BNJ29" s="67"/>
      <c r="BNK29" s="67"/>
      <c r="BNL29" s="67"/>
      <c r="BNM29" s="67"/>
      <c r="BNN29" s="67"/>
      <c r="BNO29" s="67"/>
      <c r="BNP29" s="67"/>
      <c r="BNQ29" s="67"/>
      <c r="BNR29" s="67"/>
      <c r="BNS29" s="67"/>
      <c r="BNT29" s="67"/>
      <c r="BNU29" s="67"/>
      <c r="BNV29" s="67"/>
      <c r="BNW29" s="67"/>
      <c r="BNX29" s="67"/>
      <c r="BNY29" s="67"/>
      <c r="BNZ29" s="67"/>
      <c r="BOA29" s="67"/>
      <c r="BOB29" s="67"/>
      <c r="BOC29" s="67"/>
      <c r="BOD29" s="67"/>
      <c r="BOE29" s="67"/>
      <c r="BOF29" s="67"/>
      <c r="BOG29" s="67"/>
      <c r="BOH29" s="67"/>
      <c r="BOI29" s="67"/>
      <c r="BOJ29" s="67"/>
      <c r="BOK29" s="67"/>
      <c r="BOL29" s="67"/>
      <c r="BOM29" s="67"/>
      <c r="BON29" s="67"/>
      <c r="BOO29" s="67"/>
      <c r="BOP29" s="67"/>
      <c r="BOQ29" s="67"/>
      <c r="BOR29" s="67"/>
      <c r="BOS29" s="67"/>
      <c r="BOT29" s="67"/>
      <c r="BOU29" s="67"/>
      <c r="BOV29" s="67"/>
      <c r="BOW29" s="67"/>
      <c r="BOX29" s="67"/>
      <c r="BOY29" s="67"/>
      <c r="BOZ29" s="67"/>
      <c r="BPA29" s="67"/>
      <c r="BPB29" s="67"/>
      <c r="BPC29" s="67"/>
      <c r="BPD29" s="67"/>
      <c r="BPE29" s="67"/>
      <c r="BPF29" s="67"/>
      <c r="BPG29" s="67"/>
      <c r="BPH29" s="67"/>
      <c r="BPI29" s="67"/>
      <c r="BPJ29" s="67"/>
      <c r="BPK29" s="67"/>
      <c r="BPL29" s="67"/>
      <c r="BPM29" s="67"/>
      <c r="BPN29" s="67"/>
      <c r="BPO29" s="67"/>
      <c r="BPP29" s="67"/>
      <c r="BPQ29" s="67"/>
      <c r="BPR29" s="67"/>
      <c r="BPS29" s="67"/>
      <c r="BPT29" s="67"/>
      <c r="BPU29" s="67"/>
      <c r="BPV29" s="67"/>
      <c r="BPW29" s="67"/>
      <c r="BPX29" s="67"/>
      <c r="BPY29" s="67"/>
      <c r="BPZ29" s="67"/>
      <c r="BQA29" s="67"/>
      <c r="BQB29" s="67"/>
      <c r="BQC29" s="67"/>
      <c r="BQD29" s="67"/>
      <c r="BQE29" s="67"/>
      <c r="BQF29" s="67"/>
      <c r="BQG29" s="67"/>
      <c r="BQH29" s="67"/>
      <c r="BQI29" s="67"/>
      <c r="BQJ29" s="67"/>
      <c r="BQK29" s="67"/>
      <c r="BQL29" s="67"/>
      <c r="BQM29" s="67"/>
      <c r="BQN29" s="67"/>
      <c r="BQO29" s="67"/>
      <c r="BQP29" s="67"/>
      <c r="BQQ29" s="67"/>
      <c r="BQR29" s="67"/>
      <c r="BQS29" s="67"/>
      <c r="BQT29" s="67"/>
      <c r="BQU29" s="67"/>
      <c r="BQV29" s="67"/>
      <c r="BQW29" s="67"/>
      <c r="BQX29" s="67"/>
      <c r="BQY29" s="67"/>
      <c r="BQZ29" s="67"/>
      <c r="BRA29" s="67"/>
      <c r="BRB29" s="67"/>
      <c r="BRC29" s="67"/>
      <c r="BRD29" s="67"/>
      <c r="BRE29" s="67"/>
      <c r="BRF29" s="67"/>
      <c r="BRG29" s="67"/>
      <c r="BRH29" s="67"/>
      <c r="BRI29" s="67"/>
      <c r="BRJ29" s="67"/>
      <c r="BRK29" s="67"/>
      <c r="BRL29" s="67"/>
      <c r="BRM29" s="67"/>
      <c r="BRN29" s="67"/>
      <c r="BRO29" s="67"/>
      <c r="BRP29" s="67"/>
      <c r="BRQ29" s="67"/>
      <c r="BRR29" s="67"/>
      <c r="BRS29" s="67"/>
      <c r="BRT29" s="67"/>
      <c r="BRU29" s="67"/>
      <c r="BRV29" s="67"/>
      <c r="BRW29" s="67"/>
      <c r="BRX29" s="67"/>
      <c r="BRY29" s="67"/>
      <c r="BRZ29" s="67"/>
      <c r="BSA29" s="67"/>
      <c r="BSB29" s="67"/>
      <c r="BSC29" s="67"/>
      <c r="BSD29" s="67"/>
      <c r="BSE29" s="67"/>
      <c r="BSF29" s="67"/>
      <c r="BSG29" s="67"/>
      <c r="BSH29" s="67"/>
      <c r="BSI29" s="67"/>
      <c r="BSJ29" s="67"/>
      <c r="BSK29" s="67"/>
      <c r="BSL29" s="67"/>
      <c r="BSM29" s="67"/>
      <c r="BSN29" s="67"/>
      <c r="BSO29" s="67"/>
      <c r="BSP29" s="67"/>
      <c r="BSQ29" s="67"/>
      <c r="BSR29" s="67"/>
      <c r="BSS29" s="67"/>
      <c r="BST29" s="67"/>
      <c r="BSU29" s="67"/>
      <c r="BSV29" s="67"/>
      <c r="BSW29" s="67"/>
      <c r="BSX29" s="67"/>
      <c r="BSY29" s="67"/>
      <c r="BSZ29" s="67"/>
      <c r="BTA29" s="67"/>
      <c r="BTB29" s="67"/>
      <c r="BTC29" s="67"/>
      <c r="BTD29" s="67"/>
      <c r="BTE29" s="67"/>
      <c r="BTF29" s="67"/>
      <c r="BTG29" s="67"/>
      <c r="BTH29" s="67"/>
      <c r="BTI29" s="67"/>
      <c r="BTJ29" s="67"/>
      <c r="BTK29" s="67"/>
      <c r="BTL29" s="67"/>
      <c r="BTM29" s="67"/>
      <c r="BTN29" s="67"/>
      <c r="BTO29" s="67"/>
      <c r="BTP29" s="67"/>
      <c r="BTQ29" s="67"/>
      <c r="BTR29" s="67"/>
      <c r="BTS29" s="67"/>
      <c r="BTT29" s="67"/>
      <c r="BTU29" s="67"/>
      <c r="BTV29" s="67"/>
      <c r="BTW29" s="67"/>
      <c r="BTX29" s="67"/>
      <c r="BTY29" s="67"/>
      <c r="BTZ29" s="67"/>
      <c r="BUA29" s="67"/>
      <c r="BUB29" s="67"/>
      <c r="BUC29" s="67"/>
      <c r="BUD29" s="67"/>
      <c r="BUE29" s="67"/>
      <c r="BUF29" s="67"/>
      <c r="BUG29" s="67"/>
      <c r="BUH29" s="67"/>
      <c r="BUI29" s="67"/>
      <c r="BUJ29" s="67"/>
      <c r="BUK29" s="67"/>
      <c r="BUL29" s="67"/>
      <c r="BUM29" s="67"/>
      <c r="BUN29" s="67"/>
      <c r="BUO29" s="67"/>
      <c r="BUP29" s="67"/>
      <c r="BUQ29" s="67"/>
      <c r="BUR29" s="67"/>
      <c r="BUS29" s="67"/>
      <c r="BUT29" s="67"/>
      <c r="BUU29" s="67"/>
      <c r="BUV29" s="67"/>
      <c r="BUW29" s="67"/>
      <c r="BUX29" s="67"/>
      <c r="BUY29" s="67"/>
      <c r="BUZ29" s="67"/>
      <c r="BVA29" s="67"/>
      <c r="BVB29" s="67"/>
      <c r="BVC29" s="67"/>
      <c r="BVD29" s="67"/>
      <c r="BVE29" s="67"/>
      <c r="BVF29" s="67"/>
      <c r="BVG29" s="67"/>
      <c r="BVH29" s="67"/>
      <c r="BVI29" s="67"/>
      <c r="BVJ29" s="67"/>
      <c r="BVK29" s="67"/>
      <c r="BVL29" s="67"/>
      <c r="BVM29" s="67"/>
      <c r="BVN29" s="67"/>
      <c r="BVO29" s="67"/>
      <c r="BVP29" s="67"/>
      <c r="BVQ29" s="67"/>
      <c r="BVR29" s="67"/>
      <c r="BVS29" s="67"/>
      <c r="BVT29" s="67"/>
      <c r="BVU29" s="67"/>
      <c r="BVV29" s="67"/>
      <c r="BVW29" s="67"/>
      <c r="BVX29" s="67"/>
      <c r="BVY29" s="67"/>
      <c r="BVZ29" s="67"/>
      <c r="BWA29" s="67"/>
      <c r="BWB29" s="67"/>
      <c r="BWC29" s="67"/>
      <c r="BWD29" s="67"/>
      <c r="BWE29" s="67"/>
      <c r="BWF29" s="67"/>
      <c r="BWG29" s="67"/>
      <c r="BWH29" s="67"/>
      <c r="BWI29" s="67"/>
      <c r="BWJ29" s="67"/>
      <c r="BWK29" s="67"/>
      <c r="BWL29" s="67"/>
      <c r="BWM29" s="67"/>
      <c r="BWN29" s="67"/>
      <c r="BWO29" s="67"/>
      <c r="BWP29" s="67"/>
      <c r="BWQ29" s="67"/>
      <c r="BWR29" s="67"/>
      <c r="BWS29" s="67"/>
      <c r="BWT29" s="67"/>
      <c r="BWU29" s="67"/>
      <c r="BWV29" s="67"/>
      <c r="BWW29" s="67"/>
      <c r="BWX29" s="67"/>
      <c r="BWY29" s="67"/>
      <c r="BWZ29" s="67"/>
      <c r="BXA29" s="67"/>
      <c r="BXB29" s="67"/>
      <c r="BXC29" s="67"/>
      <c r="BXD29" s="67"/>
      <c r="BXE29" s="67"/>
      <c r="BXF29" s="67"/>
      <c r="BXG29" s="67"/>
      <c r="BXH29" s="67"/>
      <c r="BXI29" s="67"/>
      <c r="BXJ29" s="67"/>
      <c r="BXK29" s="67"/>
      <c r="BXL29" s="67"/>
      <c r="BXM29" s="67"/>
      <c r="BXN29" s="67"/>
      <c r="BXO29" s="67"/>
      <c r="BXP29" s="67"/>
      <c r="BXQ29" s="67"/>
      <c r="BXR29" s="67"/>
      <c r="BXS29" s="67"/>
      <c r="BXT29" s="67"/>
      <c r="BXU29" s="67"/>
      <c r="BXV29" s="67"/>
      <c r="BXW29" s="67"/>
      <c r="BXX29" s="67"/>
      <c r="BXY29" s="67"/>
      <c r="BXZ29" s="67"/>
      <c r="BYA29" s="67"/>
      <c r="BYB29" s="67"/>
      <c r="BYC29" s="67"/>
      <c r="BYD29" s="67"/>
      <c r="BYE29" s="67"/>
      <c r="BYF29" s="67"/>
      <c r="BYG29" s="67"/>
      <c r="BYH29" s="67"/>
      <c r="BYI29" s="67"/>
      <c r="BYJ29" s="67"/>
      <c r="BYK29" s="67"/>
      <c r="BYL29" s="67"/>
      <c r="BYM29" s="67"/>
      <c r="BYN29" s="67"/>
      <c r="BYO29" s="67"/>
      <c r="BYP29" s="67"/>
      <c r="BYQ29" s="67"/>
      <c r="BYR29" s="67"/>
      <c r="BYS29" s="67"/>
      <c r="BYT29" s="67"/>
      <c r="BYU29" s="67"/>
      <c r="BYV29" s="67"/>
      <c r="BYW29" s="67"/>
      <c r="BYX29" s="67"/>
      <c r="BYY29" s="67"/>
      <c r="BYZ29" s="67"/>
      <c r="BZA29" s="67"/>
      <c r="BZB29" s="67"/>
      <c r="BZC29" s="67"/>
      <c r="BZD29" s="67"/>
      <c r="BZE29" s="67"/>
      <c r="BZF29" s="67"/>
      <c r="BZG29" s="67"/>
      <c r="BZH29" s="67"/>
      <c r="BZI29" s="67"/>
      <c r="BZJ29" s="67"/>
      <c r="BZK29" s="67"/>
      <c r="BZL29" s="67"/>
      <c r="BZM29" s="67"/>
      <c r="BZN29" s="67"/>
      <c r="BZO29" s="67"/>
      <c r="BZP29" s="67"/>
      <c r="BZQ29" s="67"/>
      <c r="BZR29" s="67"/>
      <c r="BZS29" s="67"/>
      <c r="BZT29" s="67"/>
      <c r="BZU29" s="67"/>
      <c r="BZV29" s="67"/>
      <c r="BZW29" s="67"/>
      <c r="BZX29" s="67"/>
      <c r="BZY29" s="67"/>
      <c r="BZZ29" s="67"/>
      <c r="CAA29" s="67"/>
      <c r="CAB29" s="67"/>
      <c r="CAC29" s="67"/>
      <c r="CAD29" s="67"/>
      <c r="CAE29" s="67"/>
      <c r="CAF29" s="67"/>
      <c r="CAG29" s="67"/>
      <c r="CAH29" s="67"/>
      <c r="CAI29" s="67"/>
      <c r="CAJ29" s="67"/>
      <c r="CAK29" s="67"/>
      <c r="CAL29" s="67"/>
      <c r="CAM29" s="67"/>
      <c r="CAN29" s="67"/>
      <c r="CAO29" s="67"/>
      <c r="CAP29" s="67"/>
      <c r="CAQ29" s="67"/>
      <c r="CAR29" s="67"/>
      <c r="CAS29" s="67"/>
      <c r="CAT29" s="67"/>
      <c r="CAU29" s="67"/>
      <c r="CAV29" s="67"/>
      <c r="CAW29" s="67"/>
      <c r="CAX29" s="67"/>
      <c r="CAY29" s="67"/>
      <c r="CAZ29" s="67"/>
      <c r="CBA29" s="67"/>
      <c r="CBB29" s="67"/>
      <c r="CBC29" s="67"/>
      <c r="CBD29" s="67"/>
      <c r="CBE29" s="67"/>
      <c r="CBF29" s="67"/>
      <c r="CBG29" s="67"/>
      <c r="CBH29" s="67"/>
      <c r="CBI29" s="67"/>
      <c r="CBJ29" s="67"/>
      <c r="CBK29" s="67"/>
      <c r="CBL29" s="67"/>
      <c r="CBM29" s="67"/>
      <c r="CBN29" s="67"/>
      <c r="CBO29" s="67"/>
      <c r="CBP29" s="67"/>
      <c r="CBQ29" s="67"/>
      <c r="CBR29" s="67"/>
      <c r="CBS29" s="67"/>
      <c r="CBT29" s="67"/>
      <c r="CBU29" s="67"/>
      <c r="CBV29" s="67"/>
      <c r="CBW29" s="67"/>
      <c r="CBX29" s="67"/>
      <c r="CBY29" s="67"/>
      <c r="CBZ29" s="67"/>
      <c r="CCA29" s="67"/>
      <c r="CCB29" s="67"/>
      <c r="CCC29" s="67"/>
      <c r="CCD29" s="67"/>
      <c r="CCE29" s="67"/>
      <c r="CCF29" s="67"/>
      <c r="CCG29" s="67"/>
      <c r="CCH29" s="67"/>
      <c r="CCI29" s="67"/>
      <c r="CCJ29" s="67"/>
      <c r="CCK29" s="67"/>
      <c r="CCL29" s="67"/>
      <c r="CCM29" s="67"/>
      <c r="CCN29" s="67"/>
      <c r="CCO29" s="67"/>
      <c r="CCP29" s="67"/>
      <c r="CCQ29" s="67"/>
      <c r="CCR29" s="67"/>
      <c r="CCS29" s="67"/>
      <c r="CCT29" s="67"/>
      <c r="CCU29" s="67"/>
      <c r="CCV29" s="67"/>
      <c r="CCW29" s="67"/>
      <c r="CCX29" s="67"/>
      <c r="CCY29" s="67"/>
      <c r="CCZ29" s="67"/>
      <c r="CDA29" s="67"/>
      <c r="CDB29" s="67"/>
      <c r="CDC29" s="67"/>
      <c r="CDD29" s="67"/>
      <c r="CDE29" s="67"/>
      <c r="CDF29" s="67"/>
      <c r="CDG29" s="67"/>
      <c r="CDH29" s="67"/>
      <c r="CDI29" s="67"/>
      <c r="CDJ29" s="67"/>
      <c r="CDK29" s="67"/>
      <c r="CDL29" s="67"/>
      <c r="CDM29" s="67"/>
      <c r="CDN29" s="67"/>
      <c r="CDO29" s="67"/>
      <c r="CDP29" s="67"/>
      <c r="CDQ29" s="67"/>
      <c r="CDR29" s="67"/>
      <c r="CDS29" s="67"/>
      <c r="CDT29" s="67"/>
      <c r="CDU29" s="67"/>
      <c r="CDV29" s="67"/>
      <c r="CDW29" s="67"/>
      <c r="CDX29" s="67"/>
      <c r="CDY29" s="67"/>
      <c r="CDZ29" s="67"/>
      <c r="CEA29" s="67"/>
      <c r="CEB29" s="67"/>
      <c r="CEC29" s="67"/>
      <c r="CED29" s="67"/>
      <c r="CEE29" s="67"/>
      <c r="CEF29" s="67"/>
      <c r="CEG29" s="67"/>
      <c r="CEH29" s="67"/>
      <c r="CEI29" s="67"/>
      <c r="CEJ29" s="67"/>
      <c r="CEK29" s="67"/>
      <c r="CEL29" s="67"/>
      <c r="CEM29" s="67"/>
      <c r="CEN29" s="67"/>
      <c r="CEO29" s="67"/>
      <c r="CEP29" s="67"/>
      <c r="CEQ29" s="67"/>
      <c r="CER29" s="67"/>
      <c r="CES29" s="67"/>
      <c r="CET29" s="67"/>
      <c r="CEU29" s="67"/>
      <c r="CEV29" s="67"/>
      <c r="CEW29" s="67"/>
      <c r="CEX29" s="67"/>
      <c r="CEY29" s="67"/>
      <c r="CEZ29" s="67"/>
      <c r="CFA29" s="67"/>
      <c r="CFB29" s="67"/>
      <c r="CFC29" s="67"/>
      <c r="CFD29" s="67"/>
      <c r="CFE29" s="67"/>
      <c r="CFF29" s="67"/>
      <c r="CFG29" s="67"/>
      <c r="CFH29" s="67"/>
      <c r="CFI29" s="67"/>
      <c r="CFJ29" s="67"/>
      <c r="CFK29" s="67"/>
      <c r="CFL29" s="67"/>
      <c r="CFM29" s="67"/>
      <c r="CFN29" s="67"/>
      <c r="CFO29" s="67"/>
      <c r="CFP29" s="67"/>
      <c r="CFQ29" s="67"/>
      <c r="CFR29" s="67"/>
      <c r="CFS29" s="67"/>
      <c r="CFT29" s="67"/>
      <c r="CFU29" s="67"/>
      <c r="CFV29" s="67"/>
      <c r="CFW29" s="67"/>
      <c r="CFX29" s="67"/>
      <c r="CFY29" s="67"/>
      <c r="CFZ29" s="67"/>
      <c r="CGA29" s="67"/>
      <c r="CGB29" s="67"/>
      <c r="CGC29" s="67"/>
      <c r="CGD29" s="67"/>
      <c r="CGE29" s="67"/>
      <c r="CGF29" s="67"/>
      <c r="CGG29" s="67"/>
      <c r="CGH29" s="67"/>
      <c r="CGI29" s="67"/>
      <c r="CGJ29" s="67"/>
      <c r="CGK29" s="67"/>
      <c r="CGL29" s="67"/>
      <c r="CGM29" s="67"/>
      <c r="CGN29" s="67"/>
      <c r="CGO29" s="67"/>
      <c r="CGP29" s="67"/>
      <c r="CGQ29" s="67"/>
      <c r="CGR29" s="67"/>
      <c r="CGS29" s="67"/>
      <c r="CGT29" s="67"/>
      <c r="CGU29" s="67"/>
      <c r="CGV29" s="67"/>
      <c r="CGW29" s="67"/>
      <c r="CGX29" s="67"/>
      <c r="CGY29" s="67"/>
      <c r="CGZ29" s="67"/>
      <c r="CHA29" s="67"/>
      <c r="CHB29" s="67"/>
      <c r="CHC29" s="67"/>
      <c r="CHD29" s="67"/>
      <c r="CHE29" s="67"/>
      <c r="CHF29" s="67"/>
      <c r="CHG29" s="67"/>
      <c r="CHH29" s="67"/>
      <c r="CHI29" s="67"/>
      <c r="CHJ29" s="67"/>
      <c r="CHK29" s="67"/>
      <c r="CHL29" s="67"/>
      <c r="CHM29" s="67"/>
      <c r="CHN29" s="67"/>
      <c r="CHO29" s="67"/>
      <c r="CHP29" s="67"/>
      <c r="CHQ29" s="67"/>
      <c r="CHR29" s="67"/>
      <c r="CHS29" s="67"/>
      <c r="CHT29" s="67"/>
      <c r="CHU29" s="67"/>
      <c r="CHV29" s="67"/>
      <c r="CHW29" s="67"/>
      <c r="CHX29" s="67"/>
      <c r="CHY29" s="67"/>
      <c r="CHZ29" s="67"/>
      <c r="CIA29" s="67"/>
      <c r="CIB29" s="67"/>
      <c r="CIC29" s="67"/>
      <c r="CID29" s="67"/>
      <c r="CIE29" s="67"/>
      <c r="CIF29" s="67"/>
      <c r="CIG29" s="67"/>
      <c r="CIH29" s="67"/>
      <c r="CII29" s="67"/>
      <c r="CIJ29" s="67"/>
      <c r="CIK29" s="67"/>
      <c r="CIL29" s="67"/>
      <c r="CIM29" s="67"/>
      <c r="CIN29" s="67"/>
      <c r="CIO29" s="67"/>
      <c r="CIP29" s="67"/>
      <c r="CIQ29" s="67"/>
      <c r="CIR29" s="67"/>
      <c r="CIS29" s="67"/>
      <c r="CIT29" s="67"/>
      <c r="CIU29" s="67"/>
      <c r="CIV29" s="67"/>
      <c r="CIW29" s="67"/>
      <c r="CIX29" s="67"/>
      <c r="CIY29" s="67"/>
      <c r="CIZ29" s="67"/>
      <c r="CJA29" s="67"/>
      <c r="CJB29" s="67"/>
      <c r="CJC29" s="67"/>
      <c r="CJD29" s="67"/>
      <c r="CJE29" s="67"/>
      <c r="CJF29" s="67"/>
      <c r="CJG29" s="67"/>
      <c r="CJH29" s="67"/>
      <c r="CJI29" s="67"/>
      <c r="CJJ29" s="67"/>
      <c r="CJK29" s="67"/>
      <c r="CJL29" s="67"/>
      <c r="CJM29" s="67"/>
      <c r="CJN29" s="67"/>
      <c r="CJO29" s="67"/>
      <c r="CJP29" s="67"/>
      <c r="CJQ29" s="67"/>
      <c r="CJR29" s="67"/>
      <c r="CJS29" s="67"/>
      <c r="CJT29" s="67"/>
      <c r="CJU29" s="67"/>
      <c r="CJV29" s="67"/>
      <c r="CJW29" s="67"/>
      <c r="CJX29" s="67"/>
      <c r="CJY29" s="67"/>
      <c r="CJZ29" s="67"/>
      <c r="CKA29" s="67"/>
      <c r="CKB29" s="67"/>
      <c r="CKC29" s="67"/>
      <c r="CKD29" s="67"/>
      <c r="CKE29" s="67"/>
      <c r="CKF29" s="67"/>
      <c r="CKG29" s="67"/>
      <c r="CKH29" s="67"/>
      <c r="CKI29" s="67"/>
      <c r="CKJ29" s="67"/>
      <c r="CKK29" s="67"/>
      <c r="CKL29" s="67"/>
      <c r="CKM29" s="67"/>
      <c r="CKN29" s="67"/>
      <c r="CKO29" s="67"/>
      <c r="CKP29" s="67"/>
      <c r="CKQ29" s="67"/>
      <c r="CKR29" s="67"/>
      <c r="CKS29" s="67"/>
      <c r="CKT29" s="67"/>
      <c r="CKU29" s="67"/>
      <c r="CKV29" s="67"/>
      <c r="CKW29" s="67"/>
      <c r="CKX29" s="67"/>
      <c r="CKY29" s="67"/>
      <c r="CKZ29" s="67"/>
      <c r="CLA29" s="67"/>
      <c r="CLB29" s="67"/>
      <c r="CLC29" s="67"/>
      <c r="CLD29" s="67"/>
      <c r="CLE29" s="67"/>
      <c r="CLF29" s="67"/>
      <c r="CLG29" s="67"/>
      <c r="CLH29" s="67"/>
      <c r="CLI29" s="67"/>
      <c r="CLJ29" s="67"/>
      <c r="CLK29" s="67"/>
      <c r="CLL29" s="67"/>
      <c r="CLM29" s="67"/>
      <c r="CLN29" s="67"/>
      <c r="CLO29" s="67"/>
      <c r="CLP29" s="67"/>
      <c r="CLQ29" s="67"/>
      <c r="CLR29" s="67"/>
      <c r="CLS29" s="67"/>
      <c r="CLT29" s="67"/>
      <c r="CLU29" s="67"/>
      <c r="CLV29" s="67"/>
      <c r="CLW29" s="67"/>
      <c r="CLX29" s="67"/>
      <c r="CLY29" s="67"/>
      <c r="CLZ29" s="67"/>
      <c r="CMA29" s="67"/>
      <c r="CMB29" s="67"/>
      <c r="CMC29" s="67"/>
      <c r="CMD29" s="67"/>
      <c r="CME29" s="67"/>
      <c r="CMF29" s="67"/>
      <c r="CMG29" s="67"/>
      <c r="CMH29" s="67"/>
      <c r="CMI29" s="67"/>
      <c r="CMJ29" s="67"/>
      <c r="CMK29" s="67"/>
      <c r="CML29" s="67"/>
      <c r="CMM29" s="67"/>
      <c r="CMN29" s="67"/>
      <c r="CMO29" s="67"/>
      <c r="CMP29" s="67"/>
      <c r="CMQ29" s="67"/>
      <c r="CMR29" s="67"/>
      <c r="CMS29" s="67"/>
      <c r="CMT29" s="67"/>
      <c r="CMU29" s="67"/>
      <c r="CMV29" s="67"/>
      <c r="CMW29" s="67"/>
      <c r="CMX29" s="67"/>
      <c r="CMY29" s="67"/>
      <c r="CMZ29" s="67"/>
      <c r="CNA29" s="67"/>
      <c r="CNB29" s="67"/>
      <c r="CNC29" s="67"/>
      <c r="CND29" s="67"/>
      <c r="CNE29" s="67"/>
      <c r="CNF29" s="67"/>
      <c r="CNG29" s="67"/>
      <c r="CNH29" s="67"/>
      <c r="CNI29" s="67"/>
      <c r="CNJ29" s="67"/>
      <c r="CNK29" s="67"/>
      <c r="CNL29" s="67"/>
      <c r="CNM29" s="67"/>
      <c r="CNN29" s="67"/>
      <c r="CNO29" s="67"/>
      <c r="CNP29" s="67"/>
      <c r="CNQ29" s="67"/>
      <c r="CNR29" s="67"/>
      <c r="CNS29" s="67"/>
      <c r="CNT29" s="67"/>
      <c r="CNU29" s="67"/>
      <c r="CNV29" s="67"/>
      <c r="CNW29" s="67"/>
      <c r="CNX29" s="67"/>
      <c r="CNY29" s="67"/>
      <c r="CNZ29" s="67"/>
      <c r="COA29" s="67"/>
      <c r="COB29" s="67"/>
      <c r="COC29" s="67"/>
      <c r="COD29" s="67"/>
      <c r="COE29" s="67"/>
      <c r="COF29" s="67"/>
      <c r="COG29" s="67"/>
      <c r="COH29" s="67"/>
      <c r="COI29" s="67"/>
      <c r="COJ29" s="67"/>
      <c r="COK29" s="67"/>
      <c r="COL29" s="67"/>
      <c r="COM29" s="67"/>
      <c r="CON29" s="67"/>
      <c r="COO29" s="67"/>
      <c r="COP29" s="67"/>
      <c r="COQ29" s="67"/>
      <c r="COR29" s="67"/>
      <c r="COS29" s="67"/>
      <c r="COT29" s="67"/>
      <c r="COU29" s="67"/>
      <c r="COV29" s="67"/>
      <c r="COW29" s="67"/>
      <c r="COX29" s="67"/>
      <c r="COY29" s="67"/>
      <c r="COZ29" s="67"/>
      <c r="CPA29" s="67"/>
      <c r="CPB29" s="67"/>
      <c r="CPC29" s="67"/>
      <c r="CPD29" s="67"/>
      <c r="CPE29" s="67"/>
      <c r="CPF29" s="67"/>
      <c r="CPG29" s="67"/>
      <c r="CPH29" s="67"/>
      <c r="CPI29" s="67"/>
      <c r="CPJ29" s="67"/>
      <c r="CPK29" s="67"/>
      <c r="CPL29" s="67"/>
      <c r="CPM29" s="67"/>
      <c r="CPN29" s="67"/>
      <c r="CPO29" s="67"/>
      <c r="CPP29" s="67"/>
      <c r="CPQ29" s="67"/>
      <c r="CPR29" s="67"/>
      <c r="CPS29" s="67"/>
      <c r="CPT29" s="67"/>
      <c r="CPU29" s="67"/>
      <c r="CPV29" s="67"/>
      <c r="CPW29" s="67"/>
      <c r="CPX29" s="67"/>
      <c r="CPY29" s="67"/>
      <c r="CPZ29" s="67"/>
      <c r="CQA29" s="67"/>
      <c r="CQB29" s="67"/>
      <c r="CQC29" s="67"/>
      <c r="CQD29" s="67"/>
      <c r="CQE29" s="67"/>
      <c r="CQF29" s="67"/>
      <c r="CQG29" s="67"/>
      <c r="CQH29" s="67"/>
      <c r="CQI29" s="67"/>
      <c r="CQJ29" s="67"/>
      <c r="CQK29" s="67"/>
      <c r="CQL29" s="67"/>
      <c r="CQM29" s="67"/>
      <c r="CQN29" s="67"/>
      <c r="CQO29" s="67"/>
      <c r="CQP29" s="67"/>
      <c r="CQQ29" s="67"/>
      <c r="CQR29" s="67"/>
      <c r="CQS29" s="67"/>
      <c r="CQT29" s="67"/>
      <c r="CQU29" s="67"/>
      <c r="CQV29" s="67"/>
      <c r="CQW29" s="67"/>
      <c r="CQX29" s="67"/>
      <c r="CQY29" s="67"/>
      <c r="CQZ29" s="67"/>
      <c r="CRA29" s="67"/>
      <c r="CRB29" s="67"/>
      <c r="CRC29" s="67"/>
      <c r="CRD29" s="67"/>
      <c r="CRE29" s="67"/>
      <c r="CRF29" s="67"/>
      <c r="CRG29" s="67"/>
      <c r="CRH29" s="67"/>
      <c r="CRI29" s="67"/>
      <c r="CRJ29" s="67"/>
      <c r="CRK29" s="67"/>
      <c r="CRL29" s="67"/>
      <c r="CRM29" s="67"/>
      <c r="CRN29" s="67"/>
      <c r="CRO29" s="67"/>
      <c r="CRP29" s="67"/>
      <c r="CRQ29" s="67"/>
      <c r="CRR29" s="67"/>
      <c r="CRS29" s="67"/>
      <c r="CRT29" s="67"/>
      <c r="CRU29" s="67"/>
      <c r="CRV29" s="67"/>
      <c r="CRW29" s="67"/>
      <c r="CRX29" s="67"/>
      <c r="CRY29" s="67"/>
      <c r="CRZ29" s="67"/>
      <c r="CSA29" s="67"/>
      <c r="CSB29" s="67"/>
      <c r="CSC29" s="67"/>
      <c r="CSD29" s="67"/>
      <c r="CSE29" s="67"/>
      <c r="CSF29" s="67"/>
      <c r="CSG29" s="67"/>
      <c r="CSH29" s="67"/>
      <c r="CSI29" s="67"/>
      <c r="CSJ29" s="67"/>
      <c r="CSK29" s="67"/>
      <c r="CSL29" s="67"/>
      <c r="CSM29" s="67"/>
      <c r="CSN29" s="67"/>
      <c r="CSO29" s="67"/>
      <c r="CSP29" s="67"/>
      <c r="CSQ29" s="67"/>
      <c r="CSR29" s="67"/>
      <c r="CSS29" s="67"/>
      <c r="CST29" s="67"/>
      <c r="CSU29" s="67"/>
      <c r="CSV29" s="67"/>
      <c r="CSW29" s="67"/>
      <c r="CSX29" s="67"/>
      <c r="CSY29" s="67"/>
      <c r="CSZ29" s="67"/>
      <c r="CTA29" s="67"/>
      <c r="CTB29" s="67"/>
      <c r="CTC29" s="67"/>
      <c r="CTD29" s="67"/>
      <c r="CTE29" s="67"/>
      <c r="CTF29" s="67"/>
      <c r="CTG29" s="67"/>
      <c r="CTH29" s="67"/>
      <c r="CTI29" s="67"/>
      <c r="CTJ29" s="67"/>
      <c r="CTK29" s="67"/>
      <c r="CTL29" s="67"/>
      <c r="CTM29" s="67"/>
      <c r="CTN29" s="67"/>
      <c r="CTO29" s="67"/>
      <c r="CTP29" s="67"/>
      <c r="CTQ29" s="67"/>
      <c r="CTR29" s="67"/>
      <c r="CTS29" s="67"/>
      <c r="CTT29" s="67"/>
      <c r="CTU29" s="67"/>
      <c r="CTV29" s="67"/>
      <c r="CTW29" s="67"/>
      <c r="CTX29" s="67"/>
      <c r="CTY29" s="67"/>
      <c r="CTZ29" s="67"/>
      <c r="CUA29" s="67"/>
      <c r="CUB29" s="67"/>
      <c r="CUC29" s="67"/>
      <c r="CUD29" s="67"/>
      <c r="CUE29" s="67"/>
      <c r="CUF29" s="67"/>
      <c r="CUG29" s="67"/>
      <c r="CUH29" s="67"/>
      <c r="CUI29" s="67"/>
      <c r="CUJ29" s="67"/>
      <c r="CUK29" s="67"/>
      <c r="CUL29" s="67"/>
      <c r="CUM29" s="67"/>
      <c r="CUN29" s="67"/>
      <c r="CUO29" s="67"/>
      <c r="CUP29" s="67"/>
      <c r="CUQ29" s="67"/>
      <c r="CUR29" s="67"/>
      <c r="CUS29" s="67"/>
      <c r="CUT29" s="67"/>
      <c r="CUU29" s="67"/>
      <c r="CUV29" s="67"/>
      <c r="CUW29" s="67"/>
      <c r="CUX29" s="67"/>
      <c r="CUY29" s="67"/>
      <c r="CUZ29" s="67"/>
      <c r="CVA29" s="67"/>
      <c r="CVB29" s="67"/>
      <c r="CVC29" s="67"/>
      <c r="CVD29" s="67"/>
      <c r="CVE29" s="67"/>
      <c r="CVF29" s="67"/>
      <c r="CVG29" s="67"/>
      <c r="CVH29" s="67"/>
      <c r="CVI29" s="67"/>
      <c r="CVJ29" s="67"/>
      <c r="CVK29" s="67"/>
      <c r="CVL29" s="67"/>
      <c r="CVM29" s="67"/>
      <c r="CVN29" s="67"/>
      <c r="CVO29" s="67"/>
      <c r="CVP29" s="67"/>
      <c r="CVQ29" s="67"/>
      <c r="CVR29" s="67"/>
      <c r="CVS29" s="67"/>
      <c r="CVT29" s="67"/>
      <c r="CVU29" s="67"/>
      <c r="CVV29" s="67"/>
      <c r="CVW29" s="67"/>
      <c r="CVX29" s="67"/>
      <c r="CVY29" s="67"/>
      <c r="CVZ29" s="67"/>
      <c r="CWA29" s="67"/>
      <c r="CWB29" s="67"/>
      <c r="CWC29" s="67"/>
      <c r="CWD29" s="67"/>
      <c r="CWE29" s="67"/>
      <c r="CWF29" s="67"/>
      <c r="CWG29" s="67"/>
      <c r="CWH29" s="67"/>
      <c r="CWI29" s="67"/>
      <c r="CWJ29" s="67"/>
      <c r="CWK29" s="67"/>
      <c r="CWL29" s="67"/>
      <c r="CWM29" s="67"/>
      <c r="CWN29" s="67"/>
      <c r="CWO29" s="67"/>
      <c r="CWP29" s="67"/>
      <c r="CWQ29" s="67"/>
      <c r="CWR29" s="67"/>
      <c r="CWS29" s="67"/>
      <c r="CWT29" s="67"/>
      <c r="CWU29" s="67"/>
      <c r="CWV29" s="67"/>
      <c r="CWW29" s="67"/>
      <c r="CWX29" s="67"/>
      <c r="CWY29" s="67"/>
      <c r="CWZ29" s="67"/>
      <c r="CXA29" s="67"/>
      <c r="CXB29" s="67"/>
      <c r="CXC29" s="67"/>
      <c r="CXD29" s="67"/>
      <c r="CXE29" s="67"/>
      <c r="CXF29" s="67"/>
      <c r="CXG29" s="67"/>
      <c r="CXH29" s="67"/>
      <c r="CXI29" s="67"/>
      <c r="CXJ29" s="67"/>
      <c r="CXK29" s="67"/>
      <c r="CXL29" s="67"/>
      <c r="CXM29" s="67"/>
      <c r="CXN29" s="67"/>
      <c r="CXO29" s="67"/>
      <c r="CXP29" s="67"/>
      <c r="CXQ29" s="67"/>
      <c r="CXR29" s="67"/>
      <c r="CXS29" s="67"/>
      <c r="CXT29" s="67"/>
      <c r="CXU29" s="67"/>
      <c r="CXV29" s="67"/>
      <c r="CXW29" s="67"/>
      <c r="CXX29" s="67"/>
      <c r="CXY29" s="67"/>
      <c r="CXZ29" s="67"/>
      <c r="CYA29" s="67"/>
      <c r="CYB29" s="67"/>
      <c r="CYC29" s="67"/>
      <c r="CYD29" s="67"/>
      <c r="CYE29" s="67"/>
      <c r="CYF29" s="67"/>
      <c r="CYG29" s="67"/>
      <c r="CYH29" s="67"/>
      <c r="CYI29" s="67"/>
      <c r="CYJ29" s="67"/>
      <c r="CYK29" s="67"/>
      <c r="CYL29" s="67"/>
      <c r="CYM29" s="67"/>
      <c r="CYN29" s="67"/>
      <c r="CYO29" s="67"/>
      <c r="CYP29" s="67"/>
      <c r="CYQ29" s="67"/>
      <c r="CYR29" s="67"/>
      <c r="CYS29" s="67"/>
      <c r="CYT29" s="67"/>
      <c r="CYU29" s="67"/>
      <c r="CYV29" s="67"/>
      <c r="CYW29" s="67"/>
      <c r="CYX29" s="67"/>
      <c r="CYY29" s="67"/>
      <c r="CYZ29" s="67"/>
      <c r="CZA29" s="67"/>
      <c r="CZB29" s="67"/>
      <c r="CZC29" s="67"/>
      <c r="CZD29" s="67"/>
      <c r="CZE29" s="67"/>
      <c r="CZF29" s="67"/>
      <c r="CZG29" s="67"/>
      <c r="CZH29" s="67"/>
      <c r="CZI29" s="67"/>
      <c r="CZJ29" s="67"/>
      <c r="CZK29" s="67"/>
      <c r="CZL29" s="67"/>
      <c r="CZM29" s="67"/>
      <c r="CZN29" s="67"/>
      <c r="CZO29" s="67"/>
      <c r="CZP29" s="67"/>
      <c r="CZQ29" s="67"/>
      <c r="CZR29" s="67"/>
      <c r="CZS29" s="67"/>
      <c r="CZT29" s="67"/>
      <c r="CZU29" s="67"/>
      <c r="CZV29" s="67"/>
      <c r="CZW29" s="67"/>
      <c r="CZX29" s="67"/>
      <c r="CZY29" s="67"/>
      <c r="CZZ29" s="67"/>
      <c r="DAA29" s="67"/>
      <c r="DAB29" s="67"/>
      <c r="DAC29" s="67"/>
      <c r="DAD29" s="67"/>
      <c r="DAE29" s="67"/>
      <c r="DAF29" s="67"/>
      <c r="DAG29" s="67"/>
      <c r="DAH29" s="67"/>
      <c r="DAI29" s="67"/>
      <c r="DAJ29" s="67"/>
      <c r="DAK29" s="67"/>
      <c r="DAL29" s="67"/>
      <c r="DAM29" s="67"/>
      <c r="DAN29" s="67"/>
      <c r="DAO29" s="67"/>
      <c r="DAP29" s="67"/>
      <c r="DAQ29" s="67"/>
      <c r="DAR29" s="67"/>
      <c r="DAS29" s="67"/>
      <c r="DAT29" s="67"/>
      <c r="DAU29" s="67"/>
      <c r="DAV29" s="67"/>
      <c r="DAW29" s="67"/>
      <c r="DAX29" s="67"/>
      <c r="DAY29" s="67"/>
      <c r="DAZ29" s="67"/>
      <c r="DBA29" s="67"/>
      <c r="DBB29" s="67"/>
      <c r="DBC29" s="67"/>
      <c r="DBD29" s="67"/>
      <c r="DBE29" s="67"/>
      <c r="DBF29" s="67"/>
      <c r="DBG29" s="67"/>
      <c r="DBH29" s="67"/>
      <c r="DBI29" s="67"/>
      <c r="DBJ29" s="67"/>
      <c r="DBK29" s="67"/>
      <c r="DBL29" s="67"/>
      <c r="DBM29" s="67"/>
      <c r="DBN29" s="67"/>
      <c r="DBO29" s="67"/>
      <c r="DBP29" s="67"/>
      <c r="DBQ29" s="67"/>
      <c r="DBR29" s="67"/>
      <c r="DBS29" s="67"/>
      <c r="DBT29" s="67"/>
      <c r="DBU29" s="67"/>
      <c r="DBV29" s="67"/>
      <c r="DBW29" s="67"/>
      <c r="DBX29" s="67"/>
      <c r="DBY29" s="67"/>
      <c r="DBZ29" s="67"/>
      <c r="DCA29" s="67"/>
      <c r="DCB29" s="67"/>
      <c r="DCC29" s="67"/>
      <c r="DCD29" s="67"/>
      <c r="DCE29" s="67"/>
      <c r="DCF29" s="67"/>
      <c r="DCG29" s="67"/>
      <c r="DCH29" s="67"/>
      <c r="DCI29" s="67"/>
      <c r="DCJ29" s="67"/>
      <c r="DCK29" s="67"/>
      <c r="DCL29" s="67"/>
      <c r="DCM29" s="67"/>
      <c r="DCN29" s="67"/>
      <c r="DCO29" s="67"/>
      <c r="DCP29" s="67"/>
      <c r="DCQ29" s="67"/>
      <c r="DCR29" s="67"/>
      <c r="DCS29" s="67"/>
      <c r="DCT29" s="67"/>
      <c r="DCU29" s="67"/>
      <c r="DCV29" s="67"/>
      <c r="DCW29" s="67"/>
      <c r="DCX29" s="67"/>
      <c r="DCY29" s="67"/>
      <c r="DCZ29" s="67"/>
      <c r="DDA29" s="67"/>
      <c r="DDB29" s="67"/>
      <c r="DDC29" s="67"/>
      <c r="DDD29" s="67"/>
      <c r="DDE29" s="67"/>
      <c r="DDF29" s="67"/>
      <c r="DDG29" s="67"/>
      <c r="DDH29" s="67"/>
      <c r="DDI29" s="67"/>
      <c r="DDJ29" s="67"/>
      <c r="DDK29" s="67"/>
      <c r="DDL29" s="67"/>
      <c r="DDM29" s="67"/>
      <c r="DDN29" s="67"/>
      <c r="DDO29" s="67"/>
      <c r="DDP29" s="67"/>
      <c r="DDQ29" s="67"/>
      <c r="DDR29" s="67"/>
      <c r="DDS29" s="67"/>
      <c r="DDT29" s="67"/>
      <c r="DDU29" s="67"/>
      <c r="DDV29" s="67"/>
      <c r="DDW29" s="67"/>
      <c r="DDX29" s="67"/>
      <c r="DDY29" s="67"/>
      <c r="DDZ29" s="67"/>
      <c r="DEA29" s="67"/>
      <c r="DEB29" s="67"/>
      <c r="DEC29" s="67"/>
      <c r="DED29" s="67"/>
      <c r="DEE29" s="67"/>
      <c r="DEF29" s="67"/>
      <c r="DEG29" s="67"/>
      <c r="DEH29" s="67"/>
      <c r="DEI29" s="67"/>
      <c r="DEJ29" s="67"/>
      <c r="DEK29" s="67"/>
      <c r="DEL29" s="67"/>
      <c r="DEM29" s="67"/>
      <c r="DEN29" s="67"/>
      <c r="DEO29" s="67"/>
      <c r="DEP29" s="67"/>
      <c r="DEQ29" s="67"/>
      <c r="DER29" s="67"/>
      <c r="DES29" s="67"/>
      <c r="DET29" s="67"/>
      <c r="DEU29" s="67"/>
      <c r="DEV29" s="67"/>
      <c r="DEW29" s="67"/>
      <c r="DEX29" s="67"/>
      <c r="DEY29" s="67"/>
      <c r="DEZ29" s="67"/>
      <c r="DFA29" s="67"/>
      <c r="DFB29" s="67"/>
      <c r="DFC29" s="67"/>
      <c r="DFD29" s="67"/>
      <c r="DFE29" s="67"/>
      <c r="DFF29" s="67"/>
      <c r="DFG29" s="67"/>
      <c r="DFH29" s="67"/>
      <c r="DFI29" s="67"/>
      <c r="DFJ29" s="67"/>
      <c r="DFK29" s="67"/>
      <c r="DFL29" s="67"/>
      <c r="DFM29" s="67"/>
      <c r="DFN29" s="67"/>
      <c r="DFO29" s="67"/>
      <c r="DFP29" s="67"/>
      <c r="DFQ29" s="67"/>
      <c r="DFR29" s="67"/>
      <c r="DFS29" s="67"/>
      <c r="DFT29" s="67"/>
      <c r="DFU29" s="67"/>
      <c r="DFV29" s="67"/>
      <c r="DFW29" s="67"/>
      <c r="DFX29" s="67"/>
      <c r="DFY29" s="67"/>
      <c r="DFZ29" s="67"/>
      <c r="DGA29" s="67"/>
      <c r="DGB29" s="67"/>
      <c r="DGC29" s="67"/>
      <c r="DGD29" s="67"/>
      <c r="DGE29" s="67"/>
      <c r="DGF29" s="67"/>
      <c r="DGG29" s="67"/>
      <c r="DGH29" s="67"/>
      <c r="DGI29" s="67"/>
      <c r="DGJ29" s="67"/>
      <c r="DGK29" s="67"/>
      <c r="DGL29" s="67"/>
      <c r="DGM29" s="67"/>
      <c r="DGN29" s="67"/>
      <c r="DGO29" s="67"/>
      <c r="DGP29" s="67"/>
      <c r="DGQ29" s="67"/>
      <c r="DGR29" s="67"/>
      <c r="DGS29" s="67"/>
      <c r="DGT29" s="67"/>
      <c r="DGU29" s="67"/>
      <c r="DGV29" s="67"/>
      <c r="DGW29" s="67"/>
      <c r="DGX29" s="67"/>
      <c r="DGY29" s="67"/>
      <c r="DGZ29" s="67"/>
      <c r="DHA29" s="67"/>
      <c r="DHB29" s="67"/>
      <c r="DHC29" s="67"/>
      <c r="DHD29" s="67"/>
      <c r="DHE29" s="67"/>
      <c r="DHF29" s="67"/>
      <c r="DHG29" s="67"/>
      <c r="DHH29" s="67"/>
      <c r="DHI29" s="67"/>
      <c r="DHJ29" s="67"/>
      <c r="DHK29" s="67"/>
      <c r="DHL29" s="67"/>
      <c r="DHM29" s="67"/>
      <c r="DHN29" s="67"/>
      <c r="DHO29" s="67"/>
      <c r="DHP29" s="67"/>
      <c r="DHQ29" s="67"/>
      <c r="DHR29" s="67"/>
      <c r="DHS29" s="67"/>
      <c r="DHT29" s="67"/>
      <c r="DHU29" s="67"/>
      <c r="DHV29" s="67"/>
      <c r="DHW29" s="67"/>
      <c r="DHX29" s="67"/>
      <c r="DHY29" s="67"/>
      <c r="DHZ29" s="67"/>
      <c r="DIA29" s="67"/>
      <c r="DIB29" s="67"/>
      <c r="DIC29" s="67"/>
      <c r="DID29" s="67"/>
      <c r="DIE29" s="67"/>
      <c r="DIF29" s="67"/>
      <c r="DIG29" s="67"/>
      <c r="DIH29" s="67"/>
      <c r="DII29" s="67"/>
      <c r="DIJ29" s="67"/>
      <c r="DIK29" s="67"/>
      <c r="DIL29" s="67"/>
      <c r="DIM29" s="67"/>
      <c r="DIN29" s="67"/>
      <c r="DIO29" s="67"/>
      <c r="DIP29" s="67"/>
      <c r="DIQ29" s="67"/>
      <c r="DIR29" s="67"/>
      <c r="DIS29" s="67"/>
      <c r="DIT29" s="67"/>
      <c r="DIU29" s="67"/>
      <c r="DIV29" s="67"/>
      <c r="DIW29" s="67"/>
      <c r="DIX29" s="67"/>
      <c r="DIY29" s="67"/>
      <c r="DIZ29" s="67"/>
      <c r="DJA29" s="67"/>
      <c r="DJB29" s="67"/>
      <c r="DJC29" s="67"/>
      <c r="DJD29" s="67"/>
      <c r="DJE29" s="67"/>
      <c r="DJF29" s="67"/>
      <c r="DJG29" s="67"/>
      <c r="DJH29" s="67"/>
      <c r="DJI29" s="67"/>
      <c r="DJJ29" s="67"/>
      <c r="DJK29" s="67"/>
      <c r="DJL29" s="67"/>
      <c r="DJM29" s="67"/>
      <c r="DJN29" s="67"/>
      <c r="DJO29" s="67"/>
      <c r="DJP29" s="67"/>
      <c r="DJQ29" s="67"/>
      <c r="DJR29" s="67"/>
      <c r="DJS29" s="67"/>
      <c r="DJT29" s="67"/>
      <c r="DJU29" s="67"/>
      <c r="DJV29" s="67"/>
      <c r="DJW29" s="67"/>
      <c r="DJX29" s="67"/>
      <c r="DJY29" s="67"/>
      <c r="DJZ29" s="67"/>
      <c r="DKA29" s="67"/>
      <c r="DKB29" s="67"/>
      <c r="DKC29" s="67"/>
      <c r="DKD29" s="67"/>
      <c r="DKE29" s="67"/>
      <c r="DKF29" s="67"/>
      <c r="DKG29" s="67"/>
      <c r="DKH29" s="67"/>
      <c r="DKI29" s="67"/>
      <c r="DKJ29" s="67"/>
      <c r="DKK29" s="67"/>
      <c r="DKL29" s="67"/>
      <c r="DKM29" s="67"/>
      <c r="DKN29" s="67"/>
      <c r="DKO29" s="67"/>
      <c r="DKP29" s="67"/>
      <c r="DKQ29" s="67"/>
      <c r="DKR29" s="67"/>
      <c r="DKS29" s="67"/>
      <c r="DKT29" s="67"/>
      <c r="DKU29" s="67"/>
      <c r="DKV29" s="67"/>
      <c r="DKW29" s="67"/>
      <c r="DKX29" s="67"/>
      <c r="DKY29" s="67"/>
      <c r="DKZ29" s="67"/>
      <c r="DLA29" s="67"/>
      <c r="DLB29" s="67"/>
      <c r="DLC29" s="67"/>
      <c r="DLD29" s="67"/>
      <c r="DLE29" s="67"/>
      <c r="DLF29" s="67"/>
      <c r="DLG29" s="67"/>
      <c r="DLH29" s="67"/>
      <c r="DLI29" s="67"/>
      <c r="DLJ29" s="67"/>
      <c r="DLK29" s="67"/>
      <c r="DLL29" s="67"/>
      <c r="DLM29" s="67"/>
      <c r="DLN29" s="67"/>
      <c r="DLO29" s="67"/>
      <c r="DLP29" s="67"/>
      <c r="DLQ29" s="67"/>
      <c r="DLR29" s="67"/>
      <c r="DLS29" s="67"/>
      <c r="DLT29" s="67"/>
      <c r="DLU29" s="67"/>
      <c r="DLV29" s="67"/>
      <c r="DLW29" s="67"/>
      <c r="DLX29" s="67"/>
      <c r="DLY29" s="67"/>
      <c r="DLZ29" s="67"/>
      <c r="DMA29" s="67"/>
      <c r="DMB29" s="67"/>
      <c r="DMC29" s="67"/>
      <c r="DMD29" s="67"/>
      <c r="DME29" s="67"/>
      <c r="DMF29" s="67"/>
      <c r="DMG29" s="67"/>
      <c r="DMH29" s="67"/>
      <c r="DMI29" s="67"/>
      <c r="DMJ29" s="67"/>
      <c r="DMK29" s="67"/>
      <c r="DML29" s="67"/>
      <c r="DMM29" s="67"/>
      <c r="DMN29" s="67"/>
      <c r="DMO29" s="67"/>
      <c r="DMP29" s="67"/>
      <c r="DMQ29" s="67"/>
      <c r="DMR29" s="67"/>
      <c r="DMS29" s="67"/>
      <c r="DMT29" s="67"/>
      <c r="DMU29" s="67"/>
      <c r="DMV29" s="67"/>
      <c r="DMW29" s="67"/>
      <c r="DMX29" s="67"/>
      <c r="DMY29" s="67"/>
      <c r="DMZ29" s="67"/>
      <c r="DNA29" s="67"/>
      <c r="DNB29" s="67"/>
      <c r="DNC29" s="67"/>
      <c r="DND29" s="67"/>
      <c r="DNE29" s="67"/>
      <c r="DNF29" s="67"/>
      <c r="DNG29" s="67"/>
      <c r="DNH29" s="67"/>
      <c r="DNI29" s="67"/>
      <c r="DNJ29" s="67"/>
      <c r="DNK29" s="67"/>
      <c r="DNL29" s="67"/>
      <c r="DNM29" s="67"/>
      <c r="DNN29" s="67"/>
      <c r="DNO29" s="67"/>
      <c r="DNP29" s="67"/>
      <c r="DNQ29" s="67"/>
      <c r="DNR29" s="67"/>
      <c r="DNS29" s="67"/>
      <c r="DNT29" s="67"/>
      <c r="DNU29" s="67"/>
      <c r="DNV29" s="67"/>
      <c r="DNW29" s="67"/>
      <c r="DNX29" s="67"/>
      <c r="DNY29" s="67"/>
      <c r="DNZ29" s="67"/>
      <c r="DOA29" s="67"/>
      <c r="DOB29" s="67"/>
      <c r="DOC29" s="67"/>
      <c r="DOD29" s="67"/>
      <c r="DOE29" s="67"/>
      <c r="DOF29" s="67"/>
      <c r="DOG29" s="67"/>
      <c r="DOH29" s="67"/>
      <c r="DOI29" s="67"/>
      <c r="DOJ29" s="67"/>
      <c r="DOK29" s="67"/>
      <c r="DOL29" s="67"/>
      <c r="DOM29" s="67"/>
      <c r="DON29" s="67"/>
      <c r="DOO29" s="67"/>
      <c r="DOP29" s="67"/>
      <c r="DOQ29" s="67"/>
      <c r="DOR29" s="67"/>
      <c r="DOS29" s="67"/>
      <c r="DOT29" s="67"/>
      <c r="DOU29" s="67"/>
      <c r="DOV29" s="67"/>
      <c r="DOW29" s="67"/>
      <c r="DOX29" s="67"/>
      <c r="DOY29" s="67"/>
      <c r="DOZ29" s="67"/>
      <c r="DPA29" s="67"/>
      <c r="DPB29" s="67"/>
      <c r="DPC29" s="67"/>
      <c r="DPD29" s="67"/>
      <c r="DPE29" s="67"/>
      <c r="DPF29" s="67"/>
      <c r="DPG29" s="67"/>
      <c r="DPH29" s="67"/>
      <c r="DPI29" s="67"/>
      <c r="DPJ29" s="67"/>
      <c r="DPK29" s="67"/>
      <c r="DPL29" s="67"/>
      <c r="DPM29" s="67"/>
      <c r="DPN29" s="67"/>
      <c r="DPO29" s="67"/>
      <c r="DPP29" s="67"/>
      <c r="DPQ29" s="67"/>
      <c r="DPR29" s="67"/>
      <c r="DPS29" s="67"/>
      <c r="DPT29" s="67"/>
      <c r="DPU29" s="67"/>
      <c r="DPV29" s="67"/>
      <c r="DPW29" s="67"/>
      <c r="DPX29" s="67"/>
      <c r="DPY29" s="67"/>
      <c r="DPZ29" s="67"/>
      <c r="DQA29" s="67"/>
      <c r="DQB29" s="67"/>
      <c r="DQC29" s="67"/>
      <c r="DQD29" s="67"/>
      <c r="DQE29" s="67"/>
      <c r="DQF29" s="67"/>
      <c r="DQG29" s="67"/>
      <c r="DQH29" s="67"/>
      <c r="DQI29" s="67"/>
      <c r="DQJ29" s="67"/>
      <c r="DQK29" s="67"/>
      <c r="DQL29" s="67"/>
      <c r="DQM29" s="67"/>
      <c r="DQN29" s="67"/>
      <c r="DQO29" s="67"/>
      <c r="DQP29" s="67"/>
      <c r="DQQ29" s="67"/>
      <c r="DQR29" s="67"/>
      <c r="DQS29" s="67"/>
      <c r="DQT29" s="67"/>
      <c r="DQU29" s="67"/>
      <c r="DQV29" s="67"/>
      <c r="DQW29" s="67"/>
      <c r="DQX29" s="67"/>
      <c r="DQY29" s="67"/>
      <c r="DQZ29" s="67"/>
      <c r="DRA29" s="67"/>
      <c r="DRB29" s="67"/>
      <c r="DRC29" s="67"/>
      <c r="DRD29" s="67"/>
      <c r="DRE29" s="67"/>
      <c r="DRF29" s="67"/>
      <c r="DRG29" s="67"/>
      <c r="DRH29" s="67"/>
      <c r="DRI29" s="67"/>
      <c r="DRJ29" s="67"/>
      <c r="DRK29" s="67"/>
      <c r="DRL29" s="67"/>
      <c r="DRM29" s="67"/>
      <c r="DRN29" s="67"/>
      <c r="DRO29" s="67"/>
      <c r="DRP29" s="67"/>
      <c r="DRQ29" s="67"/>
      <c r="DRR29" s="67"/>
      <c r="DRS29" s="67"/>
      <c r="DRT29" s="67"/>
      <c r="DRU29" s="67"/>
      <c r="DRV29" s="67"/>
      <c r="DRW29" s="67"/>
      <c r="DRX29" s="67"/>
      <c r="DRY29" s="67"/>
      <c r="DRZ29" s="67"/>
      <c r="DSA29" s="67"/>
      <c r="DSB29" s="67"/>
      <c r="DSC29" s="67"/>
      <c r="DSD29" s="67"/>
      <c r="DSE29" s="67"/>
      <c r="DSF29" s="67"/>
      <c r="DSG29" s="67"/>
      <c r="DSH29" s="67"/>
      <c r="DSI29" s="67"/>
      <c r="DSJ29" s="67"/>
      <c r="DSK29" s="67"/>
      <c r="DSL29" s="67"/>
      <c r="DSM29" s="67"/>
      <c r="DSN29" s="67"/>
      <c r="DSO29" s="67"/>
      <c r="DSP29" s="67"/>
      <c r="DSQ29" s="67"/>
      <c r="DSR29" s="67"/>
      <c r="DSS29" s="67"/>
      <c r="DST29" s="67"/>
      <c r="DSU29" s="67"/>
      <c r="DSV29" s="67"/>
      <c r="DSW29" s="67"/>
      <c r="DSX29" s="67"/>
      <c r="DSY29" s="67"/>
      <c r="DSZ29" s="67"/>
      <c r="DTA29" s="67"/>
      <c r="DTB29" s="67"/>
      <c r="DTC29" s="67"/>
      <c r="DTD29" s="67"/>
      <c r="DTE29" s="67"/>
      <c r="DTF29" s="67"/>
      <c r="DTG29" s="67"/>
      <c r="DTH29" s="67"/>
      <c r="DTI29" s="67"/>
      <c r="DTJ29" s="67"/>
      <c r="DTK29" s="67"/>
      <c r="DTL29" s="67"/>
      <c r="DTM29" s="67"/>
      <c r="DTN29" s="67"/>
      <c r="DTO29" s="67"/>
      <c r="DTP29" s="67"/>
      <c r="DTQ29" s="67"/>
      <c r="DTR29" s="67"/>
      <c r="DTS29" s="67"/>
      <c r="DTT29" s="67"/>
      <c r="DTU29" s="67"/>
      <c r="DTV29" s="67"/>
      <c r="DTW29" s="67"/>
      <c r="DTX29" s="67"/>
      <c r="DTY29" s="67"/>
      <c r="DTZ29" s="67"/>
      <c r="DUA29" s="67"/>
      <c r="DUB29" s="67"/>
      <c r="DUC29" s="67"/>
      <c r="DUD29" s="67"/>
      <c r="DUE29" s="67"/>
      <c r="DUF29" s="67"/>
      <c r="DUG29" s="67"/>
      <c r="DUH29" s="67"/>
      <c r="DUI29" s="67"/>
      <c r="DUJ29" s="67"/>
      <c r="DUK29" s="67"/>
      <c r="DUL29" s="67"/>
      <c r="DUM29" s="67"/>
      <c r="DUN29" s="67"/>
      <c r="DUO29" s="67"/>
      <c r="DUP29" s="67"/>
      <c r="DUQ29" s="67"/>
      <c r="DUR29" s="67"/>
      <c r="DUS29" s="67"/>
      <c r="DUT29" s="67"/>
      <c r="DUU29" s="67"/>
      <c r="DUV29" s="67"/>
      <c r="DUW29" s="67"/>
      <c r="DUX29" s="67"/>
      <c r="DUY29" s="67"/>
      <c r="DUZ29" s="67"/>
      <c r="DVA29" s="67"/>
      <c r="DVB29" s="67"/>
      <c r="DVC29" s="67"/>
      <c r="DVD29" s="67"/>
      <c r="DVE29" s="67"/>
      <c r="DVF29" s="67"/>
      <c r="DVG29" s="67"/>
      <c r="DVH29" s="67"/>
      <c r="DVI29" s="67"/>
      <c r="DVJ29" s="67"/>
      <c r="DVK29" s="67"/>
      <c r="DVL29" s="67"/>
      <c r="DVM29" s="67"/>
      <c r="DVN29" s="67"/>
      <c r="DVO29" s="67"/>
      <c r="DVP29" s="67"/>
      <c r="DVQ29" s="67"/>
      <c r="DVR29" s="67"/>
      <c r="DVS29" s="67"/>
      <c r="DVT29" s="67"/>
      <c r="DVU29" s="67"/>
      <c r="DVV29" s="67"/>
      <c r="DVW29" s="67"/>
      <c r="DVX29" s="67"/>
      <c r="DVY29" s="67"/>
      <c r="DVZ29" s="67"/>
      <c r="DWA29" s="67"/>
      <c r="DWB29" s="67"/>
      <c r="DWC29" s="67"/>
      <c r="DWD29" s="67"/>
      <c r="DWE29" s="67"/>
      <c r="DWF29" s="67"/>
      <c r="DWG29" s="67"/>
      <c r="DWH29" s="67"/>
      <c r="DWI29" s="67"/>
      <c r="DWJ29" s="67"/>
      <c r="DWK29" s="67"/>
      <c r="DWL29" s="67"/>
      <c r="DWM29" s="67"/>
      <c r="DWN29" s="67"/>
      <c r="DWO29" s="67"/>
      <c r="DWP29" s="67"/>
      <c r="DWQ29" s="67"/>
      <c r="DWR29" s="67"/>
      <c r="DWS29" s="67"/>
      <c r="DWT29" s="67"/>
      <c r="DWU29" s="67"/>
      <c r="DWV29" s="67"/>
      <c r="DWW29" s="67"/>
      <c r="DWX29" s="67"/>
      <c r="DWY29" s="67"/>
      <c r="DWZ29" s="67"/>
      <c r="DXA29" s="67"/>
      <c r="DXB29" s="67"/>
      <c r="DXC29" s="67"/>
      <c r="DXD29" s="67"/>
      <c r="DXE29" s="67"/>
      <c r="DXF29" s="67"/>
      <c r="DXG29" s="67"/>
      <c r="DXH29" s="67"/>
      <c r="DXI29" s="67"/>
      <c r="DXJ29" s="67"/>
      <c r="DXK29" s="67"/>
      <c r="DXL29" s="67"/>
      <c r="DXM29" s="67"/>
      <c r="DXN29" s="67"/>
      <c r="DXO29" s="67"/>
      <c r="DXP29" s="67"/>
      <c r="DXQ29" s="67"/>
      <c r="DXR29" s="67"/>
      <c r="DXS29" s="67"/>
      <c r="DXT29" s="67"/>
      <c r="DXU29" s="67"/>
      <c r="DXV29" s="67"/>
      <c r="DXW29" s="67"/>
      <c r="DXX29" s="67"/>
      <c r="DXY29" s="67"/>
      <c r="DXZ29" s="67"/>
      <c r="DYA29" s="67"/>
      <c r="DYB29" s="67"/>
      <c r="DYC29" s="67"/>
      <c r="DYD29" s="67"/>
      <c r="DYE29" s="67"/>
      <c r="DYF29" s="67"/>
      <c r="DYG29" s="67"/>
      <c r="DYH29" s="67"/>
      <c r="DYI29" s="67"/>
      <c r="DYJ29" s="67"/>
      <c r="DYK29" s="67"/>
      <c r="DYL29" s="67"/>
      <c r="DYM29" s="67"/>
      <c r="DYN29" s="67"/>
      <c r="DYO29" s="67"/>
      <c r="DYP29" s="67"/>
      <c r="DYQ29" s="67"/>
      <c r="DYR29" s="67"/>
      <c r="DYS29" s="67"/>
      <c r="DYT29" s="67"/>
      <c r="DYU29" s="67"/>
      <c r="DYV29" s="67"/>
      <c r="DYW29" s="67"/>
      <c r="DYX29" s="67"/>
      <c r="DYY29" s="67"/>
      <c r="DYZ29" s="67"/>
      <c r="DZA29" s="67"/>
      <c r="DZB29" s="67"/>
      <c r="DZC29" s="67"/>
      <c r="DZD29" s="67"/>
      <c r="DZE29" s="67"/>
      <c r="DZF29" s="67"/>
      <c r="DZG29" s="67"/>
      <c r="DZH29" s="67"/>
      <c r="DZI29" s="67"/>
      <c r="DZJ29" s="67"/>
      <c r="DZK29" s="67"/>
      <c r="DZL29" s="67"/>
      <c r="DZM29" s="67"/>
      <c r="DZN29" s="67"/>
      <c r="DZO29" s="67"/>
      <c r="DZP29" s="67"/>
      <c r="DZQ29" s="67"/>
      <c r="DZR29" s="67"/>
      <c r="DZS29" s="67"/>
      <c r="DZT29" s="67"/>
      <c r="DZU29" s="67"/>
      <c r="DZV29" s="67"/>
      <c r="DZW29" s="67"/>
      <c r="DZX29" s="67"/>
      <c r="DZY29" s="67"/>
      <c r="DZZ29" s="67"/>
      <c r="EAA29" s="67"/>
      <c r="EAB29" s="67"/>
      <c r="EAC29" s="67"/>
      <c r="EAD29" s="67"/>
      <c r="EAE29" s="67"/>
      <c r="EAF29" s="67"/>
      <c r="EAG29" s="67"/>
      <c r="EAH29" s="67"/>
      <c r="EAI29" s="67"/>
      <c r="EAJ29" s="67"/>
      <c r="EAK29" s="67"/>
      <c r="EAL29" s="67"/>
      <c r="EAM29" s="67"/>
      <c r="EAN29" s="67"/>
      <c r="EAO29" s="67"/>
      <c r="EAP29" s="67"/>
      <c r="EAQ29" s="67"/>
      <c r="EAR29" s="67"/>
      <c r="EAS29" s="67"/>
      <c r="EAT29" s="67"/>
      <c r="EAU29" s="67"/>
      <c r="EAV29" s="67"/>
      <c r="EAW29" s="67"/>
      <c r="EAX29" s="67"/>
      <c r="EAY29" s="67"/>
      <c r="EAZ29" s="67"/>
      <c r="EBA29" s="67"/>
      <c r="EBB29" s="67"/>
      <c r="EBC29" s="67"/>
      <c r="EBD29" s="67"/>
      <c r="EBE29" s="67"/>
      <c r="EBF29" s="67"/>
      <c r="EBG29" s="67"/>
      <c r="EBH29" s="67"/>
      <c r="EBI29" s="67"/>
      <c r="EBJ29" s="67"/>
      <c r="EBK29" s="67"/>
      <c r="EBL29" s="67"/>
      <c r="EBM29" s="67"/>
      <c r="EBN29" s="67"/>
      <c r="EBO29" s="67"/>
      <c r="EBP29" s="67"/>
      <c r="EBQ29" s="67"/>
      <c r="EBR29" s="67"/>
      <c r="EBS29" s="67"/>
      <c r="EBT29" s="67"/>
      <c r="EBU29" s="67"/>
      <c r="EBV29" s="67"/>
      <c r="EBW29" s="67"/>
      <c r="EBX29" s="67"/>
      <c r="EBY29" s="67"/>
      <c r="EBZ29" s="67"/>
      <c r="ECA29" s="67"/>
      <c r="ECB29" s="67"/>
      <c r="ECC29" s="67"/>
      <c r="ECD29" s="67"/>
      <c r="ECE29" s="67"/>
      <c r="ECF29" s="67"/>
      <c r="ECG29" s="67"/>
      <c r="ECH29" s="67"/>
      <c r="ECI29" s="67"/>
      <c r="ECJ29" s="67"/>
      <c r="ECK29" s="67"/>
      <c r="ECL29" s="67"/>
      <c r="ECM29" s="67"/>
      <c r="ECN29" s="67"/>
      <c r="ECO29" s="67"/>
      <c r="ECP29" s="67"/>
      <c r="ECQ29" s="67"/>
      <c r="ECR29" s="67"/>
      <c r="ECS29" s="67"/>
      <c r="ECT29" s="67"/>
      <c r="ECU29" s="67"/>
      <c r="ECV29" s="67"/>
      <c r="ECW29" s="67"/>
      <c r="ECX29" s="67"/>
      <c r="ECY29" s="67"/>
      <c r="ECZ29" s="67"/>
      <c r="EDA29" s="67"/>
      <c r="EDB29" s="67"/>
      <c r="EDC29" s="67"/>
      <c r="EDD29" s="67"/>
      <c r="EDE29" s="67"/>
      <c r="EDF29" s="67"/>
      <c r="EDG29" s="67"/>
      <c r="EDH29" s="67"/>
      <c r="EDI29" s="67"/>
      <c r="EDJ29" s="67"/>
      <c r="EDK29" s="67"/>
      <c r="EDL29" s="67"/>
      <c r="EDM29" s="67"/>
      <c r="EDN29" s="67"/>
      <c r="EDO29" s="67"/>
      <c r="EDP29" s="67"/>
      <c r="EDQ29" s="67"/>
      <c r="EDR29" s="67"/>
      <c r="EDS29" s="67"/>
      <c r="EDT29" s="67"/>
      <c r="EDU29" s="67"/>
      <c r="EDV29" s="67"/>
      <c r="EDW29" s="67"/>
      <c r="EDX29" s="67"/>
      <c r="EDY29" s="67"/>
      <c r="EDZ29" s="67"/>
      <c r="EEA29" s="67"/>
      <c r="EEB29" s="67"/>
      <c r="EEC29" s="67"/>
      <c r="EED29" s="67"/>
      <c r="EEE29" s="67"/>
      <c r="EEF29" s="67"/>
      <c r="EEG29" s="67"/>
      <c r="EEH29" s="67"/>
      <c r="EEI29" s="67"/>
      <c r="EEJ29" s="67"/>
      <c r="EEK29" s="67"/>
      <c r="EEL29" s="67"/>
      <c r="EEM29" s="67"/>
      <c r="EEN29" s="67"/>
      <c r="EEO29" s="67"/>
      <c r="EEP29" s="67"/>
      <c r="EEQ29" s="67"/>
      <c r="EER29" s="67"/>
      <c r="EES29" s="67"/>
      <c r="EET29" s="67"/>
      <c r="EEU29" s="67"/>
      <c r="EEV29" s="67"/>
      <c r="EEW29" s="67"/>
      <c r="EEX29" s="67"/>
      <c r="EEY29" s="67"/>
      <c r="EEZ29" s="67"/>
      <c r="EFA29" s="67"/>
      <c r="EFB29" s="67"/>
      <c r="EFC29" s="67"/>
      <c r="EFD29" s="67"/>
      <c r="EFE29" s="67"/>
      <c r="EFF29" s="67"/>
      <c r="EFG29" s="67"/>
      <c r="EFH29" s="67"/>
      <c r="EFI29" s="67"/>
      <c r="EFJ29" s="67"/>
      <c r="EFK29" s="67"/>
      <c r="EFL29" s="67"/>
      <c r="EFM29" s="67"/>
      <c r="EFN29" s="67"/>
      <c r="EFO29" s="67"/>
      <c r="EFP29" s="67"/>
      <c r="EFQ29" s="67"/>
      <c r="EFR29" s="67"/>
      <c r="EFS29" s="67"/>
      <c r="EFT29" s="67"/>
      <c r="EFU29" s="67"/>
      <c r="EFV29" s="67"/>
      <c r="EFW29" s="67"/>
      <c r="EFX29" s="67"/>
      <c r="EFY29" s="67"/>
      <c r="EFZ29" s="67"/>
      <c r="EGA29" s="67"/>
      <c r="EGB29" s="67"/>
      <c r="EGC29" s="67"/>
      <c r="EGD29" s="67"/>
      <c r="EGE29" s="67"/>
      <c r="EGF29" s="67"/>
      <c r="EGG29" s="67"/>
      <c r="EGH29" s="67"/>
      <c r="EGI29" s="67"/>
      <c r="EGJ29" s="67"/>
      <c r="EGK29" s="67"/>
      <c r="EGL29" s="67"/>
      <c r="EGM29" s="67"/>
      <c r="EGN29" s="67"/>
      <c r="EGO29" s="67"/>
      <c r="EGP29" s="67"/>
      <c r="EGQ29" s="67"/>
      <c r="EGR29" s="67"/>
      <c r="EGS29" s="67"/>
      <c r="EGT29" s="67"/>
      <c r="EGU29" s="67"/>
      <c r="EGV29" s="67"/>
      <c r="EGW29" s="67"/>
      <c r="EGX29" s="67"/>
      <c r="EGY29" s="67"/>
      <c r="EGZ29" s="67"/>
      <c r="EHA29" s="67"/>
      <c r="EHB29" s="67"/>
      <c r="EHC29" s="67"/>
      <c r="EHD29" s="67"/>
      <c r="EHE29" s="67"/>
      <c r="EHF29" s="67"/>
      <c r="EHG29" s="67"/>
      <c r="EHH29" s="67"/>
      <c r="EHI29" s="67"/>
      <c r="EHJ29" s="67"/>
      <c r="EHK29" s="67"/>
      <c r="EHL29" s="67"/>
      <c r="EHM29" s="67"/>
      <c r="EHN29" s="67"/>
      <c r="EHO29" s="67"/>
      <c r="EHP29" s="67"/>
      <c r="EHQ29" s="67"/>
      <c r="EHR29" s="67"/>
      <c r="EHS29" s="67"/>
      <c r="EHT29" s="67"/>
      <c r="EHU29" s="67"/>
      <c r="EHV29" s="67"/>
      <c r="EHW29" s="67"/>
      <c r="EHX29" s="67"/>
      <c r="EHY29" s="67"/>
      <c r="EHZ29" s="67"/>
      <c r="EIA29" s="67"/>
      <c r="EIB29" s="67"/>
      <c r="EIC29" s="67"/>
      <c r="EID29" s="67"/>
      <c r="EIE29" s="67"/>
      <c r="EIF29" s="67"/>
      <c r="EIG29" s="67"/>
      <c r="EIH29" s="67"/>
      <c r="EII29" s="67"/>
      <c r="EIJ29" s="67"/>
      <c r="EIK29" s="67"/>
      <c r="EIL29" s="67"/>
      <c r="EIM29" s="67"/>
      <c r="EIN29" s="67"/>
      <c r="EIO29" s="67"/>
      <c r="EIP29" s="67"/>
      <c r="EIQ29" s="67"/>
      <c r="EIR29" s="67"/>
      <c r="EIS29" s="67"/>
      <c r="EIT29" s="67"/>
      <c r="EIU29" s="67"/>
      <c r="EIV29" s="67"/>
      <c r="EIW29" s="67"/>
      <c r="EIX29" s="67"/>
      <c r="EIY29" s="67"/>
      <c r="EIZ29" s="67"/>
      <c r="EJA29" s="67"/>
      <c r="EJB29" s="67"/>
      <c r="EJC29" s="67"/>
      <c r="EJD29" s="67"/>
      <c r="EJE29" s="67"/>
      <c r="EJF29" s="67"/>
      <c r="EJG29" s="67"/>
      <c r="EJH29" s="67"/>
      <c r="EJI29" s="67"/>
      <c r="EJJ29" s="67"/>
      <c r="EJK29" s="67"/>
      <c r="EJL29" s="67"/>
      <c r="EJM29" s="67"/>
      <c r="EJN29" s="67"/>
      <c r="EJO29" s="67"/>
      <c r="EJP29" s="67"/>
      <c r="EJQ29" s="67"/>
      <c r="EJR29" s="67"/>
      <c r="EJS29" s="67"/>
      <c r="EJT29" s="67"/>
      <c r="EJU29" s="67"/>
      <c r="EJV29" s="67"/>
      <c r="EJW29" s="67"/>
      <c r="EJX29" s="67"/>
      <c r="EJY29" s="67"/>
      <c r="EJZ29" s="67"/>
      <c r="EKA29" s="67"/>
      <c r="EKB29" s="67"/>
      <c r="EKC29" s="67"/>
      <c r="EKD29" s="67"/>
      <c r="EKE29" s="67"/>
      <c r="EKF29" s="67"/>
      <c r="EKG29" s="67"/>
      <c r="EKH29" s="67"/>
      <c r="EKI29" s="67"/>
      <c r="EKJ29" s="67"/>
      <c r="EKK29" s="67"/>
      <c r="EKL29" s="67"/>
      <c r="EKM29" s="67"/>
      <c r="EKN29" s="67"/>
      <c r="EKO29" s="67"/>
      <c r="EKP29" s="67"/>
      <c r="EKQ29" s="67"/>
      <c r="EKR29" s="67"/>
      <c r="EKS29" s="67"/>
      <c r="EKT29" s="67"/>
      <c r="EKU29" s="67"/>
      <c r="EKV29" s="67"/>
      <c r="EKW29" s="67"/>
      <c r="EKX29" s="67"/>
      <c r="EKY29" s="67"/>
      <c r="EKZ29" s="67"/>
      <c r="ELA29" s="67"/>
      <c r="ELB29" s="67"/>
      <c r="ELC29" s="67"/>
      <c r="ELD29" s="67"/>
      <c r="ELE29" s="67"/>
      <c r="ELF29" s="67"/>
      <c r="ELG29" s="67"/>
      <c r="ELH29" s="67"/>
      <c r="ELI29" s="67"/>
      <c r="ELJ29" s="67"/>
      <c r="ELK29" s="67"/>
      <c r="ELL29" s="67"/>
      <c r="ELM29" s="67"/>
      <c r="ELN29" s="67"/>
      <c r="ELO29" s="67"/>
      <c r="ELP29" s="67"/>
      <c r="ELQ29" s="67"/>
      <c r="ELR29" s="67"/>
      <c r="ELS29" s="67"/>
      <c r="ELT29" s="67"/>
      <c r="ELU29" s="67"/>
      <c r="ELV29" s="67"/>
      <c r="ELW29" s="67"/>
      <c r="ELX29" s="67"/>
      <c r="ELY29" s="67"/>
      <c r="ELZ29" s="67"/>
      <c r="EMA29" s="67"/>
      <c r="EMB29" s="67"/>
      <c r="EMC29" s="67"/>
      <c r="EMD29" s="67"/>
      <c r="EME29" s="67"/>
      <c r="EMF29" s="67"/>
      <c r="EMG29" s="67"/>
      <c r="EMH29" s="67"/>
      <c r="EMI29" s="67"/>
      <c r="EMJ29" s="67"/>
      <c r="EMK29" s="67"/>
      <c r="EML29" s="67"/>
      <c r="EMM29" s="67"/>
      <c r="EMN29" s="67"/>
      <c r="EMO29" s="67"/>
      <c r="EMP29" s="67"/>
      <c r="EMQ29" s="67"/>
      <c r="EMR29" s="67"/>
      <c r="EMS29" s="67"/>
      <c r="EMT29" s="67"/>
      <c r="EMU29" s="67"/>
      <c r="EMV29" s="67"/>
      <c r="EMW29" s="67"/>
      <c r="EMX29" s="67"/>
      <c r="EMY29" s="67"/>
      <c r="EMZ29" s="67"/>
      <c r="ENA29" s="67"/>
      <c r="ENB29" s="67"/>
      <c r="ENC29" s="67"/>
      <c r="END29" s="67"/>
      <c r="ENE29" s="67"/>
      <c r="ENF29" s="67"/>
      <c r="ENG29" s="67"/>
      <c r="ENH29" s="67"/>
      <c r="ENI29" s="67"/>
      <c r="ENJ29" s="67"/>
      <c r="ENK29" s="67"/>
      <c r="ENL29" s="67"/>
      <c r="ENM29" s="67"/>
      <c r="ENN29" s="67"/>
      <c r="ENO29" s="67"/>
      <c r="ENP29" s="67"/>
      <c r="ENQ29" s="67"/>
      <c r="ENR29" s="67"/>
      <c r="ENS29" s="67"/>
      <c r="ENT29" s="67"/>
      <c r="ENU29" s="67"/>
      <c r="ENV29" s="67"/>
      <c r="ENW29" s="67"/>
      <c r="ENX29" s="67"/>
      <c r="ENY29" s="67"/>
      <c r="ENZ29" s="67"/>
      <c r="EOA29" s="67"/>
      <c r="EOB29" s="67"/>
      <c r="EOC29" s="67"/>
      <c r="EOD29" s="67"/>
      <c r="EOE29" s="67"/>
      <c r="EOF29" s="67"/>
      <c r="EOG29" s="67"/>
      <c r="EOH29" s="67"/>
      <c r="EOI29" s="67"/>
      <c r="EOJ29" s="67"/>
      <c r="EOK29" s="67"/>
      <c r="EOL29" s="67"/>
      <c r="EOM29" s="67"/>
      <c r="EON29" s="67"/>
      <c r="EOO29" s="67"/>
      <c r="EOP29" s="67"/>
      <c r="EOQ29" s="67"/>
      <c r="EOR29" s="67"/>
      <c r="EOS29" s="67"/>
      <c r="EOT29" s="67"/>
      <c r="EOU29" s="67"/>
      <c r="EOV29" s="67"/>
      <c r="EOW29" s="67"/>
      <c r="EOX29" s="67"/>
      <c r="EOY29" s="67"/>
      <c r="EOZ29" s="67"/>
      <c r="EPA29" s="67"/>
      <c r="EPB29" s="67"/>
      <c r="EPC29" s="67"/>
      <c r="EPD29" s="67"/>
      <c r="EPE29" s="67"/>
      <c r="EPF29" s="67"/>
      <c r="EPG29" s="67"/>
      <c r="EPH29" s="67"/>
      <c r="EPI29" s="67"/>
      <c r="EPJ29" s="67"/>
      <c r="EPK29" s="67"/>
      <c r="EPL29" s="67"/>
      <c r="EPM29" s="67"/>
      <c r="EPN29" s="67"/>
      <c r="EPO29" s="67"/>
      <c r="EPP29" s="67"/>
      <c r="EPQ29" s="67"/>
      <c r="EPR29" s="67"/>
      <c r="EPS29" s="67"/>
      <c r="EPT29" s="67"/>
      <c r="EPU29" s="67"/>
      <c r="EPV29" s="67"/>
      <c r="EPW29" s="67"/>
      <c r="EPX29" s="67"/>
      <c r="EPY29" s="67"/>
      <c r="EPZ29" s="67"/>
      <c r="EQA29" s="67"/>
      <c r="EQB29" s="67"/>
      <c r="EQC29" s="67"/>
      <c r="EQD29" s="67"/>
      <c r="EQE29" s="67"/>
      <c r="EQF29" s="67"/>
      <c r="EQG29" s="67"/>
      <c r="EQH29" s="67"/>
      <c r="EQI29" s="67"/>
      <c r="EQJ29" s="67"/>
      <c r="EQK29" s="67"/>
      <c r="EQL29" s="67"/>
      <c r="EQM29" s="67"/>
      <c r="EQN29" s="67"/>
      <c r="EQO29" s="67"/>
      <c r="EQP29" s="67"/>
      <c r="EQQ29" s="67"/>
      <c r="EQR29" s="67"/>
      <c r="EQS29" s="67"/>
      <c r="EQT29" s="67"/>
      <c r="EQU29" s="67"/>
      <c r="EQV29" s="67"/>
      <c r="EQW29" s="67"/>
      <c r="EQX29" s="67"/>
      <c r="EQY29" s="67"/>
      <c r="EQZ29" s="67"/>
      <c r="ERA29" s="67"/>
      <c r="ERB29" s="67"/>
      <c r="ERC29" s="67"/>
      <c r="ERD29" s="67"/>
      <c r="ERE29" s="67"/>
      <c r="ERF29" s="67"/>
      <c r="ERG29" s="67"/>
      <c r="ERH29" s="67"/>
      <c r="ERI29" s="67"/>
      <c r="ERJ29" s="67"/>
      <c r="ERK29" s="67"/>
      <c r="ERL29" s="67"/>
      <c r="ERM29" s="67"/>
      <c r="ERN29" s="67"/>
      <c r="ERO29" s="67"/>
      <c r="ERP29" s="67"/>
      <c r="ERQ29" s="67"/>
      <c r="ERR29" s="67"/>
      <c r="ERS29" s="67"/>
      <c r="ERT29" s="67"/>
      <c r="ERU29" s="67"/>
      <c r="ERV29" s="67"/>
      <c r="ERW29" s="67"/>
      <c r="ERX29" s="67"/>
      <c r="ERY29" s="67"/>
      <c r="ERZ29" s="67"/>
      <c r="ESA29" s="67"/>
      <c r="ESB29" s="67"/>
      <c r="ESC29" s="67"/>
      <c r="ESD29" s="67"/>
      <c r="ESE29" s="67"/>
      <c r="ESF29" s="67"/>
      <c r="ESG29" s="67"/>
      <c r="ESH29" s="67"/>
      <c r="ESI29" s="67"/>
      <c r="ESJ29" s="67"/>
      <c r="ESK29" s="67"/>
      <c r="ESL29" s="67"/>
      <c r="ESM29" s="67"/>
      <c r="ESN29" s="67"/>
      <c r="ESO29" s="67"/>
      <c r="ESP29" s="67"/>
      <c r="ESQ29" s="67"/>
      <c r="ESR29" s="67"/>
      <c r="ESS29" s="67"/>
      <c r="EST29" s="67"/>
      <c r="ESU29" s="67"/>
      <c r="ESV29" s="67"/>
      <c r="ESW29" s="67"/>
      <c r="ESX29" s="67"/>
      <c r="ESY29" s="67"/>
      <c r="ESZ29" s="67"/>
      <c r="ETA29" s="67"/>
      <c r="ETB29" s="67"/>
      <c r="ETC29" s="67"/>
      <c r="ETD29" s="67"/>
      <c r="ETE29" s="67"/>
      <c r="ETF29" s="67"/>
      <c r="ETG29" s="67"/>
      <c r="ETH29" s="67"/>
      <c r="ETI29" s="67"/>
      <c r="ETJ29" s="67"/>
      <c r="ETK29" s="67"/>
      <c r="ETL29" s="67"/>
      <c r="ETM29" s="67"/>
      <c r="ETN29" s="67"/>
      <c r="ETO29" s="67"/>
      <c r="ETP29" s="67"/>
      <c r="ETQ29" s="67"/>
      <c r="ETR29" s="67"/>
      <c r="ETS29" s="67"/>
      <c r="ETT29" s="67"/>
      <c r="ETU29" s="67"/>
      <c r="ETV29" s="67"/>
      <c r="ETW29" s="67"/>
      <c r="ETX29" s="67"/>
      <c r="ETY29" s="67"/>
      <c r="ETZ29" s="67"/>
      <c r="EUA29" s="67"/>
      <c r="EUB29" s="67"/>
      <c r="EUC29" s="67"/>
      <c r="EUD29" s="67"/>
      <c r="EUE29" s="67"/>
      <c r="EUF29" s="67"/>
      <c r="EUG29" s="67"/>
      <c r="EUH29" s="67"/>
      <c r="EUI29" s="67"/>
      <c r="EUJ29" s="67"/>
      <c r="EUK29" s="67"/>
      <c r="EUL29" s="67"/>
      <c r="EUM29" s="67"/>
      <c r="EUN29" s="67"/>
      <c r="EUO29" s="67"/>
      <c r="EUP29" s="67"/>
      <c r="EUQ29" s="67"/>
      <c r="EUR29" s="67"/>
      <c r="EUS29" s="67"/>
      <c r="EUT29" s="67"/>
      <c r="EUU29" s="67"/>
      <c r="EUV29" s="67"/>
      <c r="EUW29" s="67"/>
      <c r="EUX29" s="67"/>
      <c r="EUY29" s="67"/>
      <c r="EUZ29" s="67"/>
      <c r="EVA29" s="67"/>
      <c r="EVB29" s="67"/>
      <c r="EVC29" s="67"/>
      <c r="EVD29" s="67"/>
      <c r="EVE29" s="67"/>
      <c r="EVF29" s="67"/>
      <c r="EVG29" s="67"/>
      <c r="EVH29" s="67"/>
      <c r="EVI29" s="67"/>
      <c r="EVJ29" s="67"/>
      <c r="EVK29" s="67"/>
      <c r="EVL29" s="67"/>
      <c r="EVM29" s="67"/>
      <c r="EVN29" s="67"/>
      <c r="EVO29" s="67"/>
      <c r="EVP29" s="67"/>
      <c r="EVQ29" s="67"/>
      <c r="EVR29" s="67"/>
      <c r="EVS29" s="67"/>
      <c r="EVT29" s="67"/>
      <c r="EVU29" s="67"/>
      <c r="EVV29" s="67"/>
      <c r="EVW29" s="67"/>
      <c r="EVX29" s="67"/>
      <c r="EVY29" s="67"/>
      <c r="EVZ29" s="67"/>
      <c r="EWA29" s="67"/>
      <c r="EWB29" s="67"/>
      <c r="EWC29" s="67"/>
      <c r="EWD29" s="67"/>
      <c r="EWE29" s="67"/>
      <c r="EWF29" s="67"/>
      <c r="EWG29" s="67"/>
      <c r="EWH29" s="67"/>
      <c r="EWI29" s="67"/>
      <c r="EWJ29" s="67"/>
      <c r="EWK29" s="67"/>
      <c r="EWL29" s="67"/>
      <c r="EWM29" s="67"/>
      <c r="EWN29" s="67"/>
      <c r="EWO29" s="67"/>
      <c r="EWP29" s="67"/>
      <c r="EWQ29" s="67"/>
      <c r="EWR29" s="67"/>
      <c r="EWS29" s="67"/>
      <c r="EWT29" s="67"/>
      <c r="EWU29" s="67"/>
      <c r="EWV29" s="67"/>
      <c r="EWW29" s="67"/>
      <c r="EWX29" s="67"/>
      <c r="EWY29" s="67"/>
      <c r="EWZ29" s="67"/>
      <c r="EXA29" s="67"/>
      <c r="EXB29" s="67"/>
      <c r="EXC29" s="67"/>
      <c r="EXD29" s="67"/>
      <c r="EXE29" s="67"/>
      <c r="EXF29" s="67"/>
      <c r="EXG29" s="67"/>
      <c r="EXH29" s="67"/>
      <c r="EXI29" s="67"/>
      <c r="EXJ29" s="67"/>
      <c r="EXK29" s="67"/>
      <c r="EXL29" s="67"/>
      <c r="EXM29" s="67"/>
      <c r="EXN29" s="67"/>
      <c r="EXO29" s="67"/>
      <c r="EXP29" s="67"/>
      <c r="EXQ29" s="67"/>
      <c r="EXR29" s="67"/>
      <c r="EXS29" s="67"/>
      <c r="EXT29" s="67"/>
      <c r="EXU29" s="67"/>
      <c r="EXV29" s="67"/>
      <c r="EXW29" s="67"/>
      <c r="EXX29" s="67"/>
      <c r="EXY29" s="67"/>
      <c r="EXZ29" s="67"/>
      <c r="EYA29" s="67"/>
      <c r="EYB29" s="67"/>
      <c r="EYC29" s="67"/>
      <c r="EYD29" s="67"/>
      <c r="EYE29" s="67"/>
      <c r="EYF29" s="67"/>
      <c r="EYG29" s="67"/>
      <c r="EYH29" s="67"/>
      <c r="EYI29" s="67"/>
      <c r="EYJ29" s="67"/>
      <c r="EYK29" s="67"/>
      <c r="EYL29" s="67"/>
      <c r="EYM29" s="67"/>
      <c r="EYN29" s="67"/>
      <c r="EYO29" s="67"/>
      <c r="EYP29" s="67"/>
      <c r="EYQ29" s="67"/>
      <c r="EYR29" s="67"/>
      <c r="EYS29" s="67"/>
      <c r="EYT29" s="67"/>
      <c r="EYU29" s="67"/>
      <c r="EYV29" s="67"/>
      <c r="EYW29" s="67"/>
      <c r="EYX29" s="67"/>
      <c r="EYY29" s="67"/>
      <c r="EYZ29" s="67"/>
      <c r="EZA29" s="67"/>
      <c r="EZB29" s="67"/>
      <c r="EZC29" s="67"/>
      <c r="EZD29" s="67"/>
      <c r="EZE29" s="67"/>
      <c r="EZF29" s="67"/>
      <c r="EZG29" s="67"/>
      <c r="EZH29" s="67"/>
      <c r="EZI29" s="67"/>
      <c r="EZJ29" s="67"/>
      <c r="EZK29" s="67"/>
      <c r="EZL29" s="67"/>
      <c r="EZM29" s="67"/>
      <c r="EZN29" s="67"/>
      <c r="EZO29" s="67"/>
      <c r="EZP29" s="67"/>
      <c r="EZQ29" s="67"/>
      <c r="EZR29" s="67"/>
      <c r="EZS29" s="67"/>
      <c r="EZT29" s="67"/>
      <c r="EZU29" s="67"/>
      <c r="EZV29" s="67"/>
      <c r="EZW29" s="67"/>
      <c r="EZX29" s="67"/>
      <c r="EZY29" s="67"/>
      <c r="EZZ29" s="67"/>
      <c r="FAA29" s="67"/>
      <c r="FAB29" s="67"/>
      <c r="FAC29" s="67"/>
      <c r="FAD29" s="67"/>
      <c r="FAE29" s="67"/>
      <c r="FAF29" s="67"/>
      <c r="FAG29" s="67"/>
      <c r="FAH29" s="67"/>
      <c r="FAI29" s="67"/>
      <c r="FAJ29" s="67"/>
      <c r="FAK29" s="67"/>
      <c r="FAL29" s="67"/>
      <c r="FAM29" s="67"/>
      <c r="FAN29" s="67"/>
      <c r="FAO29" s="67"/>
      <c r="FAP29" s="67"/>
      <c r="FAQ29" s="67"/>
      <c r="FAR29" s="67"/>
      <c r="FAS29" s="67"/>
      <c r="FAT29" s="67"/>
      <c r="FAU29" s="67"/>
      <c r="FAV29" s="67"/>
      <c r="FAW29" s="67"/>
      <c r="FAX29" s="67"/>
      <c r="FAY29" s="67"/>
      <c r="FAZ29" s="67"/>
      <c r="FBA29" s="67"/>
      <c r="FBB29" s="67"/>
      <c r="FBC29" s="67"/>
      <c r="FBD29" s="67"/>
      <c r="FBE29" s="67"/>
      <c r="FBF29" s="67"/>
      <c r="FBG29" s="67"/>
      <c r="FBH29" s="67"/>
      <c r="FBI29" s="67"/>
      <c r="FBJ29" s="67"/>
      <c r="FBK29" s="67"/>
      <c r="FBL29" s="67"/>
      <c r="FBM29" s="67"/>
      <c r="FBN29" s="67"/>
      <c r="FBO29" s="67"/>
      <c r="FBP29" s="67"/>
      <c r="FBQ29" s="67"/>
      <c r="FBR29" s="67"/>
      <c r="FBS29" s="67"/>
      <c r="FBT29" s="67"/>
      <c r="FBU29" s="67"/>
      <c r="FBV29" s="67"/>
      <c r="FBW29" s="67"/>
      <c r="FBX29" s="67"/>
      <c r="FBY29" s="67"/>
      <c r="FBZ29" s="67"/>
      <c r="FCA29" s="67"/>
      <c r="FCB29" s="67"/>
      <c r="FCC29" s="67"/>
      <c r="FCD29" s="67"/>
      <c r="FCE29" s="67"/>
      <c r="FCF29" s="67"/>
      <c r="FCG29" s="67"/>
      <c r="FCH29" s="67"/>
      <c r="FCI29" s="67"/>
      <c r="FCJ29" s="67"/>
      <c r="FCK29" s="67"/>
      <c r="FCL29" s="67"/>
      <c r="FCM29" s="67"/>
      <c r="FCN29" s="67"/>
      <c r="FCO29" s="67"/>
      <c r="FCP29" s="67"/>
      <c r="FCQ29" s="67"/>
      <c r="FCR29" s="67"/>
      <c r="FCS29" s="67"/>
      <c r="FCT29" s="67"/>
      <c r="FCU29" s="67"/>
      <c r="FCV29" s="67"/>
      <c r="FCW29" s="67"/>
      <c r="FCX29" s="67"/>
      <c r="FCY29" s="67"/>
      <c r="FCZ29" s="67"/>
      <c r="FDA29" s="67"/>
      <c r="FDB29" s="67"/>
      <c r="FDC29" s="67"/>
      <c r="FDD29" s="67"/>
      <c r="FDE29" s="67"/>
      <c r="FDF29" s="67"/>
      <c r="FDG29" s="67"/>
      <c r="FDH29" s="67"/>
      <c r="FDI29" s="67"/>
      <c r="FDJ29" s="67"/>
      <c r="FDK29" s="67"/>
      <c r="FDL29" s="67"/>
      <c r="FDM29" s="67"/>
      <c r="FDN29" s="67"/>
      <c r="FDO29" s="67"/>
      <c r="FDP29" s="67"/>
      <c r="FDQ29" s="67"/>
      <c r="FDR29" s="67"/>
      <c r="FDS29" s="67"/>
      <c r="FDT29" s="67"/>
      <c r="FDU29" s="67"/>
      <c r="FDV29" s="67"/>
      <c r="FDW29" s="67"/>
      <c r="FDX29" s="67"/>
      <c r="FDY29" s="67"/>
      <c r="FDZ29" s="67"/>
      <c r="FEA29" s="67"/>
      <c r="FEB29" s="67"/>
      <c r="FEC29" s="67"/>
      <c r="FED29" s="67"/>
      <c r="FEE29" s="67"/>
      <c r="FEF29" s="67"/>
      <c r="FEG29" s="67"/>
      <c r="FEH29" s="67"/>
      <c r="FEI29" s="67"/>
      <c r="FEJ29" s="67"/>
      <c r="FEK29" s="67"/>
      <c r="FEL29" s="67"/>
      <c r="FEM29" s="67"/>
      <c r="FEN29" s="67"/>
      <c r="FEO29" s="67"/>
      <c r="FEP29" s="67"/>
      <c r="FEQ29" s="67"/>
      <c r="FER29" s="67"/>
      <c r="FES29" s="67"/>
      <c r="FET29" s="67"/>
      <c r="FEU29" s="67"/>
      <c r="FEV29" s="67"/>
      <c r="FEW29" s="67"/>
      <c r="FEX29" s="67"/>
      <c r="FEY29" s="67"/>
      <c r="FEZ29" s="67"/>
      <c r="FFA29" s="67"/>
      <c r="FFB29" s="67"/>
      <c r="FFC29" s="67"/>
      <c r="FFD29" s="67"/>
      <c r="FFE29" s="67"/>
      <c r="FFF29" s="67"/>
      <c r="FFG29" s="67"/>
      <c r="FFH29" s="67"/>
      <c r="FFI29" s="67"/>
      <c r="FFJ29" s="67"/>
      <c r="FFK29" s="67"/>
      <c r="FFL29" s="67"/>
      <c r="FFM29" s="67"/>
      <c r="FFN29" s="67"/>
      <c r="FFO29" s="67"/>
      <c r="FFP29" s="67"/>
      <c r="FFQ29" s="67"/>
      <c r="FFR29" s="67"/>
      <c r="FFS29" s="67"/>
      <c r="FFT29" s="67"/>
      <c r="FFU29" s="67"/>
      <c r="FFV29" s="67"/>
      <c r="FFW29" s="67"/>
      <c r="FFX29" s="67"/>
      <c r="FFY29" s="67"/>
      <c r="FFZ29" s="67"/>
      <c r="FGA29" s="67"/>
      <c r="FGB29" s="67"/>
      <c r="FGC29" s="67"/>
      <c r="FGD29" s="67"/>
      <c r="FGE29" s="67"/>
      <c r="FGF29" s="67"/>
      <c r="FGG29" s="67"/>
      <c r="FGH29" s="67"/>
      <c r="FGI29" s="67"/>
      <c r="FGJ29" s="67"/>
      <c r="FGK29" s="67"/>
      <c r="FGL29" s="67"/>
      <c r="FGM29" s="67"/>
      <c r="FGN29" s="67"/>
      <c r="FGO29" s="67"/>
      <c r="FGP29" s="67"/>
      <c r="FGQ29" s="67"/>
      <c r="FGR29" s="67"/>
      <c r="FGS29" s="67"/>
      <c r="FGT29" s="67"/>
      <c r="FGU29" s="67"/>
      <c r="FGV29" s="67"/>
      <c r="FGW29" s="67"/>
      <c r="FGX29" s="67"/>
      <c r="FGY29" s="67"/>
      <c r="FGZ29" s="67"/>
      <c r="FHA29" s="67"/>
      <c r="FHB29" s="67"/>
      <c r="FHC29" s="67"/>
      <c r="FHD29" s="67"/>
      <c r="FHE29" s="67"/>
      <c r="FHF29" s="67"/>
      <c r="FHG29" s="67"/>
      <c r="FHH29" s="67"/>
      <c r="FHI29" s="67"/>
      <c r="FHJ29" s="67"/>
      <c r="FHK29" s="67"/>
      <c r="FHL29" s="67"/>
      <c r="FHM29" s="67"/>
      <c r="FHN29" s="67"/>
      <c r="FHO29" s="67"/>
      <c r="FHP29" s="67"/>
      <c r="FHQ29" s="67"/>
      <c r="FHR29" s="67"/>
      <c r="FHS29" s="67"/>
      <c r="FHT29" s="67"/>
      <c r="FHU29" s="67"/>
      <c r="FHV29" s="67"/>
      <c r="FHW29" s="67"/>
      <c r="FHX29" s="67"/>
      <c r="FHY29" s="67"/>
      <c r="FHZ29" s="67"/>
      <c r="FIA29" s="67"/>
      <c r="FIB29" s="67"/>
      <c r="FIC29" s="67"/>
      <c r="FID29" s="67"/>
      <c r="FIE29" s="67"/>
      <c r="FIF29" s="67"/>
      <c r="FIG29" s="67"/>
      <c r="FIH29" s="67"/>
      <c r="FII29" s="67"/>
      <c r="FIJ29" s="67"/>
      <c r="FIK29" s="67"/>
      <c r="FIL29" s="67"/>
      <c r="FIM29" s="67"/>
      <c r="FIN29" s="67"/>
      <c r="FIO29" s="67"/>
      <c r="FIP29" s="67"/>
      <c r="FIQ29" s="67"/>
      <c r="FIR29" s="67"/>
      <c r="FIS29" s="67"/>
      <c r="FIT29" s="67"/>
      <c r="FIU29" s="67"/>
      <c r="FIV29" s="67"/>
      <c r="FIW29" s="67"/>
      <c r="FIX29" s="67"/>
      <c r="FIY29" s="67"/>
      <c r="FIZ29" s="67"/>
      <c r="FJA29" s="67"/>
      <c r="FJB29" s="67"/>
      <c r="FJC29" s="67"/>
      <c r="FJD29" s="67"/>
      <c r="FJE29" s="67"/>
      <c r="FJF29" s="67"/>
      <c r="FJG29" s="67"/>
      <c r="FJH29" s="67"/>
      <c r="FJI29" s="67"/>
      <c r="FJJ29" s="67"/>
      <c r="FJK29" s="67"/>
      <c r="FJL29" s="67"/>
      <c r="FJM29" s="67"/>
      <c r="FJN29" s="67"/>
      <c r="FJO29" s="67"/>
      <c r="FJP29" s="67"/>
      <c r="FJQ29" s="67"/>
      <c r="FJR29" s="67"/>
      <c r="FJS29" s="67"/>
      <c r="FJT29" s="67"/>
      <c r="FJU29" s="67"/>
      <c r="FJV29" s="67"/>
      <c r="FJW29" s="67"/>
      <c r="FJX29" s="67"/>
      <c r="FJY29" s="67"/>
      <c r="FJZ29" s="67"/>
      <c r="FKA29" s="67"/>
      <c r="FKB29" s="67"/>
      <c r="FKC29" s="67"/>
      <c r="FKD29" s="67"/>
      <c r="FKE29" s="67"/>
      <c r="FKF29" s="67"/>
      <c r="FKG29" s="67"/>
      <c r="FKH29" s="67"/>
      <c r="FKI29" s="67"/>
      <c r="FKJ29" s="67"/>
      <c r="FKK29" s="67"/>
      <c r="FKL29" s="67"/>
      <c r="FKM29" s="67"/>
      <c r="FKN29" s="67"/>
      <c r="FKO29" s="67"/>
      <c r="FKP29" s="67"/>
      <c r="FKQ29" s="67"/>
      <c r="FKR29" s="67"/>
      <c r="FKS29" s="67"/>
      <c r="FKT29" s="67"/>
      <c r="FKU29" s="67"/>
      <c r="FKV29" s="67"/>
      <c r="FKW29" s="67"/>
      <c r="FKX29" s="67"/>
      <c r="FKY29" s="67"/>
      <c r="FKZ29" s="67"/>
      <c r="FLA29" s="67"/>
      <c r="FLB29" s="67"/>
      <c r="FLC29" s="67"/>
      <c r="FLD29" s="67"/>
      <c r="FLE29" s="67"/>
      <c r="FLF29" s="67"/>
      <c r="FLG29" s="67"/>
      <c r="FLH29" s="67"/>
      <c r="FLI29" s="67"/>
      <c r="FLJ29" s="67"/>
      <c r="FLK29" s="67"/>
      <c r="FLL29" s="67"/>
      <c r="FLM29" s="67"/>
      <c r="FLN29" s="67"/>
      <c r="FLO29" s="67"/>
      <c r="FLP29" s="67"/>
      <c r="FLQ29" s="67"/>
      <c r="FLR29" s="67"/>
      <c r="FLS29" s="67"/>
      <c r="FLT29" s="67"/>
      <c r="FLU29" s="67"/>
      <c r="FLV29" s="67"/>
      <c r="FLW29" s="67"/>
      <c r="FLX29" s="67"/>
      <c r="FLY29" s="67"/>
      <c r="FLZ29" s="67"/>
      <c r="FMA29" s="67"/>
      <c r="FMB29" s="67"/>
      <c r="FMC29" s="67"/>
      <c r="FMD29" s="67"/>
      <c r="FME29" s="67"/>
      <c r="FMF29" s="67"/>
      <c r="FMG29" s="67"/>
      <c r="FMH29" s="67"/>
      <c r="FMI29" s="67"/>
      <c r="FMJ29" s="67"/>
      <c r="FMK29" s="67"/>
      <c r="FML29" s="67"/>
      <c r="FMM29" s="67"/>
      <c r="FMN29" s="67"/>
      <c r="FMO29" s="67"/>
      <c r="FMP29" s="67"/>
      <c r="FMQ29" s="67"/>
      <c r="FMR29" s="67"/>
      <c r="FMS29" s="67"/>
      <c r="FMT29" s="67"/>
      <c r="FMU29" s="67"/>
      <c r="FMV29" s="67"/>
      <c r="FMW29" s="67"/>
      <c r="FMX29" s="67"/>
      <c r="FMY29" s="67"/>
      <c r="FMZ29" s="67"/>
      <c r="FNA29" s="67"/>
      <c r="FNB29" s="67"/>
      <c r="FNC29" s="67"/>
      <c r="FND29" s="67"/>
      <c r="FNE29" s="67"/>
      <c r="FNF29" s="67"/>
      <c r="FNG29" s="67"/>
      <c r="FNH29" s="67"/>
      <c r="FNI29" s="67"/>
      <c r="FNJ29" s="67"/>
      <c r="FNK29" s="67"/>
      <c r="FNL29" s="67"/>
      <c r="FNM29" s="67"/>
      <c r="FNN29" s="67"/>
      <c r="FNO29" s="67"/>
      <c r="FNP29" s="67"/>
      <c r="FNQ29" s="67"/>
      <c r="FNR29" s="67"/>
      <c r="FNS29" s="67"/>
      <c r="FNT29" s="67"/>
      <c r="FNU29" s="67"/>
      <c r="FNV29" s="67"/>
      <c r="FNW29" s="67"/>
      <c r="FNX29" s="67"/>
      <c r="FNY29" s="67"/>
      <c r="FNZ29" s="67"/>
      <c r="FOA29" s="67"/>
      <c r="FOB29" s="67"/>
      <c r="FOC29" s="67"/>
      <c r="FOD29" s="67"/>
      <c r="FOE29" s="67"/>
      <c r="FOF29" s="67"/>
      <c r="FOG29" s="67"/>
      <c r="FOH29" s="67"/>
      <c r="FOI29" s="67"/>
      <c r="FOJ29" s="67"/>
      <c r="FOK29" s="67"/>
      <c r="FOL29" s="67"/>
      <c r="FOM29" s="67"/>
      <c r="FON29" s="67"/>
      <c r="FOO29" s="67"/>
      <c r="FOP29" s="67"/>
      <c r="FOQ29" s="67"/>
      <c r="FOR29" s="67"/>
      <c r="FOS29" s="67"/>
      <c r="FOT29" s="67"/>
      <c r="FOU29" s="67"/>
      <c r="FOV29" s="67"/>
      <c r="FOW29" s="67"/>
      <c r="FOX29" s="67"/>
      <c r="FOY29" s="67"/>
      <c r="FOZ29" s="67"/>
      <c r="FPA29" s="67"/>
      <c r="FPB29" s="67"/>
      <c r="FPC29" s="67"/>
      <c r="FPD29" s="67"/>
      <c r="FPE29" s="67"/>
      <c r="FPF29" s="67"/>
      <c r="FPG29" s="67"/>
      <c r="FPH29" s="67"/>
      <c r="FPI29" s="67"/>
      <c r="FPJ29" s="67"/>
      <c r="FPK29" s="67"/>
      <c r="FPL29" s="67"/>
      <c r="FPM29" s="67"/>
      <c r="FPN29" s="67"/>
      <c r="FPO29" s="67"/>
      <c r="FPP29" s="67"/>
      <c r="FPQ29" s="67"/>
      <c r="FPR29" s="67"/>
      <c r="FPS29" s="67"/>
      <c r="FPT29" s="67"/>
      <c r="FPU29" s="67"/>
      <c r="FPV29" s="67"/>
      <c r="FPW29" s="67"/>
      <c r="FPX29" s="67"/>
      <c r="FPY29" s="67"/>
      <c r="FPZ29" s="67"/>
      <c r="FQA29" s="67"/>
      <c r="FQB29" s="67"/>
      <c r="FQC29" s="67"/>
      <c r="FQD29" s="67"/>
      <c r="FQE29" s="67"/>
      <c r="FQF29" s="67"/>
      <c r="FQG29" s="67"/>
      <c r="FQH29" s="67"/>
      <c r="FQI29" s="67"/>
      <c r="FQJ29" s="67"/>
      <c r="FQK29" s="67"/>
      <c r="FQL29" s="67"/>
      <c r="FQM29" s="67"/>
      <c r="FQN29" s="67"/>
      <c r="FQO29" s="67"/>
      <c r="FQP29" s="67"/>
      <c r="FQQ29" s="67"/>
      <c r="FQR29" s="67"/>
      <c r="FQS29" s="67"/>
      <c r="FQT29" s="67"/>
      <c r="FQU29" s="67"/>
      <c r="FQV29" s="67"/>
      <c r="FQW29" s="67"/>
      <c r="FQX29" s="67"/>
      <c r="FQY29" s="67"/>
      <c r="FQZ29" s="67"/>
      <c r="FRA29" s="67"/>
      <c r="FRB29" s="67"/>
      <c r="FRC29" s="67"/>
      <c r="FRD29" s="67"/>
      <c r="FRE29" s="67"/>
      <c r="FRF29" s="67"/>
      <c r="FRG29" s="67"/>
      <c r="FRH29" s="67"/>
      <c r="FRI29" s="67"/>
      <c r="FRJ29" s="67"/>
      <c r="FRK29" s="67"/>
      <c r="FRL29" s="67"/>
      <c r="FRM29" s="67"/>
      <c r="FRN29" s="67"/>
      <c r="FRO29" s="67"/>
      <c r="FRP29" s="67"/>
      <c r="FRQ29" s="67"/>
      <c r="FRR29" s="67"/>
      <c r="FRS29" s="67"/>
      <c r="FRT29" s="67"/>
      <c r="FRU29" s="67"/>
      <c r="FRV29" s="67"/>
      <c r="FRW29" s="67"/>
      <c r="FRX29" s="67"/>
      <c r="FRY29" s="67"/>
      <c r="FRZ29" s="67"/>
      <c r="FSA29" s="67"/>
      <c r="FSB29" s="67"/>
      <c r="FSC29" s="67"/>
      <c r="FSD29" s="67"/>
      <c r="FSE29" s="67"/>
      <c r="FSF29" s="67"/>
      <c r="FSG29" s="67"/>
      <c r="FSH29" s="67"/>
      <c r="FSI29" s="67"/>
      <c r="FSJ29" s="67"/>
      <c r="FSK29" s="67"/>
      <c r="FSL29" s="67"/>
      <c r="FSM29" s="67"/>
      <c r="FSN29" s="67"/>
      <c r="FSO29" s="67"/>
      <c r="FSP29" s="67"/>
      <c r="FSQ29" s="67"/>
      <c r="FSR29" s="67"/>
      <c r="FSS29" s="67"/>
      <c r="FST29" s="67"/>
      <c r="FSU29" s="67"/>
      <c r="FSV29" s="67"/>
      <c r="FSW29" s="67"/>
      <c r="FSX29" s="67"/>
      <c r="FSY29" s="67"/>
      <c r="FSZ29" s="67"/>
      <c r="FTA29" s="67"/>
      <c r="FTB29" s="67"/>
      <c r="FTC29" s="67"/>
      <c r="FTD29" s="67"/>
      <c r="FTE29" s="67"/>
      <c r="FTF29" s="67"/>
      <c r="FTG29" s="67"/>
      <c r="FTH29" s="67"/>
      <c r="FTI29" s="67"/>
      <c r="FTJ29" s="67"/>
      <c r="FTK29" s="67"/>
      <c r="FTL29" s="67"/>
      <c r="FTM29" s="67"/>
      <c r="FTN29" s="67"/>
      <c r="FTO29" s="67"/>
      <c r="FTP29" s="67"/>
      <c r="FTQ29" s="67"/>
      <c r="FTR29" s="67"/>
      <c r="FTS29" s="67"/>
      <c r="FTT29" s="67"/>
      <c r="FTU29" s="67"/>
      <c r="FTV29" s="67"/>
      <c r="FTW29" s="67"/>
      <c r="FTX29" s="67"/>
      <c r="FTY29" s="67"/>
      <c r="FTZ29" s="67"/>
      <c r="FUA29" s="67"/>
      <c r="FUB29" s="67"/>
      <c r="FUC29" s="67"/>
      <c r="FUD29" s="67"/>
      <c r="FUE29" s="67"/>
      <c r="FUF29" s="67"/>
      <c r="FUG29" s="67"/>
      <c r="FUH29" s="67"/>
      <c r="FUI29" s="67"/>
      <c r="FUJ29" s="67"/>
      <c r="FUK29" s="67"/>
      <c r="FUL29" s="67"/>
      <c r="FUM29" s="67"/>
      <c r="FUN29" s="67"/>
      <c r="FUO29" s="67"/>
      <c r="FUP29" s="67"/>
      <c r="FUQ29" s="67"/>
      <c r="FUR29" s="67"/>
      <c r="FUS29" s="67"/>
      <c r="FUT29" s="67"/>
      <c r="FUU29" s="67"/>
      <c r="FUV29" s="67"/>
      <c r="FUW29" s="67"/>
      <c r="FUX29" s="67"/>
      <c r="FUY29" s="67"/>
      <c r="FUZ29" s="67"/>
      <c r="FVA29" s="67"/>
      <c r="FVB29" s="67"/>
      <c r="FVC29" s="67"/>
      <c r="FVD29" s="67"/>
      <c r="FVE29" s="67"/>
      <c r="FVF29" s="67"/>
      <c r="FVG29" s="67"/>
      <c r="FVH29" s="67"/>
      <c r="FVI29" s="67"/>
      <c r="FVJ29" s="67"/>
      <c r="FVK29" s="67"/>
      <c r="FVL29" s="67"/>
      <c r="FVM29" s="67"/>
      <c r="FVN29" s="67"/>
      <c r="FVO29" s="67"/>
      <c r="FVP29" s="67"/>
      <c r="FVQ29" s="67"/>
      <c r="FVR29" s="67"/>
      <c r="FVS29" s="67"/>
      <c r="FVT29" s="67"/>
      <c r="FVU29" s="67"/>
      <c r="FVV29" s="67"/>
      <c r="FVW29" s="67"/>
      <c r="FVX29" s="67"/>
      <c r="FVY29" s="67"/>
      <c r="FVZ29" s="67"/>
      <c r="FWA29" s="67"/>
      <c r="FWB29" s="67"/>
      <c r="FWC29" s="67"/>
      <c r="FWD29" s="67"/>
      <c r="FWE29" s="67"/>
      <c r="FWF29" s="67"/>
      <c r="FWG29" s="67"/>
      <c r="FWH29" s="67"/>
      <c r="FWI29" s="67"/>
      <c r="FWJ29" s="67"/>
      <c r="FWK29" s="67"/>
      <c r="FWL29" s="67"/>
      <c r="FWM29" s="67"/>
      <c r="FWN29" s="67"/>
      <c r="FWO29" s="67"/>
      <c r="FWP29" s="67"/>
      <c r="FWQ29" s="67"/>
      <c r="FWR29" s="67"/>
      <c r="FWS29" s="67"/>
      <c r="FWT29" s="67"/>
      <c r="FWU29" s="67"/>
      <c r="FWV29" s="67"/>
      <c r="FWW29" s="67"/>
      <c r="FWX29" s="67"/>
      <c r="FWY29" s="67"/>
      <c r="FWZ29" s="67"/>
      <c r="FXA29" s="67"/>
      <c r="FXB29" s="67"/>
      <c r="FXC29" s="67"/>
      <c r="FXD29" s="67"/>
      <c r="FXE29" s="67"/>
      <c r="FXF29" s="67"/>
      <c r="FXG29" s="67"/>
      <c r="FXH29" s="67"/>
      <c r="FXI29" s="67"/>
      <c r="FXJ29" s="67"/>
      <c r="FXK29" s="67"/>
      <c r="FXL29" s="67"/>
      <c r="FXM29" s="67"/>
      <c r="FXN29" s="67"/>
      <c r="FXO29" s="67"/>
      <c r="FXP29" s="67"/>
      <c r="FXQ29" s="67"/>
      <c r="FXR29" s="67"/>
      <c r="FXS29" s="67"/>
      <c r="FXT29" s="67"/>
      <c r="FXU29" s="67"/>
      <c r="FXV29" s="67"/>
      <c r="FXW29" s="67"/>
      <c r="FXX29" s="67"/>
      <c r="FXY29" s="67"/>
      <c r="FXZ29" s="67"/>
      <c r="FYA29" s="67"/>
      <c r="FYB29" s="67"/>
      <c r="FYC29" s="67"/>
      <c r="FYD29" s="67"/>
      <c r="FYE29" s="67"/>
      <c r="FYF29" s="67"/>
      <c r="FYG29" s="67"/>
      <c r="FYH29" s="67"/>
      <c r="FYI29" s="67"/>
      <c r="FYJ29" s="67"/>
      <c r="FYK29" s="67"/>
      <c r="FYL29" s="67"/>
      <c r="FYM29" s="67"/>
      <c r="FYN29" s="67"/>
      <c r="FYO29" s="67"/>
      <c r="FYP29" s="67"/>
      <c r="FYQ29" s="67"/>
      <c r="FYR29" s="67"/>
      <c r="FYS29" s="67"/>
      <c r="FYT29" s="67"/>
      <c r="FYU29" s="67"/>
      <c r="FYV29" s="67"/>
      <c r="FYW29" s="67"/>
      <c r="FYX29" s="67"/>
      <c r="FYY29" s="67"/>
      <c r="FYZ29" s="67"/>
      <c r="FZA29" s="67"/>
      <c r="FZB29" s="67"/>
      <c r="FZC29" s="67"/>
      <c r="FZD29" s="67"/>
      <c r="FZE29" s="67"/>
      <c r="FZF29" s="67"/>
      <c r="FZG29" s="67"/>
      <c r="FZH29" s="67"/>
      <c r="FZI29" s="67"/>
      <c r="FZJ29" s="67"/>
      <c r="FZK29" s="67"/>
      <c r="FZL29" s="67"/>
      <c r="FZM29" s="67"/>
      <c r="FZN29" s="67"/>
      <c r="FZO29" s="67"/>
      <c r="FZP29" s="67"/>
      <c r="FZQ29" s="67"/>
      <c r="FZR29" s="67"/>
      <c r="FZS29" s="67"/>
      <c r="FZT29" s="67"/>
      <c r="FZU29" s="67"/>
      <c r="FZV29" s="67"/>
      <c r="FZW29" s="67"/>
      <c r="FZX29" s="67"/>
      <c r="FZY29" s="67"/>
      <c r="FZZ29" s="67"/>
      <c r="GAA29" s="67"/>
      <c r="GAB29" s="67"/>
      <c r="GAC29" s="67"/>
      <c r="GAD29" s="67"/>
      <c r="GAE29" s="67"/>
      <c r="GAF29" s="67"/>
      <c r="GAG29" s="67"/>
      <c r="GAH29" s="67"/>
      <c r="GAI29" s="67"/>
      <c r="GAJ29" s="67"/>
      <c r="GAK29" s="67"/>
      <c r="GAL29" s="67"/>
      <c r="GAM29" s="67"/>
      <c r="GAN29" s="67"/>
      <c r="GAO29" s="67"/>
      <c r="GAP29" s="67"/>
      <c r="GAQ29" s="67"/>
      <c r="GAR29" s="67"/>
      <c r="GAS29" s="67"/>
      <c r="GAT29" s="67"/>
      <c r="GAU29" s="67"/>
      <c r="GAV29" s="67"/>
      <c r="GAW29" s="67"/>
      <c r="GAX29" s="67"/>
      <c r="GAY29" s="67"/>
      <c r="GAZ29" s="67"/>
      <c r="GBA29" s="67"/>
      <c r="GBB29" s="67"/>
      <c r="GBC29" s="67"/>
      <c r="GBD29" s="67"/>
      <c r="GBE29" s="67"/>
      <c r="GBF29" s="67"/>
      <c r="GBG29" s="67"/>
      <c r="GBH29" s="67"/>
      <c r="GBI29" s="67"/>
      <c r="GBJ29" s="67"/>
      <c r="GBK29" s="67"/>
      <c r="GBL29" s="67"/>
      <c r="GBM29" s="67"/>
      <c r="GBN29" s="67"/>
      <c r="GBO29" s="67"/>
      <c r="GBP29" s="67"/>
      <c r="GBQ29" s="67"/>
      <c r="GBR29" s="67"/>
      <c r="GBS29" s="67"/>
      <c r="GBT29" s="67"/>
      <c r="GBU29" s="67"/>
      <c r="GBV29" s="67"/>
      <c r="GBW29" s="67"/>
      <c r="GBX29" s="67"/>
      <c r="GBY29" s="67"/>
      <c r="GBZ29" s="67"/>
      <c r="GCA29" s="67"/>
      <c r="GCB29" s="67"/>
      <c r="GCC29" s="67"/>
      <c r="GCD29" s="67"/>
      <c r="GCE29" s="67"/>
      <c r="GCF29" s="67"/>
      <c r="GCG29" s="67"/>
      <c r="GCH29" s="67"/>
      <c r="GCI29" s="67"/>
      <c r="GCJ29" s="67"/>
      <c r="GCK29" s="67"/>
      <c r="GCL29" s="67"/>
      <c r="GCM29" s="67"/>
      <c r="GCN29" s="67"/>
      <c r="GCO29" s="67"/>
      <c r="GCP29" s="67"/>
      <c r="GCQ29" s="67"/>
      <c r="GCR29" s="67"/>
      <c r="GCS29" s="67"/>
      <c r="GCT29" s="67"/>
      <c r="GCU29" s="67"/>
      <c r="GCV29" s="67"/>
      <c r="GCW29" s="67"/>
      <c r="GCX29" s="67"/>
      <c r="GCY29" s="67"/>
      <c r="GCZ29" s="67"/>
      <c r="GDA29" s="67"/>
      <c r="GDB29" s="67"/>
      <c r="GDC29" s="67"/>
      <c r="GDD29" s="67"/>
      <c r="GDE29" s="67"/>
      <c r="GDF29" s="67"/>
      <c r="GDG29" s="67"/>
      <c r="GDH29" s="67"/>
      <c r="GDI29" s="67"/>
      <c r="GDJ29" s="67"/>
      <c r="GDK29" s="67"/>
      <c r="GDL29" s="67"/>
      <c r="GDM29" s="67"/>
      <c r="GDN29" s="67"/>
      <c r="GDO29" s="67"/>
      <c r="GDP29" s="67"/>
      <c r="GDQ29" s="67"/>
      <c r="GDR29" s="67"/>
      <c r="GDS29" s="67"/>
      <c r="GDT29" s="67"/>
      <c r="GDU29" s="67"/>
      <c r="GDV29" s="67"/>
      <c r="GDW29" s="67"/>
      <c r="GDX29" s="67"/>
      <c r="GDY29" s="67"/>
      <c r="GDZ29" s="67"/>
      <c r="GEA29" s="67"/>
      <c r="GEB29" s="67"/>
      <c r="GEC29" s="67"/>
      <c r="GED29" s="67"/>
      <c r="GEE29" s="67"/>
      <c r="GEF29" s="67"/>
      <c r="GEG29" s="67"/>
      <c r="GEH29" s="67"/>
      <c r="GEI29" s="67"/>
      <c r="GEJ29" s="67"/>
      <c r="GEK29" s="67"/>
      <c r="GEL29" s="67"/>
      <c r="GEM29" s="67"/>
      <c r="GEN29" s="67"/>
      <c r="GEO29" s="67"/>
      <c r="GEP29" s="67"/>
      <c r="GEQ29" s="67"/>
      <c r="GER29" s="67"/>
      <c r="GES29" s="67"/>
      <c r="GET29" s="67"/>
      <c r="GEU29" s="67"/>
      <c r="GEV29" s="67"/>
      <c r="GEW29" s="67"/>
      <c r="GEX29" s="67"/>
      <c r="GEY29" s="67"/>
      <c r="GEZ29" s="67"/>
      <c r="GFA29" s="67"/>
      <c r="GFB29" s="67"/>
      <c r="GFC29" s="67"/>
      <c r="GFD29" s="67"/>
      <c r="GFE29" s="67"/>
      <c r="GFF29" s="67"/>
      <c r="GFG29" s="67"/>
      <c r="GFH29" s="67"/>
      <c r="GFI29" s="67"/>
      <c r="GFJ29" s="67"/>
      <c r="GFK29" s="67"/>
      <c r="GFL29" s="67"/>
      <c r="GFM29" s="67"/>
      <c r="GFN29" s="67"/>
      <c r="GFO29" s="67"/>
      <c r="GFP29" s="67"/>
      <c r="GFQ29" s="67"/>
      <c r="GFR29" s="67"/>
      <c r="GFS29" s="67"/>
      <c r="GFT29" s="67"/>
      <c r="GFU29" s="67"/>
      <c r="GFV29" s="67"/>
      <c r="GFW29" s="67"/>
      <c r="GFX29" s="67"/>
      <c r="GFY29" s="67"/>
      <c r="GFZ29" s="67"/>
      <c r="GGA29" s="67"/>
      <c r="GGB29" s="67"/>
      <c r="GGC29" s="67"/>
      <c r="GGD29" s="67"/>
      <c r="GGE29" s="67"/>
      <c r="GGF29" s="67"/>
      <c r="GGG29" s="67"/>
      <c r="GGH29" s="67"/>
      <c r="GGI29" s="67"/>
      <c r="GGJ29" s="67"/>
      <c r="GGK29" s="67"/>
      <c r="GGL29" s="67"/>
      <c r="GGM29" s="67"/>
      <c r="GGN29" s="67"/>
      <c r="GGO29" s="67"/>
      <c r="GGP29" s="67"/>
      <c r="GGQ29" s="67"/>
      <c r="GGR29" s="67"/>
      <c r="GGS29" s="67"/>
      <c r="GGT29" s="67"/>
      <c r="GGU29" s="67"/>
      <c r="GGV29" s="67"/>
      <c r="GGW29" s="67"/>
      <c r="GGX29" s="67"/>
      <c r="GGY29" s="67"/>
      <c r="GGZ29" s="67"/>
      <c r="GHA29" s="67"/>
      <c r="GHB29" s="67"/>
      <c r="GHC29" s="67"/>
      <c r="GHD29" s="67"/>
      <c r="GHE29" s="67"/>
      <c r="GHF29" s="67"/>
      <c r="GHG29" s="67"/>
      <c r="GHH29" s="67"/>
      <c r="GHI29" s="67"/>
      <c r="GHJ29" s="67"/>
      <c r="GHK29" s="67"/>
      <c r="GHL29" s="67"/>
      <c r="GHM29" s="67"/>
      <c r="GHN29" s="67"/>
      <c r="GHO29" s="67"/>
      <c r="GHP29" s="67"/>
      <c r="GHQ29" s="67"/>
      <c r="GHR29" s="67"/>
      <c r="GHS29" s="67"/>
      <c r="GHT29" s="67"/>
      <c r="GHU29" s="67"/>
      <c r="GHV29" s="67"/>
      <c r="GHW29" s="67"/>
      <c r="GHX29" s="67"/>
      <c r="GHY29" s="67"/>
      <c r="GHZ29" s="67"/>
      <c r="GIA29" s="67"/>
      <c r="GIB29" s="67"/>
      <c r="GIC29" s="67"/>
      <c r="GID29" s="67"/>
      <c r="GIE29" s="67"/>
      <c r="GIF29" s="67"/>
      <c r="GIG29" s="67"/>
      <c r="GIH29" s="67"/>
      <c r="GII29" s="67"/>
      <c r="GIJ29" s="67"/>
      <c r="GIK29" s="67"/>
      <c r="GIL29" s="67"/>
      <c r="GIM29" s="67"/>
      <c r="GIN29" s="67"/>
      <c r="GIO29" s="67"/>
      <c r="GIP29" s="67"/>
      <c r="GIQ29" s="67"/>
      <c r="GIR29" s="67"/>
      <c r="GIS29" s="67"/>
      <c r="GIT29" s="67"/>
      <c r="GIU29" s="67"/>
      <c r="GIV29" s="67"/>
      <c r="GIW29" s="67"/>
      <c r="GIX29" s="67"/>
      <c r="GIY29" s="67"/>
      <c r="GIZ29" s="67"/>
      <c r="GJA29" s="67"/>
      <c r="GJB29" s="67"/>
      <c r="GJC29" s="67"/>
      <c r="GJD29" s="67"/>
      <c r="GJE29" s="67"/>
      <c r="GJF29" s="67"/>
      <c r="GJG29" s="67"/>
      <c r="GJH29" s="67"/>
      <c r="GJI29" s="67"/>
      <c r="GJJ29" s="67"/>
      <c r="GJK29" s="67"/>
      <c r="GJL29" s="67"/>
      <c r="GJM29" s="67"/>
      <c r="GJN29" s="67"/>
      <c r="GJO29" s="67"/>
      <c r="GJP29" s="67"/>
      <c r="GJQ29" s="67"/>
      <c r="GJR29" s="67"/>
      <c r="GJS29" s="67"/>
      <c r="GJT29" s="67"/>
      <c r="GJU29" s="67"/>
      <c r="GJV29" s="67"/>
      <c r="GJW29" s="67"/>
      <c r="GJX29" s="67"/>
      <c r="GJY29" s="67"/>
      <c r="GJZ29" s="67"/>
      <c r="GKA29" s="67"/>
      <c r="GKB29" s="67"/>
      <c r="GKC29" s="67"/>
      <c r="GKD29" s="67"/>
      <c r="GKE29" s="67"/>
      <c r="GKF29" s="67"/>
      <c r="GKG29" s="67"/>
      <c r="GKH29" s="67"/>
      <c r="GKI29" s="67"/>
      <c r="GKJ29" s="67"/>
      <c r="GKK29" s="67"/>
      <c r="GKL29" s="67"/>
      <c r="GKM29" s="67"/>
      <c r="GKN29" s="67"/>
      <c r="GKO29" s="67"/>
      <c r="GKP29" s="67"/>
      <c r="GKQ29" s="67"/>
      <c r="GKR29" s="67"/>
      <c r="GKS29" s="67"/>
      <c r="GKT29" s="67"/>
      <c r="GKU29" s="67"/>
      <c r="GKV29" s="67"/>
      <c r="GKW29" s="67"/>
      <c r="GKX29" s="67"/>
      <c r="GKY29" s="67"/>
      <c r="GKZ29" s="67"/>
      <c r="GLA29" s="67"/>
      <c r="GLB29" s="67"/>
      <c r="GLC29" s="67"/>
      <c r="GLD29" s="67"/>
      <c r="GLE29" s="67"/>
      <c r="GLF29" s="67"/>
      <c r="GLG29" s="67"/>
      <c r="GLH29" s="67"/>
      <c r="GLI29" s="67"/>
      <c r="GLJ29" s="67"/>
      <c r="GLK29" s="67"/>
      <c r="GLL29" s="67"/>
      <c r="GLM29" s="67"/>
      <c r="GLN29" s="67"/>
      <c r="GLO29" s="67"/>
      <c r="GLP29" s="67"/>
      <c r="GLQ29" s="67"/>
      <c r="GLR29" s="67"/>
      <c r="GLS29" s="67"/>
      <c r="GLT29" s="67"/>
      <c r="GLU29" s="67"/>
      <c r="GLV29" s="67"/>
      <c r="GLW29" s="67"/>
      <c r="GLX29" s="67"/>
      <c r="GLY29" s="67"/>
      <c r="GLZ29" s="67"/>
      <c r="GMA29" s="67"/>
      <c r="GMB29" s="67"/>
      <c r="GMC29" s="67"/>
      <c r="GMD29" s="67"/>
      <c r="GME29" s="67"/>
      <c r="GMF29" s="67"/>
      <c r="GMG29" s="67"/>
      <c r="GMH29" s="67"/>
      <c r="GMI29" s="67"/>
      <c r="GMJ29" s="67"/>
      <c r="GMK29" s="67"/>
      <c r="GML29" s="67"/>
      <c r="GMM29" s="67"/>
      <c r="GMN29" s="67"/>
      <c r="GMO29" s="67"/>
      <c r="GMP29" s="67"/>
      <c r="GMQ29" s="67"/>
      <c r="GMR29" s="67"/>
      <c r="GMS29" s="67"/>
      <c r="GMT29" s="67"/>
      <c r="GMU29" s="67"/>
      <c r="GMV29" s="67"/>
      <c r="GMW29" s="67"/>
      <c r="GMX29" s="67"/>
      <c r="GMY29" s="67"/>
      <c r="GMZ29" s="67"/>
      <c r="GNA29" s="67"/>
      <c r="GNB29" s="67"/>
      <c r="GNC29" s="67"/>
      <c r="GND29" s="67"/>
      <c r="GNE29" s="67"/>
      <c r="GNF29" s="67"/>
      <c r="GNG29" s="67"/>
      <c r="GNH29" s="67"/>
      <c r="GNI29" s="67"/>
      <c r="GNJ29" s="67"/>
      <c r="GNK29" s="67"/>
      <c r="GNL29" s="67"/>
      <c r="GNM29" s="67"/>
      <c r="GNN29" s="67"/>
      <c r="GNO29" s="67"/>
      <c r="GNP29" s="67"/>
      <c r="GNQ29" s="67"/>
      <c r="GNR29" s="67"/>
      <c r="GNS29" s="67"/>
      <c r="GNT29" s="67"/>
      <c r="GNU29" s="67"/>
      <c r="GNV29" s="67"/>
      <c r="GNW29" s="67"/>
      <c r="GNX29" s="67"/>
      <c r="GNY29" s="67"/>
      <c r="GNZ29" s="67"/>
      <c r="GOA29" s="67"/>
      <c r="GOB29" s="67"/>
      <c r="GOC29" s="67"/>
      <c r="GOD29" s="67"/>
      <c r="GOE29" s="67"/>
      <c r="GOF29" s="67"/>
      <c r="GOG29" s="67"/>
      <c r="GOH29" s="67"/>
      <c r="GOI29" s="67"/>
      <c r="GOJ29" s="67"/>
      <c r="GOK29" s="67"/>
      <c r="GOL29" s="67"/>
      <c r="GOM29" s="67"/>
      <c r="GON29" s="67"/>
      <c r="GOO29" s="67"/>
      <c r="GOP29" s="67"/>
      <c r="GOQ29" s="67"/>
      <c r="GOR29" s="67"/>
      <c r="GOS29" s="67"/>
      <c r="GOT29" s="67"/>
      <c r="GOU29" s="67"/>
      <c r="GOV29" s="67"/>
      <c r="GOW29" s="67"/>
      <c r="GOX29" s="67"/>
      <c r="GOY29" s="67"/>
      <c r="GOZ29" s="67"/>
      <c r="GPA29" s="67"/>
      <c r="GPB29" s="67"/>
      <c r="GPC29" s="67"/>
      <c r="GPD29" s="67"/>
      <c r="GPE29" s="67"/>
      <c r="GPF29" s="67"/>
      <c r="GPG29" s="67"/>
      <c r="GPH29" s="67"/>
      <c r="GPI29" s="67"/>
      <c r="GPJ29" s="67"/>
      <c r="GPK29" s="67"/>
      <c r="GPL29" s="67"/>
      <c r="GPM29" s="67"/>
      <c r="GPN29" s="67"/>
      <c r="GPO29" s="67"/>
      <c r="GPP29" s="67"/>
      <c r="GPQ29" s="67"/>
      <c r="GPR29" s="67"/>
      <c r="GPS29" s="67"/>
      <c r="GPT29" s="67"/>
      <c r="GPU29" s="67"/>
      <c r="GPV29" s="67"/>
      <c r="GPW29" s="67"/>
      <c r="GPX29" s="67"/>
      <c r="GPY29" s="67"/>
      <c r="GPZ29" s="67"/>
      <c r="GQA29" s="67"/>
      <c r="GQB29" s="67"/>
      <c r="GQC29" s="67"/>
      <c r="GQD29" s="67"/>
      <c r="GQE29" s="67"/>
      <c r="GQF29" s="67"/>
      <c r="GQG29" s="67"/>
      <c r="GQH29" s="67"/>
      <c r="GQI29" s="67"/>
      <c r="GQJ29" s="67"/>
      <c r="GQK29" s="67"/>
      <c r="GQL29" s="67"/>
      <c r="GQM29" s="67"/>
      <c r="GQN29" s="67"/>
      <c r="GQO29" s="67"/>
      <c r="GQP29" s="67"/>
      <c r="GQQ29" s="67"/>
      <c r="GQR29" s="67"/>
      <c r="GQS29" s="67"/>
      <c r="GQT29" s="67"/>
      <c r="GQU29" s="67"/>
      <c r="GQV29" s="67"/>
      <c r="GQW29" s="67"/>
      <c r="GQX29" s="67"/>
      <c r="GQY29" s="67"/>
      <c r="GQZ29" s="67"/>
      <c r="GRA29" s="67"/>
      <c r="GRB29" s="67"/>
      <c r="GRC29" s="67"/>
      <c r="GRD29" s="67"/>
      <c r="GRE29" s="67"/>
      <c r="GRF29" s="67"/>
      <c r="GRG29" s="67"/>
      <c r="GRH29" s="67"/>
      <c r="GRI29" s="67"/>
      <c r="GRJ29" s="67"/>
      <c r="GRK29" s="67"/>
      <c r="GRL29" s="67"/>
      <c r="GRM29" s="67"/>
      <c r="GRN29" s="67"/>
      <c r="GRO29" s="67"/>
      <c r="GRP29" s="67"/>
      <c r="GRQ29" s="67"/>
      <c r="GRR29" s="67"/>
      <c r="GRS29" s="67"/>
      <c r="GRT29" s="67"/>
      <c r="GRU29" s="67"/>
      <c r="GRV29" s="67"/>
      <c r="GRW29" s="67"/>
      <c r="GRX29" s="67"/>
      <c r="GRY29" s="67"/>
      <c r="GRZ29" s="67"/>
      <c r="GSA29" s="67"/>
      <c r="GSB29" s="67"/>
      <c r="GSC29" s="67"/>
      <c r="GSD29" s="67"/>
      <c r="GSE29" s="67"/>
      <c r="GSF29" s="67"/>
      <c r="GSG29" s="67"/>
      <c r="GSH29" s="67"/>
      <c r="GSI29" s="67"/>
      <c r="GSJ29" s="67"/>
      <c r="GSK29" s="67"/>
      <c r="GSL29" s="67"/>
      <c r="GSM29" s="67"/>
      <c r="GSN29" s="67"/>
      <c r="GSO29" s="67"/>
      <c r="GSP29" s="67"/>
      <c r="GSQ29" s="67"/>
      <c r="GSR29" s="67"/>
      <c r="GSS29" s="67"/>
      <c r="GST29" s="67"/>
      <c r="GSU29" s="67"/>
      <c r="GSV29" s="67"/>
      <c r="GSW29" s="67"/>
      <c r="GSX29" s="67"/>
      <c r="GSY29" s="67"/>
      <c r="GSZ29" s="67"/>
      <c r="GTA29" s="67"/>
      <c r="GTB29" s="67"/>
      <c r="GTC29" s="67"/>
      <c r="GTD29" s="67"/>
      <c r="GTE29" s="67"/>
      <c r="GTF29" s="67"/>
      <c r="GTG29" s="67"/>
      <c r="GTH29" s="67"/>
      <c r="GTI29" s="67"/>
      <c r="GTJ29" s="67"/>
      <c r="GTK29" s="67"/>
      <c r="GTL29" s="67"/>
      <c r="GTM29" s="67"/>
      <c r="GTN29" s="67"/>
      <c r="GTO29" s="67"/>
      <c r="GTP29" s="67"/>
      <c r="GTQ29" s="67"/>
      <c r="GTR29" s="67"/>
      <c r="GTS29" s="67"/>
      <c r="GTT29" s="67"/>
      <c r="GTU29" s="67"/>
      <c r="GTV29" s="67"/>
      <c r="GTW29" s="67"/>
      <c r="GTX29" s="67"/>
      <c r="GTY29" s="67"/>
      <c r="GTZ29" s="67"/>
      <c r="GUA29" s="67"/>
      <c r="GUB29" s="67"/>
      <c r="GUC29" s="67"/>
      <c r="GUD29" s="67"/>
      <c r="GUE29" s="67"/>
      <c r="GUF29" s="67"/>
      <c r="GUG29" s="67"/>
      <c r="GUH29" s="67"/>
      <c r="GUI29" s="67"/>
      <c r="GUJ29" s="67"/>
      <c r="GUK29" s="67"/>
      <c r="GUL29" s="67"/>
      <c r="GUM29" s="67"/>
      <c r="GUN29" s="67"/>
      <c r="GUO29" s="67"/>
      <c r="GUP29" s="67"/>
      <c r="GUQ29" s="67"/>
      <c r="GUR29" s="67"/>
      <c r="GUS29" s="67"/>
      <c r="GUT29" s="67"/>
      <c r="GUU29" s="67"/>
      <c r="GUV29" s="67"/>
      <c r="GUW29" s="67"/>
      <c r="GUX29" s="67"/>
      <c r="GUY29" s="67"/>
      <c r="GUZ29" s="67"/>
      <c r="GVA29" s="67"/>
      <c r="GVB29" s="67"/>
      <c r="GVC29" s="67"/>
      <c r="GVD29" s="67"/>
      <c r="GVE29" s="67"/>
      <c r="GVF29" s="67"/>
      <c r="GVG29" s="67"/>
      <c r="GVH29" s="67"/>
      <c r="GVI29" s="67"/>
      <c r="GVJ29" s="67"/>
      <c r="GVK29" s="67"/>
      <c r="GVL29" s="67"/>
      <c r="GVM29" s="67"/>
      <c r="GVN29" s="67"/>
      <c r="GVO29" s="67"/>
      <c r="GVP29" s="67"/>
      <c r="GVQ29" s="67"/>
      <c r="GVR29" s="67"/>
      <c r="GVS29" s="67"/>
      <c r="GVT29" s="67"/>
      <c r="GVU29" s="67"/>
      <c r="GVV29" s="67"/>
      <c r="GVW29" s="67"/>
      <c r="GVX29" s="67"/>
      <c r="GVY29" s="67"/>
      <c r="GVZ29" s="67"/>
      <c r="GWA29" s="67"/>
      <c r="GWB29" s="67"/>
      <c r="GWC29" s="67"/>
      <c r="GWD29" s="67"/>
      <c r="GWE29" s="67"/>
      <c r="GWF29" s="67"/>
      <c r="GWG29" s="67"/>
      <c r="GWH29" s="67"/>
      <c r="GWI29" s="67"/>
      <c r="GWJ29" s="67"/>
      <c r="GWK29" s="67"/>
      <c r="GWL29" s="67"/>
      <c r="GWM29" s="67"/>
      <c r="GWN29" s="67"/>
      <c r="GWO29" s="67"/>
      <c r="GWP29" s="67"/>
      <c r="GWQ29" s="67"/>
      <c r="GWR29" s="67"/>
      <c r="GWS29" s="67"/>
      <c r="GWT29" s="67"/>
      <c r="GWU29" s="67"/>
      <c r="GWV29" s="67"/>
      <c r="GWW29" s="67"/>
      <c r="GWX29" s="67"/>
      <c r="GWY29" s="67"/>
      <c r="GWZ29" s="67"/>
      <c r="GXA29" s="67"/>
      <c r="GXB29" s="67"/>
      <c r="GXC29" s="67"/>
      <c r="GXD29" s="67"/>
      <c r="GXE29" s="67"/>
      <c r="GXF29" s="67"/>
      <c r="GXG29" s="67"/>
      <c r="GXH29" s="67"/>
      <c r="GXI29" s="67"/>
      <c r="GXJ29" s="67"/>
      <c r="GXK29" s="67"/>
      <c r="GXL29" s="67"/>
      <c r="GXM29" s="67"/>
      <c r="GXN29" s="67"/>
      <c r="GXO29" s="67"/>
      <c r="GXP29" s="67"/>
      <c r="GXQ29" s="67"/>
      <c r="GXR29" s="67"/>
      <c r="GXS29" s="67"/>
      <c r="GXT29" s="67"/>
      <c r="GXU29" s="67"/>
      <c r="GXV29" s="67"/>
      <c r="GXW29" s="67"/>
      <c r="GXX29" s="67"/>
      <c r="GXY29" s="67"/>
      <c r="GXZ29" s="67"/>
      <c r="GYA29" s="67"/>
      <c r="GYB29" s="67"/>
      <c r="GYC29" s="67"/>
      <c r="GYD29" s="67"/>
      <c r="GYE29" s="67"/>
      <c r="GYF29" s="67"/>
      <c r="GYG29" s="67"/>
      <c r="GYH29" s="67"/>
      <c r="GYI29" s="67"/>
      <c r="GYJ29" s="67"/>
      <c r="GYK29" s="67"/>
      <c r="GYL29" s="67"/>
      <c r="GYM29" s="67"/>
      <c r="GYN29" s="67"/>
      <c r="GYO29" s="67"/>
      <c r="GYP29" s="67"/>
      <c r="GYQ29" s="67"/>
      <c r="GYR29" s="67"/>
      <c r="GYS29" s="67"/>
      <c r="GYT29" s="67"/>
      <c r="GYU29" s="67"/>
      <c r="GYV29" s="67"/>
      <c r="GYW29" s="67"/>
      <c r="GYX29" s="67"/>
      <c r="GYY29" s="67"/>
      <c r="GYZ29" s="67"/>
      <c r="GZA29" s="67"/>
      <c r="GZB29" s="67"/>
      <c r="GZC29" s="67"/>
      <c r="GZD29" s="67"/>
      <c r="GZE29" s="67"/>
      <c r="GZF29" s="67"/>
      <c r="GZG29" s="67"/>
      <c r="GZH29" s="67"/>
      <c r="GZI29" s="67"/>
      <c r="GZJ29" s="67"/>
      <c r="GZK29" s="67"/>
      <c r="GZL29" s="67"/>
      <c r="GZM29" s="67"/>
      <c r="GZN29" s="67"/>
      <c r="GZO29" s="67"/>
      <c r="GZP29" s="67"/>
      <c r="GZQ29" s="67"/>
      <c r="GZR29" s="67"/>
      <c r="GZS29" s="67"/>
      <c r="GZT29" s="67"/>
      <c r="GZU29" s="67"/>
      <c r="GZV29" s="67"/>
      <c r="GZW29" s="67"/>
      <c r="GZX29" s="67"/>
      <c r="GZY29" s="67"/>
      <c r="GZZ29" s="67"/>
      <c r="HAA29" s="67"/>
      <c r="HAB29" s="67"/>
      <c r="HAC29" s="67"/>
      <c r="HAD29" s="67"/>
      <c r="HAE29" s="67"/>
      <c r="HAF29" s="67"/>
      <c r="HAG29" s="67"/>
      <c r="HAH29" s="67"/>
      <c r="HAI29" s="67"/>
      <c r="HAJ29" s="67"/>
      <c r="HAK29" s="67"/>
      <c r="HAL29" s="67"/>
      <c r="HAM29" s="67"/>
      <c r="HAN29" s="67"/>
      <c r="HAO29" s="67"/>
      <c r="HAP29" s="67"/>
      <c r="HAQ29" s="67"/>
      <c r="HAR29" s="67"/>
      <c r="HAS29" s="67"/>
      <c r="HAT29" s="67"/>
      <c r="HAU29" s="67"/>
      <c r="HAV29" s="67"/>
      <c r="HAW29" s="67"/>
      <c r="HAX29" s="67"/>
      <c r="HAY29" s="67"/>
      <c r="HAZ29" s="67"/>
      <c r="HBA29" s="67"/>
      <c r="HBB29" s="67"/>
      <c r="HBC29" s="67"/>
      <c r="HBD29" s="67"/>
      <c r="HBE29" s="67"/>
      <c r="HBF29" s="67"/>
      <c r="HBG29" s="67"/>
      <c r="HBH29" s="67"/>
      <c r="HBI29" s="67"/>
      <c r="HBJ29" s="67"/>
      <c r="HBK29" s="67"/>
      <c r="HBL29" s="67"/>
      <c r="HBM29" s="67"/>
      <c r="HBN29" s="67"/>
      <c r="HBO29" s="67"/>
      <c r="HBP29" s="67"/>
      <c r="HBQ29" s="67"/>
      <c r="HBR29" s="67"/>
      <c r="HBS29" s="67"/>
      <c r="HBT29" s="67"/>
      <c r="HBU29" s="67"/>
      <c r="HBV29" s="67"/>
      <c r="HBW29" s="67"/>
      <c r="HBX29" s="67"/>
      <c r="HBY29" s="67"/>
      <c r="HBZ29" s="67"/>
      <c r="HCA29" s="67"/>
      <c r="HCB29" s="67"/>
      <c r="HCC29" s="67"/>
      <c r="HCD29" s="67"/>
      <c r="HCE29" s="67"/>
      <c r="HCF29" s="67"/>
      <c r="HCG29" s="67"/>
      <c r="HCH29" s="67"/>
      <c r="HCI29" s="67"/>
      <c r="HCJ29" s="67"/>
      <c r="HCK29" s="67"/>
      <c r="HCL29" s="67"/>
      <c r="HCM29" s="67"/>
      <c r="HCN29" s="67"/>
      <c r="HCO29" s="67"/>
      <c r="HCP29" s="67"/>
      <c r="HCQ29" s="67"/>
      <c r="HCR29" s="67"/>
      <c r="HCS29" s="67"/>
      <c r="HCT29" s="67"/>
      <c r="HCU29" s="67"/>
      <c r="HCV29" s="67"/>
      <c r="HCW29" s="67"/>
      <c r="HCX29" s="67"/>
      <c r="HCY29" s="67"/>
      <c r="HCZ29" s="67"/>
      <c r="HDA29" s="67"/>
      <c r="HDB29" s="67"/>
      <c r="HDC29" s="67"/>
      <c r="HDD29" s="67"/>
      <c r="HDE29" s="67"/>
      <c r="HDF29" s="67"/>
      <c r="HDG29" s="67"/>
      <c r="HDH29" s="67"/>
      <c r="HDI29" s="67"/>
      <c r="HDJ29" s="67"/>
      <c r="HDK29" s="67"/>
      <c r="HDL29" s="67"/>
      <c r="HDM29" s="67"/>
      <c r="HDN29" s="67"/>
      <c r="HDO29" s="67"/>
      <c r="HDP29" s="67"/>
      <c r="HDQ29" s="67"/>
      <c r="HDR29" s="67"/>
      <c r="HDS29" s="67"/>
      <c r="HDT29" s="67"/>
      <c r="HDU29" s="67"/>
      <c r="HDV29" s="67"/>
      <c r="HDW29" s="67"/>
      <c r="HDX29" s="67"/>
      <c r="HDY29" s="67"/>
      <c r="HDZ29" s="67"/>
      <c r="HEA29" s="67"/>
      <c r="HEB29" s="67"/>
      <c r="HEC29" s="67"/>
      <c r="HED29" s="67"/>
      <c r="HEE29" s="67"/>
      <c r="HEF29" s="67"/>
      <c r="HEG29" s="67"/>
      <c r="HEH29" s="67"/>
      <c r="HEI29" s="67"/>
      <c r="HEJ29" s="67"/>
      <c r="HEK29" s="67"/>
      <c r="HEL29" s="67"/>
      <c r="HEM29" s="67"/>
      <c r="HEN29" s="67"/>
      <c r="HEO29" s="67"/>
      <c r="HEP29" s="67"/>
      <c r="HEQ29" s="67"/>
      <c r="HER29" s="67"/>
      <c r="HES29" s="67"/>
      <c r="HET29" s="67"/>
      <c r="HEU29" s="67"/>
      <c r="HEV29" s="67"/>
      <c r="HEW29" s="67"/>
      <c r="HEX29" s="67"/>
      <c r="HEY29" s="67"/>
      <c r="HEZ29" s="67"/>
      <c r="HFA29" s="67"/>
      <c r="HFB29" s="67"/>
      <c r="HFC29" s="67"/>
      <c r="HFD29" s="67"/>
      <c r="HFE29" s="67"/>
      <c r="HFF29" s="67"/>
      <c r="HFG29" s="67"/>
      <c r="HFH29" s="67"/>
      <c r="HFI29" s="67"/>
      <c r="HFJ29" s="67"/>
      <c r="HFK29" s="67"/>
      <c r="HFL29" s="67"/>
      <c r="HFM29" s="67"/>
      <c r="HFN29" s="67"/>
      <c r="HFO29" s="67"/>
      <c r="HFP29" s="67"/>
      <c r="HFQ29" s="67"/>
      <c r="HFR29" s="67"/>
      <c r="HFS29" s="67"/>
      <c r="HFT29" s="67"/>
      <c r="HFU29" s="67"/>
      <c r="HFV29" s="67"/>
      <c r="HFW29" s="67"/>
      <c r="HFX29" s="67"/>
      <c r="HFY29" s="67"/>
      <c r="HFZ29" s="67"/>
      <c r="HGA29" s="67"/>
      <c r="HGB29" s="67"/>
      <c r="HGC29" s="67"/>
      <c r="HGD29" s="67"/>
      <c r="HGE29" s="67"/>
      <c r="HGF29" s="67"/>
      <c r="HGG29" s="67"/>
      <c r="HGH29" s="67"/>
      <c r="HGI29" s="67"/>
      <c r="HGJ29" s="67"/>
      <c r="HGK29" s="67"/>
      <c r="HGL29" s="67"/>
      <c r="HGM29" s="67"/>
      <c r="HGN29" s="67"/>
      <c r="HGO29" s="67"/>
      <c r="HGP29" s="67"/>
      <c r="HGQ29" s="67"/>
      <c r="HGR29" s="67"/>
      <c r="HGS29" s="67"/>
      <c r="HGT29" s="67"/>
      <c r="HGU29" s="67"/>
      <c r="HGV29" s="67"/>
      <c r="HGW29" s="67"/>
      <c r="HGX29" s="67"/>
      <c r="HGY29" s="67"/>
      <c r="HGZ29" s="67"/>
      <c r="HHA29" s="67"/>
      <c r="HHB29" s="67"/>
      <c r="HHC29" s="67"/>
      <c r="HHD29" s="67"/>
      <c r="HHE29" s="67"/>
      <c r="HHF29" s="67"/>
      <c r="HHG29" s="67"/>
      <c r="HHH29" s="67"/>
      <c r="HHI29" s="67"/>
      <c r="HHJ29" s="67"/>
      <c r="HHK29" s="67"/>
      <c r="HHL29" s="67"/>
      <c r="HHM29" s="67"/>
      <c r="HHN29" s="67"/>
      <c r="HHO29" s="67"/>
      <c r="HHP29" s="67"/>
      <c r="HHQ29" s="67"/>
      <c r="HHR29" s="67"/>
      <c r="HHS29" s="67"/>
      <c r="HHT29" s="67"/>
      <c r="HHU29" s="67"/>
      <c r="HHV29" s="67"/>
      <c r="HHW29" s="67"/>
      <c r="HHX29" s="67"/>
      <c r="HHY29" s="67"/>
      <c r="HHZ29" s="67"/>
      <c r="HIA29" s="67"/>
      <c r="HIB29" s="67"/>
      <c r="HIC29" s="67"/>
      <c r="HID29" s="67"/>
      <c r="HIE29" s="67"/>
      <c r="HIF29" s="67"/>
      <c r="HIG29" s="67"/>
      <c r="HIH29" s="67"/>
      <c r="HII29" s="67"/>
      <c r="HIJ29" s="67"/>
      <c r="HIK29" s="67"/>
      <c r="HIL29" s="67"/>
      <c r="HIM29" s="67"/>
      <c r="HIN29" s="67"/>
      <c r="HIO29" s="67"/>
      <c r="HIP29" s="67"/>
      <c r="HIQ29" s="67"/>
      <c r="HIR29" s="67"/>
      <c r="HIS29" s="67"/>
      <c r="HIT29" s="67"/>
      <c r="HIU29" s="67"/>
      <c r="HIV29" s="67"/>
      <c r="HIW29" s="67"/>
      <c r="HIX29" s="67"/>
      <c r="HIY29" s="67"/>
      <c r="HIZ29" s="67"/>
      <c r="HJA29" s="67"/>
      <c r="HJB29" s="67"/>
      <c r="HJC29" s="67"/>
      <c r="HJD29" s="67"/>
      <c r="HJE29" s="67"/>
      <c r="HJF29" s="67"/>
      <c r="HJG29" s="67"/>
      <c r="HJH29" s="67"/>
      <c r="HJI29" s="67"/>
      <c r="HJJ29" s="67"/>
      <c r="HJK29" s="67"/>
      <c r="HJL29" s="67"/>
      <c r="HJM29" s="67"/>
      <c r="HJN29" s="67"/>
      <c r="HJO29" s="67"/>
      <c r="HJP29" s="67"/>
      <c r="HJQ29" s="67"/>
      <c r="HJR29" s="67"/>
      <c r="HJS29" s="67"/>
      <c r="HJT29" s="67"/>
      <c r="HJU29" s="67"/>
      <c r="HJV29" s="67"/>
      <c r="HJW29" s="67"/>
      <c r="HJX29" s="67"/>
      <c r="HJY29" s="67"/>
      <c r="HJZ29" s="67"/>
      <c r="HKA29" s="67"/>
      <c r="HKB29" s="67"/>
      <c r="HKC29" s="67"/>
      <c r="HKD29" s="67"/>
      <c r="HKE29" s="67"/>
      <c r="HKF29" s="67"/>
      <c r="HKG29" s="67"/>
      <c r="HKH29" s="67"/>
      <c r="HKI29" s="67"/>
      <c r="HKJ29" s="67"/>
      <c r="HKK29" s="67"/>
      <c r="HKL29" s="67"/>
      <c r="HKM29" s="67"/>
      <c r="HKN29" s="67"/>
      <c r="HKO29" s="67"/>
      <c r="HKP29" s="67"/>
      <c r="HKQ29" s="67"/>
      <c r="HKR29" s="67"/>
      <c r="HKS29" s="67"/>
      <c r="HKT29" s="67"/>
      <c r="HKU29" s="67"/>
      <c r="HKV29" s="67"/>
      <c r="HKW29" s="67"/>
      <c r="HKX29" s="67"/>
      <c r="HKY29" s="67"/>
      <c r="HKZ29" s="67"/>
      <c r="HLA29" s="67"/>
      <c r="HLB29" s="67"/>
      <c r="HLC29" s="67"/>
      <c r="HLD29" s="67"/>
      <c r="HLE29" s="67"/>
      <c r="HLF29" s="67"/>
      <c r="HLG29" s="67"/>
      <c r="HLH29" s="67"/>
      <c r="HLI29" s="67"/>
      <c r="HLJ29" s="67"/>
      <c r="HLK29" s="67"/>
      <c r="HLL29" s="67"/>
      <c r="HLM29" s="67"/>
      <c r="HLN29" s="67"/>
      <c r="HLO29" s="67"/>
      <c r="HLP29" s="67"/>
      <c r="HLQ29" s="67"/>
      <c r="HLR29" s="67"/>
      <c r="HLS29" s="67"/>
      <c r="HLT29" s="67"/>
      <c r="HLU29" s="67"/>
      <c r="HLV29" s="67"/>
      <c r="HLW29" s="67"/>
      <c r="HLX29" s="67"/>
      <c r="HLY29" s="67"/>
      <c r="HLZ29" s="67"/>
      <c r="HMA29" s="67"/>
      <c r="HMB29" s="67"/>
      <c r="HMC29" s="67"/>
      <c r="HMD29" s="67"/>
      <c r="HME29" s="67"/>
      <c r="HMF29" s="67"/>
      <c r="HMG29" s="67"/>
      <c r="HMH29" s="67"/>
      <c r="HMI29" s="67"/>
      <c r="HMJ29" s="67"/>
      <c r="HMK29" s="67"/>
      <c r="HML29" s="67"/>
      <c r="HMM29" s="67"/>
      <c r="HMN29" s="67"/>
      <c r="HMO29" s="67"/>
      <c r="HMP29" s="67"/>
      <c r="HMQ29" s="67"/>
      <c r="HMR29" s="67"/>
      <c r="HMS29" s="67"/>
      <c r="HMT29" s="67"/>
      <c r="HMU29" s="67"/>
      <c r="HMV29" s="67"/>
      <c r="HMW29" s="67"/>
      <c r="HMX29" s="67"/>
      <c r="HMY29" s="67"/>
      <c r="HMZ29" s="67"/>
      <c r="HNA29" s="67"/>
      <c r="HNB29" s="67"/>
      <c r="HNC29" s="67"/>
      <c r="HND29" s="67"/>
      <c r="HNE29" s="67"/>
      <c r="HNF29" s="67"/>
      <c r="HNG29" s="67"/>
      <c r="HNH29" s="67"/>
      <c r="HNI29" s="67"/>
      <c r="HNJ29" s="67"/>
      <c r="HNK29" s="67"/>
      <c r="HNL29" s="67"/>
      <c r="HNM29" s="67"/>
      <c r="HNN29" s="67"/>
      <c r="HNO29" s="67"/>
      <c r="HNP29" s="67"/>
      <c r="HNQ29" s="67"/>
      <c r="HNR29" s="67"/>
      <c r="HNS29" s="67"/>
      <c r="HNT29" s="67"/>
      <c r="HNU29" s="67"/>
      <c r="HNV29" s="67"/>
      <c r="HNW29" s="67"/>
      <c r="HNX29" s="67"/>
      <c r="HNY29" s="67"/>
      <c r="HNZ29" s="67"/>
      <c r="HOA29" s="67"/>
      <c r="HOB29" s="67"/>
      <c r="HOC29" s="67"/>
      <c r="HOD29" s="67"/>
      <c r="HOE29" s="67"/>
      <c r="HOF29" s="67"/>
      <c r="HOG29" s="67"/>
      <c r="HOH29" s="67"/>
      <c r="HOI29" s="67"/>
      <c r="HOJ29" s="67"/>
      <c r="HOK29" s="67"/>
      <c r="HOL29" s="67"/>
      <c r="HOM29" s="67"/>
      <c r="HON29" s="67"/>
      <c r="HOO29" s="67"/>
      <c r="HOP29" s="67"/>
      <c r="HOQ29" s="67"/>
      <c r="HOR29" s="67"/>
      <c r="HOS29" s="67"/>
      <c r="HOT29" s="67"/>
      <c r="HOU29" s="67"/>
      <c r="HOV29" s="67"/>
      <c r="HOW29" s="67"/>
      <c r="HOX29" s="67"/>
      <c r="HOY29" s="67"/>
      <c r="HOZ29" s="67"/>
      <c r="HPA29" s="67"/>
      <c r="HPB29" s="67"/>
      <c r="HPC29" s="67"/>
      <c r="HPD29" s="67"/>
      <c r="HPE29" s="67"/>
      <c r="HPF29" s="67"/>
      <c r="HPG29" s="67"/>
      <c r="HPH29" s="67"/>
      <c r="HPI29" s="67"/>
      <c r="HPJ29" s="67"/>
      <c r="HPK29" s="67"/>
      <c r="HPL29" s="67"/>
      <c r="HPM29" s="67"/>
      <c r="HPN29" s="67"/>
      <c r="HPO29" s="67"/>
      <c r="HPP29" s="67"/>
      <c r="HPQ29" s="67"/>
      <c r="HPR29" s="67"/>
      <c r="HPS29" s="67"/>
      <c r="HPT29" s="67"/>
      <c r="HPU29" s="67"/>
      <c r="HPV29" s="67"/>
      <c r="HPW29" s="67"/>
      <c r="HPX29" s="67"/>
      <c r="HPY29" s="67"/>
      <c r="HPZ29" s="67"/>
      <c r="HQA29" s="67"/>
      <c r="HQB29" s="67"/>
      <c r="HQC29" s="67"/>
      <c r="HQD29" s="67"/>
      <c r="HQE29" s="67"/>
      <c r="HQF29" s="67"/>
      <c r="HQG29" s="67"/>
      <c r="HQH29" s="67"/>
      <c r="HQI29" s="67"/>
      <c r="HQJ29" s="67"/>
      <c r="HQK29" s="67"/>
      <c r="HQL29" s="67"/>
      <c r="HQM29" s="67"/>
      <c r="HQN29" s="67"/>
      <c r="HQO29" s="67"/>
      <c r="HQP29" s="67"/>
      <c r="HQQ29" s="67"/>
      <c r="HQR29" s="67"/>
      <c r="HQS29" s="67"/>
      <c r="HQT29" s="67"/>
      <c r="HQU29" s="67"/>
      <c r="HQV29" s="67"/>
      <c r="HQW29" s="67"/>
      <c r="HQX29" s="67"/>
      <c r="HQY29" s="67"/>
      <c r="HQZ29" s="67"/>
      <c r="HRA29" s="67"/>
      <c r="HRB29" s="67"/>
      <c r="HRC29" s="67"/>
      <c r="HRD29" s="67"/>
      <c r="HRE29" s="67"/>
      <c r="HRF29" s="67"/>
      <c r="HRG29" s="67"/>
      <c r="HRH29" s="67"/>
      <c r="HRI29" s="67"/>
      <c r="HRJ29" s="67"/>
      <c r="HRK29" s="67"/>
      <c r="HRL29" s="67"/>
      <c r="HRM29" s="67"/>
      <c r="HRN29" s="67"/>
      <c r="HRO29" s="67"/>
      <c r="HRP29" s="67"/>
      <c r="HRQ29" s="67"/>
      <c r="HRR29" s="67"/>
      <c r="HRS29" s="67"/>
      <c r="HRT29" s="67"/>
      <c r="HRU29" s="67"/>
      <c r="HRV29" s="67"/>
      <c r="HRW29" s="67"/>
      <c r="HRX29" s="67"/>
      <c r="HRY29" s="67"/>
      <c r="HRZ29" s="67"/>
      <c r="HSA29" s="67"/>
      <c r="HSB29" s="67"/>
      <c r="HSC29" s="67"/>
      <c r="HSD29" s="67"/>
      <c r="HSE29" s="67"/>
      <c r="HSF29" s="67"/>
      <c r="HSG29" s="67"/>
      <c r="HSH29" s="67"/>
      <c r="HSI29" s="67"/>
      <c r="HSJ29" s="67"/>
      <c r="HSK29" s="67"/>
      <c r="HSL29" s="67"/>
      <c r="HSM29" s="67"/>
      <c r="HSN29" s="67"/>
      <c r="HSO29" s="67"/>
      <c r="HSP29" s="67"/>
      <c r="HSQ29" s="67"/>
      <c r="HSR29" s="67"/>
      <c r="HSS29" s="67"/>
      <c r="HST29" s="67"/>
      <c r="HSU29" s="67"/>
      <c r="HSV29" s="67"/>
      <c r="HSW29" s="67"/>
      <c r="HSX29" s="67"/>
      <c r="HSY29" s="67"/>
      <c r="HSZ29" s="67"/>
      <c r="HTA29" s="67"/>
      <c r="HTB29" s="67"/>
      <c r="HTC29" s="67"/>
      <c r="HTD29" s="67"/>
      <c r="HTE29" s="67"/>
      <c r="HTF29" s="67"/>
      <c r="HTG29" s="67"/>
      <c r="HTH29" s="67"/>
      <c r="HTI29" s="67"/>
      <c r="HTJ29" s="67"/>
      <c r="HTK29" s="67"/>
      <c r="HTL29" s="67"/>
      <c r="HTM29" s="67"/>
      <c r="HTN29" s="67"/>
      <c r="HTO29" s="67"/>
      <c r="HTP29" s="67"/>
      <c r="HTQ29" s="67"/>
      <c r="HTR29" s="67"/>
      <c r="HTS29" s="67"/>
      <c r="HTT29" s="67"/>
      <c r="HTU29" s="67"/>
      <c r="HTV29" s="67"/>
      <c r="HTW29" s="67"/>
      <c r="HTX29" s="67"/>
      <c r="HTY29" s="67"/>
      <c r="HTZ29" s="67"/>
      <c r="HUA29" s="67"/>
      <c r="HUB29" s="67"/>
      <c r="HUC29" s="67"/>
      <c r="HUD29" s="67"/>
      <c r="HUE29" s="67"/>
      <c r="HUF29" s="67"/>
      <c r="HUG29" s="67"/>
      <c r="HUH29" s="67"/>
      <c r="HUI29" s="67"/>
      <c r="HUJ29" s="67"/>
      <c r="HUK29" s="67"/>
      <c r="HUL29" s="67"/>
      <c r="HUM29" s="67"/>
      <c r="HUN29" s="67"/>
      <c r="HUO29" s="67"/>
      <c r="HUP29" s="67"/>
      <c r="HUQ29" s="67"/>
      <c r="HUR29" s="67"/>
      <c r="HUS29" s="67"/>
      <c r="HUT29" s="67"/>
      <c r="HUU29" s="67"/>
      <c r="HUV29" s="67"/>
      <c r="HUW29" s="67"/>
      <c r="HUX29" s="67"/>
      <c r="HUY29" s="67"/>
      <c r="HUZ29" s="67"/>
      <c r="HVA29" s="67"/>
      <c r="HVB29" s="67"/>
      <c r="HVC29" s="67"/>
      <c r="HVD29" s="67"/>
      <c r="HVE29" s="67"/>
      <c r="HVF29" s="67"/>
      <c r="HVG29" s="67"/>
      <c r="HVH29" s="67"/>
      <c r="HVI29" s="67"/>
      <c r="HVJ29" s="67"/>
      <c r="HVK29" s="67"/>
      <c r="HVL29" s="67"/>
      <c r="HVM29" s="67"/>
      <c r="HVN29" s="67"/>
      <c r="HVO29" s="67"/>
      <c r="HVP29" s="67"/>
      <c r="HVQ29" s="67"/>
      <c r="HVR29" s="67"/>
      <c r="HVS29" s="67"/>
      <c r="HVT29" s="67"/>
      <c r="HVU29" s="67"/>
      <c r="HVV29" s="67"/>
      <c r="HVW29" s="67"/>
      <c r="HVX29" s="67"/>
      <c r="HVY29" s="67"/>
      <c r="HVZ29" s="67"/>
      <c r="HWA29" s="67"/>
      <c r="HWB29" s="67"/>
      <c r="HWC29" s="67"/>
      <c r="HWD29" s="67"/>
      <c r="HWE29" s="67"/>
      <c r="HWF29" s="67"/>
      <c r="HWG29" s="67"/>
      <c r="HWH29" s="67"/>
      <c r="HWI29" s="67"/>
      <c r="HWJ29" s="67"/>
      <c r="HWK29" s="67"/>
      <c r="HWL29" s="67"/>
      <c r="HWM29" s="67"/>
      <c r="HWN29" s="67"/>
      <c r="HWO29" s="67"/>
      <c r="HWP29" s="67"/>
      <c r="HWQ29" s="67"/>
      <c r="HWR29" s="67"/>
      <c r="HWS29" s="67"/>
      <c r="HWT29" s="67"/>
      <c r="HWU29" s="67"/>
      <c r="HWV29" s="67"/>
      <c r="HWW29" s="67"/>
      <c r="HWX29" s="67"/>
      <c r="HWY29" s="67"/>
      <c r="HWZ29" s="67"/>
      <c r="HXA29" s="67"/>
      <c r="HXB29" s="67"/>
      <c r="HXC29" s="67"/>
      <c r="HXD29" s="67"/>
      <c r="HXE29" s="67"/>
      <c r="HXF29" s="67"/>
      <c r="HXG29" s="67"/>
      <c r="HXH29" s="67"/>
      <c r="HXI29" s="67"/>
      <c r="HXJ29" s="67"/>
      <c r="HXK29" s="67"/>
      <c r="HXL29" s="67"/>
      <c r="HXM29" s="67"/>
      <c r="HXN29" s="67"/>
      <c r="HXO29" s="67"/>
      <c r="HXP29" s="67"/>
      <c r="HXQ29" s="67"/>
      <c r="HXR29" s="67"/>
      <c r="HXS29" s="67"/>
      <c r="HXT29" s="67"/>
      <c r="HXU29" s="67"/>
      <c r="HXV29" s="67"/>
      <c r="HXW29" s="67"/>
      <c r="HXX29" s="67"/>
      <c r="HXY29" s="67"/>
      <c r="HXZ29" s="67"/>
      <c r="HYA29" s="67"/>
      <c r="HYB29" s="67"/>
      <c r="HYC29" s="67"/>
      <c r="HYD29" s="67"/>
      <c r="HYE29" s="67"/>
      <c r="HYF29" s="67"/>
      <c r="HYG29" s="67"/>
      <c r="HYH29" s="67"/>
      <c r="HYI29" s="67"/>
      <c r="HYJ29" s="67"/>
      <c r="HYK29" s="67"/>
      <c r="HYL29" s="67"/>
      <c r="HYM29" s="67"/>
      <c r="HYN29" s="67"/>
      <c r="HYO29" s="67"/>
      <c r="HYP29" s="67"/>
      <c r="HYQ29" s="67"/>
      <c r="HYR29" s="67"/>
      <c r="HYS29" s="67"/>
      <c r="HYT29" s="67"/>
      <c r="HYU29" s="67"/>
      <c r="HYV29" s="67"/>
      <c r="HYW29" s="67"/>
      <c r="HYX29" s="67"/>
      <c r="HYY29" s="67"/>
      <c r="HYZ29" s="67"/>
      <c r="HZA29" s="67"/>
      <c r="HZB29" s="67"/>
      <c r="HZC29" s="67"/>
      <c r="HZD29" s="67"/>
      <c r="HZE29" s="67"/>
      <c r="HZF29" s="67"/>
      <c r="HZG29" s="67"/>
      <c r="HZH29" s="67"/>
      <c r="HZI29" s="67"/>
      <c r="HZJ29" s="67"/>
      <c r="HZK29" s="67"/>
      <c r="HZL29" s="67"/>
      <c r="HZM29" s="67"/>
      <c r="HZN29" s="67"/>
      <c r="HZO29" s="67"/>
      <c r="HZP29" s="67"/>
      <c r="HZQ29" s="67"/>
      <c r="HZR29" s="67"/>
      <c r="HZS29" s="67"/>
      <c r="HZT29" s="67"/>
      <c r="HZU29" s="67"/>
      <c r="HZV29" s="67"/>
      <c r="HZW29" s="67"/>
      <c r="HZX29" s="67"/>
      <c r="HZY29" s="67"/>
      <c r="HZZ29" s="67"/>
      <c r="IAA29" s="67"/>
      <c r="IAB29" s="67"/>
      <c r="IAC29" s="67"/>
      <c r="IAD29" s="67"/>
      <c r="IAE29" s="67"/>
      <c r="IAF29" s="67"/>
      <c r="IAG29" s="67"/>
      <c r="IAH29" s="67"/>
      <c r="IAI29" s="67"/>
      <c r="IAJ29" s="67"/>
      <c r="IAK29" s="67"/>
      <c r="IAL29" s="67"/>
      <c r="IAM29" s="67"/>
      <c r="IAN29" s="67"/>
      <c r="IAO29" s="67"/>
      <c r="IAP29" s="67"/>
      <c r="IAQ29" s="67"/>
      <c r="IAR29" s="67"/>
      <c r="IAS29" s="67"/>
      <c r="IAT29" s="67"/>
      <c r="IAU29" s="67"/>
      <c r="IAV29" s="67"/>
      <c r="IAW29" s="67"/>
      <c r="IAX29" s="67"/>
      <c r="IAY29" s="67"/>
      <c r="IAZ29" s="67"/>
      <c r="IBA29" s="67"/>
      <c r="IBB29" s="67"/>
      <c r="IBC29" s="67"/>
      <c r="IBD29" s="67"/>
      <c r="IBE29" s="67"/>
      <c r="IBF29" s="67"/>
      <c r="IBG29" s="67"/>
      <c r="IBH29" s="67"/>
      <c r="IBI29" s="67"/>
      <c r="IBJ29" s="67"/>
      <c r="IBK29" s="67"/>
      <c r="IBL29" s="67"/>
      <c r="IBM29" s="67"/>
      <c r="IBN29" s="67"/>
      <c r="IBO29" s="67"/>
      <c r="IBP29" s="67"/>
      <c r="IBQ29" s="67"/>
      <c r="IBR29" s="67"/>
      <c r="IBS29" s="67"/>
      <c r="IBT29" s="67"/>
      <c r="IBU29" s="67"/>
      <c r="IBV29" s="67"/>
      <c r="IBW29" s="67"/>
      <c r="IBX29" s="67"/>
      <c r="IBY29" s="67"/>
      <c r="IBZ29" s="67"/>
      <c r="ICA29" s="67"/>
      <c r="ICB29" s="67"/>
      <c r="ICC29" s="67"/>
      <c r="ICD29" s="67"/>
      <c r="ICE29" s="67"/>
      <c r="ICF29" s="67"/>
      <c r="ICG29" s="67"/>
      <c r="ICH29" s="67"/>
      <c r="ICI29" s="67"/>
      <c r="ICJ29" s="67"/>
      <c r="ICK29" s="67"/>
      <c r="ICL29" s="67"/>
      <c r="ICM29" s="67"/>
      <c r="ICN29" s="67"/>
      <c r="ICO29" s="67"/>
      <c r="ICP29" s="67"/>
      <c r="ICQ29" s="67"/>
      <c r="ICR29" s="67"/>
      <c r="ICS29" s="67"/>
      <c r="ICT29" s="67"/>
      <c r="ICU29" s="67"/>
      <c r="ICV29" s="67"/>
      <c r="ICW29" s="67"/>
      <c r="ICX29" s="67"/>
      <c r="ICY29" s="67"/>
      <c r="ICZ29" s="67"/>
      <c r="IDA29" s="67"/>
      <c r="IDB29" s="67"/>
      <c r="IDC29" s="67"/>
      <c r="IDD29" s="67"/>
      <c r="IDE29" s="67"/>
      <c r="IDF29" s="67"/>
      <c r="IDG29" s="67"/>
      <c r="IDH29" s="67"/>
      <c r="IDI29" s="67"/>
      <c r="IDJ29" s="67"/>
      <c r="IDK29" s="67"/>
      <c r="IDL29" s="67"/>
      <c r="IDM29" s="67"/>
      <c r="IDN29" s="67"/>
      <c r="IDO29" s="67"/>
      <c r="IDP29" s="67"/>
      <c r="IDQ29" s="67"/>
      <c r="IDR29" s="67"/>
      <c r="IDS29" s="67"/>
      <c r="IDT29" s="67"/>
      <c r="IDU29" s="67"/>
      <c r="IDV29" s="67"/>
      <c r="IDW29" s="67"/>
      <c r="IDX29" s="67"/>
      <c r="IDY29" s="67"/>
      <c r="IDZ29" s="67"/>
      <c r="IEA29" s="67"/>
      <c r="IEB29" s="67"/>
      <c r="IEC29" s="67"/>
      <c r="IED29" s="67"/>
      <c r="IEE29" s="67"/>
      <c r="IEF29" s="67"/>
      <c r="IEG29" s="67"/>
      <c r="IEH29" s="67"/>
      <c r="IEI29" s="67"/>
      <c r="IEJ29" s="67"/>
      <c r="IEK29" s="67"/>
      <c r="IEL29" s="67"/>
      <c r="IEM29" s="67"/>
      <c r="IEN29" s="67"/>
      <c r="IEO29" s="67"/>
      <c r="IEP29" s="67"/>
      <c r="IEQ29" s="67"/>
      <c r="IER29" s="67"/>
      <c r="IES29" s="67"/>
      <c r="IET29" s="67"/>
      <c r="IEU29" s="67"/>
      <c r="IEV29" s="67"/>
      <c r="IEW29" s="67"/>
      <c r="IEX29" s="67"/>
      <c r="IEY29" s="67"/>
      <c r="IEZ29" s="67"/>
      <c r="IFA29" s="67"/>
      <c r="IFB29" s="67"/>
      <c r="IFC29" s="67"/>
      <c r="IFD29" s="67"/>
      <c r="IFE29" s="67"/>
      <c r="IFF29" s="67"/>
      <c r="IFG29" s="67"/>
      <c r="IFH29" s="67"/>
      <c r="IFI29" s="67"/>
      <c r="IFJ29" s="67"/>
      <c r="IFK29" s="67"/>
      <c r="IFL29" s="67"/>
      <c r="IFM29" s="67"/>
      <c r="IFN29" s="67"/>
      <c r="IFO29" s="67"/>
      <c r="IFP29" s="67"/>
      <c r="IFQ29" s="67"/>
      <c r="IFR29" s="67"/>
      <c r="IFS29" s="67"/>
      <c r="IFT29" s="67"/>
      <c r="IFU29" s="67"/>
      <c r="IFV29" s="67"/>
      <c r="IFW29" s="67"/>
      <c r="IFX29" s="67"/>
      <c r="IFY29" s="67"/>
      <c r="IFZ29" s="67"/>
      <c r="IGA29" s="67"/>
      <c r="IGB29" s="67"/>
      <c r="IGC29" s="67"/>
      <c r="IGD29" s="67"/>
      <c r="IGE29" s="67"/>
      <c r="IGF29" s="67"/>
      <c r="IGG29" s="67"/>
      <c r="IGH29" s="67"/>
      <c r="IGI29" s="67"/>
      <c r="IGJ29" s="67"/>
      <c r="IGK29" s="67"/>
      <c r="IGL29" s="67"/>
      <c r="IGM29" s="67"/>
      <c r="IGN29" s="67"/>
      <c r="IGO29" s="67"/>
      <c r="IGP29" s="67"/>
      <c r="IGQ29" s="67"/>
      <c r="IGR29" s="67"/>
      <c r="IGS29" s="67"/>
      <c r="IGT29" s="67"/>
      <c r="IGU29" s="67"/>
      <c r="IGV29" s="67"/>
      <c r="IGW29" s="67"/>
      <c r="IGX29" s="67"/>
      <c r="IGY29" s="67"/>
      <c r="IGZ29" s="67"/>
      <c r="IHA29" s="67"/>
      <c r="IHB29" s="67"/>
      <c r="IHC29" s="67"/>
      <c r="IHD29" s="67"/>
      <c r="IHE29" s="67"/>
      <c r="IHF29" s="67"/>
      <c r="IHG29" s="67"/>
      <c r="IHH29" s="67"/>
      <c r="IHI29" s="67"/>
      <c r="IHJ29" s="67"/>
      <c r="IHK29" s="67"/>
      <c r="IHL29" s="67"/>
      <c r="IHM29" s="67"/>
      <c r="IHN29" s="67"/>
      <c r="IHO29" s="67"/>
      <c r="IHP29" s="67"/>
      <c r="IHQ29" s="67"/>
      <c r="IHR29" s="67"/>
      <c r="IHS29" s="67"/>
      <c r="IHT29" s="67"/>
      <c r="IHU29" s="67"/>
      <c r="IHV29" s="67"/>
      <c r="IHW29" s="67"/>
      <c r="IHX29" s="67"/>
      <c r="IHY29" s="67"/>
      <c r="IHZ29" s="67"/>
      <c r="IIA29" s="67"/>
      <c r="IIB29" s="67"/>
      <c r="IIC29" s="67"/>
      <c r="IID29" s="67"/>
      <c r="IIE29" s="67"/>
      <c r="IIF29" s="67"/>
      <c r="IIG29" s="67"/>
      <c r="IIH29" s="67"/>
      <c r="III29" s="67"/>
      <c r="IIJ29" s="67"/>
      <c r="IIK29" s="67"/>
      <c r="IIL29" s="67"/>
      <c r="IIM29" s="67"/>
      <c r="IIN29" s="67"/>
      <c r="IIO29" s="67"/>
      <c r="IIP29" s="67"/>
      <c r="IIQ29" s="67"/>
      <c r="IIR29" s="67"/>
      <c r="IIS29" s="67"/>
      <c r="IIT29" s="67"/>
      <c r="IIU29" s="67"/>
      <c r="IIV29" s="67"/>
      <c r="IIW29" s="67"/>
      <c r="IIX29" s="67"/>
      <c r="IIY29" s="67"/>
      <c r="IIZ29" s="67"/>
      <c r="IJA29" s="67"/>
      <c r="IJB29" s="67"/>
      <c r="IJC29" s="67"/>
      <c r="IJD29" s="67"/>
      <c r="IJE29" s="67"/>
      <c r="IJF29" s="67"/>
      <c r="IJG29" s="67"/>
      <c r="IJH29" s="67"/>
      <c r="IJI29" s="67"/>
      <c r="IJJ29" s="67"/>
      <c r="IJK29" s="67"/>
      <c r="IJL29" s="67"/>
      <c r="IJM29" s="67"/>
      <c r="IJN29" s="67"/>
      <c r="IJO29" s="67"/>
      <c r="IJP29" s="67"/>
      <c r="IJQ29" s="67"/>
      <c r="IJR29" s="67"/>
      <c r="IJS29" s="67"/>
      <c r="IJT29" s="67"/>
      <c r="IJU29" s="67"/>
      <c r="IJV29" s="67"/>
      <c r="IJW29" s="67"/>
      <c r="IJX29" s="67"/>
      <c r="IJY29" s="67"/>
      <c r="IJZ29" s="67"/>
      <c r="IKA29" s="67"/>
      <c r="IKB29" s="67"/>
      <c r="IKC29" s="67"/>
      <c r="IKD29" s="67"/>
      <c r="IKE29" s="67"/>
      <c r="IKF29" s="67"/>
      <c r="IKG29" s="67"/>
      <c r="IKH29" s="67"/>
      <c r="IKI29" s="67"/>
      <c r="IKJ29" s="67"/>
      <c r="IKK29" s="67"/>
      <c r="IKL29" s="67"/>
      <c r="IKM29" s="67"/>
      <c r="IKN29" s="67"/>
      <c r="IKO29" s="67"/>
      <c r="IKP29" s="67"/>
      <c r="IKQ29" s="67"/>
      <c r="IKR29" s="67"/>
      <c r="IKS29" s="67"/>
      <c r="IKT29" s="67"/>
      <c r="IKU29" s="67"/>
      <c r="IKV29" s="67"/>
      <c r="IKW29" s="67"/>
      <c r="IKX29" s="67"/>
      <c r="IKY29" s="67"/>
      <c r="IKZ29" s="67"/>
      <c r="ILA29" s="67"/>
      <c r="ILB29" s="67"/>
      <c r="ILC29" s="67"/>
      <c r="ILD29" s="67"/>
      <c r="ILE29" s="67"/>
      <c r="ILF29" s="67"/>
      <c r="ILG29" s="67"/>
      <c r="ILH29" s="67"/>
      <c r="ILI29" s="67"/>
      <c r="ILJ29" s="67"/>
      <c r="ILK29" s="67"/>
      <c r="ILL29" s="67"/>
      <c r="ILM29" s="67"/>
      <c r="ILN29" s="67"/>
      <c r="ILO29" s="67"/>
      <c r="ILP29" s="67"/>
      <c r="ILQ29" s="67"/>
      <c r="ILR29" s="67"/>
      <c r="ILS29" s="67"/>
      <c r="ILT29" s="67"/>
      <c r="ILU29" s="67"/>
      <c r="ILV29" s="67"/>
      <c r="ILW29" s="67"/>
      <c r="ILX29" s="67"/>
      <c r="ILY29" s="67"/>
      <c r="ILZ29" s="67"/>
      <c r="IMA29" s="67"/>
      <c r="IMB29" s="67"/>
      <c r="IMC29" s="67"/>
      <c r="IMD29" s="67"/>
      <c r="IME29" s="67"/>
      <c r="IMF29" s="67"/>
      <c r="IMG29" s="67"/>
      <c r="IMH29" s="67"/>
      <c r="IMI29" s="67"/>
      <c r="IMJ29" s="67"/>
      <c r="IMK29" s="67"/>
      <c r="IML29" s="67"/>
      <c r="IMM29" s="67"/>
      <c r="IMN29" s="67"/>
      <c r="IMO29" s="67"/>
      <c r="IMP29" s="67"/>
      <c r="IMQ29" s="67"/>
      <c r="IMR29" s="67"/>
      <c r="IMS29" s="67"/>
      <c r="IMT29" s="67"/>
      <c r="IMU29" s="67"/>
      <c r="IMV29" s="67"/>
      <c r="IMW29" s="67"/>
      <c r="IMX29" s="67"/>
      <c r="IMY29" s="67"/>
      <c r="IMZ29" s="67"/>
      <c r="INA29" s="67"/>
      <c r="INB29" s="67"/>
      <c r="INC29" s="67"/>
      <c r="IND29" s="67"/>
      <c r="INE29" s="67"/>
      <c r="INF29" s="67"/>
      <c r="ING29" s="67"/>
      <c r="INH29" s="67"/>
      <c r="INI29" s="67"/>
      <c r="INJ29" s="67"/>
      <c r="INK29" s="67"/>
      <c r="INL29" s="67"/>
      <c r="INM29" s="67"/>
      <c r="INN29" s="67"/>
      <c r="INO29" s="67"/>
      <c r="INP29" s="67"/>
      <c r="INQ29" s="67"/>
      <c r="INR29" s="67"/>
      <c r="INS29" s="67"/>
      <c r="INT29" s="67"/>
      <c r="INU29" s="67"/>
      <c r="INV29" s="67"/>
      <c r="INW29" s="67"/>
      <c r="INX29" s="67"/>
      <c r="INY29" s="67"/>
      <c r="INZ29" s="67"/>
      <c r="IOA29" s="67"/>
      <c r="IOB29" s="67"/>
      <c r="IOC29" s="67"/>
      <c r="IOD29" s="67"/>
      <c r="IOE29" s="67"/>
      <c r="IOF29" s="67"/>
      <c r="IOG29" s="67"/>
      <c r="IOH29" s="67"/>
      <c r="IOI29" s="67"/>
      <c r="IOJ29" s="67"/>
      <c r="IOK29" s="67"/>
      <c r="IOL29" s="67"/>
      <c r="IOM29" s="67"/>
      <c r="ION29" s="67"/>
      <c r="IOO29" s="67"/>
      <c r="IOP29" s="67"/>
      <c r="IOQ29" s="67"/>
      <c r="IOR29" s="67"/>
      <c r="IOS29" s="67"/>
      <c r="IOT29" s="67"/>
      <c r="IOU29" s="67"/>
      <c r="IOV29" s="67"/>
      <c r="IOW29" s="67"/>
      <c r="IOX29" s="67"/>
      <c r="IOY29" s="67"/>
      <c r="IOZ29" s="67"/>
      <c r="IPA29" s="67"/>
      <c r="IPB29" s="67"/>
      <c r="IPC29" s="67"/>
      <c r="IPD29" s="67"/>
      <c r="IPE29" s="67"/>
      <c r="IPF29" s="67"/>
      <c r="IPG29" s="67"/>
      <c r="IPH29" s="67"/>
      <c r="IPI29" s="67"/>
      <c r="IPJ29" s="67"/>
      <c r="IPK29" s="67"/>
      <c r="IPL29" s="67"/>
      <c r="IPM29" s="67"/>
      <c r="IPN29" s="67"/>
      <c r="IPO29" s="67"/>
      <c r="IPP29" s="67"/>
      <c r="IPQ29" s="67"/>
      <c r="IPR29" s="67"/>
      <c r="IPS29" s="67"/>
      <c r="IPT29" s="67"/>
      <c r="IPU29" s="67"/>
      <c r="IPV29" s="67"/>
      <c r="IPW29" s="67"/>
      <c r="IPX29" s="67"/>
      <c r="IPY29" s="67"/>
      <c r="IPZ29" s="67"/>
      <c r="IQA29" s="67"/>
      <c r="IQB29" s="67"/>
      <c r="IQC29" s="67"/>
      <c r="IQD29" s="67"/>
      <c r="IQE29" s="67"/>
      <c r="IQF29" s="67"/>
      <c r="IQG29" s="67"/>
      <c r="IQH29" s="67"/>
      <c r="IQI29" s="67"/>
      <c r="IQJ29" s="67"/>
      <c r="IQK29" s="67"/>
      <c r="IQL29" s="67"/>
      <c r="IQM29" s="67"/>
      <c r="IQN29" s="67"/>
      <c r="IQO29" s="67"/>
      <c r="IQP29" s="67"/>
      <c r="IQQ29" s="67"/>
      <c r="IQR29" s="67"/>
      <c r="IQS29" s="67"/>
      <c r="IQT29" s="67"/>
      <c r="IQU29" s="67"/>
      <c r="IQV29" s="67"/>
      <c r="IQW29" s="67"/>
      <c r="IQX29" s="67"/>
      <c r="IQY29" s="67"/>
      <c r="IQZ29" s="67"/>
      <c r="IRA29" s="67"/>
      <c r="IRB29" s="67"/>
      <c r="IRC29" s="67"/>
      <c r="IRD29" s="67"/>
      <c r="IRE29" s="67"/>
      <c r="IRF29" s="67"/>
      <c r="IRG29" s="67"/>
      <c r="IRH29" s="67"/>
      <c r="IRI29" s="67"/>
      <c r="IRJ29" s="67"/>
      <c r="IRK29" s="67"/>
      <c r="IRL29" s="67"/>
      <c r="IRM29" s="67"/>
      <c r="IRN29" s="67"/>
      <c r="IRO29" s="67"/>
      <c r="IRP29" s="67"/>
      <c r="IRQ29" s="67"/>
      <c r="IRR29" s="67"/>
      <c r="IRS29" s="67"/>
      <c r="IRT29" s="67"/>
      <c r="IRU29" s="67"/>
      <c r="IRV29" s="67"/>
      <c r="IRW29" s="67"/>
      <c r="IRX29" s="67"/>
      <c r="IRY29" s="67"/>
      <c r="IRZ29" s="67"/>
      <c r="ISA29" s="67"/>
      <c r="ISB29" s="67"/>
      <c r="ISC29" s="67"/>
      <c r="ISD29" s="67"/>
      <c r="ISE29" s="67"/>
      <c r="ISF29" s="67"/>
      <c r="ISG29" s="67"/>
      <c r="ISH29" s="67"/>
      <c r="ISI29" s="67"/>
      <c r="ISJ29" s="67"/>
      <c r="ISK29" s="67"/>
      <c r="ISL29" s="67"/>
      <c r="ISM29" s="67"/>
      <c r="ISN29" s="67"/>
      <c r="ISO29" s="67"/>
      <c r="ISP29" s="67"/>
      <c r="ISQ29" s="67"/>
      <c r="ISR29" s="67"/>
      <c r="ISS29" s="67"/>
      <c r="IST29" s="67"/>
      <c r="ISU29" s="67"/>
      <c r="ISV29" s="67"/>
      <c r="ISW29" s="67"/>
      <c r="ISX29" s="67"/>
      <c r="ISY29" s="67"/>
      <c r="ISZ29" s="67"/>
      <c r="ITA29" s="67"/>
      <c r="ITB29" s="67"/>
      <c r="ITC29" s="67"/>
      <c r="ITD29" s="67"/>
      <c r="ITE29" s="67"/>
      <c r="ITF29" s="67"/>
      <c r="ITG29" s="67"/>
      <c r="ITH29" s="67"/>
      <c r="ITI29" s="67"/>
      <c r="ITJ29" s="67"/>
      <c r="ITK29" s="67"/>
      <c r="ITL29" s="67"/>
      <c r="ITM29" s="67"/>
      <c r="ITN29" s="67"/>
      <c r="ITO29" s="67"/>
      <c r="ITP29" s="67"/>
      <c r="ITQ29" s="67"/>
      <c r="ITR29" s="67"/>
      <c r="ITS29" s="67"/>
      <c r="ITT29" s="67"/>
      <c r="ITU29" s="67"/>
      <c r="ITV29" s="67"/>
      <c r="ITW29" s="67"/>
      <c r="ITX29" s="67"/>
      <c r="ITY29" s="67"/>
      <c r="ITZ29" s="67"/>
      <c r="IUA29" s="67"/>
      <c r="IUB29" s="67"/>
      <c r="IUC29" s="67"/>
      <c r="IUD29" s="67"/>
      <c r="IUE29" s="67"/>
      <c r="IUF29" s="67"/>
      <c r="IUG29" s="67"/>
      <c r="IUH29" s="67"/>
      <c r="IUI29" s="67"/>
      <c r="IUJ29" s="67"/>
      <c r="IUK29" s="67"/>
      <c r="IUL29" s="67"/>
      <c r="IUM29" s="67"/>
      <c r="IUN29" s="67"/>
      <c r="IUO29" s="67"/>
      <c r="IUP29" s="67"/>
      <c r="IUQ29" s="67"/>
      <c r="IUR29" s="67"/>
      <c r="IUS29" s="67"/>
      <c r="IUT29" s="67"/>
      <c r="IUU29" s="67"/>
      <c r="IUV29" s="67"/>
      <c r="IUW29" s="67"/>
      <c r="IUX29" s="67"/>
      <c r="IUY29" s="67"/>
      <c r="IUZ29" s="67"/>
      <c r="IVA29" s="67"/>
      <c r="IVB29" s="67"/>
      <c r="IVC29" s="67"/>
      <c r="IVD29" s="67"/>
      <c r="IVE29" s="67"/>
      <c r="IVF29" s="67"/>
      <c r="IVG29" s="67"/>
      <c r="IVH29" s="67"/>
      <c r="IVI29" s="67"/>
      <c r="IVJ29" s="67"/>
      <c r="IVK29" s="67"/>
      <c r="IVL29" s="67"/>
      <c r="IVM29" s="67"/>
      <c r="IVN29" s="67"/>
      <c r="IVO29" s="67"/>
      <c r="IVP29" s="67"/>
      <c r="IVQ29" s="67"/>
      <c r="IVR29" s="67"/>
      <c r="IVS29" s="67"/>
      <c r="IVT29" s="67"/>
      <c r="IVU29" s="67"/>
      <c r="IVV29" s="67"/>
      <c r="IVW29" s="67"/>
      <c r="IVX29" s="67"/>
      <c r="IVY29" s="67"/>
      <c r="IVZ29" s="67"/>
      <c r="IWA29" s="67"/>
      <c r="IWB29" s="67"/>
      <c r="IWC29" s="67"/>
      <c r="IWD29" s="67"/>
      <c r="IWE29" s="67"/>
      <c r="IWF29" s="67"/>
      <c r="IWG29" s="67"/>
      <c r="IWH29" s="67"/>
      <c r="IWI29" s="67"/>
      <c r="IWJ29" s="67"/>
      <c r="IWK29" s="67"/>
      <c r="IWL29" s="67"/>
      <c r="IWM29" s="67"/>
      <c r="IWN29" s="67"/>
      <c r="IWO29" s="67"/>
      <c r="IWP29" s="67"/>
      <c r="IWQ29" s="67"/>
      <c r="IWR29" s="67"/>
      <c r="IWS29" s="67"/>
      <c r="IWT29" s="67"/>
      <c r="IWU29" s="67"/>
      <c r="IWV29" s="67"/>
      <c r="IWW29" s="67"/>
      <c r="IWX29" s="67"/>
      <c r="IWY29" s="67"/>
      <c r="IWZ29" s="67"/>
      <c r="IXA29" s="67"/>
      <c r="IXB29" s="67"/>
      <c r="IXC29" s="67"/>
      <c r="IXD29" s="67"/>
      <c r="IXE29" s="67"/>
      <c r="IXF29" s="67"/>
      <c r="IXG29" s="67"/>
      <c r="IXH29" s="67"/>
      <c r="IXI29" s="67"/>
      <c r="IXJ29" s="67"/>
      <c r="IXK29" s="67"/>
      <c r="IXL29" s="67"/>
      <c r="IXM29" s="67"/>
      <c r="IXN29" s="67"/>
      <c r="IXO29" s="67"/>
      <c r="IXP29" s="67"/>
      <c r="IXQ29" s="67"/>
      <c r="IXR29" s="67"/>
      <c r="IXS29" s="67"/>
      <c r="IXT29" s="67"/>
      <c r="IXU29" s="67"/>
      <c r="IXV29" s="67"/>
      <c r="IXW29" s="67"/>
      <c r="IXX29" s="67"/>
      <c r="IXY29" s="67"/>
      <c r="IXZ29" s="67"/>
      <c r="IYA29" s="67"/>
      <c r="IYB29" s="67"/>
      <c r="IYC29" s="67"/>
      <c r="IYD29" s="67"/>
      <c r="IYE29" s="67"/>
      <c r="IYF29" s="67"/>
      <c r="IYG29" s="67"/>
      <c r="IYH29" s="67"/>
      <c r="IYI29" s="67"/>
      <c r="IYJ29" s="67"/>
      <c r="IYK29" s="67"/>
      <c r="IYL29" s="67"/>
      <c r="IYM29" s="67"/>
      <c r="IYN29" s="67"/>
      <c r="IYO29" s="67"/>
      <c r="IYP29" s="67"/>
      <c r="IYQ29" s="67"/>
      <c r="IYR29" s="67"/>
      <c r="IYS29" s="67"/>
      <c r="IYT29" s="67"/>
      <c r="IYU29" s="67"/>
      <c r="IYV29" s="67"/>
      <c r="IYW29" s="67"/>
      <c r="IYX29" s="67"/>
      <c r="IYY29" s="67"/>
      <c r="IYZ29" s="67"/>
      <c r="IZA29" s="67"/>
      <c r="IZB29" s="67"/>
      <c r="IZC29" s="67"/>
      <c r="IZD29" s="67"/>
      <c r="IZE29" s="67"/>
      <c r="IZF29" s="67"/>
      <c r="IZG29" s="67"/>
      <c r="IZH29" s="67"/>
      <c r="IZI29" s="67"/>
      <c r="IZJ29" s="67"/>
      <c r="IZK29" s="67"/>
      <c r="IZL29" s="67"/>
      <c r="IZM29" s="67"/>
      <c r="IZN29" s="67"/>
      <c r="IZO29" s="67"/>
      <c r="IZP29" s="67"/>
      <c r="IZQ29" s="67"/>
      <c r="IZR29" s="67"/>
      <c r="IZS29" s="67"/>
      <c r="IZT29" s="67"/>
      <c r="IZU29" s="67"/>
      <c r="IZV29" s="67"/>
      <c r="IZW29" s="67"/>
      <c r="IZX29" s="67"/>
      <c r="IZY29" s="67"/>
      <c r="IZZ29" s="67"/>
      <c r="JAA29" s="67"/>
      <c r="JAB29" s="67"/>
      <c r="JAC29" s="67"/>
      <c r="JAD29" s="67"/>
      <c r="JAE29" s="67"/>
      <c r="JAF29" s="67"/>
      <c r="JAG29" s="67"/>
      <c r="JAH29" s="67"/>
      <c r="JAI29" s="67"/>
      <c r="JAJ29" s="67"/>
      <c r="JAK29" s="67"/>
      <c r="JAL29" s="67"/>
      <c r="JAM29" s="67"/>
      <c r="JAN29" s="67"/>
      <c r="JAO29" s="67"/>
      <c r="JAP29" s="67"/>
      <c r="JAQ29" s="67"/>
      <c r="JAR29" s="67"/>
      <c r="JAS29" s="67"/>
      <c r="JAT29" s="67"/>
      <c r="JAU29" s="67"/>
      <c r="JAV29" s="67"/>
      <c r="JAW29" s="67"/>
      <c r="JAX29" s="67"/>
      <c r="JAY29" s="67"/>
      <c r="JAZ29" s="67"/>
      <c r="JBA29" s="67"/>
      <c r="JBB29" s="67"/>
      <c r="JBC29" s="67"/>
      <c r="JBD29" s="67"/>
      <c r="JBE29" s="67"/>
      <c r="JBF29" s="67"/>
      <c r="JBG29" s="67"/>
      <c r="JBH29" s="67"/>
      <c r="JBI29" s="67"/>
      <c r="JBJ29" s="67"/>
      <c r="JBK29" s="67"/>
      <c r="JBL29" s="67"/>
      <c r="JBM29" s="67"/>
      <c r="JBN29" s="67"/>
      <c r="JBO29" s="67"/>
      <c r="JBP29" s="67"/>
      <c r="JBQ29" s="67"/>
      <c r="JBR29" s="67"/>
      <c r="JBS29" s="67"/>
      <c r="JBT29" s="67"/>
      <c r="JBU29" s="67"/>
      <c r="JBV29" s="67"/>
      <c r="JBW29" s="67"/>
      <c r="JBX29" s="67"/>
      <c r="JBY29" s="67"/>
      <c r="JBZ29" s="67"/>
      <c r="JCA29" s="67"/>
      <c r="JCB29" s="67"/>
      <c r="JCC29" s="67"/>
      <c r="JCD29" s="67"/>
      <c r="JCE29" s="67"/>
      <c r="JCF29" s="67"/>
      <c r="JCG29" s="67"/>
      <c r="JCH29" s="67"/>
      <c r="JCI29" s="67"/>
      <c r="JCJ29" s="67"/>
      <c r="JCK29" s="67"/>
      <c r="JCL29" s="67"/>
      <c r="JCM29" s="67"/>
      <c r="JCN29" s="67"/>
      <c r="JCO29" s="67"/>
      <c r="JCP29" s="67"/>
      <c r="JCQ29" s="67"/>
      <c r="JCR29" s="67"/>
      <c r="JCS29" s="67"/>
      <c r="JCT29" s="67"/>
      <c r="JCU29" s="67"/>
      <c r="JCV29" s="67"/>
      <c r="JCW29" s="67"/>
      <c r="JCX29" s="67"/>
      <c r="JCY29" s="67"/>
      <c r="JCZ29" s="67"/>
      <c r="JDA29" s="67"/>
      <c r="JDB29" s="67"/>
      <c r="JDC29" s="67"/>
      <c r="JDD29" s="67"/>
      <c r="JDE29" s="67"/>
      <c r="JDF29" s="67"/>
      <c r="JDG29" s="67"/>
      <c r="JDH29" s="67"/>
      <c r="JDI29" s="67"/>
      <c r="JDJ29" s="67"/>
      <c r="JDK29" s="67"/>
      <c r="JDL29" s="67"/>
      <c r="JDM29" s="67"/>
      <c r="JDN29" s="67"/>
      <c r="JDO29" s="67"/>
      <c r="JDP29" s="67"/>
      <c r="JDQ29" s="67"/>
      <c r="JDR29" s="67"/>
      <c r="JDS29" s="67"/>
      <c r="JDT29" s="67"/>
      <c r="JDU29" s="67"/>
      <c r="JDV29" s="67"/>
      <c r="JDW29" s="67"/>
      <c r="JDX29" s="67"/>
      <c r="JDY29" s="67"/>
      <c r="JDZ29" s="67"/>
      <c r="JEA29" s="67"/>
      <c r="JEB29" s="67"/>
      <c r="JEC29" s="67"/>
      <c r="JED29" s="67"/>
      <c r="JEE29" s="67"/>
      <c r="JEF29" s="67"/>
      <c r="JEG29" s="67"/>
      <c r="JEH29" s="67"/>
      <c r="JEI29" s="67"/>
      <c r="JEJ29" s="67"/>
      <c r="JEK29" s="67"/>
      <c r="JEL29" s="67"/>
      <c r="JEM29" s="67"/>
      <c r="JEN29" s="67"/>
      <c r="JEO29" s="67"/>
      <c r="JEP29" s="67"/>
      <c r="JEQ29" s="67"/>
      <c r="JER29" s="67"/>
      <c r="JES29" s="67"/>
      <c r="JET29" s="67"/>
      <c r="JEU29" s="67"/>
      <c r="JEV29" s="67"/>
      <c r="JEW29" s="67"/>
      <c r="JEX29" s="67"/>
      <c r="JEY29" s="67"/>
      <c r="JEZ29" s="67"/>
      <c r="JFA29" s="67"/>
      <c r="JFB29" s="67"/>
      <c r="JFC29" s="67"/>
      <c r="JFD29" s="67"/>
      <c r="JFE29" s="67"/>
      <c r="JFF29" s="67"/>
      <c r="JFG29" s="67"/>
      <c r="JFH29" s="67"/>
      <c r="JFI29" s="67"/>
      <c r="JFJ29" s="67"/>
      <c r="JFK29" s="67"/>
      <c r="JFL29" s="67"/>
      <c r="JFM29" s="67"/>
      <c r="JFN29" s="67"/>
      <c r="JFO29" s="67"/>
      <c r="JFP29" s="67"/>
      <c r="JFQ29" s="67"/>
      <c r="JFR29" s="67"/>
      <c r="JFS29" s="67"/>
      <c r="JFT29" s="67"/>
      <c r="JFU29" s="67"/>
      <c r="JFV29" s="67"/>
      <c r="JFW29" s="67"/>
      <c r="JFX29" s="67"/>
      <c r="JFY29" s="67"/>
      <c r="JFZ29" s="67"/>
      <c r="JGA29" s="67"/>
      <c r="JGB29" s="67"/>
      <c r="JGC29" s="67"/>
      <c r="JGD29" s="67"/>
      <c r="JGE29" s="67"/>
      <c r="JGF29" s="67"/>
      <c r="JGG29" s="67"/>
      <c r="JGH29" s="67"/>
      <c r="JGI29" s="67"/>
      <c r="JGJ29" s="67"/>
      <c r="JGK29" s="67"/>
      <c r="JGL29" s="67"/>
      <c r="JGM29" s="67"/>
      <c r="JGN29" s="67"/>
      <c r="JGO29" s="67"/>
      <c r="JGP29" s="67"/>
      <c r="JGQ29" s="67"/>
      <c r="JGR29" s="67"/>
      <c r="JGS29" s="67"/>
      <c r="JGT29" s="67"/>
      <c r="JGU29" s="67"/>
      <c r="JGV29" s="67"/>
      <c r="JGW29" s="67"/>
      <c r="JGX29" s="67"/>
      <c r="JGY29" s="67"/>
      <c r="JGZ29" s="67"/>
      <c r="JHA29" s="67"/>
      <c r="JHB29" s="67"/>
      <c r="JHC29" s="67"/>
      <c r="JHD29" s="67"/>
      <c r="JHE29" s="67"/>
      <c r="JHF29" s="67"/>
      <c r="JHG29" s="67"/>
      <c r="JHH29" s="67"/>
      <c r="JHI29" s="67"/>
      <c r="JHJ29" s="67"/>
      <c r="JHK29" s="67"/>
      <c r="JHL29" s="67"/>
      <c r="JHM29" s="67"/>
      <c r="JHN29" s="67"/>
      <c r="JHO29" s="67"/>
      <c r="JHP29" s="67"/>
      <c r="JHQ29" s="67"/>
      <c r="JHR29" s="67"/>
      <c r="JHS29" s="67"/>
      <c r="JHT29" s="67"/>
      <c r="JHU29" s="67"/>
      <c r="JHV29" s="67"/>
      <c r="JHW29" s="67"/>
      <c r="JHX29" s="67"/>
      <c r="JHY29" s="67"/>
      <c r="JHZ29" s="67"/>
      <c r="JIA29" s="67"/>
      <c r="JIB29" s="67"/>
      <c r="JIC29" s="67"/>
      <c r="JID29" s="67"/>
      <c r="JIE29" s="67"/>
      <c r="JIF29" s="67"/>
      <c r="JIG29" s="67"/>
      <c r="JIH29" s="67"/>
      <c r="JII29" s="67"/>
      <c r="JIJ29" s="67"/>
      <c r="JIK29" s="67"/>
      <c r="JIL29" s="67"/>
      <c r="JIM29" s="67"/>
      <c r="JIN29" s="67"/>
      <c r="JIO29" s="67"/>
      <c r="JIP29" s="67"/>
      <c r="JIQ29" s="67"/>
      <c r="JIR29" s="67"/>
      <c r="JIS29" s="67"/>
      <c r="JIT29" s="67"/>
      <c r="JIU29" s="67"/>
      <c r="JIV29" s="67"/>
      <c r="JIW29" s="67"/>
      <c r="JIX29" s="67"/>
      <c r="JIY29" s="67"/>
      <c r="JIZ29" s="67"/>
      <c r="JJA29" s="67"/>
      <c r="JJB29" s="67"/>
      <c r="JJC29" s="67"/>
      <c r="JJD29" s="67"/>
      <c r="JJE29" s="67"/>
      <c r="JJF29" s="67"/>
      <c r="JJG29" s="67"/>
      <c r="JJH29" s="67"/>
      <c r="JJI29" s="67"/>
      <c r="JJJ29" s="67"/>
      <c r="JJK29" s="67"/>
      <c r="JJL29" s="67"/>
      <c r="JJM29" s="67"/>
      <c r="JJN29" s="67"/>
      <c r="JJO29" s="67"/>
      <c r="JJP29" s="67"/>
      <c r="JJQ29" s="67"/>
      <c r="JJR29" s="67"/>
      <c r="JJS29" s="67"/>
      <c r="JJT29" s="67"/>
      <c r="JJU29" s="67"/>
      <c r="JJV29" s="67"/>
      <c r="JJW29" s="67"/>
      <c r="JJX29" s="67"/>
      <c r="JJY29" s="67"/>
      <c r="JJZ29" s="67"/>
      <c r="JKA29" s="67"/>
      <c r="JKB29" s="67"/>
      <c r="JKC29" s="67"/>
      <c r="JKD29" s="67"/>
      <c r="JKE29" s="67"/>
      <c r="JKF29" s="67"/>
      <c r="JKG29" s="67"/>
      <c r="JKH29" s="67"/>
      <c r="JKI29" s="67"/>
      <c r="JKJ29" s="67"/>
      <c r="JKK29" s="67"/>
      <c r="JKL29" s="67"/>
      <c r="JKM29" s="67"/>
      <c r="JKN29" s="67"/>
      <c r="JKO29" s="67"/>
      <c r="JKP29" s="67"/>
      <c r="JKQ29" s="67"/>
      <c r="JKR29" s="67"/>
      <c r="JKS29" s="67"/>
      <c r="JKT29" s="67"/>
      <c r="JKU29" s="67"/>
      <c r="JKV29" s="67"/>
      <c r="JKW29" s="67"/>
      <c r="JKX29" s="67"/>
      <c r="JKY29" s="67"/>
      <c r="JKZ29" s="67"/>
      <c r="JLA29" s="67"/>
      <c r="JLB29" s="67"/>
      <c r="JLC29" s="67"/>
      <c r="JLD29" s="67"/>
      <c r="JLE29" s="67"/>
      <c r="JLF29" s="67"/>
      <c r="JLG29" s="67"/>
      <c r="JLH29" s="67"/>
      <c r="JLI29" s="67"/>
      <c r="JLJ29" s="67"/>
      <c r="JLK29" s="67"/>
      <c r="JLL29" s="67"/>
      <c r="JLM29" s="67"/>
      <c r="JLN29" s="67"/>
      <c r="JLO29" s="67"/>
      <c r="JLP29" s="67"/>
      <c r="JLQ29" s="67"/>
      <c r="JLR29" s="67"/>
      <c r="JLS29" s="67"/>
      <c r="JLT29" s="67"/>
      <c r="JLU29" s="67"/>
      <c r="JLV29" s="67"/>
      <c r="JLW29" s="67"/>
      <c r="JLX29" s="67"/>
      <c r="JLY29" s="67"/>
      <c r="JLZ29" s="67"/>
      <c r="JMA29" s="67"/>
      <c r="JMB29" s="67"/>
      <c r="JMC29" s="67"/>
      <c r="JMD29" s="67"/>
      <c r="JME29" s="67"/>
      <c r="JMF29" s="67"/>
      <c r="JMG29" s="67"/>
      <c r="JMH29" s="67"/>
      <c r="JMI29" s="67"/>
      <c r="JMJ29" s="67"/>
      <c r="JMK29" s="67"/>
      <c r="JML29" s="67"/>
      <c r="JMM29" s="67"/>
      <c r="JMN29" s="67"/>
      <c r="JMO29" s="67"/>
      <c r="JMP29" s="67"/>
      <c r="JMQ29" s="67"/>
      <c r="JMR29" s="67"/>
      <c r="JMS29" s="67"/>
      <c r="JMT29" s="67"/>
      <c r="JMU29" s="67"/>
      <c r="JMV29" s="67"/>
      <c r="JMW29" s="67"/>
      <c r="JMX29" s="67"/>
      <c r="JMY29" s="67"/>
      <c r="JMZ29" s="67"/>
      <c r="JNA29" s="67"/>
      <c r="JNB29" s="67"/>
      <c r="JNC29" s="67"/>
      <c r="JND29" s="67"/>
      <c r="JNE29" s="67"/>
      <c r="JNF29" s="67"/>
      <c r="JNG29" s="67"/>
      <c r="JNH29" s="67"/>
      <c r="JNI29" s="67"/>
      <c r="JNJ29" s="67"/>
      <c r="JNK29" s="67"/>
      <c r="JNL29" s="67"/>
      <c r="JNM29" s="67"/>
      <c r="JNN29" s="67"/>
      <c r="JNO29" s="67"/>
      <c r="JNP29" s="67"/>
      <c r="JNQ29" s="67"/>
      <c r="JNR29" s="67"/>
      <c r="JNS29" s="67"/>
      <c r="JNT29" s="67"/>
      <c r="JNU29" s="67"/>
      <c r="JNV29" s="67"/>
      <c r="JNW29" s="67"/>
      <c r="JNX29" s="67"/>
      <c r="JNY29" s="67"/>
      <c r="JNZ29" s="67"/>
      <c r="JOA29" s="67"/>
      <c r="JOB29" s="67"/>
      <c r="JOC29" s="67"/>
      <c r="JOD29" s="67"/>
      <c r="JOE29" s="67"/>
      <c r="JOF29" s="67"/>
      <c r="JOG29" s="67"/>
      <c r="JOH29" s="67"/>
      <c r="JOI29" s="67"/>
      <c r="JOJ29" s="67"/>
      <c r="JOK29" s="67"/>
      <c r="JOL29" s="67"/>
      <c r="JOM29" s="67"/>
      <c r="JON29" s="67"/>
      <c r="JOO29" s="67"/>
      <c r="JOP29" s="67"/>
      <c r="JOQ29" s="67"/>
      <c r="JOR29" s="67"/>
      <c r="JOS29" s="67"/>
      <c r="JOT29" s="67"/>
      <c r="JOU29" s="67"/>
      <c r="JOV29" s="67"/>
      <c r="JOW29" s="67"/>
      <c r="JOX29" s="67"/>
      <c r="JOY29" s="67"/>
      <c r="JOZ29" s="67"/>
      <c r="JPA29" s="67"/>
      <c r="JPB29" s="67"/>
      <c r="JPC29" s="67"/>
      <c r="JPD29" s="67"/>
      <c r="JPE29" s="67"/>
      <c r="JPF29" s="67"/>
      <c r="JPG29" s="67"/>
      <c r="JPH29" s="67"/>
      <c r="JPI29" s="67"/>
      <c r="JPJ29" s="67"/>
      <c r="JPK29" s="67"/>
      <c r="JPL29" s="67"/>
      <c r="JPM29" s="67"/>
      <c r="JPN29" s="67"/>
      <c r="JPO29" s="67"/>
      <c r="JPP29" s="67"/>
      <c r="JPQ29" s="67"/>
      <c r="JPR29" s="67"/>
      <c r="JPS29" s="67"/>
      <c r="JPT29" s="67"/>
      <c r="JPU29" s="67"/>
      <c r="JPV29" s="67"/>
      <c r="JPW29" s="67"/>
      <c r="JPX29" s="67"/>
      <c r="JPY29" s="67"/>
      <c r="JPZ29" s="67"/>
      <c r="JQA29" s="67"/>
      <c r="JQB29" s="67"/>
      <c r="JQC29" s="67"/>
      <c r="JQD29" s="67"/>
      <c r="JQE29" s="67"/>
      <c r="JQF29" s="67"/>
      <c r="JQG29" s="67"/>
      <c r="JQH29" s="67"/>
      <c r="JQI29" s="67"/>
      <c r="JQJ29" s="67"/>
      <c r="JQK29" s="67"/>
      <c r="JQL29" s="67"/>
      <c r="JQM29" s="67"/>
      <c r="JQN29" s="67"/>
      <c r="JQO29" s="67"/>
      <c r="JQP29" s="67"/>
      <c r="JQQ29" s="67"/>
      <c r="JQR29" s="67"/>
      <c r="JQS29" s="67"/>
      <c r="JQT29" s="67"/>
      <c r="JQU29" s="67"/>
      <c r="JQV29" s="67"/>
      <c r="JQW29" s="67"/>
      <c r="JQX29" s="67"/>
      <c r="JQY29" s="67"/>
      <c r="JQZ29" s="67"/>
      <c r="JRA29" s="67"/>
      <c r="JRB29" s="67"/>
      <c r="JRC29" s="67"/>
      <c r="JRD29" s="67"/>
      <c r="JRE29" s="67"/>
      <c r="JRF29" s="67"/>
      <c r="JRG29" s="67"/>
      <c r="JRH29" s="67"/>
      <c r="JRI29" s="67"/>
      <c r="JRJ29" s="67"/>
      <c r="JRK29" s="67"/>
      <c r="JRL29" s="67"/>
      <c r="JRM29" s="67"/>
      <c r="JRN29" s="67"/>
      <c r="JRO29" s="67"/>
      <c r="JRP29" s="67"/>
      <c r="JRQ29" s="67"/>
      <c r="JRR29" s="67"/>
      <c r="JRS29" s="67"/>
      <c r="JRT29" s="67"/>
      <c r="JRU29" s="67"/>
      <c r="JRV29" s="67"/>
      <c r="JRW29" s="67"/>
      <c r="JRX29" s="67"/>
      <c r="JRY29" s="67"/>
      <c r="JRZ29" s="67"/>
      <c r="JSA29" s="67"/>
      <c r="JSB29" s="67"/>
      <c r="JSC29" s="67"/>
      <c r="JSD29" s="67"/>
      <c r="JSE29" s="67"/>
      <c r="JSF29" s="67"/>
      <c r="JSG29" s="67"/>
      <c r="JSH29" s="67"/>
      <c r="JSI29" s="67"/>
      <c r="JSJ29" s="67"/>
      <c r="JSK29" s="67"/>
      <c r="JSL29" s="67"/>
      <c r="JSM29" s="67"/>
      <c r="JSN29" s="67"/>
      <c r="JSO29" s="67"/>
      <c r="JSP29" s="67"/>
      <c r="JSQ29" s="67"/>
      <c r="JSR29" s="67"/>
      <c r="JSS29" s="67"/>
      <c r="JST29" s="67"/>
      <c r="JSU29" s="67"/>
      <c r="JSV29" s="67"/>
      <c r="JSW29" s="67"/>
      <c r="JSX29" s="67"/>
      <c r="JSY29" s="67"/>
      <c r="JSZ29" s="67"/>
      <c r="JTA29" s="67"/>
      <c r="JTB29" s="67"/>
      <c r="JTC29" s="67"/>
      <c r="JTD29" s="67"/>
      <c r="JTE29" s="67"/>
      <c r="JTF29" s="67"/>
      <c r="JTG29" s="67"/>
      <c r="JTH29" s="67"/>
      <c r="JTI29" s="67"/>
      <c r="JTJ29" s="67"/>
      <c r="JTK29" s="67"/>
      <c r="JTL29" s="67"/>
      <c r="JTM29" s="67"/>
      <c r="JTN29" s="67"/>
      <c r="JTO29" s="67"/>
      <c r="JTP29" s="67"/>
      <c r="JTQ29" s="67"/>
      <c r="JTR29" s="67"/>
      <c r="JTS29" s="67"/>
      <c r="JTT29" s="67"/>
      <c r="JTU29" s="67"/>
      <c r="JTV29" s="67"/>
      <c r="JTW29" s="67"/>
      <c r="JTX29" s="67"/>
      <c r="JTY29" s="67"/>
      <c r="JTZ29" s="67"/>
      <c r="JUA29" s="67"/>
      <c r="JUB29" s="67"/>
      <c r="JUC29" s="67"/>
      <c r="JUD29" s="67"/>
      <c r="JUE29" s="67"/>
      <c r="JUF29" s="67"/>
      <c r="JUG29" s="67"/>
      <c r="JUH29" s="67"/>
      <c r="JUI29" s="67"/>
      <c r="JUJ29" s="67"/>
      <c r="JUK29" s="67"/>
      <c r="JUL29" s="67"/>
      <c r="JUM29" s="67"/>
      <c r="JUN29" s="67"/>
      <c r="JUO29" s="67"/>
      <c r="JUP29" s="67"/>
      <c r="JUQ29" s="67"/>
      <c r="JUR29" s="67"/>
      <c r="JUS29" s="67"/>
      <c r="JUT29" s="67"/>
      <c r="JUU29" s="67"/>
      <c r="JUV29" s="67"/>
      <c r="JUW29" s="67"/>
      <c r="JUX29" s="67"/>
      <c r="JUY29" s="67"/>
      <c r="JUZ29" s="67"/>
      <c r="JVA29" s="67"/>
      <c r="JVB29" s="67"/>
      <c r="JVC29" s="67"/>
      <c r="JVD29" s="67"/>
      <c r="JVE29" s="67"/>
      <c r="JVF29" s="67"/>
      <c r="JVG29" s="67"/>
      <c r="JVH29" s="67"/>
      <c r="JVI29" s="67"/>
      <c r="JVJ29" s="67"/>
      <c r="JVK29" s="67"/>
      <c r="JVL29" s="67"/>
      <c r="JVM29" s="67"/>
      <c r="JVN29" s="67"/>
      <c r="JVO29" s="67"/>
      <c r="JVP29" s="67"/>
      <c r="JVQ29" s="67"/>
      <c r="JVR29" s="67"/>
      <c r="JVS29" s="67"/>
      <c r="JVT29" s="67"/>
      <c r="JVU29" s="67"/>
      <c r="JVV29" s="67"/>
      <c r="JVW29" s="67"/>
      <c r="JVX29" s="67"/>
      <c r="JVY29" s="67"/>
      <c r="JVZ29" s="67"/>
      <c r="JWA29" s="67"/>
      <c r="JWB29" s="67"/>
      <c r="JWC29" s="67"/>
      <c r="JWD29" s="67"/>
      <c r="JWE29" s="67"/>
      <c r="JWF29" s="67"/>
      <c r="JWG29" s="67"/>
      <c r="JWH29" s="67"/>
      <c r="JWI29" s="67"/>
      <c r="JWJ29" s="67"/>
      <c r="JWK29" s="67"/>
      <c r="JWL29" s="67"/>
      <c r="JWM29" s="67"/>
      <c r="JWN29" s="67"/>
      <c r="JWO29" s="67"/>
      <c r="JWP29" s="67"/>
      <c r="JWQ29" s="67"/>
      <c r="JWR29" s="67"/>
      <c r="JWS29" s="67"/>
      <c r="JWT29" s="67"/>
      <c r="JWU29" s="67"/>
      <c r="JWV29" s="67"/>
      <c r="JWW29" s="67"/>
      <c r="JWX29" s="67"/>
      <c r="JWY29" s="67"/>
      <c r="JWZ29" s="67"/>
      <c r="JXA29" s="67"/>
      <c r="JXB29" s="67"/>
      <c r="JXC29" s="67"/>
      <c r="JXD29" s="67"/>
      <c r="JXE29" s="67"/>
      <c r="JXF29" s="67"/>
      <c r="JXG29" s="67"/>
      <c r="JXH29" s="67"/>
      <c r="JXI29" s="67"/>
      <c r="JXJ29" s="67"/>
      <c r="JXK29" s="67"/>
      <c r="JXL29" s="67"/>
      <c r="JXM29" s="67"/>
      <c r="JXN29" s="67"/>
      <c r="JXO29" s="67"/>
      <c r="JXP29" s="67"/>
      <c r="JXQ29" s="67"/>
      <c r="JXR29" s="67"/>
      <c r="JXS29" s="67"/>
      <c r="JXT29" s="67"/>
      <c r="JXU29" s="67"/>
      <c r="JXV29" s="67"/>
      <c r="JXW29" s="67"/>
      <c r="JXX29" s="67"/>
      <c r="JXY29" s="67"/>
      <c r="JXZ29" s="67"/>
      <c r="JYA29" s="67"/>
      <c r="JYB29" s="67"/>
      <c r="JYC29" s="67"/>
      <c r="JYD29" s="67"/>
      <c r="JYE29" s="67"/>
      <c r="JYF29" s="67"/>
      <c r="JYG29" s="67"/>
      <c r="JYH29" s="67"/>
      <c r="JYI29" s="67"/>
      <c r="JYJ29" s="67"/>
      <c r="JYK29" s="67"/>
      <c r="JYL29" s="67"/>
      <c r="JYM29" s="67"/>
      <c r="JYN29" s="67"/>
      <c r="JYO29" s="67"/>
      <c r="JYP29" s="67"/>
      <c r="JYQ29" s="67"/>
      <c r="JYR29" s="67"/>
      <c r="JYS29" s="67"/>
      <c r="JYT29" s="67"/>
      <c r="JYU29" s="67"/>
      <c r="JYV29" s="67"/>
      <c r="JYW29" s="67"/>
      <c r="JYX29" s="67"/>
      <c r="JYY29" s="67"/>
      <c r="JYZ29" s="67"/>
      <c r="JZA29" s="67"/>
      <c r="JZB29" s="67"/>
      <c r="JZC29" s="67"/>
      <c r="JZD29" s="67"/>
      <c r="JZE29" s="67"/>
      <c r="JZF29" s="67"/>
      <c r="JZG29" s="67"/>
      <c r="JZH29" s="67"/>
      <c r="JZI29" s="67"/>
      <c r="JZJ29" s="67"/>
      <c r="JZK29" s="67"/>
      <c r="JZL29" s="67"/>
      <c r="JZM29" s="67"/>
      <c r="JZN29" s="67"/>
      <c r="JZO29" s="67"/>
      <c r="JZP29" s="67"/>
      <c r="JZQ29" s="67"/>
      <c r="JZR29" s="67"/>
      <c r="JZS29" s="67"/>
      <c r="JZT29" s="67"/>
      <c r="JZU29" s="67"/>
      <c r="JZV29" s="67"/>
      <c r="JZW29" s="67"/>
      <c r="JZX29" s="67"/>
      <c r="JZY29" s="67"/>
      <c r="JZZ29" s="67"/>
      <c r="KAA29" s="67"/>
      <c r="KAB29" s="67"/>
      <c r="KAC29" s="67"/>
      <c r="KAD29" s="67"/>
      <c r="KAE29" s="67"/>
      <c r="KAF29" s="67"/>
      <c r="KAG29" s="67"/>
      <c r="KAH29" s="67"/>
      <c r="KAI29" s="67"/>
      <c r="KAJ29" s="67"/>
      <c r="KAK29" s="67"/>
      <c r="KAL29" s="67"/>
      <c r="KAM29" s="67"/>
      <c r="KAN29" s="67"/>
      <c r="KAO29" s="67"/>
      <c r="KAP29" s="67"/>
      <c r="KAQ29" s="67"/>
      <c r="KAR29" s="67"/>
      <c r="KAS29" s="67"/>
      <c r="KAT29" s="67"/>
      <c r="KAU29" s="67"/>
      <c r="KAV29" s="67"/>
      <c r="KAW29" s="67"/>
      <c r="KAX29" s="67"/>
      <c r="KAY29" s="67"/>
      <c r="KAZ29" s="67"/>
      <c r="KBA29" s="67"/>
      <c r="KBB29" s="67"/>
      <c r="KBC29" s="67"/>
      <c r="KBD29" s="67"/>
      <c r="KBE29" s="67"/>
      <c r="KBF29" s="67"/>
      <c r="KBG29" s="67"/>
      <c r="KBH29" s="67"/>
      <c r="KBI29" s="67"/>
      <c r="KBJ29" s="67"/>
      <c r="KBK29" s="67"/>
      <c r="KBL29" s="67"/>
      <c r="KBM29" s="67"/>
      <c r="KBN29" s="67"/>
      <c r="KBO29" s="67"/>
      <c r="KBP29" s="67"/>
      <c r="KBQ29" s="67"/>
      <c r="KBR29" s="67"/>
      <c r="KBS29" s="67"/>
      <c r="KBT29" s="67"/>
      <c r="KBU29" s="67"/>
      <c r="KBV29" s="67"/>
      <c r="KBW29" s="67"/>
      <c r="KBX29" s="67"/>
      <c r="KBY29" s="67"/>
      <c r="KBZ29" s="67"/>
      <c r="KCA29" s="67"/>
      <c r="KCB29" s="67"/>
      <c r="KCC29" s="67"/>
      <c r="KCD29" s="67"/>
      <c r="KCE29" s="67"/>
      <c r="KCF29" s="67"/>
      <c r="KCG29" s="67"/>
      <c r="KCH29" s="67"/>
      <c r="KCI29" s="67"/>
      <c r="KCJ29" s="67"/>
      <c r="KCK29" s="67"/>
      <c r="KCL29" s="67"/>
      <c r="KCM29" s="67"/>
      <c r="KCN29" s="67"/>
      <c r="KCO29" s="67"/>
      <c r="KCP29" s="67"/>
      <c r="KCQ29" s="67"/>
      <c r="KCR29" s="67"/>
      <c r="KCS29" s="67"/>
      <c r="KCT29" s="67"/>
      <c r="KCU29" s="67"/>
      <c r="KCV29" s="67"/>
      <c r="KCW29" s="67"/>
      <c r="KCX29" s="67"/>
      <c r="KCY29" s="67"/>
      <c r="KCZ29" s="67"/>
      <c r="KDA29" s="67"/>
      <c r="KDB29" s="67"/>
      <c r="KDC29" s="67"/>
      <c r="KDD29" s="67"/>
      <c r="KDE29" s="67"/>
      <c r="KDF29" s="67"/>
      <c r="KDG29" s="67"/>
      <c r="KDH29" s="67"/>
      <c r="KDI29" s="67"/>
      <c r="KDJ29" s="67"/>
      <c r="KDK29" s="67"/>
      <c r="KDL29" s="67"/>
      <c r="KDM29" s="67"/>
      <c r="KDN29" s="67"/>
      <c r="KDO29" s="67"/>
      <c r="KDP29" s="67"/>
      <c r="KDQ29" s="67"/>
      <c r="KDR29" s="67"/>
      <c r="KDS29" s="67"/>
      <c r="KDT29" s="67"/>
      <c r="KDU29" s="67"/>
      <c r="KDV29" s="67"/>
      <c r="KDW29" s="67"/>
      <c r="KDX29" s="67"/>
      <c r="KDY29" s="67"/>
      <c r="KDZ29" s="67"/>
      <c r="KEA29" s="67"/>
      <c r="KEB29" s="67"/>
      <c r="KEC29" s="67"/>
      <c r="KED29" s="67"/>
      <c r="KEE29" s="67"/>
      <c r="KEF29" s="67"/>
      <c r="KEG29" s="67"/>
      <c r="KEH29" s="67"/>
      <c r="KEI29" s="67"/>
      <c r="KEJ29" s="67"/>
      <c r="KEK29" s="67"/>
      <c r="KEL29" s="67"/>
      <c r="KEM29" s="67"/>
      <c r="KEN29" s="67"/>
      <c r="KEO29" s="67"/>
      <c r="KEP29" s="67"/>
      <c r="KEQ29" s="67"/>
      <c r="KER29" s="67"/>
      <c r="KES29" s="67"/>
      <c r="KET29" s="67"/>
      <c r="KEU29" s="67"/>
      <c r="KEV29" s="67"/>
      <c r="KEW29" s="67"/>
      <c r="KEX29" s="67"/>
      <c r="KEY29" s="67"/>
      <c r="KEZ29" s="67"/>
      <c r="KFA29" s="67"/>
      <c r="KFB29" s="67"/>
      <c r="KFC29" s="67"/>
      <c r="KFD29" s="67"/>
      <c r="KFE29" s="67"/>
      <c r="KFF29" s="67"/>
      <c r="KFG29" s="67"/>
      <c r="KFH29" s="67"/>
      <c r="KFI29" s="67"/>
      <c r="KFJ29" s="67"/>
      <c r="KFK29" s="67"/>
      <c r="KFL29" s="67"/>
      <c r="KFM29" s="67"/>
      <c r="KFN29" s="67"/>
      <c r="KFO29" s="67"/>
      <c r="KFP29" s="67"/>
      <c r="KFQ29" s="67"/>
      <c r="KFR29" s="67"/>
      <c r="KFS29" s="67"/>
      <c r="KFT29" s="67"/>
      <c r="KFU29" s="67"/>
      <c r="KFV29" s="67"/>
      <c r="KFW29" s="67"/>
      <c r="KFX29" s="67"/>
      <c r="KFY29" s="67"/>
      <c r="KFZ29" s="67"/>
      <c r="KGA29" s="67"/>
      <c r="KGB29" s="67"/>
      <c r="KGC29" s="67"/>
      <c r="KGD29" s="67"/>
      <c r="KGE29" s="67"/>
      <c r="KGF29" s="67"/>
      <c r="KGG29" s="67"/>
      <c r="KGH29" s="67"/>
      <c r="KGI29" s="67"/>
      <c r="KGJ29" s="67"/>
      <c r="KGK29" s="67"/>
      <c r="KGL29" s="67"/>
      <c r="KGM29" s="67"/>
      <c r="KGN29" s="67"/>
      <c r="KGO29" s="67"/>
      <c r="KGP29" s="67"/>
      <c r="KGQ29" s="67"/>
      <c r="KGR29" s="67"/>
      <c r="KGS29" s="67"/>
      <c r="KGT29" s="67"/>
      <c r="KGU29" s="67"/>
      <c r="KGV29" s="67"/>
      <c r="KGW29" s="67"/>
      <c r="KGX29" s="67"/>
      <c r="KGY29" s="67"/>
      <c r="KGZ29" s="67"/>
      <c r="KHA29" s="67"/>
      <c r="KHB29" s="67"/>
      <c r="KHC29" s="67"/>
      <c r="KHD29" s="67"/>
      <c r="KHE29" s="67"/>
      <c r="KHF29" s="67"/>
      <c r="KHG29" s="67"/>
      <c r="KHH29" s="67"/>
      <c r="KHI29" s="67"/>
      <c r="KHJ29" s="67"/>
      <c r="KHK29" s="67"/>
      <c r="KHL29" s="67"/>
      <c r="KHM29" s="67"/>
      <c r="KHN29" s="67"/>
      <c r="KHO29" s="67"/>
      <c r="KHP29" s="67"/>
      <c r="KHQ29" s="67"/>
      <c r="KHR29" s="67"/>
      <c r="KHS29" s="67"/>
      <c r="KHT29" s="67"/>
      <c r="KHU29" s="67"/>
      <c r="KHV29" s="67"/>
      <c r="KHW29" s="67"/>
      <c r="KHX29" s="67"/>
      <c r="KHY29" s="67"/>
      <c r="KHZ29" s="67"/>
      <c r="KIA29" s="67"/>
      <c r="KIB29" s="67"/>
      <c r="KIC29" s="67"/>
      <c r="KID29" s="67"/>
      <c r="KIE29" s="67"/>
      <c r="KIF29" s="67"/>
      <c r="KIG29" s="67"/>
      <c r="KIH29" s="67"/>
      <c r="KII29" s="67"/>
      <c r="KIJ29" s="67"/>
      <c r="KIK29" s="67"/>
      <c r="KIL29" s="67"/>
      <c r="KIM29" s="67"/>
      <c r="KIN29" s="67"/>
      <c r="KIO29" s="67"/>
      <c r="KIP29" s="67"/>
      <c r="KIQ29" s="67"/>
      <c r="KIR29" s="67"/>
      <c r="KIS29" s="67"/>
      <c r="KIT29" s="67"/>
      <c r="KIU29" s="67"/>
      <c r="KIV29" s="67"/>
      <c r="KIW29" s="67"/>
      <c r="KIX29" s="67"/>
      <c r="KIY29" s="67"/>
      <c r="KIZ29" s="67"/>
      <c r="KJA29" s="67"/>
      <c r="KJB29" s="67"/>
      <c r="KJC29" s="67"/>
      <c r="KJD29" s="67"/>
      <c r="KJE29" s="67"/>
      <c r="KJF29" s="67"/>
      <c r="KJG29" s="67"/>
      <c r="KJH29" s="67"/>
      <c r="KJI29" s="67"/>
      <c r="KJJ29" s="67"/>
      <c r="KJK29" s="67"/>
      <c r="KJL29" s="67"/>
      <c r="KJM29" s="67"/>
      <c r="KJN29" s="67"/>
      <c r="KJO29" s="67"/>
      <c r="KJP29" s="67"/>
      <c r="KJQ29" s="67"/>
      <c r="KJR29" s="67"/>
      <c r="KJS29" s="67"/>
      <c r="KJT29" s="67"/>
      <c r="KJU29" s="67"/>
      <c r="KJV29" s="67"/>
      <c r="KJW29" s="67"/>
      <c r="KJX29" s="67"/>
      <c r="KJY29" s="67"/>
      <c r="KJZ29" s="67"/>
      <c r="KKA29" s="67"/>
      <c r="KKB29" s="67"/>
      <c r="KKC29" s="67"/>
      <c r="KKD29" s="67"/>
      <c r="KKE29" s="67"/>
      <c r="KKF29" s="67"/>
      <c r="KKG29" s="67"/>
      <c r="KKH29" s="67"/>
      <c r="KKI29" s="67"/>
      <c r="KKJ29" s="67"/>
      <c r="KKK29" s="67"/>
      <c r="KKL29" s="67"/>
      <c r="KKM29" s="67"/>
      <c r="KKN29" s="67"/>
      <c r="KKO29" s="67"/>
      <c r="KKP29" s="67"/>
      <c r="KKQ29" s="67"/>
      <c r="KKR29" s="67"/>
      <c r="KKS29" s="67"/>
      <c r="KKT29" s="67"/>
      <c r="KKU29" s="67"/>
      <c r="KKV29" s="67"/>
      <c r="KKW29" s="67"/>
      <c r="KKX29" s="67"/>
      <c r="KKY29" s="67"/>
      <c r="KKZ29" s="67"/>
      <c r="KLA29" s="67"/>
      <c r="KLB29" s="67"/>
      <c r="KLC29" s="67"/>
      <c r="KLD29" s="67"/>
      <c r="KLE29" s="67"/>
      <c r="KLF29" s="67"/>
      <c r="KLG29" s="67"/>
      <c r="KLH29" s="67"/>
      <c r="KLI29" s="67"/>
      <c r="KLJ29" s="67"/>
      <c r="KLK29" s="67"/>
      <c r="KLL29" s="67"/>
      <c r="KLM29" s="67"/>
      <c r="KLN29" s="67"/>
      <c r="KLO29" s="67"/>
      <c r="KLP29" s="67"/>
      <c r="KLQ29" s="67"/>
      <c r="KLR29" s="67"/>
      <c r="KLS29" s="67"/>
      <c r="KLT29" s="67"/>
      <c r="KLU29" s="67"/>
      <c r="KLV29" s="67"/>
      <c r="KLW29" s="67"/>
      <c r="KLX29" s="67"/>
      <c r="KLY29" s="67"/>
      <c r="KLZ29" s="67"/>
      <c r="KMA29" s="67"/>
      <c r="KMB29" s="67"/>
      <c r="KMC29" s="67"/>
      <c r="KMD29" s="67"/>
      <c r="KME29" s="67"/>
      <c r="KMF29" s="67"/>
      <c r="KMG29" s="67"/>
      <c r="KMH29" s="67"/>
      <c r="KMI29" s="67"/>
      <c r="KMJ29" s="67"/>
      <c r="KMK29" s="67"/>
      <c r="KML29" s="67"/>
      <c r="KMM29" s="67"/>
      <c r="KMN29" s="67"/>
      <c r="KMO29" s="67"/>
      <c r="KMP29" s="67"/>
      <c r="KMQ29" s="67"/>
      <c r="KMR29" s="67"/>
      <c r="KMS29" s="67"/>
      <c r="KMT29" s="67"/>
      <c r="KMU29" s="67"/>
      <c r="KMV29" s="67"/>
      <c r="KMW29" s="67"/>
      <c r="KMX29" s="67"/>
      <c r="KMY29" s="67"/>
      <c r="KMZ29" s="67"/>
      <c r="KNA29" s="67"/>
      <c r="KNB29" s="67"/>
      <c r="KNC29" s="67"/>
      <c r="KND29" s="67"/>
      <c r="KNE29" s="67"/>
      <c r="KNF29" s="67"/>
      <c r="KNG29" s="67"/>
      <c r="KNH29" s="67"/>
      <c r="KNI29" s="67"/>
      <c r="KNJ29" s="67"/>
      <c r="KNK29" s="67"/>
      <c r="KNL29" s="67"/>
      <c r="KNM29" s="67"/>
      <c r="KNN29" s="67"/>
      <c r="KNO29" s="67"/>
      <c r="KNP29" s="67"/>
      <c r="KNQ29" s="67"/>
      <c r="KNR29" s="67"/>
      <c r="KNS29" s="67"/>
      <c r="KNT29" s="67"/>
      <c r="KNU29" s="67"/>
      <c r="KNV29" s="67"/>
      <c r="KNW29" s="67"/>
      <c r="KNX29" s="67"/>
      <c r="KNY29" s="67"/>
      <c r="KNZ29" s="67"/>
      <c r="KOA29" s="67"/>
      <c r="KOB29" s="67"/>
      <c r="KOC29" s="67"/>
      <c r="KOD29" s="67"/>
      <c r="KOE29" s="67"/>
      <c r="KOF29" s="67"/>
      <c r="KOG29" s="67"/>
      <c r="KOH29" s="67"/>
      <c r="KOI29" s="67"/>
      <c r="KOJ29" s="67"/>
      <c r="KOK29" s="67"/>
      <c r="KOL29" s="67"/>
      <c r="KOM29" s="67"/>
      <c r="KON29" s="67"/>
      <c r="KOO29" s="67"/>
      <c r="KOP29" s="67"/>
      <c r="KOQ29" s="67"/>
      <c r="KOR29" s="67"/>
      <c r="KOS29" s="67"/>
      <c r="KOT29" s="67"/>
      <c r="KOU29" s="67"/>
      <c r="KOV29" s="67"/>
      <c r="KOW29" s="67"/>
      <c r="KOX29" s="67"/>
      <c r="KOY29" s="67"/>
      <c r="KOZ29" s="67"/>
      <c r="KPA29" s="67"/>
      <c r="KPB29" s="67"/>
      <c r="KPC29" s="67"/>
      <c r="KPD29" s="67"/>
      <c r="KPE29" s="67"/>
      <c r="KPF29" s="67"/>
      <c r="KPG29" s="67"/>
      <c r="KPH29" s="67"/>
      <c r="KPI29" s="67"/>
      <c r="KPJ29" s="67"/>
      <c r="KPK29" s="67"/>
      <c r="KPL29" s="67"/>
      <c r="KPM29" s="67"/>
      <c r="KPN29" s="67"/>
      <c r="KPO29" s="67"/>
      <c r="KPP29" s="67"/>
      <c r="KPQ29" s="67"/>
      <c r="KPR29" s="67"/>
      <c r="KPS29" s="67"/>
      <c r="KPT29" s="67"/>
      <c r="KPU29" s="67"/>
      <c r="KPV29" s="67"/>
      <c r="KPW29" s="67"/>
      <c r="KPX29" s="67"/>
      <c r="KPY29" s="67"/>
      <c r="KPZ29" s="67"/>
      <c r="KQA29" s="67"/>
      <c r="KQB29" s="67"/>
      <c r="KQC29" s="67"/>
      <c r="KQD29" s="67"/>
      <c r="KQE29" s="67"/>
      <c r="KQF29" s="67"/>
      <c r="KQG29" s="67"/>
      <c r="KQH29" s="67"/>
      <c r="KQI29" s="67"/>
      <c r="KQJ29" s="67"/>
      <c r="KQK29" s="67"/>
      <c r="KQL29" s="67"/>
      <c r="KQM29" s="67"/>
      <c r="KQN29" s="67"/>
      <c r="KQO29" s="67"/>
      <c r="KQP29" s="67"/>
      <c r="KQQ29" s="67"/>
      <c r="KQR29" s="67"/>
      <c r="KQS29" s="67"/>
      <c r="KQT29" s="67"/>
      <c r="KQU29" s="67"/>
      <c r="KQV29" s="67"/>
      <c r="KQW29" s="67"/>
      <c r="KQX29" s="67"/>
      <c r="KQY29" s="67"/>
      <c r="KQZ29" s="67"/>
      <c r="KRA29" s="67"/>
      <c r="KRB29" s="67"/>
      <c r="KRC29" s="67"/>
      <c r="KRD29" s="67"/>
      <c r="KRE29" s="67"/>
      <c r="KRF29" s="67"/>
      <c r="KRG29" s="67"/>
      <c r="KRH29" s="67"/>
      <c r="KRI29" s="67"/>
      <c r="KRJ29" s="67"/>
      <c r="KRK29" s="67"/>
      <c r="KRL29" s="67"/>
      <c r="KRM29" s="67"/>
      <c r="KRN29" s="67"/>
      <c r="KRO29" s="67"/>
      <c r="KRP29" s="67"/>
      <c r="KRQ29" s="67"/>
      <c r="KRR29" s="67"/>
      <c r="KRS29" s="67"/>
      <c r="KRT29" s="67"/>
      <c r="KRU29" s="67"/>
      <c r="KRV29" s="67"/>
      <c r="KRW29" s="67"/>
      <c r="KRX29" s="67"/>
      <c r="KRY29" s="67"/>
      <c r="KRZ29" s="67"/>
      <c r="KSA29" s="67"/>
      <c r="KSB29" s="67"/>
      <c r="KSC29" s="67"/>
      <c r="KSD29" s="67"/>
      <c r="KSE29" s="67"/>
      <c r="KSF29" s="67"/>
      <c r="KSG29" s="67"/>
      <c r="KSH29" s="67"/>
      <c r="KSI29" s="67"/>
      <c r="KSJ29" s="67"/>
      <c r="KSK29" s="67"/>
      <c r="KSL29" s="67"/>
      <c r="KSM29" s="67"/>
      <c r="KSN29" s="67"/>
      <c r="KSO29" s="67"/>
      <c r="KSP29" s="67"/>
      <c r="KSQ29" s="67"/>
      <c r="KSR29" s="67"/>
      <c r="KSS29" s="67"/>
      <c r="KST29" s="67"/>
      <c r="KSU29" s="67"/>
      <c r="KSV29" s="67"/>
      <c r="KSW29" s="67"/>
      <c r="KSX29" s="67"/>
      <c r="KSY29" s="67"/>
      <c r="KSZ29" s="67"/>
      <c r="KTA29" s="67"/>
      <c r="KTB29" s="67"/>
      <c r="KTC29" s="67"/>
      <c r="KTD29" s="67"/>
      <c r="KTE29" s="67"/>
      <c r="KTF29" s="67"/>
      <c r="KTG29" s="67"/>
      <c r="KTH29" s="67"/>
      <c r="KTI29" s="67"/>
      <c r="KTJ29" s="67"/>
      <c r="KTK29" s="67"/>
      <c r="KTL29" s="67"/>
      <c r="KTM29" s="67"/>
      <c r="KTN29" s="67"/>
      <c r="KTO29" s="67"/>
      <c r="KTP29" s="67"/>
      <c r="KTQ29" s="67"/>
      <c r="KTR29" s="67"/>
      <c r="KTS29" s="67"/>
      <c r="KTT29" s="67"/>
      <c r="KTU29" s="67"/>
      <c r="KTV29" s="67"/>
      <c r="KTW29" s="67"/>
      <c r="KTX29" s="67"/>
      <c r="KTY29" s="67"/>
      <c r="KTZ29" s="67"/>
      <c r="KUA29" s="67"/>
      <c r="KUB29" s="67"/>
      <c r="KUC29" s="67"/>
      <c r="KUD29" s="67"/>
      <c r="KUE29" s="67"/>
      <c r="KUF29" s="67"/>
      <c r="KUG29" s="67"/>
      <c r="KUH29" s="67"/>
      <c r="KUI29" s="67"/>
      <c r="KUJ29" s="67"/>
      <c r="KUK29" s="67"/>
      <c r="KUL29" s="67"/>
      <c r="KUM29" s="67"/>
      <c r="KUN29" s="67"/>
      <c r="KUO29" s="67"/>
      <c r="KUP29" s="67"/>
      <c r="KUQ29" s="67"/>
      <c r="KUR29" s="67"/>
      <c r="KUS29" s="67"/>
      <c r="KUT29" s="67"/>
      <c r="KUU29" s="67"/>
      <c r="KUV29" s="67"/>
      <c r="KUW29" s="67"/>
      <c r="KUX29" s="67"/>
      <c r="KUY29" s="67"/>
      <c r="KUZ29" s="67"/>
      <c r="KVA29" s="67"/>
      <c r="KVB29" s="67"/>
      <c r="KVC29" s="67"/>
      <c r="KVD29" s="67"/>
      <c r="KVE29" s="67"/>
      <c r="KVF29" s="67"/>
      <c r="KVG29" s="67"/>
      <c r="KVH29" s="67"/>
      <c r="KVI29" s="67"/>
      <c r="KVJ29" s="67"/>
      <c r="KVK29" s="67"/>
      <c r="KVL29" s="67"/>
      <c r="KVM29" s="67"/>
      <c r="KVN29" s="67"/>
      <c r="KVO29" s="67"/>
      <c r="KVP29" s="67"/>
      <c r="KVQ29" s="67"/>
      <c r="KVR29" s="67"/>
      <c r="KVS29" s="67"/>
      <c r="KVT29" s="67"/>
      <c r="KVU29" s="67"/>
      <c r="KVV29" s="67"/>
      <c r="KVW29" s="67"/>
      <c r="KVX29" s="67"/>
      <c r="KVY29" s="67"/>
      <c r="KVZ29" s="67"/>
      <c r="KWA29" s="67"/>
      <c r="KWB29" s="67"/>
      <c r="KWC29" s="67"/>
      <c r="KWD29" s="67"/>
      <c r="KWE29" s="67"/>
      <c r="KWF29" s="67"/>
      <c r="KWG29" s="67"/>
      <c r="KWH29" s="67"/>
      <c r="KWI29" s="67"/>
      <c r="KWJ29" s="67"/>
      <c r="KWK29" s="67"/>
      <c r="KWL29" s="67"/>
      <c r="KWM29" s="67"/>
      <c r="KWN29" s="67"/>
      <c r="KWO29" s="67"/>
      <c r="KWP29" s="67"/>
      <c r="KWQ29" s="67"/>
      <c r="KWR29" s="67"/>
      <c r="KWS29" s="67"/>
      <c r="KWT29" s="67"/>
      <c r="KWU29" s="67"/>
      <c r="KWV29" s="67"/>
      <c r="KWW29" s="67"/>
      <c r="KWX29" s="67"/>
      <c r="KWY29" s="67"/>
      <c r="KWZ29" s="67"/>
      <c r="KXA29" s="67"/>
      <c r="KXB29" s="67"/>
      <c r="KXC29" s="67"/>
      <c r="KXD29" s="67"/>
      <c r="KXE29" s="67"/>
      <c r="KXF29" s="67"/>
      <c r="KXG29" s="67"/>
      <c r="KXH29" s="67"/>
      <c r="KXI29" s="67"/>
      <c r="KXJ29" s="67"/>
      <c r="KXK29" s="67"/>
      <c r="KXL29" s="67"/>
      <c r="KXM29" s="67"/>
      <c r="KXN29" s="67"/>
      <c r="KXO29" s="67"/>
      <c r="KXP29" s="67"/>
      <c r="KXQ29" s="67"/>
      <c r="KXR29" s="67"/>
      <c r="KXS29" s="67"/>
      <c r="KXT29" s="67"/>
      <c r="KXU29" s="67"/>
      <c r="KXV29" s="67"/>
      <c r="KXW29" s="67"/>
      <c r="KXX29" s="67"/>
      <c r="KXY29" s="67"/>
      <c r="KXZ29" s="67"/>
      <c r="KYA29" s="67"/>
      <c r="KYB29" s="67"/>
      <c r="KYC29" s="67"/>
      <c r="KYD29" s="67"/>
      <c r="KYE29" s="67"/>
      <c r="KYF29" s="67"/>
      <c r="KYG29" s="67"/>
      <c r="KYH29" s="67"/>
      <c r="KYI29" s="67"/>
      <c r="KYJ29" s="67"/>
      <c r="KYK29" s="67"/>
      <c r="KYL29" s="67"/>
      <c r="KYM29" s="67"/>
      <c r="KYN29" s="67"/>
      <c r="KYO29" s="67"/>
      <c r="KYP29" s="67"/>
      <c r="KYQ29" s="67"/>
      <c r="KYR29" s="67"/>
      <c r="KYS29" s="67"/>
      <c r="KYT29" s="67"/>
      <c r="KYU29" s="67"/>
      <c r="KYV29" s="67"/>
      <c r="KYW29" s="67"/>
      <c r="KYX29" s="67"/>
      <c r="KYY29" s="67"/>
      <c r="KYZ29" s="67"/>
      <c r="KZA29" s="67"/>
      <c r="KZB29" s="67"/>
      <c r="KZC29" s="67"/>
      <c r="KZD29" s="67"/>
      <c r="KZE29" s="67"/>
      <c r="KZF29" s="67"/>
      <c r="KZG29" s="67"/>
      <c r="KZH29" s="67"/>
      <c r="KZI29" s="67"/>
      <c r="KZJ29" s="67"/>
      <c r="KZK29" s="67"/>
      <c r="KZL29" s="67"/>
      <c r="KZM29" s="67"/>
      <c r="KZN29" s="67"/>
      <c r="KZO29" s="67"/>
      <c r="KZP29" s="67"/>
      <c r="KZQ29" s="67"/>
      <c r="KZR29" s="67"/>
      <c r="KZS29" s="67"/>
      <c r="KZT29" s="67"/>
      <c r="KZU29" s="67"/>
      <c r="KZV29" s="67"/>
      <c r="KZW29" s="67"/>
      <c r="KZX29" s="67"/>
      <c r="KZY29" s="67"/>
      <c r="KZZ29" s="67"/>
      <c r="LAA29" s="67"/>
      <c r="LAB29" s="67"/>
      <c r="LAC29" s="67"/>
      <c r="LAD29" s="67"/>
      <c r="LAE29" s="67"/>
      <c r="LAF29" s="67"/>
      <c r="LAG29" s="67"/>
      <c r="LAH29" s="67"/>
      <c r="LAI29" s="67"/>
      <c r="LAJ29" s="67"/>
      <c r="LAK29" s="67"/>
      <c r="LAL29" s="67"/>
      <c r="LAM29" s="67"/>
      <c r="LAN29" s="67"/>
      <c r="LAO29" s="67"/>
      <c r="LAP29" s="67"/>
      <c r="LAQ29" s="67"/>
      <c r="LAR29" s="67"/>
      <c r="LAS29" s="67"/>
      <c r="LAT29" s="67"/>
      <c r="LAU29" s="67"/>
      <c r="LAV29" s="67"/>
      <c r="LAW29" s="67"/>
      <c r="LAX29" s="67"/>
      <c r="LAY29" s="67"/>
      <c r="LAZ29" s="67"/>
      <c r="LBA29" s="67"/>
      <c r="LBB29" s="67"/>
      <c r="LBC29" s="67"/>
      <c r="LBD29" s="67"/>
      <c r="LBE29" s="67"/>
      <c r="LBF29" s="67"/>
      <c r="LBG29" s="67"/>
      <c r="LBH29" s="67"/>
      <c r="LBI29" s="67"/>
      <c r="LBJ29" s="67"/>
      <c r="LBK29" s="67"/>
      <c r="LBL29" s="67"/>
      <c r="LBM29" s="67"/>
      <c r="LBN29" s="67"/>
      <c r="LBO29" s="67"/>
      <c r="LBP29" s="67"/>
      <c r="LBQ29" s="67"/>
      <c r="LBR29" s="67"/>
      <c r="LBS29" s="67"/>
      <c r="LBT29" s="67"/>
      <c r="LBU29" s="67"/>
      <c r="LBV29" s="67"/>
      <c r="LBW29" s="67"/>
      <c r="LBX29" s="67"/>
      <c r="LBY29" s="67"/>
      <c r="LBZ29" s="67"/>
      <c r="LCA29" s="67"/>
      <c r="LCB29" s="67"/>
      <c r="LCC29" s="67"/>
      <c r="LCD29" s="67"/>
      <c r="LCE29" s="67"/>
      <c r="LCF29" s="67"/>
      <c r="LCG29" s="67"/>
      <c r="LCH29" s="67"/>
      <c r="LCI29" s="67"/>
      <c r="LCJ29" s="67"/>
      <c r="LCK29" s="67"/>
      <c r="LCL29" s="67"/>
      <c r="LCM29" s="67"/>
      <c r="LCN29" s="67"/>
      <c r="LCO29" s="67"/>
      <c r="LCP29" s="67"/>
      <c r="LCQ29" s="67"/>
      <c r="LCR29" s="67"/>
      <c r="LCS29" s="67"/>
      <c r="LCT29" s="67"/>
      <c r="LCU29" s="67"/>
      <c r="LCV29" s="67"/>
      <c r="LCW29" s="67"/>
      <c r="LCX29" s="67"/>
      <c r="LCY29" s="67"/>
      <c r="LCZ29" s="67"/>
      <c r="LDA29" s="67"/>
      <c r="LDB29" s="67"/>
      <c r="LDC29" s="67"/>
      <c r="LDD29" s="67"/>
      <c r="LDE29" s="67"/>
      <c r="LDF29" s="67"/>
      <c r="LDG29" s="67"/>
      <c r="LDH29" s="67"/>
      <c r="LDI29" s="67"/>
      <c r="LDJ29" s="67"/>
      <c r="LDK29" s="67"/>
      <c r="LDL29" s="67"/>
      <c r="LDM29" s="67"/>
      <c r="LDN29" s="67"/>
      <c r="LDO29" s="67"/>
      <c r="LDP29" s="67"/>
      <c r="LDQ29" s="67"/>
      <c r="LDR29" s="67"/>
      <c r="LDS29" s="67"/>
      <c r="LDT29" s="67"/>
      <c r="LDU29" s="67"/>
      <c r="LDV29" s="67"/>
      <c r="LDW29" s="67"/>
      <c r="LDX29" s="67"/>
      <c r="LDY29" s="67"/>
      <c r="LDZ29" s="67"/>
      <c r="LEA29" s="67"/>
      <c r="LEB29" s="67"/>
      <c r="LEC29" s="67"/>
      <c r="LED29" s="67"/>
      <c r="LEE29" s="67"/>
      <c r="LEF29" s="67"/>
      <c r="LEG29" s="67"/>
      <c r="LEH29" s="67"/>
      <c r="LEI29" s="67"/>
      <c r="LEJ29" s="67"/>
      <c r="LEK29" s="67"/>
      <c r="LEL29" s="67"/>
      <c r="LEM29" s="67"/>
      <c r="LEN29" s="67"/>
      <c r="LEO29" s="67"/>
      <c r="LEP29" s="67"/>
      <c r="LEQ29" s="67"/>
      <c r="LER29" s="67"/>
      <c r="LES29" s="67"/>
      <c r="LET29" s="67"/>
      <c r="LEU29" s="67"/>
      <c r="LEV29" s="67"/>
      <c r="LEW29" s="67"/>
      <c r="LEX29" s="67"/>
      <c r="LEY29" s="67"/>
      <c r="LEZ29" s="67"/>
      <c r="LFA29" s="67"/>
      <c r="LFB29" s="67"/>
      <c r="LFC29" s="67"/>
      <c r="LFD29" s="67"/>
      <c r="LFE29" s="67"/>
      <c r="LFF29" s="67"/>
      <c r="LFG29" s="67"/>
      <c r="LFH29" s="67"/>
      <c r="LFI29" s="67"/>
      <c r="LFJ29" s="67"/>
      <c r="LFK29" s="67"/>
      <c r="LFL29" s="67"/>
      <c r="LFM29" s="67"/>
      <c r="LFN29" s="67"/>
      <c r="LFO29" s="67"/>
      <c r="LFP29" s="67"/>
      <c r="LFQ29" s="67"/>
      <c r="LFR29" s="67"/>
      <c r="LFS29" s="67"/>
      <c r="LFT29" s="67"/>
      <c r="LFU29" s="67"/>
      <c r="LFV29" s="67"/>
      <c r="LFW29" s="67"/>
      <c r="LFX29" s="67"/>
      <c r="LFY29" s="67"/>
      <c r="LFZ29" s="67"/>
      <c r="LGA29" s="67"/>
      <c r="LGB29" s="67"/>
      <c r="LGC29" s="67"/>
      <c r="LGD29" s="67"/>
      <c r="LGE29" s="67"/>
      <c r="LGF29" s="67"/>
      <c r="LGG29" s="67"/>
      <c r="LGH29" s="67"/>
      <c r="LGI29" s="67"/>
      <c r="LGJ29" s="67"/>
      <c r="LGK29" s="67"/>
      <c r="LGL29" s="67"/>
      <c r="LGM29" s="67"/>
      <c r="LGN29" s="67"/>
      <c r="LGO29" s="67"/>
      <c r="LGP29" s="67"/>
      <c r="LGQ29" s="67"/>
      <c r="LGR29" s="67"/>
      <c r="LGS29" s="67"/>
      <c r="LGT29" s="67"/>
      <c r="LGU29" s="67"/>
      <c r="LGV29" s="67"/>
      <c r="LGW29" s="67"/>
      <c r="LGX29" s="67"/>
      <c r="LGY29" s="67"/>
      <c r="LGZ29" s="67"/>
      <c r="LHA29" s="67"/>
      <c r="LHB29" s="67"/>
      <c r="LHC29" s="67"/>
      <c r="LHD29" s="67"/>
      <c r="LHE29" s="67"/>
      <c r="LHF29" s="67"/>
      <c r="LHG29" s="67"/>
      <c r="LHH29" s="67"/>
      <c r="LHI29" s="67"/>
      <c r="LHJ29" s="67"/>
      <c r="LHK29" s="67"/>
      <c r="LHL29" s="67"/>
      <c r="LHM29" s="67"/>
      <c r="LHN29" s="67"/>
      <c r="LHO29" s="67"/>
      <c r="LHP29" s="67"/>
      <c r="LHQ29" s="67"/>
      <c r="LHR29" s="67"/>
      <c r="LHS29" s="67"/>
      <c r="LHT29" s="67"/>
      <c r="LHU29" s="67"/>
      <c r="LHV29" s="67"/>
      <c r="LHW29" s="67"/>
      <c r="LHX29" s="67"/>
      <c r="LHY29" s="67"/>
      <c r="LHZ29" s="67"/>
      <c r="LIA29" s="67"/>
      <c r="LIB29" s="67"/>
      <c r="LIC29" s="67"/>
      <c r="LID29" s="67"/>
      <c r="LIE29" s="67"/>
      <c r="LIF29" s="67"/>
      <c r="LIG29" s="67"/>
      <c r="LIH29" s="67"/>
      <c r="LII29" s="67"/>
      <c r="LIJ29" s="67"/>
      <c r="LIK29" s="67"/>
      <c r="LIL29" s="67"/>
      <c r="LIM29" s="67"/>
      <c r="LIN29" s="67"/>
      <c r="LIO29" s="67"/>
      <c r="LIP29" s="67"/>
      <c r="LIQ29" s="67"/>
      <c r="LIR29" s="67"/>
      <c r="LIS29" s="67"/>
      <c r="LIT29" s="67"/>
      <c r="LIU29" s="67"/>
      <c r="LIV29" s="67"/>
      <c r="LIW29" s="67"/>
      <c r="LIX29" s="67"/>
      <c r="LIY29" s="67"/>
      <c r="LIZ29" s="67"/>
      <c r="LJA29" s="67"/>
      <c r="LJB29" s="67"/>
      <c r="LJC29" s="67"/>
      <c r="LJD29" s="67"/>
      <c r="LJE29" s="67"/>
      <c r="LJF29" s="67"/>
      <c r="LJG29" s="67"/>
      <c r="LJH29" s="67"/>
      <c r="LJI29" s="67"/>
      <c r="LJJ29" s="67"/>
      <c r="LJK29" s="67"/>
      <c r="LJL29" s="67"/>
      <c r="LJM29" s="67"/>
      <c r="LJN29" s="67"/>
      <c r="LJO29" s="67"/>
      <c r="LJP29" s="67"/>
      <c r="LJQ29" s="67"/>
      <c r="LJR29" s="67"/>
      <c r="LJS29" s="67"/>
      <c r="LJT29" s="67"/>
      <c r="LJU29" s="67"/>
      <c r="LJV29" s="67"/>
      <c r="LJW29" s="67"/>
      <c r="LJX29" s="67"/>
      <c r="LJY29" s="67"/>
      <c r="LJZ29" s="67"/>
      <c r="LKA29" s="67"/>
      <c r="LKB29" s="67"/>
      <c r="LKC29" s="67"/>
      <c r="LKD29" s="67"/>
      <c r="LKE29" s="67"/>
      <c r="LKF29" s="67"/>
      <c r="LKG29" s="67"/>
      <c r="LKH29" s="67"/>
      <c r="LKI29" s="67"/>
      <c r="LKJ29" s="67"/>
      <c r="LKK29" s="67"/>
      <c r="LKL29" s="67"/>
      <c r="LKM29" s="67"/>
      <c r="LKN29" s="67"/>
      <c r="LKO29" s="67"/>
      <c r="LKP29" s="67"/>
      <c r="LKQ29" s="67"/>
      <c r="LKR29" s="67"/>
      <c r="LKS29" s="67"/>
      <c r="LKT29" s="67"/>
      <c r="LKU29" s="67"/>
      <c r="LKV29" s="67"/>
      <c r="LKW29" s="67"/>
      <c r="LKX29" s="67"/>
      <c r="LKY29" s="67"/>
      <c r="LKZ29" s="67"/>
      <c r="LLA29" s="67"/>
      <c r="LLB29" s="67"/>
      <c r="LLC29" s="67"/>
      <c r="LLD29" s="67"/>
      <c r="LLE29" s="67"/>
      <c r="LLF29" s="67"/>
      <c r="LLG29" s="67"/>
      <c r="LLH29" s="67"/>
      <c r="LLI29" s="67"/>
      <c r="LLJ29" s="67"/>
      <c r="LLK29" s="67"/>
      <c r="LLL29" s="67"/>
      <c r="LLM29" s="67"/>
      <c r="LLN29" s="67"/>
      <c r="LLO29" s="67"/>
      <c r="LLP29" s="67"/>
      <c r="LLQ29" s="67"/>
      <c r="LLR29" s="67"/>
      <c r="LLS29" s="67"/>
      <c r="LLT29" s="67"/>
      <c r="LLU29" s="67"/>
      <c r="LLV29" s="67"/>
      <c r="LLW29" s="67"/>
      <c r="LLX29" s="67"/>
      <c r="LLY29" s="67"/>
      <c r="LLZ29" s="67"/>
      <c r="LMA29" s="67"/>
      <c r="LMB29" s="67"/>
      <c r="LMC29" s="67"/>
      <c r="LMD29" s="67"/>
      <c r="LME29" s="67"/>
      <c r="LMF29" s="67"/>
      <c r="LMG29" s="67"/>
      <c r="LMH29" s="67"/>
      <c r="LMI29" s="67"/>
      <c r="LMJ29" s="67"/>
      <c r="LMK29" s="67"/>
      <c r="LML29" s="67"/>
      <c r="LMM29" s="67"/>
      <c r="LMN29" s="67"/>
      <c r="LMO29" s="67"/>
      <c r="LMP29" s="67"/>
      <c r="LMQ29" s="67"/>
      <c r="LMR29" s="67"/>
      <c r="LMS29" s="67"/>
      <c r="LMT29" s="67"/>
      <c r="LMU29" s="67"/>
      <c r="LMV29" s="67"/>
      <c r="LMW29" s="67"/>
      <c r="LMX29" s="67"/>
      <c r="LMY29" s="67"/>
      <c r="LMZ29" s="67"/>
      <c r="LNA29" s="67"/>
      <c r="LNB29" s="67"/>
      <c r="LNC29" s="67"/>
      <c r="LND29" s="67"/>
      <c r="LNE29" s="67"/>
      <c r="LNF29" s="67"/>
      <c r="LNG29" s="67"/>
      <c r="LNH29" s="67"/>
      <c r="LNI29" s="67"/>
      <c r="LNJ29" s="67"/>
      <c r="LNK29" s="67"/>
      <c r="LNL29" s="67"/>
      <c r="LNM29" s="67"/>
      <c r="LNN29" s="67"/>
      <c r="LNO29" s="67"/>
      <c r="LNP29" s="67"/>
      <c r="LNQ29" s="67"/>
      <c r="LNR29" s="67"/>
      <c r="LNS29" s="67"/>
      <c r="LNT29" s="67"/>
      <c r="LNU29" s="67"/>
      <c r="LNV29" s="67"/>
      <c r="LNW29" s="67"/>
      <c r="LNX29" s="67"/>
      <c r="LNY29" s="67"/>
      <c r="LNZ29" s="67"/>
      <c r="LOA29" s="67"/>
      <c r="LOB29" s="67"/>
      <c r="LOC29" s="67"/>
      <c r="LOD29" s="67"/>
      <c r="LOE29" s="67"/>
      <c r="LOF29" s="67"/>
      <c r="LOG29" s="67"/>
      <c r="LOH29" s="67"/>
      <c r="LOI29" s="67"/>
      <c r="LOJ29" s="67"/>
      <c r="LOK29" s="67"/>
      <c r="LOL29" s="67"/>
      <c r="LOM29" s="67"/>
      <c r="LON29" s="67"/>
      <c r="LOO29" s="67"/>
      <c r="LOP29" s="67"/>
      <c r="LOQ29" s="67"/>
      <c r="LOR29" s="67"/>
      <c r="LOS29" s="67"/>
      <c r="LOT29" s="67"/>
      <c r="LOU29" s="67"/>
      <c r="LOV29" s="67"/>
      <c r="LOW29" s="67"/>
      <c r="LOX29" s="67"/>
      <c r="LOY29" s="67"/>
      <c r="LOZ29" s="67"/>
      <c r="LPA29" s="67"/>
      <c r="LPB29" s="67"/>
      <c r="LPC29" s="67"/>
      <c r="LPD29" s="67"/>
      <c r="LPE29" s="67"/>
      <c r="LPF29" s="67"/>
      <c r="LPG29" s="67"/>
      <c r="LPH29" s="67"/>
      <c r="LPI29" s="67"/>
      <c r="LPJ29" s="67"/>
      <c r="LPK29" s="67"/>
      <c r="LPL29" s="67"/>
      <c r="LPM29" s="67"/>
      <c r="LPN29" s="67"/>
      <c r="LPO29" s="67"/>
      <c r="LPP29" s="67"/>
      <c r="LPQ29" s="67"/>
      <c r="LPR29" s="67"/>
      <c r="LPS29" s="67"/>
      <c r="LPT29" s="67"/>
      <c r="LPU29" s="67"/>
      <c r="LPV29" s="67"/>
      <c r="LPW29" s="67"/>
      <c r="LPX29" s="67"/>
      <c r="LPY29" s="67"/>
      <c r="LPZ29" s="67"/>
      <c r="LQA29" s="67"/>
      <c r="LQB29" s="67"/>
      <c r="LQC29" s="67"/>
      <c r="LQD29" s="67"/>
      <c r="LQE29" s="67"/>
      <c r="LQF29" s="67"/>
      <c r="LQG29" s="67"/>
      <c r="LQH29" s="67"/>
      <c r="LQI29" s="67"/>
      <c r="LQJ29" s="67"/>
      <c r="LQK29" s="67"/>
      <c r="LQL29" s="67"/>
      <c r="LQM29" s="67"/>
      <c r="LQN29" s="67"/>
      <c r="LQO29" s="67"/>
      <c r="LQP29" s="67"/>
      <c r="LQQ29" s="67"/>
      <c r="LQR29" s="67"/>
      <c r="LQS29" s="67"/>
      <c r="LQT29" s="67"/>
      <c r="LQU29" s="67"/>
      <c r="LQV29" s="67"/>
      <c r="LQW29" s="67"/>
      <c r="LQX29" s="67"/>
      <c r="LQY29" s="67"/>
      <c r="LQZ29" s="67"/>
      <c r="LRA29" s="67"/>
      <c r="LRB29" s="67"/>
      <c r="LRC29" s="67"/>
      <c r="LRD29" s="67"/>
      <c r="LRE29" s="67"/>
      <c r="LRF29" s="67"/>
      <c r="LRG29" s="67"/>
      <c r="LRH29" s="67"/>
      <c r="LRI29" s="67"/>
      <c r="LRJ29" s="67"/>
      <c r="LRK29" s="67"/>
      <c r="LRL29" s="67"/>
      <c r="LRM29" s="67"/>
      <c r="LRN29" s="67"/>
      <c r="LRO29" s="67"/>
      <c r="LRP29" s="67"/>
      <c r="LRQ29" s="67"/>
      <c r="LRR29" s="67"/>
      <c r="LRS29" s="67"/>
      <c r="LRT29" s="67"/>
      <c r="LRU29" s="67"/>
      <c r="LRV29" s="67"/>
      <c r="LRW29" s="67"/>
      <c r="LRX29" s="67"/>
      <c r="LRY29" s="67"/>
      <c r="LRZ29" s="67"/>
      <c r="LSA29" s="67"/>
      <c r="LSB29" s="67"/>
      <c r="LSC29" s="67"/>
      <c r="LSD29" s="67"/>
      <c r="LSE29" s="67"/>
      <c r="LSF29" s="67"/>
      <c r="LSG29" s="67"/>
      <c r="LSH29" s="67"/>
      <c r="LSI29" s="67"/>
      <c r="LSJ29" s="67"/>
      <c r="LSK29" s="67"/>
      <c r="LSL29" s="67"/>
      <c r="LSM29" s="67"/>
      <c r="LSN29" s="67"/>
      <c r="LSO29" s="67"/>
      <c r="LSP29" s="67"/>
      <c r="LSQ29" s="67"/>
      <c r="LSR29" s="67"/>
      <c r="LSS29" s="67"/>
      <c r="LST29" s="67"/>
      <c r="LSU29" s="67"/>
      <c r="LSV29" s="67"/>
      <c r="LSW29" s="67"/>
      <c r="LSX29" s="67"/>
      <c r="LSY29" s="67"/>
      <c r="LSZ29" s="67"/>
      <c r="LTA29" s="67"/>
      <c r="LTB29" s="67"/>
      <c r="LTC29" s="67"/>
      <c r="LTD29" s="67"/>
      <c r="LTE29" s="67"/>
      <c r="LTF29" s="67"/>
      <c r="LTG29" s="67"/>
      <c r="LTH29" s="67"/>
      <c r="LTI29" s="67"/>
      <c r="LTJ29" s="67"/>
      <c r="LTK29" s="67"/>
      <c r="LTL29" s="67"/>
      <c r="LTM29" s="67"/>
      <c r="LTN29" s="67"/>
      <c r="LTO29" s="67"/>
      <c r="LTP29" s="67"/>
      <c r="LTQ29" s="67"/>
      <c r="LTR29" s="67"/>
      <c r="LTS29" s="67"/>
      <c r="LTT29" s="67"/>
      <c r="LTU29" s="67"/>
      <c r="LTV29" s="67"/>
      <c r="LTW29" s="67"/>
      <c r="LTX29" s="67"/>
      <c r="LTY29" s="67"/>
      <c r="LTZ29" s="67"/>
      <c r="LUA29" s="67"/>
      <c r="LUB29" s="67"/>
      <c r="LUC29" s="67"/>
      <c r="LUD29" s="67"/>
      <c r="LUE29" s="67"/>
      <c r="LUF29" s="67"/>
      <c r="LUG29" s="67"/>
      <c r="LUH29" s="67"/>
      <c r="LUI29" s="67"/>
      <c r="LUJ29" s="67"/>
      <c r="LUK29" s="67"/>
      <c r="LUL29" s="67"/>
      <c r="LUM29" s="67"/>
      <c r="LUN29" s="67"/>
      <c r="LUO29" s="67"/>
      <c r="LUP29" s="67"/>
      <c r="LUQ29" s="67"/>
      <c r="LUR29" s="67"/>
      <c r="LUS29" s="67"/>
      <c r="LUT29" s="67"/>
      <c r="LUU29" s="67"/>
      <c r="LUV29" s="67"/>
      <c r="LUW29" s="67"/>
      <c r="LUX29" s="67"/>
      <c r="LUY29" s="67"/>
      <c r="LUZ29" s="67"/>
      <c r="LVA29" s="67"/>
      <c r="LVB29" s="67"/>
      <c r="LVC29" s="67"/>
      <c r="LVD29" s="67"/>
      <c r="LVE29" s="67"/>
      <c r="LVF29" s="67"/>
      <c r="LVG29" s="67"/>
      <c r="LVH29" s="67"/>
      <c r="LVI29" s="67"/>
      <c r="LVJ29" s="67"/>
      <c r="LVK29" s="67"/>
      <c r="LVL29" s="67"/>
      <c r="LVM29" s="67"/>
      <c r="LVN29" s="67"/>
      <c r="LVO29" s="67"/>
      <c r="LVP29" s="67"/>
      <c r="LVQ29" s="67"/>
      <c r="LVR29" s="67"/>
      <c r="LVS29" s="67"/>
      <c r="LVT29" s="67"/>
      <c r="LVU29" s="67"/>
      <c r="LVV29" s="67"/>
      <c r="LVW29" s="67"/>
      <c r="LVX29" s="67"/>
      <c r="LVY29" s="67"/>
      <c r="LVZ29" s="67"/>
      <c r="LWA29" s="67"/>
      <c r="LWB29" s="67"/>
      <c r="LWC29" s="67"/>
      <c r="LWD29" s="67"/>
      <c r="LWE29" s="67"/>
      <c r="LWF29" s="67"/>
      <c r="LWG29" s="67"/>
      <c r="LWH29" s="67"/>
      <c r="LWI29" s="67"/>
      <c r="LWJ29" s="67"/>
      <c r="LWK29" s="67"/>
      <c r="LWL29" s="67"/>
      <c r="LWM29" s="67"/>
      <c r="LWN29" s="67"/>
      <c r="LWO29" s="67"/>
      <c r="LWP29" s="67"/>
      <c r="LWQ29" s="67"/>
      <c r="LWR29" s="67"/>
      <c r="LWS29" s="67"/>
      <c r="LWT29" s="67"/>
      <c r="LWU29" s="67"/>
      <c r="LWV29" s="67"/>
      <c r="LWW29" s="67"/>
      <c r="LWX29" s="67"/>
      <c r="LWY29" s="67"/>
      <c r="LWZ29" s="67"/>
      <c r="LXA29" s="67"/>
      <c r="LXB29" s="67"/>
      <c r="LXC29" s="67"/>
      <c r="LXD29" s="67"/>
      <c r="LXE29" s="67"/>
      <c r="LXF29" s="67"/>
      <c r="LXG29" s="67"/>
      <c r="LXH29" s="67"/>
      <c r="LXI29" s="67"/>
      <c r="LXJ29" s="67"/>
      <c r="LXK29" s="67"/>
      <c r="LXL29" s="67"/>
      <c r="LXM29" s="67"/>
      <c r="LXN29" s="67"/>
      <c r="LXO29" s="67"/>
      <c r="LXP29" s="67"/>
      <c r="LXQ29" s="67"/>
      <c r="LXR29" s="67"/>
      <c r="LXS29" s="67"/>
      <c r="LXT29" s="67"/>
      <c r="LXU29" s="67"/>
      <c r="LXV29" s="67"/>
      <c r="LXW29" s="67"/>
      <c r="LXX29" s="67"/>
      <c r="LXY29" s="67"/>
      <c r="LXZ29" s="67"/>
      <c r="LYA29" s="67"/>
      <c r="LYB29" s="67"/>
      <c r="LYC29" s="67"/>
      <c r="LYD29" s="67"/>
      <c r="LYE29" s="67"/>
      <c r="LYF29" s="67"/>
      <c r="LYG29" s="67"/>
      <c r="LYH29" s="67"/>
      <c r="LYI29" s="67"/>
      <c r="LYJ29" s="67"/>
      <c r="LYK29" s="67"/>
      <c r="LYL29" s="67"/>
      <c r="LYM29" s="67"/>
      <c r="LYN29" s="67"/>
      <c r="LYO29" s="67"/>
      <c r="LYP29" s="67"/>
      <c r="LYQ29" s="67"/>
      <c r="LYR29" s="67"/>
      <c r="LYS29" s="67"/>
      <c r="LYT29" s="67"/>
      <c r="LYU29" s="67"/>
      <c r="LYV29" s="67"/>
      <c r="LYW29" s="67"/>
      <c r="LYX29" s="67"/>
      <c r="LYY29" s="67"/>
      <c r="LYZ29" s="67"/>
      <c r="LZA29" s="67"/>
      <c r="LZB29" s="67"/>
      <c r="LZC29" s="67"/>
      <c r="LZD29" s="67"/>
      <c r="LZE29" s="67"/>
      <c r="LZF29" s="67"/>
      <c r="LZG29" s="67"/>
      <c r="LZH29" s="67"/>
      <c r="LZI29" s="67"/>
      <c r="LZJ29" s="67"/>
      <c r="LZK29" s="67"/>
      <c r="LZL29" s="67"/>
      <c r="LZM29" s="67"/>
      <c r="LZN29" s="67"/>
      <c r="LZO29" s="67"/>
      <c r="LZP29" s="67"/>
      <c r="LZQ29" s="67"/>
      <c r="LZR29" s="67"/>
      <c r="LZS29" s="67"/>
      <c r="LZT29" s="67"/>
      <c r="LZU29" s="67"/>
      <c r="LZV29" s="67"/>
      <c r="LZW29" s="67"/>
      <c r="LZX29" s="67"/>
      <c r="LZY29" s="67"/>
      <c r="LZZ29" s="67"/>
      <c r="MAA29" s="67"/>
      <c r="MAB29" s="67"/>
      <c r="MAC29" s="67"/>
      <c r="MAD29" s="67"/>
      <c r="MAE29" s="67"/>
      <c r="MAF29" s="67"/>
      <c r="MAG29" s="67"/>
      <c r="MAH29" s="67"/>
      <c r="MAI29" s="67"/>
      <c r="MAJ29" s="67"/>
      <c r="MAK29" s="67"/>
      <c r="MAL29" s="67"/>
      <c r="MAM29" s="67"/>
      <c r="MAN29" s="67"/>
      <c r="MAO29" s="67"/>
      <c r="MAP29" s="67"/>
      <c r="MAQ29" s="67"/>
      <c r="MAR29" s="67"/>
      <c r="MAS29" s="67"/>
      <c r="MAT29" s="67"/>
      <c r="MAU29" s="67"/>
      <c r="MAV29" s="67"/>
      <c r="MAW29" s="67"/>
      <c r="MAX29" s="67"/>
      <c r="MAY29" s="67"/>
      <c r="MAZ29" s="67"/>
      <c r="MBA29" s="67"/>
      <c r="MBB29" s="67"/>
      <c r="MBC29" s="67"/>
      <c r="MBD29" s="67"/>
      <c r="MBE29" s="67"/>
      <c r="MBF29" s="67"/>
      <c r="MBG29" s="67"/>
      <c r="MBH29" s="67"/>
      <c r="MBI29" s="67"/>
      <c r="MBJ29" s="67"/>
      <c r="MBK29" s="67"/>
      <c r="MBL29" s="67"/>
      <c r="MBM29" s="67"/>
      <c r="MBN29" s="67"/>
      <c r="MBO29" s="67"/>
      <c r="MBP29" s="67"/>
      <c r="MBQ29" s="67"/>
      <c r="MBR29" s="67"/>
      <c r="MBS29" s="67"/>
      <c r="MBT29" s="67"/>
      <c r="MBU29" s="67"/>
      <c r="MBV29" s="67"/>
      <c r="MBW29" s="67"/>
      <c r="MBX29" s="67"/>
      <c r="MBY29" s="67"/>
      <c r="MBZ29" s="67"/>
      <c r="MCA29" s="67"/>
      <c r="MCB29" s="67"/>
      <c r="MCC29" s="67"/>
      <c r="MCD29" s="67"/>
      <c r="MCE29" s="67"/>
      <c r="MCF29" s="67"/>
      <c r="MCG29" s="67"/>
      <c r="MCH29" s="67"/>
      <c r="MCI29" s="67"/>
      <c r="MCJ29" s="67"/>
      <c r="MCK29" s="67"/>
      <c r="MCL29" s="67"/>
      <c r="MCM29" s="67"/>
      <c r="MCN29" s="67"/>
      <c r="MCO29" s="67"/>
      <c r="MCP29" s="67"/>
      <c r="MCQ29" s="67"/>
      <c r="MCR29" s="67"/>
      <c r="MCS29" s="67"/>
      <c r="MCT29" s="67"/>
      <c r="MCU29" s="67"/>
      <c r="MCV29" s="67"/>
      <c r="MCW29" s="67"/>
      <c r="MCX29" s="67"/>
      <c r="MCY29" s="67"/>
      <c r="MCZ29" s="67"/>
      <c r="MDA29" s="67"/>
      <c r="MDB29" s="67"/>
      <c r="MDC29" s="67"/>
      <c r="MDD29" s="67"/>
      <c r="MDE29" s="67"/>
      <c r="MDF29" s="67"/>
      <c r="MDG29" s="67"/>
      <c r="MDH29" s="67"/>
      <c r="MDI29" s="67"/>
      <c r="MDJ29" s="67"/>
      <c r="MDK29" s="67"/>
      <c r="MDL29" s="67"/>
      <c r="MDM29" s="67"/>
      <c r="MDN29" s="67"/>
      <c r="MDO29" s="67"/>
      <c r="MDP29" s="67"/>
      <c r="MDQ29" s="67"/>
      <c r="MDR29" s="67"/>
      <c r="MDS29" s="67"/>
      <c r="MDT29" s="67"/>
      <c r="MDU29" s="67"/>
      <c r="MDV29" s="67"/>
      <c r="MDW29" s="67"/>
      <c r="MDX29" s="67"/>
      <c r="MDY29" s="67"/>
      <c r="MDZ29" s="67"/>
      <c r="MEA29" s="67"/>
      <c r="MEB29" s="67"/>
      <c r="MEC29" s="67"/>
      <c r="MED29" s="67"/>
      <c r="MEE29" s="67"/>
      <c r="MEF29" s="67"/>
      <c r="MEG29" s="67"/>
      <c r="MEH29" s="67"/>
      <c r="MEI29" s="67"/>
      <c r="MEJ29" s="67"/>
      <c r="MEK29" s="67"/>
      <c r="MEL29" s="67"/>
      <c r="MEM29" s="67"/>
      <c r="MEN29" s="67"/>
      <c r="MEO29" s="67"/>
      <c r="MEP29" s="67"/>
      <c r="MEQ29" s="67"/>
      <c r="MER29" s="67"/>
      <c r="MES29" s="67"/>
      <c r="MET29" s="67"/>
      <c r="MEU29" s="67"/>
      <c r="MEV29" s="67"/>
      <c r="MEW29" s="67"/>
      <c r="MEX29" s="67"/>
      <c r="MEY29" s="67"/>
      <c r="MEZ29" s="67"/>
      <c r="MFA29" s="67"/>
      <c r="MFB29" s="67"/>
      <c r="MFC29" s="67"/>
      <c r="MFD29" s="67"/>
      <c r="MFE29" s="67"/>
      <c r="MFF29" s="67"/>
      <c r="MFG29" s="67"/>
      <c r="MFH29" s="67"/>
      <c r="MFI29" s="67"/>
      <c r="MFJ29" s="67"/>
      <c r="MFK29" s="67"/>
      <c r="MFL29" s="67"/>
      <c r="MFM29" s="67"/>
      <c r="MFN29" s="67"/>
      <c r="MFO29" s="67"/>
      <c r="MFP29" s="67"/>
      <c r="MFQ29" s="67"/>
      <c r="MFR29" s="67"/>
      <c r="MFS29" s="67"/>
      <c r="MFT29" s="67"/>
      <c r="MFU29" s="67"/>
      <c r="MFV29" s="67"/>
      <c r="MFW29" s="67"/>
      <c r="MFX29" s="67"/>
      <c r="MFY29" s="67"/>
      <c r="MFZ29" s="67"/>
      <c r="MGA29" s="67"/>
      <c r="MGB29" s="67"/>
      <c r="MGC29" s="67"/>
      <c r="MGD29" s="67"/>
      <c r="MGE29" s="67"/>
      <c r="MGF29" s="67"/>
      <c r="MGG29" s="67"/>
      <c r="MGH29" s="67"/>
      <c r="MGI29" s="67"/>
      <c r="MGJ29" s="67"/>
      <c r="MGK29" s="67"/>
      <c r="MGL29" s="67"/>
      <c r="MGM29" s="67"/>
      <c r="MGN29" s="67"/>
      <c r="MGO29" s="67"/>
      <c r="MGP29" s="67"/>
      <c r="MGQ29" s="67"/>
      <c r="MGR29" s="67"/>
      <c r="MGS29" s="67"/>
      <c r="MGT29" s="67"/>
      <c r="MGU29" s="67"/>
      <c r="MGV29" s="67"/>
      <c r="MGW29" s="67"/>
      <c r="MGX29" s="67"/>
      <c r="MGY29" s="67"/>
      <c r="MGZ29" s="67"/>
      <c r="MHA29" s="67"/>
      <c r="MHB29" s="67"/>
      <c r="MHC29" s="67"/>
      <c r="MHD29" s="67"/>
      <c r="MHE29" s="67"/>
      <c r="MHF29" s="67"/>
      <c r="MHG29" s="67"/>
      <c r="MHH29" s="67"/>
      <c r="MHI29" s="67"/>
      <c r="MHJ29" s="67"/>
      <c r="MHK29" s="67"/>
      <c r="MHL29" s="67"/>
      <c r="MHM29" s="67"/>
      <c r="MHN29" s="67"/>
      <c r="MHO29" s="67"/>
      <c r="MHP29" s="67"/>
      <c r="MHQ29" s="67"/>
      <c r="MHR29" s="67"/>
      <c r="MHS29" s="67"/>
      <c r="MHT29" s="67"/>
      <c r="MHU29" s="67"/>
      <c r="MHV29" s="67"/>
      <c r="MHW29" s="67"/>
      <c r="MHX29" s="67"/>
      <c r="MHY29" s="67"/>
      <c r="MHZ29" s="67"/>
      <c r="MIA29" s="67"/>
      <c r="MIB29" s="67"/>
      <c r="MIC29" s="67"/>
      <c r="MID29" s="67"/>
      <c r="MIE29" s="67"/>
      <c r="MIF29" s="67"/>
      <c r="MIG29" s="67"/>
      <c r="MIH29" s="67"/>
      <c r="MII29" s="67"/>
      <c r="MIJ29" s="67"/>
      <c r="MIK29" s="67"/>
      <c r="MIL29" s="67"/>
      <c r="MIM29" s="67"/>
      <c r="MIN29" s="67"/>
      <c r="MIO29" s="67"/>
      <c r="MIP29" s="67"/>
      <c r="MIQ29" s="67"/>
      <c r="MIR29" s="67"/>
      <c r="MIS29" s="67"/>
      <c r="MIT29" s="67"/>
      <c r="MIU29" s="67"/>
      <c r="MIV29" s="67"/>
      <c r="MIW29" s="67"/>
      <c r="MIX29" s="67"/>
      <c r="MIY29" s="67"/>
      <c r="MIZ29" s="67"/>
      <c r="MJA29" s="67"/>
      <c r="MJB29" s="67"/>
      <c r="MJC29" s="67"/>
      <c r="MJD29" s="67"/>
      <c r="MJE29" s="67"/>
      <c r="MJF29" s="67"/>
      <c r="MJG29" s="67"/>
      <c r="MJH29" s="67"/>
      <c r="MJI29" s="67"/>
      <c r="MJJ29" s="67"/>
      <c r="MJK29" s="67"/>
      <c r="MJL29" s="67"/>
      <c r="MJM29" s="67"/>
      <c r="MJN29" s="67"/>
      <c r="MJO29" s="67"/>
      <c r="MJP29" s="67"/>
      <c r="MJQ29" s="67"/>
      <c r="MJR29" s="67"/>
      <c r="MJS29" s="67"/>
      <c r="MJT29" s="67"/>
      <c r="MJU29" s="67"/>
      <c r="MJV29" s="67"/>
      <c r="MJW29" s="67"/>
      <c r="MJX29" s="67"/>
      <c r="MJY29" s="67"/>
      <c r="MJZ29" s="67"/>
      <c r="MKA29" s="67"/>
      <c r="MKB29" s="67"/>
      <c r="MKC29" s="67"/>
      <c r="MKD29" s="67"/>
      <c r="MKE29" s="67"/>
      <c r="MKF29" s="67"/>
      <c r="MKG29" s="67"/>
      <c r="MKH29" s="67"/>
      <c r="MKI29" s="67"/>
      <c r="MKJ29" s="67"/>
      <c r="MKK29" s="67"/>
      <c r="MKL29" s="67"/>
      <c r="MKM29" s="67"/>
      <c r="MKN29" s="67"/>
      <c r="MKO29" s="67"/>
      <c r="MKP29" s="67"/>
      <c r="MKQ29" s="67"/>
      <c r="MKR29" s="67"/>
      <c r="MKS29" s="67"/>
      <c r="MKT29" s="67"/>
      <c r="MKU29" s="67"/>
      <c r="MKV29" s="67"/>
      <c r="MKW29" s="67"/>
      <c r="MKX29" s="67"/>
      <c r="MKY29" s="67"/>
      <c r="MKZ29" s="67"/>
      <c r="MLA29" s="67"/>
      <c r="MLB29" s="67"/>
      <c r="MLC29" s="67"/>
      <c r="MLD29" s="67"/>
      <c r="MLE29" s="67"/>
      <c r="MLF29" s="67"/>
      <c r="MLG29" s="67"/>
      <c r="MLH29" s="67"/>
      <c r="MLI29" s="67"/>
      <c r="MLJ29" s="67"/>
      <c r="MLK29" s="67"/>
      <c r="MLL29" s="67"/>
      <c r="MLM29" s="67"/>
      <c r="MLN29" s="67"/>
      <c r="MLO29" s="67"/>
      <c r="MLP29" s="67"/>
      <c r="MLQ29" s="67"/>
      <c r="MLR29" s="67"/>
      <c r="MLS29" s="67"/>
      <c r="MLT29" s="67"/>
      <c r="MLU29" s="67"/>
      <c r="MLV29" s="67"/>
      <c r="MLW29" s="67"/>
      <c r="MLX29" s="67"/>
      <c r="MLY29" s="67"/>
      <c r="MLZ29" s="67"/>
      <c r="MMA29" s="67"/>
      <c r="MMB29" s="67"/>
      <c r="MMC29" s="67"/>
      <c r="MMD29" s="67"/>
      <c r="MME29" s="67"/>
      <c r="MMF29" s="67"/>
      <c r="MMG29" s="67"/>
      <c r="MMH29" s="67"/>
      <c r="MMI29" s="67"/>
      <c r="MMJ29" s="67"/>
      <c r="MMK29" s="67"/>
      <c r="MML29" s="67"/>
      <c r="MMM29" s="67"/>
      <c r="MMN29" s="67"/>
      <c r="MMO29" s="67"/>
      <c r="MMP29" s="67"/>
      <c r="MMQ29" s="67"/>
      <c r="MMR29" s="67"/>
      <c r="MMS29" s="67"/>
      <c r="MMT29" s="67"/>
      <c r="MMU29" s="67"/>
      <c r="MMV29" s="67"/>
      <c r="MMW29" s="67"/>
      <c r="MMX29" s="67"/>
      <c r="MMY29" s="67"/>
      <c r="MMZ29" s="67"/>
      <c r="MNA29" s="67"/>
      <c r="MNB29" s="67"/>
      <c r="MNC29" s="67"/>
      <c r="MND29" s="67"/>
      <c r="MNE29" s="67"/>
      <c r="MNF29" s="67"/>
      <c r="MNG29" s="67"/>
      <c r="MNH29" s="67"/>
      <c r="MNI29" s="67"/>
      <c r="MNJ29" s="67"/>
      <c r="MNK29" s="67"/>
      <c r="MNL29" s="67"/>
      <c r="MNM29" s="67"/>
      <c r="MNN29" s="67"/>
      <c r="MNO29" s="67"/>
      <c r="MNP29" s="67"/>
      <c r="MNQ29" s="67"/>
      <c r="MNR29" s="67"/>
      <c r="MNS29" s="67"/>
      <c r="MNT29" s="67"/>
      <c r="MNU29" s="67"/>
      <c r="MNV29" s="67"/>
      <c r="MNW29" s="67"/>
      <c r="MNX29" s="67"/>
      <c r="MNY29" s="67"/>
      <c r="MNZ29" s="67"/>
      <c r="MOA29" s="67"/>
      <c r="MOB29" s="67"/>
      <c r="MOC29" s="67"/>
      <c r="MOD29" s="67"/>
      <c r="MOE29" s="67"/>
      <c r="MOF29" s="67"/>
      <c r="MOG29" s="67"/>
      <c r="MOH29" s="67"/>
      <c r="MOI29" s="67"/>
      <c r="MOJ29" s="67"/>
      <c r="MOK29" s="67"/>
      <c r="MOL29" s="67"/>
      <c r="MOM29" s="67"/>
      <c r="MON29" s="67"/>
      <c r="MOO29" s="67"/>
      <c r="MOP29" s="67"/>
      <c r="MOQ29" s="67"/>
      <c r="MOR29" s="67"/>
      <c r="MOS29" s="67"/>
      <c r="MOT29" s="67"/>
      <c r="MOU29" s="67"/>
      <c r="MOV29" s="67"/>
      <c r="MOW29" s="67"/>
      <c r="MOX29" s="67"/>
      <c r="MOY29" s="67"/>
      <c r="MOZ29" s="67"/>
      <c r="MPA29" s="67"/>
      <c r="MPB29" s="67"/>
      <c r="MPC29" s="67"/>
      <c r="MPD29" s="67"/>
      <c r="MPE29" s="67"/>
      <c r="MPF29" s="67"/>
      <c r="MPG29" s="67"/>
      <c r="MPH29" s="67"/>
      <c r="MPI29" s="67"/>
      <c r="MPJ29" s="67"/>
      <c r="MPK29" s="67"/>
      <c r="MPL29" s="67"/>
      <c r="MPM29" s="67"/>
      <c r="MPN29" s="67"/>
      <c r="MPO29" s="67"/>
      <c r="MPP29" s="67"/>
      <c r="MPQ29" s="67"/>
      <c r="MPR29" s="67"/>
      <c r="MPS29" s="67"/>
      <c r="MPT29" s="67"/>
      <c r="MPU29" s="67"/>
      <c r="MPV29" s="67"/>
      <c r="MPW29" s="67"/>
      <c r="MPX29" s="67"/>
      <c r="MPY29" s="67"/>
      <c r="MPZ29" s="67"/>
      <c r="MQA29" s="67"/>
      <c r="MQB29" s="67"/>
      <c r="MQC29" s="67"/>
      <c r="MQD29" s="67"/>
      <c r="MQE29" s="67"/>
      <c r="MQF29" s="67"/>
      <c r="MQG29" s="67"/>
      <c r="MQH29" s="67"/>
      <c r="MQI29" s="67"/>
      <c r="MQJ29" s="67"/>
      <c r="MQK29" s="67"/>
      <c r="MQL29" s="67"/>
      <c r="MQM29" s="67"/>
      <c r="MQN29" s="67"/>
      <c r="MQO29" s="67"/>
      <c r="MQP29" s="67"/>
      <c r="MQQ29" s="67"/>
      <c r="MQR29" s="67"/>
      <c r="MQS29" s="67"/>
      <c r="MQT29" s="67"/>
      <c r="MQU29" s="67"/>
      <c r="MQV29" s="67"/>
      <c r="MQW29" s="67"/>
      <c r="MQX29" s="67"/>
      <c r="MQY29" s="67"/>
      <c r="MQZ29" s="67"/>
      <c r="MRA29" s="67"/>
      <c r="MRB29" s="67"/>
      <c r="MRC29" s="67"/>
      <c r="MRD29" s="67"/>
      <c r="MRE29" s="67"/>
      <c r="MRF29" s="67"/>
      <c r="MRG29" s="67"/>
      <c r="MRH29" s="67"/>
      <c r="MRI29" s="67"/>
      <c r="MRJ29" s="67"/>
      <c r="MRK29" s="67"/>
      <c r="MRL29" s="67"/>
      <c r="MRM29" s="67"/>
      <c r="MRN29" s="67"/>
      <c r="MRO29" s="67"/>
      <c r="MRP29" s="67"/>
      <c r="MRQ29" s="67"/>
      <c r="MRR29" s="67"/>
      <c r="MRS29" s="67"/>
      <c r="MRT29" s="67"/>
      <c r="MRU29" s="67"/>
      <c r="MRV29" s="67"/>
      <c r="MRW29" s="67"/>
      <c r="MRX29" s="67"/>
      <c r="MRY29" s="67"/>
      <c r="MRZ29" s="67"/>
      <c r="MSA29" s="67"/>
      <c r="MSB29" s="67"/>
      <c r="MSC29" s="67"/>
      <c r="MSD29" s="67"/>
      <c r="MSE29" s="67"/>
      <c r="MSF29" s="67"/>
      <c r="MSG29" s="67"/>
      <c r="MSH29" s="67"/>
      <c r="MSI29" s="67"/>
      <c r="MSJ29" s="67"/>
      <c r="MSK29" s="67"/>
      <c r="MSL29" s="67"/>
      <c r="MSM29" s="67"/>
      <c r="MSN29" s="67"/>
      <c r="MSO29" s="67"/>
      <c r="MSP29" s="67"/>
      <c r="MSQ29" s="67"/>
      <c r="MSR29" s="67"/>
      <c r="MSS29" s="67"/>
      <c r="MST29" s="67"/>
      <c r="MSU29" s="67"/>
      <c r="MSV29" s="67"/>
      <c r="MSW29" s="67"/>
      <c r="MSX29" s="67"/>
      <c r="MSY29" s="67"/>
      <c r="MSZ29" s="67"/>
      <c r="MTA29" s="67"/>
      <c r="MTB29" s="67"/>
      <c r="MTC29" s="67"/>
      <c r="MTD29" s="67"/>
      <c r="MTE29" s="67"/>
      <c r="MTF29" s="67"/>
      <c r="MTG29" s="67"/>
      <c r="MTH29" s="67"/>
      <c r="MTI29" s="67"/>
      <c r="MTJ29" s="67"/>
      <c r="MTK29" s="67"/>
      <c r="MTL29" s="67"/>
      <c r="MTM29" s="67"/>
      <c r="MTN29" s="67"/>
      <c r="MTO29" s="67"/>
      <c r="MTP29" s="67"/>
      <c r="MTQ29" s="67"/>
      <c r="MTR29" s="67"/>
      <c r="MTS29" s="67"/>
      <c r="MTT29" s="67"/>
      <c r="MTU29" s="67"/>
      <c r="MTV29" s="67"/>
      <c r="MTW29" s="67"/>
      <c r="MTX29" s="67"/>
      <c r="MTY29" s="67"/>
      <c r="MTZ29" s="67"/>
      <c r="MUA29" s="67"/>
      <c r="MUB29" s="67"/>
      <c r="MUC29" s="67"/>
      <c r="MUD29" s="67"/>
      <c r="MUE29" s="67"/>
      <c r="MUF29" s="67"/>
      <c r="MUG29" s="67"/>
      <c r="MUH29" s="67"/>
      <c r="MUI29" s="67"/>
      <c r="MUJ29" s="67"/>
      <c r="MUK29" s="67"/>
      <c r="MUL29" s="67"/>
      <c r="MUM29" s="67"/>
      <c r="MUN29" s="67"/>
      <c r="MUO29" s="67"/>
      <c r="MUP29" s="67"/>
      <c r="MUQ29" s="67"/>
      <c r="MUR29" s="67"/>
      <c r="MUS29" s="67"/>
      <c r="MUT29" s="67"/>
      <c r="MUU29" s="67"/>
      <c r="MUV29" s="67"/>
      <c r="MUW29" s="67"/>
      <c r="MUX29" s="67"/>
      <c r="MUY29" s="67"/>
      <c r="MUZ29" s="67"/>
      <c r="MVA29" s="67"/>
      <c r="MVB29" s="67"/>
      <c r="MVC29" s="67"/>
      <c r="MVD29" s="67"/>
      <c r="MVE29" s="67"/>
      <c r="MVF29" s="67"/>
      <c r="MVG29" s="67"/>
      <c r="MVH29" s="67"/>
      <c r="MVI29" s="67"/>
      <c r="MVJ29" s="67"/>
      <c r="MVK29" s="67"/>
      <c r="MVL29" s="67"/>
      <c r="MVM29" s="67"/>
      <c r="MVN29" s="67"/>
      <c r="MVO29" s="67"/>
      <c r="MVP29" s="67"/>
      <c r="MVQ29" s="67"/>
      <c r="MVR29" s="67"/>
      <c r="MVS29" s="67"/>
      <c r="MVT29" s="67"/>
      <c r="MVU29" s="67"/>
      <c r="MVV29" s="67"/>
      <c r="MVW29" s="67"/>
      <c r="MVX29" s="67"/>
      <c r="MVY29" s="67"/>
      <c r="MVZ29" s="67"/>
      <c r="MWA29" s="67"/>
      <c r="MWB29" s="67"/>
      <c r="MWC29" s="67"/>
      <c r="MWD29" s="67"/>
      <c r="MWE29" s="67"/>
      <c r="MWF29" s="67"/>
      <c r="MWG29" s="67"/>
      <c r="MWH29" s="67"/>
      <c r="MWI29" s="67"/>
      <c r="MWJ29" s="67"/>
      <c r="MWK29" s="67"/>
      <c r="MWL29" s="67"/>
      <c r="MWM29" s="67"/>
      <c r="MWN29" s="67"/>
      <c r="MWO29" s="67"/>
      <c r="MWP29" s="67"/>
      <c r="MWQ29" s="67"/>
      <c r="MWR29" s="67"/>
      <c r="MWS29" s="67"/>
      <c r="MWT29" s="67"/>
      <c r="MWU29" s="67"/>
      <c r="MWV29" s="67"/>
      <c r="MWW29" s="67"/>
      <c r="MWX29" s="67"/>
      <c r="MWY29" s="67"/>
      <c r="MWZ29" s="67"/>
      <c r="MXA29" s="67"/>
      <c r="MXB29" s="67"/>
      <c r="MXC29" s="67"/>
      <c r="MXD29" s="67"/>
      <c r="MXE29" s="67"/>
      <c r="MXF29" s="67"/>
      <c r="MXG29" s="67"/>
      <c r="MXH29" s="67"/>
      <c r="MXI29" s="67"/>
      <c r="MXJ29" s="67"/>
      <c r="MXK29" s="67"/>
      <c r="MXL29" s="67"/>
      <c r="MXM29" s="67"/>
      <c r="MXN29" s="67"/>
      <c r="MXO29" s="67"/>
      <c r="MXP29" s="67"/>
      <c r="MXQ29" s="67"/>
      <c r="MXR29" s="67"/>
      <c r="MXS29" s="67"/>
      <c r="MXT29" s="67"/>
      <c r="MXU29" s="67"/>
      <c r="MXV29" s="67"/>
      <c r="MXW29" s="67"/>
      <c r="MXX29" s="67"/>
      <c r="MXY29" s="67"/>
      <c r="MXZ29" s="67"/>
      <c r="MYA29" s="67"/>
      <c r="MYB29" s="67"/>
      <c r="MYC29" s="67"/>
      <c r="MYD29" s="67"/>
      <c r="MYE29" s="67"/>
      <c r="MYF29" s="67"/>
      <c r="MYG29" s="67"/>
      <c r="MYH29" s="67"/>
      <c r="MYI29" s="67"/>
      <c r="MYJ29" s="67"/>
      <c r="MYK29" s="67"/>
      <c r="MYL29" s="67"/>
      <c r="MYM29" s="67"/>
      <c r="MYN29" s="67"/>
      <c r="MYO29" s="67"/>
      <c r="MYP29" s="67"/>
      <c r="MYQ29" s="67"/>
      <c r="MYR29" s="67"/>
      <c r="MYS29" s="67"/>
      <c r="MYT29" s="67"/>
      <c r="MYU29" s="67"/>
      <c r="MYV29" s="67"/>
      <c r="MYW29" s="67"/>
      <c r="MYX29" s="67"/>
      <c r="MYY29" s="67"/>
      <c r="MYZ29" s="67"/>
      <c r="MZA29" s="67"/>
      <c r="MZB29" s="67"/>
      <c r="MZC29" s="67"/>
      <c r="MZD29" s="67"/>
      <c r="MZE29" s="67"/>
      <c r="MZF29" s="67"/>
      <c r="MZG29" s="67"/>
      <c r="MZH29" s="67"/>
      <c r="MZI29" s="67"/>
      <c r="MZJ29" s="67"/>
      <c r="MZK29" s="67"/>
      <c r="MZL29" s="67"/>
      <c r="MZM29" s="67"/>
      <c r="MZN29" s="67"/>
      <c r="MZO29" s="67"/>
      <c r="MZP29" s="67"/>
      <c r="MZQ29" s="67"/>
      <c r="MZR29" s="67"/>
      <c r="MZS29" s="67"/>
      <c r="MZT29" s="67"/>
      <c r="MZU29" s="67"/>
      <c r="MZV29" s="67"/>
      <c r="MZW29" s="67"/>
      <c r="MZX29" s="67"/>
      <c r="MZY29" s="67"/>
      <c r="MZZ29" s="67"/>
      <c r="NAA29" s="67"/>
      <c r="NAB29" s="67"/>
      <c r="NAC29" s="67"/>
      <c r="NAD29" s="67"/>
      <c r="NAE29" s="67"/>
      <c r="NAF29" s="67"/>
      <c r="NAG29" s="67"/>
      <c r="NAH29" s="67"/>
      <c r="NAI29" s="67"/>
      <c r="NAJ29" s="67"/>
      <c r="NAK29" s="67"/>
      <c r="NAL29" s="67"/>
      <c r="NAM29" s="67"/>
      <c r="NAN29" s="67"/>
      <c r="NAO29" s="67"/>
      <c r="NAP29" s="67"/>
      <c r="NAQ29" s="67"/>
      <c r="NAR29" s="67"/>
      <c r="NAS29" s="67"/>
      <c r="NAT29" s="67"/>
      <c r="NAU29" s="67"/>
      <c r="NAV29" s="67"/>
      <c r="NAW29" s="67"/>
      <c r="NAX29" s="67"/>
      <c r="NAY29" s="67"/>
      <c r="NAZ29" s="67"/>
      <c r="NBA29" s="67"/>
      <c r="NBB29" s="67"/>
      <c r="NBC29" s="67"/>
      <c r="NBD29" s="67"/>
      <c r="NBE29" s="67"/>
      <c r="NBF29" s="67"/>
      <c r="NBG29" s="67"/>
      <c r="NBH29" s="67"/>
      <c r="NBI29" s="67"/>
      <c r="NBJ29" s="67"/>
      <c r="NBK29" s="67"/>
      <c r="NBL29" s="67"/>
      <c r="NBM29" s="67"/>
      <c r="NBN29" s="67"/>
      <c r="NBO29" s="67"/>
      <c r="NBP29" s="67"/>
      <c r="NBQ29" s="67"/>
      <c r="NBR29" s="67"/>
      <c r="NBS29" s="67"/>
      <c r="NBT29" s="67"/>
      <c r="NBU29" s="67"/>
      <c r="NBV29" s="67"/>
      <c r="NBW29" s="67"/>
      <c r="NBX29" s="67"/>
      <c r="NBY29" s="67"/>
      <c r="NBZ29" s="67"/>
      <c r="NCA29" s="67"/>
      <c r="NCB29" s="67"/>
      <c r="NCC29" s="67"/>
      <c r="NCD29" s="67"/>
      <c r="NCE29" s="67"/>
      <c r="NCF29" s="67"/>
      <c r="NCG29" s="67"/>
      <c r="NCH29" s="67"/>
      <c r="NCI29" s="67"/>
      <c r="NCJ29" s="67"/>
      <c r="NCK29" s="67"/>
      <c r="NCL29" s="67"/>
      <c r="NCM29" s="67"/>
      <c r="NCN29" s="67"/>
      <c r="NCO29" s="67"/>
      <c r="NCP29" s="67"/>
      <c r="NCQ29" s="67"/>
      <c r="NCR29" s="67"/>
      <c r="NCS29" s="67"/>
      <c r="NCT29" s="67"/>
      <c r="NCU29" s="67"/>
      <c r="NCV29" s="67"/>
      <c r="NCW29" s="67"/>
      <c r="NCX29" s="67"/>
      <c r="NCY29" s="67"/>
      <c r="NCZ29" s="67"/>
      <c r="NDA29" s="67"/>
      <c r="NDB29" s="67"/>
      <c r="NDC29" s="67"/>
      <c r="NDD29" s="67"/>
      <c r="NDE29" s="67"/>
      <c r="NDF29" s="67"/>
      <c r="NDG29" s="67"/>
      <c r="NDH29" s="67"/>
      <c r="NDI29" s="67"/>
      <c r="NDJ29" s="67"/>
      <c r="NDK29" s="67"/>
      <c r="NDL29" s="67"/>
      <c r="NDM29" s="67"/>
      <c r="NDN29" s="67"/>
      <c r="NDO29" s="67"/>
      <c r="NDP29" s="67"/>
      <c r="NDQ29" s="67"/>
      <c r="NDR29" s="67"/>
      <c r="NDS29" s="67"/>
      <c r="NDT29" s="67"/>
      <c r="NDU29" s="67"/>
      <c r="NDV29" s="67"/>
      <c r="NDW29" s="67"/>
      <c r="NDX29" s="67"/>
      <c r="NDY29" s="67"/>
      <c r="NDZ29" s="67"/>
      <c r="NEA29" s="67"/>
      <c r="NEB29" s="67"/>
      <c r="NEC29" s="67"/>
      <c r="NED29" s="67"/>
      <c r="NEE29" s="67"/>
      <c r="NEF29" s="67"/>
      <c r="NEG29" s="67"/>
      <c r="NEH29" s="67"/>
      <c r="NEI29" s="67"/>
      <c r="NEJ29" s="67"/>
      <c r="NEK29" s="67"/>
      <c r="NEL29" s="67"/>
      <c r="NEM29" s="67"/>
      <c r="NEN29" s="67"/>
      <c r="NEO29" s="67"/>
      <c r="NEP29" s="67"/>
      <c r="NEQ29" s="67"/>
      <c r="NER29" s="67"/>
      <c r="NES29" s="67"/>
      <c r="NET29" s="67"/>
      <c r="NEU29" s="67"/>
      <c r="NEV29" s="67"/>
      <c r="NEW29" s="67"/>
      <c r="NEX29" s="67"/>
      <c r="NEY29" s="67"/>
      <c r="NEZ29" s="67"/>
      <c r="NFA29" s="67"/>
      <c r="NFB29" s="67"/>
      <c r="NFC29" s="67"/>
      <c r="NFD29" s="67"/>
      <c r="NFE29" s="67"/>
      <c r="NFF29" s="67"/>
      <c r="NFG29" s="67"/>
      <c r="NFH29" s="67"/>
      <c r="NFI29" s="67"/>
      <c r="NFJ29" s="67"/>
      <c r="NFK29" s="67"/>
      <c r="NFL29" s="67"/>
      <c r="NFM29" s="67"/>
      <c r="NFN29" s="67"/>
      <c r="NFO29" s="67"/>
      <c r="NFP29" s="67"/>
      <c r="NFQ29" s="67"/>
      <c r="NFR29" s="67"/>
      <c r="NFS29" s="67"/>
      <c r="NFT29" s="67"/>
      <c r="NFU29" s="67"/>
      <c r="NFV29" s="67"/>
      <c r="NFW29" s="67"/>
      <c r="NFX29" s="67"/>
      <c r="NFY29" s="67"/>
      <c r="NFZ29" s="67"/>
      <c r="NGA29" s="67"/>
      <c r="NGB29" s="67"/>
      <c r="NGC29" s="67"/>
      <c r="NGD29" s="67"/>
      <c r="NGE29" s="67"/>
      <c r="NGF29" s="67"/>
      <c r="NGG29" s="67"/>
      <c r="NGH29" s="67"/>
      <c r="NGI29" s="67"/>
      <c r="NGJ29" s="67"/>
      <c r="NGK29" s="67"/>
      <c r="NGL29" s="67"/>
      <c r="NGM29" s="67"/>
      <c r="NGN29" s="67"/>
      <c r="NGO29" s="67"/>
      <c r="NGP29" s="67"/>
      <c r="NGQ29" s="67"/>
      <c r="NGR29" s="67"/>
      <c r="NGS29" s="67"/>
      <c r="NGT29" s="67"/>
      <c r="NGU29" s="67"/>
      <c r="NGV29" s="67"/>
      <c r="NGW29" s="67"/>
      <c r="NGX29" s="67"/>
      <c r="NGY29" s="67"/>
      <c r="NGZ29" s="67"/>
      <c r="NHA29" s="67"/>
      <c r="NHB29" s="67"/>
      <c r="NHC29" s="67"/>
      <c r="NHD29" s="67"/>
      <c r="NHE29" s="67"/>
      <c r="NHF29" s="67"/>
      <c r="NHG29" s="67"/>
      <c r="NHH29" s="67"/>
      <c r="NHI29" s="67"/>
      <c r="NHJ29" s="67"/>
      <c r="NHK29" s="67"/>
      <c r="NHL29" s="67"/>
      <c r="NHM29" s="67"/>
      <c r="NHN29" s="67"/>
      <c r="NHO29" s="67"/>
      <c r="NHP29" s="67"/>
      <c r="NHQ29" s="67"/>
      <c r="NHR29" s="67"/>
      <c r="NHS29" s="67"/>
      <c r="NHT29" s="67"/>
      <c r="NHU29" s="67"/>
      <c r="NHV29" s="67"/>
      <c r="NHW29" s="67"/>
      <c r="NHX29" s="67"/>
      <c r="NHY29" s="67"/>
      <c r="NHZ29" s="67"/>
      <c r="NIA29" s="67"/>
      <c r="NIB29" s="67"/>
      <c r="NIC29" s="67"/>
      <c r="NID29" s="67"/>
      <c r="NIE29" s="67"/>
      <c r="NIF29" s="67"/>
      <c r="NIG29" s="67"/>
      <c r="NIH29" s="67"/>
      <c r="NII29" s="67"/>
      <c r="NIJ29" s="67"/>
      <c r="NIK29" s="67"/>
      <c r="NIL29" s="67"/>
      <c r="NIM29" s="67"/>
      <c r="NIN29" s="67"/>
      <c r="NIO29" s="67"/>
      <c r="NIP29" s="67"/>
      <c r="NIQ29" s="67"/>
      <c r="NIR29" s="67"/>
      <c r="NIS29" s="67"/>
      <c r="NIT29" s="67"/>
      <c r="NIU29" s="67"/>
      <c r="NIV29" s="67"/>
      <c r="NIW29" s="67"/>
      <c r="NIX29" s="67"/>
      <c r="NIY29" s="67"/>
      <c r="NIZ29" s="67"/>
      <c r="NJA29" s="67"/>
      <c r="NJB29" s="67"/>
      <c r="NJC29" s="67"/>
      <c r="NJD29" s="67"/>
      <c r="NJE29" s="67"/>
      <c r="NJF29" s="67"/>
      <c r="NJG29" s="67"/>
      <c r="NJH29" s="67"/>
      <c r="NJI29" s="67"/>
      <c r="NJJ29" s="67"/>
      <c r="NJK29" s="67"/>
      <c r="NJL29" s="67"/>
      <c r="NJM29" s="67"/>
      <c r="NJN29" s="67"/>
      <c r="NJO29" s="67"/>
      <c r="NJP29" s="67"/>
      <c r="NJQ29" s="67"/>
      <c r="NJR29" s="67"/>
      <c r="NJS29" s="67"/>
      <c r="NJT29" s="67"/>
      <c r="NJU29" s="67"/>
      <c r="NJV29" s="67"/>
      <c r="NJW29" s="67"/>
      <c r="NJX29" s="67"/>
      <c r="NJY29" s="67"/>
      <c r="NJZ29" s="67"/>
      <c r="NKA29" s="67"/>
      <c r="NKB29" s="67"/>
      <c r="NKC29" s="67"/>
      <c r="NKD29" s="67"/>
      <c r="NKE29" s="67"/>
      <c r="NKF29" s="67"/>
      <c r="NKG29" s="67"/>
      <c r="NKH29" s="67"/>
      <c r="NKI29" s="67"/>
      <c r="NKJ29" s="67"/>
      <c r="NKK29" s="67"/>
      <c r="NKL29" s="67"/>
      <c r="NKM29" s="67"/>
      <c r="NKN29" s="67"/>
      <c r="NKO29" s="67"/>
      <c r="NKP29" s="67"/>
      <c r="NKQ29" s="67"/>
      <c r="NKR29" s="67"/>
      <c r="NKS29" s="67"/>
      <c r="NKT29" s="67"/>
      <c r="NKU29" s="67"/>
      <c r="NKV29" s="67"/>
      <c r="NKW29" s="67"/>
      <c r="NKX29" s="67"/>
      <c r="NKY29" s="67"/>
      <c r="NKZ29" s="67"/>
      <c r="NLA29" s="67"/>
      <c r="NLB29" s="67"/>
      <c r="NLC29" s="67"/>
      <c r="NLD29" s="67"/>
      <c r="NLE29" s="67"/>
      <c r="NLF29" s="67"/>
      <c r="NLG29" s="67"/>
      <c r="NLH29" s="67"/>
      <c r="NLI29" s="67"/>
      <c r="NLJ29" s="67"/>
      <c r="NLK29" s="67"/>
      <c r="NLL29" s="67"/>
      <c r="NLM29" s="67"/>
      <c r="NLN29" s="67"/>
      <c r="NLO29" s="67"/>
      <c r="NLP29" s="67"/>
      <c r="NLQ29" s="67"/>
      <c r="NLR29" s="67"/>
      <c r="NLS29" s="67"/>
      <c r="NLT29" s="67"/>
      <c r="NLU29" s="67"/>
      <c r="NLV29" s="67"/>
      <c r="NLW29" s="67"/>
      <c r="NLX29" s="67"/>
      <c r="NLY29" s="67"/>
      <c r="NLZ29" s="67"/>
      <c r="NMA29" s="67"/>
      <c r="NMB29" s="67"/>
      <c r="NMC29" s="67"/>
      <c r="NMD29" s="67"/>
      <c r="NME29" s="67"/>
      <c r="NMF29" s="67"/>
      <c r="NMG29" s="67"/>
      <c r="NMH29" s="67"/>
      <c r="NMI29" s="67"/>
      <c r="NMJ29" s="67"/>
      <c r="NMK29" s="67"/>
      <c r="NML29" s="67"/>
      <c r="NMM29" s="67"/>
      <c r="NMN29" s="67"/>
      <c r="NMO29" s="67"/>
      <c r="NMP29" s="67"/>
      <c r="NMQ29" s="67"/>
      <c r="NMR29" s="67"/>
      <c r="NMS29" s="67"/>
      <c r="NMT29" s="67"/>
      <c r="NMU29" s="67"/>
      <c r="NMV29" s="67"/>
      <c r="NMW29" s="67"/>
      <c r="NMX29" s="67"/>
      <c r="NMY29" s="67"/>
      <c r="NMZ29" s="67"/>
      <c r="NNA29" s="67"/>
      <c r="NNB29" s="67"/>
      <c r="NNC29" s="67"/>
      <c r="NND29" s="67"/>
      <c r="NNE29" s="67"/>
      <c r="NNF29" s="67"/>
      <c r="NNG29" s="67"/>
      <c r="NNH29" s="67"/>
      <c r="NNI29" s="67"/>
      <c r="NNJ29" s="67"/>
      <c r="NNK29" s="67"/>
      <c r="NNL29" s="67"/>
      <c r="NNM29" s="67"/>
      <c r="NNN29" s="67"/>
      <c r="NNO29" s="67"/>
      <c r="NNP29" s="67"/>
      <c r="NNQ29" s="67"/>
      <c r="NNR29" s="67"/>
      <c r="NNS29" s="67"/>
      <c r="NNT29" s="67"/>
      <c r="NNU29" s="67"/>
      <c r="NNV29" s="67"/>
      <c r="NNW29" s="67"/>
      <c r="NNX29" s="67"/>
      <c r="NNY29" s="67"/>
      <c r="NNZ29" s="67"/>
      <c r="NOA29" s="67"/>
      <c r="NOB29" s="67"/>
      <c r="NOC29" s="67"/>
      <c r="NOD29" s="67"/>
      <c r="NOE29" s="67"/>
      <c r="NOF29" s="67"/>
      <c r="NOG29" s="67"/>
      <c r="NOH29" s="67"/>
      <c r="NOI29" s="67"/>
      <c r="NOJ29" s="67"/>
      <c r="NOK29" s="67"/>
      <c r="NOL29" s="67"/>
      <c r="NOM29" s="67"/>
      <c r="NON29" s="67"/>
      <c r="NOO29" s="67"/>
      <c r="NOP29" s="67"/>
      <c r="NOQ29" s="67"/>
      <c r="NOR29" s="67"/>
      <c r="NOS29" s="67"/>
      <c r="NOT29" s="67"/>
      <c r="NOU29" s="67"/>
      <c r="NOV29" s="67"/>
      <c r="NOW29" s="67"/>
      <c r="NOX29" s="67"/>
      <c r="NOY29" s="67"/>
      <c r="NOZ29" s="67"/>
      <c r="NPA29" s="67"/>
      <c r="NPB29" s="67"/>
      <c r="NPC29" s="67"/>
      <c r="NPD29" s="67"/>
      <c r="NPE29" s="67"/>
      <c r="NPF29" s="67"/>
      <c r="NPG29" s="67"/>
      <c r="NPH29" s="67"/>
      <c r="NPI29" s="67"/>
      <c r="NPJ29" s="67"/>
      <c r="NPK29" s="67"/>
      <c r="NPL29" s="67"/>
      <c r="NPM29" s="67"/>
      <c r="NPN29" s="67"/>
      <c r="NPO29" s="67"/>
      <c r="NPP29" s="67"/>
      <c r="NPQ29" s="67"/>
      <c r="NPR29" s="67"/>
      <c r="NPS29" s="67"/>
      <c r="NPT29" s="67"/>
      <c r="NPU29" s="67"/>
      <c r="NPV29" s="67"/>
      <c r="NPW29" s="67"/>
      <c r="NPX29" s="67"/>
      <c r="NPY29" s="67"/>
      <c r="NPZ29" s="67"/>
      <c r="NQA29" s="67"/>
      <c r="NQB29" s="67"/>
      <c r="NQC29" s="67"/>
      <c r="NQD29" s="67"/>
      <c r="NQE29" s="67"/>
      <c r="NQF29" s="67"/>
      <c r="NQG29" s="67"/>
      <c r="NQH29" s="67"/>
      <c r="NQI29" s="67"/>
      <c r="NQJ29" s="67"/>
      <c r="NQK29" s="67"/>
      <c r="NQL29" s="67"/>
      <c r="NQM29" s="67"/>
      <c r="NQN29" s="67"/>
      <c r="NQO29" s="67"/>
      <c r="NQP29" s="67"/>
      <c r="NQQ29" s="67"/>
      <c r="NQR29" s="67"/>
      <c r="NQS29" s="67"/>
      <c r="NQT29" s="67"/>
      <c r="NQU29" s="67"/>
      <c r="NQV29" s="67"/>
      <c r="NQW29" s="67"/>
      <c r="NQX29" s="67"/>
      <c r="NQY29" s="67"/>
      <c r="NQZ29" s="67"/>
      <c r="NRA29" s="67"/>
      <c r="NRB29" s="67"/>
      <c r="NRC29" s="67"/>
      <c r="NRD29" s="67"/>
      <c r="NRE29" s="67"/>
      <c r="NRF29" s="67"/>
      <c r="NRG29" s="67"/>
      <c r="NRH29" s="67"/>
      <c r="NRI29" s="67"/>
      <c r="NRJ29" s="67"/>
      <c r="NRK29" s="67"/>
      <c r="NRL29" s="67"/>
      <c r="NRM29" s="67"/>
      <c r="NRN29" s="67"/>
      <c r="NRO29" s="67"/>
      <c r="NRP29" s="67"/>
      <c r="NRQ29" s="67"/>
      <c r="NRR29" s="67"/>
      <c r="NRS29" s="67"/>
      <c r="NRT29" s="67"/>
      <c r="NRU29" s="67"/>
      <c r="NRV29" s="67"/>
      <c r="NRW29" s="67"/>
      <c r="NRX29" s="67"/>
      <c r="NRY29" s="67"/>
      <c r="NRZ29" s="67"/>
      <c r="NSA29" s="67"/>
      <c r="NSB29" s="67"/>
      <c r="NSC29" s="67"/>
      <c r="NSD29" s="67"/>
      <c r="NSE29" s="67"/>
      <c r="NSF29" s="67"/>
      <c r="NSG29" s="67"/>
      <c r="NSH29" s="67"/>
      <c r="NSI29" s="67"/>
      <c r="NSJ29" s="67"/>
      <c r="NSK29" s="67"/>
      <c r="NSL29" s="67"/>
      <c r="NSM29" s="67"/>
      <c r="NSN29" s="67"/>
      <c r="NSO29" s="67"/>
      <c r="NSP29" s="67"/>
      <c r="NSQ29" s="67"/>
      <c r="NSR29" s="67"/>
      <c r="NSS29" s="67"/>
      <c r="NST29" s="67"/>
      <c r="NSU29" s="67"/>
      <c r="NSV29" s="67"/>
      <c r="NSW29" s="67"/>
      <c r="NSX29" s="67"/>
      <c r="NSY29" s="67"/>
      <c r="NSZ29" s="67"/>
      <c r="NTA29" s="67"/>
      <c r="NTB29" s="67"/>
      <c r="NTC29" s="67"/>
      <c r="NTD29" s="67"/>
      <c r="NTE29" s="67"/>
      <c r="NTF29" s="67"/>
      <c r="NTG29" s="67"/>
      <c r="NTH29" s="67"/>
      <c r="NTI29" s="67"/>
      <c r="NTJ29" s="67"/>
      <c r="NTK29" s="67"/>
      <c r="NTL29" s="67"/>
      <c r="NTM29" s="67"/>
      <c r="NTN29" s="67"/>
      <c r="NTO29" s="67"/>
      <c r="NTP29" s="67"/>
      <c r="NTQ29" s="67"/>
      <c r="NTR29" s="67"/>
      <c r="NTS29" s="67"/>
      <c r="NTT29" s="67"/>
      <c r="NTU29" s="67"/>
      <c r="NTV29" s="67"/>
      <c r="NTW29" s="67"/>
      <c r="NTX29" s="67"/>
      <c r="NTY29" s="67"/>
      <c r="NTZ29" s="67"/>
      <c r="NUA29" s="67"/>
      <c r="NUB29" s="67"/>
      <c r="NUC29" s="67"/>
      <c r="NUD29" s="67"/>
      <c r="NUE29" s="67"/>
      <c r="NUF29" s="67"/>
      <c r="NUG29" s="67"/>
      <c r="NUH29" s="67"/>
      <c r="NUI29" s="67"/>
      <c r="NUJ29" s="67"/>
      <c r="NUK29" s="67"/>
      <c r="NUL29" s="67"/>
      <c r="NUM29" s="67"/>
      <c r="NUN29" s="67"/>
      <c r="NUO29" s="67"/>
      <c r="NUP29" s="67"/>
      <c r="NUQ29" s="67"/>
      <c r="NUR29" s="67"/>
      <c r="NUS29" s="67"/>
      <c r="NUT29" s="67"/>
      <c r="NUU29" s="67"/>
      <c r="NUV29" s="67"/>
      <c r="NUW29" s="67"/>
      <c r="NUX29" s="67"/>
      <c r="NUY29" s="67"/>
      <c r="NUZ29" s="67"/>
      <c r="NVA29" s="67"/>
      <c r="NVB29" s="67"/>
      <c r="NVC29" s="67"/>
      <c r="NVD29" s="67"/>
      <c r="NVE29" s="67"/>
      <c r="NVF29" s="67"/>
      <c r="NVG29" s="67"/>
      <c r="NVH29" s="67"/>
      <c r="NVI29" s="67"/>
      <c r="NVJ29" s="67"/>
      <c r="NVK29" s="67"/>
      <c r="NVL29" s="67"/>
      <c r="NVM29" s="67"/>
      <c r="NVN29" s="67"/>
      <c r="NVO29" s="67"/>
      <c r="NVP29" s="67"/>
      <c r="NVQ29" s="67"/>
      <c r="NVR29" s="67"/>
      <c r="NVS29" s="67"/>
      <c r="NVT29" s="67"/>
      <c r="NVU29" s="67"/>
      <c r="NVV29" s="67"/>
      <c r="NVW29" s="67"/>
      <c r="NVX29" s="67"/>
      <c r="NVY29" s="67"/>
      <c r="NVZ29" s="67"/>
      <c r="NWA29" s="67"/>
      <c r="NWB29" s="67"/>
      <c r="NWC29" s="67"/>
      <c r="NWD29" s="67"/>
      <c r="NWE29" s="67"/>
      <c r="NWF29" s="67"/>
      <c r="NWG29" s="67"/>
      <c r="NWH29" s="67"/>
      <c r="NWI29" s="67"/>
      <c r="NWJ29" s="67"/>
      <c r="NWK29" s="67"/>
      <c r="NWL29" s="67"/>
      <c r="NWM29" s="67"/>
      <c r="NWN29" s="67"/>
      <c r="NWO29" s="67"/>
      <c r="NWP29" s="67"/>
      <c r="NWQ29" s="67"/>
      <c r="NWR29" s="67"/>
      <c r="NWS29" s="67"/>
      <c r="NWT29" s="67"/>
      <c r="NWU29" s="67"/>
      <c r="NWV29" s="67"/>
      <c r="NWW29" s="67"/>
      <c r="NWX29" s="67"/>
      <c r="NWY29" s="67"/>
      <c r="NWZ29" s="67"/>
      <c r="NXA29" s="67"/>
      <c r="NXB29" s="67"/>
      <c r="NXC29" s="67"/>
      <c r="NXD29" s="67"/>
      <c r="NXE29" s="67"/>
      <c r="NXF29" s="67"/>
      <c r="NXG29" s="67"/>
      <c r="NXH29" s="67"/>
      <c r="NXI29" s="67"/>
      <c r="NXJ29" s="67"/>
      <c r="NXK29" s="67"/>
      <c r="NXL29" s="67"/>
      <c r="NXM29" s="67"/>
      <c r="NXN29" s="67"/>
      <c r="NXO29" s="67"/>
      <c r="NXP29" s="67"/>
      <c r="NXQ29" s="67"/>
      <c r="NXR29" s="67"/>
      <c r="NXS29" s="67"/>
      <c r="NXT29" s="67"/>
      <c r="NXU29" s="67"/>
      <c r="NXV29" s="67"/>
      <c r="NXW29" s="67"/>
      <c r="NXX29" s="67"/>
      <c r="NXY29" s="67"/>
      <c r="NXZ29" s="67"/>
      <c r="NYA29" s="67"/>
      <c r="NYB29" s="67"/>
      <c r="NYC29" s="67"/>
      <c r="NYD29" s="67"/>
      <c r="NYE29" s="67"/>
      <c r="NYF29" s="67"/>
      <c r="NYG29" s="67"/>
      <c r="NYH29" s="67"/>
      <c r="NYI29" s="67"/>
      <c r="NYJ29" s="67"/>
      <c r="NYK29" s="67"/>
      <c r="NYL29" s="67"/>
      <c r="NYM29" s="67"/>
      <c r="NYN29" s="67"/>
      <c r="NYO29" s="67"/>
      <c r="NYP29" s="67"/>
      <c r="NYQ29" s="67"/>
      <c r="NYR29" s="67"/>
      <c r="NYS29" s="67"/>
      <c r="NYT29" s="67"/>
      <c r="NYU29" s="67"/>
      <c r="NYV29" s="67"/>
      <c r="NYW29" s="67"/>
      <c r="NYX29" s="67"/>
      <c r="NYY29" s="67"/>
      <c r="NYZ29" s="67"/>
      <c r="NZA29" s="67"/>
      <c r="NZB29" s="67"/>
      <c r="NZC29" s="67"/>
      <c r="NZD29" s="67"/>
      <c r="NZE29" s="67"/>
      <c r="NZF29" s="67"/>
      <c r="NZG29" s="67"/>
      <c r="NZH29" s="67"/>
      <c r="NZI29" s="67"/>
      <c r="NZJ29" s="67"/>
      <c r="NZK29" s="67"/>
      <c r="NZL29" s="67"/>
      <c r="NZM29" s="67"/>
      <c r="NZN29" s="67"/>
      <c r="NZO29" s="67"/>
      <c r="NZP29" s="67"/>
      <c r="NZQ29" s="67"/>
      <c r="NZR29" s="67"/>
      <c r="NZS29" s="67"/>
      <c r="NZT29" s="67"/>
      <c r="NZU29" s="67"/>
      <c r="NZV29" s="67"/>
      <c r="NZW29" s="67"/>
      <c r="NZX29" s="67"/>
      <c r="NZY29" s="67"/>
      <c r="NZZ29" s="67"/>
      <c r="OAA29" s="67"/>
      <c r="OAB29" s="67"/>
      <c r="OAC29" s="67"/>
      <c r="OAD29" s="67"/>
      <c r="OAE29" s="67"/>
      <c r="OAF29" s="67"/>
      <c r="OAG29" s="67"/>
      <c r="OAH29" s="67"/>
      <c r="OAI29" s="67"/>
      <c r="OAJ29" s="67"/>
      <c r="OAK29" s="67"/>
      <c r="OAL29" s="67"/>
      <c r="OAM29" s="67"/>
      <c r="OAN29" s="67"/>
      <c r="OAO29" s="67"/>
      <c r="OAP29" s="67"/>
      <c r="OAQ29" s="67"/>
      <c r="OAR29" s="67"/>
      <c r="OAS29" s="67"/>
      <c r="OAT29" s="67"/>
      <c r="OAU29" s="67"/>
      <c r="OAV29" s="67"/>
      <c r="OAW29" s="67"/>
      <c r="OAX29" s="67"/>
      <c r="OAY29" s="67"/>
      <c r="OAZ29" s="67"/>
      <c r="OBA29" s="67"/>
      <c r="OBB29" s="67"/>
      <c r="OBC29" s="67"/>
      <c r="OBD29" s="67"/>
      <c r="OBE29" s="67"/>
      <c r="OBF29" s="67"/>
      <c r="OBG29" s="67"/>
      <c r="OBH29" s="67"/>
      <c r="OBI29" s="67"/>
      <c r="OBJ29" s="67"/>
      <c r="OBK29" s="67"/>
      <c r="OBL29" s="67"/>
      <c r="OBM29" s="67"/>
      <c r="OBN29" s="67"/>
      <c r="OBO29" s="67"/>
      <c r="OBP29" s="67"/>
      <c r="OBQ29" s="67"/>
      <c r="OBR29" s="67"/>
      <c r="OBS29" s="67"/>
      <c r="OBT29" s="67"/>
      <c r="OBU29" s="67"/>
      <c r="OBV29" s="67"/>
      <c r="OBW29" s="67"/>
      <c r="OBX29" s="67"/>
      <c r="OBY29" s="67"/>
      <c r="OBZ29" s="67"/>
      <c r="OCA29" s="67"/>
      <c r="OCB29" s="67"/>
      <c r="OCC29" s="67"/>
      <c r="OCD29" s="67"/>
      <c r="OCE29" s="67"/>
      <c r="OCF29" s="67"/>
      <c r="OCG29" s="67"/>
      <c r="OCH29" s="67"/>
      <c r="OCI29" s="67"/>
      <c r="OCJ29" s="67"/>
      <c r="OCK29" s="67"/>
      <c r="OCL29" s="67"/>
      <c r="OCM29" s="67"/>
      <c r="OCN29" s="67"/>
      <c r="OCO29" s="67"/>
      <c r="OCP29" s="67"/>
      <c r="OCQ29" s="67"/>
      <c r="OCR29" s="67"/>
      <c r="OCS29" s="67"/>
      <c r="OCT29" s="67"/>
      <c r="OCU29" s="67"/>
      <c r="OCV29" s="67"/>
      <c r="OCW29" s="67"/>
      <c r="OCX29" s="67"/>
      <c r="OCY29" s="67"/>
      <c r="OCZ29" s="67"/>
      <c r="ODA29" s="67"/>
      <c r="ODB29" s="67"/>
      <c r="ODC29" s="67"/>
      <c r="ODD29" s="67"/>
      <c r="ODE29" s="67"/>
      <c r="ODF29" s="67"/>
      <c r="ODG29" s="67"/>
      <c r="ODH29" s="67"/>
      <c r="ODI29" s="67"/>
      <c r="ODJ29" s="67"/>
      <c r="ODK29" s="67"/>
      <c r="ODL29" s="67"/>
      <c r="ODM29" s="67"/>
      <c r="ODN29" s="67"/>
      <c r="ODO29" s="67"/>
      <c r="ODP29" s="67"/>
      <c r="ODQ29" s="67"/>
      <c r="ODR29" s="67"/>
      <c r="ODS29" s="67"/>
      <c r="ODT29" s="67"/>
      <c r="ODU29" s="67"/>
      <c r="ODV29" s="67"/>
      <c r="ODW29" s="67"/>
      <c r="ODX29" s="67"/>
      <c r="ODY29" s="67"/>
      <c r="ODZ29" s="67"/>
      <c r="OEA29" s="67"/>
      <c r="OEB29" s="67"/>
      <c r="OEC29" s="67"/>
      <c r="OED29" s="67"/>
      <c r="OEE29" s="67"/>
      <c r="OEF29" s="67"/>
      <c r="OEG29" s="67"/>
      <c r="OEH29" s="67"/>
      <c r="OEI29" s="67"/>
      <c r="OEJ29" s="67"/>
      <c r="OEK29" s="67"/>
      <c r="OEL29" s="67"/>
      <c r="OEM29" s="67"/>
      <c r="OEN29" s="67"/>
      <c r="OEO29" s="67"/>
      <c r="OEP29" s="67"/>
      <c r="OEQ29" s="67"/>
      <c r="OER29" s="67"/>
      <c r="OES29" s="67"/>
      <c r="OET29" s="67"/>
      <c r="OEU29" s="67"/>
      <c r="OEV29" s="67"/>
      <c r="OEW29" s="67"/>
      <c r="OEX29" s="67"/>
      <c r="OEY29" s="67"/>
      <c r="OEZ29" s="67"/>
      <c r="OFA29" s="67"/>
      <c r="OFB29" s="67"/>
      <c r="OFC29" s="67"/>
      <c r="OFD29" s="67"/>
      <c r="OFE29" s="67"/>
      <c r="OFF29" s="67"/>
      <c r="OFG29" s="67"/>
      <c r="OFH29" s="67"/>
      <c r="OFI29" s="67"/>
      <c r="OFJ29" s="67"/>
      <c r="OFK29" s="67"/>
      <c r="OFL29" s="67"/>
      <c r="OFM29" s="67"/>
      <c r="OFN29" s="67"/>
      <c r="OFO29" s="67"/>
      <c r="OFP29" s="67"/>
      <c r="OFQ29" s="67"/>
      <c r="OFR29" s="67"/>
      <c r="OFS29" s="67"/>
      <c r="OFT29" s="67"/>
      <c r="OFU29" s="67"/>
      <c r="OFV29" s="67"/>
      <c r="OFW29" s="67"/>
      <c r="OFX29" s="67"/>
      <c r="OFY29" s="67"/>
      <c r="OFZ29" s="67"/>
      <c r="OGA29" s="67"/>
      <c r="OGB29" s="67"/>
      <c r="OGC29" s="67"/>
      <c r="OGD29" s="67"/>
      <c r="OGE29" s="67"/>
      <c r="OGF29" s="67"/>
      <c r="OGG29" s="67"/>
      <c r="OGH29" s="67"/>
      <c r="OGI29" s="67"/>
      <c r="OGJ29" s="67"/>
      <c r="OGK29" s="67"/>
      <c r="OGL29" s="67"/>
      <c r="OGM29" s="67"/>
      <c r="OGN29" s="67"/>
      <c r="OGO29" s="67"/>
      <c r="OGP29" s="67"/>
      <c r="OGQ29" s="67"/>
      <c r="OGR29" s="67"/>
      <c r="OGS29" s="67"/>
      <c r="OGT29" s="67"/>
      <c r="OGU29" s="67"/>
      <c r="OGV29" s="67"/>
      <c r="OGW29" s="67"/>
      <c r="OGX29" s="67"/>
      <c r="OGY29" s="67"/>
      <c r="OGZ29" s="67"/>
      <c r="OHA29" s="67"/>
      <c r="OHB29" s="67"/>
      <c r="OHC29" s="67"/>
      <c r="OHD29" s="67"/>
      <c r="OHE29" s="67"/>
      <c r="OHF29" s="67"/>
      <c r="OHG29" s="67"/>
      <c r="OHH29" s="67"/>
      <c r="OHI29" s="67"/>
      <c r="OHJ29" s="67"/>
      <c r="OHK29" s="67"/>
      <c r="OHL29" s="67"/>
      <c r="OHM29" s="67"/>
      <c r="OHN29" s="67"/>
      <c r="OHO29" s="67"/>
      <c r="OHP29" s="67"/>
      <c r="OHQ29" s="67"/>
      <c r="OHR29" s="67"/>
      <c r="OHS29" s="67"/>
      <c r="OHT29" s="67"/>
      <c r="OHU29" s="67"/>
      <c r="OHV29" s="67"/>
      <c r="OHW29" s="67"/>
      <c r="OHX29" s="67"/>
      <c r="OHY29" s="67"/>
      <c r="OHZ29" s="67"/>
      <c r="OIA29" s="67"/>
      <c r="OIB29" s="67"/>
      <c r="OIC29" s="67"/>
      <c r="OID29" s="67"/>
      <c r="OIE29" s="67"/>
      <c r="OIF29" s="67"/>
      <c r="OIG29" s="67"/>
      <c r="OIH29" s="67"/>
      <c r="OII29" s="67"/>
      <c r="OIJ29" s="67"/>
      <c r="OIK29" s="67"/>
      <c r="OIL29" s="67"/>
      <c r="OIM29" s="67"/>
      <c r="OIN29" s="67"/>
      <c r="OIO29" s="67"/>
      <c r="OIP29" s="67"/>
      <c r="OIQ29" s="67"/>
      <c r="OIR29" s="67"/>
      <c r="OIS29" s="67"/>
      <c r="OIT29" s="67"/>
      <c r="OIU29" s="67"/>
      <c r="OIV29" s="67"/>
      <c r="OIW29" s="67"/>
      <c r="OIX29" s="67"/>
      <c r="OIY29" s="67"/>
      <c r="OIZ29" s="67"/>
      <c r="OJA29" s="67"/>
      <c r="OJB29" s="67"/>
      <c r="OJC29" s="67"/>
      <c r="OJD29" s="67"/>
      <c r="OJE29" s="67"/>
      <c r="OJF29" s="67"/>
      <c r="OJG29" s="67"/>
      <c r="OJH29" s="67"/>
      <c r="OJI29" s="67"/>
      <c r="OJJ29" s="67"/>
      <c r="OJK29" s="67"/>
      <c r="OJL29" s="67"/>
      <c r="OJM29" s="67"/>
      <c r="OJN29" s="67"/>
      <c r="OJO29" s="67"/>
      <c r="OJP29" s="67"/>
      <c r="OJQ29" s="67"/>
      <c r="OJR29" s="67"/>
      <c r="OJS29" s="67"/>
      <c r="OJT29" s="67"/>
      <c r="OJU29" s="67"/>
      <c r="OJV29" s="67"/>
      <c r="OJW29" s="67"/>
      <c r="OJX29" s="67"/>
      <c r="OJY29" s="67"/>
      <c r="OJZ29" s="67"/>
      <c r="OKA29" s="67"/>
      <c r="OKB29" s="67"/>
      <c r="OKC29" s="67"/>
      <c r="OKD29" s="67"/>
      <c r="OKE29" s="67"/>
      <c r="OKF29" s="67"/>
      <c r="OKG29" s="67"/>
      <c r="OKH29" s="67"/>
      <c r="OKI29" s="67"/>
      <c r="OKJ29" s="67"/>
      <c r="OKK29" s="67"/>
      <c r="OKL29" s="67"/>
      <c r="OKM29" s="67"/>
      <c r="OKN29" s="67"/>
      <c r="OKO29" s="67"/>
      <c r="OKP29" s="67"/>
      <c r="OKQ29" s="67"/>
      <c r="OKR29" s="67"/>
      <c r="OKS29" s="67"/>
      <c r="OKT29" s="67"/>
      <c r="OKU29" s="67"/>
      <c r="OKV29" s="67"/>
      <c r="OKW29" s="67"/>
      <c r="OKX29" s="67"/>
      <c r="OKY29" s="67"/>
      <c r="OKZ29" s="67"/>
      <c r="OLA29" s="67"/>
      <c r="OLB29" s="67"/>
      <c r="OLC29" s="67"/>
      <c r="OLD29" s="67"/>
      <c r="OLE29" s="67"/>
      <c r="OLF29" s="67"/>
      <c r="OLG29" s="67"/>
      <c r="OLH29" s="67"/>
      <c r="OLI29" s="67"/>
      <c r="OLJ29" s="67"/>
      <c r="OLK29" s="67"/>
      <c r="OLL29" s="67"/>
      <c r="OLM29" s="67"/>
      <c r="OLN29" s="67"/>
      <c r="OLO29" s="67"/>
      <c r="OLP29" s="67"/>
      <c r="OLQ29" s="67"/>
      <c r="OLR29" s="67"/>
      <c r="OLS29" s="67"/>
      <c r="OLT29" s="67"/>
      <c r="OLU29" s="67"/>
      <c r="OLV29" s="67"/>
      <c r="OLW29" s="67"/>
      <c r="OLX29" s="67"/>
      <c r="OLY29" s="67"/>
      <c r="OLZ29" s="67"/>
      <c r="OMA29" s="67"/>
      <c r="OMB29" s="67"/>
      <c r="OMC29" s="67"/>
      <c r="OMD29" s="67"/>
      <c r="OME29" s="67"/>
      <c r="OMF29" s="67"/>
      <c r="OMG29" s="67"/>
      <c r="OMH29" s="67"/>
      <c r="OMI29" s="67"/>
      <c r="OMJ29" s="67"/>
      <c r="OMK29" s="67"/>
      <c r="OML29" s="67"/>
      <c r="OMM29" s="67"/>
      <c r="OMN29" s="67"/>
      <c r="OMO29" s="67"/>
      <c r="OMP29" s="67"/>
      <c r="OMQ29" s="67"/>
      <c r="OMR29" s="67"/>
      <c r="OMS29" s="67"/>
      <c r="OMT29" s="67"/>
      <c r="OMU29" s="67"/>
      <c r="OMV29" s="67"/>
      <c r="OMW29" s="67"/>
      <c r="OMX29" s="67"/>
      <c r="OMY29" s="67"/>
      <c r="OMZ29" s="67"/>
      <c r="ONA29" s="67"/>
      <c r="ONB29" s="67"/>
      <c r="ONC29" s="67"/>
      <c r="OND29" s="67"/>
      <c r="ONE29" s="67"/>
      <c r="ONF29" s="67"/>
      <c r="ONG29" s="67"/>
      <c r="ONH29" s="67"/>
      <c r="ONI29" s="67"/>
      <c r="ONJ29" s="67"/>
      <c r="ONK29" s="67"/>
      <c r="ONL29" s="67"/>
      <c r="ONM29" s="67"/>
      <c r="ONN29" s="67"/>
      <c r="ONO29" s="67"/>
      <c r="ONP29" s="67"/>
      <c r="ONQ29" s="67"/>
      <c r="ONR29" s="67"/>
      <c r="ONS29" s="67"/>
      <c r="ONT29" s="67"/>
      <c r="ONU29" s="67"/>
      <c r="ONV29" s="67"/>
      <c r="ONW29" s="67"/>
      <c r="ONX29" s="67"/>
      <c r="ONY29" s="67"/>
      <c r="ONZ29" s="67"/>
      <c r="OOA29" s="67"/>
      <c r="OOB29" s="67"/>
      <c r="OOC29" s="67"/>
      <c r="OOD29" s="67"/>
      <c r="OOE29" s="67"/>
      <c r="OOF29" s="67"/>
      <c r="OOG29" s="67"/>
      <c r="OOH29" s="67"/>
      <c r="OOI29" s="67"/>
      <c r="OOJ29" s="67"/>
      <c r="OOK29" s="67"/>
      <c r="OOL29" s="67"/>
      <c r="OOM29" s="67"/>
      <c r="OON29" s="67"/>
      <c r="OOO29" s="67"/>
      <c r="OOP29" s="67"/>
      <c r="OOQ29" s="67"/>
      <c r="OOR29" s="67"/>
      <c r="OOS29" s="67"/>
      <c r="OOT29" s="67"/>
      <c r="OOU29" s="67"/>
      <c r="OOV29" s="67"/>
      <c r="OOW29" s="67"/>
      <c r="OOX29" s="67"/>
      <c r="OOY29" s="67"/>
      <c r="OOZ29" s="67"/>
      <c r="OPA29" s="67"/>
      <c r="OPB29" s="67"/>
      <c r="OPC29" s="67"/>
      <c r="OPD29" s="67"/>
      <c r="OPE29" s="67"/>
      <c r="OPF29" s="67"/>
      <c r="OPG29" s="67"/>
      <c r="OPH29" s="67"/>
      <c r="OPI29" s="67"/>
      <c r="OPJ29" s="67"/>
      <c r="OPK29" s="67"/>
      <c r="OPL29" s="67"/>
      <c r="OPM29" s="67"/>
      <c r="OPN29" s="67"/>
      <c r="OPO29" s="67"/>
      <c r="OPP29" s="67"/>
      <c r="OPQ29" s="67"/>
      <c r="OPR29" s="67"/>
      <c r="OPS29" s="67"/>
      <c r="OPT29" s="67"/>
      <c r="OPU29" s="67"/>
      <c r="OPV29" s="67"/>
      <c r="OPW29" s="67"/>
      <c r="OPX29" s="67"/>
      <c r="OPY29" s="67"/>
      <c r="OPZ29" s="67"/>
      <c r="OQA29" s="67"/>
      <c r="OQB29" s="67"/>
      <c r="OQC29" s="67"/>
      <c r="OQD29" s="67"/>
      <c r="OQE29" s="67"/>
      <c r="OQF29" s="67"/>
      <c r="OQG29" s="67"/>
      <c r="OQH29" s="67"/>
      <c r="OQI29" s="67"/>
      <c r="OQJ29" s="67"/>
      <c r="OQK29" s="67"/>
      <c r="OQL29" s="67"/>
      <c r="OQM29" s="67"/>
      <c r="OQN29" s="67"/>
      <c r="OQO29" s="67"/>
      <c r="OQP29" s="67"/>
      <c r="OQQ29" s="67"/>
      <c r="OQR29" s="67"/>
      <c r="OQS29" s="67"/>
      <c r="OQT29" s="67"/>
      <c r="OQU29" s="67"/>
      <c r="OQV29" s="67"/>
      <c r="OQW29" s="67"/>
      <c r="OQX29" s="67"/>
      <c r="OQY29" s="67"/>
      <c r="OQZ29" s="67"/>
      <c r="ORA29" s="67"/>
      <c r="ORB29" s="67"/>
      <c r="ORC29" s="67"/>
      <c r="ORD29" s="67"/>
      <c r="ORE29" s="67"/>
      <c r="ORF29" s="67"/>
      <c r="ORG29" s="67"/>
      <c r="ORH29" s="67"/>
      <c r="ORI29" s="67"/>
      <c r="ORJ29" s="67"/>
      <c r="ORK29" s="67"/>
      <c r="ORL29" s="67"/>
      <c r="ORM29" s="67"/>
      <c r="ORN29" s="67"/>
      <c r="ORO29" s="67"/>
      <c r="ORP29" s="67"/>
      <c r="ORQ29" s="67"/>
      <c r="ORR29" s="67"/>
      <c r="ORS29" s="67"/>
      <c r="ORT29" s="67"/>
      <c r="ORU29" s="67"/>
      <c r="ORV29" s="67"/>
      <c r="ORW29" s="67"/>
      <c r="ORX29" s="67"/>
      <c r="ORY29" s="67"/>
      <c r="ORZ29" s="67"/>
      <c r="OSA29" s="67"/>
      <c r="OSB29" s="67"/>
      <c r="OSC29" s="67"/>
      <c r="OSD29" s="67"/>
      <c r="OSE29" s="67"/>
      <c r="OSF29" s="67"/>
      <c r="OSG29" s="67"/>
      <c r="OSH29" s="67"/>
      <c r="OSI29" s="67"/>
      <c r="OSJ29" s="67"/>
      <c r="OSK29" s="67"/>
      <c r="OSL29" s="67"/>
      <c r="OSM29" s="67"/>
      <c r="OSN29" s="67"/>
      <c r="OSO29" s="67"/>
      <c r="OSP29" s="67"/>
      <c r="OSQ29" s="67"/>
      <c r="OSR29" s="67"/>
      <c r="OSS29" s="67"/>
      <c r="OST29" s="67"/>
      <c r="OSU29" s="67"/>
      <c r="OSV29" s="67"/>
      <c r="OSW29" s="67"/>
      <c r="OSX29" s="67"/>
      <c r="OSY29" s="67"/>
      <c r="OSZ29" s="67"/>
      <c r="OTA29" s="67"/>
      <c r="OTB29" s="67"/>
      <c r="OTC29" s="67"/>
      <c r="OTD29" s="67"/>
      <c r="OTE29" s="67"/>
      <c r="OTF29" s="67"/>
      <c r="OTG29" s="67"/>
      <c r="OTH29" s="67"/>
      <c r="OTI29" s="67"/>
      <c r="OTJ29" s="67"/>
      <c r="OTK29" s="67"/>
      <c r="OTL29" s="67"/>
      <c r="OTM29" s="67"/>
      <c r="OTN29" s="67"/>
      <c r="OTO29" s="67"/>
      <c r="OTP29" s="67"/>
      <c r="OTQ29" s="67"/>
      <c r="OTR29" s="67"/>
      <c r="OTS29" s="67"/>
      <c r="OTT29" s="67"/>
      <c r="OTU29" s="67"/>
      <c r="OTV29" s="67"/>
      <c r="OTW29" s="67"/>
      <c r="OTX29" s="67"/>
      <c r="OTY29" s="67"/>
      <c r="OTZ29" s="67"/>
      <c r="OUA29" s="67"/>
      <c r="OUB29" s="67"/>
      <c r="OUC29" s="67"/>
      <c r="OUD29" s="67"/>
      <c r="OUE29" s="67"/>
      <c r="OUF29" s="67"/>
      <c r="OUG29" s="67"/>
      <c r="OUH29" s="67"/>
      <c r="OUI29" s="67"/>
      <c r="OUJ29" s="67"/>
      <c r="OUK29" s="67"/>
      <c r="OUL29" s="67"/>
      <c r="OUM29" s="67"/>
      <c r="OUN29" s="67"/>
      <c r="OUO29" s="67"/>
      <c r="OUP29" s="67"/>
      <c r="OUQ29" s="67"/>
      <c r="OUR29" s="67"/>
      <c r="OUS29" s="67"/>
      <c r="OUT29" s="67"/>
      <c r="OUU29" s="67"/>
      <c r="OUV29" s="67"/>
      <c r="OUW29" s="67"/>
      <c r="OUX29" s="67"/>
      <c r="OUY29" s="67"/>
      <c r="OUZ29" s="67"/>
      <c r="OVA29" s="67"/>
      <c r="OVB29" s="67"/>
      <c r="OVC29" s="67"/>
      <c r="OVD29" s="67"/>
      <c r="OVE29" s="67"/>
      <c r="OVF29" s="67"/>
      <c r="OVG29" s="67"/>
      <c r="OVH29" s="67"/>
      <c r="OVI29" s="67"/>
      <c r="OVJ29" s="67"/>
      <c r="OVK29" s="67"/>
      <c r="OVL29" s="67"/>
      <c r="OVM29" s="67"/>
      <c r="OVN29" s="67"/>
      <c r="OVO29" s="67"/>
      <c r="OVP29" s="67"/>
      <c r="OVQ29" s="67"/>
      <c r="OVR29" s="67"/>
      <c r="OVS29" s="67"/>
      <c r="OVT29" s="67"/>
      <c r="OVU29" s="67"/>
      <c r="OVV29" s="67"/>
      <c r="OVW29" s="67"/>
      <c r="OVX29" s="67"/>
      <c r="OVY29" s="67"/>
      <c r="OVZ29" s="67"/>
      <c r="OWA29" s="67"/>
      <c r="OWB29" s="67"/>
      <c r="OWC29" s="67"/>
      <c r="OWD29" s="67"/>
      <c r="OWE29" s="67"/>
      <c r="OWF29" s="67"/>
      <c r="OWG29" s="67"/>
      <c r="OWH29" s="67"/>
      <c r="OWI29" s="67"/>
      <c r="OWJ29" s="67"/>
      <c r="OWK29" s="67"/>
      <c r="OWL29" s="67"/>
      <c r="OWM29" s="67"/>
      <c r="OWN29" s="67"/>
      <c r="OWO29" s="67"/>
      <c r="OWP29" s="67"/>
      <c r="OWQ29" s="67"/>
      <c r="OWR29" s="67"/>
      <c r="OWS29" s="67"/>
      <c r="OWT29" s="67"/>
      <c r="OWU29" s="67"/>
      <c r="OWV29" s="67"/>
      <c r="OWW29" s="67"/>
      <c r="OWX29" s="67"/>
      <c r="OWY29" s="67"/>
      <c r="OWZ29" s="67"/>
      <c r="OXA29" s="67"/>
      <c r="OXB29" s="67"/>
      <c r="OXC29" s="67"/>
      <c r="OXD29" s="67"/>
      <c r="OXE29" s="67"/>
      <c r="OXF29" s="67"/>
      <c r="OXG29" s="67"/>
      <c r="OXH29" s="67"/>
      <c r="OXI29" s="67"/>
      <c r="OXJ29" s="67"/>
      <c r="OXK29" s="67"/>
      <c r="OXL29" s="67"/>
      <c r="OXM29" s="67"/>
      <c r="OXN29" s="67"/>
      <c r="OXO29" s="67"/>
      <c r="OXP29" s="67"/>
      <c r="OXQ29" s="67"/>
      <c r="OXR29" s="67"/>
      <c r="OXS29" s="67"/>
      <c r="OXT29" s="67"/>
      <c r="OXU29" s="67"/>
      <c r="OXV29" s="67"/>
      <c r="OXW29" s="67"/>
      <c r="OXX29" s="67"/>
      <c r="OXY29" s="67"/>
      <c r="OXZ29" s="67"/>
      <c r="OYA29" s="67"/>
      <c r="OYB29" s="67"/>
      <c r="OYC29" s="67"/>
      <c r="OYD29" s="67"/>
      <c r="OYE29" s="67"/>
      <c r="OYF29" s="67"/>
      <c r="OYG29" s="67"/>
      <c r="OYH29" s="67"/>
      <c r="OYI29" s="67"/>
      <c r="OYJ29" s="67"/>
      <c r="OYK29" s="67"/>
      <c r="OYL29" s="67"/>
      <c r="OYM29" s="67"/>
      <c r="OYN29" s="67"/>
      <c r="OYO29" s="67"/>
      <c r="OYP29" s="67"/>
      <c r="OYQ29" s="67"/>
      <c r="OYR29" s="67"/>
      <c r="OYS29" s="67"/>
      <c r="OYT29" s="67"/>
      <c r="OYU29" s="67"/>
      <c r="OYV29" s="67"/>
      <c r="OYW29" s="67"/>
      <c r="OYX29" s="67"/>
      <c r="OYY29" s="67"/>
      <c r="OYZ29" s="67"/>
      <c r="OZA29" s="67"/>
      <c r="OZB29" s="67"/>
      <c r="OZC29" s="67"/>
      <c r="OZD29" s="67"/>
      <c r="OZE29" s="67"/>
      <c r="OZF29" s="67"/>
      <c r="OZG29" s="67"/>
      <c r="OZH29" s="67"/>
      <c r="OZI29" s="67"/>
      <c r="OZJ29" s="67"/>
      <c r="OZK29" s="67"/>
      <c r="OZL29" s="67"/>
      <c r="OZM29" s="67"/>
      <c r="OZN29" s="67"/>
      <c r="OZO29" s="67"/>
      <c r="OZP29" s="67"/>
      <c r="OZQ29" s="67"/>
      <c r="OZR29" s="67"/>
      <c r="OZS29" s="67"/>
      <c r="OZT29" s="67"/>
      <c r="OZU29" s="67"/>
      <c r="OZV29" s="67"/>
      <c r="OZW29" s="67"/>
      <c r="OZX29" s="67"/>
      <c r="OZY29" s="67"/>
      <c r="OZZ29" s="67"/>
      <c r="PAA29" s="67"/>
      <c r="PAB29" s="67"/>
      <c r="PAC29" s="67"/>
      <c r="PAD29" s="67"/>
      <c r="PAE29" s="67"/>
      <c r="PAF29" s="67"/>
      <c r="PAG29" s="67"/>
      <c r="PAH29" s="67"/>
      <c r="PAI29" s="67"/>
      <c r="PAJ29" s="67"/>
      <c r="PAK29" s="67"/>
      <c r="PAL29" s="67"/>
      <c r="PAM29" s="67"/>
      <c r="PAN29" s="67"/>
      <c r="PAO29" s="67"/>
      <c r="PAP29" s="67"/>
      <c r="PAQ29" s="67"/>
      <c r="PAR29" s="67"/>
      <c r="PAS29" s="67"/>
      <c r="PAT29" s="67"/>
      <c r="PAU29" s="67"/>
      <c r="PAV29" s="67"/>
      <c r="PAW29" s="67"/>
      <c r="PAX29" s="67"/>
      <c r="PAY29" s="67"/>
      <c r="PAZ29" s="67"/>
      <c r="PBA29" s="67"/>
      <c r="PBB29" s="67"/>
      <c r="PBC29" s="67"/>
      <c r="PBD29" s="67"/>
      <c r="PBE29" s="67"/>
      <c r="PBF29" s="67"/>
      <c r="PBG29" s="67"/>
      <c r="PBH29" s="67"/>
      <c r="PBI29" s="67"/>
      <c r="PBJ29" s="67"/>
      <c r="PBK29" s="67"/>
      <c r="PBL29" s="67"/>
      <c r="PBM29" s="67"/>
      <c r="PBN29" s="67"/>
      <c r="PBO29" s="67"/>
      <c r="PBP29" s="67"/>
      <c r="PBQ29" s="67"/>
      <c r="PBR29" s="67"/>
      <c r="PBS29" s="67"/>
      <c r="PBT29" s="67"/>
      <c r="PBU29" s="67"/>
      <c r="PBV29" s="67"/>
      <c r="PBW29" s="67"/>
      <c r="PBX29" s="67"/>
      <c r="PBY29" s="67"/>
      <c r="PBZ29" s="67"/>
      <c r="PCA29" s="67"/>
      <c r="PCB29" s="67"/>
      <c r="PCC29" s="67"/>
      <c r="PCD29" s="67"/>
      <c r="PCE29" s="67"/>
      <c r="PCF29" s="67"/>
      <c r="PCG29" s="67"/>
      <c r="PCH29" s="67"/>
      <c r="PCI29" s="67"/>
      <c r="PCJ29" s="67"/>
      <c r="PCK29" s="67"/>
      <c r="PCL29" s="67"/>
      <c r="PCM29" s="67"/>
      <c r="PCN29" s="67"/>
      <c r="PCO29" s="67"/>
      <c r="PCP29" s="67"/>
      <c r="PCQ29" s="67"/>
      <c r="PCR29" s="67"/>
      <c r="PCS29" s="67"/>
      <c r="PCT29" s="67"/>
      <c r="PCU29" s="67"/>
      <c r="PCV29" s="67"/>
      <c r="PCW29" s="67"/>
      <c r="PCX29" s="67"/>
      <c r="PCY29" s="67"/>
      <c r="PCZ29" s="67"/>
      <c r="PDA29" s="67"/>
      <c r="PDB29" s="67"/>
      <c r="PDC29" s="67"/>
      <c r="PDD29" s="67"/>
      <c r="PDE29" s="67"/>
      <c r="PDF29" s="67"/>
      <c r="PDG29" s="67"/>
      <c r="PDH29" s="67"/>
      <c r="PDI29" s="67"/>
      <c r="PDJ29" s="67"/>
      <c r="PDK29" s="67"/>
      <c r="PDL29" s="67"/>
      <c r="PDM29" s="67"/>
      <c r="PDN29" s="67"/>
      <c r="PDO29" s="67"/>
      <c r="PDP29" s="67"/>
      <c r="PDQ29" s="67"/>
      <c r="PDR29" s="67"/>
      <c r="PDS29" s="67"/>
      <c r="PDT29" s="67"/>
      <c r="PDU29" s="67"/>
      <c r="PDV29" s="67"/>
      <c r="PDW29" s="67"/>
      <c r="PDX29" s="67"/>
      <c r="PDY29" s="67"/>
      <c r="PDZ29" s="67"/>
      <c r="PEA29" s="67"/>
      <c r="PEB29" s="67"/>
      <c r="PEC29" s="67"/>
      <c r="PED29" s="67"/>
      <c r="PEE29" s="67"/>
      <c r="PEF29" s="67"/>
      <c r="PEG29" s="67"/>
      <c r="PEH29" s="67"/>
      <c r="PEI29" s="67"/>
      <c r="PEJ29" s="67"/>
      <c r="PEK29" s="67"/>
      <c r="PEL29" s="67"/>
      <c r="PEM29" s="67"/>
      <c r="PEN29" s="67"/>
      <c r="PEO29" s="67"/>
      <c r="PEP29" s="67"/>
      <c r="PEQ29" s="67"/>
      <c r="PER29" s="67"/>
      <c r="PES29" s="67"/>
      <c r="PET29" s="67"/>
      <c r="PEU29" s="67"/>
      <c r="PEV29" s="67"/>
      <c r="PEW29" s="67"/>
      <c r="PEX29" s="67"/>
      <c r="PEY29" s="67"/>
      <c r="PEZ29" s="67"/>
      <c r="PFA29" s="67"/>
      <c r="PFB29" s="67"/>
      <c r="PFC29" s="67"/>
      <c r="PFD29" s="67"/>
      <c r="PFE29" s="67"/>
      <c r="PFF29" s="67"/>
      <c r="PFG29" s="67"/>
      <c r="PFH29" s="67"/>
      <c r="PFI29" s="67"/>
      <c r="PFJ29" s="67"/>
      <c r="PFK29" s="67"/>
      <c r="PFL29" s="67"/>
      <c r="PFM29" s="67"/>
      <c r="PFN29" s="67"/>
      <c r="PFO29" s="67"/>
      <c r="PFP29" s="67"/>
      <c r="PFQ29" s="67"/>
      <c r="PFR29" s="67"/>
      <c r="PFS29" s="67"/>
      <c r="PFT29" s="67"/>
      <c r="PFU29" s="67"/>
      <c r="PFV29" s="67"/>
      <c r="PFW29" s="67"/>
      <c r="PFX29" s="67"/>
      <c r="PFY29" s="67"/>
      <c r="PFZ29" s="67"/>
      <c r="PGA29" s="67"/>
      <c r="PGB29" s="67"/>
      <c r="PGC29" s="67"/>
      <c r="PGD29" s="67"/>
      <c r="PGE29" s="67"/>
      <c r="PGF29" s="67"/>
      <c r="PGG29" s="67"/>
      <c r="PGH29" s="67"/>
      <c r="PGI29" s="67"/>
      <c r="PGJ29" s="67"/>
      <c r="PGK29" s="67"/>
      <c r="PGL29" s="67"/>
      <c r="PGM29" s="67"/>
      <c r="PGN29" s="67"/>
      <c r="PGO29" s="67"/>
      <c r="PGP29" s="67"/>
      <c r="PGQ29" s="67"/>
      <c r="PGR29" s="67"/>
      <c r="PGS29" s="67"/>
      <c r="PGT29" s="67"/>
      <c r="PGU29" s="67"/>
      <c r="PGV29" s="67"/>
      <c r="PGW29" s="67"/>
      <c r="PGX29" s="67"/>
      <c r="PGY29" s="67"/>
      <c r="PGZ29" s="67"/>
      <c r="PHA29" s="67"/>
      <c r="PHB29" s="67"/>
      <c r="PHC29" s="67"/>
      <c r="PHD29" s="67"/>
      <c r="PHE29" s="67"/>
      <c r="PHF29" s="67"/>
      <c r="PHG29" s="67"/>
      <c r="PHH29" s="67"/>
      <c r="PHI29" s="67"/>
      <c r="PHJ29" s="67"/>
      <c r="PHK29" s="67"/>
      <c r="PHL29" s="67"/>
      <c r="PHM29" s="67"/>
      <c r="PHN29" s="67"/>
      <c r="PHO29" s="67"/>
      <c r="PHP29" s="67"/>
      <c r="PHQ29" s="67"/>
      <c r="PHR29" s="67"/>
      <c r="PHS29" s="67"/>
      <c r="PHT29" s="67"/>
      <c r="PHU29" s="67"/>
      <c r="PHV29" s="67"/>
      <c r="PHW29" s="67"/>
      <c r="PHX29" s="67"/>
      <c r="PHY29" s="67"/>
      <c r="PHZ29" s="67"/>
      <c r="PIA29" s="67"/>
      <c r="PIB29" s="67"/>
      <c r="PIC29" s="67"/>
      <c r="PID29" s="67"/>
      <c r="PIE29" s="67"/>
      <c r="PIF29" s="67"/>
      <c r="PIG29" s="67"/>
      <c r="PIH29" s="67"/>
      <c r="PII29" s="67"/>
      <c r="PIJ29" s="67"/>
      <c r="PIK29" s="67"/>
      <c r="PIL29" s="67"/>
      <c r="PIM29" s="67"/>
      <c r="PIN29" s="67"/>
      <c r="PIO29" s="67"/>
      <c r="PIP29" s="67"/>
      <c r="PIQ29" s="67"/>
      <c r="PIR29" s="67"/>
      <c r="PIS29" s="67"/>
      <c r="PIT29" s="67"/>
      <c r="PIU29" s="67"/>
      <c r="PIV29" s="67"/>
      <c r="PIW29" s="67"/>
      <c r="PIX29" s="67"/>
      <c r="PIY29" s="67"/>
      <c r="PIZ29" s="67"/>
      <c r="PJA29" s="67"/>
      <c r="PJB29" s="67"/>
      <c r="PJC29" s="67"/>
      <c r="PJD29" s="67"/>
      <c r="PJE29" s="67"/>
      <c r="PJF29" s="67"/>
      <c r="PJG29" s="67"/>
      <c r="PJH29" s="67"/>
      <c r="PJI29" s="67"/>
      <c r="PJJ29" s="67"/>
      <c r="PJK29" s="67"/>
      <c r="PJL29" s="67"/>
      <c r="PJM29" s="67"/>
      <c r="PJN29" s="67"/>
      <c r="PJO29" s="67"/>
      <c r="PJP29" s="67"/>
      <c r="PJQ29" s="67"/>
      <c r="PJR29" s="67"/>
      <c r="PJS29" s="67"/>
      <c r="PJT29" s="67"/>
      <c r="PJU29" s="67"/>
      <c r="PJV29" s="67"/>
      <c r="PJW29" s="67"/>
      <c r="PJX29" s="67"/>
      <c r="PJY29" s="67"/>
      <c r="PJZ29" s="67"/>
      <c r="PKA29" s="67"/>
      <c r="PKB29" s="67"/>
      <c r="PKC29" s="67"/>
      <c r="PKD29" s="67"/>
      <c r="PKE29" s="67"/>
      <c r="PKF29" s="67"/>
      <c r="PKG29" s="67"/>
      <c r="PKH29" s="67"/>
      <c r="PKI29" s="67"/>
      <c r="PKJ29" s="67"/>
      <c r="PKK29" s="67"/>
      <c r="PKL29" s="67"/>
      <c r="PKM29" s="67"/>
      <c r="PKN29" s="67"/>
      <c r="PKO29" s="67"/>
      <c r="PKP29" s="67"/>
      <c r="PKQ29" s="67"/>
      <c r="PKR29" s="67"/>
      <c r="PKS29" s="67"/>
      <c r="PKT29" s="67"/>
      <c r="PKU29" s="67"/>
      <c r="PKV29" s="67"/>
      <c r="PKW29" s="67"/>
      <c r="PKX29" s="67"/>
      <c r="PKY29" s="67"/>
      <c r="PKZ29" s="67"/>
      <c r="PLA29" s="67"/>
      <c r="PLB29" s="67"/>
      <c r="PLC29" s="67"/>
      <c r="PLD29" s="67"/>
      <c r="PLE29" s="67"/>
      <c r="PLF29" s="67"/>
      <c r="PLG29" s="67"/>
      <c r="PLH29" s="67"/>
      <c r="PLI29" s="67"/>
      <c r="PLJ29" s="67"/>
      <c r="PLK29" s="67"/>
      <c r="PLL29" s="67"/>
      <c r="PLM29" s="67"/>
      <c r="PLN29" s="67"/>
      <c r="PLO29" s="67"/>
      <c r="PLP29" s="67"/>
      <c r="PLQ29" s="67"/>
      <c r="PLR29" s="67"/>
      <c r="PLS29" s="67"/>
      <c r="PLT29" s="67"/>
      <c r="PLU29" s="67"/>
      <c r="PLV29" s="67"/>
      <c r="PLW29" s="67"/>
      <c r="PLX29" s="67"/>
      <c r="PLY29" s="67"/>
      <c r="PLZ29" s="67"/>
      <c r="PMA29" s="67"/>
      <c r="PMB29" s="67"/>
      <c r="PMC29" s="67"/>
      <c r="PMD29" s="67"/>
      <c r="PME29" s="67"/>
      <c r="PMF29" s="67"/>
      <c r="PMG29" s="67"/>
      <c r="PMH29" s="67"/>
      <c r="PMI29" s="67"/>
      <c r="PMJ29" s="67"/>
      <c r="PMK29" s="67"/>
      <c r="PML29" s="67"/>
      <c r="PMM29" s="67"/>
      <c r="PMN29" s="67"/>
      <c r="PMO29" s="67"/>
      <c r="PMP29" s="67"/>
      <c r="PMQ29" s="67"/>
      <c r="PMR29" s="67"/>
      <c r="PMS29" s="67"/>
      <c r="PMT29" s="67"/>
      <c r="PMU29" s="67"/>
      <c r="PMV29" s="67"/>
      <c r="PMW29" s="67"/>
      <c r="PMX29" s="67"/>
      <c r="PMY29" s="67"/>
      <c r="PMZ29" s="67"/>
      <c r="PNA29" s="67"/>
      <c r="PNB29" s="67"/>
      <c r="PNC29" s="67"/>
      <c r="PND29" s="67"/>
      <c r="PNE29" s="67"/>
      <c r="PNF29" s="67"/>
      <c r="PNG29" s="67"/>
      <c r="PNH29" s="67"/>
      <c r="PNI29" s="67"/>
      <c r="PNJ29" s="67"/>
      <c r="PNK29" s="67"/>
      <c r="PNL29" s="67"/>
      <c r="PNM29" s="67"/>
      <c r="PNN29" s="67"/>
      <c r="PNO29" s="67"/>
      <c r="PNP29" s="67"/>
      <c r="PNQ29" s="67"/>
      <c r="PNR29" s="67"/>
      <c r="PNS29" s="67"/>
      <c r="PNT29" s="67"/>
      <c r="PNU29" s="67"/>
      <c r="PNV29" s="67"/>
      <c r="PNW29" s="67"/>
      <c r="PNX29" s="67"/>
      <c r="PNY29" s="67"/>
      <c r="PNZ29" s="67"/>
      <c r="POA29" s="67"/>
      <c r="POB29" s="67"/>
      <c r="POC29" s="67"/>
      <c r="POD29" s="67"/>
      <c r="POE29" s="67"/>
      <c r="POF29" s="67"/>
      <c r="POG29" s="67"/>
      <c r="POH29" s="67"/>
      <c r="POI29" s="67"/>
      <c r="POJ29" s="67"/>
      <c r="POK29" s="67"/>
      <c r="POL29" s="67"/>
      <c r="POM29" s="67"/>
      <c r="PON29" s="67"/>
      <c r="POO29" s="67"/>
      <c r="POP29" s="67"/>
      <c r="POQ29" s="67"/>
      <c r="POR29" s="67"/>
      <c r="POS29" s="67"/>
      <c r="POT29" s="67"/>
      <c r="POU29" s="67"/>
      <c r="POV29" s="67"/>
      <c r="POW29" s="67"/>
      <c r="POX29" s="67"/>
      <c r="POY29" s="67"/>
      <c r="POZ29" s="67"/>
      <c r="PPA29" s="67"/>
      <c r="PPB29" s="67"/>
      <c r="PPC29" s="67"/>
      <c r="PPD29" s="67"/>
      <c r="PPE29" s="67"/>
      <c r="PPF29" s="67"/>
      <c r="PPG29" s="67"/>
      <c r="PPH29" s="67"/>
      <c r="PPI29" s="67"/>
      <c r="PPJ29" s="67"/>
      <c r="PPK29" s="67"/>
      <c r="PPL29" s="67"/>
      <c r="PPM29" s="67"/>
      <c r="PPN29" s="67"/>
      <c r="PPO29" s="67"/>
      <c r="PPP29" s="67"/>
      <c r="PPQ29" s="67"/>
      <c r="PPR29" s="67"/>
      <c r="PPS29" s="67"/>
      <c r="PPT29" s="67"/>
      <c r="PPU29" s="67"/>
      <c r="PPV29" s="67"/>
      <c r="PPW29" s="67"/>
      <c r="PPX29" s="67"/>
      <c r="PPY29" s="67"/>
      <c r="PPZ29" s="67"/>
      <c r="PQA29" s="67"/>
      <c r="PQB29" s="67"/>
      <c r="PQC29" s="67"/>
      <c r="PQD29" s="67"/>
      <c r="PQE29" s="67"/>
      <c r="PQF29" s="67"/>
      <c r="PQG29" s="67"/>
      <c r="PQH29" s="67"/>
      <c r="PQI29" s="67"/>
      <c r="PQJ29" s="67"/>
      <c r="PQK29" s="67"/>
      <c r="PQL29" s="67"/>
      <c r="PQM29" s="67"/>
      <c r="PQN29" s="67"/>
      <c r="PQO29" s="67"/>
      <c r="PQP29" s="67"/>
      <c r="PQQ29" s="67"/>
      <c r="PQR29" s="67"/>
      <c r="PQS29" s="67"/>
      <c r="PQT29" s="67"/>
      <c r="PQU29" s="67"/>
      <c r="PQV29" s="67"/>
      <c r="PQW29" s="67"/>
      <c r="PQX29" s="67"/>
      <c r="PQY29" s="67"/>
      <c r="PQZ29" s="67"/>
      <c r="PRA29" s="67"/>
      <c r="PRB29" s="67"/>
      <c r="PRC29" s="67"/>
      <c r="PRD29" s="67"/>
      <c r="PRE29" s="67"/>
      <c r="PRF29" s="67"/>
      <c r="PRG29" s="67"/>
      <c r="PRH29" s="67"/>
      <c r="PRI29" s="67"/>
      <c r="PRJ29" s="67"/>
      <c r="PRK29" s="67"/>
      <c r="PRL29" s="67"/>
      <c r="PRM29" s="67"/>
      <c r="PRN29" s="67"/>
      <c r="PRO29" s="67"/>
      <c r="PRP29" s="67"/>
      <c r="PRQ29" s="67"/>
      <c r="PRR29" s="67"/>
      <c r="PRS29" s="67"/>
      <c r="PRT29" s="67"/>
      <c r="PRU29" s="67"/>
      <c r="PRV29" s="67"/>
      <c r="PRW29" s="67"/>
      <c r="PRX29" s="67"/>
      <c r="PRY29" s="67"/>
      <c r="PRZ29" s="67"/>
      <c r="PSA29" s="67"/>
      <c r="PSB29" s="67"/>
      <c r="PSC29" s="67"/>
      <c r="PSD29" s="67"/>
      <c r="PSE29" s="67"/>
      <c r="PSF29" s="67"/>
      <c r="PSG29" s="67"/>
      <c r="PSH29" s="67"/>
      <c r="PSI29" s="67"/>
      <c r="PSJ29" s="67"/>
      <c r="PSK29" s="67"/>
      <c r="PSL29" s="67"/>
      <c r="PSM29" s="67"/>
      <c r="PSN29" s="67"/>
      <c r="PSO29" s="67"/>
      <c r="PSP29" s="67"/>
      <c r="PSQ29" s="67"/>
      <c r="PSR29" s="67"/>
      <c r="PSS29" s="67"/>
      <c r="PST29" s="67"/>
      <c r="PSU29" s="67"/>
      <c r="PSV29" s="67"/>
      <c r="PSW29" s="67"/>
      <c r="PSX29" s="67"/>
      <c r="PSY29" s="67"/>
      <c r="PSZ29" s="67"/>
      <c r="PTA29" s="67"/>
      <c r="PTB29" s="67"/>
      <c r="PTC29" s="67"/>
      <c r="PTD29" s="67"/>
      <c r="PTE29" s="67"/>
      <c r="PTF29" s="67"/>
      <c r="PTG29" s="67"/>
      <c r="PTH29" s="67"/>
      <c r="PTI29" s="67"/>
      <c r="PTJ29" s="67"/>
      <c r="PTK29" s="67"/>
      <c r="PTL29" s="67"/>
      <c r="PTM29" s="67"/>
      <c r="PTN29" s="67"/>
      <c r="PTO29" s="67"/>
      <c r="PTP29" s="67"/>
      <c r="PTQ29" s="67"/>
      <c r="PTR29" s="67"/>
      <c r="PTS29" s="67"/>
      <c r="PTT29" s="67"/>
      <c r="PTU29" s="67"/>
      <c r="PTV29" s="67"/>
      <c r="PTW29" s="67"/>
      <c r="PTX29" s="67"/>
      <c r="PTY29" s="67"/>
      <c r="PTZ29" s="67"/>
      <c r="PUA29" s="67"/>
      <c r="PUB29" s="67"/>
      <c r="PUC29" s="67"/>
      <c r="PUD29" s="67"/>
      <c r="PUE29" s="67"/>
      <c r="PUF29" s="67"/>
      <c r="PUG29" s="67"/>
      <c r="PUH29" s="67"/>
      <c r="PUI29" s="67"/>
      <c r="PUJ29" s="67"/>
      <c r="PUK29" s="67"/>
      <c r="PUL29" s="67"/>
      <c r="PUM29" s="67"/>
      <c r="PUN29" s="67"/>
      <c r="PUO29" s="67"/>
      <c r="PUP29" s="67"/>
      <c r="PUQ29" s="67"/>
      <c r="PUR29" s="67"/>
      <c r="PUS29" s="67"/>
      <c r="PUT29" s="67"/>
      <c r="PUU29" s="67"/>
      <c r="PUV29" s="67"/>
      <c r="PUW29" s="67"/>
      <c r="PUX29" s="67"/>
      <c r="PUY29" s="67"/>
      <c r="PUZ29" s="67"/>
      <c r="PVA29" s="67"/>
      <c r="PVB29" s="67"/>
      <c r="PVC29" s="67"/>
      <c r="PVD29" s="67"/>
      <c r="PVE29" s="67"/>
      <c r="PVF29" s="67"/>
      <c r="PVG29" s="67"/>
      <c r="PVH29" s="67"/>
      <c r="PVI29" s="67"/>
      <c r="PVJ29" s="67"/>
      <c r="PVK29" s="67"/>
      <c r="PVL29" s="67"/>
      <c r="PVM29" s="67"/>
      <c r="PVN29" s="67"/>
      <c r="PVO29" s="67"/>
      <c r="PVP29" s="67"/>
      <c r="PVQ29" s="67"/>
      <c r="PVR29" s="67"/>
      <c r="PVS29" s="67"/>
      <c r="PVT29" s="67"/>
      <c r="PVU29" s="67"/>
      <c r="PVV29" s="67"/>
      <c r="PVW29" s="67"/>
      <c r="PVX29" s="67"/>
      <c r="PVY29" s="67"/>
      <c r="PVZ29" s="67"/>
      <c r="PWA29" s="67"/>
      <c r="PWB29" s="67"/>
      <c r="PWC29" s="67"/>
      <c r="PWD29" s="67"/>
      <c r="PWE29" s="67"/>
      <c r="PWF29" s="67"/>
      <c r="PWG29" s="67"/>
      <c r="PWH29" s="67"/>
      <c r="PWI29" s="67"/>
      <c r="PWJ29" s="67"/>
      <c r="PWK29" s="67"/>
      <c r="PWL29" s="67"/>
      <c r="PWM29" s="67"/>
      <c r="PWN29" s="67"/>
      <c r="PWO29" s="67"/>
      <c r="PWP29" s="67"/>
      <c r="PWQ29" s="67"/>
      <c r="PWR29" s="67"/>
      <c r="PWS29" s="67"/>
      <c r="PWT29" s="67"/>
      <c r="PWU29" s="67"/>
      <c r="PWV29" s="67"/>
      <c r="PWW29" s="67"/>
      <c r="PWX29" s="67"/>
      <c r="PWY29" s="67"/>
      <c r="PWZ29" s="67"/>
      <c r="PXA29" s="67"/>
      <c r="PXB29" s="67"/>
      <c r="PXC29" s="67"/>
      <c r="PXD29" s="67"/>
      <c r="PXE29" s="67"/>
      <c r="PXF29" s="67"/>
      <c r="PXG29" s="67"/>
      <c r="PXH29" s="67"/>
      <c r="PXI29" s="67"/>
      <c r="PXJ29" s="67"/>
      <c r="PXK29" s="67"/>
      <c r="PXL29" s="67"/>
      <c r="PXM29" s="67"/>
      <c r="PXN29" s="67"/>
      <c r="PXO29" s="67"/>
      <c r="PXP29" s="67"/>
      <c r="PXQ29" s="67"/>
      <c r="PXR29" s="67"/>
      <c r="PXS29" s="67"/>
      <c r="PXT29" s="67"/>
      <c r="PXU29" s="67"/>
      <c r="PXV29" s="67"/>
      <c r="PXW29" s="67"/>
      <c r="PXX29" s="67"/>
      <c r="PXY29" s="67"/>
      <c r="PXZ29" s="67"/>
      <c r="PYA29" s="67"/>
      <c r="PYB29" s="67"/>
      <c r="PYC29" s="67"/>
      <c r="PYD29" s="67"/>
      <c r="PYE29" s="67"/>
      <c r="PYF29" s="67"/>
      <c r="PYG29" s="67"/>
      <c r="PYH29" s="67"/>
      <c r="PYI29" s="67"/>
      <c r="PYJ29" s="67"/>
      <c r="PYK29" s="67"/>
      <c r="PYL29" s="67"/>
      <c r="PYM29" s="67"/>
      <c r="PYN29" s="67"/>
      <c r="PYO29" s="67"/>
      <c r="PYP29" s="67"/>
      <c r="PYQ29" s="67"/>
      <c r="PYR29" s="67"/>
      <c r="PYS29" s="67"/>
      <c r="PYT29" s="67"/>
      <c r="PYU29" s="67"/>
      <c r="PYV29" s="67"/>
      <c r="PYW29" s="67"/>
      <c r="PYX29" s="67"/>
      <c r="PYY29" s="67"/>
      <c r="PYZ29" s="67"/>
      <c r="PZA29" s="67"/>
      <c r="PZB29" s="67"/>
      <c r="PZC29" s="67"/>
      <c r="PZD29" s="67"/>
      <c r="PZE29" s="67"/>
      <c r="PZF29" s="67"/>
      <c r="PZG29" s="67"/>
      <c r="PZH29" s="67"/>
      <c r="PZI29" s="67"/>
      <c r="PZJ29" s="67"/>
      <c r="PZK29" s="67"/>
      <c r="PZL29" s="67"/>
      <c r="PZM29" s="67"/>
      <c r="PZN29" s="67"/>
      <c r="PZO29" s="67"/>
      <c r="PZP29" s="67"/>
      <c r="PZQ29" s="67"/>
      <c r="PZR29" s="67"/>
      <c r="PZS29" s="67"/>
      <c r="PZT29" s="67"/>
      <c r="PZU29" s="67"/>
      <c r="PZV29" s="67"/>
      <c r="PZW29" s="67"/>
      <c r="PZX29" s="67"/>
      <c r="PZY29" s="67"/>
      <c r="PZZ29" s="67"/>
      <c r="QAA29" s="67"/>
      <c r="QAB29" s="67"/>
      <c r="QAC29" s="67"/>
      <c r="QAD29" s="67"/>
      <c r="QAE29" s="67"/>
      <c r="QAF29" s="67"/>
      <c r="QAG29" s="67"/>
      <c r="QAH29" s="67"/>
      <c r="QAI29" s="67"/>
      <c r="QAJ29" s="67"/>
      <c r="QAK29" s="67"/>
      <c r="QAL29" s="67"/>
      <c r="QAM29" s="67"/>
      <c r="QAN29" s="67"/>
      <c r="QAO29" s="67"/>
      <c r="QAP29" s="67"/>
      <c r="QAQ29" s="67"/>
      <c r="QAR29" s="67"/>
      <c r="QAS29" s="67"/>
      <c r="QAT29" s="67"/>
      <c r="QAU29" s="67"/>
      <c r="QAV29" s="67"/>
      <c r="QAW29" s="67"/>
      <c r="QAX29" s="67"/>
      <c r="QAY29" s="67"/>
      <c r="QAZ29" s="67"/>
      <c r="QBA29" s="67"/>
      <c r="QBB29" s="67"/>
      <c r="QBC29" s="67"/>
      <c r="QBD29" s="67"/>
      <c r="QBE29" s="67"/>
      <c r="QBF29" s="67"/>
      <c r="QBG29" s="67"/>
      <c r="QBH29" s="67"/>
      <c r="QBI29" s="67"/>
      <c r="QBJ29" s="67"/>
      <c r="QBK29" s="67"/>
      <c r="QBL29" s="67"/>
      <c r="QBM29" s="67"/>
      <c r="QBN29" s="67"/>
      <c r="QBO29" s="67"/>
      <c r="QBP29" s="67"/>
      <c r="QBQ29" s="67"/>
      <c r="QBR29" s="67"/>
      <c r="QBS29" s="67"/>
      <c r="QBT29" s="67"/>
      <c r="QBU29" s="67"/>
      <c r="QBV29" s="67"/>
      <c r="QBW29" s="67"/>
      <c r="QBX29" s="67"/>
      <c r="QBY29" s="67"/>
      <c r="QBZ29" s="67"/>
      <c r="QCA29" s="67"/>
      <c r="QCB29" s="67"/>
      <c r="QCC29" s="67"/>
      <c r="QCD29" s="67"/>
      <c r="QCE29" s="67"/>
      <c r="QCF29" s="67"/>
      <c r="QCG29" s="67"/>
      <c r="QCH29" s="67"/>
      <c r="QCI29" s="67"/>
      <c r="QCJ29" s="67"/>
      <c r="QCK29" s="67"/>
      <c r="QCL29" s="67"/>
      <c r="QCM29" s="67"/>
      <c r="QCN29" s="67"/>
      <c r="QCO29" s="67"/>
      <c r="QCP29" s="67"/>
      <c r="QCQ29" s="67"/>
      <c r="QCR29" s="67"/>
      <c r="QCS29" s="67"/>
      <c r="QCT29" s="67"/>
      <c r="QCU29" s="67"/>
      <c r="QCV29" s="67"/>
      <c r="QCW29" s="67"/>
      <c r="QCX29" s="67"/>
      <c r="QCY29" s="67"/>
      <c r="QCZ29" s="67"/>
      <c r="QDA29" s="67"/>
      <c r="QDB29" s="67"/>
      <c r="QDC29" s="67"/>
      <c r="QDD29" s="67"/>
      <c r="QDE29" s="67"/>
      <c r="QDF29" s="67"/>
      <c r="QDG29" s="67"/>
      <c r="QDH29" s="67"/>
      <c r="QDI29" s="67"/>
      <c r="QDJ29" s="67"/>
      <c r="QDK29" s="67"/>
      <c r="QDL29" s="67"/>
      <c r="QDM29" s="67"/>
      <c r="QDN29" s="67"/>
      <c r="QDO29" s="67"/>
      <c r="QDP29" s="67"/>
      <c r="QDQ29" s="67"/>
      <c r="QDR29" s="67"/>
      <c r="QDS29" s="67"/>
      <c r="QDT29" s="67"/>
      <c r="QDU29" s="67"/>
      <c r="QDV29" s="67"/>
      <c r="QDW29" s="67"/>
      <c r="QDX29" s="67"/>
      <c r="QDY29" s="67"/>
      <c r="QDZ29" s="67"/>
      <c r="QEA29" s="67"/>
      <c r="QEB29" s="67"/>
      <c r="QEC29" s="67"/>
      <c r="QED29" s="67"/>
      <c r="QEE29" s="67"/>
      <c r="QEF29" s="67"/>
      <c r="QEG29" s="67"/>
      <c r="QEH29" s="67"/>
      <c r="QEI29" s="67"/>
      <c r="QEJ29" s="67"/>
      <c r="QEK29" s="67"/>
      <c r="QEL29" s="67"/>
      <c r="QEM29" s="67"/>
      <c r="QEN29" s="67"/>
      <c r="QEO29" s="67"/>
      <c r="QEP29" s="67"/>
      <c r="QEQ29" s="67"/>
      <c r="QER29" s="67"/>
      <c r="QES29" s="67"/>
      <c r="QET29" s="67"/>
      <c r="QEU29" s="67"/>
      <c r="QEV29" s="67"/>
      <c r="QEW29" s="67"/>
      <c r="QEX29" s="67"/>
      <c r="QEY29" s="67"/>
      <c r="QEZ29" s="67"/>
      <c r="QFA29" s="67"/>
      <c r="QFB29" s="67"/>
      <c r="QFC29" s="67"/>
      <c r="QFD29" s="67"/>
      <c r="QFE29" s="67"/>
      <c r="QFF29" s="67"/>
      <c r="QFG29" s="67"/>
      <c r="QFH29" s="67"/>
      <c r="QFI29" s="67"/>
      <c r="QFJ29" s="67"/>
      <c r="QFK29" s="67"/>
      <c r="QFL29" s="67"/>
      <c r="QFM29" s="67"/>
      <c r="QFN29" s="67"/>
      <c r="QFO29" s="67"/>
      <c r="QFP29" s="67"/>
      <c r="QFQ29" s="67"/>
      <c r="QFR29" s="67"/>
      <c r="QFS29" s="67"/>
      <c r="QFT29" s="67"/>
      <c r="QFU29" s="67"/>
      <c r="QFV29" s="67"/>
      <c r="QFW29" s="67"/>
      <c r="QFX29" s="67"/>
      <c r="QFY29" s="67"/>
      <c r="QFZ29" s="67"/>
      <c r="QGA29" s="67"/>
      <c r="QGB29" s="67"/>
      <c r="QGC29" s="67"/>
      <c r="QGD29" s="67"/>
      <c r="QGE29" s="67"/>
      <c r="QGF29" s="67"/>
      <c r="QGG29" s="67"/>
      <c r="QGH29" s="67"/>
      <c r="QGI29" s="67"/>
      <c r="QGJ29" s="67"/>
      <c r="QGK29" s="67"/>
      <c r="QGL29" s="67"/>
      <c r="QGM29" s="67"/>
      <c r="QGN29" s="67"/>
      <c r="QGO29" s="67"/>
      <c r="QGP29" s="67"/>
      <c r="QGQ29" s="67"/>
      <c r="QGR29" s="67"/>
      <c r="QGS29" s="67"/>
      <c r="QGT29" s="67"/>
      <c r="QGU29" s="67"/>
      <c r="QGV29" s="67"/>
      <c r="QGW29" s="67"/>
      <c r="QGX29" s="67"/>
      <c r="QGY29" s="67"/>
      <c r="QGZ29" s="67"/>
      <c r="QHA29" s="67"/>
      <c r="QHB29" s="67"/>
      <c r="QHC29" s="67"/>
      <c r="QHD29" s="67"/>
      <c r="QHE29" s="67"/>
      <c r="QHF29" s="67"/>
      <c r="QHG29" s="67"/>
      <c r="QHH29" s="67"/>
      <c r="QHI29" s="67"/>
      <c r="QHJ29" s="67"/>
      <c r="QHK29" s="67"/>
      <c r="QHL29" s="67"/>
      <c r="QHM29" s="67"/>
      <c r="QHN29" s="67"/>
      <c r="QHO29" s="67"/>
      <c r="QHP29" s="67"/>
      <c r="QHQ29" s="67"/>
      <c r="QHR29" s="67"/>
      <c r="QHS29" s="67"/>
      <c r="QHT29" s="67"/>
      <c r="QHU29" s="67"/>
      <c r="QHV29" s="67"/>
      <c r="QHW29" s="67"/>
      <c r="QHX29" s="67"/>
      <c r="QHY29" s="67"/>
      <c r="QHZ29" s="67"/>
      <c r="QIA29" s="67"/>
      <c r="QIB29" s="67"/>
      <c r="QIC29" s="67"/>
      <c r="QID29" s="67"/>
      <c r="QIE29" s="67"/>
      <c r="QIF29" s="67"/>
      <c r="QIG29" s="67"/>
      <c r="QIH29" s="67"/>
      <c r="QII29" s="67"/>
      <c r="QIJ29" s="67"/>
      <c r="QIK29" s="67"/>
      <c r="QIL29" s="67"/>
      <c r="QIM29" s="67"/>
      <c r="QIN29" s="67"/>
      <c r="QIO29" s="67"/>
      <c r="QIP29" s="67"/>
      <c r="QIQ29" s="67"/>
      <c r="QIR29" s="67"/>
      <c r="QIS29" s="67"/>
      <c r="QIT29" s="67"/>
      <c r="QIU29" s="67"/>
      <c r="QIV29" s="67"/>
      <c r="QIW29" s="67"/>
      <c r="QIX29" s="67"/>
      <c r="QIY29" s="67"/>
      <c r="QIZ29" s="67"/>
      <c r="QJA29" s="67"/>
      <c r="QJB29" s="67"/>
      <c r="QJC29" s="67"/>
      <c r="QJD29" s="67"/>
      <c r="QJE29" s="67"/>
      <c r="QJF29" s="67"/>
      <c r="QJG29" s="67"/>
      <c r="QJH29" s="67"/>
      <c r="QJI29" s="67"/>
      <c r="QJJ29" s="67"/>
      <c r="QJK29" s="67"/>
      <c r="QJL29" s="67"/>
      <c r="QJM29" s="67"/>
      <c r="QJN29" s="67"/>
      <c r="QJO29" s="67"/>
      <c r="QJP29" s="67"/>
      <c r="QJQ29" s="67"/>
      <c r="QJR29" s="67"/>
      <c r="QJS29" s="67"/>
      <c r="QJT29" s="67"/>
      <c r="QJU29" s="67"/>
      <c r="QJV29" s="67"/>
      <c r="QJW29" s="67"/>
      <c r="QJX29" s="67"/>
      <c r="QJY29" s="67"/>
      <c r="QJZ29" s="67"/>
      <c r="QKA29" s="67"/>
      <c r="QKB29" s="67"/>
      <c r="QKC29" s="67"/>
      <c r="QKD29" s="67"/>
      <c r="QKE29" s="67"/>
      <c r="QKF29" s="67"/>
      <c r="QKG29" s="67"/>
      <c r="QKH29" s="67"/>
      <c r="QKI29" s="67"/>
      <c r="QKJ29" s="67"/>
      <c r="QKK29" s="67"/>
      <c r="QKL29" s="67"/>
      <c r="QKM29" s="67"/>
      <c r="QKN29" s="67"/>
      <c r="QKO29" s="67"/>
      <c r="QKP29" s="67"/>
      <c r="QKQ29" s="67"/>
      <c r="QKR29" s="67"/>
      <c r="QKS29" s="67"/>
      <c r="QKT29" s="67"/>
      <c r="QKU29" s="67"/>
      <c r="QKV29" s="67"/>
      <c r="QKW29" s="67"/>
      <c r="QKX29" s="67"/>
      <c r="QKY29" s="67"/>
      <c r="QKZ29" s="67"/>
      <c r="QLA29" s="67"/>
      <c r="QLB29" s="67"/>
      <c r="QLC29" s="67"/>
      <c r="QLD29" s="67"/>
      <c r="QLE29" s="67"/>
      <c r="QLF29" s="67"/>
      <c r="QLG29" s="67"/>
      <c r="QLH29" s="67"/>
      <c r="QLI29" s="67"/>
      <c r="QLJ29" s="67"/>
      <c r="QLK29" s="67"/>
      <c r="QLL29" s="67"/>
      <c r="QLM29" s="67"/>
      <c r="QLN29" s="67"/>
      <c r="QLO29" s="67"/>
      <c r="QLP29" s="67"/>
      <c r="QLQ29" s="67"/>
      <c r="QLR29" s="67"/>
      <c r="QLS29" s="67"/>
      <c r="QLT29" s="67"/>
      <c r="QLU29" s="67"/>
      <c r="QLV29" s="67"/>
      <c r="QLW29" s="67"/>
      <c r="QLX29" s="67"/>
      <c r="QLY29" s="67"/>
      <c r="QLZ29" s="67"/>
      <c r="QMA29" s="67"/>
      <c r="QMB29" s="67"/>
      <c r="QMC29" s="67"/>
      <c r="QMD29" s="67"/>
      <c r="QME29" s="67"/>
      <c r="QMF29" s="67"/>
      <c r="QMG29" s="67"/>
      <c r="QMH29" s="67"/>
      <c r="QMI29" s="67"/>
      <c r="QMJ29" s="67"/>
      <c r="QMK29" s="67"/>
      <c r="QML29" s="67"/>
      <c r="QMM29" s="67"/>
      <c r="QMN29" s="67"/>
      <c r="QMO29" s="67"/>
      <c r="QMP29" s="67"/>
      <c r="QMQ29" s="67"/>
      <c r="QMR29" s="67"/>
      <c r="QMS29" s="67"/>
      <c r="QMT29" s="67"/>
      <c r="QMU29" s="67"/>
      <c r="QMV29" s="67"/>
      <c r="QMW29" s="67"/>
      <c r="QMX29" s="67"/>
      <c r="QMY29" s="67"/>
      <c r="QMZ29" s="67"/>
      <c r="QNA29" s="67"/>
      <c r="QNB29" s="67"/>
      <c r="QNC29" s="67"/>
      <c r="QND29" s="67"/>
      <c r="QNE29" s="67"/>
      <c r="QNF29" s="67"/>
      <c r="QNG29" s="67"/>
      <c r="QNH29" s="67"/>
      <c r="QNI29" s="67"/>
      <c r="QNJ29" s="67"/>
      <c r="QNK29" s="67"/>
      <c r="QNL29" s="67"/>
      <c r="QNM29" s="67"/>
      <c r="QNN29" s="67"/>
      <c r="QNO29" s="67"/>
      <c r="QNP29" s="67"/>
      <c r="QNQ29" s="67"/>
      <c r="QNR29" s="67"/>
      <c r="QNS29" s="67"/>
      <c r="QNT29" s="67"/>
      <c r="QNU29" s="67"/>
      <c r="QNV29" s="67"/>
      <c r="QNW29" s="67"/>
      <c r="QNX29" s="67"/>
      <c r="QNY29" s="67"/>
      <c r="QNZ29" s="67"/>
      <c r="QOA29" s="67"/>
      <c r="QOB29" s="67"/>
      <c r="QOC29" s="67"/>
      <c r="QOD29" s="67"/>
      <c r="QOE29" s="67"/>
      <c r="QOF29" s="67"/>
      <c r="QOG29" s="67"/>
      <c r="QOH29" s="67"/>
      <c r="QOI29" s="67"/>
      <c r="QOJ29" s="67"/>
      <c r="QOK29" s="67"/>
      <c r="QOL29" s="67"/>
      <c r="QOM29" s="67"/>
      <c r="QON29" s="67"/>
      <c r="QOO29" s="67"/>
      <c r="QOP29" s="67"/>
      <c r="QOQ29" s="67"/>
      <c r="QOR29" s="67"/>
      <c r="QOS29" s="67"/>
      <c r="QOT29" s="67"/>
      <c r="QOU29" s="67"/>
      <c r="QOV29" s="67"/>
      <c r="QOW29" s="67"/>
      <c r="QOX29" s="67"/>
      <c r="QOY29" s="67"/>
      <c r="QOZ29" s="67"/>
      <c r="QPA29" s="67"/>
      <c r="QPB29" s="67"/>
      <c r="QPC29" s="67"/>
      <c r="QPD29" s="67"/>
      <c r="QPE29" s="67"/>
      <c r="QPF29" s="67"/>
      <c r="QPG29" s="67"/>
      <c r="QPH29" s="67"/>
      <c r="QPI29" s="67"/>
      <c r="QPJ29" s="67"/>
      <c r="QPK29" s="67"/>
      <c r="QPL29" s="67"/>
      <c r="QPM29" s="67"/>
      <c r="QPN29" s="67"/>
      <c r="QPO29" s="67"/>
      <c r="QPP29" s="67"/>
      <c r="QPQ29" s="67"/>
      <c r="QPR29" s="67"/>
      <c r="QPS29" s="67"/>
      <c r="QPT29" s="67"/>
      <c r="QPU29" s="67"/>
      <c r="QPV29" s="67"/>
      <c r="QPW29" s="67"/>
      <c r="QPX29" s="67"/>
      <c r="QPY29" s="67"/>
      <c r="QPZ29" s="67"/>
      <c r="QQA29" s="67"/>
      <c r="QQB29" s="67"/>
      <c r="QQC29" s="67"/>
      <c r="QQD29" s="67"/>
      <c r="QQE29" s="67"/>
      <c r="QQF29" s="67"/>
      <c r="QQG29" s="67"/>
      <c r="QQH29" s="67"/>
      <c r="QQI29" s="67"/>
      <c r="QQJ29" s="67"/>
      <c r="QQK29" s="67"/>
      <c r="QQL29" s="67"/>
      <c r="QQM29" s="67"/>
      <c r="QQN29" s="67"/>
      <c r="QQO29" s="67"/>
      <c r="QQP29" s="67"/>
      <c r="QQQ29" s="67"/>
      <c r="QQR29" s="67"/>
      <c r="QQS29" s="67"/>
      <c r="QQT29" s="67"/>
      <c r="QQU29" s="67"/>
      <c r="QQV29" s="67"/>
      <c r="QQW29" s="67"/>
      <c r="QQX29" s="67"/>
      <c r="QQY29" s="67"/>
      <c r="QQZ29" s="67"/>
      <c r="QRA29" s="67"/>
      <c r="QRB29" s="67"/>
      <c r="QRC29" s="67"/>
      <c r="QRD29" s="67"/>
      <c r="QRE29" s="67"/>
      <c r="QRF29" s="67"/>
      <c r="QRG29" s="67"/>
      <c r="QRH29" s="67"/>
      <c r="QRI29" s="67"/>
      <c r="QRJ29" s="67"/>
      <c r="QRK29" s="67"/>
      <c r="QRL29" s="67"/>
      <c r="QRM29" s="67"/>
      <c r="QRN29" s="67"/>
      <c r="QRO29" s="67"/>
      <c r="QRP29" s="67"/>
      <c r="QRQ29" s="67"/>
      <c r="QRR29" s="67"/>
      <c r="QRS29" s="67"/>
      <c r="QRT29" s="67"/>
      <c r="QRU29" s="67"/>
      <c r="QRV29" s="67"/>
      <c r="QRW29" s="67"/>
      <c r="QRX29" s="67"/>
      <c r="QRY29" s="67"/>
      <c r="QRZ29" s="67"/>
      <c r="QSA29" s="67"/>
      <c r="QSB29" s="67"/>
      <c r="QSC29" s="67"/>
      <c r="QSD29" s="67"/>
      <c r="QSE29" s="67"/>
      <c r="QSF29" s="67"/>
      <c r="QSG29" s="67"/>
      <c r="QSH29" s="67"/>
      <c r="QSI29" s="67"/>
      <c r="QSJ29" s="67"/>
      <c r="QSK29" s="67"/>
      <c r="QSL29" s="67"/>
      <c r="QSM29" s="67"/>
      <c r="QSN29" s="67"/>
      <c r="QSO29" s="67"/>
      <c r="QSP29" s="67"/>
      <c r="QSQ29" s="67"/>
      <c r="QSR29" s="67"/>
      <c r="QSS29" s="67"/>
      <c r="QST29" s="67"/>
      <c r="QSU29" s="67"/>
      <c r="QSV29" s="67"/>
      <c r="QSW29" s="67"/>
      <c r="QSX29" s="67"/>
      <c r="QSY29" s="67"/>
      <c r="QSZ29" s="67"/>
      <c r="QTA29" s="67"/>
      <c r="QTB29" s="67"/>
      <c r="QTC29" s="67"/>
      <c r="QTD29" s="67"/>
      <c r="QTE29" s="67"/>
      <c r="QTF29" s="67"/>
      <c r="QTG29" s="67"/>
      <c r="QTH29" s="67"/>
      <c r="QTI29" s="67"/>
      <c r="QTJ29" s="67"/>
      <c r="QTK29" s="67"/>
      <c r="QTL29" s="67"/>
      <c r="QTM29" s="67"/>
      <c r="QTN29" s="67"/>
      <c r="QTO29" s="67"/>
      <c r="QTP29" s="67"/>
      <c r="QTQ29" s="67"/>
      <c r="QTR29" s="67"/>
      <c r="QTS29" s="67"/>
      <c r="QTT29" s="67"/>
      <c r="QTU29" s="67"/>
      <c r="QTV29" s="67"/>
      <c r="QTW29" s="67"/>
      <c r="QTX29" s="67"/>
      <c r="QTY29" s="67"/>
      <c r="QTZ29" s="67"/>
      <c r="QUA29" s="67"/>
      <c r="QUB29" s="67"/>
      <c r="QUC29" s="67"/>
      <c r="QUD29" s="67"/>
      <c r="QUE29" s="67"/>
      <c r="QUF29" s="67"/>
      <c r="QUG29" s="67"/>
      <c r="QUH29" s="67"/>
      <c r="QUI29" s="67"/>
      <c r="QUJ29" s="67"/>
      <c r="QUK29" s="67"/>
      <c r="QUL29" s="67"/>
      <c r="QUM29" s="67"/>
      <c r="QUN29" s="67"/>
      <c r="QUO29" s="67"/>
      <c r="QUP29" s="67"/>
      <c r="QUQ29" s="67"/>
      <c r="QUR29" s="67"/>
      <c r="QUS29" s="67"/>
      <c r="QUT29" s="67"/>
      <c r="QUU29" s="67"/>
      <c r="QUV29" s="67"/>
      <c r="QUW29" s="67"/>
      <c r="QUX29" s="67"/>
      <c r="QUY29" s="67"/>
      <c r="QUZ29" s="67"/>
      <c r="QVA29" s="67"/>
      <c r="QVB29" s="67"/>
      <c r="QVC29" s="67"/>
      <c r="QVD29" s="67"/>
      <c r="QVE29" s="67"/>
      <c r="QVF29" s="67"/>
      <c r="QVG29" s="67"/>
      <c r="QVH29" s="67"/>
      <c r="QVI29" s="67"/>
      <c r="QVJ29" s="67"/>
      <c r="QVK29" s="67"/>
      <c r="QVL29" s="67"/>
      <c r="QVM29" s="67"/>
      <c r="QVN29" s="67"/>
      <c r="QVO29" s="67"/>
      <c r="QVP29" s="67"/>
      <c r="QVQ29" s="67"/>
      <c r="QVR29" s="67"/>
      <c r="QVS29" s="67"/>
      <c r="QVT29" s="67"/>
      <c r="QVU29" s="67"/>
      <c r="QVV29" s="67"/>
      <c r="QVW29" s="67"/>
      <c r="QVX29" s="67"/>
      <c r="QVY29" s="67"/>
      <c r="QVZ29" s="67"/>
      <c r="QWA29" s="67"/>
      <c r="QWB29" s="67"/>
      <c r="QWC29" s="67"/>
      <c r="QWD29" s="67"/>
      <c r="QWE29" s="67"/>
      <c r="QWF29" s="67"/>
      <c r="QWG29" s="67"/>
      <c r="QWH29" s="67"/>
      <c r="QWI29" s="67"/>
      <c r="QWJ29" s="67"/>
      <c r="QWK29" s="67"/>
      <c r="QWL29" s="67"/>
      <c r="QWM29" s="67"/>
      <c r="QWN29" s="67"/>
      <c r="QWO29" s="67"/>
      <c r="QWP29" s="67"/>
      <c r="QWQ29" s="67"/>
      <c r="QWR29" s="67"/>
      <c r="QWS29" s="67"/>
      <c r="QWT29" s="67"/>
      <c r="QWU29" s="67"/>
      <c r="QWV29" s="67"/>
      <c r="QWW29" s="67"/>
      <c r="QWX29" s="67"/>
      <c r="QWY29" s="67"/>
      <c r="QWZ29" s="67"/>
      <c r="QXA29" s="67"/>
      <c r="QXB29" s="67"/>
      <c r="QXC29" s="67"/>
      <c r="QXD29" s="67"/>
      <c r="QXE29" s="67"/>
      <c r="QXF29" s="67"/>
      <c r="QXG29" s="67"/>
      <c r="QXH29" s="67"/>
      <c r="QXI29" s="67"/>
      <c r="QXJ29" s="67"/>
      <c r="QXK29" s="67"/>
      <c r="QXL29" s="67"/>
      <c r="QXM29" s="67"/>
      <c r="QXN29" s="67"/>
      <c r="QXO29" s="67"/>
      <c r="QXP29" s="67"/>
      <c r="QXQ29" s="67"/>
      <c r="QXR29" s="67"/>
      <c r="QXS29" s="67"/>
      <c r="QXT29" s="67"/>
      <c r="QXU29" s="67"/>
      <c r="QXV29" s="67"/>
      <c r="QXW29" s="67"/>
      <c r="QXX29" s="67"/>
      <c r="QXY29" s="67"/>
      <c r="QXZ29" s="67"/>
      <c r="QYA29" s="67"/>
      <c r="QYB29" s="67"/>
      <c r="QYC29" s="67"/>
      <c r="QYD29" s="67"/>
      <c r="QYE29" s="67"/>
      <c r="QYF29" s="67"/>
      <c r="QYG29" s="67"/>
      <c r="QYH29" s="67"/>
      <c r="QYI29" s="67"/>
      <c r="QYJ29" s="67"/>
      <c r="QYK29" s="67"/>
      <c r="QYL29" s="67"/>
      <c r="QYM29" s="67"/>
      <c r="QYN29" s="67"/>
      <c r="QYO29" s="67"/>
      <c r="QYP29" s="67"/>
      <c r="QYQ29" s="67"/>
      <c r="QYR29" s="67"/>
      <c r="QYS29" s="67"/>
      <c r="QYT29" s="67"/>
      <c r="QYU29" s="67"/>
      <c r="QYV29" s="67"/>
      <c r="QYW29" s="67"/>
      <c r="QYX29" s="67"/>
      <c r="QYY29" s="67"/>
      <c r="QYZ29" s="67"/>
      <c r="QZA29" s="67"/>
      <c r="QZB29" s="67"/>
      <c r="QZC29" s="67"/>
      <c r="QZD29" s="67"/>
      <c r="QZE29" s="67"/>
      <c r="QZF29" s="67"/>
      <c r="QZG29" s="67"/>
      <c r="QZH29" s="67"/>
      <c r="QZI29" s="67"/>
      <c r="QZJ29" s="67"/>
      <c r="QZK29" s="67"/>
      <c r="QZL29" s="67"/>
      <c r="QZM29" s="67"/>
      <c r="QZN29" s="67"/>
      <c r="QZO29" s="67"/>
      <c r="QZP29" s="67"/>
      <c r="QZQ29" s="67"/>
      <c r="QZR29" s="67"/>
      <c r="QZS29" s="67"/>
      <c r="QZT29" s="67"/>
      <c r="QZU29" s="67"/>
      <c r="QZV29" s="67"/>
      <c r="QZW29" s="67"/>
      <c r="QZX29" s="67"/>
      <c r="QZY29" s="67"/>
      <c r="QZZ29" s="67"/>
      <c r="RAA29" s="67"/>
      <c r="RAB29" s="67"/>
      <c r="RAC29" s="67"/>
      <c r="RAD29" s="67"/>
      <c r="RAE29" s="67"/>
      <c r="RAF29" s="67"/>
      <c r="RAG29" s="67"/>
      <c r="RAH29" s="67"/>
      <c r="RAI29" s="67"/>
      <c r="RAJ29" s="67"/>
      <c r="RAK29" s="67"/>
      <c r="RAL29" s="67"/>
      <c r="RAM29" s="67"/>
      <c r="RAN29" s="67"/>
      <c r="RAO29" s="67"/>
      <c r="RAP29" s="67"/>
      <c r="RAQ29" s="67"/>
      <c r="RAR29" s="67"/>
      <c r="RAS29" s="67"/>
      <c r="RAT29" s="67"/>
      <c r="RAU29" s="67"/>
      <c r="RAV29" s="67"/>
      <c r="RAW29" s="67"/>
      <c r="RAX29" s="67"/>
      <c r="RAY29" s="67"/>
      <c r="RAZ29" s="67"/>
      <c r="RBA29" s="67"/>
      <c r="RBB29" s="67"/>
      <c r="RBC29" s="67"/>
      <c r="RBD29" s="67"/>
      <c r="RBE29" s="67"/>
      <c r="RBF29" s="67"/>
      <c r="RBG29" s="67"/>
      <c r="RBH29" s="67"/>
      <c r="RBI29" s="67"/>
      <c r="RBJ29" s="67"/>
      <c r="RBK29" s="67"/>
      <c r="RBL29" s="67"/>
      <c r="RBM29" s="67"/>
      <c r="RBN29" s="67"/>
      <c r="RBO29" s="67"/>
      <c r="RBP29" s="67"/>
      <c r="RBQ29" s="67"/>
      <c r="RBR29" s="67"/>
      <c r="RBS29" s="67"/>
      <c r="RBT29" s="67"/>
      <c r="RBU29" s="67"/>
      <c r="RBV29" s="67"/>
      <c r="RBW29" s="67"/>
      <c r="RBX29" s="67"/>
      <c r="RBY29" s="67"/>
      <c r="RBZ29" s="67"/>
      <c r="RCA29" s="67"/>
      <c r="RCB29" s="67"/>
      <c r="RCC29" s="67"/>
      <c r="RCD29" s="67"/>
      <c r="RCE29" s="67"/>
      <c r="RCF29" s="67"/>
      <c r="RCG29" s="67"/>
      <c r="RCH29" s="67"/>
      <c r="RCI29" s="67"/>
      <c r="RCJ29" s="67"/>
      <c r="RCK29" s="67"/>
      <c r="RCL29" s="67"/>
      <c r="RCM29" s="67"/>
      <c r="RCN29" s="67"/>
      <c r="RCO29" s="67"/>
      <c r="RCP29" s="67"/>
      <c r="RCQ29" s="67"/>
      <c r="RCR29" s="67"/>
      <c r="RCS29" s="67"/>
      <c r="RCT29" s="67"/>
      <c r="RCU29" s="67"/>
      <c r="RCV29" s="67"/>
      <c r="RCW29" s="67"/>
      <c r="RCX29" s="67"/>
      <c r="RCY29" s="67"/>
      <c r="RCZ29" s="67"/>
      <c r="RDA29" s="67"/>
      <c r="RDB29" s="67"/>
      <c r="RDC29" s="67"/>
      <c r="RDD29" s="67"/>
      <c r="RDE29" s="67"/>
      <c r="RDF29" s="67"/>
      <c r="RDG29" s="67"/>
      <c r="RDH29" s="67"/>
      <c r="RDI29" s="67"/>
      <c r="RDJ29" s="67"/>
      <c r="RDK29" s="67"/>
      <c r="RDL29" s="67"/>
      <c r="RDM29" s="67"/>
      <c r="RDN29" s="67"/>
      <c r="RDO29" s="67"/>
      <c r="RDP29" s="67"/>
      <c r="RDQ29" s="67"/>
      <c r="RDR29" s="67"/>
      <c r="RDS29" s="67"/>
      <c r="RDT29" s="67"/>
      <c r="RDU29" s="67"/>
      <c r="RDV29" s="67"/>
      <c r="RDW29" s="67"/>
      <c r="RDX29" s="67"/>
      <c r="RDY29" s="67"/>
      <c r="RDZ29" s="67"/>
      <c r="REA29" s="67"/>
      <c r="REB29" s="67"/>
      <c r="REC29" s="67"/>
      <c r="RED29" s="67"/>
      <c r="REE29" s="67"/>
      <c r="REF29" s="67"/>
      <c r="REG29" s="67"/>
      <c r="REH29" s="67"/>
      <c r="REI29" s="67"/>
      <c r="REJ29" s="67"/>
      <c r="REK29" s="67"/>
      <c r="REL29" s="67"/>
      <c r="REM29" s="67"/>
      <c r="REN29" s="67"/>
      <c r="REO29" s="67"/>
      <c r="REP29" s="67"/>
      <c r="REQ29" s="67"/>
      <c r="RER29" s="67"/>
      <c r="RES29" s="67"/>
      <c r="RET29" s="67"/>
      <c r="REU29" s="67"/>
      <c r="REV29" s="67"/>
      <c r="REW29" s="67"/>
      <c r="REX29" s="67"/>
      <c r="REY29" s="67"/>
      <c r="REZ29" s="67"/>
      <c r="RFA29" s="67"/>
      <c r="RFB29" s="67"/>
      <c r="RFC29" s="67"/>
      <c r="RFD29" s="67"/>
      <c r="RFE29" s="67"/>
      <c r="RFF29" s="67"/>
      <c r="RFG29" s="67"/>
      <c r="RFH29" s="67"/>
      <c r="RFI29" s="67"/>
      <c r="RFJ29" s="67"/>
      <c r="RFK29" s="67"/>
      <c r="RFL29" s="67"/>
      <c r="RFM29" s="67"/>
      <c r="RFN29" s="67"/>
      <c r="RFO29" s="67"/>
      <c r="RFP29" s="67"/>
      <c r="RFQ29" s="67"/>
      <c r="RFR29" s="67"/>
      <c r="RFS29" s="67"/>
      <c r="RFT29" s="67"/>
      <c r="RFU29" s="67"/>
      <c r="RFV29" s="67"/>
      <c r="RFW29" s="67"/>
      <c r="RFX29" s="67"/>
      <c r="RFY29" s="67"/>
      <c r="RFZ29" s="67"/>
      <c r="RGA29" s="67"/>
      <c r="RGB29" s="67"/>
      <c r="RGC29" s="67"/>
      <c r="RGD29" s="67"/>
      <c r="RGE29" s="67"/>
      <c r="RGF29" s="67"/>
      <c r="RGG29" s="67"/>
      <c r="RGH29" s="67"/>
      <c r="RGI29" s="67"/>
      <c r="RGJ29" s="67"/>
      <c r="RGK29" s="67"/>
      <c r="RGL29" s="67"/>
      <c r="RGM29" s="67"/>
      <c r="RGN29" s="67"/>
      <c r="RGO29" s="67"/>
      <c r="RGP29" s="67"/>
      <c r="RGQ29" s="67"/>
      <c r="RGR29" s="67"/>
      <c r="RGS29" s="67"/>
      <c r="RGT29" s="67"/>
      <c r="RGU29" s="67"/>
      <c r="RGV29" s="67"/>
      <c r="RGW29" s="67"/>
      <c r="RGX29" s="67"/>
      <c r="RGY29" s="67"/>
      <c r="RGZ29" s="67"/>
      <c r="RHA29" s="67"/>
      <c r="RHB29" s="67"/>
      <c r="RHC29" s="67"/>
      <c r="RHD29" s="67"/>
      <c r="RHE29" s="67"/>
      <c r="RHF29" s="67"/>
      <c r="RHG29" s="67"/>
      <c r="RHH29" s="67"/>
      <c r="RHI29" s="67"/>
      <c r="RHJ29" s="67"/>
      <c r="RHK29" s="67"/>
      <c r="RHL29" s="67"/>
      <c r="RHM29" s="67"/>
      <c r="RHN29" s="67"/>
      <c r="RHO29" s="67"/>
      <c r="RHP29" s="67"/>
      <c r="RHQ29" s="67"/>
      <c r="RHR29" s="67"/>
      <c r="RHS29" s="67"/>
      <c r="RHT29" s="67"/>
      <c r="RHU29" s="67"/>
      <c r="RHV29" s="67"/>
      <c r="RHW29" s="67"/>
      <c r="RHX29" s="67"/>
      <c r="RHY29" s="67"/>
      <c r="RHZ29" s="67"/>
      <c r="RIA29" s="67"/>
      <c r="RIB29" s="67"/>
      <c r="RIC29" s="67"/>
      <c r="RID29" s="67"/>
      <c r="RIE29" s="67"/>
      <c r="RIF29" s="67"/>
      <c r="RIG29" s="67"/>
      <c r="RIH29" s="67"/>
      <c r="RII29" s="67"/>
      <c r="RIJ29" s="67"/>
      <c r="RIK29" s="67"/>
      <c r="RIL29" s="67"/>
      <c r="RIM29" s="67"/>
      <c r="RIN29" s="67"/>
      <c r="RIO29" s="67"/>
      <c r="RIP29" s="67"/>
      <c r="RIQ29" s="67"/>
      <c r="RIR29" s="67"/>
      <c r="RIS29" s="67"/>
      <c r="RIT29" s="67"/>
      <c r="RIU29" s="67"/>
      <c r="RIV29" s="67"/>
      <c r="RIW29" s="67"/>
      <c r="RIX29" s="67"/>
      <c r="RIY29" s="67"/>
      <c r="RIZ29" s="67"/>
      <c r="RJA29" s="67"/>
      <c r="RJB29" s="67"/>
      <c r="RJC29" s="67"/>
      <c r="RJD29" s="67"/>
      <c r="RJE29" s="67"/>
      <c r="RJF29" s="67"/>
      <c r="RJG29" s="67"/>
      <c r="RJH29" s="67"/>
      <c r="RJI29" s="67"/>
      <c r="RJJ29" s="67"/>
      <c r="RJK29" s="67"/>
      <c r="RJL29" s="67"/>
      <c r="RJM29" s="67"/>
      <c r="RJN29" s="67"/>
      <c r="RJO29" s="67"/>
      <c r="RJP29" s="67"/>
      <c r="RJQ29" s="67"/>
      <c r="RJR29" s="67"/>
      <c r="RJS29" s="67"/>
      <c r="RJT29" s="67"/>
      <c r="RJU29" s="67"/>
      <c r="RJV29" s="67"/>
      <c r="RJW29" s="67"/>
      <c r="RJX29" s="67"/>
      <c r="RJY29" s="67"/>
      <c r="RJZ29" s="67"/>
      <c r="RKA29" s="67"/>
      <c r="RKB29" s="67"/>
      <c r="RKC29" s="67"/>
      <c r="RKD29" s="67"/>
      <c r="RKE29" s="67"/>
      <c r="RKF29" s="67"/>
      <c r="RKG29" s="67"/>
      <c r="RKH29" s="67"/>
      <c r="RKI29" s="67"/>
      <c r="RKJ29" s="67"/>
      <c r="RKK29" s="67"/>
      <c r="RKL29" s="67"/>
      <c r="RKM29" s="67"/>
      <c r="RKN29" s="67"/>
      <c r="RKO29" s="67"/>
      <c r="RKP29" s="67"/>
      <c r="RKQ29" s="67"/>
      <c r="RKR29" s="67"/>
      <c r="RKS29" s="67"/>
      <c r="RKT29" s="67"/>
      <c r="RKU29" s="67"/>
      <c r="RKV29" s="67"/>
      <c r="RKW29" s="67"/>
      <c r="RKX29" s="67"/>
      <c r="RKY29" s="67"/>
      <c r="RKZ29" s="67"/>
      <c r="RLA29" s="67"/>
      <c r="RLB29" s="67"/>
      <c r="RLC29" s="67"/>
      <c r="RLD29" s="67"/>
      <c r="RLE29" s="67"/>
      <c r="RLF29" s="67"/>
      <c r="RLG29" s="67"/>
      <c r="RLH29" s="67"/>
      <c r="RLI29" s="67"/>
      <c r="RLJ29" s="67"/>
      <c r="RLK29" s="67"/>
      <c r="RLL29" s="67"/>
      <c r="RLM29" s="67"/>
      <c r="RLN29" s="67"/>
      <c r="RLO29" s="67"/>
      <c r="RLP29" s="67"/>
      <c r="RLQ29" s="67"/>
      <c r="RLR29" s="67"/>
      <c r="RLS29" s="67"/>
      <c r="RLT29" s="67"/>
      <c r="RLU29" s="67"/>
      <c r="RLV29" s="67"/>
      <c r="RLW29" s="67"/>
      <c r="RLX29" s="67"/>
      <c r="RLY29" s="67"/>
      <c r="RLZ29" s="67"/>
      <c r="RMA29" s="67"/>
      <c r="RMB29" s="67"/>
      <c r="RMC29" s="67"/>
      <c r="RMD29" s="67"/>
      <c r="RME29" s="67"/>
      <c r="RMF29" s="67"/>
      <c r="RMG29" s="67"/>
      <c r="RMH29" s="67"/>
      <c r="RMI29" s="67"/>
      <c r="RMJ29" s="67"/>
      <c r="RMK29" s="67"/>
      <c r="RML29" s="67"/>
      <c r="RMM29" s="67"/>
      <c r="RMN29" s="67"/>
      <c r="RMO29" s="67"/>
      <c r="RMP29" s="67"/>
      <c r="RMQ29" s="67"/>
      <c r="RMR29" s="67"/>
      <c r="RMS29" s="67"/>
      <c r="RMT29" s="67"/>
      <c r="RMU29" s="67"/>
      <c r="RMV29" s="67"/>
      <c r="RMW29" s="67"/>
      <c r="RMX29" s="67"/>
      <c r="RMY29" s="67"/>
      <c r="RMZ29" s="67"/>
      <c r="RNA29" s="67"/>
      <c r="RNB29" s="67"/>
      <c r="RNC29" s="67"/>
      <c r="RND29" s="67"/>
      <c r="RNE29" s="67"/>
      <c r="RNF29" s="67"/>
      <c r="RNG29" s="67"/>
      <c r="RNH29" s="67"/>
      <c r="RNI29" s="67"/>
      <c r="RNJ29" s="67"/>
      <c r="RNK29" s="67"/>
      <c r="RNL29" s="67"/>
      <c r="RNM29" s="67"/>
      <c r="RNN29" s="67"/>
      <c r="RNO29" s="67"/>
      <c r="RNP29" s="67"/>
      <c r="RNQ29" s="67"/>
      <c r="RNR29" s="67"/>
      <c r="RNS29" s="67"/>
      <c r="RNT29" s="67"/>
      <c r="RNU29" s="67"/>
      <c r="RNV29" s="67"/>
      <c r="RNW29" s="67"/>
      <c r="RNX29" s="67"/>
      <c r="RNY29" s="67"/>
      <c r="RNZ29" s="67"/>
      <c r="ROA29" s="67"/>
      <c r="ROB29" s="67"/>
      <c r="ROC29" s="67"/>
      <c r="ROD29" s="67"/>
      <c r="ROE29" s="67"/>
      <c r="ROF29" s="67"/>
      <c r="ROG29" s="67"/>
      <c r="ROH29" s="67"/>
      <c r="ROI29" s="67"/>
      <c r="ROJ29" s="67"/>
      <c r="ROK29" s="67"/>
      <c r="ROL29" s="67"/>
      <c r="ROM29" s="67"/>
      <c r="RON29" s="67"/>
      <c r="ROO29" s="67"/>
      <c r="ROP29" s="67"/>
      <c r="ROQ29" s="67"/>
      <c r="ROR29" s="67"/>
      <c r="ROS29" s="67"/>
      <c r="ROT29" s="67"/>
      <c r="ROU29" s="67"/>
      <c r="ROV29" s="67"/>
      <c r="ROW29" s="67"/>
      <c r="ROX29" s="67"/>
      <c r="ROY29" s="67"/>
      <c r="ROZ29" s="67"/>
      <c r="RPA29" s="67"/>
      <c r="RPB29" s="67"/>
      <c r="RPC29" s="67"/>
      <c r="RPD29" s="67"/>
      <c r="RPE29" s="67"/>
      <c r="RPF29" s="67"/>
      <c r="RPG29" s="67"/>
      <c r="RPH29" s="67"/>
      <c r="RPI29" s="67"/>
      <c r="RPJ29" s="67"/>
      <c r="RPK29" s="67"/>
      <c r="RPL29" s="67"/>
      <c r="RPM29" s="67"/>
      <c r="RPN29" s="67"/>
      <c r="RPO29" s="67"/>
      <c r="RPP29" s="67"/>
      <c r="RPQ29" s="67"/>
      <c r="RPR29" s="67"/>
      <c r="RPS29" s="67"/>
      <c r="RPT29" s="67"/>
      <c r="RPU29" s="67"/>
      <c r="RPV29" s="67"/>
      <c r="RPW29" s="67"/>
      <c r="RPX29" s="67"/>
      <c r="RPY29" s="67"/>
      <c r="RPZ29" s="67"/>
      <c r="RQA29" s="67"/>
      <c r="RQB29" s="67"/>
      <c r="RQC29" s="67"/>
      <c r="RQD29" s="67"/>
      <c r="RQE29" s="67"/>
      <c r="RQF29" s="67"/>
      <c r="RQG29" s="67"/>
      <c r="RQH29" s="67"/>
      <c r="RQI29" s="67"/>
      <c r="RQJ29" s="67"/>
      <c r="RQK29" s="67"/>
      <c r="RQL29" s="67"/>
      <c r="RQM29" s="67"/>
      <c r="RQN29" s="67"/>
      <c r="RQO29" s="67"/>
      <c r="RQP29" s="67"/>
      <c r="RQQ29" s="67"/>
      <c r="RQR29" s="67"/>
      <c r="RQS29" s="67"/>
      <c r="RQT29" s="67"/>
      <c r="RQU29" s="67"/>
      <c r="RQV29" s="67"/>
      <c r="RQW29" s="67"/>
      <c r="RQX29" s="67"/>
      <c r="RQY29" s="67"/>
      <c r="RQZ29" s="67"/>
      <c r="RRA29" s="67"/>
      <c r="RRB29" s="67"/>
      <c r="RRC29" s="67"/>
      <c r="RRD29" s="67"/>
      <c r="RRE29" s="67"/>
      <c r="RRF29" s="67"/>
      <c r="RRG29" s="67"/>
      <c r="RRH29" s="67"/>
      <c r="RRI29" s="67"/>
      <c r="RRJ29" s="67"/>
      <c r="RRK29" s="67"/>
      <c r="RRL29" s="67"/>
      <c r="RRM29" s="67"/>
      <c r="RRN29" s="67"/>
      <c r="RRO29" s="67"/>
      <c r="RRP29" s="67"/>
      <c r="RRQ29" s="67"/>
      <c r="RRR29" s="67"/>
      <c r="RRS29" s="67"/>
      <c r="RRT29" s="67"/>
      <c r="RRU29" s="67"/>
      <c r="RRV29" s="67"/>
      <c r="RRW29" s="67"/>
      <c r="RRX29" s="67"/>
      <c r="RRY29" s="67"/>
      <c r="RRZ29" s="67"/>
      <c r="RSA29" s="67"/>
      <c r="RSB29" s="67"/>
      <c r="RSC29" s="67"/>
      <c r="RSD29" s="67"/>
      <c r="RSE29" s="67"/>
      <c r="RSF29" s="67"/>
      <c r="RSG29" s="67"/>
      <c r="RSH29" s="67"/>
      <c r="RSI29" s="67"/>
      <c r="RSJ29" s="67"/>
      <c r="RSK29" s="67"/>
      <c r="RSL29" s="67"/>
      <c r="RSM29" s="67"/>
      <c r="RSN29" s="67"/>
      <c r="RSO29" s="67"/>
      <c r="RSP29" s="67"/>
      <c r="RSQ29" s="67"/>
      <c r="RSR29" s="67"/>
      <c r="RSS29" s="67"/>
      <c r="RST29" s="67"/>
      <c r="RSU29" s="67"/>
      <c r="RSV29" s="67"/>
      <c r="RSW29" s="67"/>
      <c r="RSX29" s="67"/>
      <c r="RSY29" s="67"/>
      <c r="RSZ29" s="67"/>
      <c r="RTA29" s="67"/>
      <c r="RTB29" s="67"/>
      <c r="RTC29" s="67"/>
      <c r="RTD29" s="67"/>
      <c r="RTE29" s="67"/>
      <c r="RTF29" s="67"/>
      <c r="RTG29" s="67"/>
      <c r="RTH29" s="67"/>
      <c r="RTI29" s="67"/>
      <c r="RTJ29" s="67"/>
      <c r="RTK29" s="67"/>
      <c r="RTL29" s="67"/>
      <c r="RTM29" s="67"/>
      <c r="RTN29" s="67"/>
      <c r="RTO29" s="67"/>
      <c r="RTP29" s="67"/>
      <c r="RTQ29" s="67"/>
      <c r="RTR29" s="67"/>
      <c r="RTS29" s="67"/>
      <c r="RTT29" s="67"/>
      <c r="RTU29" s="67"/>
      <c r="RTV29" s="67"/>
      <c r="RTW29" s="67"/>
      <c r="RTX29" s="67"/>
      <c r="RTY29" s="67"/>
      <c r="RTZ29" s="67"/>
      <c r="RUA29" s="67"/>
      <c r="RUB29" s="67"/>
      <c r="RUC29" s="67"/>
      <c r="RUD29" s="67"/>
      <c r="RUE29" s="67"/>
      <c r="RUF29" s="67"/>
      <c r="RUG29" s="67"/>
      <c r="RUH29" s="67"/>
      <c r="RUI29" s="67"/>
      <c r="RUJ29" s="67"/>
      <c r="RUK29" s="67"/>
      <c r="RUL29" s="67"/>
      <c r="RUM29" s="67"/>
      <c r="RUN29" s="67"/>
      <c r="RUO29" s="67"/>
      <c r="RUP29" s="67"/>
      <c r="RUQ29" s="67"/>
      <c r="RUR29" s="67"/>
      <c r="RUS29" s="67"/>
      <c r="RUT29" s="67"/>
      <c r="RUU29" s="67"/>
      <c r="RUV29" s="67"/>
      <c r="RUW29" s="67"/>
      <c r="RUX29" s="67"/>
      <c r="RUY29" s="67"/>
      <c r="RUZ29" s="67"/>
      <c r="RVA29" s="67"/>
      <c r="RVB29" s="67"/>
      <c r="RVC29" s="67"/>
      <c r="RVD29" s="67"/>
      <c r="RVE29" s="67"/>
      <c r="RVF29" s="67"/>
      <c r="RVG29" s="67"/>
      <c r="RVH29" s="67"/>
      <c r="RVI29" s="67"/>
      <c r="RVJ29" s="67"/>
      <c r="RVK29" s="67"/>
      <c r="RVL29" s="67"/>
      <c r="RVM29" s="67"/>
      <c r="RVN29" s="67"/>
      <c r="RVO29" s="67"/>
      <c r="RVP29" s="67"/>
      <c r="RVQ29" s="67"/>
      <c r="RVR29" s="67"/>
      <c r="RVS29" s="67"/>
      <c r="RVT29" s="67"/>
      <c r="RVU29" s="67"/>
      <c r="RVV29" s="67"/>
      <c r="RVW29" s="67"/>
      <c r="RVX29" s="67"/>
      <c r="RVY29" s="67"/>
      <c r="RVZ29" s="67"/>
      <c r="RWA29" s="67"/>
      <c r="RWB29" s="67"/>
      <c r="RWC29" s="67"/>
      <c r="RWD29" s="67"/>
      <c r="RWE29" s="67"/>
      <c r="RWF29" s="67"/>
      <c r="RWG29" s="67"/>
      <c r="RWH29" s="67"/>
      <c r="RWI29" s="67"/>
      <c r="RWJ29" s="67"/>
      <c r="RWK29" s="67"/>
      <c r="RWL29" s="67"/>
      <c r="RWM29" s="67"/>
      <c r="RWN29" s="67"/>
      <c r="RWO29" s="67"/>
      <c r="RWP29" s="67"/>
      <c r="RWQ29" s="67"/>
      <c r="RWR29" s="67"/>
      <c r="RWS29" s="67"/>
      <c r="RWT29" s="67"/>
      <c r="RWU29" s="67"/>
      <c r="RWV29" s="67"/>
      <c r="RWW29" s="67"/>
      <c r="RWX29" s="67"/>
      <c r="RWY29" s="67"/>
      <c r="RWZ29" s="67"/>
      <c r="RXA29" s="67"/>
      <c r="RXB29" s="67"/>
      <c r="RXC29" s="67"/>
      <c r="RXD29" s="67"/>
      <c r="RXE29" s="67"/>
      <c r="RXF29" s="67"/>
      <c r="RXG29" s="67"/>
      <c r="RXH29" s="67"/>
      <c r="RXI29" s="67"/>
      <c r="RXJ29" s="67"/>
      <c r="RXK29" s="67"/>
      <c r="RXL29" s="67"/>
      <c r="RXM29" s="67"/>
      <c r="RXN29" s="67"/>
      <c r="RXO29" s="67"/>
      <c r="RXP29" s="67"/>
      <c r="RXQ29" s="67"/>
      <c r="RXR29" s="67"/>
      <c r="RXS29" s="67"/>
      <c r="RXT29" s="67"/>
      <c r="RXU29" s="67"/>
      <c r="RXV29" s="67"/>
      <c r="RXW29" s="67"/>
      <c r="RXX29" s="67"/>
      <c r="RXY29" s="67"/>
      <c r="RXZ29" s="67"/>
      <c r="RYA29" s="67"/>
      <c r="RYB29" s="67"/>
      <c r="RYC29" s="67"/>
      <c r="RYD29" s="67"/>
      <c r="RYE29" s="67"/>
      <c r="RYF29" s="67"/>
      <c r="RYG29" s="67"/>
      <c r="RYH29" s="67"/>
      <c r="RYI29" s="67"/>
      <c r="RYJ29" s="67"/>
      <c r="RYK29" s="67"/>
      <c r="RYL29" s="67"/>
      <c r="RYM29" s="67"/>
      <c r="RYN29" s="67"/>
      <c r="RYO29" s="67"/>
      <c r="RYP29" s="67"/>
      <c r="RYQ29" s="67"/>
      <c r="RYR29" s="67"/>
      <c r="RYS29" s="67"/>
      <c r="RYT29" s="67"/>
      <c r="RYU29" s="67"/>
      <c r="RYV29" s="67"/>
      <c r="RYW29" s="67"/>
      <c r="RYX29" s="67"/>
      <c r="RYY29" s="67"/>
      <c r="RYZ29" s="67"/>
      <c r="RZA29" s="67"/>
      <c r="RZB29" s="67"/>
      <c r="RZC29" s="67"/>
      <c r="RZD29" s="67"/>
      <c r="RZE29" s="67"/>
      <c r="RZF29" s="67"/>
      <c r="RZG29" s="67"/>
      <c r="RZH29" s="67"/>
      <c r="RZI29" s="67"/>
      <c r="RZJ29" s="67"/>
      <c r="RZK29" s="67"/>
      <c r="RZL29" s="67"/>
      <c r="RZM29" s="67"/>
      <c r="RZN29" s="67"/>
      <c r="RZO29" s="67"/>
      <c r="RZP29" s="67"/>
      <c r="RZQ29" s="67"/>
      <c r="RZR29" s="67"/>
      <c r="RZS29" s="67"/>
      <c r="RZT29" s="67"/>
      <c r="RZU29" s="67"/>
      <c r="RZV29" s="67"/>
      <c r="RZW29" s="67"/>
      <c r="RZX29" s="67"/>
      <c r="RZY29" s="67"/>
      <c r="RZZ29" s="67"/>
      <c r="SAA29" s="67"/>
      <c r="SAB29" s="67"/>
      <c r="SAC29" s="67"/>
      <c r="SAD29" s="67"/>
      <c r="SAE29" s="67"/>
      <c r="SAF29" s="67"/>
      <c r="SAG29" s="67"/>
      <c r="SAH29" s="67"/>
      <c r="SAI29" s="67"/>
      <c r="SAJ29" s="67"/>
      <c r="SAK29" s="67"/>
      <c r="SAL29" s="67"/>
      <c r="SAM29" s="67"/>
      <c r="SAN29" s="67"/>
      <c r="SAO29" s="67"/>
      <c r="SAP29" s="67"/>
      <c r="SAQ29" s="67"/>
      <c r="SAR29" s="67"/>
      <c r="SAS29" s="67"/>
      <c r="SAT29" s="67"/>
      <c r="SAU29" s="67"/>
      <c r="SAV29" s="67"/>
      <c r="SAW29" s="67"/>
      <c r="SAX29" s="67"/>
      <c r="SAY29" s="67"/>
      <c r="SAZ29" s="67"/>
      <c r="SBA29" s="67"/>
      <c r="SBB29" s="67"/>
      <c r="SBC29" s="67"/>
      <c r="SBD29" s="67"/>
      <c r="SBE29" s="67"/>
      <c r="SBF29" s="67"/>
      <c r="SBG29" s="67"/>
      <c r="SBH29" s="67"/>
      <c r="SBI29" s="67"/>
      <c r="SBJ29" s="67"/>
      <c r="SBK29" s="67"/>
      <c r="SBL29" s="67"/>
      <c r="SBM29" s="67"/>
      <c r="SBN29" s="67"/>
      <c r="SBO29" s="67"/>
      <c r="SBP29" s="67"/>
      <c r="SBQ29" s="67"/>
      <c r="SBR29" s="67"/>
      <c r="SBS29" s="67"/>
      <c r="SBT29" s="67"/>
      <c r="SBU29" s="67"/>
      <c r="SBV29" s="67"/>
      <c r="SBW29" s="67"/>
      <c r="SBX29" s="67"/>
      <c r="SBY29" s="67"/>
      <c r="SBZ29" s="67"/>
      <c r="SCA29" s="67"/>
      <c r="SCB29" s="67"/>
      <c r="SCC29" s="67"/>
      <c r="SCD29" s="67"/>
      <c r="SCE29" s="67"/>
      <c r="SCF29" s="67"/>
      <c r="SCG29" s="67"/>
      <c r="SCH29" s="67"/>
      <c r="SCI29" s="67"/>
      <c r="SCJ29" s="67"/>
      <c r="SCK29" s="67"/>
      <c r="SCL29" s="67"/>
      <c r="SCM29" s="67"/>
      <c r="SCN29" s="67"/>
      <c r="SCO29" s="67"/>
      <c r="SCP29" s="67"/>
      <c r="SCQ29" s="67"/>
      <c r="SCR29" s="67"/>
      <c r="SCS29" s="67"/>
      <c r="SCT29" s="67"/>
      <c r="SCU29" s="67"/>
      <c r="SCV29" s="67"/>
      <c r="SCW29" s="67"/>
      <c r="SCX29" s="67"/>
      <c r="SCY29" s="67"/>
      <c r="SCZ29" s="67"/>
      <c r="SDA29" s="67"/>
      <c r="SDB29" s="67"/>
      <c r="SDC29" s="67"/>
      <c r="SDD29" s="67"/>
      <c r="SDE29" s="67"/>
      <c r="SDF29" s="67"/>
      <c r="SDG29" s="67"/>
      <c r="SDH29" s="67"/>
      <c r="SDI29" s="67"/>
      <c r="SDJ29" s="67"/>
      <c r="SDK29" s="67"/>
      <c r="SDL29" s="67"/>
      <c r="SDM29" s="67"/>
      <c r="SDN29" s="67"/>
      <c r="SDO29" s="67"/>
      <c r="SDP29" s="67"/>
      <c r="SDQ29" s="67"/>
      <c r="SDR29" s="67"/>
      <c r="SDS29" s="67"/>
      <c r="SDT29" s="67"/>
      <c r="SDU29" s="67"/>
      <c r="SDV29" s="67"/>
      <c r="SDW29" s="67"/>
      <c r="SDX29" s="67"/>
      <c r="SDY29" s="67"/>
      <c r="SDZ29" s="67"/>
      <c r="SEA29" s="67"/>
      <c r="SEB29" s="67"/>
      <c r="SEC29" s="67"/>
      <c r="SED29" s="67"/>
      <c r="SEE29" s="67"/>
      <c r="SEF29" s="67"/>
      <c r="SEG29" s="67"/>
      <c r="SEH29" s="67"/>
      <c r="SEI29" s="67"/>
      <c r="SEJ29" s="67"/>
      <c r="SEK29" s="67"/>
      <c r="SEL29" s="67"/>
      <c r="SEM29" s="67"/>
      <c r="SEN29" s="67"/>
      <c r="SEO29" s="67"/>
      <c r="SEP29" s="67"/>
      <c r="SEQ29" s="67"/>
      <c r="SER29" s="67"/>
      <c r="SES29" s="67"/>
      <c r="SET29" s="67"/>
      <c r="SEU29" s="67"/>
      <c r="SEV29" s="67"/>
      <c r="SEW29" s="67"/>
      <c r="SEX29" s="67"/>
      <c r="SEY29" s="67"/>
      <c r="SEZ29" s="67"/>
      <c r="SFA29" s="67"/>
      <c r="SFB29" s="67"/>
      <c r="SFC29" s="67"/>
      <c r="SFD29" s="67"/>
      <c r="SFE29" s="67"/>
      <c r="SFF29" s="67"/>
      <c r="SFG29" s="67"/>
      <c r="SFH29" s="67"/>
      <c r="SFI29" s="67"/>
      <c r="SFJ29" s="67"/>
      <c r="SFK29" s="67"/>
      <c r="SFL29" s="67"/>
      <c r="SFM29" s="67"/>
      <c r="SFN29" s="67"/>
      <c r="SFO29" s="67"/>
      <c r="SFP29" s="67"/>
      <c r="SFQ29" s="67"/>
      <c r="SFR29" s="67"/>
      <c r="SFS29" s="67"/>
      <c r="SFT29" s="67"/>
      <c r="SFU29" s="67"/>
      <c r="SFV29" s="67"/>
      <c r="SFW29" s="67"/>
      <c r="SFX29" s="67"/>
      <c r="SFY29" s="67"/>
      <c r="SFZ29" s="67"/>
      <c r="SGA29" s="67"/>
      <c r="SGB29" s="67"/>
      <c r="SGC29" s="67"/>
      <c r="SGD29" s="67"/>
      <c r="SGE29" s="67"/>
      <c r="SGF29" s="67"/>
      <c r="SGG29" s="67"/>
      <c r="SGH29" s="67"/>
      <c r="SGI29" s="67"/>
      <c r="SGJ29" s="67"/>
      <c r="SGK29" s="67"/>
      <c r="SGL29" s="67"/>
      <c r="SGM29" s="67"/>
      <c r="SGN29" s="67"/>
      <c r="SGO29" s="67"/>
      <c r="SGP29" s="67"/>
      <c r="SGQ29" s="67"/>
      <c r="SGR29" s="67"/>
      <c r="SGS29" s="67"/>
      <c r="SGT29" s="67"/>
      <c r="SGU29" s="67"/>
      <c r="SGV29" s="67"/>
      <c r="SGW29" s="67"/>
      <c r="SGX29" s="67"/>
      <c r="SGY29" s="67"/>
      <c r="SGZ29" s="67"/>
      <c r="SHA29" s="67"/>
      <c r="SHB29" s="67"/>
      <c r="SHC29" s="67"/>
      <c r="SHD29" s="67"/>
      <c r="SHE29" s="67"/>
      <c r="SHF29" s="67"/>
      <c r="SHG29" s="67"/>
      <c r="SHH29" s="67"/>
      <c r="SHI29" s="67"/>
      <c r="SHJ29" s="67"/>
      <c r="SHK29" s="67"/>
      <c r="SHL29" s="67"/>
      <c r="SHM29" s="67"/>
      <c r="SHN29" s="67"/>
      <c r="SHO29" s="67"/>
      <c r="SHP29" s="67"/>
      <c r="SHQ29" s="67"/>
      <c r="SHR29" s="67"/>
      <c r="SHS29" s="67"/>
      <c r="SHT29" s="67"/>
      <c r="SHU29" s="67"/>
      <c r="SHV29" s="67"/>
      <c r="SHW29" s="67"/>
      <c r="SHX29" s="67"/>
      <c r="SHY29" s="67"/>
      <c r="SHZ29" s="67"/>
      <c r="SIA29" s="67"/>
      <c r="SIB29" s="67"/>
      <c r="SIC29" s="67"/>
      <c r="SID29" s="67"/>
      <c r="SIE29" s="67"/>
      <c r="SIF29" s="67"/>
      <c r="SIG29" s="67"/>
      <c r="SIH29" s="67"/>
      <c r="SII29" s="67"/>
      <c r="SIJ29" s="67"/>
      <c r="SIK29" s="67"/>
      <c r="SIL29" s="67"/>
      <c r="SIM29" s="67"/>
      <c r="SIN29" s="67"/>
      <c r="SIO29" s="67"/>
      <c r="SIP29" s="67"/>
      <c r="SIQ29" s="67"/>
      <c r="SIR29" s="67"/>
      <c r="SIS29" s="67"/>
      <c r="SIT29" s="67"/>
      <c r="SIU29" s="67"/>
      <c r="SIV29" s="67"/>
      <c r="SIW29" s="67"/>
      <c r="SIX29" s="67"/>
      <c r="SIY29" s="67"/>
      <c r="SIZ29" s="67"/>
      <c r="SJA29" s="67"/>
      <c r="SJB29" s="67"/>
      <c r="SJC29" s="67"/>
      <c r="SJD29" s="67"/>
      <c r="SJE29" s="67"/>
      <c r="SJF29" s="67"/>
      <c r="SJG29" s="67"/>
      <c r="SJH29" s="67"/>
      <c r="SJI29" s="67"/>
      <c r="SJJ29" s="67"/>
      <c r="SJK29" s="67"/>
      <c r="SJL29" s="67"/>
      <c r="SJM29" s="67"/>
      <c r="SJN29" s="67"/>
      <c r="SJO29" s="67"/>
      <c r="SJP29" s="67"/>
      <c r="SJQ29" s="67"/>
      <c r="SJR29" s="67"/>
      <c r="SJS29" s="67"/>
      <c r="SJT29" s="67"/>
      <c r="SJU29" s="67"/>
      <c r="SJV29" s="67"/>
      <c r="SJW29" s="67"/>
      <c r="SJX29" s="67"/>
      <c r="SJY29" s="67"/>
      <c r="SJZ29" s="67"/>
      <c r="SKA29" s="67"/>
      <c r="SKB29" s="67"/>
      <c r="SKC29" s="67"/>
      <c r="SKD29" s="67"/>
      <c r="SKE29" s="67"/>
      <c r="SKF29" s="67"/>
      <c r="SKG29" s="67"/>
      <c r="SKH29" s="67"/>
      <c r="SKI29" s="67"/>
      <c r="SKJ29" s="67"/>
      <c r="SKK29" s="67"/>
      <c r="SKL29" s="67"/>
      <c r="SKM29" s="67"/>
      <c r="SKN29" s="67"/>
      <c r="SKO29" s="67"/>
      <c r="SKP29" s="67"/>
      <c r="SKQ29" s="67"/>
      <c r="SKR29" s="67"/>
      <c r="SKS29" s="67"/>
      <c r="SKT29" s="67"/>
      <c r="SKU29" s="67"/>
      <c r="SKV29" s="67"/>
      <c r="SKW29" s="67"/>
      <c r="SKX29" s="67"/>
      <c r="SKY29" s="67"/>
      <c r="SKZ29" s="67"/>
      <c r="SLA29" s="67"/>
      <c r="SLB29" s="67"/>
      <c r="SLC29" s="67"/>
      <c r="SLD29" s="67"/>
      <c r="SLE29" s="67"/>
      <c r="SLF29" s="67"/>
      <c r="SLG29" s="67"/>
      <c r="SLH29" s="67"/>
      <c r="SLI29" s="67"/>
      <c r="SLJ29" s="67"/>
      <c r="SLK29" s="67"/>
      <c r="SLL29" s="67"/>
      <c r="SLM29" s="67"/>
      <c r="SLN29" s="67"/>
      <c r="SLO29" s="67"/>
      <c r="SLP29" s="67"/>
      <c r="SLQ29" s="67"/>
      <c r="SLR29" s="67"/>
      <c r="SLS29" s="67"/>
      <c r="SLT29" s="67"/>
      <c r="SLU29" s="67"/>
      <c r="SLV29" s="67"/>
      <c r="SLW29" s="67"/>
      <c r="SLX29" s="67"/>
      <c r="SLY29" s="67"/>
      <c r="SLZ29" s="67"/>
      <c r="SMA29" s="67"/>
      <c r="SMB29" s="67"/>
      <c r="SMC29" s="67"/>
      <c r="SMD29" s="67"/>
      <c r="SME29" s="67"/>
      <c r="SMF29" s="67"/>
      <c r="SMG29" s="67"/>
      <c r="SMH29" s="67"/>
      <c r="SMI29" s="67"/>
      <c r="SMJ29" s="67"/>
      <c r="SMK29" s="67"/>
      <c r="SML29" s="67"/>
      <c r="SMM29" s="67"/>
      <c r="SMN29" s="67"/>
      <c r="SMO29" s="67"/>
      <c r="SMP29" s="67"/>
      <c r="SMQ29" s="67"/>
      <c r="SMR29" s="67"/>
      <c r="SMS29" s="67"/>
      <c r="SMT29" s="67"/>
      <c r="SMU29" s="67"/>
      <c r="SMV29" s="67"/>
      <c r="SMW29" s="67"/>
      <c r="SMX29" s="67"/>
      <c r="SMY29" s="67"/>
      <c r="SMZ29" s="67"/>
      <c r="SNA29" s="67"/>
      <c r="SNB29" s="67"/>
      <c r="SNC29" s="67"/>
      <c r="SND29" s="67"/>
      <c r="SNE29" s="67"/>
      <c r="SNF29" s="67"/>
      <c r="SNG29" s="67"/>
      <c r="SNH29" s="67"/>
      <c r="SNI29" s="67"/>
      <c r="SNJ29" s="67"/>
      <c r="SNK29" s="67"/>
      <c r="SNL29" s="67"/>
      <c r="SNM29" s="67"/>
      <c r="SNN29" s="67"/>
      <c r="SNO29" s="67"/>
      <c r="SNP29" s="67"/>
      <c r="SNQ29" s="67"/>
      <c r="SNR29" s="67"/>
      <c r="SNS29" s="67"/>
      <c r="SNT29" s="67"/>
      <c r="SNU29" s="67"/>
      <c r="SNV29" s="67"/>
      <c r="SNW29" s="67"/>
      <c r="SNX29" s="67"/>
      <c r="SNY29" s="67"/>
      <c r="SNZ29" s="67"/>
      <c r="SOA29" s="67"/>
      <c r="SOB29" s="67"/>
      <c r="SOC29" s="67"/>
      <c r="SOD29" s="67"/>
      <c r="SOE29" s="67"/>
      <c r="SOF29" s="67"/>
      <c r="SOG29" s="67"/>
      <c r="SOH29" s="67"/>
      <c r="SOI29" s="67"/>
      <c r="SOJ29" s="67"/>
      <c r="SOK29" s="67"/>
      <c r="SOL29" s="67"/>
      <c r="SOM29" s="67"/>
      <c r="SON29" s="67"/>
      <c r="SOO29" s="67"/>
      <c r="SOP29" s="67"/>
      <c r="SOQ29" s="67"/>
      <c r="SOR29" s="67"/>
      <c r="SOS29" s="67"/>
      <c r="SOT29" s="67"/>
      <c r="SOU29" s="67"/>
      <c r="SOV29" s="67"/>
      <c r="SOW29" s="67"/>
      <c r="SOX29" s="67"/>
      <c r="SOY29" s="67"/>
      <c r="SOZ29" s="67"/>
      <c r="SPA29" s="67"/>
      <c r="SPB29" s="67"/>
      <c r="SPC29" s="67"/>
      <c r="SPD29" s="67"/>
      <c r="SPE29" s="67"/>
      <c r="SPF29" s="67"/>
      <c r="SPG29" s="67"/>
      <c r="SPH29" s="67"/>
      <c r="SPI29" s="67"/>
      <c r="SPJ29" s="67"/>
      <c r="SPK29" s="67"/>
      <c r="SPL29" s="67"/>
      <c r="SPM29" s="67"/>
      <c r="SPN29" s="67"/>
      <c r="SPO29" s="67"/>
      <c r="SPP29" s="67"/>
      <c r="SPQ29" s="67"/>
      <c r="SPR29" s="67"/>
      <c r="SPS29" s="67"/>
      <c r="SPT29" s="67"/>
      <c r="SPU29" s="67"/>
      <c r="SPV29" s="67"/>
      <c r="SPW29" s="67"/>
      <c r="SPX29" s="67"/>
      <c r="SPY29" s="67"/>
      <c r="SPZ29" s="67"/>
      <c r="SQA29" s="67"/>
      <c r="SQB29" s="67"/>
      <c r="SQC29" s="67"/>
      <c r="SQD29" s="67"/>
      <c r="SQE29" s="67"/>
      <c r="SQF29" s="67"/>
      <c r="SQG29" s="67"/>
      <c r="SQH29" s="67"/>
      <c r="SQI29" s="67"/>
      <c r="SQJ29" s="67"/>
      <c r="SQK29" s="67"/>
      <c r="SQL29" s="67"/>
      <c r="SQM29" s="67"/>
      <c r="SQN29" s="67"/>
      <c r="SQO29" s="67"/>
      <c r="SQP29" s="67"/>
      <c r="SQQ29" s="67"/>
      <c r="SQR29" s="67"/>
      <c r="SQS29" s="67"/>
      <c r="SQT29" s="67"/>
      <c r="SQU29" s="67"/>
      <c r="SQV29" s="67"/>
      <c r="SQW29" s="67"/>
      <c r="SQX29" s="67"/>
      <c r="SQY29" s="67"/>
      <c r="SQZ29" s="67"/>
      <c r="SRA29" s="67"/>
      <c r="SRB29" s="67"/>
      <c r="SRC29" s="67"/>
      <c r="SRD29" s="67"/>
      <c r="SRE29" s="67"/>
      <c r="SRF29" s="67"/>
      <c r="SRG29" s="67"/>
      <c r="SRH29" s="67"/>
      <c r="SRI29" s="67"/>
      <c r="SRJ29" s="67"/>
      <c r="SRK29" s="67"/>
      <c r="SRL29" s="67"/>
      <c r="SRM29" s="67"/>
      <c r="SRN29" s="67"/>
      <c r="SRO29" s="67"/>
      <c r="SRP29" s="67"/>
      <c r="SRQ29" s="67"/>
      <c r="SRR29" s="67"/>
      <c r="SRS29" s="67"/>
      <c r="SRT29" s="67"/>
      <c r="SRU29" s="67"/>
      <c r="SRV29" s="67"/>
      <c r="SRW29" s="67"/>
      <c r="SRX29" s="67"/>
      <c r="SRY29" s="67"/>
      <c r="SRZ29" s="67"/>
      <c r="SSA29" s="67"/>
      <c r="SSB29" s="67"/>
      <c r="SSC29" s="67"/>
      <c r="SSD29" s="67"/>
      <c r="SSE29" s="67"/>
      <c r="SSF29" s="67"/>
      <c r="SSG29" s="67"/>
      <c r="SSH29" s="67"/>
      <c r="SSI29" s="67"/>
      <c r="SSJ29" s="67"/>
      <c r="SSK29" s="67"/>
      <c r="SSL29" s="67"/>
      <c r="SSM29" s="67"/>
      <c r="SSN29" s="67"/>
      <c r="SSO29" s="67"/>
      <c r="SSP29" s="67"/>
      <c r="SSQ29" s="67"/>
      <c r="SSR29" s="67"/>
      <c r="SSS29" s="67"/>
      <c r="SST29" s="67"/>
      <c r="SSU29" s="67"/>
      <c r="SSV29" s="67"/>
      <c r="SSW29" s="67"/>
      <c r="SSX29" s="67"/>
      <c r="SSY29" s="67"/>
      <c r="SSZ29" s="67"/>
      <c r="STA29" s="67"/>
      <c r="STB29" s="67"/>
      <c r="STC29" s="67"/>
      <c r="STD29" s="67"/>
      <c r="STE29" s="67"/>
      <c r="STF29" s="67"/>
      <c r="STG29" s="67"/>
      <c r="STH29" s="67"/>
      <c r="STI29" s="67"/>
      <c r="STJ29" s="67"/>
      <c r="STK29" s="67"/>
      <c r="STL29" s="67"/>
      <c r="STM29" s="67"/>
      <c r="STN29" s="67"/>
      <c r="STO29" s="67"/>
      <c r="STP29" s="67"/>
      <c r="STQ29" s="67"/>
      <c r="STR29" s="67"/>
      <c r="STS29" s="67"/>
      <c r="STT29" s="67"/>
      <c r="STU29" s="67"/>
      <c r="STV29" s="67"/>
      <c r="STW29" s="67"/>
      <c r="STX29" s="67"/>
      <c r="STY29" s="67"/>
      <c r="STZ29" s="67"/>
      <c r="SUA29" s="67"/>
      <c r="SUB29" s="67"/>
      <c r="SUC29" s="67"/>
      <c r="SUD29" s="67"/>
      <c r="SUE29" s="67"/>
      <c r="SUF29" s="67"/>
      <c r="SUG29" s="67"/>
      <c r="SUH29" s="67"/>
      <c r="SUI29" s="67"/>
      <c r="SUJ29" s="67"/>
      <c r="SUK29" s="67"/>
      <c r="SUL29" s="67"/>
      <c r="SUM29" s="67"/>
      <c r="SUN29" s="67"/>
      <c r="SUO29" s="67"/>
      <c r="SUP29" s="67"/>
      <c r="SUQ29" s="67"/>
      <c r="SUR29" s="67"/>
      <c r="SUS29" s="67"/>
      <c r="SUT29" s="67"/>
      <c r="SUU29" s="67"/>
      <c r="SUV29" s="67"/>
      <c r="SUW29" s="67"/>
      <c r="SUX29" s="67"/>
      <c r="SUY29" s="67"/>
      <c r="SUZ29" s="67"/>
      <c r="SVA29" s="67"/>
      <c r="SVB29" s="67"/>
      <c r="SVC29" s="67"/>
      <c r="SVD29" s="67"/>
      <c r="SVE29" s="67"/>
      <c r="SVF29" s="67"/>
      <c r="SVG29" s="67"/>
      <c r="SVH29" s="67"/>
      <c r="SVI29" s="67"/>
      <c r="SVJ29" s="67"/>
      <c r="SVK29" s="67"/>
      <c r="SVL29" s="67"/>
      <c r="SVM29" s="67"/>
      <c r="SVN29" s="67"/>
      <c r="SVO29" s="67"/>
      <c r="SVP29" s="67"/>
      <c r="SVQ29" s="67"/>
      <c r="SVR29" s="67"/>
      <c r="SVS29" s="67"/>
      <c r="SVT29" s="67"/>
      <c r="SVU29" s="67"/>
      <c r="SVV29" s="67"/>
      <c r="SVW29" s="67"/>
      <c r="SVX29" s="67"/>
      <c r="SVY29" s="67"/>
      <c r="SVZ29" s="67"/>
      <c r="SWA29" s="67"/>
      <c r="SWB29" s="67"/>
      <c r="SWC29" s="67"/>
      <c r="SWD29" s="67"/>
      <c r="SWE29" s="67"/>
      <c r="SWF29" s="67"/>
      <c r="SWG29" s="67"/>
      <c r="SWH29" s="67"/>
      <c r="SWI29" s="67"/>
      <c r="SWJ29" s="67"/>
      <c r="SWK29" s="67"/>
      <c r="SWL29" s="67"/>
      <c r="SWM29" s="67"/>
      <c r="SWN29" s="67"/>
      <c r="SWO29" s="67"/>
      <c r="SWP29" s="67"/>
      <c r="SWQ29" s="67"/>
      <c r="SWR29" s="67"/>
      <c r="SWS29" s="67"/>
      <c r="SWT29" s="67"/>
      <c r="SWU29" s="67"/>
      <c r="SWV29" s="67"/>
      <c r="SWW29" s="67"/>
      <c r="SWX29" s="67"/>
      <c r="SWY29" s="67"/>
      <c r="SWZ29" s="67"/>
      <c r="SXA29" s="67"/>
      <c r="SXB29" s="67"/>
      <c r="SXC29" s="67"/>
      <c r="SXD29" s="67"/>
      <c r="SXE29" s="67"/>
      <c r="SXF29" s="67"/>
      <c r="SXG29" s="67"/>
      <c r="SXH29" s="67"/>
      <c r="SXI29" s="67"/>
      <c r="SXJ29" s="67"/>
      <c r="SXK29" s="67"/>
      <c r="SXL29" s="67"/>
      <c r="SXM29" s="67"/>
      <c r="SXN29" s="67"/>
      <c r="SXO29" s="67"/>
      <c r="SXP29" s="67"/>
      <c r="SXQ29" s="67"/>
      <c r="SXR29" s="67"/>
      <c r="SXS29" s="67"/>
      <c r="SXT29" s="67"/>
      <c r="SXU29" s="67"/>
      <c r="SXV29" s="67"/>
      <c r="SXW29" s="67"/>
      <c r="SXX29" s="67"/>
      <c r="SXY29" s="67"/>
      <c r="SXZ29" s="67"/>
      <c r="SYA29" s="67"/>
      <c r="SYB29" s="67"/>
      <c r="SYC29" s="67"/>
      <c r="SYD29" s="67"/>
      <c r="SYE29" s="67"/>
      <c r="SYF29" s="67"/>
      <c r="SYG29" s="67"/>
      <c r="SYH29" s="67"/>
      <c r="SYI29" s="67"/>
      <c r="SYJ29" s="67"/>
      <c r="SYK29" s="67"/>
      <c r="SYL29" s="67"/>
      <c r="SYM29" s="67"/>
      <c r="SYN29" s="67"/>
      <c r="SYO29" s="67"/>
      <c r="SYP29" s="67"/>
      <c r="SYQ29" s="67"/>
      <c r="SYR29" s="67"/>
      <c r="SYS29" s="67"/>
      <c r="SYT29" s="67"/>
      <c r="SYU29" s="67"/>
      <c r="SYV29" s="67"/>
      <c r="SYW29" s="67"/>
      <c r="SYX29" s="67"/>
      <c r="SYY29" s="67"/>
      <c r="SYZ29" s="67"/>
      <c r="SZA29" s="67"/>
      <c r="SZB29" s="67"/>
      <c r="SZC29" s="67"/>
      <c r="SZD29" s="67"/>
      <c r="SZE29" s="67"/>
      <c r="SZF29" s="67"/>
      <c r="SZG29" s="67"/>
      <c r="SZH29" s="67"/>
      <c r="SZI29" s="67"/>
      <c r="SZJ29" s="67"/>
      <c r="SZK29" s="67"/>
      <c r="SZL29" s="67"/>
      <c r="SZM29" s="67"/>
      <c r="SZN29" s="67"/>
      <c r="SZO29" s="67"/>
      <c r="SZP29" s="67"/>
      <c r="SZQ29" s="67"/>
      <c r="SZR29" s="67"/>
      <c r="SZS29" s="67"/>
      <c r="SZT29" s="67"/>
      <c r="SZU29" s="67"/>
      <c r="SZV29" s="67"/>
      <c r="SZW29" s="67"/>
      <c r="SZX29" s="67"/>
      <c r="SZY29" s="67"/>
      <c r="SZZ29" s="67"/>
      <c r="TAA29" s="67"/>
      <c r="TAB29" s="67"/>
      <c r="TAC29" s="67"/>
      <c r="TAD29" s="67"/>
      <c r="TAE29" s="67"/>
      <c r="TAF29" s="67"/>
      <c r="TAG29" s="67"/>
      <c r="TAH29" s="67"/>
      <c r="TAI29" s="67"/>
      <c r="TAJ29" s="67"/>
      <c r="TAK29" s="67"/>
      <c r="TAL29" s="67"/>
      <c r="TAM29" s="67"/>
      <c r="TAN29" s="67"/>
      <c r="TAO29" s="67"/>
      <c r="TAP29" s="67"/>
      <c r="TAQ29" s="67"/>
      <c r="TAR29" s="67"/>
      <c r="TAS29" s="67"/>
      <c r="TAT29" s="67"/>
      <c r="TAU29" s="67"/>
      <c r="TAV29" s="67"/>
      <c r="TAW29" s="67"/>
      <c r="TAX29" s="67"/>
      <c r="TAY29" s="67"/>
      <c r="TAZ29" s="67"/>
      <c r="TBA29" s="67"/>
      <c r="TBB29" s="67"/>
      <c r="TBC29" s="67"/>
      <c r="TBD29" s="67"/>
      <c r="TBE29" s="67"/>
      <c r="TBF29" s="67"/>
      <c r="TBG29" s="67"/>
      <c r="TBH29" s="67"/>
      <c r="TBI29" s="67"/>
      <c r="TBJ29" s="67"/>
      <c r="TBK29" s="67"/>
      <c r="TBL29" s="67"/>
      <c r="TBM29" s="67"/>
      <c r="TBN29" s="67"/>
      <c r="TBO29" s="67"/>
      <c r="TBP29" s="67"/>
      <c r="TBQ29" s="67"/>
      <c r="TBR29" s="67"/>
      <c r="TBS29" s="67"/>
      <c r="TBT29" s="67"/>
      <c r="TBU29" s="67"/>
      <c r="TBV29" s="67"/>
      <c r="TBW29" s="67"/>
      <c r="TBX29" s="67"/>
      <c r="TBY29" s="67"/>
      <c r="TBZ29" s="67"/>
      <c r="TCA29" s="67"/>
      <c r="TCB29" s="67"/>
      <c r="TCC29" s="67"/>
      <c r="TCD29" s="67"/>
      <c r="TCE29" s="67"/>
      <c r="TCF29" s="67"/>
      <c r="TCG29" s="67"/>
      <c r="TCH29" s="67"/>
      <c r="TCI29" s="67"/>
      <c r="TCJ29" s="67"/>
      <c r="TCK29" s="67"/>
      <c r="TCL29" s="67"/>
      <c r="TCM29" s="67"/>
      <c r="TCN29" s="67"/>
      <c r="TCO29" s="67"/>
      <c r="TCP29" s="67"/>
      <c r="TCQ29" s="67"/>
      <c r="TCR29" s="67"/>
      <c r="TCS29" s="67"/>
      <c r="TCT29" s="67"/>
      <c r="TCU29" s="67"/>
      <c r="TCV29" s="67"/>
      <c r="TCW29" s="67"/>
      <c r="TCX29" s="67"/>
      <c r="TCY29" s="67"/>
      <c r="TCZ29" s="67"/>
      <c r="TDA29" s="67"/>
      <c r="TDB29" s="67"/>
      <c r="TDC29" s="67"/>
      <c r="TDD29" s="67"/>
      <c r="TDE29" s="67"/>
      <c r="TDF29" s="67"/>
      <c r="TDG29" s="67"/>
      <c r="TDH29" s="67"/>
      <c r="TDI29" s="67"/>
      <c r="TDJ29" s="67"/>
      <c r="TDK29" s="67"/>
      <c r="TDL29" s="67"/>
      <c r="TDM29" s="67"/>
      <c r="TDN29" s="67"/>
      <c r="TDO29" s="67"/>
      <c r="TDP29" s="67"/>
      <c r="TDQ29" s="67"/>
      <c r="TDR29" s="67"/>
      <c r="TDS29" s="67"/>
      <c r="TDT29" s="67"/>
      <c r="TDU29" s="67"/>
      <c r="TDV29" s="67"/>
      <c r="TDW29" s="67"/>
      <c r="TDX29" s="67"/>
      <c r="TDY29" s="67"/>
      <c r="TDZ29" s="67"/>
      <c r="TEA29" s="67"/>
      <c r="TEB29" s="67"/>
      <c r="TEC29" s="67"/>
      <c r="TED29" s="67"/>
      <c r="TEE29" s="67"/>
      <c r="TEF29" s="67"/>
      <c r="TEG29" s="67"/>
      <c r="TEH29" s="67"/>
      <c r="TEI29" s="67"/>
      <c r="TEJ29" s="67"/>
      <c r="TEK29" s="67"/>
      <c r="TEL29" s="67"/>
      <c r="TEM29" s="67"/>
      <c r="TEN29" s="67"/>
      <c r="TEO29" s="67"/>
      <c r="TEP29" s="67"/>
      <c r="TEQ29" s="67"/>
      <c r="TER29" s="67"/>
      <c r="TES29" s="67"/>
      <c r="TET29" s="67"/>
      <c r="TEU29" s="67"/>
      <c r="TEV29" s="67"/>
      <c r="TEW29" s="67"/>
      <c r="TEX29" s="67"/>
      <c r="TEY29" s="67"/>
      <c r="TEZ29" s="67"/>
      <c r="TFA29" s="67"/>
      <c r="TFB29" s="67"/>
      <c r="TFC29" s="67"/>
      <c r="TFD29" s="67"/>
      <c r="TFE29" s="67"/>
      <c r="TFF29" s="67"/>
      <c r="TFG29" s="67"/>
      <c r="TFH29" s="67"/>
      <c r="TFI29" s="67"/>
      <c r="TFJ29" s="67"/>
      <c r="TFK29" s="67"/>
      <c r="TFL29" s="67"/>
      <c r="TFM29" s="67"/>
      <c r="TFN29" s="67"/>
      <c r="TFO29" s="67"/>
      <c r="TFP29" s="67"/>
      <c r="TFQ29" s="67"/>
      <c r="TFR29" s="67"/>
      <c r="TFS29" s="67"/>
      <c r="TFT29" s="67"/>
      <c r="TFU29" s="67"/>
      <c r="TFV29" s="67"/>
      <c r="TFW29" s="67"/>
      <c r="TFX29" s="67"/>
      <c r="TFY29" s="67"/>
      <c r="TFZ29" s="67"/>
      <c r="TGA29" s="67"/>
      <c r="TGB29" s="67"/>
      <c r="TGC29" s="67"/>
      <c r="TGD29" s="67"/>
      <c r="TGE29" s="67"/>
      <c r="TGF29" s="67"/>
      <c r="TGG29" s="67"/>
      <c r="TGH29" s="67"/>
      <c r="TGI29" s="67"/>
      <c r="TGJ29" s="67"/>
      <c r="TGK29" s="67"/>
      <c r="TGL29" s="67"/>
      <c r="TGM29" s="67"/>
      <c r="TGN29" s="67"/>
      <c r="TGO29" s="67"/>
      <c r="TGP29" s="67"/>
      <c r="TGQ29" s="67"/>
      <c r="TGR29" s="67"/>
      <c r="TGS29" s="67"/>
      <c r="TGT29" s="67"/>
      <c r="TGU29" s="67"/>
      <c r="TGV29" s="67"/>
      <c r="TGW29" s="67"/>
      <c r="TGX29" s="67"/>
      <c r="TGY29" s="67"/>
      <c r="TGZ29" s="67"/>
      <c r="THA29" s="67"/>
      <c r="THB29" s="67"/>
      <c r="THC29" s="67"/>
      <c r="THD29" s="67"/>
      <c r="THE29" s="67"/>
      <c r="THF29" s="67"/>
      <c r="THG29" s="67"/>
      <c r="THH29" s="67"/>
      <c r="THI29" s="67"/>
      <c r="THJ29" s="67"/>
      <c r="THK29" s="67"/>
      <c r="THL29" s="67"/>
      <c r="THM29" s="67"/>
      <c r="THN29" s="67"/>
      <c r="THO29" s="67"/>
      <c r="THP29" s="67"/>
      <c r="THQ29" s="67"/>
      <c r="THR29" s="67"/>
      <c r="THS29" s="67"/>
      <c r="THT29" s="67"/>
      <c r="THU29" s="67"/>
      <c r="THV29" s="67"/>
      <c r="THW29" s="67"/>
      <c r="THX29" s="67"/>
      <c r="THY29" s="67"/>
      <c r="THZ29" s="67"/>
      <c r="TIA29" s="67"/>
      <c r="TIB29" s="67"/>
      <c r="TIC29" s="67"/>
      <c r="TID29" s="67"/>
      <c r="TIE29" s="67"/>
      <c r="TIF29" s="67"/>
      <c r="TIG29" s="67"/>
      <c r="TIH29" s="67"/>
      <c r="TII29" s="67"/>
      <c r="TIJ29" s="67"/>
      <c r="TIK29" s="67"/>
      <c r="TIL29" s="67"/>
      <c r="TIM29" s="67"/>
      <c r="TIN29" s="67"/>
      <c r="TIO29" s="67"/>
      <c r="TIP29" s="67"/>
      <c r="TIQ29" s="67"/>
      <c r="TIR29" s="67"/>
      <c r="TIS29" s="67"/>
      <c r="TIT29" s="67"/>
      <c r="TIU29" s="67"/>
      <c r="TIV29" s="67"/>
      <c r="TIW29" s="67"/>
      <c r="TIX29" s="67"/>
      <c r="TIY29" s="67"/>
      <c r="TIZ29" s="67"/>
      <c r="TJA29" s="67"/>
      <c r="TJB29" s="67"/>
      <c r="TJC29" s="67"/>
      <c r="TJD29" s="67"/>
      <c r="TJE29" s="67"/>
      <c r="TJF29" s="67"/>
      <c r="TJG29" s="67"/>
      <c r="TJH29" s="67"/>
      <c r="TJI29" s="67"/>
      <c r="TJJ29" s="67"/>
      <c r="TJK29" s="67"/>
      <c r="TJL29" s="67"/>
      <c r="TJM29" s="67"/>
      <c r="TJN29" s="67"/>
      <c r="TJO29" s="67"/>
      <c r="TJP29" s="67"/>
      <c r="TJQ29" s="67"/>
      <c r="TJR29" s="67"/>
      <c r="TJS29" s="67"/>
      <c r="TJT29" s="67"/>
      <c r="TJU29" s="67"/>
      <c r="TJV29" s="67"/>
      <c r="TJW29" s="67"/>
      <c r="TJX29" s="67"/>
      <c r="TJY29" s="67"/>
      <c r="TJZ29" s="67"/>
      <c r="TKA29" s="67"/>
      <c r="TKB29" s="67"/>
      <c r="TKC29" s="67"/>
      <c r="TKD29" s="67"/>
      <c r="TKE29" s="67"/>
      <c r="TKF29" s="67"/>
      <c r="TKG29" s="67"/>
      <c r="TKH29" s="67"/>
      <c r="TKI29" s="67"/>
      <c r="TKJ29" s="67"/>
      <c r="TKK29" s="67"/>
      <c r="TKL29" s="67"/>
      <c r="TKM29" s="67"/>
      <c r="TKN29" s="67"/>
      <c r="TKO29" s="67"/>
      <c r="TKP29" s="67"/>
      <c r="TKQ29" s="67"/>
      <c r="TKR29" s="67"/>
      <c r="TKS29" s="67"/>
      <c r="TKT29" s="67"/>
      <c r="TKU29" s="67"/>
      <c r="TKV29" s="67"/>
      <c r="TKW29" s="67"/>
      <c r="TKX29" s="67"/>
      <c r="TKY29" s="67"/>
      <c r="TKZ29" s="67"/>
      <c r="TLA29" s="67"/>
      <c r="TLB29" s="67"/>
      <c r="TLC29" s="67"/>
      <c r="TLD29" s="67"/>
      <c r="TLE29" s="67"/>
      <c r="TLF29" s="67"/>
      <c r="TLG29" s="67"/>
      <c r="TLH29" s="67"/>
      <c r="TLI29" s="67"/>
      <c r="TLJ29" s="67"/>
      <c r="TLK29" s="67"/>
      <c r="TLL29" s="67"/>
      <c r="TLM29" s="67"/>
      <c r="TLN29" s="67"/>
      <c r="TLO29" s="67"/>
      <c r="TLP29" s="67"/>
      <c r="TLQ29" s="67"/>
      <c r="TLR29" s="67"/>
      <c r="TLS29" s="67"/>
      <c r="TLT29" s="67"/>
      <c r="TLU29" s="67"/>
      <c r="TLV29" s="67"/>
      <c r="TLW29" s="67"/>
      <c r="TLX29" s="67"/>
      <c r="TLY29" s="67"/>
      <c r="TLZ29" s="67"/>
      <c r="TMA29" s="67"/>
      <c r="TMB29" s="67"/>
      <c r="TMC29" s="67"/>
      <c r="TMD29" s="67"/>
      <c r="TME29" s="67"/>
      <c r="TMF29" s="67"/>
      <c r="TMG29" s="67"/>
      <c r="TMH29" s="67"/>
      <c r="TMI29" s="67"/>
      <c r="TMJ29" s="67"/>
      <c r="TMK29" s="67"/>
      <c r="TML29" s="67"/>
      <c r="TMM29" s="67"/>
      <c r="TMN29" s="67"/>
      <c r="TMO29" s="67"/>
      <c r="TMP29" s="67"/>
      <c r="TMQ29" s="67"/>
      <c r="TMR29" s="67"/>
      <c r="TMS29" s="67"/>
      <c r="TMT29" s="67"/>
      <c r="TMU29" s="67"/>
      <c r="TMV29" s="67"/>
      <c r="TMW29" s="67"/>
      <c r="TMX29" s="67"/>
      <c r="TMY29" s="67"/>
      <c r="TMZ29" s="67"/>
      <c r="TNA29" s="67"/>
      <c r="TNB29" s="67"/>
      <c r="TNC29" s="67"/>
      <c r="TND29" s="67"/>
      <c r="TNE29" s="67"/>
      <c r="TNF29" s="67"/>
      <c r="TNG29" s="67"/>
      <c r="TNH29" s="67"/>
      <c r="TNI29" s="67"/>
      <c r="TNJ29" s="67"/>
      <c r="TNK29" s="67"/>
      <c r="TNL29" s="67"/>
      <c r="TNM29" s="67"/>
      <c r="TNN29" s="67"/>
      <c r="TNO29" s="67"/>
      <c r="TNP29" s="67"/>
      <c r="TNQ29" s="67"/>
      <c r="TNR29" s="67"/>
      <c r="TNS29" s="67"/>
      <c r="TNT29" s="67"/>
      <c r="TNU29" s="67"/>
      <c r="TNV29" s="67"/>
      <c r="TNW29" s="67"/>
      <c r="TNX29" s="67"/>
      <c r="TNY29" s="67"/>
      <c r="TNZ29" s="67"/>
      <c r="TOA29" s="67"/>
      <c r="TOB29" s="67"/>
      <c r="TOC29" s="67"/>
      <c r="TOD29" s="67"/>
      <c r="TOE29" s="67"/>
      <c r="TOF29" s="67"/>
      <c r="TOG29" s="67"/>
      <c r="TOH29" s="67"/>
      <c r="TOI29" s="67"/>
      <c r="TOJ29" s="67"/>
      <c r="TOK29" s="67"/>
      <c r="TOL29" s="67"/>
      <c r="TOM29" s="67"/>
      <c r="TON29" s="67"/>
      <c r="TOO29" s="67"/>
      <c r="TOP29" s="67"/>
      <c r="TOQ29" s="67"/>
      <c r="TOR29" s="67"/>
      <c r="TOS29" s="67"/>
      <c r="TOT29" s="67"/>
      <c r="TOU29" s="67"/>
      <c r="TOV29" s="67"/>
      <c r="TOW29" s="67"/>
      <c r="TOX29" s="67"/>
      <c r="TOY29" s="67"/>
      <c r="TOZ29" s="67"/>
      <c r="TPA29" s="67"/>
      <c r="TPB29" s="67"/>
      <c r="TPC29" s="67"/>
      <c r="TPD29" s="67"/>
      <c r="TPE29" s="67"/>
      <c r="TPF29" s="67"/>
      <c r="TPG29" s="67"/>
      <c r="TPH29" s="67"/>
      <c r="TPI29" s="67"/>
      <c r="TPJ29" s="67"/>
      <c r="TPK29" s="67"/>
      <c r="TPL29" s="67"/>
      <c r="TPM29" s="67"/>
      <c r="TPN29" s="67"/>
      <c r="TPO29" s="67"/>
      <c r="TPP29" s="67"/>
      <c r="TPQ29" s="67"/>
      <c r="TPR29" s="67"/>
      <c r="TPS29" s="67"/>
      <c r="TPT29" s="67"/>
      <c r="TPU29" s="67"/>
      <c r="TPV29" s="67"/>
      <c r="TPW29" s="67"/>
      <c r="TPX29" s="67"/>
      <c r="TPY29" s="67"/>
      <c r="TPZ29" s="67"/>
      <c r="TQA29" s="67"/>
      <c r="TQB29" s="67"/>
      <c r="TQC29" s="67"/>
      <c r="TQD29" s="67"/>
      <c r="TQE29" s="67"/>
      <c r="TQF29" s="67"/>
      <c r="TQG29" s="67"/>
      <c r="TQH29" s="67"/>
      <c r="TQI29" s="67"/>
      <c r="TQJ29" s="67"/>
      <c r="TQK29" s="67"/>
      <c r="TQL29" s="67"/>
      <c r="TQM29" s="67"/>
      <c r="TQN29" s="67"/>
      <c r="TQO29" s="67"/>
      <c r="TQP29" s="67"/>
      <c r="TQQ29" s="67"/>
      <c r="TQR29" s="67"/>
      <c r="TQS29" s="67"/>
      <c r="TQT29" s="67"/>
      <c r="TQU29" s="67"/>
      <c r="TQV29" s="67"/>
      <c r="TQW29" s="67"/>
      <c r="TQX29" s="67"/>
      <c r="TQY29" s="67"/>
      <c r="TQZ29" s="67"/>
      <c r="TRA29" s="67"/>
      <c r="TRB29" s="67"/>
      <c r="TRC29" s="67"/>
      <c r="TRD29" s="67"/>
      <c r="TRE29" s="67"/>
      <c r="TRF29" s="67"/>
      <c r="TRG29" s="67"/>
      <c r="TRH29" s="67"/>
      <c r="TRI29" s="67"/>
      <c r="TRJ29" s="67"/>
      <c r="TRK29" s="67"/>
      <c r="TRL29" s="67"/>
      <c r="TRM29" s="67"/>
      <c r="TRN29" s="67"/>
      <c r="TRO29" s="67"/>
      <c r="TRP29" s="67"/>
      <c r="TRQ29" s="67"/>
      <c r="TRR29" s="67"/>
      <c r="TRS29" s="67"/>
      <c r="TRT29" s="67"/>
      <c r="TRU29" s="67"/>
      <c r="TRV29" s="67"/>
      <c r="TRW29" s="67"/>
      <c r="TRX29" s="67"/>
      <c r="TRY29" s="67"/>
      <c r="TRZ29" s="67"/>
      <c r="TSA29" s="67"/>
      <c r="TSB29" s="67"/>
      <c r="TSC29" s="67"/>
      <c r="TSD29" s="67"/>
      <c r="TSE29" s="67"/>
      <c r="TSF29" s="67"/>
      <c r="TSG29" s="67"/>
      <c r="TSH29" s="67"/>
      <c r="TSI29" s="67"/>
      <c r="TSJ29" s="67"/>
      <c r="TSK29" s="67"/>
      <c r="TSL29" s="67"/>
      <c r="TSM29" s="67"/>
      <c r="TSN29" s="67"/>
      <c r="TSO29" s="67"/>
      <c r="TSP29" s="67"/>
      <c r="TSQ29" s="67"/>
      <c r="TSR29" s="67"/>
      <c r="TSS29" s="67"/>
      <c r="TST29" s="67"/>
      <c r="TSU29" s="67"/>
      <c r="TSV29" s="67"/>
      <c r="TSW29" s="67"/>
      <c r="TSX29" s="67"/>
      <c r="TSY29" s="67"/>
      <c r="TSZ29" s="67"/>
      <c r="TTA29" s="67"/>
      <c r="TTB29" s="67"/>
      <c r="TTC29" s="67"/>
      <c r="TTD29" s="67"/>
      <c r="TTE29" s="67"/>
      <c r="TTF29" s="67"/>
      <c r="TTG29" s="67"/>
      <c r="TTH29" s="67"/>
      <c r="TTI29" s="67"/>
      <c r="TTJ29" s="67"/>
      <c r="TTK29" s="67"/>
      <c r="TTL29" s="67"/>
      <c r="TTM29" s="67"/>
      <c r="TTN29" s="67"/>
      <c r="TTO29" s="67"/>
      <c r="TTP29" s="67"/>
      <c r="TTQ29" s="67"/>
      <c r="TTR29" s="67"/>
      <c r="TTS29" s="67"/>
      <c r="TTT29" s="67"/>
      <c r="TTU29" s="67"/>
      <c r="TTV29" s="67"/>
      <c r="TTW29" s="67"/>
      <c r="TTX29" s="67"/>
      <c r="TTY29" s="67"/>
      <c r="TTZ29" s="67"/>
      <c r="TUA29" s="67"/>
      <c r="TUB29" s="67"/>
      <c r="TUC29" s="67"/>
      <c r="TUD29" s="67"/>
      <c r="TUE29" s="67"/>
      <c r="TUF29" s="67"/>
      <c r="TUG29" s="67"/>
      <c r="TUH29" s="67"/>
      <c r="TUI29" s="67"/>
      <c r="TUJ29" s="67"/>
      <c r="TUK29" s="67"/>
      <c r="TUL29" s="67"/>
      <c r="TUM29" s="67"/>
      <c r="TUN29" s="67"/>
      <c r="TUO29" s="67"/>
      <c r="TUP29" s="67"/>
      <c r="TUQ29" s="67"/>
      <c r="TUR29" s="67"/>
      <c r="TUS29" s="67"/>
      <c r="TUT29" s="67"/>
      <c r="TUU29" s="67"/>
      <c r="TUV29" s="67"/>
      <c r="TUW29" s="67"/>
      <c r="TUX29" s="67"/>
      <c r="TUY29" s="67"/>
      <c r="TUZ29" s="67"/>
      <c r="TVA29" s="67"/>
      <c r="TVB29" s="67"/>
      <c r="TVC29" s="67"/>
      <c r="TVD29" s="67"/>
      <c r="TVE29" s="67"/>
      <c r="TVF29" s="67"/>
      <c r="TVG29" s="67"/>
      <c r="TVH29" s="67"/>
      <c r="TVI29" s="67"/>
      <c r="TVJ29" s="67"/>
      <c r="TVK29" s="67"/>
      <c r="TVL29" s="67"/>
      <c r="TVM29" s="67"/>
      <c r="TVN29" s="67"/>
      <c r="TVO29" s="67"/>
      <c r="TVP29" s="67"/>
      <c r="TVQ29" s="67"/>
      <c r="TVR29" s="67"/>
      <c r="TVS29" s="67"/>
      <c r="TVT29" s="67"/>
      <c r="TVU29" s="67"/>
      <c r="TVV29" s="67"/>
      <c r="TVW29" s="67"/>
      <c r="TVX29" s="67"/>
      <c r="TVY29" s="67"/>
      <c r="TVZ29" s="67"/>
      <c r="TWA29" s="67"/>
      <c r="TWB29" s="67"/>
      <c r="TWC29" s="67"/>
      <c r="TWD29" s="67"/>
      <c r="TWE29" s="67"/>
      <c r="TWF29" s="67"/>
      <c r="TWG29" s="67"/>
      <c r="TWH29" s="67"/>
      <c r="TWI29" s="67"/>
      <c r="TWJ29" s="67"/>
      <c r="TWK29" s="67"/>
      <c r="TWL29" s="67"/>
      <c r="TWM29" s="67"/>
      <c r="TWN29" s="67"/>
      <c r="TWO29" s="67"/>
      <c r="TWP29" s="67"/>
      <c r="TWQ29" s="67"/>
      <c r="TWR29" s="67"/>
      <c r="TWS29" s="67"/>
      <c r="TWT29" s="67"/>
      <c r="TWU29" s="67"/>
      <c r="TWV29" s="67"/>
      <c r="TWW29" s="67"/>
      <c r="TWX29" s="67"/>
      <c r="TWY29" s="67"/>
      <c r="TWZ29" s="67"/>
      <c r="TXA29" s="67"/>
      <c r="TXB29" s="67"/>
      <c r="TXC29" s="67"/>
      <c r="TXD29" s="67"/>
      <c r="TXE29" s="67"/>
      <c r="TXF29" s="67"/>
      <c r="TXG29" s="67"/>
      <c r="TXH29" s="67"/>
      <c r="TXI29" s="67"/>
      <c r="TXJ29" s="67"/>
      <c r="TXK29" s="67"/>
      <c r="TXL29" s="67"/>
      <c r="TXM29" s="67"/>
      <c r="TXN29" s="67"/>
      <c r="TXO29" s="67"/>
      <c r="TXP29" s="67"/>
      <c r="TXQ29" s="67"/>
      <c r="TXR29" s="67"/>
      <c r="TXS29" s="67"/>
      <c r="TXT29" s="67"/>
      <c r="TXU29" s="67"/>
      <c r="TXV29" s="67"/>
      <c r="TXW29" s="67"/>
      <c r="TXX29" s="67"/>
      <c r="TXY29" s="67"/>
      <c r="TXZ29" s="67"/>
      <c r="TYA29" s="67"/>
      <c r="TYB29" s="67"/>
      <c r="TYC29" s="67"/>
      <c r="TYD29" s="67"/>
      <c r="TYE29" s="67"/>
      <c r="TYF29" s="67"/>
      <c r="TYG29" s="67"/>
      <c r="TYH29" s="67"/>
      <c r="TYI29" s="67"/>
      <c r="TYJ29" s="67"/>
      <c r="TYK29" s="67"/>
      <c r="TYL29" s="67"/>
      <c r="TYM29" s="67"/>
      <c r="TYN29" s="67"/>
      <c r="TYO29" s="67"/>
      <c r="TYP29" s="67"/>
      <c r="TYQ29" s="67"/>
      <c r="TYR29" s="67"/>
      <c r="TYS29" s="67"/>
      <c r="TYT29" s="67"/>
      <c r="TYU29" s="67"/>
      <c r="TYV29" s="67"/>
      <c r="TYW29" s="67"/>
      <c r="TYX29" s="67"/>
      <c r="TYY29" s="67"/>
      <c r="TYZ29" s="67"/>
      <c r="TZA29" s="67"/>
      <c r="TZB29" s="67"/>
      <c r="TZC29" s="67"/>
      <c r="TZD29" s="67"/>
      <c r="TZE29" s="67"/>
      <c r="TZF29" s="67"/>
      <c r="TZG29" s="67"/>
      <c r="TZH29" s="67"/>
      <c r="TZI29" s="67"/>
      <c r="TZJ29" s="67"/>
      <c r="TZK29" s="67"/>
      <c r="TZL29" s="67"/>
      <c r="TZM29" s="67"/>
      <c r="TZN29" s="67"/>
      <c r="TZO29" s="67"/>
      <c r="TZP29" s="67"/>
      <c r="TZQ29" s="67"/>
      <c r="TZR29" s="67"/>
      <c r="TZS29" s="67"/>
      <c r="TZT29" s="67"/>
      <c r="TZU29" s="67"/>
      <c r="TZV29" s="67"/>
      <c r="TZW29" s="67"/>
      <c r="TZX29" s="67"/>
      <c r="TZY29" s="67"/>
      <c r="TZZ29" s="67"/>
      <c r="UAA29" s="67"/>
      <c r="UAB29" s="67"/>
      <c r="UAC29" s="67"/>
      <c r="UAD29" s="67"/>
      <c r="UAE29" s="67"/>
      <c r="UAF29" s="67"/>
      <c r="UAG29" s="67"/>
      <c r="UAH29" s="67"/>
      <c r="UAI29" s="67"/>
      <c r="UAJ29" s="67"/>
      <c r="UAK29" s="67"/>
      <c r="UAL29" s="67"/>
      <c r="UAM29" s="67"/>
      <c r="UAN29" s="67"/>
      <c r="UAO29" s="67"/>
      <c r="UAP29" s="67"/>
      <c r="UAQ29" s="67"/>
      <c r="UAR29" s="67"/>
      <c r="UAS29" s="67"/>
      <c r="UAT29" s="67"/>
      <c r="UAU29" s="67"/>
      <c r="UAV29" s="67"/>
      <c r="UAW29" s="67"/>
      <c r="UAX29" s="67"/>
      <c r="UAY29" s="67"/>
      <c r="UAZ29" s="67"/>
      <c r="UBA29" s="67"/>
      <c r="UBB29" s="67"/>
      <c r="UBC29" s="67"/>
      <c r="UBD29" s="67"/>
      <c r="UBE29" s="67"/>
      <c r="UBF29" s="67"/>
      <c r="UBG29" s="67"/>
      <c r="UBH29" s="67"/>
      <c r="UBI29" s="67"/>
      <c r="UBJ29" s="67"/>
      <c r="UBK29" s="67"/>
      <c r="UBL29" s="67"/>
      <c r="UBM29" s="67"/>
      <c r="UBN29" s="67"/>
      <c r="UBO29" s="67"/>
      <c r="UBP29" s="67"/>
      <c r="UBQ29" s="67"/>
      <c r="UBR29" s="67"/>
      <c r="UBS29" s="67"/>
      <c r="UBT29" s="67"/>
      <c r="UBU29" s="67"/>
      <c r="UBV29" s="67"/>
      <c r="UBW29" s="67"/>
      <c r="UBX29" s="67"/>
      <c r="UBY29" s="67"/>
      <c r="UBZ29" s="67"/>
      <c r="UCA29" s="67"/>
      <c r="UCB29" s="67"/>
      <c r="UCC29" s="67"/>
      <c r="UCD29" s="67"/>
      <c r="UCE29" s="67"/>
      <c r="UCF29" s="67"/>
      <c r="UCG29" s="67"/>
      <c r="UCH29" s="67"/>
      <c r="UCI29" s="67"/>
      <c r="UCJ29" s="67"/>
      <c r="UCK29" s="67"/>
      <c r="UCL29" s="67"/>
      <c r="UCM29" s="67"/>
      <c r="UCN29" s="67"/>
      <c r="UCO29" s="67"/>
      <c r="UCP29" s="67"/>
      <c r="UCQ29" s="67"/>
      <c r="UCR29" s="67"/>
      <c r="UCS29" s="67"/>
      <c r="UCT29" s="67"/>
      <c r="UCU29" s="67"/>
      <c r="UCV29" s="67"/>
      <c r="UCW29" s="67"/>
      <c r="UCX29" s="67"/>
      <c r="UCY29" s="67"/>
      <c r="UCZ29" s="67"/>
      <c r="UDA29" s="67"/>
      <c r="UDB29" s="67"/>
      <c r="UDC29" s="67"/>
      <c r="UDD29" s="67"/>
      <c r="UDE29" s="67"/>
      <c r="UDF29" s="67"/>
      <c r="UDG29" s="67"/>
      <c r="UDH29" s="67"/>
      <c r="UDI29" s="67"/>
      <c r="UDJ29" s="67"/>
      <c r="UDK29" s="67"/>
      <c r="UDL29" s="67"/>
      <c r="UDM29" s="67"/>
      <c r="UDN29" s="67"/>
      <c r="UDO29" s="67"/>
      <c r="UDP29" s="67"/>
      <c r="UDQ29" s="67"/>
      <c r="UDR29" s="67"/>
      <c r="UDS29" s="67"/>
      <c r="UDT29" s="67"/>
      <c r="UDU29" s="67"/>
      <c r="UDV29" s="67"/>
      <c r="UDW29" s="67"/>
      <c r="UDX29" s="67"/>
      <c r="UDY29" s="67"/>
      <c r="UDZ29" s="67"/>
      <c r="UEA29" s="67"/>
      <c r="UEB29" s="67"/>
      <c r="UEC29" s="67"/>
      <c r="UED29" s="67"/>
      <c r="UEE29" s="67"/>
      <c r="UEF29" s="67"/>
      <c r="UEG29" s="67"/>
      <c r="UEH29" s="67"/>
      <c r="UEI29" s="67"/>
      <c r="UEJ29" s="67"/>
      <c r="UEK29" s="67"/>
      <c r="UEL29" s="67"/>
      <c r="UEM29" s="67"/>
      <c r="UEN29" s="67"/>
      <c r="UEO29" s="67"/>
      <c r="UEP29" s="67"/>
      <c r="UEQ29" s="67"/>
      <c r="UER29" s="67"/>
      <c r="UES29" s="67"/>
      <c r="UET29" s="67"/>
      <c r="UEU29" s="67"/>
      <c r="UEV29" s="67"/>
      <c r="UEW29" s="67"/>
      <c r="UEX29" s="67"/>
      <c r="UEY29" s="67"/>
      <c r="UEZ29" s="67"/>
      <c r="UFA29" s="67"/>
      <c r="UFB29" s="67"/>
      <c r="UFC29" s="67"/>
      <c r="UFD29" s="67"/>
      <c r="UFE29" s="67"/>
      <c r="UFF29" s="67"/>
      <c r="UFG29" s="67"/>
      <c r="UFH29" s="67"/>
      <c r="UFI29" s="67"/>
      <c r="UFJ29" s="67"/>
      <c r="UFK29" s="67"/>
      <c r="UFL29" s="67"/>
      <c r="UFM29" s="67"/>
      <c r="UFN29" s="67"/>
      <c r="UFO29" s="67"/>
      <c r="UFP29" s="67"/>
      <c r="UFQ29" s="67"/>
      <c r="UFR29" s="67"/>
      <c r="UFS29" s="67"/>
      <c r="UFT29" s="67"/>
      <c r="UFU29" s="67"/>
      <c r="UFV29" s="67"/>
      <c r="UFW29" s="67"/>
      <c r="UFX29" s="67"/>
      <c r="UFY29" s="67"/>
      <c r="UFZ29" s="67"/>
      <c r="UGA29" s="67"/>
      <c r="UGB29" s="67"/>
      <c r="UGC29" s="67"/>
      <c r="UGD29" s="67"/>
      <c r="UGE29" s="67"/>
      <c r="UGF29" s="67"/>
      <c r="UGG29" s="67"/>
      <c r="UGH29" s="67"/>
      <c r="UGI29" s="67"/>
      <c r="UGJ29" s="67"/>
      <c r="UGK29" s="67"/>
      <c r="UGL29" s="67"/>
      <c r="UGM29" s="67"/>
      <c r="UGN29" s="67"/>
      <c r="UGO29" s="67"/>
      <c r="UGP29" s="67"/>
      <c r="UGQ29" s="67"/>
      <c r="UGR29" s="67"/>
      <c r="UGS29" s="67"/>
      <c r="UGT29" s="67"/>
      <c r="UGU29" s="67"/>
      <c r="UGV29" s="67"/>
      <c r="UGW29" s="67"/>
      <c r="UGX29" s="67"/>
      <c r="UGY29" s="67"/>
      <c r="UGZ29" s="67"/>
      <c r="UHA29" s="67"/>
      <c r="UHB29" s="67"/>
      <c r="UHC29" s="67"/>
      <c r="UHD29" s="67"/>
      <c r="UHE29" s="67"/>
      <c r="UHF29" s="67"/>
      <c r="UHG29" s="67"/>
      <c r="UHH29" s="67"/>
      <c r="UHI29" s="67"/>
      <c r="UHJ29" s="67"/>
      <c r="UHK29" s="67"/>
      <c r="UHL29" s="67"/>
      <c r="UHM29" s="67"/>
      <c r="UHN29" s="67"/>
      <c r="UHO29" s="67"/>
      <c r="UHP29" s="67"/>
      <c r="UHQ29" s="67"/>
      <c r="UHR29" s="67"/>
      <c r="UHS29" s="67"/>
      <c r="UHT29" s="67"/>
      <c r="UHU29" s="67"/>
      <c r="UHV29" s="67"/>
      <c r="UHW29" s="67"/>
      <c r="UHX29" s="67"/>
      <c r="UHY29" s="67"/>
      <c r="UHZ29" s="67"/>
      <c r="UIA29" s="67"/>
      <c r="UIB29" s="67"/>
      <c r="UIC29" s="67"/>
      <c r="UID29" s="67"/>
      <c r="UIE29" s="67"/>
      <c r="UIF29" s="67"/>
      <c r="UIG29" s="67"/>
      <c r="UIH29" s="67"/>
      <c r="UII29" s="67"/>
      <c r="UIJ29" s="67"/>
      <c r="UIK29" s="67"/>
      <c r="UIL29" s="67"/>
      <c r="UIM29" s="67"/>
      <c r="UIN29" s="67"/>
      <c r="UIO29" s="67"/>
      <c r="UIP29" s="67"/>
      <c r="UIQ29" s="67"/>
      <c r="UIR29" s="67"/>
      <c r="UIS29" s="67"/>
      <c r="UIT29" s="67"/>
      <c r="UIU29" s="67"/>
      <c r="UIV29" s="67"/>
      <c r="UIW29" s="67"/>
      <c r="UIX29" s="67"/>
      <c r="UIY29" s="67"/>
      <c r="UIZ29" s="67"/>
      <c r="UJA29" s="67"/>
      <c r="UJB29" s="67"/>
      <c r="UJC29" s="67"/>
      <c r="UJD29" s="67"/>
      <c r="UJE29" s="67"/>
      <c r="UJF29" s="67"/>
      <c r="UJG29" s="67"/>
      <c r="UJH29" s="67"/>
      <c r="UJI29" s="67"/>
      <c r="UJJ29" s="67"/>
      <c r="UJK29" s="67"/>
      <c r="UJL29" s="67"/>
      <c r="UJM29" s="67"/>
      <c r="UJN29" s="67"/>
      <c r="UJO29" s="67"/>
      <c r="UJP29" s="67"/>
      <c r="UJQ29" s="67"/>
      <c r="UJR29" s="67"/>
      <c r="UJS29" s="67"/>
      <c r="UJT29" s="67"/>
      <c r="UJU29" s="67"/>
      <c r="UJV29" s="67"/>
      <c r="UJW29" s="67"/>
      <c r="UJX29" s="67"/>
      <c r="UJY29" s="67"/>
      <c r="UJZ29" s="67"/>
      <c r="UKA29" s="67"/>
      <c r="UKB29" s="67"/>
      <c r="UKC29" s="67"/>
      <c r="UKD29" s="67"/>
      <c r="UKE29" s="67"/>
      <c r="UKF29" s="67"/>
      <c r="UKG29" s="67"/>
      <c r="UKH29" s="67"/>
      <c r="UKI29" s="67"/>
      <c r="UKJ29" s="67"/>
      <c r="UKK29" s="67"/>
      <c r="UKL29" s="67"/>
      <c r="UKM29" s="67"/>
      <c r="UKN29" s="67"/>
      <c r="UKO29" s="67"/>
      <c r="UKP29" s="67"/>
      <c r="UKQ29" s="67"/>
      <c r="UKR29" s="67"/>
      <c r="UKS29" s="67"/>
      <c r="UKT29" s="67"/>
      <c r="UKU29" s="67"/>
      <c r="UKV29" s="67"/>
      <c r="UKW29" s="67"/>
      <c r="UKX29" s="67"/>
      <c r="UKY29" s="67"/>
      <c r="UKZ29" s="67"/>
      <c r="ULA29" s="67"/>
      <c r="ULB29" s="67"/>
      <c r="ULC29" s="67"/>
      <c r="ULD29" s="67"/>
      <c r="ULE29" s="67"/>
      <c r="ULF29" s="67"/>
      <c r="ULG29" s="67"/>
      <c r="ULH29" s="67"/>
      <c r="ULI29" s="67"/>
      <c r="ULJ29" s="67"/>
      <c r="ULK29" s="67"/>
      <c r="ULL29" s="67"/>
      <c r="ULM29" s="67"/>
      <c r="ULN29" s="67"/>
      <c r="ULO29" s="67"/>
      <c r="ULP29" s="67"/>
      <c r="ULQ29" s="67"/>
      <c r="ULR29" s="67"/>
      <c r="ULS29" s="67"/>
      <c r="ULT29" s="67"/>
      <c r="ULU29" s="67"/>
      <c r="ULV29" s="67"/>
      <c r="ULW29" s="67"/>
      <c r="ULX29" s="67"/>
      <c r="ULY29" s="67"/>
      <c r="ULZ29" s="67"/>
      <c r="UMA29" s="67"/>
      <c r="UMB29" s="67"/>
      <c r="UMC29" s="67"/>
      <c r="UMD29" s="67"/>
      <c r="UME29" s="67"/>
      <c r="UMF29" s="67"/>
      <c r="UMG29" s="67"/>
      <c r="UMH29" s="67"/>
      <c r="UMI29" s="67"/>
      <c r="UMJ29" s="67"/>
      <c r="UMK29" s="67"/>
      <c r="UML29" s="67"/>
      <c r="UMM29" s="67"/>
      <c r="UMN29" s="67"/>
      <c r="UMO29" s="67"/>
      <c r="UMP29" s="67"/>
      <c r="UMQ29" s="67"/>
      <c r="UMR29" s="67"/>
      <c r="UMS29" s="67"/>
      <c r="UMT29" s="67"/>
      <c r="UMU29" s="67"/>
      <c r="UMV29" s="67"/>
      <c r="UMW29" s="67"/>
      <c r="UMX29" s="67"/>
      <c r="UMY29" s="67"/>
      <c r="UMZ29" s="67"/>
      <c r="UNA29" s="67"/>
      <c r="UNB29" s="67"/>
      <c r="UNC29" s="67"/>
      <c r="UND29" s="67"/>
      <c r="UNE29" s="67"/>
      <c r="UNF29" s="67"/>
      <c r="UNG29" s="67"/>
      <c r="UNH29" s="67"/>
      <c r="UNI29" s="67"/>
      <c r="UNJ29" s="67"/>
      <c r="UNK29" s="67"/>
      <c r="UNL29" s="67"/>
      <c r="UNM29" s="67"/>
      <c r="UNN29" s="67"/>
      <c r="UNO29" s="67"/>
      <c r="UNP29" s="67"/>
      <c r="UNQ29" s="67"/>
      <c r="UNR29" s="67"/>
      <c r="UNS29" s="67"/>
      <c r="UNT29" s="67"/>
      <c r="UNU29" s="67"/>
      <c r="UNV29" s="67"/>
      <c r="UNW29" s="67"/>
      <c r="UNX29" s="67"/>
      <c r="UNY29" s="67"/>
      <c r="UNZ29" s="67"/>
      <c r="UOA29" s="67"/>
      <c r="UOB29" s="67"/>
      <c r="UOC29" s="67"/>
      <c r="UOD29" s="67"/>
      <c r="UOE29" s="67"/>
      <c r="UOF29" s="67"/>
      <c r="UOG29" s="67"/>
      <c r="UOH29" s="67"/>
      <c r="UOI29" s="67"/>
      <c r="UOJ29" s="67"/>
      <c r="UOK29" s="67"/>
      <c r="UOL29" s="67"/>
      <c r="UOM29" s="67"/>
      <c r="UON29" s="67"/>
      <c r="UOO29" s="67"/>
      <c r="UOP29" s="67"/>
      <c r="UOQ29" s="67"/>
      <c r="UOR29" s="67"/>
      <c r="UOS29" s="67"/>
      <c r="UOT29" s="67"/>
      <c r="UOU29" s="67"/>
      <c r="UOV29" s="67"/>
      <c r="UOW29" s="67"/>
      <c r="UOX29" s="67"/>
      <c r="UOY29" s="67"/>
      <c r="UOZ29" s="67"/>
      <c r="UPA29" s="67"/>
      <c r="UPB29" s="67"/>
      <c r="UPC29" s="67"/>
      <c r="UPD29" s="67"/>
      <c r="UPE29" s="67"/>
      <c r="UPF29" s="67"/>
      <c r="UPG29" s="67"/>
      <c r="UPH29" s="67"/>
      <c r="UPI29" s="67"/>
      <c r="UPJ29" s="67"/>
      <c r="UPK29" s="67"/>
      <c r="UPL29" s="67"/>
      <c r="UPM29" s="67"/>
      <c r="UPN29" s="67"/>
      <c r="UPO29" s="67"/>
      <c r="UPP29" s="67"/>
      <c r="UPQ29" s="67"/>
      <c r="UPR29" s="67"/>
      <c r="UPS29" s="67"/>
      <c r="UPT29" s="67"/>
      <c r="UPU29" s="67"/>
      <c r="UPV29" s="67"/>
      <c r="UPW29" s="67"/>
      <c r="UPX29" s="67"/>
      <c r="UPY29" s="67"/>
      <c r="UPZ29" s="67"/>
      <c r="UQA29" s="67"/>
      <c r="UQB29" s="67"/>
      <c r="UQC29" s="67"/>
      <c r="UQD29" s="67"/>
      <c r="UQE29" s="67"/>
      <c r="UQF29" s="67"/>
      <c r="UQG29" s="67"/>
      <c r="UQH29" s="67"/>
      <c r="UQI29" s="67"/>
      <c r="UQJ29" s="67"/>
      <c r="UQK29" s="67"/>
      <c r="UQL29" s="67"/>
      <c r="UQM29" s="67"/>
      <c r="UQN29" s="67"/>
      <c r="UQO29" s="67"/>
      <c r="UQP29" s="67"/>
      <c r="UQQ29" s="67"/>
      <c r="UQR29" s="67"/>
      <c r="UQS29" s="67"/>
      <c r="UQT29" s="67"/>
      <c r="UQU29" s="67"/>
      <c r="UQV29" s="67"/>
      <c r="UQW29" s="67"/>
      <c r="UQX29" s="67"/>
      <c r="UQY29" s="67"/>
      <c r="UQZ29" s="67"/>
      <c r="URA29" s="67"/>
      <c r="URB29" s="67"/>
      <c r="URC29" s="67"/>
      <c r="URD29" s="67"/>
      <c r="URE29" s="67"/>
      <c r="URF29" s="67"/>
      <c r="URG29" s="67"/>
      <c r="URH29" s="67"/>
      <c r="URI29" s="67"/>
      <c r="URJ29" s="67"/>
      <c r="URK29" s="67"/>
      <c r="URL29" s="67"/>
      <c r="URM29" s="67"/>
      <c r="URN29" s="67"/>
      <c r="URO29" s="67"/>
      <c r="URP29" s="67"/>
      <c r="URQ29" s="67"/>
      <c r="URR29" s="67"/>
      <c r="URS29" s="67"/>
      <c r="URT29" s="67"/>
      <c r="URU29" s="67"/>
      <c r="URV29" s="67"/>
      <c r="URW29" s="67"/>
      <c r="URX29" s="67"/>
      <c r="URY29" s="67"/>
      <c r="URZ29" s="67"/>
      <c r="USA29" s="67"/>
      <c r="USB29" s="67"/>
      <c r="USC29" s="67"/>
      <c r="USD29" s="67"/>
      <c r="USE29" s="67"/>
      <c r="USF29" s="67"/>
      <c r="USG29" s="67"/>
      <c r="USH29" s="67"/>
      <c r="USI29" s="67"/>
      <c r="USJ29" s="67"/>
      <c r="USK29" s="67"/>
      <c r="USL29" s="67"/>
      <c r="USM29" s="67"/>
      <c r="USN29" s="67"/>
      <c r="USO29" s="67"/>
      <c r="USP29" s="67"/>
      <c r="USQ29" s="67"/>
      <c r="USR29" s="67"/>
      <c r="USS29" s="67"/>
      <c r="UST29" s="67"/>
      <c r="USU29" s="67"/>
      <c r="USV29" s="67"/>
      <c r="USW29" s="67"/>
      <c r="USX29" s="67"/>
      <c r="USY29" s="67"/>
      <c r="USZ29" s="67"/>
      <c r="UTA29" s="67"/>
      <c r="UTB29" s="67"/>
      <c r="UTC29" s="67"/>
      <c r="UTD29" s="67"/>
      <c r="UTE29" s="67"/>
      <c r="UTF29" s="67"/>
      <c r="UTG29" s="67"/>
      <c r="UTH29" s="67"/>
      <c r="UTI29" s="67"/>
      <c r="UTJ29" s="67"/>
      <c r="UTK29" s="67"/>
      <c r="UTL29" s="67"/>
      <c r="UTM29" s="67"/>
      <c r="UTN29" s="67"/>
      <c r="UTO29" s="67"/>
      <c r="UTP29" s="67"/>
      <c r="UTQ29" s="67"/>
      <c r="UTR29" s="67"/>
      <c r="UTS29" s="67"/>
      <c r="UTT29" s="67"/>
      <c r="UTU29" s="67"/>
      <c r="UTV29" s="67"/>
      <c r="UTW29" s="67"/>
      <c r="UTX29" s="67"/>
      <c r="UTY29" s="67"/>
      <c r="UTZ29" s="67"/>
      <c r="UUA29" s="67"/>
      <c r="UUB29" s="67"/>
      <c r="UUC29" s="67"/>
      <c r="UUD29" s="67"/>
      <c r="UUE29" s="67"/>
      <c r="UUF29" s="67"/>
      <c r="UUG29" s="67"/>
      <c r="UUH29" s="67"/>
      <c r="UUI29" s="67"/>
      <c r="UUJ29" s="67"/>
      <c r="UUK29" s="67"/>
      <c r="UUL29" s="67"/>
      <c r="UUM29" s="67"/>
      <c r="UUN29" s="67"/>
      <c r="UUO29" s="67"/>
      <c r="UUP29" s="67"/>
      <c r="UUQ29" s="67"/>
      <c r="UUR29" s="67"/>
      <c r="UUS29" s="67"/>
      <c r="UUT29" s="67"/>
      <c r="UUU29" s="67"/>
      <c r="UUV29" s="67"/>
      <c r="UUW29" s="67"/>
      <c r="UUX29" s="67"/>
      <c r="UUY29" s="67"/>
      <c r="UUZ29" s="67"/>
      <c r="UVA29" s="67"/>
      <c r="UVB29" s="67"/>
      <c r="UVC29" s="67"/>
      <c r="UVD29" s="67"/>
      <c r="UVE29" s="67"/>
      <c r="UVF29" s="67"/>
      <c r="UVG29" s="67"/>
      <c r="UVH29" s="67"/>
      <c r="UVI29" s="67"/>
      <c r="UVJ29" s="67"/>
      <c r="UVK29" s="67"/>
      <c r="UVL29" s="67"/>
      <c r="UVM29" s="67"/>
      <c r="UVN29" s="67"/>
      <c r="UVO29" s="67"/>
      <c r="UVP29" s="67"/>
      <c r="UVQ29" s="67"/>
      <c r="UVR29" s="67"/>
      <c r="UVS29" s="67"/>
      <c r="UVT29" s="67"/>
      <c r="UVU29" s="67"/>
      <c r="UVV29" s="67"/>
      <c r="UVW29" s="67"/>
      <c r="UVX29" s="67"/>
      <c r="UVY29" s="67"/>
      <c r="UVZ29" s="67"/>
      <c r="UWA29" s="67"/>
      <c r="UWB29" s="67"/>
      <c r="UWC29" s="67"/>
      <c r="UWD29" s="67"/>
      <c r="UWE29" s="67"/>
      <c r="UWF29" s="67"/>
      <c r="UWG29" s="67"/>
      <c r="UWH29" s="67"/>
      <c r="UWI29" s="67"/>
      <c r="UWJ29" s="67"/>
      <c r="UWK29" s="67"/>
      <c r="UWL29" s="67"/>
      <c r="UWM29" s="67"/>
      <c r="UWN29" s="67"/>
      <c r="UWO29" s="67"/>
      <c r="UWP29" s="67"/>
      <c r="UWQ29" s="67"/>
      <c r="UWR29" s="67"/>
      <c r="UWS29" s="67"/>
      <c r="UWT29" s="67"/>
      <c r="UWU29" s="67"/>
      <c r="UWV29" s="67"/>
      <c r="UWW29" s="67"/>
      <c r="UWX29" s="67"/>
      <c r="UWY29" s="67"/>
      <c r="UWZ29" s="67"/>
      <c r="UXA29" s="67"/>
      <c r="UXB29" s="67"/>
      <c r="UXC29" s="67"/>
      <c r="UXD29" s="67"/>
      <c r="UXE29" s="67"/>
      <c r="UXF29" s="67"/>
      <c r="UXG29" s="67"/>
      <c r="UXH29" s="67"/>
      <c r="UXI29" s="67"/>
      <c r="UXJ29" s="67"/>
      <c r="UXK29" s="67"/>
      <c r="UXL29" s="67"/>
      <c r="UXM29" s="67"/>
      <c r="UXN29" s="67"/>
      <c r="UXO29" s="67"/>
      <c r="UXP29" s="67"/>
      <c r="UXQ29" s="67"/>
      <c r="UXR29" s="67"/>
      <c r="UXS29" s="67"/>
      <c r="UXT29" s="67"/>
      <c r="UXU29" s="67"/>
      <c r="UXV29" s="67"/>
      <c r="UXW29" s="67"/>
      <c r="UXX29" s="67"/>
      <c r="UXY29" s="67"/>
      <c r="UXZ29" s="67"/>
      <c r="UYA29" s="67"/>
      <c r="UYB29" s="67"/>
      <c r="UYC29" s="67"/>
      <c r="UYD29" s="67"/>
      <c r="UYE29" s="67"/>
      <c r="UYF29" s="67"/>
      <c r="UYG29" s="67"/>
      <c r="UYH29" s="67"/>
      <c r="UYI29" s="67"/>
      <c r="UYJ29" s="67"/>
      <c r="UYK29" s="67"/>
      <c r="UYL29" s="67"/>
      <c r="UYM29" s="67"/>
      <c r="UYN29" s="67"/>
      <c r="UYO29" s="67"/>
      <c r="UYP29" s="67"/>
      <c r="UYQ29" s="67"/>
      <c r="UYR29" s="67"/>
      <c r="UYS29" s="67"/>
      <c r="UYT29" s="67"/>
      <c r="UYU29" s="67"/>
      <c r="UYV29" s="67"/>
      <c r="UYW29" s="67"/>
      <c r="UYX29" s="67"/>
      <c r="UYY29" s="67"/>
      <c r="UYZ29" s="67"/>
      <c r="UZA29" s="67"/>
      <c r="UZB29" s="67"/>
      <c r="UZC29" s="67"/>
      <c r="UZD29" s="67"/>
      <c r="UZE29" s="67"/>
      <c r="UZF29" s="67"/>
      <c r="UZG29" s="67"/>
      <c r="UZH29" s="67"/>
      <c r="UZI29" s="67"/>
      <c r="UZJ29" s="67"/>
      <c r="UZK29" s="67"/>
      <c r="UZL29" s="67"/>
      <c r="UZM29" s="67"/>
      <c r="UZN29" s="67"/>
      <c r="UZO29" s="67"/>
      <c r="UZP29" s="67"/>
      <c r="UZQ29" s="67"/>
      <c r="UZR29" s="67"/>
      <c r="UZS29" s="67"/>
      <c r="UZT29" s="67"/>
      <c r="UZU29" s="67"/>
      <c r="UZV29" s="67"/>
      <c r="UZW29" s="67"/>
      <c r="UZX29" s="67"/>
      <c r="UZY29" s="67"/>
      <c r="UZZ29" s="67"/>
      <c r="VAA29" s="67"/>
      <c r="VAB29" s="67"/>
      <c r="VAC29" s="67"/>
      <c r="VAD29" s="67"/>
      <c r="VAE29" s="67"/>
      <c r="VAF29" s="67"/>
      <c r="VAG29" s="67"/>
      <c r="VAH29" s="67"/>
      <c r="VAI29" s="67"/>
      <c r="VAJ29" s="67"/>
      <c r="VAK29" s="67"/>
      <c r="VAL29" s="67"/>
      <c r="VAM29" s="67"/>
      <c r="VAN29" s="67"/>
      <c r="VAO29" s="67"/>
      <c r="VAP29" s="67"/>
      <c r="VAQ29" s="67"/>
      <c r="VAR29" s="67"/>
      <c r="VAS29" s="67"/>
      <c r="VAT29" s="67"/>
      <c r="VAU29" s="67"/>
      <c r="VAV29" s="67"/>
      <c r="VAW29" s="67"/>
      <c r="VAX29" s="67"/>
      <c r="VAY29" s="67"/>
      <c r="VAZ29" s="67"/>
      <c r="VBA29" s="67"/>
      <c r="VBB29" s="67"/>
      <c r="VBC29" s="67"/>
      <c r="VBD29" s="67"/>
      <c r="VBE29" s="67"/>
      <c r="VBF29" s="67"/>
      <c r="VBG29" s="67"/>
      <c r="VBH29" s="67"/>
      <c r="VBI29" s="67"/>
      <c r="VBJ29" s="67"/>
      <c r="VBK29" s="67"/>
      <c r="VBL29" s="67"/>
      <c r="VBM29" s="67"/>
      <c r="VBN29" s="67"/>
      <c r="VBO29" s="67"/>
      <c r="VBP29" s="67"/>
      <c r="VBQ29" s="67"/>
      <c r="VBR29" s="67"/>
      <c r="VBS29" s="67"/>
      <c r="VBT29" s="67"/>
      <c r="VBU29" s="67"/>
      <c r="VBV29" s="67"/>
      <c r="VBW29" s="67"/>
      <c r="VBX29" s="67"/>
      <c r="VBY29" s="67"/>
      <c r="VBZ29" s="67"/>
      <c r="VCA29" s="67"/>
      <c r="VCB29" s="67"/>
      <c r="VCC29" s="67"/>
      <c r="VCD29" s="67"/>
      <c r="VCE29" s="67"/>
      <c r="VCF29" s="67"/>
      <c r="VCG29" s="67"/>
      <c r="VCH29" s="67"/>
      <c r="VCI29" s="67"/>
      <c r="VCJ29" s="67"/>
      <c r="VCK29" s="67"/>
      <c r="VCL29" s="67"/>
      <c r="VCM29" s="67"/>
      <c r="VCN29" s="67"/>
      <c r="VCO29" s="67"/>
      <c r="VCP29" s="67"/>
      <c r="VCQ29" s="67"/>
      <c r="VCR29" s="67"/>
      <c r="VCS29" s="67"/>
      <c r="VCT29" s="67"/>
      <c r="VCU29" s="67"/>
      <c r="VCV29" s="67"/>
      <c r="VCW29" s="67"/>
      <c r="VCX29" s="67"/>
      <c r="VCY29" s="67"/>
      <c r="VCZ29" s="67"/>
      <c r="VDA29" s="67"/>
      <c r="VDB29" s="67"/>
      <c r="VDC29" s="67"/>
      <c r="VDD29" s="67"/>
      <c r="VDE29" s="67"/>
      <c r="VDF29" s="67"/>
      <c r="VDG29" s="67"/>
      <c r="VDH29" s="67"/>
      <c r="VDI29" s="67"/>
      <c r="VDJ29" s="67"/>
      <c r="VDK29" s="67"/>
      <c r="VDL29" s="67"/>
      <c r="VDM29" s="67"/>
      <c r="VDN29" s="67"/>
      <c r="VDO29" s="67"/>
      <c r="VDP29" s="67"/>
      <c r="VDQ29" s="67"/>
      <c r="VDR29" s="67"/>
      <c r="VDS29" s="67"/>
      <c r="VDT29" s="67"/>
      <c r="VDU29" s="67"/>
      <c r="VDV29" s="67"/>
      <c r="VDW29" s="67"/>
      <c r="VDX29" s="67"/>
      <c r="VDY29" s="67"/>
      <c r="VDZ29" s="67"/>
      <c r="VEA29" s="67"/>
      <c r="VEB29" s="67"/>
      <c r="VEC29" s="67"/>
      <c r="VED29" s="67"/>
      <c r="VEE29" s="67"/>
      <c r="VEF29" s="67"/>
      <c r="VEG29" s="67"/>
      <c r="VEH29" s="67"/>
      <c r="VEI29" s="67"/>
      <c r="VEJ29" s="67"/>
      <c r="VEK29" s="67"/>
      <c r="VEL29" s="67"/>
      <c r="VEM29" s="67"/>
      <c r="VEN29" s="67"/>
      <c r="VEO29" s="67"/>
      <c r="VEP29" s="67"/>
      <c r="VEQ29" s="67"/>
      <c r="VER29" s="67"/>
      <c r="VES29" s="67"/>
      <c r="VET29" s="67"/>
      <c r="VEU29" s="67"/>
      <c r="VEV29" s="67"/>
      <c r="VEW29" s="67"/>
      <c r="VEX29" s="67"/>
      <c r="VEY29" s="67"/>
      <c r="VEZ29" s="67"/>
      <c r="VFA29" s="67"/>
      <c r="VFB29" s="67"/>
      <c r="VFC29" s="67"/>
      <c r="VFD29" s="67"/>
      <c r="VFE29" s="67"/>
      <c r="VFF29" s="67"/>
      <c r="VFG29" s="67"/>
      <c r="VFH29" s="67"/>
      <c r="VFI29" s="67"/>
      <c r="VFJ29" s="67"/>
      <c r="VFK29" s="67"/>
      <c r="VFL29" s="67"/>
      <c r="VFM29" s="67"/>
      <c r="VFN29" s="67"/>
      <c r="VFO29" s="67"/>
      <c r="VFP29" s="67"/>
      <c r="VFQ29" s="67"/>
      <c r="VFR29" s="67"/>
      <c r="VFS29" s="67"/>
      <c r="VFT29" s="67"/>
      <c r="VFU29" s="67"/>
      <c r="VFV29" s="67"/>
      <c r="VFW29" s="67"/>
      <c r="VFX29" s="67"/>
      <c r="VFY29" s="67"/>
      <c r="VFZ29" s="67"/>
      <c r="VGA29" s="67"/>
      <c r="VGB29" s="67"/>
      <c r="VGC29" s="67"/>
      <c r="VGD29" s="67"/>
      <c r="VGE29" s="67"/>
      <c r="VGF29" s="67"/>
      <c r="VGG29" s="67"/>
      <c r="VGH29" s="67"/>
      <c r="VGI29" s="67"/>
      <c r="VGJ29" s="67"/>
      <c r="VGK29" s="67"/>
      <c r="VGL29" s="67"/>
      <c r="VGM29" s="67"/>
    </row>
    <row r="30" spans="1:15115" s="3" customFormat="1" ht="13.8" x14ac:dyDescent="0.25">
      <c r="B30" s="122"/>
      <c r="C30" s="123" t="s">
        <v>134</v>
      </c>
      <c r="D30" s="128">
        <f>SUM(D31:D32)</f>
        <v>1001606.94</v>
      </c>
      <c r="E30" s="26" t="s">
        <v>16</v>
      </c>
      <c r="F30" s="108">
        <f>F31+F32</f>
        <v>0</v>
      </c>
      <c r="G30" s="108">
        <f t="shared" ref="G30:P30" si="7">G31+G32</f>
        <v>0</v>
      </c>
      <c r="H30" s="108">
        <f t="shared" si="7"/>
        <v>0</v>
      </c>
      <c r="I30" s="108">
        <f t="shared" si="7"/>
        <v>0</v>
      </c>
      <c r="J30" s="108">
        <f t="shared" si="7"/>
        <v>0</v>
      </c>
      <c r="K30" s="108">
        <f t="shared" si="7"/>
        <v>153496</v>
      </c>
      <c r="L30" s="108">
        <f t="shared" si="7"/>
        <v>608936</v>
      </c>
      <c r="M30" s="108">
        <f t="shared" si="7"/>
        <v>439972</v>
      </c>
      <c r="N30" s="108">
        <f t="shared" si="7"/>
        <v>888877</v>
      </c>
      <c r="O30" s="108">
        <f t="shared" si="7"/>
        <v>834534</v>
      </c>
      <c r="P30" s="108">
        <f t="shared" si="7"/>
        <v>637413</v>
      </c>
      <c r="Q30" s="311"/>
      <c r="R30" s="108">
        <f t="shared" ref="R30:X30" si="8">R31+R32</f>
        <v>0</v>
      </c>
      <c r="S30" s="108">
        <f t="shared" si="8"/>
        <v>0</v>
      </c>
      <c r="T30" s="108">
        <f t="shared" si="8"/>
        <v>0</v>
      </c>
      <c r="U30" s="108">
        <f t="shared" si="8"/>
        <v>0</v>
      </c>
      <c r="V30" s="108">
        <f t="shared" si="8"/>
        <v>0</v>
      </c>
      <c r="W30" s="108">
        <f t="shared" si="8"/>
        <v>0</v>
      </c>
      <c r="X30" s="108">
        <f t="shared" si="8"/>
        <v>552155.94849499501</v>
      </c>
      <c r="Y30" s="108">
        <f t="shared" ref="Y30:AI30" si="9">SUM(Y31:Y32)</f>
        <v>823449</v>
      </c>
      <c r="Z30" s="108">
        <f t="shared" si="9"/>
        <v>1114726.5824405884</v>
      </c>
      <c r="AA30" s="108">
        <f t="shared" si="9"/>
        <v>493884.70202168915</v>
      </c>
      <c r="AB30" s="108">
        <f t="shared" si="9"/>
        <v>595942.4083350359</v>
      </c>
      <c r="AC30" s="108">
        <f t="shared" si="9"/>
        <v>0</v>
      </c>
      <c r="AD30" s="108">
        <f t="shared" si="9"/>
        <v>369216</v>
      </c>
      <c r="AE30" s="108">
        <f t="shared" si="9"/>
        <v>189393</v>
      </c>
      <c r="AF30" s="108">
        <f t="shared" si="9"/>
        <v>704659.51686506416</v>
      </c>
      <c r="AG30" s="108">
        <f t="shared" si="9"/>
        <v>70698</v>
      </c>
      <c r="AH30" s="108">
        <f t="shared" si="9"/>
        <v>0</v>
      </c>
      <c r="AI30" s="110">
        <f t="shared" si="9"/>
        <v>0</v>
      </c>
      <c r="AK30" s="147">
        <f>SUM(F30:AI30)</f>
        <v>8477353.1581573728</v>
      </c>
      <c r="CX30" s="306"/>
    </row>
    <row r="31" spans="1:15115" s="3" customFormat="1" ht="13.8" x14ac:dyDescent="0.25">
      <c r="B31" s="122"/>
      <c r="C31" s="123" t="s">
        <v>135</v>
      </c>
      <c r="D31" s="128">
        <v>701124.85800000001</v>
      </c>
      <c r="E31" s="26" t="s">
        <v>16</v>
      </c>
      <c r="F31" s="108"/>
      <c r="G31" s="108"/>
      <c r="H31" s="108"/>
      <c r="I31" s="108"/>
      <c r="J31" s="108"/>
      <c r="K31" s="108">
        <v>115146</v>
      </c>
      <c r="L31" s="108">
        <v>456736</v>
      </c>
      <c r="M31" s="108">
        <v>330072</v>
      </c>
      <c r="N31" s="108">
        <v>666832</v>
      </c>
      <c r="O31" s="108">
        <v>626419</v>
      </c>
      <c r="P31" s="108">
        <v>477713</v>
      </c>
      <c r="Q31" s="108"/>
      <c r="R31" s="108"/>
      <c r="S31" s="108"/>
      <c r="T31" s="108"/>
      <c r="U31" s="108"/>
      <c r="V31" s="108"/>
      <c r="W31" s="108"/>
      <c r="X31" s="108">
        <v>415468.94849499501</v>
      </c>
      <c r="Y31" s="108">
        <v>617949</v>
      </c>
      <c r="Z31" s="108">
        <v>836281.58244058839</v>
      </c>
      <c r="AA31" s="108">
        <v>369910.70202168915</v>
      </c>
      <c r="AB31" s="108">
        <v>447955.4083350359</v>
      </c>
      <c r="AC31" s="108"/>
      <c r="AD31" s="108">
        <v>269730</v>
      </c>
      <c r="AE31" s="108">
        <v>139177</v>
      </c>
      <c r="AF31" s="108">
        <v>535574</v>
      </c>
      <c r="AG31" s="109">
        <v>53618</v>
      </c>
      <c r="AH31" s="109"/>
      <c r="AI31" s="110"/>
      <c r="AK31" s="148">
        <f>SUM(F31:AI31)</f>
        <v>6358582.6412923085</v>
      </c>
      <c r="CX31" s="306"/>
    </row>
    <row r="32" spans="1:15115" s="3" customFormat="1" ht="13.8" x14ac:dyDescent="0.25">
      <c r="B32" s="122"/>
      <c r="C32" s="105" t="s">
        <v>83</v>
      </c>
      <c r="D32" s="128">
        <v>300482.08199999999</v>
      </c>
      <c r="E32" s="26" t="s">
        <v>16</v>
      </c>
      <c r="F32" s="108"/>
      <c r="G32" s="108"/>
      <c r="H32" s="108"/>
      <c r="I32" s="108"/>
      <c r="J32" s="108"/>
      <c r="K32" s="108">
        <v>38350</v>
      </c>
      <c r="L32" s="108">
        <v>152200</v>
      </c>
      <c r="M32" s="108">
        <v>109900</v>
      </c>
      <c r="N32" s="108">
        <v>222045</v>
      </c>
      <c r="O32" s="108">
        <v>208115</v>
      </c>
      <c r="P32" s="108">
        <v>159700</v>
      </c>
      <c r="Q32" s="108"/>
      <c r="R32" s="108"/>
      <c r="S32" s="108"/>
      <c r="T32" s="108"/>
      <c r="U32" s="108"/>
      <c r="V32" s="108"/>
      <c r="W32" s="108"/>
      <c r="X32" s="108">
        <v>136687</v>
      </c>
      <c r="Y32" s="108">
        <v>205500</v>
      </c>
      <c r="Z32" s="108">
        <v>278445</v>
      </c>
      <c r="AA32" s="108">
        <v>123974</v>
      </c>
      <c r="AB32" s="108">
        <v>147987</v>
      </c>
      <c r="AC32" s="108"/>
      <c r="AD32" s="108">
        <v>99486</v>
      </c>
      <c r="AE32" s="108">
        <v>50216</v>
      </c>
      <c r="AF32" s="108">
        <v>169085.51686506416</v>
      </c>
      <c r="AG32" s="109">
        <v>17080</v>
      </c>
      <c r="AH32" s="109"/>
      <c r="AI32" s="110"/>
      <c r="AK32" s="147">
        <f>SUM(F32:AI32)</f>
        <v>2118770.5168650644</v>
      </c>
      <c r="CX32" s="306"/>
    </row>
    <row r="33" spans="1:15067" x14ac:dyDescent="0.3">
      <c r="B33" s="122"/>
      <c r="C33" s="124" t="s">
        <v>82</v>
      </c>
      <c r="D33" s="138"/>
      <c r="E33" s="126"/>
      <c r="F33" s="95"/>
      <c r="G33" s="95"/>
      <c r="H33" s="95"/>
      <c r="I33" s="139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140"/>
      <c r="AE33" s="140"/>
      <c r="AF33" s="140"/>
      <c r="AG33" s="142"/>
      <c r="AH33" s="142"/>
      <c r="AI33" s="143"/>
      <c r="AK33" s="127" t="s">
        <v>69</v>
      </c>
    </row>
    <row r="34" spans="1:15067" s="310" customFormat="1" x14ac:dyDescent="0.25">
      <c r="A34" s="67"/>
      <c r="B34" s="144"/>
      <c r="C34" s="79" t="s">
        <v>81</v>
      </c>
      <c r="D34" s="145"/>
      <c r="E34" s="146" t="s">
        <v>16</v>
      </c>
      <c r="F34" s="108">
        <f>F35/F41*100</f>
        <v>0</v>
      </c>
      <c r="G34" s="108">
        <f t="shared" ref="G34:AI34" si="10">G35/G41*100</f>
        <v>0</v>
      </c>
      <c r="H34" s="108">
        <f t="shared" si="10"/>
        <v>0</v>
      </c>
      <c r="I34" s="108">
        <f t="shared" si="10"/>
        <v>0</v>
      </c>
      <c r="J34" s="108">
        <f t="shared" si="10"/>
        <v>0</v>
      </c>
      <c r="K34" s="108">
        <f t="shared" si="10"/>
        <v>0</v>
      </c>
      <c r="L34" s="108">
        <f t="shared" si="10"/>
        <v>0</v>
      </c>
      <c r="M34" s="108">
        <f t="shared" si="10"/>
        <v>0</v>
      </c>
      <c r="N34" s="108">
        <f t="shared" si="10"/>
        <v>0</v>
      </c>
      <c r="O34" s="108">
        <f t="shared" si="10"/>
        <v>0</v>
      </c>
      <c r="P34" s="108">
        <f t="shared" si="10"/>
        <v>0</v>
      </c>
      <c r="Q34" s="108">
        <f t="shared" si="10"/>
        <v>354550.90747861407</v>
      </c>
      <c r="R34" s="108">
        <f t="shared" si="10"/>
        <v>0</v>
      </c>
      <c r="S34" s="108">
        <f t="shared" si="10"/>
        <v>0</v>
      </c>
      <c r="T34" s="108">
        <f t="shared" si="10"/>
        <v>0</v>
      </c>
      <c r="U34" s="108">
        <f t="shared" si="10"/>
        <v>0</v>
      </c>
      <c r="V34" s="108">
        <f t="shared" si="10"/>
        <v>0</v>
      </c>
      <c r="W34" s="108">
        <f t="shared" si="10"/>
        <v>0</v>
      </c>
      <c r="X34" s="108">
        <f t="shared" si="10"/>
        <v>0</v>
      </c>
      <c r="Y34" s="108">
        <f t="shared" si="10"/>
        <v>0</v>
      </c>
      <c r="Z34" s="108">
        <f t="shared" si="10"/>
        <v>0</v>
      </c>
      <c r="AA34" s="108">
        <f t="shared" si="10"/>
        <v>304581.4656126693</v>
      </c>
      <c r="AB34" s="108">
        <f t="shared" si="10"/>
        <v>0</v>
      </c>
      <c r="AC34" s="108">
        <f t="shared" si="10"/>
        <v>0</v>
      </c>
      <c r="AD34" s="108">
        <f t="shared" si="10"/>
        <v>0</v>
      </c>
      <c r="AE34" s="108">
        <f t="shared" si="10"/>
        <v>427334.42758062604</v>
      </c>
      <c r="AF34" s="108">
        <f t="shared" si="10"/>
        <v>0</v>
      </c>
      <c r="AG34" s="108">
        <f t="shared" si="10"/>
        <v>376801.05028981395</v>
      </c>
      <c r="AH34" s="108">
        <f t="shared" si="10"/>
        <v>298561.85569837637</v>
      </c>
      <c r="AI34" s="108">
        <f t="shared" si="10"/>
        <v>0</v>
      </c>
      <c r="AJ34" s="67"/>
      <c r="AK34" s="147">
        <f>SUM(F34:AI34)</f>
        <v>1761829.7066600998</v>
      </c>
      <c r="AL34" s="309"/>
      <c r="AM34" s="309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313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309"/>
      <c r="CY34" s="67"/>
      <c r="CZ34" s="67"/>
      <c r="DA34" s="67"/>
      <c r="DB34" s="67"/>
      <c r="DC34" s="67"/>
      <c r="DD34" s="67"/>
      <c r="DE34" s="67"/>
      <c r="DF34" s="67"/>
      <c r="DG34" s="67"/>
      <c r="DH34" s="67"/>
      <c r="DI34" s="67"/>
      <c r="DJ34" s="67"/>
      <c r="DK34" s="67"/>
      <c r="DL34" s="67"/>
      <c r="DM34" s="67"/>
      <c r="DN34" s="67"/>
      <c r="DO34" s="67"/>
      <c r="DP34" s="67"/>
      <c r="DQ34" s="67"/>
      <c r="DR34" s="67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67"/>
      <c r="ER34" s="67"/>
      <c r="ES34" s="67"/>
      <c r="ET34" s="67"/>
      <c r="EU34" s="67"/>
      <c r="EV34" s="67"/>
      <c r="EW34" s="67"/>
      <c r="EX34" s="67"/>
      <c r="EY34" s="67"/>
      <c r="EZ34" s="67"/>
      <c r="FA34" s="67"/>
      <c r="FB34" s="67"/>
      <c r="FC34" s="67"/>
      <c r="FD34" s="67"/>
      <c r="FE34" s="67"/>
      <c r="FF34" s="67"/>
      <c r="FG34" s="67"/>
      <c r="FH34" s="67"/>
      <c r="FI34" s="67"/>
      <c r="FJ34" s="67"/>
      <c r="FK34" s="67"/>
      <c r="FL34" s="67"/>
      <c r="FM34" s="67"/>
      <c r="FN34" s="67"/>
      <c r="FO34" s="67"/>
      <c r="FP34" s="67"/>
      <c r="FQ34" s="67"/>
      <c r="FR34" s="67"/>
      <c r="FS34" s="67"/>
      <c r="FT34" s="67"/>
      <c r="FU34" s="67"/>
      <c r="FV34" s="67"/>
      <c r="FW34" s="67"/>
      <c r="FX34" s="67"/>
      <c r="FY34" s="67"/>
      <c r="FZ34" s="67"/>
      <c r="GA34" s="67"/>
      <c r="GB34" s="67"/>
      <c r="GC34" s="67"/>
      <c r="GD34" s="67"/>
      <c r="GE34" s="67"/>
      <c r="GF34" s="67"/>
      <c r="GG34" s="67"/>
      <c r="GH34" s="67"/>
      <c r="GI34" s="67"/>
      <c r="GJ34" s="67"/>
      <c r="GK34" s="67"/>
      <c r="GL34" s="67"/>
      <c r="GM34" s="67"/>
      <c r="GN34" s="67"/>
      <c r="GO34" s="67"/>
      <c r="GP34" s="67"/>
      <c r="GQ34" s="67"/>
      <c r="GR34" s="67"/>
      <c r="GS34" s="67"/>
      <c r="GT34" s="67"/>
      <c r="GU34" s="67"/>
      <c r="GV34" s="67"/>
      <c r="GW34" s="67"/>
      <c r="GX34" s="67"/>
      <c r="GY34" s="67"/>
      <c r="GZ34" s="67"/>
      <c r="HA34" s="67"/>
      <c r="HB34" s="67"/>
      <c r="HC34" s="67"/>
      <c r="HD34" s="67"/>
      <c r="HE34" s="67"/>
      <c r="HF34" s="67"/>
      <c r="HG34" s="67"/>
      <c r="HH34" s="67"/>
      <c r="HI34" s="67"/>
      <c r="HJ34" s="67"/>
      <c r="HK34" s="67"/>
      <c r="HL34" s="67"/>
      <c r="HM34" s="67"/>
      <c r="HN34" s="67"/>
      <c r="HO34" s="67"/>
      <c r="HP34" s="67"/>
      <c r="HQ34" s="67"/>
      <c r="HR34" s="67"/>
      <c r="HS34" s="67"/>
      <c r="HT34" s="67"/>
      <c r="HU34" s="67"/>
      <c r="HV34" s="67"/>
      <c r="HW34" s="67"/>
      <c r="HX34" s="67"/>
      <c r="HY34" s="67"/>
      <c r="HZ34" s="67"/>
      <c r="IA34" s="67"/>
      <c r="IB34" s="67"/>
      <c r="IC34" s="67"/>
      <c r="ID34" s="67"/>
      <c r="IE34" s="67"/>
      <c r="IF34" s="67"/>
      <c r="IG34" s="67"/>
      <c r="IH34" s="67"/>
      <c r="II34" s="67"/>
      <c r="IJ34" s="67"/>
      <c r="IK34" s="67"/>
      <c r="IL34" s="67"/>
      <c r="IM34" s="67"/>
      <c r="IN34" s="67"/>
      <c r="IO34" s="67"/>
      <c r="IP34" s="67"/>
      <c r="IQ34" s="67"/>
      <c r="IR34" s="67"/>
      <c r="IS34" s="67"/>
      <c r="IT34" s="67"/>
      <c r="IU34" s="67"/>
      <c r="IV34" s="67"/>
      <c r="IW34" s="67"/>
      <c r="IX34" s="67"/>
      <c r="IY34" s="67"/>
      <c r="IZ34" s="67"/>
      <c r="JA34" s="67"/>
      <c r="JB34" s="67"/>
      <c r="JC34" s="67"/>
      <c r="JD34" s="67"/>
      <c r="JE34" s="67"/>
      <c r="JF34" s="67"/>
      <c r="JG34" s="67"/>
      <c r="JH34" s="67"/>
      <c r="JI34" s="67"/>
      <c r="JJ34" s="67"/>
      <c r="JK34" s="67"/>
      <c r="JL34" s="67"/>
      <c r="JM34" s="67"/>
      <c r="JN34" s="67"/>
      <c r="JO34" s="67"/>
      <c r="JP34" s="67"/>
      <c r="JQ34" s="67"/>
      <c r="JR34" s="67"/>
      <c r="JS34" s="67"/>
      <c r="JT34" s="67"/>
      <c r="JU34" s="67"/>
      <c r="JV34" s="67"/>
      <c r="JW34" s="67"/>
      <c r="JX34" s="67"/>
      <c r="JY34" s="67"/>
      <c r="JZ34" s="67"/>
      <c r="KA34" s="67"/>
      <c r="KB34" s="67"/>
      <c r="KC34" s="67"/>
      <c r="KD34" s="67"/>
      <c r="KE34" s="67"/>
      <c r="KF34" s="67"/>
      <c r="KG34" s="67"/>
      <c r="KH34" s="67"/>
      <c r="KI34" s="67"/>
      <c r="KJ34" s="67"/>
      <c r="KK34" s="67"/>
      <c r="KL34" s="67"/>
      <c r="KM34" s="67"/>
      <c r="KN34" s="67"/>
      <c r="KO34" s="67"/>
      <c r="KP34" s="67"/>
      <c r="KQ34" s="67"/>
      <c r="KR34" s="67"/>
      <c r="KS34" s="67"/>
      <c r="KT34" s="67"/>
      <c r="KU34" s="67"/>
      <c r="KV34" s="67"/>
      <c r="KW34" s="67"/>
      <c r="KX34" s="67"/>
      <c r="KY34" s="67"/>
      <c r="KZ34" s="67"/>
      <c r="LA34" s="67"/>
      <c r="LB34" s="67"/>
      <c r="LC34" s="67"/>
      <c r="LD34" s="67"/>
      <c r="LE34" s="67"/>
      <c r="LF34" s="67"/>
      <c r="LG34" s="67"/>
      <c r="LH34" s="67"/>
      <c r="LI34" s="67"/>
      <c r="LJ34" s="67"/>
      <c r="LK34" s="67"/>
      <c r="LL34" s="67"/>
      <c r="LM34" s="67"/>
      <c r="LN34" s="67"/>
      <c r="LO34" s="67"/>
      <c r="LP34" s="67"/>
      <c r="LQ34" s="67"/>
      <c r="LR34" s="67"/>
      <c r="LS34" s="67"/>
      <c r="LT34" s="67"/>
      <c r="LU34" s="67"/>
      <c r="LV34" s="67"/>
      <c r="LW34" s="67"/>
      <c r="LX34" s="67"/>
      <c r="LY34" s="67"/>
      <c r="LZ34" s="67"/>
      <c r="MA34" s="67"/>
      <c r="MB34" s="67"/>
      <c r="MC34" s="67"/>
      <c r="MD34" s="67"/>
      <c r="ME34" s="67"/>
      <c r="MF34" s="67"/>
      <c r="MG34" s="67"/>
      <c r="MH34" s="67"/>
      <c r="MI34" s="67"/>
      <c r="MJ34" s="67"/>
      <c r="MK34" s="67"/>
      <c r="ML34" s="67"/>
      <c r="MM34" s="67"/>
      <c r="MN34" s="67"/>
      <c r="MO34" s="67"/>
      <c r="MP34" s="67"/>
      <c r="MQ34" s="67"/>
      <c r="MR34" s="67"/>
      <c r="MS34" s="67"/>
      <c r="MT34" s="67"/>
      <c r="MU34" s="67"/>
      <c r="MV34" s="67"/>
      <c r="MW34" s="67"/>
      <c r="MX34" s="67"/>
      <c r="MY34" s="67"/>
      <c r="MZ34" s="67"/>
      <c r="NA34" s="67"/>
      <c r="NB34" s="67"/>
      <c r="NC34" s="67"/>
      <c r="ND34" s="67"/>
      <c r="NE34" s="67"/>
      <c r="NF34" s="67"/>
      <c r="NG34" s="67"/>
      <c r="NH34" s="67"/>
      <c r="NI34" s="67"/>
      <c r="NJ34" s="67"/>
      <c r="NK34" s="67"/>
      <c r="NL34" s="67"/>
      <c r="NM34" s="67"/>
      <c r="NN34" s="67"/>
      <c r="NO34" s="67"/>
      <c r="NP34" s="67"/>
      <c r="NQ34" s="67"/>
      <c r="NR34" s="67"/>
      <c r="NS34" s="67"/>
      <c r="NT34" s="67"/>
      <c r="NU34" s="67"/>
      <c r="NV34" s="67"/>
      <c r="NW34" s="67"/>
      <c r="NX34" s="67"/>
      <c r="NY34" s="67"/>
      <c r="NZ34" s="67"/>
      <c r="OA34" s="67"/>
      <c r="OB34" s="67"/>
      <c r="OC34" s="67"/>
      <c r="OD34" s="67"/>
      <c r="OE34" s="67"/>
      <c r="OF34" s="67"/>
      <c r="OG34" s="67"/>
      <c r="OH34" s="67"/>
      <c r="OI34" s="67"/>
      <c r="OJ34" s="67"/>
      <c r="OK34" s="67"/>
      <c r="OL34" s="67"/>
      <c r="OM34" s="67"/>
      <c r="ON34" s="67"/>
      <c r="OO34" s="67"/>
      <c r="OP34" s="67"/>
      <c r="OQ34" s="67"/>
      <c r="OR34" s="67"/>
      <c r="OS34" s="67"/>
      <c r="OT34" s="67"/>
      <c r="OU34" s="67"/>
      <c r="OV34" s="67"/>
      <c r="OW34" s="67"/>
      <c r="OX34" s="67"/>
      <c r="OY34" s="67"/>
      <c r="OZ34" s="67"/>
      <c r="PA34" s="67"/>
      <c r="PB34" s="67"/>
      <c r="PC34" s="67"/>
      <c r="PD34" s="67"/>
      <c r="PE34" s="67"/>
      <c r="PF34" s="67"/>
      <c r="PG34" s="67"/>
      <c r="PH34" s="67"/>
      <c r="PI34" s="67"/>
      <c r="PJ34" s="67"/>
      <c r="PK34" s="67"/>
      <c r="PL34" s="67"/>
      <c r="PM34" s="67"/>
      <c r="PN34" s="67"/>
      <c r="PO34" s="67"/>
      <c r="PP34" s="67"/>
      <c r="PQ34" s="67"/>
      <c r="PR34" s="67"/>
      <c r="PS34" s="67"/>
      <c r="PT34" s="67"/>
      <c r="PU34" s="67"/>
      <c r="PV34" s="67"/>
      <c r="PW34" s="67"/>
      <c r="PX34" s="67"/>
      <c r="PY34" s="67"/>
      <c r="PZ34" s="67"/>
      <c r="QA34" s="67"/>
      <c r="QB34" s="67"/>
      <c r="QC34" s="67"/>
      <c r="QD34" s="67"/>
      <c r="QE34" s="67"/>
      <c r="QF34" s="67"/>
      <c r="QG34" s="67"/>
      <c r="QH34" s="67"/>
      <c r="QI34" s="67"/>
      <c r="QJ34" s="67"/>
      <c r="QK34" s="67"/>
      <c r="QL34" s="67"/>
      <c r="QM34" s="67"/>
      <c r="QN34" s="67"/>
      <c r="QO34" s="67"/>
      <c r="QP34" s="67"/>
      <c r="QQ34" s="67"/>
      <c r="QR34" s="67"/>
      <c r="QS34" s="67"/>
      <c r="QT34" s="67"/>
      <c r="QU34" s="67"/>
      <c r="QV34" s="67"/>
      <c r="QW34" s="67"/>
      <c r="QX34" s="67"/>
      <c r="QY34" s="67"/>
      <c r="QZ34" s="67"/>
      <c r="RA34" s="67"/>
      <c r="RB34" s="67"/>
      <c r="RC34" s="67"/>
      <c r="RD34" s="67"/>
      <c r="RE34" s="67"/>
      <c r="RF34" s="67"/>
      <c r="RG34" s="67"/>
      <c r="RH34" s="67"/>
      <c r="RI34" s="67"/>
      <c r="RJ34" s="67"/>
      <c r="RK34" s="67"/>
      <c r="RL34" s="67"/>
      <c r="RM34" s="67"/>
      <c r="RN34" s="67"/>
      <c r="RO34" s="67"/>
      <c r="RP34" s="67"/>
      <c r="RQ34" s="67"/>
      <c r="RR34" s="67"/>
      <c r="RS34" s="67"/>
      <c r="RT34" s="67"/>
      <c r="RU34" s="67"/>
      <c r="RV34" s="67"/>
      <c r="RW34" s="67"/>
      <c r="RX34" s="67"/>
      <c r="RY34" s="67"/>
      <c r="RZ34" s="67"/>
      <c r="SA34" s="67"/>
      <c r="SB34" s="67"/>
      <c r="SC34" s="67"/>
      <c r="SD34" s="67"/>
      <c r="SE34" s="67"/>
      <c r="SF34" s="67"/>
      <c r="SG34" s="67"/>
      <c r="SH34" s="67"/>
      <c r="SI34" s="67"/>
      <c r="SJ34" s="67"/>
      <c r="SK34" s="67"/>
      <c r="SL34" s="67"/>
      <c r="SM34" s="67"/>
      <c r="SN34" s="67"/>
      <c r="SO34" s="67"/>
      <c r="SP34" s="67"/>
      <c r="SQ34" s="67"/>
      <c r="SR34" s="67"/>
      <c r="SS34" s="67"/>
      <c r="ST34" s="67"/>
      <c r="SU34" s="67"/>
      <c r="SV34" s="67"/>
      <c r="SW34" s="67"/>
      <c r="SX34" s="67"/>
      <c r="SY34" s="67"/>
      <c r="SZ34" s="67"/>
      <c r="TA34" s="67"/>
      <c r="TB34" s="67"/>
      <c r="TC34" s="67"/>
      <c r="TD34" s="67"/>
      <c r="TE34" s="67"/>
      <c r="TF34" s="67"/>
      <c r="TG34" s="67"/>
      <c r="TH34" s="67"/>
      <c r="TI34" s="67"/>
      <c r="TJ34" s="67"/>
      <c r="TK34" s="67"/>
      <c r="TL34" s="67"/>
      <c r="TM34" s="67"/>
      <c r="TN34" s="67"/>
      <c r="TO34" s="67"/>
      <c r="TP34" s="67"/>
      <c r="TQ34" s="67"/>
      <c r="TR34" s="67"/>
      <c r="TS34" s="67"/>
      <c r="TT34" s="67"/>
      <c r="TU34" s="67"/>
      <c r="TV34" s="67"/>
      <c r="TW34" s="67"/>
      <c r="TX34" s="67"/>
      <c r="TY34" s="67"/>
      <c r="TZ34" s="67"/>
      <c r="UA34" s="67"/>
      <c r="UB34" s="67"/>
      <c r="UC34" s="67"/>
      <c r="UD34" s="67"/>
      <c r="UE34" s="67"/>
      <c r="UF34" s="67"/>
      <c r="UG34" s="67"/>
      <c r="UH34" s="67"/>
      <c r="UI34" s="67"/>
      <c r="UJ34" s="67"/>
      <c r="UK34" s="67"/>
      <c r="UL34" s="67"/>
      <c r="UM34" s="67"/>
      <c r="UN34" s="67"/>
      <c r="UO34" s="67"/>
      <c r="UP34" s="67"/>
      <c r="UQ34" s="67"/>
      <c r="UR34" s="67"/>
      <c r="US34" s="67"/>
      <c r="UT34" s="67"/>
      <c r="UU34" s="67"/>
      <c r="UV34" s="67"/>
      <c r="UW34" s="67"/>
      <c r="UX34" s="67"/>
      <c r="UY34" s="67"/>
      <c r="UZ34" s="67"/>
      <c r="VA34" s="67"/>
      <c r="VB34" s="67"/>
      <c r="VC34" s="67"/>
      <c r="VD34" s="67"/>
      <c r="VE34" s="67"/>
      <c r="VF34" s="67"/>
      <c r="VG34" s="67"/>
      <c r="VH34" s="67"/>
      <c r="VI34" s="67"/>
      <c r="VJ34" s="67"/>
      <c r="VK34" s="67"/>
      <c r="VL34" s="67"/>
      <c r="VM34" s="67"/>
      <c r="VN34" s="67"/>
      <c r="VO34" s="67"/>
      <c r="VP34" s="67"/>
      <c r="VQ34" s="67"/>
      <c r="VR34" s="67"/>
      <c r="VS34" s="67"/>
      <c r="VT34" s="67"/>
      <c r="VU34" s="67"/>
      <c r="VV34" s="67"/>
      <c r="VW34" s="67"/>
      <c r="VX34" s="67"/>
      <c r="VY34" s="67"/>
      <c r="VZ34" s="67"/>
      <c r="WA34" s="67"/>
      <c r="WB34" s="67"/>
      <c r="WC34" s="67"/>
      <c r="WD34" s="67"/>
      <c r="WE34" s="67"/>
      <c r="WF34" s="67"/>
      <c r="WG34" s="67"/>
      <c r="WH34" s="67"/>
      <c r="WI34" s="67"/>
      <c r="WJ34" s="67"/>
      <c r="WK34" s="67"/>
      <c r="WL34" s="67"/>
      <c r="WM34" s="67"/>
      <c r="WN34" s="67"/>
      <c r="WO34" s="67"/>
      <c r="WP34" s="67"/>
      <c r="WQ34" s="67"/>
      <c r="WR34" s="67"/>
      <c r="WS34" s="67"/>
      <c r="WT34" s="67"/>
      <c r="WU34" s="67"/>
      <c r="WV34" s="67"/>
      <c r="WW34" s="67"/>
      <c r="WX34" s="67"/>
      <c r="WY34" s="67"/>
      <c r="WZ34" s="67"/>
      <c r="XA34" s="67"/>
      <c r="XB34" s="67"/>
      <c r="XC34" s="67"/>
      <c r="XD34" s="67"/>
      <c r="XE34" s="67"/>
      <c r="XF34" s="67"/>
      <c r="XG34" s="67"/>
      <c r="XH34" s="67"/>
      <c r="XI34" s="67"/>
      <c r="XJ34" s="67"/>
      <c r="XK34" s="67"/>
      <c r="XL34" s="67"/>
      <c r="XM34" s="67"/>
      <c r="XN34" s="67"/>
      <c r="XO34" s="67"/>
      <c r="XP34" s="67"/>
      <c r="XQ34" s="67"/>
      <c r="XR34" s="67"/>
      <c r="XS34" s="67"/>
      <c r="XT34" s="67"/>
      <c r="XU34" s="67"/>
      <c r="XV34" s="67"/>
      <c r="XW34" s="67"/>
      <c r="XX34" s="67"/>
      <c r="XY34" s="67"/>
      <c r="XZ34" s="67"/>
      <c r="YA34" s="67"/>
      <c r="YB34" s="67"/>
      <c r="YC34" s="67"/>
      <c r="YD34" s="67"/>
      <c r="YE34" s="67"/>
      <c r="YF34" s="67"/>
      <c r="YG34" s="67"/>
      <c r="YH34" s="67"/>
      <c r="YI34" s="67"/>
      <c r="YJ34" s="67"/>
      <c r="YK34" s="67"/>
      <c r="YL34" s="67"/>
      <c r="YM34" s="67"/>
      <c r="YN34" s="67"/>
      <c r="YO34" s="67"/>
      <c r="YP34" s="67"/>
      <c r="YQ34" s="67"/>
      <c r="YR34" s="67"/>
      <c r="YS34" s="67"/>
      <c r="YT34" s="67"/>
      <c r="YU34" s="67"/>
      <c r="YV34" s="67"/>
      <c r="YW34" s="67"/>
      <c r="YX34" s="67"/>
      <c r="YY34" s="67"/>
      <c r="YZ34" s="67"/>
      <c r="ZA34" s="67"/>
      <c r="ZB34" s="67"/>
      <c r="ZC34" s="67"/>
      <c r="ZD34" s="67"/>
      <c r="ZE34" s="67"/>
      <c r="ZF34" s="67"/>
      <c r="ZG34" s="67"/>
      <c r="ZH34" s="67"/>
      <c r="ZI34" s="67"/>
      <c r="ZJ34" s="67"/>
      <c r="ZK34" s="67"/>
      <c r="ZL34" s="67"/>
      <c r="ZM34" s="67"/>
      <c r="ZN34" s="67"/>
      <c r="ZO34" s="67"/>
      <c r="ZP34" s="67"/>
      <c r="ZQ34" s="67"/>
      <c r="ZR34" s="67"/>
      <c r="ZS34" s="67"/>
      <c r="ZT34" s="67"/>
      <c r="ZU34" s="67"/>
      <c r="ZV34" s="67"/>
      <c r="ZW34" s="67"/>
      <c r="ZX34" s="67"/>
      <c r="ZY34" s="67"/>
      <c r="ZZ34" s="67"/>
      <c r="AAA34" s="67"/>
      <c r="AAB34" s="67"/>
      <c r="AAC34" s="67"/>
      <c r="AAD34" s="67"/>
      <c r="AAE34" s="67"/>
      <c r="AAF34" s="67"/>
      <c r="AAG34" s="67"/>
      <c r="AAH34" s="67"/>
      <c r="AAI34" s="67"/>
      <c r="AAJ34" s="67"/>
      <c r="AAK34" s="67"/>
      <c r="AAL34" s="67"/>
      <c r="AAM34" s="67"/>
      <c r="AAN34" s="67"/>
      <c r="AAO34" s="67"/>
      <c r="AAP34" s="67"/>
      <c r="AAQ34" s="67"/>
      <c r="AAR34" s="67"/>
      <c r="AAS34" s="67"/>
      <c r="AAT34" s="67"/>
      <c r="AAU34" s="67"/>
      <c r="AAV34" s="67"/>
      <c r="AAW34" s="67"/>
      <c r="AAX34" s="67"/>
      <c r="AAY34" s="67"/>
      <c r="AAZ34" s="67"/>
      <c r="ABA34" s="67"/>
      <c r="ABB34" s="67"/>
      <c r="ABC34" s="67"/>
      <c r="ABD34" s="67"/>
      <c r="ABE34" s="67"/>
      <c r="ABF34" s="67"/>
      <c r="ABG34" s="67"/>
      <c r="ABH34" s="67"/>
      <c r="ABI34" s="67"/>
      <c r="ABJ34" s="67"/>
      <c r="ABK34" s="67"/>
      <c r="ABL34" s="67"/>
      <c r="ABM34" s="67"/>
      <c r="ABN34" s="67"/>
      <c r="ABO34" s="67"/>
      <c r="ABP34" s="67"/>
      <c r="ABQ34" s="67"/>
      <c r="ABR34" s="67"/>
      <c r="ABS34" s="67"/>
      <c r="ABT34" s="67"/>
      <c r="ABU34" s="67"/>
      <c r="ABV34" s="67"/>
      <c r="ABW34" s="67"/>
      <c r="ABX34" s="67"/>
      <c r="ABY34" s="67"/>
      <c r="ABZ34" s="67"/>
      <c r="ACA34" s="67"/>
      <c r="ACB34" s="67"/>
      <c r="ACC34" s="67"/>
      <c r="ACD34" s="67"/>
      <c r="ACE34" s="67"/>
      <c r="ACF34" s="67"/>
      <c r="ACG34" s="67"/>
      <c r="ACH34" s="67"/>
      <c r="ACI34" s="67"/>
      <c r="ACJ34" s="67"/>
      <c r="ACK34" s="67"/>
      <c r="ACL34" s="67"/>
      <c r="ACM34" s="67"/>
      <c r="ACN34" s="67"/>
      <c r="ACO34" s="67"/>
      <c r="ACP34" s="67"/>
      <c r="ACQ34" s="67"/>
      <c r="ACR34" s="67"/>
      <c r="ACS34" s="67"/>
      <c r="ACT34" s="67"/>
      <c r="ACU34" s="67"/>
      <c r="ACV34" s="67"/>
      <c r="ACW34" s="67"/>
      <c r="ACX34" s="67"/>
      <c r="ACY34" s="67"/>
      <c r="ACZ34" s="67"/>
      <c r="ADA34" s="67"/>
      <c r="ADB34" s="67"/>
      <c r="ADC34" s="67"/>
      <c r="ADD34" s="67"/>
      <c r="ADE34" s="67"/>
      <c r="ADF34" s="67"/>
      <c r="ADG34" s="67"/>
      <c r="ADH34" s="67"/>
      <c r="ADI34" s="67"/>
      <c r="ADJ34" s="67"/>
      <c r="ADK34" s="67"/>
      <c r="ADL34" s="67"/>
      <c r="ADM34" s="67"/>
      <c r="ADN34" s="67"/>
      <c r="ADO34" s="67"/>
      <c r="ADP34" s="67"/>
      <c r="ADQ34" s="67"/>
      <c r="ADR34" s="67"/>
      <c r="ADS34" s="67"/>
      <c r="ADT34" s="67"/>
      <c r="ADU34" s="67"/>
      <c r="ADV34" s="67"/>
      <c r="ADW34" s="67"/>
      <c r="ADX34" s="67"/>
      <c r="ADY34" s="67"/>
      <c r="ADZ34" s="67"/>
      <c r="AEA34" s="67"/>
      <c r="AEB34" s="67"/>
      <c r="AEC34" s="67"/>
      <c r="AED34" s="67"/>
      <c r="AEE34" s="67"/>
      <c r="AEF34" s="67"/>
      <c r="AEG34" s="67"/>
      <c r="AEH34" s="67"/>
      <c r="AEI34" s="67"/>
      <c r="AEJ34" s="67"/>
      <c r="AEK34" s="67"/>
      <c r="AEL34" s="67"/>
      <c r="AEM34" s="67"/>
      <c r="AEN34" s="67"/>
      <c r="AEO34" s="67"/>
      <c r="AEP34" s="67"/>
      <c r="AEQ34" s="67"/>
      <c r="AER34" s="67"/>
      <c r="AES34" s="67"/>
      <c r="AET34" s="67"/>
      <c r="AEU34" s="67"/>
      <c r="AEV34" s="67"/>
      <c r="AEW34" s="67"/>
      <c r="AEX34" s="67"/>
      <c r="AEY34" s="67"/>
      <c r="AEZ34" s="67"/>
      <c r="AFA34" s="67"/>
      <c r="AFB34" s="67"/>
      <c r="AFC34" s="67"/>
      <c r="AFD34" s="67"/>
      <c r="AFE34" s="67"/>
      <c r="AFF34" s="67"/>
      <c r="AFG34" s="67"/>
      <c r="AFH34" s="67"/>
      <c r="AFI34" s="67"/>
      <c r="AFJ34" s="67"/>
      <c r="AFK34" s="67"/>
      <c r="AFL34" s="67"/>
      <c r="AFM34" s="67"/>
      <c r="AFN34" s="67"/>
      <c r="AFO34" s="67"/>
      <c r="AFP34" s="67"/>
      <c r="AFQ34" s="67"/>
      <c r="AFR34" s="67"/>
      <c r="AFS34" s="67"/>
      <c r="AFT34" s="67"/>
      <c r="AFU34" s="67"/>
      <c r="AFV34" s="67"/>
      <c r="AFW34" s="67"/>
      <c r="AFX34" s="67"/>
      <c r="AFY34" s="67"/>
      <c r="AFZ34" s="67"/>
      <c r="AGA34" s="67"/>
      <c r="AGB34" s="67"/>
      <c r="AGC34" s="67"/>
      <c r="AGD34" s="67"/>
      <c r="AGE34" s="67"/>
      <c r="AGF34" s="67"/>
      <c r="AGG34" s="67"/>
      <c r="AGH34" s="67"/>
      <c r="AGI34" s="67"/>
      <c r="AGJ34" s="67"/>
      <c r="AGK34" s="67"/>
      <c r="AGL34" s="67"/>
      <c r="AGM34" s="67"/>
      <c r="AGN34" s="67"/>
      <c r="AGO34" s="67"/>
      <c r="AGP34" s="67"/>
      <c r="AGQ34" s="67"/>
      <c r="AGR34" s="67"/>
      <c r="AGS34" s="67"/>
      <c r="AGT34" s="67"/>
      <c r="AGU34" s="67"/>
      <c r="AGV34" s="67"/>
      <c r="AGW34" s="67"/>
      <c r="AGX34" s="67"/>
      <c r="AGY34" s="67"/>
      <c r="AGZ34" s="67"/>
      <c r="AHA34" s="67"/>
      <c r="AHB34" s="67"/>
      <c r="AHC34" s="67"/>
      <c r="AHD34" s="67"/>
      <c r="AHE34" s="67"/>
      <c r="AHF34" s="67"/>
      <c r="AHG34" s="67"/>
      <c r="AHH34" s="67"/>
      <c r="AHI34" s="67"/>
      <c r="AHJ34" s="67"/>
      <c r="AHK34" s="67"/>
      <c r="AHL34" s="67"/>
      <c r="AHM34" s="67"/>
      <c r="AHN34" s="67"/>
      <c r="AHO34" s="67"/>
      <c r="AHP34" s="67"/>
      <c r="AHQ34" s="67"/>
      <c r="AHR34" s="67"/>
      <c r="AHS34" s="67"/>
      <c r="AHT34" s="67"/>
      <c r="AHU34" s="67"/>
      <c r="AHV34" s="67"/>
      <c r="AHW34" s="67"/>
      <c r="AHX34" s="67"/>
      <c r="AHY34" s="67"/>
      <c r="AHZ34" s="67"/>
      <c r="AIA34" s="67"/>
      <c r="AIB34" s="67"/>
      <c r="AIC34" s="67"/>
      <c r="AID34" s="67"/>
      <c r="AIE34" s="67"/>
      <c r="AIF34" s="67"/>
      <c r="AIG34" s="67"/>
      <c r="AIH34" s="67"/>
      <c r="AII34" s="67"/>
      <c r="AIJ34" s="67"/>
      <c r="AIK34" s="67"/>
      <c r="AIL34" s="67"/>
      <c r="AIM34" s="67"/>
      <c r="AIN34" s="67"/>
      <c r="AIO34" s="67"/>
      <c r="AIP34" s="67"/>
      <c r="AIQ34" s="67"/>
      <c r="AIR34" s="67"/>
      <c r="AIS34" s="67"/>
      <c r="AIT34" s="67"/>
      <c r="AIU34" s="67"/>
      <c r="AIV34" s="67"/>
      <c r="AIW34" s="67"/>
      <c r="AIX34" s="67"/>
      <c r="AIY34" s="67"/>
      <c r="AIZ34" s="67"/>
      <c r="AJA34" s="67"/>
      <c r="AJB34" s="67"/>
      <c r="AJC34" s="67"/>
      <c r="AJD34" s="67"/>
      <c r="AJE34" s="67"/>
      <c r="AJF34" s="67"/>
      <c r="AJG34" s="67"/>
      <c r="AJH34" s="67"/>
      <c r="AJI34" s="67"/>
      <c r="AJJ34" s="67"/>
      <c r="AJK34" s="67"/>
      <c r="AJL34" s="67"/>
      <c r="AJM34" s="67"/>
      <c r="AJN34" s="67"/>
      <c r="AJO34" s="67"/>
      <c r="AJP34" s="67"/>
      <c r="AJQ34" s="67"/>
      <c r="AJR34" s="67"/>
      <c r="AJS34" s="67"/>
      <c r="AJT34" s="67"/>
      <c r="AJU34" s="67"/>
      <c r="AJV34" s="67"/>
      <c r="AJW34" s="67"/>
      <c r="AJX34" s="67"/>
      <c r="AJY34" s="67"/>
      <c r="AJZ34" s="67"/>
      <c r="AKA34" s="67"/>
      <c r="AKB34" s="67"/>
      <c r="AKC34" s="67"/>
      <c r="AKD34" s="67"/>
      <c r="AKE34" s="67"/>
      <c r="AKF34" s="67"/>
      <c r="AKG34" s="67"/>
      <c r="AKH34" s="67"/>
      <c r="AKI34" s="67"/>
      <c r="AKJ34" s="67"/>
      <c r="AKK34" s="67"/>
      <c r="AKL34" s="67"/>
      <c r="AKM34" s="67"/>
      <c r="AKN34" s="67"/>
      <c r="AKO34" s="67"/>
      <c r="AKP34" s="67"/>
      <c r="AKQ34" s="67"/>
      <c r="AKR34" s="67"/>
      <c r="AKS34" s="67"/>
      <c r="AKT34" s="67"/>
      <c r="AKU34" s="67"/>
      <c r="AKV34" s="67"/>
      <c r="AKW34" s="67"/>
      <c r="AKX34" s="67"/>
      <c r="AKY34" s="67"/>
      <c r="AKZ34" s="67"/>
      <c r="ALA34" s="67"/>
      <c r="ALB34" s="67"/>
      <c r="ALC34" s="67"/>
      <c r="ALD34" s="67"/>
      <c r="ALE34" s="67"/>
      <c r="ALF34" s="67"/>
      <c r="ALG34" s="67"/>
      <c r="ALH34" s="67"/>
      <c r="ALI34" s="67"/>
      <c r="ALJ34" s="67"/>
      <c r="ALK34" s="67"/>
      <c r="ALL34" s="67"/>
      <c r="ALM34" s="67"/>
      <c r="ALN34" s="67"/>
      <c r="ALO34" s="67"/>
      <c r="ALP34" s="67"/>
      <c r="ALQ34" s="67"/>
      <c r="ALR34" s="67"/>
      <c r="ALS34" s="67"/>
      <c r="ALT34" s="67"/>
      <c r="ALU34" s="67"/>
      <c r="ALV34" s="67"/>
      <c r="ALW34" s="67"/>
      <c r="ALX34" s="67"/>
      <c r="ALY34" s="67"/>
      <c r="ALZ34" s="67"/>
      <c r="AMA34" s="67"/>
      <c r="AMB34" s="67"/>
      <c r="AMC34" s="67"/>
      <c r="AMD34" s="67"/>
      <c r="AME34" s="67"/>
      <c r="AMF34" s="67"/>
      <c r="AMG34" s="67"/>
      <c r="AMH34" s="67"/>
      <c r="AMI34" s="67"/>
      <c r="AMJ34" s="67"/>
      <c r="AMK34" s="67"/>
      <c r="AML34" s="67"/>
      <c r="AMM34" s="67"/>
      <c r="AMN34" s="67"/>
      <c r="AMO34" s="67"/>
      <c r="AMP34" s="67"/>
      <c r="AMQ34" s="67"/>
      <c r="AMR34" s="67"/>
      <c r="AMS34" s="67"/>
      <c r="AMT34" s="67"/>
      <c r="AMU34" s="67"/>
      <c r="AMV34" s="67"/>
      <c r="AMW34" s="67"/>
      <c r="AMX34" s="67"/>
      <c r="AMY34" s="67"/>
      <c r="AMZ34" s="67"/>
      <c r="ANA34" s="67"/>
      <c r="ANB34" s="67"/>
      <c r="ANC34" s="67"/>
      <c r="AND34" s="67"/>
      <c r="ANE34" s="67"/>
      <c r="ANF34" s="67"/>
      <c r="ANG34" s="67"/>
      <c r="ANH34" s="67"/>
      <c r="ANI34" s="67"/>
      <c r="ANJ34" s="67"/>
      <c r="ANK34" s="67"/>
      <c r="ANL34" s="67"/>
      <c r="ANM34" s="67"/>
      <c r="ANN34" s="67"/>
      <c r="ANO34" s="67"/>
      <c r="ANP34" s="67"/>
      <c r="ANQ34" s="67"/>
      <c r="ANR34" s="67"/>
      <c r="ANS34" s="67"/>
      <c r="ANT34" s="67"/>
      <c r="ANU34" s="67"/>
      <c r="ANV34" s="67"/>
      <c r="ANW34" s="67"/>
      <c r="ANX34" s="67"/>
      <c r="ANY34" s="67"/>
      <c r="ANZ34" s="67"/>
      <c r="AOA34" s="67"/>
      <c r="AOB34" s="67"/>
      <c r="AOC34" s="67"/>
      <c r="AOD34" s="67"/>
      <c r="AOE34" s="67"/>
      <c r="AOF34" s="67"/>
      <c r="AOG34" s="67"/>
      <c r="AOH34" s="67"/>
      <c r="AOI34" s="67"/>
      <c r="AOJ34" s="67"/>
      <c r="AOK34" s="67"/>
      <c r="AOL34" s="67"/>
      <c r="AOM34" s="67"/>
      <c r="AON34" s="67"/>
      <c r="AOO34" s="67"/>
      <c r="AOP34" s="67"/>
      <c r="AOQ34" s="67"/>
      <c r="AOR34" s="67"/>
      <c r="AOS34" s="67"/>
      <c r="AOT34" s="67"/>
      <c r="AOU34" s="67"/>
      <c r="AOV34" s="67"/>
      <c r="AOW34" s="67"/>
      <c r="AOX34" s="67"/>
      <c r="AOY34" s="67"/>
      <c r="AOZ34" s="67"/>
      <c r="APA34" s="67"/>
      <c r="APB34" s="67"/>
      <c r="APC34" s="67"/>
      <c r="APD34" s="67"/>
      <c r="APE34" s="67"/>
      <c r="APF34" s="67"/>
      <c r="APG34" s="67"/>
      <c r="APH34" s="67"/>
      <c r="API34" s="67"/>
      <c r="APJ34" s="67"/>
      <c r="APK34" s="67"/>
      <c r="APL34" s="67"/>
      <c r="APM34" s="67"/>
      <c r="APN34" s="67"/>
      <c r="APO34" s="67"/>
      <c r="APP34" s="67"/>
      <c r="APQ34" s="67"/>
      <c r="APR34" s="67"/>
      <c r="APS34" s="67"/>
      <c r="APT34" s="67"/>
      <c r="APU34" s="67"/>
      <c r="APV34" s="67"/>
      <c r="APW34" s="67"/>
      <c r="APX34" s="67"/>
      <c r="APY34" s="67"/>
      <c r="APZ34" s="67"/>
      <c r="AQA34" s="67"/>
      <c r="AQB34" s="67"/>
      <c r="AQC34" s="67"/>
      <c r="AQD34" s="67"/>
      <c r="AQE34" s="67"/>
      <c r="AQF34" s="67"/>
      <c r="AQG34" s="67"/>
      <c r="AQH34" s="67"/>
      <c r="AQI34" s="67"/>
      <c r="AQJ34" s="67"/>
      <c r="AQK34" s="67"/>
      <c r="AQL34" s="67"/>
      <c r="AQM34" s="67"/>
      <c r="AQN34" s="67"/>
      <c r="AQO34" s="67"/>
      <c r="AQP34" s="67"/>
      <c r="AQQ34" s="67"/>
      <c r="AQR34" s="67"/>
      <c r="AQS34" s="67"/>
      <c r="AQT34" s="67"/>
      <c r="AQU34" s="67"/>
      <c r="AQV34" s="67"/>
      <c r="AQW34" s="67"/>
      <c r="AQX34" s="67"/>
      <c r="AQY34" s="67"/>
      <c r="AQZ34" s="67"/>
      <c r="ARA34" s="67"/>
      <c r="ARB34" s="67"/>
      <c r="ARC34" s="67"/>
      <c r="ARD34" s="67"/>
      <c r="ARE34" s="67"/>
      <c r="ARF34" s="67"/>
      <c r="ARG34" s="67"/>
      <c r="ARH34" s="67"/>
      <c r="ARI34" s="67"/>
      <c r="ARJ34" s="67"/>
      <c r="ARK34" s="67"/>
      <c r="ARL34" s="67"/>
      <c r="ARM34" s="67"/>
      <c r="ARN34" s="67"/>
      <c r="ARO34" s="67"/>
      <c r="ARP34" s="67"/>
      <c r="ARQ34" s="67"/>
      <c r="ARR34" s="67"/>
      <c r="ARS34" s="67"/>
      <c r="ART34" s="67"/>
      <c r="ARU34" s="67"/>
      <c r="ARV34" s="67"/>
      <c r="ARW34" s="67"/>
      <c r="ARX34" s="67"/>
      <c r="ARY34" s="67"/>
      <c r="ARZ34" s="67"/>
      <c r="ASA34" s="67"/>
      <c r="ASB34" s="67"/>
      <c r="ASC34" s="67"/>
      <c r="ASD34" s="67"/>
      <c r="ASE34" s="67"/>
      <c r="ASF34" s="67"/>
      <c r="ASG34" s="67"/>
      <c r="ASH34" s="67"/>
      <c r="ASI34" s="67"/>
      <c r="ASJ34" s="67"/>
      <c r="ASK34" s="67"/>
      <c r="ASL34" s="67"/>
      <c r="ASM34" s="67"/>
      <c r="ASN34" s="67"/>
      <c r="ASO34" s="67"/>
      <c r="ASP34" s="67"/>
      <c r="ASQ34" s="67"/>
      <c r="ASR34" s="67"/>
      <c r="ASS34" s="67"/>
      <c r="AST34" s="67"/>
      <c r="ASU34" s="67"/>
      <c r="ASV34" s="67"/>
      <c r="ASW34" s="67"/>
      <c r="ASX34" s="67"/>
      <c r="ASY34" s="67"/>
      <c r="ASZ34" s="67"/>
      <c r="ATA34" s="67"/>
      <c r="ATB34" s="67"/>
      <c r="ATC34" s="67"/>
      <c r="ATD34" s="67"/>
      <c r="ATE34" s="67"/>
      <c r="ATF34" s="67"/>
      <c r="ATG34" s="67"/>
      <c r="ATH34" s="67"/>
      <c r="ATI34" s="67"/>
      <c r="ATJ34" s="67"/>
      <c r="ATK34" s="67"/>
      <c r="ATL34" s="67"/>
      <c r="ATM34" s="67"/>
      <c r="ATN34" s="67"/>
      <c r="ATO34" s="67"/>
      <c r="ATP34" s="67"/>
      <c r="ATQ34" s="67"/>
      <c r="ATR34" s="67"/>
      <c r="ATS34" s="67"/>
      <c r="ATT34" s="67"/>
      <c r="ATU34" s="67"/>
      <c r="ATV34" s="67"/>
      <c r="ATW34" s="67"/>
      <c r="ATX34" s="67"/>
      <c r="ATY34" s="67"/>
      <c r="ATZ34" s="67"/>
      <c r="AUA34" s="67"/>
      <c r="AUB34" s="67"/>
      <c r="AUC34" s="67"/>
      <c r="AUD34" s="67"/>
      <c r="AUE34" s="67"/>
      <c r="AUF34" s="67"/>
      <c r="AUG34" s="67"/>
      <c r="AUH34" s="67"/>
      <c r="AUI34" s="67"/>
      <c r="AUJ34" s="67"/>
      <c r="AUK34" s="67"/>
      <c r="AUL34" s="67"/>
      <c r="AUM34" s="67"/>
      <c r="AUN34" s="67"/>
      <c r="AUO34" s="67"/>
      <c r="AUP34" s="67"/>
      <c r="AUQ34" s="67"/>
      <c r="AUR34" s="67"/>
      <c r="AUS34" s="67"/>
      <c r="AUT34" s="67"/>
      <c r="AUU34" s="67"/>
      <c r="AUV34" s="67"/>
      <c r="AUW34" s="67"/>
      <c r="AUX34" s="67"/>
      <c r="AUY34" s="67"/>
      <c r="AUZ34" s="67"/>
      <c r="AVA34" s="67"/>
      <c r="AVB34" s="67"/>
      <c r="AVC34" s="67"/>
      <c r="AVD34" s="67"/>
      <c r="AVE34" s="67"/>
      <c r="AVF34" s="67"/>
      <c r="AVG34" s="67"/>
      <c r="AVH34" s="67"/>
      <c r="AVI34" s="67"/>
      <c r="AVJ34" s="67"/>
      <c r="AVK34" s="67"/>
      <c r="AVL34" s="67"/>
      <c r="AVM34" s="67"/>
      <c r="AVN34" s="67"/>
      <c r="AVO34" s="67"/>
      <c r="AVP34" s="67"/>
      <c r="AVQ34" s="67"/>
      <c r="AVR34" s="67"/>
      <c r="AVS34" s="67"/>
      <c r="AVT34" s="67"/>
      <c r="AVU34" s="67"/>
      <c r="AVV34" s="67"/>
      <c r="AVW34" s="67"/>
      <c r="AVX34" s="67"/>
      <c r="AVY34" s="67"/>
      <c r="AVZ34" s="67"/>
      <c r="AWA34" s="67"/>
      <c r="AWB34" s="67"/>
      <c r="AWC34" s="67"/>
      <c r="AWD34" s="67"/>
      <c r="AWE34" s="67"/>
      <c r="AWF34" s="67"/>
      <c r="AWG34" s="67"/>
      <c r="AWH34" s="67"/>
      <c r="AWI34" s="67"/>
      <c r="AWJ34" s="67"/>
      <c r="AWK34" s="67"/>
      <c r="AWL34" s="67"/>
      <c r="AWM34" s="67"/>
      <c r="AWN34" s="67"/>
      <c r="AWO34" s="67"/>
      <c r="AWP34" s="67"/>
      <c r="AWQ34" s="67"/>
      <c r="AWR34" s="67"/>
      <c r="AWS34" s="67"/>
      <c r="AWT34" s="67"/>
      <c r="AWU34" s="67"/>
      <c r="AWV34" s="67"/>
      <c r="AWW34" s="67"/>
      <c r="AWX34" s="67"/>
      <c r="AWY34" s="67"/>
      <c r="AWZ34" s="67"/>
      <c r="AXA34" s="67"/>
      <c r="AXB34" s="67"/>
      <c r="AXC34" s="67"/>
      <c r="AXD34" s="67"/>
      <c r="AXE34" s="67"/>
      <c r="AXF34" s="67"/>
      <c r="AXG34" s="67"/>
      <c r="AXH34" s="67"/>
      <c r="AXI34" s="67"/>
      <c r="AXJ34" s="67"/>
      <c r="AXK34" s="67"/>
      <c r="AXL34" s="67"/>
      <c r="AXM34" s="67"/>
      <c r="AXN34" s="67"/>
      <c r="AXO34" s="67"/>
      <c r="AXP34" s="67"/>
      <c r="AXQ34" s="67"/>
      <c r="AXR34" s="67"/>
      <c r="AXS34" s="67"/>
      <c r="AXT34" s="67"/>
      <c r="AXU34" s="67"/>
      <c r="AXV34" s="67"/>
      <c r="AXW34" s="67"/>
      <c r="AXX34" s="67"/>
      <c r="AXY34" s="67"/>
      <c r="AXZ34" s="67"/>
      <c r="AYA34" s="67"/>
      <c r="AYB34" s="67"/>
      <c r="AYC34" s="67"/>
      <c r="AYD34" s="67"/>
      <c r="AYE34" s="67"/>
      <c r="AYF34" s="67"/>
      <c r="AYG34" s="67"/>
      <c r="AYH34" s="67"/>
      <c r="AYI34" s="67"/>
      <c r="AYJ34" s="67"/>
      <c r="AYK34" s="67"/>
      <c r="AYL34" s="67"/>
      <c r="AYM34" s="67"/>
      <c r="AYN34" s="67"/>
      <c r="AYO34" s="67"/>
      <c r="AYP34" s="67"/>
      <c r="AYQ34" s="67"/>
      <c r="AYR34" s="67"/>
      <c r="AYS34" s="67"/>
      <c r="AYT34" s="67"/>
      <c r="AYU34" s="67"/>
      <c r="AYV34" s="67"/>
      <c r="AYW34" s="67"/>
      <c r="AYX34" s="67"/>
      <c r="AYY34" s="67"/>
      <c r="AYZ34" s="67"/>
      <c r="AZA34" s="67"/>
      <c r="AZB34" s="67"/>
      <c r="AZC34" s="67"/>
      <c r="AZD34" s="67"/>
      <c r="AZE34" s="67"/>
      <c r="AZF34" s="67"/>
      <c r="AZG34" s="67"/>
      <c r="AZH34" s="67"/>
      <c r="AZI34" s="67"/>
      <c r="AZJ34" s="67"/>
      <c r="AZK34" s="67"/>
      <c r="AZL34" s="67"/>
      <c r="AZM34" s="67"/>
      <c r="AZN34" s="67"/>
      <c r="AZO34" s="67"/>
      <c r="AZP34" s="67"/>
      <c r="AZQ34" s="67"/>
      <c r="AZR34" s="67"/>
      <c r="AZS34" s="67"/>
      <c r="AZT34" s="67"/>
      <c r="AZU34" s="67"/>
      <c r="AZV34" s="67"/>
      <c r="AZW34" s="67"/>
      <c r="AZX34" s="67"/>
      <c r="AZY34" s="67"/>
      <c r="AZZ34" s="67"/>
      <c r="BAA34" s="67"/>
      <c r="BAB34" s="67"/>
      <c r="BAC34" s="67"/>
      <c r="BAD34" s="67"/>
      <c r="BAE34" s="67"/>
      <c r="BAF34" s="67"/>
      <c r="BAG34" s="67"/>
      <c r="BAH34" s="67"/>
      <c r="BAI34" s="67"/>
      <c r="BAJ34" s="67"/>
      <c r="BAK34" s="67"/>
      <c r="BAL34" s="67"/>
      <c r="BAM34" s="67"/>
      <c r="BAN34" s="67"/>
      <c r="BAO34" s="67"/>
      <c r="BAP34" s="67"/>
      <c r="BAQ34" s="67"/>
      <c r="BAR34" s="67"/>
      <c r="BAS34" s="67"/>
      <c r="BAT34" s="67"/>
      <c r="BAU34" s="67"/>
      <c r="BAV34" s="67"/>
      <c r="BAW34" s="67"/>
      <c r="BAX34" s="67"/>
      <c r="BAY34" s="67"/>
      <c r="BAZ34" s="67"/>
      <c r="BBA34" s="67"/>
      <c r="BBB34" s="67"/>
      <c r="BBC34" s="67"/>
      <c r="BBD34" s="67"/>
      <c r="BBE34" s="67"/>
      <c r="BBF34" s="67"/>
      <c r="BBG34" s="67"/>
      <c r="BBH34" s="67"/>
      <c r="BBI34" s="67"/>
      <c r="BBJ34" s="67"/>
      <c r="BBK34" s="67"/>
      <c r="BBL34" s="67"/>
      <c r="BBM34" s="67"/>
      <c r="BBN34" s="67"/>
      <c r="BBO34" s="67"/>
      <c r="BBP34" s="67"/>
      <c r="BBQ34" s="67"/>
      <c r="BBR34" s="67"/>
      <c r="BBS34" s="67"/>
      <c r="BBT34" s="67"/>
      <c r="BBU34" s="67"/>
      <c r="BBV34" s="67"/>
      <c r="BBW34" s="67"/>
      <c r="BBX34" s="67"/>
      <c r="BBY34" s="67"/>
      <c r="BBZ34" s="67"/>
      <c r="BCA34" s="67"/>
      <c r="BCB34" s="67"/>
      <c r="BCC34" s="67"/>
      <c r="BCD34" s="67"/>
      <c r="BCE34" s="67"/>
      <c r="BCF34" s="67"/>
      <c r="BCG34" s="67"/>
      <c r="BCH34" s="67"/>
      <c r="BCI34" s="67"/>
      <c r="BCJ34" s="67"/>
      <c r="BCK34" s="67"/>
      <c r="BCL34" s="67"/>
      <c r="BCM34" s="67"/>
      <c r="BCN34" s="67"/>
      <c r="BCO34" s="67"/>
      <c r="BCP34" s="67"/>
      <c r="BCQ34" s="67"/>
      <c r="BCR34" s="67"/>
      <c r="BCS34" s="67"/>
      <c r="BCT34" s="67"/>
      <c r="BCU34" s="67"/>
      <c r="BCV34" s="67"/>
      <c r="BCW34" s="67"/>
      <c r="BCX34" s="67"/>
      <c r="BCY34" s="67"/>
      <c r="BCZ34" s="67"/>
      <c r="BDA34" s="67"/>
      <c r="BDB34" s="67"/>
      <c r="BDC34" s="67"/>
      <c r="BDD34" s="67"/>
      <c r="BDE34" s="67"/>
      <c r="BDF34" s="67"/>
      <c r="BDG34" s="67"/>
      <c r="BDH34" s="67"/>
      <c r="BDI34" s="67"/>
      <c r="BDJ34" s="67"/>
      <c r="BDK34" s="67"/>
      <c r="BDL34" s="67"/>
      <c r="BDM34" s="67"/>
      <c r="BDN34" s="67"/>
      <c r="BDO34" s="67"/>
      <c r="BDP34" s="67"/>
      <c r="BDQ34" s="67"/>
      <c r="BDR34" s="67"/>
      <c r="BDS34" s="67"/>
      <c r="BDT34" s="67"/>
      <c r="BDU34" s="67"/>
      <c r="BDV34" s="67"/>
      <c r="BDW34" s="67"/>
      <c r="BDX34" s="67"/>
      <c r="BDY34" s="67"/>
      <c r="BDZ34" s="67"/>
      <c r="BEA34" s="67"/>
      <c r="BEB34" s="67"/>
      <c r="BEC34" s="67"/>
      <c r="BED34" s="67"/>
      <c r="BEE34" s="67"/>
      <c r="BEF34" s="67"/>
      <c r="BEG34" s="67"/>
      <c r="BEH34" s="67"/>
      <c r="BEI34" s="67"/>
      <c r="BEJ34" s="67"/>
      <c r="BEK34" s="67"/>
      <c r="BEL34" s="67"/>
      <c r="BEM34" s="67"/>
      <c r="BEN34" s="67"/>
      <c r="BEO34" s="67"/>
      <c r="BEP34" s="67"/>
      <c r="BEQ34" s="67"/>
      <c r="BER34" s="67"/>
      <c r="BES34" s="67"/>
      <c r="BET34" s="67"/>
      <c r="BEU34" s="67"/>
      <c r="BEV34" s="67"/>
      <c r="BEW34" s="67"/>
      <c r="BEX34" s="67"/>
      <c r="BEY34" s="67"/>
      <c r="BEZ34" s="67"/>
      <c r="BFA34" s="67"/>
      <c r="BFB34" s="67"/>
      <c r="BFC34" s="67"/>
      <c r="BFD34" s="67"/>
      <c r="BFE34" s="67"/>
      <c r="BFF34" s="67"/>
      <c r="BFG34" s="67"/>
      <c r="BFH34" s="67"/>
      <c r="BFI34" s="67"/>
      <c r="BFJ34" s="67"/>
      <c r="BFK34" s="67"/>
      <c r="BFL34" s="67"/>
      <c r="BFM34" s="67"/>
      <c r="BFN34" s="67"/>
      <c r="BFO34" s="67"/>
      <c r="BFP34" s="67"/>
      <c r="BFQ34" s="67"/>
      <c r="BFR34" s="67"/>
      <c r="BFS34" s="67"/>
      <c r="BFT34" s="67"/>
      <c r="BFU34" s="67"/>
      <c r="BFV34" s="67"/>
      <c r="BFW34" s="67"/>
      <c r="BFX34" s="67"/>
      <c r="BFY34" s="67"/>
      <c r="BFZ34" s="67"/>
      <c r="BGA34" s="67"/>
      <c r="BGB34" s="67"/>
      <c r="BGC34" s="67"/>
      <c r="BGD34" s="67"/>
      <c r="BGE34" s="67"/>
      <c r="BGF34" s="67"/>
      <c r="BGG34" s="67"/>
      <c r="BGH34" s="67"/>
      <c r="BGI34" s="67"/>
      <c r="BGJ34" s="67"/>
      <c r="BGK34" s="67"/>
      <c r="BGL34" s="67"/>
      <c r="BGM34" s="67"/>
      <c r="BGN34" s="67"/>
      <c r="BGO34" s="67"/>
      <c r="BGP34" s="67"/>
      <c r="BGQ34" s="67"/>
      <c r="BGR34" s="67"/>
      <c r="BGS34" s="67"/>
      <c r="BGT34" s="67"/>
      <c r="BGU34" s="67"/>
      <c r="BGV34" s="67"/>
      <c r="BGW34" s="67"/>
      <c r="BGX34" s="67"/>
      <c r="BGY34" s="67"/>
      <c r="BGZ34" s="67"/>
      <c r="BHA34" s="67"/>
      <c r="BHB34" s="67"/>
      <c r="BHC34" s="67"/>
      <c r="BHD34" s="67"/>
      <c r="BHE34" s="67"/>
      <c r="BHF34" s="67"/>
      <c r="BHG34" s="67"/>
      <c r="BHH34" s="67"/>
      <c r="BHI34" s="67"/>
      <c r="BHJ34" s="67"/>
      <c r="BHK34" s="67"/>
      <c r="BHL34" s="67"/>
      <c r="BHM34" s="67"/>
      <c r="BHN34" s="67"/>
      <c r="BHO34" s="67"/>
      <c r="BHP34" s="67"/>
      <c r="BHQ34" s="67"/>
      <c r="BHR34" s="67"/>
      <c r="BHS34" s="67"/>
      <c r="BHT34" s="67"/>
      <c r="BHU34" s="67"/>
      <c r="BHV34" s="67"/>
      <c r="BHW34" s="67"/>
      <c r="BHX34" s="67"/>
      <c r="BHY34" s="67"/>
      <c r="BHZ34" s="67"/>
      <c r="BIA34" s="67"/>
      <c r="BIB34" s="67"/>
      <c r="BIC34" s="67"/>
      <c r="BID34" s="67"/>
      <c r="BIE34" s="67"/>
      <c r="BIF34" s="67"/>
      <c r="BIG34" s="67"/>
      <c r="BIH34" s="67"/>
      <c r="BII34" s="67"/>
      <c r="BIJ34" s="67"/>
      <c r="BIK34" s="67"/>
      <c r="BIL34" s="67"/>
      <c r="BIM34" s="67"/>
      <c r="BIN34" s="67"/>
      <c r="BIO34" s="67"/>
      <c r="BIP34" s="67"/>
      <c r="BIQ34" s="67"/>
      <c r="BIR34" s="67"/>
      <c r="BIS34" s="67"/>
      <c r="BIT34" s="67"/>
      <c r="BIU34" s="67"/>
      <c r="BIV34" s="67"/>
      <c r="BIW34" s="67"/>
      <c r="BIX34" s="67"/>
      <c r="BIY34" s="67"/>
      <c r="BIZ34" s="67"/>
      <c r="BJA34" s="67"/>
      <c r="BJB34" s="67"/>
      <c r="BJC34" s="67"/>
      <c r="BJD34" s="67"/>
      <c r="BJE34" s="67"/>
      <c r="BJF34" s="67"/>
      <c r="BJG34" s="67"/>
      <c r="BJH34" s="67"/>
      <c r="BJI34" s="67"/>
      <c r="BJJ34" s="67"/>
      <c r="BJK34" s="67"/>
      <c r="BJL34" s="67"/>
      <c r="BJM34" s="67"/>
      <c r="BJN34" s="67"/>
      <c r="BJO34" s="67"/>
      <c r="BJP34" s="67"/>
      <c r="BJQ34" s="67"/>
      <c r="BJR34" s="67"/>
      <c r="BJS34" s="67"/>
      <c r="BJT34" s="67"/>
      <c r="BJU34" s="67"/>
      <c r="BJV34" s="67"/>
      <c r="BJW34" s="67"/>
      <c r="BJX34" s="67"/>
      <c r="BJY34" s="67"/>
      <c r="BJZ34" s="67"/>
      <c r="BKA34" s="67"/>
      <c r="BKB34" s="67"/>
      <c r="BKC34" s="67"/>
      <c r="BKD34" s="67"/>
      <c r="BKE34" s="67"/>
      <c r="BKF34" s="67"/>
      <c r="BKG34" s="67"/>
      <c r="BKH34" s="67"/>
      <c r="BKI34" s="67"/>
      <c r="BKJ34" s="67"/>
      <c r="BKK34" s="67"/>
      <c r="BKL34" s="67"/>
      <c r="BKM34" s="67"/>
      <c r="BKN34" s="67"/>
      <c r="BKO34" s="67"/>
      <c r="BKP34" s="67"/>
      <c r="BKQ34" s="67"/>
      <c r="BKR34" s="67"/>
      <c r="BKS34" s="67"/>
      <c r="BKT34" s="67"/>
      <c r="BKU34" s="67"/>
      <c r="BKV34" s="67"/>
      <c r="BKW34" s="67"/>
      <c r="BKX34" s="67"/>
      <c r="BKY34" s="67"/>
      <c r="BKZ34" s="67"/>
      <c r="BLA34" s="67"/>
      <c r="BLB34" s="67"/>
      <c r="BLC34" s="67"/>
      <c r="BLD34" s="67"/>
      <c r="BLE34" s="67"/>
      <c r="BLF34" s="67"/>
      <c r="BLG34" s="67"/>
      <c r="BLH34" s="67"/>
      <c r="BLI34" s="67"/>
      <c r="BLJ34" s="67"/>
      <c r="BLK34" s="67"/>
      <c r="BLL34" s="67"/>
      <c r="BLM34" s="67"/>
      <c r="BLN34" s="67"/>
      <c r="BLO34" s="67"/>
      <c r="BLP34" s="67"/>
      <c r="BLQ34" s="67"/>
      <c r="BLR34" s="67"/>
      <c r="BLS34" s="67"/>
      <c r="BLT34" s="67"/>
      <c r="BLU34" s="67"/>
      <c r="BLV34" s="67"/>
      <c r="BLW34" s="67"/>
      <c r="BLX34" s="67"/>
      <c r="BLY34" s="67"/>
      <c r="BLZ34" s="67"/>
      <c r="BMA34" s="67"/>
      <c r="BMB34" s="67"/>
      <c r="BMC34" s="67"/>
      <c r="BMD34" s="67"/>
      <c r="BME34" s="67"/>
      <c r="BMF34" s="67"/>
      <c r="BMG34" s="67"/>
      <c r="BMH34" s="67"/>
      <c r="BMI34" s="67"/>
      <c r="BMJ34" s="67"/>
      <c r="BMK34" s="67"/>
      <c r="BML34" s="67"/>
      <c r="BMM34" s="67"/>
      <c r="BMN34" s="67"/>
      <c r="BMO34" s="67"/>
      <c r="BMP34" s="67"/>
      <c r="BMQ34" s="67"/>
      <c r="BMR34" s="67"/>
      <c r="BMS34" s="67"/>
      <c r="BMT34" s="67"/>
      <c r="BMU34" s="67"/>
      <c r="BMV34" s="67"/>
      <c r="BMW34" s="67"/>
      <c r="BMX34" s="67"/>
      <c r="BMY34" s="67"/>
      <c r="BMZ34" s="67"/>
      <c r="BNA34" s="67"/>
      <c r="BNB34" s="67"/>
      <c r="BNC34" s="67"/>
      <c r="BND34" s="67"/>
      <c r="BNE34" s="67"/>
      <c r="BNF34" s="67"/>
      <c r="BNG34" s="67"/>
      <c r="BNH34" s="67"/>
      <c r="BNI34" s="67"/>
      <c r="BNJ34" s="67"/>
      <c r="BNK34" s="67"/>
      <c r="BNL34" s="67"/>
      <c r="BNM34" s="67"/>
      <c r="BNN34" s="67"/>
      <c r="BNO34" s="67"/>
      <c r="BNP34" s="67"/>
      <c r="BNQ34" s="67"/>
      <c r="BNR34" s="67"/>
      <c r="BNS34" s="67"/>
      <c r="BNT34" s="67"/>
      <c r="BNU34" s="67"/>
      <c r="BNV34" s="67"/>
      <c r="BNW34" s="67"/>
      <c r="BNX34" s="67"/>
      <c r="BNY34" s="67"/>
      <c r="BNZ34" s="67"/>
      <c r="BOA34" s="67"/>
      <c r="BOB34" s="67"/>
      <c r="BOC34" s="67"/>
      <c r="BOD34" s="67"/>
      <c r="BOE34" s="67"/>
      <c r="BOF34" s="67"/>
      <c r="BOG34" s="67"/>
      <c r="BOH34" s="67"/>
      <c r="BOI34" s="67"/>
      <c r="BOJ34" s="67"/>
      <c r="BOK34" s="67"/>
      <c r="BOL34" s="67"/>
      <c r="BOM34" s="67"/>
      <c r="BON34" s="67"/>
      <c r="BOO34" s="67"/>
      <c r="BOP34" s="67"/>
      <c r="BOQ34" s="67"/>
      <c r="BOR34" s="67"/>
      <c r="BOS34" s="67"/>
      <c r="BOT34" s="67"/>
      <c r="BOU34" s="67"/>
      <c r="BOV34" s="67"/>
      <c r="BOW34" s="67"/>
      <c r="BOX34" s="67"/>
      <c r="BOY34" s="67"/>
      <c r="BOZ34" s="67"/>
      <c r="BPA34" s="67"/>
      <c r="BPB34" s="67"/>
      <c r="BPC34" s="67"/>
      <c r="BPD34" s="67"/>
      <c r="BPE34" s="67"/>
      <c r="BPF34" s="67"/>
      <c r="BPG34" s="67"/>
      <c r="BPH34" s="67"/>
      <c r="BPI34" s="67"/>
      <c r="BPJ34" s="67"/>
      <c r="BPK34" s="67"/>
      <c r="BPL34" s="67"/>
      <c r="BPM34" s="67"/>
      <c r="BPN34" s="67"/>
      <c r="BPO34" s="67"/>
      <c r="BPP34" s="67"/>
      <c r="BPQ34" s="67"/>
      <c r="BPR34" s="67"/>
      <c r="BPS34" s="67"/>
      <c r="BPT34" s="67"/>
      <c r="BPU34" s="67"/>
      <c r="BPV34" s="67"/>
      <c r="BPW34" s="67"/>
      <c r="BPX34" s="67"/>
      <c r="BPY34" s="67"/>
      <c r="BPZ34" s="67"/>
      <c r="BQA34" s="67"/>
      <c r="BQB34" s="67"/>
      <c r="BQC34" s="67"/>
      <c r="BQD34" s="67"/>
      <c r="BQE34" s="67"/>
      <c r="BQF34" s="67"/>
      <c r="BQG34" s="67"/>
      <c r="BQH34" s="67"/>
      <c r="BQI34" s="67"/>
      <c r="BQJ34" s="67"/>
      <c r="BQK34" s="67"/>
      <c r="BQL34" s="67"/>
      <c r="BQM34" s="67"/>
      <c r="BQN34" s="67"/>
      <c r="BQO34" s="67"/>
      <c r="BQP34" s="67"/>
      <c r="BQQ34" s="67"/>
      <c r="BQR34" s="67"/>
      <c r="BQS34" s="67"/>
      <c r="BQT34" s="67"/>
      <c r="BQU34" s="67"/>
      <c r="BQV34" s="67"/>
      <c r="BQW34" s="67"/>
      <c r="BQX34" s="67"/>
      <c r="BQY34" s="67"/>
      <c r="BQZ34" s="67"/>
      <c r="BRA34" s="67"/>
      <c r="BRB34" s="67"/>
      <c r="BRC34" s="67"/>
      <c r="BRD34" s="67"/>
      <c r="BRE34" s="67"/>
      <c r="BRF34" s="67"/>
      <c r="BRG34" s="67"/>
      <c r="BRH34" s="67"/>
      <c r="BRI34" s="67"/>
      <c r="BRJ34" s="67"/>
      <c r="BRK34" s="67"/>
      <c r="BRL34" s="67"/>
      <c r="BRM34" s="67"/>
      <c r="BRN34" s="67"/>
      <c r="BRO34" s="67"/>
      <c r="BRP34" s="67"/>
      <c r="BRQ34" s="67"/>
      <c r="BRR34" s="67"/>
      <c r="BRS34" s="67"/>
      <c r="BRT34" s="67"/>
      <c r="BRU34" s="67"/>
      <c r="BRV34" s="67"/>
      <c r="BRW34" s="67"/>
      <c r="BRX34" s="67"/>
      <c r="BRY34" s="67"/>
      <c r="BRZ34" s="67"/>
      <c r="BSA34" s="67"/>
      <c r="BSB34" s="67"/>
      <c r="BSC34" s="67"/>
      <c r="BSD34" s="67"/>
      <c r="BSE34" s="67"/>
      <c r="BSF34" s="67"/>
      <c r="BSG34" s="67"/>
      <c r="BSH34" s="67"/>
      <c r="BSI34" s="67"/>
      <c r="BSJ34" s="67"/>
      <c r="BSK34" s="67"/>
      <c r="BSL34" s="67"/>
      <c r="BSM34" s="67"/>
      <c r="BSN34" s="67"/>
      <c r="BSO34" s="67"/>
      <c r="BSP34" s="67"/>
      <c r="BSQ34" s="67"/>
      <c r="BSR34" s="67"/>
      <c r="BSS34" s="67"/>
      <c r="BST34" s="67"/>
      <c r="BSU34" s="67"/>
      <c r="BSV34" s="67"/>
      <c r="BSW34" s="67"/>
      <c r="BSX34" s="67"/>
      <c r="BSY34" s="67"/>
      <c r="BSZ34" s="67"/>
      <c r="BTA34" s="67"/>
      <c r="BTB34" s="67"/>
      <c r="BTC34" s="67"/>
      <c r="BTD34" s="67"/>
      <c r="BTE34" s="67"/>
      <c r="BTF34" s="67"/>
      <c r="BTG34" s="67"/>
      <c r="BTH34" s="67"/>
      <c r="BTI34" s="67"/>
      <c r="BTJ34" s="67"/>
      <c r="BTK34" s="67"/>
      <c r="BTL34" s="67"/>
      <c r="BTM34" s="67"/>
      <c r="BTN34" s="67"/>
      <c r="BTO34" s="67"/>
      <c r="BTP34" s="67"/>
      <c r="BTQ34" s="67"/>
      <c r="BTR34" s="67"/>
      <c r="BTS34" s="67"/>
      <c r="BTT34" s="67"/>
      <c r="BTU34" s="67"/>
      <c r="BTV34" s="67"/>
      <c r="BTW34" s="67"/>
      <c r="BTX34" s="67"/>
      <c r="BTY34" s="67"/>
      <c r="BTZ34" s="67"/>
      <c r="BUA34" s="67"/>
      <c r="BUB34" s="67"/>
      <c r="BUC34" s="67"/>
      <c r="BUD34" s="67"/>
      <c r="BUE34" s="67"/>
      <c r="BUF34" s="67"/>
      <c r="BUG34" s="67"/>
      <c r="BUH34" s="67"/>
      <c r="BUI34" s="67"/>
      <c r="BUJ34" s="67"/>
      <c r="BUK34" s="67"/>
      <c r="BUL34" s="67"/>
      <c r="BUM34" s="67"/>
      <c r="BUN34" s="67"/>
      <c r="BUO34" s="67"/>
      <c r="BUP34" s="67"/>
      <c r="BUQ34" s="67"/>
      <c r="BUR34" s="67"/>
      <c r="BUS34" s="67"/>
      <c r="BUT34" s="67"/>
      <c r="BUU34" s="67"/>
      <c r="BUV34" s="67"/>
      <c r="BUW34" s="67"/>
      <c r="BUX34" s="67"/>
      <c r="BUY34" s="67"/>
      <c r="BUZ34" s="67"/>
      <c r="BVA34" s="67"/>
      <c r="BVB34" s="67"/>
      <c r="BVC34" s="67"/>
      <c r="BVD34" s="67"/>
      <c r="BVE34" s="67"/>
      <c r="BVF34" s="67"/>
      <c r="BVG34" s="67"/>
      <c r="BVH34" s="67"/>
      <c r="BVI34" s="67"/>
      <c r="BVJ34" s="67"/>
      <c r="BVK34" s="67"/>
      <c r="BVL34" s="67"/>
      <c r="BVM34" s="67"/>
      <c r="BVN34" s="67"/>
      <c r="BVO34" s="67"/>
      <c r="BVP34" s="67"/>
      <c r="BVQ34" s="67"/>
      <c r="BVR34" s="67"/>
      <c r="BVS34" s="67"/>
      <c r="BVT34" s="67"/>
      <c r="BVU34" s="67"/>
      <c r="BVV34" s="67"/>
      <c r="BVW34" s="67"/>
      <c r="BVX34" s="67"/>
      <c r="BVY34" s="67"/>
      <c r="BVZ34" s="67"/>
      <c r="BWA34" s="67"/>
      <c r="BWB34" s="67"/>
      <c r="BWC34" s="67"/>
      <c r="BWD34" s="67"/>
      <c r="BWE34" s="67"/>
      <c r="BWF34" s="67"/>
      <c r="BWG34" s="67"/>
      <c r="BWH34" s="67"/>
      <c r="BWI34" s="67"/>
      <c r="BWJ34" s="67"/>
      <c r="BWK34" s="67"/>
      <c r="BWL34" s="67"/>
      <c r="BWM34" s="67"/>
      <c r="BWN34" s="67"/>
      <c r="BWO34" s="67"/>
      <c r="BWP34" s="67"/>
      <c r="BWQ34" s="67"/>
      <c r="BWR34" s="67"/>
      <c r="BWS34" s="67"/>
      <c r="BWT34" s="67"/>
      <c r="BWU34" s="67"/>
      <c r="BWV34" s="67"/>
      <c r="BWW34" s="67"/>
      <c r="BWX34" s="67"/>
      <c r="BWY34" s="67"/>
      <c r="BWZ34" s="67"/>
      <c r="BXA34" s="67"/>
      <c r="BXB34" s="67"/>
      <c r="BXC34" s="67"/>
      <c r="BXD34" s="67"/>
      <c r="BXE34" s="67"/>
      <c r="BXF34" s="67"/>
      <c r="BXG34" s="67"/>
      <c r="BXH34" s="67"/>
      <c r="BXI34" s="67"/>
      <c r="BXJ34" s="67"/>
      <c r="BXK34" s="67"/>
      <c r="BXL34" s="67"/>
      <c r="BXM34" s="67"/>
      <c r="BXN34" s="67"/>
      <c r="BXO34" s="67"/>
      <c r="BXP34" s="67"/>
      <c r="BXQ34" s="67"/>
      <c r="BXR34" s="67"/>
      <c r="BXS34" s="67"/>
      <c r="BXT34" s="67"/>
      <c r="BXU34" s="67"/>
      <c r="BXV34" s="67"/>
      <c r="BXW34" s="67"/>
      <c r="BXX34" s="67"/>
      <c r="BXY34" s="67"/>
      <c r="BXZ34" s="67"/>
      <c r="BYA34" s="67"/>
      <c r="BYB34" s="67"/>
      <c r="BYC34" s="67"/>
      <c r="BYD34" s="67"/>
      <c r="BYE34" s="67"/>
      <c r="BYF34" s="67"/>
      <c r="BYG34" s="67"/>
      <c r="BYH34" s="67"/>
      <c r="BYI34" s="67"/>
      <c r="BYJ34" s="67"/>
      <c r="BYK34" s="67"/>
      <c r="BYL34" s="67"/>
      <c r="BYM34" s="67"/>
      <c r="BYN34" s="67"/>
      <c r="BYO34" s="67"/>
      <c r="BYP34" s="67"/>
      <c r="BYQ34" s="67"/>
      <c r="BYR34" s="67"/>
      <c r="BYS34" s="67"/>
      <c r="BYT34" s="67"/>
      <c r="BYU34" s="67"/>
      <c r="BYV34" s="67"/>
      <c r="BYW34" s="67"/>
      <c r="BYX34" s="67"/>
      <c r="BYY34" s="67"/>
      <c r="BYZ34" s="67"/>
      <c r="BZA34" s="67"/>
      <c r="BZB34" s="67"/>
      <c r="BZC34" s="67"/>
      <c r="BZD34" s="67"/>
      <c r="BZE34" s="67"/>
      <c r="BZF34" s="67"/>
      <c r="BZG34" s="67"/>
      <c r="BZH34" s="67"/>
      <c r="BZI34" s="67"/>
      <c r="BZJ34" s="67"/>
      <c r="BZK34" s="67"/>
      <c r="BZL34" s="67"/>
      <c r="BZM34" s="67"/>
      <c r="BZN34" s="67"/>
      <c r="BZO34" s="67"/>
      <c r="BZP34" s="67"/>
      <c r="BZQ34" s="67"/>
      <c r="BZR34" s="67"/>
      <c r="BZS34" s="67"/>
      <c r="BZT34" s="67"/>
      <c r="BZU34" s="67"/>
      <c r="BZV34" s="67"/>
      <c r="BZW34" s="67"/>
      <c r="BZX34" s="67"/>
      <c r="BZY34" s="67"/>
      <c r="BZZ34" s="67"/>
      <c r="CAA34" s="67"/>
      <c r="CAB34" s="67"/>
      <c r="CAC34" s="67"/>
      <c r="CAD34" s="67"/>
      <c r="CAE34" s="67"/>
      <c r="CAF34" s="67"/>
      <c r="CAG34" s="67"/>
      <c r="CAH34" s="67"/>
      <c r="CAI34" s="67"/>
      <c r="CAJ34" s="67"/>
      <c r="CAK34" s="67"/>
      <c r="CAL34" s="67"/>
      <c r="CAM34" s="67"/>
      <c r="CAN34" s="67"/>
      <c r="CAO34" s="67"/>
      <c r="CAP34" s="67"/>
      <c r="CAQ34" s="67"/>
      <c r="CAR34" s="67"/>
      <c r="CAS34" s="67"/>
      <c r="CAT34" s="67"/>
      <c r="CAU34" s="67"/>
      <c r="CAV34" s="67"/>
      <c r="CAW34" s="67"/>
      <c r="CAX34" s="67"/>
      <c r="CAY34" s="67"/>
      <c r="CAZ34" s="67"/>
      <c r="CBA34" s="67"/>
      <c r="CBB34" s="67"/>
      <c r="CBC34" s="67"/>
      <c r="CBD34" s="67"/>
      <c r="CBE34" s="67"/>
      <c r="CBF34" s="67"/>
      <c r="CBG34" s="67"/>
      <c r="CBH34" s="67"/>
      <c r="CBI34" s="67"/>
      <c r="CBJ34" s="67"/>
      <c r="CBK34" s="67"/>
      <c r="CBL34" s="67"/>
      <c r="CBM34" s="67"/>
      <c r="CBN34" s="67"/>
      <c r="CBO34" s="67"/>
      <c r="CBP34" s="67"/>
      <c r="CBQ34" s="67"/>
      <c r="CBR34" s="67"/>
      <c r="CBS34" s="67"/>
      <c r="CBT34" s="67"/>
      <c r="CBU34" s="67"/>
      <c r="CBV34" s="67"/>
      <c r="CBW34" s="67"/>
      <c r="CBX34" s="67"/>
      <c r="CBY34" s="67"/>
      <c r="CBZ34" s="67"/>
      <c r="CCA34" s="67"/>
      <c r="CCB34" s="67"/>
      <c r="CCC34" s="67"/>
      <c r="CCD34" s="67"/>
      <c r="CCE34" s="67"/>
      <c r="CCF34" s="67"/>
      <c r="CCG34" s="67"/>
      <c r="CCH34" s="67"/>
      <c r="CCI34" s="67"/>
      <c r="CCJ34" s="67"/>
      <c r="CCK34" s="67"/>
      <c r="CCL34" s="67"/>
      <c r="CCM34" s="67"/>
      <c r="CCN34" s="67"/>
      <c r="CCO34" s="67"/>
      <c r="CCP34" s="67"/>
      <c r="CCQ34" s="67"/>
      <c r="CCR34" s="67"/>
      <c r="CCS34" s="67"/>
      <c r="CCT34" s="67"/>
      <c r="CCU34" s="67"/>
      <c r="CCV34" s="67"/>
      <c r="CCW34" s="67"/>
      <c r="CCX34" s="67"/>
      <c r="CCY34" s="67"/>
      <c r="CCZ34" s="67"/>
      <c r="CDA34" s="67"/>
      <c r="CDB34" s="67"/>
      <c r="CDC34" s="67"/>
      <c r="CDD34" s="67"/>
      <c r="CDE34" s="67"/>
      <c r="CDF34" s="67"/>
      <c r="CDG34" s="67"/>
      <c r="CDH34" s="67"/>
      <c r="CDI34" s="67"/>
      <c r="CDJ34" s="67"/>
      <c r="CDK34" s="67"/>
      <c r="CDL34" s="67"/>
      <c r="CDM34" s="67"/>
      <c r="CDN34" s="67"/>
      <c r="CDO34" s="67"/>
      <c r="CDP34" s="67"/>
      <c r="CDQ34" s="67"/>
      <c r="CDR34" s="67"/>
      <c r="CDS34" s="67"/>
      <c r="CDT34" s="67"/>
      <c r="CDU34" s="67"/>
      <c r="CDV34" s="67"/>
      <c r="CDW34" s="67"/>
      <c r="CDX34" s="67"/>
      <c r="CDY34" s="67"/>
      <c r="CDZ34" s="67"/>
      <c r="CEA34" s="67"/>
      <c r="CEB34" s="67"/>
      <c r="CEC34" s="67"/>
      <c r="CED34" s="67"/>
      <c r="CEE34" s="67"/>
      <c r="CEF34" s="67"/>
      <c r="CEG34" s="67"/>
      <c r="CEH34" s="67"/>
      <c r="CEI34" s="67"/>
      <c r="CEJ34" s="67"/>
      <c r="CEK34" s="67"/>
      <c r="CEL34" s="67"/>
      <c r="CEM34" s="67"/>
      <c r="CEN34" s="67"/>
      <c r="CEO34" s="67"/>
      <c r="CEP34" s="67"/>
      <c r="CEQ34" s="67"/>
      <c r="CER34" s="67"/>
      <c r="CES34" s="67"/>
      <c r="CET34" s="67"/>
      <c r="CEU34" s="67"/>
      <c r="CEV34" s="67"/>
      <c r="CEW34" s="67"/>
      <c r="CEX34" s="67"/>
      <c r="CEY34" s="67"/>
      <c r="CEZ34" s="67"/>
      <c r="CFA34" s="67"/>
      <c r="CFB34" s="67"/>
      <c r="CFC34" s="67"/>
      <c r="CFD34" s="67"/>
      <c r="CFE34" s="67"/>
      <c r="CFF34" s="67"/>
      <c r="CFG34" s="67"/>
      <c r="CFH34" s="67"/>
      <c r="CFI34" s="67"/>
      <c r="CFJ34" s="67"/>
      <c r="CFK34" s="67"/>
      <c r="CFL34" s="67"/>
      <c r="CFM34" s="67"/>
      <c r="CFN34" s="67"/>
      <c r="CFO34" s="67"/>
      <c r="CFP34" s="67"/>
      <c r="CFQ34" s="67"/>
      <c r="CFR34" s="67"/>
      <c r="CFS34" s="67"/>
      <c r="CFT34" s="67"/>
      <c r="CFU34" s="67"/>
      <c r="CFV34" s="67"/>
      <c r="CFW34" s="67"/>
      <c r="CFX34" s="67"/>
      <c r="CFY34" s="67"/>
      <c r="CFZ34" s="67"/>
      <c r="CGA34" s="67"/>
      <c r="CGB34" s="67"/>
      <c r="CGC34" s="67"/>
      <c r="CGD34" s="67"/>
      <c r="CGE34" s="67"/>
      <c r="CGF34" s="67"/>
      <c r="CGG34" s="67"/>
      <c r="CGH34" s="67"/>
      <c r="CGI34" s="67"/>
      <c r="CGJ34" s="67"/>
      <c r="CGK34" s="67"/>
      <c r="CGL34" s="67"/>
      <c r="CGM34" s="67"/>
      <c r="CGN34" s="67"/>
      <c r="CGO34" s="67"/>
      <c r="CGP34" s="67"/>
      <c r="CGQ34" s="67"/>
      <c r="CGR34" s="67"/>
      <c r="CGS34" s="67"/>
      <c r="CGT34" s="67"/>
      <c r="CGU34" s="67"/>
      <c r="CGV34" s="67"/>
      <c r="CGW34" s="67"/>
      <c r="CGX34" s="67"/>
      <c r="CGY34" s="67"/>
      <c r="CGZ34" s="67"/>
      <c r="CHA34" s="67"/>
      <c r="CHB34" s="67"/>
      <c r="CHC34" s="67"/>
      <c r="CHD34" s="67"/>
      <c r="CHE34" s="67"/>
      <c r="CHF34" s="67"/>
      <c r="CHG34" s="67"/>
      <c r="CHH34" s="67"/>
      <c r="CHI34" s="67"/>
      <c r="CHJ34" s="67"/>
      <c r="CHK34" s="67"/>
      <c r="CHL34" s="67"/>
      <c r="CHM34" s="67"/>
      <c r="CHN34" s="67"/>
      <c r="CHO34" s="67"/>
      <c r="CHP34" s="67"/>
      <c r="CHQ34" s="67"/>
      <c r="CHR34" s="67"/>
      <c r="CHS34" s="67"/>
      <c r="CHT34" s="67"/>
      <c r="CHU34" s="67"/>
      <c r="CHV34" s="67"/>
      <c r="CHW34" s="67"/>
      <c r="CHX34" s="67"/>
      <c r="CHY34" s="67"/>
      <c r="CHZ34" s="67"/>
      <c r="CIA34" s="67"/>
      <c r="CIB34" s="67"/>
      <c r="CIC34" s="67"/>
      <c r="CID34" s="67"/>
      <c r="CIE34" s="67"/>
      <c r="CIF34" s="67"/>
      <c r="CIG34" s="67"/>
      <c r="CIH34" s="67"/>
      <c r="CII34" s="67"/>
      <c r="CIJ34" s="67"/>
      <c r="CIK34" s="67"/>
      <c r="CIL34" s="67"/>
      <c r="CIM34" s="67"/>
      <c r="CIN34" s="67"/>
      <c r="CIO34" s="67"/>
      <c r="CIP34" s="67"/>
      <c r="CIQ34" s="67"/>
      <c r="CIR34" s="67"/>
      <c r="CIS34" s="67"/>
      <c r="CIT34" s="67"/>
      <c r="CIU34" s="67"/>
      <c r="CIV34" s="67"/>
      <c r="CIW34" s="67"/>
      <c r="CIX34" s="67"/>
      <c r="CIY34" s="67"/>
      <c r="CIZ34" s="67"/>
      <c r="CJA34" s="67"/>
      <c r="CJB34" s="67"/>
      <c r="CJC34" s="67"/>
      <c r="CJD34" s="67"/>
      <c r="CJE34" s="67"/>
      <c r="CJF34" s="67"/>
      <c r="CJG34" s="67"/>
      <c r="CJH34" s="67"/>
      <c r="CJI34" s="67"/>
      <c r="CJJ34" s="67"/>
      <c r="CJK34" s="67"/>
      <c r="CJL34" s="67"/>
      <c r="CJM34" s="67"/>
      <c r="CJN34" s="67"/>
      <c r="CJO34" s="67"/>
      <c r="CJP34" s="67"/>
      <c r="CJQ34" s="67"/>
      <c r="CJR34" s="67"/>
      <c r="CJS34" s="67"/>
      <c r="CJT34" s="67"/>
      <c r="CJU34" s="67"/>
      <c r="CJV34" s="67"/>
      <c r="CJW34" s="67"/>
      <c r="CJX34" s="67"/>
      <c r="CJY34" s="67"/>
      <c r="CJZ34" s="67"/>
      <c r="CKA34" s="67"/>
      <c r="CKB34" s="67"/>
      <c r="CKC34" s="67"/>
      <c r="CKD34" s="67"/>
      <c r="CKE34" s="67"/>
      <c r="CKF34" s="67"/>
      <c r="CKG34" s="67"/>
      <c r="CKH34" s="67"/>
      <c r="CKI34" s="67"/>
      <c r="CKJ34" s="67"/>
      <c r="CKK34" s="67"/>
      <c r="CKL34" s="67"/>
      <c r="CKM34" s="67"/>
      <c r="CKN34" s="67"/>
      <c r="CKO34" s="67"/>
      <c r="CKP34" s="67"/>
      <c r="CKQ34" s="67"/>
      <c r="CKR34" s="67"/>
      <c r="CKS34" s="67"/>
      <c r="CKT34" s="67"/>
      <c r="CKU34" s="67"/>
      <c r="CKV34" s="67"/>
      <c r="CKW34" s="67"/>
      <c r="CKX34" s="67"/>
      <c r="CKY34" s="67"/>
      <c r="CKZ34" s="67"/>
      <c r="CLA34" s="67"/>
      <c r="CLB34" s="67"/>
      <c r="CLC34" s="67"/>
      <c r="CLD34" s="67"/>
      <c r="CLE34" s="67"/>
      <c r="CLF34" s="67"/>
      <c r="CLG34" s="67"/>
      <c r="CLH34" s="67"/>
      <c r="CLI34" s="67"/>
      <c r="CLJ34" s="67"/>
      <c r="CLK34" s="67"/>
      <c r="CLL34" s="67"/>
      <c r="CLM34" s="67"/>
      <c r="CLN34" s="67"/>
      <c r="CLO34" s="67"/>
      <c r="CLP34" s="67"/>
      <c r="CLQ34" s="67"/>
      <c r="CLR34" s="67"/>
      <c r="CLS34" s="67"/>
      <c r="CLT34" s="67"/>
      <c r="CLU34" s="67"/>
      <c r="CLV34" s="67"/>
      <c r="CLW34" s="67"/>
      <c r="CLX34" s="67"/>
      <c r="CLY34" s="67"/>
      <c r="CLZ34" s="67"/>
      <c r="CMA34" s="67"/>
      <c r="CMB34" s="67"/>
      <c r="CMC34" s="67"/>
      <c r="CMD34" s="67"/>
      <c r="CME34" s="67"/>
      <c r="CMF34" s="67"/>
      <c r="CMG34" s="67"/>
      <c r="CMH34" s="67"/>
      <c r="CMI34" s="67"/>
      <c r="CMJ34" s="67"/>
      <c r="CMK34" s="67"/>
      <c r="CML34" s="67"/>
      <c r="CMM34" s="67"/>
      <c r="CMN34" s="67"/>
      <c r="CMO34" s="67"/>
      <c r="CMP34" s="67"/>
      <c r="CMQ34" s="67"/>
      <c r="CMR34" s="67"/>
      <c r="CMS34" s="67"/>
      <c r="CMT34" s="67"/>
      <c r="CMU34" s="67"/>
      <c r="CMV34" s="67"/>
      <c r="CMW34" s="67"/>
      <c r="CMX34" s="67"/>
      <c r="CMY34" s="67"/>
      <c r="CMZ34" s="67"/>
      <c r="CNA34" s="67"/>
      <c r="CNB34" s="67"/>
      <c r="CNC34" s="67"/>
      <c r="CND34" s="67"/>
      <c r="CNE34" s="67"/>
      <c r="CNF34" s="67"/>
      <c r="CNG34" s="67"/>
      <c r="CNH34" s="67"/>
      <c r="CNI34" s="67"/>
      <c r="CNJ34" s="67"/>
      <c r="CNK34" s="67"/>
      <c r="CNL34" s="67"/>
      <c r="CNM34" s="67"/>
      <c r="CNN34" s="67"/>
      <c r="CNO34" s="67"/>
      <c r="CNP34" s="67"/>
      <c r="CNQ34" s="67"/>
      <c r="CNR34" s="67"/>
      <c r="CNS34" s="67"/>
      <c r="CNT34" s="67"/>
      <c r="CNU34" s="67"/>
      <c r="CNV34" s="67"/>
      <c r="CNW34" s="67"/>
      <c r="CNX34" s="67"/>
      <c r="CNY34" s="67"/>
      <c r="CNZ34" s="67"/>
      <c r="COA34" s="67"/>
      <c r="COB34" s="67"/>
      <c r="COC34" s="67"/>
      <c r="COD34" s="67"/>
      <c r="COE34" s="67"/>
      <c r="COF34" s="67"/>
      <c r="COG34" s="67"/>
      <c r="COH34" s="67"/>
      <c r="COI34" s="67"/>
      <c r="COJ34" s="67"/>
      <c r="COK34" s="67"/>
      <c r="COL34" s="67"/>
      <c r="COM34" s="67"/>
      <c r="CON34" s="67"/>
      <c r="COO34" s="67"/>
      <c r="COP34" s="67"/>
      <c r="COQ34" s="67"/>
      <c r="COR34" s="67"/>
      <c r="COS34" s="67"/>
      <c r="COT34" s="67"/>
      <c r="COU34" s="67"/>
      <c r="COV34" s="67"/>
      <c r="COW34" s="67"/>
      <c r="COX34" s="67"/>
      <c r="COY34" s="67"/>
      <c r="COZ34" s="67"/>
      <c r="CPA34" s="67"/>
      <c r="CPB34" s="67"/>
      <c r="CPC34" s="67"/>
      <c r="CPD34" s="67"/>
      <c r="CPE34" s="67"/>
      <c r="CPF34" s="67"/>
      <c r="CPG34" s="67"/>
      <c r="CPH34" s="67"/>
      <c r="CPI34" s="67"/>
      <c r="CPJ34" s="67"/>
      <c r="CPK34" s="67"/>
      <c r="CPL34" s="67"/>
      <c r="CPM34" s="67"/>
      <c r="CPN34" s="67"/>
      <c r="CPO34" s="67"/>
      <c r="CPP34" s="67"/>
      <c r="CPQ34" s="67"/>
      <c r="CPR34" s="67"/>
      <c r="CPS34" s="67"/>
      <c r="CPT34" s="67"/>
      <c r="CPU34" s="67"/>
      <c r="CPV34" s="67"/>
      <c r="CPW34" s="67"/>
      <c r="CPX34" s="67"/>
      <c r="CPY34" s="67"/>
      <c r="CPZ34" s="67"/>
      <c r="CQA34" s="67"/>
      <c r="CQB34" s="67"/>
      <c r="CQC34" s="67"/>
      <c r="CQD34" s="67"/>
      <c r="CQE34" s="67"/>
      <c r="CQF34" s="67"/>
      <c r="CQG34" s="67"/>
      <c r="CQH34" s="67"/>
      <c r="CQI34" s="67"/>
      <c r="CQJ34" s="67"/>
      <c r="CQK34" s="67"/>
      <c r="CQL34" s="67"/>
      <c r="CQM34" s="67"/>
      <c r="CQN34" s="67"/>
      <c r="CQO34" s="67"/>
      <c r="CQP34" s="67"/>
      <c r="CQQ34" s="67"/>
      <c r="CQR34" s="67"/>
      <c r="CQS34" s="67"/>
      <c r="CQT34" s="67"/>
      <c r="CQU34" s="67"/>
      <c r="CQV34" s="67"/>
      <c r="CQW34" s="67"/>
      <c r="CQX34" s="67"/>
      <c r="CQY34" s="67"/>
      <c r="CQZ34" s="67"/>
      <c r="CRA34" s="67"/>
      <c r="CRB34" s="67"/>
      <c r="CRC34" s="67"/>
      <c r="CRD34" s="67"/>
      <c r="CRE34" s="67"/>
      <c r="CRF34" s="67"/>
      <c r="CRG34" s="67"/>
      <c r="CRH34" s="67"/>
      <c r="CRI34" s="67"/>
      <c r="CRJ34" s="67"/>
      <c r="CRK34" s="67"/>
      <c r="CRL34" s="67"/>
      <c r="CRM34" s="67"/>
      <c r="CRN34" s="67"/>
      <c r="CRO34" s="67"/>
      <c r="CRP34" s="67"/>
      <c r="CRQ34" s="67"/>
      <c r="CRR34" s="67"/>
      <c r="CRS34" s="67"/>
      <c r="CRT34" s="67"/>
      <c r="CRU34" s="67"/>
      <c r="CRV34" s="67"/>
      <c r="CRW34" s="67"/>
      <c r="CRX34" s="67"/>
      <c r="CRY34" s="67"/>
      <c r="CRZ34" s="67"/>
      <c r="CSA34" s="67"/>
      <c r="CSB34" s="67"/>
      <c r="CSC34" s="67"/>
      <c r="CSD34" s="67"/>
      <c r="CSE34" s="67"/>
      <c r="CSF34" s="67"/>
      <c r="CSG34" s="67"/>
      <c r="CSH34" s="67"/>
      <c r="CSI34" s="67"/>
      <c r="CSJ34" s="67"/>
      <c r="CSK34" s="67"/>
      <c r="CSL34" s="67"/>
      <c r="CSM34" s="67"/>
      <c r="CSN34" s="67"/>
      <c r="CSO34" s="67"/>
      <c r="CSP34" s="67"/>
      <c r="CSQ34" s="67"/>
      <c r="CSR34" s="67"/>
      <c r="CSS34" s="67"/>
      <c r="CST34" s="67"/>
      <c r="CSU34" s="67"/>
      <c r="CSV34" s="67"/>
      <c r="CSW34" s="67"/>
      <c r="CSX34" s="67"/>
      <c r="CSY34" s="67"/>
      <c r="CSZ34" s="67"/>
      <c r="CTA34" s="67"/>
      <c r="CTB34" s="67"/>
      <c r="CTC34" s="67"/>
      <c r="CTD34" s="67"/>
      <c r="CTE34" s="67"/>
      <c r="CTF34" s="67"/>
      <c r="CTG34" s="67"/>
      <c r="CTH34" s="67"/>
      <c r="CTI34" s="67"/>
      <c r="CTJ34" s="67"/>
      <c r="CTK34" s="67"/>
      <c r="CTL34" s="67"/>
      <c r="CTM34" s="67"/>
      <c r="CTN34" s="67"/>
      <c r="CTO34" s="67"/>
      <c r="CTP34" s="67"/>
      <c r="CTQ34" s="67"/>
      <c r="CTR34" s="67"/>
      <c r="CTS34" s="67"/>
      <c r="CTT34" s="67"/>
      <c r="CTU34" s="67"/>
      <c r="CTV34" s="67"/>
      <c r="CTW34" s="67"/>
      <c r="CTX34" s="67"/>
      <c r="CTY34" s="67"/>
      <c r="CTZ34" s="67"/>
      <c r="CUA34" s="67"/>
      <c r="CUB34" s="67"/>
      <c r="CUC34" s="67"/>
      <c r="CUD34" s="67"/>
      <c r="CUE34" s="67"/>
      <c r="CUF34" s="67"/>
      <c r="CUG34" s="67"/>
      <c r="CUH34" s="67"/>
      <c r="CUI34" s="67"/>
      <c r="CUJ34" s="67"/>
      <c r="CUK34" s="67"/>
      <c r="CUL34" s="67"/>
      <c r="CUM34" s="67"/>
      <c r="CUN34" s="67"/>
      <c r="CUO34" s="67"/>
      <c r="CUP34" s="67"/>
      <c r="CUQ34" s="67"/>
      <c r="CUR34" s="67"/>
      <c r="CUS34" s="67"/>
      <c r="CUT34" s="67"/>
      <c r="CUU34" s="67"/>
      <c r="CUV34" s="67"/>
      <c r="CUW34" s="67"/>
      <c r="CUX34" s="67"/>
      <c r="CUY34" s="67"/>
      <c r="CUZ34" s="67"/>
      <c r="CVA34" s="67"/>
      <c r="CVB34" s="67"/>
      <c r="CVC34" s="67"/>
      <c r="CVD34" s="67"/>
      <c r="CVE34" s="67"/>
      <c r="CVF34" s="67"/>
      <c r="CVG34" s="67"/>
      <c r="CVH34" s="67"/>
      <c r="CVI34" s="67"/>
      <c r="CVJ34" s="67"/>
      <c r="CVK34" s="67"/>
      <c r="CVL34" s="67"/>
      <c r="CVM34" s="67"/>
      <c r="CVN34" s="67"/>
      <c r="CVO34" s="67"/>
      <c r="CVP34" s="67"/>
      <c r="CVQ34" s="67"/>
      <c r="CVR34" s="67"/>
      <c r="CVS34" s="67"/>
      <c r="CVT34" s="67"/>
      <c r="CVU34" s="67"/>
      <c r="CVV34" s="67"/>
      <c r="CVW34" s="67"/>
      <c r="CVX34" s="67"/>
      <c r="CVY34" s="67"/>
      <c r="CVZ34" s="67"/>
      <c r="CWA34" s="67"/>
      <c r="CWB34" s="67"/>
      <c r="CWC34" s="67"/>
      <c r="CWD34" s="67"/>
      <c r="CWE34" s="67"/>
      <c r="CWF34" s="67"/>
      <c r="CWG34" s="67"/>
      <c r="CWH34" s="67"/>
      <c r="CWI34" s="67"/>
      <c r="CWJ34" s="67"/>
      <c r="CWK34" s="67"/>
      <c r="CWL34" s="67"/>
      <c r="CWM34" s="67"/>
      <c r="CWN34" s="67"/>
      <c r="CWO34" s="67"/>
      <c r="CWP34" s="67"/>
      <c r="CWQ34" s="67"/>
      <c r="CWR34" s="67"/>
      <c r="CWS34" s="67"/>
      <c r="CWT34" s="67"/>
      <c r="CWU34" s="67"/>
      <c r="CWV34" s="67"/>
      <c r="CWW34" s="67"/>
      <c r="CWX34" s="67"/>
      <c r="CWY34" s="67"/>
      <c r="CWZ34" s="67"/>
      <c r="CXA34" s="67"/>
      <c r="CXB34" s="67"/>
      <c r="CXC34" s="67"/>
      <c r="CXD34" s="67"/>
      <c r="CXE34" s="67"/>
      <c r="CXF34" s="67"/>
      <c r="CXG34" s="67"/>
      <c r="CXH34" s="67"/>
      <c r="CXI34" s="67"/>
      <c r="CXJ34" s="67"/>
      <c r="CXK34" s="67"/>
      <c r="CXL34" s="67"/>
      <c r="CXM34" s="67"/>
      <c r="CXN34" s="67"/>
      <c r="CXO34" s="67"/>
      <c r="CXP34" s="67"/>
      <c r="CXQ34" s="67"/>
      <c r="CXR34" s="67"/>
      <c r="CXS34" s="67"/>
      <c r="CXT34" s="67"/>
      <c r="CXU34" s="67"/>
      <c r="CXV34" s="67"/>
      <c r="CXW34" s="67"/>
      <c r="CXX34" s="67"/>
      <c r="CXY34" s="67"/>
      <c r="CXZ34" s="67"/>
      <c r="CYA34" s="67"/>
      <c r="CYB34" s="67"/>
      <c r="CYC34" s="67"/>
      <c r="CYD34" s="67"/>
      <c r="CYE34" s="67"/>
      <c r="CYF34" s="67"/>
      <c r="CYG34" s="67"/>
      <c r="CYH34" s="67"/>
      <c r="CYI34" s="67"/>
      <c r="CYJ34" s="67"/>
      <c r="CYK34" s="67"/>
      <c r="CYL34" s="67"/>
      <c r="CYM34" s="67"/>
      <c r="CYN34" s="67"/>
      <c r="CYO34" s="67"/>
      <c r="CYP34" s="67"/>
      <c r="CYQ34" s="67"/>
      <c r="CYR34" s="67"/>
      <c r="CYS34" s="67"/>
      <c r="CYT34" s="67"/>
      <c r="CYU34" s="67"/>
      <c r="CYV34" s="67"/>
      <c r="CYW34" s="67"/>
      <c r="CYX34" s="67"/>
      <c r="CYY34" s="67"/>
      <c r="CYZ34" s="67"/>
      <c r="CZA34" s="67"/>
      <c r="CZB34" s="67"/>
      <c r="CZC34" s="67"/>
      <c r="CZD34" s="67"/>
      <c r="CZE34" s="67"/>
      <c r="CZF34" s="67"/>
      <c r="CZG34" s="67"/>
      <c r="CZH34" s="67"/>
      <c r="CZI34" s="67"/>
      <c r="CZJ34" s="67"/>
      <c r="CZK34" s="67"/>
      <c r="CZL34" s="67"/>
      <c r="CZM34" s="67"/>
      <c r="CZN34" s="67"/>
      <c r="CZO34" s="67"/>
      <c r="CZP34" s="67"/>
      <c r="CZQ34" s="67"/>
      <c r="CZR34" s="67"/>
      <c r="CZS34" s="67"/>
      <c r="CZT34" s="67"/>
      <c r="CZU34" s="67"/>
      <c r="CZV34" s="67"/>
      <c r="CZW34" s="67"/>
      <c r="CZX34" s="67"/>
      <c r="CZY34" s="67"/>
      <c r="CZZ34" s="67"/>
      <c r="DAA34" s="67"/>
      <c r="DAB34" s="67"/>
      <c r="DAC34" s="67"/>
      <c r="DAD34" s="67"/>
      <c r="DAE34" s="67"/>
      <c r="DAF34" s="67"/>
      <c r="DAG34" s="67"/>
      <c r="DAH34" s="67"/>
      <c r="DAI34" s="67"/>
      <c r="DAJ34" s="67"/>
      <c r="DAK34" s="67"/>
      <c r="DAL34" s="67"/>
      <c r="DAM34" s="67"/>
      <c r="DAN34" s="67"/>
      <c r="DAO34" s="67"/>
      <c r="DAP34" s="67"/>
      <c r="DAQ34" s="67"/>
      <c r="DAR34" s="67"/>
      <c r="DAS34" s="67"/>
      <c r="DAT34" s="67"/>
      <c r="DAU34" s="67"/>
      <c r="DAV34" s="67"/>
      <c r="DAW34" s="67"/>
      <c r="DAX34" s="67"/>
      <c r="DAY34" s="67"/>
      <c r="DAZ34" s="67"/>
      <c r="DBA34" s="67"/>
      <c r="DBB34" s="67"/>
      <c r="DBC34" s="67"/>
      <c r="DBD34" s="67"/>
      <c r="DBE34" s="67"/>
      <c r="DBF34" s="67"/>
      <c r="DBG34" s="67"/>
      <c r="DBH34" s="67"/>
      <c r="DBI34" s="67"/>
      <c r="DBJ34" s="67"/>
      <c r="DBK34" s="67"/>
      <c r="DBL34" s="67"/>
      <c r="DBM34" s="67"/>
      <c r="DBN34" s="67"/>
      <c r="DBO34" s="67"/>
      <c r="DBP34" s="67"/>
      <c r="DBQ34" s="67"/>
      <c r="DBR34" s="67"/>
      <c r="DBS34" s="67"/>
      <c r="DBT34" s="67"/>
      <c r="DBU34" s="67"/>
      <c r="DBV34" s="67"/>
      <c r="DBW34" s="67"/>
      <c r="DBX34" s="67"/>
      <c r="DBY34" s="67"/>
      <c r="DBZ34" s="67"/>
      <c r="DCA34" s="67"/>
      <c r="DCB34" s="67"/>
      <c r="DCC34" s="67"/>
      <c r="DCD34" s="67"/>
      <c r="DCE34" s="67"/>
      <c r="DCF34" s="67"/>
      <c r="DCG34" s="67"/>
      <c r="DCH34" s="67"/>
      <c r="DCI34" s="67"/>
      <c r="DCJ34" s="67"/>
      <c r="DCK34" s="67"/>
      <c r="DCL34" s="67"/>
      <c r="DCM34" s="67"/>
      <c r="DCN34" s="67"/>
      <c r="DCO34" s="67"/>
      <c r="DCP34" s="67"/>
      <c r="DCQ34" s="67"/>
      <c r="DCR34" s="67"/>
      <c r="DCS34" s="67"/>
      <c r="DCT34" s="67"/>
      <c r="DCU34" s="67"/>
      <c r="DCV34" s="67"/>
      <c r="DCW34" s="67"/>
      <c r="DCX34" s="67"/>
      <c r="DCY34" s="67"/>
      <c r="DCZ34" s="67"/>
      <c r="DDA34" s="67"/>
      <c r="DDB34" s="67"/>
      <c r="DDC34" s="67"/>
      <c r="DDD34" s="67"/>
      <c r="DDE34" s="67"/>
      <c r="DDF34" s="67"/>
      <c r="DDG34" s="67"/>
      <c r="DDH34" s="67"/>
      <c r="DDI34" s="67"/>
      <c r="DDJ34" s="67"/>
      <c r="DDK34" s="67"/>
      <c r="DDL34" s="67"/>
      <c r="DDM34" s="67"/>
      <c r="DDN34" s="67"/>
      <c r="DDO34" s="67"/>
      <c r="DDP34" s="67"/>
      <c r="DDQ34" s="67"/>
      <c r="DDR34" s="67"/>
      <c r="DDS34" s="67"/>
      <c r="DDT34" s="67"/>
      <c r="DDU34" s="67"/>
      <c r="DDV34" s="67"/>
      <c r="DDW34" s="67"/>
      <c r="DDX34" s="67"/>
      <c r="DDY34" s="67"/>
      <c r="DDZ34" s="67"/>
      <c r="DEA34" s="67"/>
      <c r="DEB34" s="67"/>
      <c r="DEC34" s="67"/>
      <c r="DED34" s="67"/>
      <c r="DEE34" s="67"/>
      <c r="DEF34" s="67"/>
      <c r="DEG34" s="67"/>
      <c r="DEH34" s="67"/>
      <c r="DEI34" s="67"/>
      <c r="DEJ34" s="67"/>
      <c r="DEK34" s="67"/>
      <c r="DEL34" s="67"/>
      <c r="DEM34" s="67"/>
      <c r="DEN34" s="67"/>
      <c r="DEO34" s="67"/>
      <c r="DEP34" s="67"/>
      <c r="DEQ34" s="67"/>
      <c r="DER34" s="67"/>
      <c r="DES34" s="67"/>
      <c r="DET34" s="67"/>
      <c r="DEU34" s="67"/>
      <c r="DEV34" s="67"/>
      <c r="DEW34" s="67"/>
      <c r="DEX34" s="67"/>
      <c r="DEY34" s="67"/>
      <c r="DEZ34" s="67"/>
      <c r="DFA34" s="67"/>
      <c r="DFB34" s="67"/>
      <c r="DFC34" s="67"/>
      <c r="DFD34" s="67"/>
      <c r="DFE34" s="67"/>
      <c r="DFF34" s="67"/>
      <c r="DFG34" s="67"/>
      <c r="DFH34" s="67"/>
      <c r="DFI34" s="67"/>
      <c r="DFJ34" s="67"/>
      <c r="DFK34" s="67"/>
      <c r="DFL34" s="67"/>
      <c r="DFM34" s="67"/>
      <c r="DFN34" s="67"/>
      <c r="DFO34" s="67"/>
      <c r="DFP34" s="67"/>
      <c r="DFQ34" s="67"/>
      <c r="DFR34" s="67"/>
      <c r="DFS34" s="67"/>
      <c r="DFT34" s="67"/>
      <c r="DFU34" s="67"/>
      <c r="DFV34" s="67"/>
      <c r="DFW34" s="67"/>
      <c r="DFX34" s="67"/>
      <c r="DFY34" s="67"/>
      <c r="DFZ34" s="67"/>
      <c r="DGA34" s="67"/>
      <c r="DGB34" s="67"/>
      <c r="DGC34" s="67"/>
      <c r="DGD34" s="67"/>
      <c r="DGE34" s="67"/>
      <c r="DGF34" s="67"/>
      <c r="DGG34" s="67"/>
      <c r="DGH34" s="67"/>
      <c r="DGI34" s="67"/>
      <c r="DGJ34" s="67"/>
      <c r="DGK34" s="67"/>
      <c r="DGL34" s="67"/>
      <c r="DGM34" s="67"/>
      <c r="DGN34" s="67"/>
      <c r="DGO34" s="67"/>
      <c r="DGP34" s="67"/>
      <c r="DGQ34" s="67"/>
      <c r="DGR34" s="67"/>
      <c r="DGS34" s="67"/>
      <c r="DGT34" s="67"/>
      <c r="DGU34" s="67"/>
      <c r="DGV34" s="67"/>
      <c r="DGW34" s="67"/>
      <c r="DGX34" s="67"/>
      <c r="DGY34" s="67"/>
      <c r="DGZ34" s="67"/>
      <c r="DHA34" s="67"/>
      <c r="DHB34" s="67"/>
      <c r="DHC34" s="67"/>
      <c r="DHD34" s="67"/>
      <c r="DHE34" s="67"/>
      <c r="DHF34" s="67"/>
      <c r="DHG34" s="67"/>
      <c r="DHH34" s="67"/>
      <c r="DHI34" s="67"/>
      <c r="DHJ34" s="67"/>
      <c r="DHK34" s="67"/>
      <c r="DHL34" s="67"/>
      <c r="DHM34" s="67"/>
      <c r="DHN34" s="67"/>
      <c r="DHO34" s="67"/>
      <c r="DHP34" s="67"/>
      <c r="DHQ34" s="67"/>
      <c r="DHR34" s="67"/>
      <c r="DHS34" s="67"/>
      <c r="DHT34" s="67"/>
      <c r="DHU34" s="67"/>
      <c r="DHV34" s="67"/>
      <c r="DHW34" s="67"/>
      <c r="DHX34" s="67"/>
      <c r="DHY34" s="67"/>
      <c r="DHZ34" s="67"/>
      <c r="DIA34" s="67"/>
      <c r="DIB34" s="67"/>
      <c r="DIC34" s="67"/>
      <c r="DID34" s="67"/>
      <c r="DIE34" s="67"/>
      <c r="DIF34" s="67"/>
      <c r="DIG34" s="67"/>
      <c r="DIH34" s="67"/>
      <c r="DII34" s="67"/>
      <c r="DIJ34" s="67"/>
      <c r="DIK34" s="67"/>
      <c r="DIL34" s="67"/>
      <c r="DIM34" s="67"/>
      <c r="DIN34" s="67"/>
      <c r="DIO34" s="67"/>
      <c r="DIP34" s="67"/>
      <c r="DIQ34" s="67"/>
      <c r="DIR34" s="67"/>
      <c r="DIS34" s="67"/>
      <c r="DIT34" s="67"/>
      <c r="DIU34" s="67"/>
      <c r="DIV34" s="67"/>
      <c r="DIW34" s="67"/>
      <c r="DIX34" s="67"/>
      <c r="DIY34" s="67"/>
      <c r="DIZ34" s="67"/>
      <c r="DJA34" s="67"/>
      <c r="DJB34" s="67"/>
      <c r="DJC34" s="67"/>
      <c r="DJD34" s="67"/>
      <c r="DJE34" s="67"/>
      <c r="DJF34" s="67"/>
      <c r="DJG34" s="67"/>
      <c r="DJH34" s="67"/>
      <c r="DJI34" s="67"/>
      <c r="DJJ34" s="67"/>
      <c r="DJK34" s="67"/>
      <c r="DJL34" s="67"/>
      <c r="DJM34" s="67"/>
      <c r="DJN34" s="67"/>
      <c r="DJO34" s="67"/>
      <c r="DJP34" s="67"/>
      <c r="DJQ34" s="67"/>
      <c r="DJR34" s="67"/>
      <c r="DJS34" s="67"/>
      <c r="DJT34" s="67"/>
      <c r="DJU34" s="67"/>
      <c r="DJV34" s="67"/>
      <c r="DJW34" s="67"/>
      <c r="DJX34" s="67"/>
      <c r="DJY34" s="67"/>
      <c r="DJZ34" s="67"/>
      <c r="DKA34" s="67"/>
      <c r="DKB34" s="67"/>
      <c r="DKC34" s="67"/>
      <c r="DKD34" s="67"/>
      <c r="DKE34" s="67"/>
      <c r="DKF34" s="67"/>
      <c r="DKG34" s="67"/>
      <c r="DKH34" s="67"/>
      <c r="DKI34" s="67"/>
      <c r="DKJ34" s="67"/>
      <c r="DKK34" s="67"/>
      <c r="DKL34" s="67"/>
      <c r="DKM34" s="67"/>
      <c r="DKN34" s="67"/>
      <c r="DKO34" s="67"/>
      <c r="DKP34" s="67"/>
      <c r="DKQ34" s="67"/>
      <c r="DKR34" s="67"/>
      <c r="DKS34" s="67"/>
      <c r="DKT34" s="67"/>
      <c r="DKU34" s="67"/>
      <c r="DKV34" s="67"/>
      <c r="DKW34" s="67"/>
      <c r="DKX34" s="67"/>
      <c r="DKY34" s="67"/>
      <c r="DKZ34" s="67"/>
      <c r="DLA34" s="67"/>
      <c r="DLB34" s="67"/>
      <c r="DLC34" s="67"/>
      <c r="DLD34" s="67"/>
      <c r="DLE34" s="67"/>
      <c r="DLF34" s="67"/>
      <c r="DLG34" s="67"/>
      <c r="DLH34" s="67"/>
      <c r="DLI34" s="67"/>
      <c r="DLJ34" s="67"/>
      <c r="DLK34" s="67"/>
      <c r="DLL34" s="67"/>
      <c r="DLM34" s="67"/>
      <c r="DLN34" s="67"/>
      <c r="DLO34" s="67"/>
      <c r="DLP34" s="67"/>
      <c r="DLQ34" s="67"/>
      <c r="DLR34" s="67"/>
      <c r="DLS34" s="67"/>
      <c r="DLT34" s="67"/>
      <c r="DLU34" s="67"/>
      <c r="DLV34" s="67"/>
      <c r="DLW34" s="67"/>
      <c r="DLX34" s="67"/>
      <c r="DLY34" s="67"/>
      <c r="DLZ34" s="67"/>
      <c r="DMA34" s="67"/>
      <c r="DMB34" s="67"/>
      <c r="DMC34" s="67"/>
      <c r="DMD34" s="67"/>
      <c r="DME34" s="67"/>
      <c r="DMF34" s="67"/>
      <c r="DMG34" s="67"/>
      <c r="DMH34" s="67"/>
      <c r="DMI34" s="67"/>
      <c r="DMJ34" s="67"/>
      <c r="DMK34" s="67"/>
      <c r="DML34" s="67"/>
      <c r="DMM34" s="67"/>
      <c r="DMN34" s="67"/>
      <c r="DMO34" s="67"/>
      <c r="DMP34" s="67"/>
      <c r="DMQ34" s="67"/>
      <c r="DMR34" s="67"/>
      <c r="DMS34" s="67"/>
      <c r="DMT34" s="67"/>
      <c r="DMU34" s="67"/>
      <c r="DMV34" s="67"/>
      <c r="DMW34" s="67"/>
      <c r="DMX34" s="67"/>
      <c r="DMY34" s="67"/>
      <c r="DMZ34" s="67"/>
      <c r="DNA34" s="67"/>
      <c r="DNB34" s="67"/>
      <c r="DNC34" s="67"/>
      <c r="DND34" s="67"/>
      <c r="DNE34" s="67"/>
      <c r="DNF34" s="67"/>
      <c r="DNG34" s="67"/>
      <c r="DNH34" s="67"/>
      <c r="DNI34" s="67"/>
      <c r="DNJ34" s="67"/>
      <c r="DNK34" s="67"/>
      <c r="DNL34" s="67"/>
      <c r="DNM34" s="67"/>
      <c r="DNN34" s="67"/>
      <c r="DNO34" s="67"/>
      <c r="DNP34" s="67"/>
      <c r="DNQ34" s="67"/>
      <c r="DNR34" s="67"/>
      <c r="DNS34" s="67"/>
      <c r="DNT34" s="67"/>
      <c r="DNU34" s="67"/>
      <c r="DNV34" s="67"/>
      <c r="DNW34" s="67"/>
      <c r="DNX34" s="67"/>
      <c r="DNY34" s="67"/>
      <c r="DNZ34" s="67"/>
      <c r="DOA34" s="67"/>
      <c r="DOB34" s="67"/>
      <c r="DOC34" s="67"/>
      <c r="DOD34" s="67"/>
      <c r="DOE34" s="67"/>
      <c r="DOF34" s="67"/>
      <c r="DOG34" s="67"/>
      <c r="DOH34" s="67"/>
      <c r="DOI34" s="67"/>
      <c r="DOJ34" s="67"/>
      <c r="DOK34" s="67"/>
      <c r="DOL34" s="67"/>
      <c r="DOM34" s="67"/>
      <c r="DON34" s="67"/>
      <c r="DOO34" s="67"/>
      <c r="DOP34" s="67"/>
      <c r="DOQ34" s="67"/>
      <c r="DOR34" s="67"/>
      <c r="DOS34" s="67"/>
      <c r="DOT34" s="67"/>
      <c r="DOU34" s="67"/>
      <c r="DOV34" s="67"/>
      <c r="DOW34" s="67"/>
      <c r="DOX34" s="67"/>
      <c r="DOY34" s="67"/>
      <c r="DOZ34" s="67"/>
      <c r="DPA34" s="67"/>
      <c r="DPB34" s="67"/>
      <c r="DPC34" s="67"/>
      <c r="DPD34" s="67"/>
      <c r="DPE34" s="67"/>
      <c r="DPF34" s="67"/>
      <c r="DPG34" s="67"/>
      <c r="DPH34" s="67"/>
      <c r="DPI34" s="67"/>
      <c r="DPJ34" s="67"/>
      <c r="DPK34" s="67"/>
      <c r="DPL34" s="67"/>
      <c r="DPM34" s="67"/>
      <c r="DPN34" s="67"/>
      <c r="DPO34" s="67"/>
      <c r="DPP34" s="67"/>
      <c r="DPQ34" s="67"/>
      <c r="DPR34" s="67"/>
      <c r="DPS34" s="67"/>
      <c r="DPT34" s="67"/>
      <c r="DPU34" s="67"/>
      <c r="DPV34" s="67"/>
      <c r="DPW34" s="67"/>
      <c r="DPX34" s="67"/>
      <c r="DPY34" s="67"/>
      <c r="DPZ34" s="67"/>
      <c r="DQA34" s="67"/>
      <c r="DQB34" s="67"/>
      <c r="DQC34" s="67"/>
      <c r="DQD34" s="67"/>
      <c r="DQE34" s="67"/>
      <c r="DQF34" s="67"/>
      <c r="DQG34" s="67"/>
      <c r="DQH34" s="67"/>
      <c r="DQI34" s="67"/>
      <c r="DQJ34" s="67"/>
      <c r="DQK34" s="67"/>
      <c r="DQL34" s="67"/>
      <c r="DQM34" s="67"/>
      <c r="DQN34" s="67"/>
      <c r="DQO34" s="67"/>
      <c r="DQP34" s="67"/>
      <c r="DQQ34" s="67"/>
      <c r="DQR34" s="67"/>
      <c r="DQS34" s="67"/>
      <c r="DQT34" s="67"/>
      <c r="DQU34" s="67"/>
      <c r="DQV34" s="67"/>
      <c r="DQW34" s="67"/>
      <c r="DQX34" s="67"/>
      <c r="DQY34" s="67"/>
      <c r="DQZ34" s="67"/>
      <c r="DRA34" s="67"/>
      <c r="DRB34" s="67"/>
      <c r="DRC34" s="67"/>
      <c r="DRD34" s="67"/>
      <c r="DRE34" s="67"/>
      <c r="DRF34" s="67"/>
      <c r="DRG34" s="67"/>
      <c r="DRH34" s="67"/>
      <c r="DRI34" s="67"/>
      <c r="DRJ34" s="67"/>
      <c r="DRK34" s="67"/>
      <c r="DRL34" s="67"/>
      <c r="DRM34" s="67"/>
      <c r="DRN34" s="67"/>
      <c r="DRO34" s="67"/>
      <c r="DRP34" s="67"/>
      <c r="DRQ34" s="67"/>
      <c r="DRR34" s="67"/>
      <c r="DRS34" s="67"/>
      <c r="DRT34" s="67"/>
      <c r="DRU34" s="67"/>
      <c r="DRV34" s="67"/>
      <c r="DRW34" s="67"/>
      <c r="DRX34" s="67"/>
      <c r="DRY34" s="67"/>
      <c r="DRZ34" s="67"/>
      <c r="DSA34" s="67"/>
      <c r="DSB34" s="67"/>
      <c r="DSC34" s="67"/>
      <c r="DSD34" s="67"/>
      <c r="DSE34" s="67"/>
      <c r="DSF34" s="67"/>
      <c r="DSG34" s="67"/>
      <c r="DSH34" s="67"/>
      <c r="DSI34" s="67"/>
      <c r="DSJ34" s="67"/>
      <c r="DSK34" s="67"/>
      <c r="DSL34" s="67"/>
      <c r="DSM34" s="67"/>
      <c r="DSN34" s="67"/>
      <c r="DSO34" s="67"/>
      <c r="DSP34" s="67"/>
      <c r="DSQ34" s="67"/>
      <c r="DSR34" s="67"/>
      <c r="DSS34" s="67"/>
      <c r="DST34" s="67"/>
      <c r="DSU34" s="67"/>
      <c r="DSV34" s="67"/>
      <c r="DSW34" s="67"/>
      <c r="DSX34" s="67"/>
      <c r="DSY34" s="67"/>
      <c r="DSZ34" s="67"/>
      <c r="DTA34" s="67"/>
      <c r="DTB34" s="67"/>
      <c r="DTC34" s="67"/>
      <c r="DTD34" s="67"/>
      <c r="DTE34" s="67"/>
      <c r="DTF34" s="67"/>
      <c r="DTG34" s="67"/>
      <c r="DTH34" s="67"/>
      <c r="DTI34" s="67"/>
      <c r="DTJ34" s="67"/>
      <c r="DTK34" s="67"/>
      <c r="DTL34" s="67"/>
      <c r="DTM34" s="67"/>
      <c r="DTN34" s="67"/>
      <c r="DTO34" s="67"/>
      <c r="DTP34" s="67"/>
      <c r="DTQ34" s="67"/>
      <c r="DTR34" s="67"/>
      <c r="DTS34" s="67"/>
      <c r="DTT34" s="67"/>
      <c r="DTU34" s="67"/>
      <c r="DTV34" s="67"/>
      <c r="DTW34" s="67"/>
      <c r="DTX34" s="67"/>
      <c r="DTY34" s="67"/>
      <c r="DTZ34" s="67"/>
      <c r="DUA34" s="67"/>
      <c r="DUB34" s="67"/>
      <c r="DUC34" s="67"/>
      <c r="DUD34" s="67"/>
      <c r="DUE34" s="67"/>
      <c r="DUF34" s="67"/>
      <c r="DUG34" s="67"/>
      <c r="DUH34" s="67"/>
      <c r="DUI34" s="67"/>
      <c r="DUJ34" s="67"/>
      <c r="DUK34" s="67"/>
      <c r="DUL34" s="67"/>
      <c r="DUM34" s="67"/>
      <c r="DUN34" s="67"/>
      <c r="DUO34" s="67"/>
      <c r="DUP34" s="67"/>
      <c r="DUQ34" s="67"/>
      <c r="DUR34" s="67"/>
      <c r="DUS34" s="67"/>
      <c r="DUT34" s="67"/>
      <c r="DUU34" s="67"/>
      <c r="DUV34" s="67"/>
      <c r="DUW34" s="67"/>
      <c r="DUX34" s="67"/>
      <c r="DUY34" s="67"/>
      <c r="DUZ34" s="67"/>
      <c r="DVA34" s="67"/>
      <c r="DVB34" s="67"/>
      <c r="DVC34" s="67"/>
      <c r="DVD34" s="67"/>
      <c r="DVE34" s="67"/>
      <c r="DVF34" s="67"/>
      <c r="DVG34" s="67"/>
      <c r="DVH34" s="67"/>
      <c r="DVI34" s="67"/>
      <c r="DVJ34" s="67"/>
      <c r="DVK34" s="67"/>
      <c r="DVL34" s="67"/>
      <c r="DVM34" s="67"/>
      <c r="DVN34" s="67"/>
      <c r="DVO34" s="67"/>
      <c r="DVP34" s="67"/>
      <c r="DVQ34" s="67"/>
      <c r="DVR34" s="67"/>
      <c r="DVS34" s="67"/>
      <c r="DVT34" s="67"/>
      <c r="DVU34" s="67"/>
      <c r="DVV34" s="67"/>
      <c r="DVW34" s="67"/>
      <c r="DVX34" s="67"/>
      <c r="DVY34" s="67"/>
      <c r="DVZ34" s="67"/>
      <c r="DWA34" s="67"/>
      <c r="DWB34" s="67"/>
      <c r="DWC34" s="67"/>
      <c r="DWD34" s="67"/>
      <c r="DWE34" s="67"/>
      <c r="DWF34" s="67"/>
      <c r="DWG34" s="67"/>
      <c r="DWH34" s="67"/>
      <c r="DWI34" s="67"/>
      <c r="DWJ34" s="67"/>
      <c r="DWK34" s="67"/>
      <c r="DWL34" s="67"/>
      <c r="DWM34" s="67"/>
      <c r="DWN34" s="67"/>
      <c r="DWO34" s="67"/>
      <c r="DWP34" s="67"/>
      <c r="DWQ34" s="67"/>
      <c r="DWR34" s="67"/>
      <c r="DWS34" s="67"/>
      <c r="DWT34" s="67"/>
      <c r="DWU34" s="67"/>
      <c r="DWV34" s="67"/>
      <c r="DWW34" s="67"/>
      <c r="DWX34" s="67"/>
      <c r="DWY34" s="67"/>
      <c r="DWZ34" s="67"/>
      <c r="DXA34" s="67"/>
      <c r="DXB34" s="67"/>
      <c r="DXC34" s="67"/>
      <c r="DXD34" s="67"/>
      <c r="DXE34" s="67"/>
      <c r="DXF34" s="67"/>
      <c r="DXG34" s="67"/>
      <c r="DXH34" s="67"/>
      <c r="DXI34" s="67"/>
      <c r="DXJ34" s="67"/>
      <c r="DXK34" s="67"/>
      <c r="DXL34" s="67"/>
      <c r="DXM34" s="67"/>
      <c r="DXN34" s="67"/>
      <c r="DXO34" s="67"/>
      <c r="DXP34" s="67"/>
      <c r="DXQ34" s="67"/>
      <c r="DXR34" s="67"/>
      <c r="DXS34" s="67"/>
      <c r="DXT34" s="67"/>
      <c r="DXU34" s="67"/>
      <c r="DXV34" s="67"/>
      <c r="DXW34" s="67"/>
      <c r="DXX34" s="67"/>
      <c r="DXY34" s="67"/>
      <c r="DXZ34" s="67"/>
      <c r="DYA34" s="67"/>
      <c r="DYB34" s="67"/>
      <c r="DYC34" s="67"/>
      <c r="DYD34" s="67"/>
      <c r="DYE34" s="67"/>
      <c r="DYF34" s="67"/>
      <c r="DYG34" s="67"/>
      <c r="DYH34" s="67"/>
      <c r="DYI34" s="67"/>
      <c r="DYJ34" s="67"/>
      <c r="DYK34" s="67"/>
      <c r="DYL34" s="67"/>
      <c r="DYM34" s="67"/>
      <c r="DYN34" s="67"/>
      <c r="DYO34" s="67"/>
      <c r="DYP34" s="67"/>
      <c r="DYQ34" s="67"/>
      <c r="DYR34" s="67"/>
      <c r="DYS34" s="67"/>
      <c r="DYT34" s="67"/>
      <c r="DYU34" s="67"/>
      <c r="DYV34" s="67"/>
      <c r="DYW34" s="67"/>
      <c r="DYX34" s="67"/>
      <c r="DYY34" s="67"/>
      <c r="DYZ34" s="67"/>
      <c r="DZA34" s="67"/>
      <c r="DZB34" s="67"/>
      <c r="DZC34" s="67"/>
      <c r="DZD34" s="67"/>
      <c r="DZE34" s="67"/>
      <c r="DZF34" s="67"/>
      <c r="DZG34" s="67"/>
      <c r="DZH34" s="67"/>
      <c r="DZI34" s="67"/>
      <c r="DZJ34" s="67"/>
      <c r="DZK34" s="67"/>
      <c r="DZL34" s="67"/>
      <c r="DZM34" s="67"/>
      <c r="DZN34" s="67"/>
      <c r="DZO34" s="67"/>
      <c r="DZP34" s="67"/>
      <c r="DZQ34" s="67"/>
      <c r="DZR34" s="67"/>
      <c r="DZS34" s="67"/>
      <c r="DZT34" s="67"/>
      <c r="DZU34" s="67"/>
      <c r="DZV34" s="67"/>
      <c r="DZW34" s="67"/>
      <c r="DZX34" s="67"/>
      <c r="DZY34" s="67"/>
      <c r="DZZ34" s="67"/>
      <c r="EAA34" s="67"/>
      <c r="EAB34" s="67"/>
      <c r="EAC34" s="67"/>
      <c r="EAD34" s="67"/>
      <c r="EAE34" s="67"/>
      <c r="EAF34" s="67"/>
      <c r="EAG34" s="67"/>
      <c r="EAH34" s="67"/>
      <c r="EAI34" s="67"/>
      <c r="EAJ34" s="67"/>
      <c r="EAK34" s="67"/>
      <c r="EAL34" s="67"/>
      <c r="EAM34" s="67"/>
      <c r="EAN34" s="67"/>
      <c r="EAO34" s="67"/>
      <c r="EAP34" s="67"/>
      <c r="EAQ34" s="67"/>
      <c r="EAR34" s="67"/>
      <c r="EAS34" s="67"/>
      <c r="EAT34" s="67"/>
      <c r="EAU34" s="67"/>
      <c r="EAV34" s="67"/>
      <c r="EAW34" s="67"/>
      <c r="EAX34" s="67"/>
      <c r="EAY34" s="67"/>
      <c r="EAZ34" s="67"/>
      <c r="EBA34" s="67"/>
      <c r="EBB34" s="67"/>
      <c r="EBC34" s="67"/>
      <c r="EBD34" s="67"/>
      <c r="EBE34" s="67"/>
      <c r="EBF34" s="67"/>
      <c r="EBG34" s="67"/>
      <c r="EBH34" s="67"/>
      <c r="EBI34" s="67"/>
      <c r="EBJ34" s="67"/>
      <c r="EBK34" s="67"/>
      <c r="EBL34" s="67"/>
      <c r="EBM34" s="67"/>
      <c r="EBN34" s="67"/>
      <c r="EBO34" s="67"/>
      <c r="EBP34" s="67"/>
      <c r="EBQ34" s="67"/>
      <c r="EBR34" s="67"/>
      <c r="EBS34" s="67"/>
      <c r="EBT34" s="67"/>
      <c r="EBU34" s="67"/>
      <c r="EBV34" s="67"/>
      <c r="EBW34" s="67"/>
      <c r="EBX34" s="67"/>
      <c r="EBY34" s="67"/>
      <c r="EBZ34" s="67"/>
      <c r="ECA34" s="67"/>
      <c r="ECB34" s="67"/>
      <c r="ECC34" s="67"/>
      <c r="ECD34" s="67"/>
      <c r="ECE34" s="67"/>
      <c r="ECF34" s="67"/>
      <c r="ECG34" s="67"/>
      <c r="ECH34" s="67"/>
      <c r="ECI34" s="67"/>
      <c r="ECJ34" s="67"/>
      <c r="ECK34" s="67"/>
      <c r="ECL34" s="67"/>
      <c r="ECM34" s="67"/>
      <c r="ECN34" s="67"/>
      <c r="ECO34" s="67"/>
      <c r="ECP34" s="67"/>
      <c r="ECQ34" s="67"/>
      <c r="ECR34" s="67"/>
      <c r="ECS34" s="67"/>
      <c r="ECT34" s="67"/>
      <c r="ECU34" s="67"/>
      <c r="ECV34" s="67"/>
      <c r="ECW34" s="67"/>
      <c r="ECX34" s="67"/>
      <c r="ECY34" s="67"/>
      <c r="ECZ34" s="67"/>
      <c r="EDA34" s="67"/>
      <c r="EDB34" s="67"/>
      <c r="EDC34" s="67"/>
      <c r="EDD34" s="67"/>
      <c r="EDE34" s="67"/>
      <c r="EDF34" s="67"/>
      <c r="EDG34" s="67"/>
      <c r="EDH34" s="67"/>
      <c r="EDI34" s="67"/>
      <c r="EDJ34" s="67"/>
      <c r="EDK34" s="67"/>
      <c r="EDL34" s="67"/>
      <c r="EDM34" s="67"/>
      <c r="EDN34" s="67"/>
      <c r="EDO34" s="67"/>
      <c r="EDP34" s="67"/>
      <c r="EDQ34" s="67"/>
      <c r="EDR34" s="67"/>
      <c r="EDS34" s="67"/>
      <c r="EDT34" s="67"/>
      <c r="EDU34" s="67"/>
      <c r="EDV34" s="67"/>
      <c r="EDW34" s="67"/>
      <c r="EDX34" s="67"/>
      <c r="EDY34" s="67"/>
      <c r="EDZ34" s="67"/>
      <c r="EEA34" s="67"/>
      <c r="EEB34" s="67"/>
      <c r="EEC34" s="67"/>
      <c r="EED34" s="67"/>
      <c r="EEE34" s="67"/>
      <c r="EEF34" s="67"/>
      <c r="EEG34" s="67"/>
      <c r="EEH34" s="67"/>
      <c r="EEI34" s="67"/>
      <c r="EEJ34" s="67"/>
      <c r="EEK34" s="67"/>
      <c r="EEL34" s="67"/>
      <c r="EEM34" s="67"/>
      <c r="EEN34" s="67"/>
      <c r="EEO34" s="67"/>
      <c r="EEP34" s="67"/>
      <c r="EEQ34" s="67"/>
      <c r="EER34" s="67"/>
      <c r="EES34" s="67"/>
      <c r="EET34" s="67"/>
      <c r="EEU34" s="67"/>
      <c r="EEV34" s="67"/>
      <c r="EEW34" s="67"/>
      <c r="EEX34" s="67"/>
      <c r="EEY34" s="67"/>
      <c r="EEZ34" s="67"/>
      <c r="EFA34" s="67"/>
      <c r="EFB34" s="67"/>
      <c r="EFC34" s="67"/>
      <c r="EFD34" s="67"/>
      <c r="EFE34" s="67"/>
      <c r="EFF34" s="67"/>
      <c r="EFG34" s="67"/>
      <c r="EFH34" s="67"/>
      <c r="EFI34" s="67"/>
      <c r="EFJ34" s="67"/>
      <c r="EFK34" s="67"/>
      <c r="EFL34" s="67"/>
      <c r="EFM34" s="67"/>
      <c r="EFN34" s="67"/>
      <c r="EFO34" s="67"/>
      <c r="EFP34" s="67"/>
      <c r="EFQ34" s="67"/>
      <c r="EFR34" s="67"/>
      <c r="EFS34" s="67"/>
      <c r="EFT34" s="67"/>
      <c r="EFU34" s="67"/>
      <c r="EFV34" s="67"/>
      <c r="EFW34" s="67"/>
      <c r="EFX34" s="67"/>
      <c r="EFY34" s="67"/>
      <c r="EFZ34" s="67"/>
      <c r="EGA34" s="67"/>
      <c r="EGB34" s="67"/>
      <c r="EGC34" s="67"/>
      <c r="EGD34" s="67"/>
      <c r="EGE34" s="67"/>
      <c r="EGF34" s="67"/>
      <c r="EGG34" s="67"/>
      <c r="EGH34" s="67"/>
      <c r="EGI34" s="67"/>
      <c r="EGJ34" s="67"/>
      <c r="EGK34" s="67"/>
      <c r="EGL34" s="67"/>
      <c r="EGM34" s="67"/>
      <c r="EGN34" s="67"/>
      <c r="EGO34" s="67"/>
      <c r="EGP34" s="67"/>
      <c r="EGQ34" s="67"/>
      <c r="EGR34" s="67"/>
      <c r="EGS34" s="67"/>
      <c r="EGT34" s="67"/>
      <c r="EGU34" s="67"/>
      <c r="EGV34" s="67"/>
      <c r="EGW34" s="67"/>
      <c r="EGX34" s="67"/>
      <c r="EGY34" s="67"/>
      <c r="EGZ34" s="67"/>
      <c r="EHA34" s="67"/>
      <c r="EHB34" s="67"/>
      <c r="EHC34" s="67"/>
      <c r="EHD34" s="67"/>
      <c r="EHE34" s="67"/>
      <c r="EHF34" s="67"/>
      <c r="EHG34" s="67"/>
      <c r="EHH34" s="67"/>
      <c r="EHI34" s="67"/>
      <c r="EHJ34" s="67"/>
      <c r="EHK34" s="67"/>
      <c r="EHL34" s="67"/>
      <c r="EHM34" s="67"/>
      <c r="EHN34" s="67"/>
      <c r="EHO34" s="67"/>
      <c r="EHP34" s="67"/>
      <c r="EHQ34" s="67"/>
      <c r="EHR34" s="67"/>
      <c r="EHS34" s="67"/>
      <c r="EHT34" s="67"/>
      <c r="EHU34" s="67"/>
      <c r="EHV34" s="67"/>
      <c r="EHW34" s="67"/>
      <c r="EHX34" s="67"/>
      <c r="EHY34" s="67"/>
      <c r="EHZ34" s="67"/>
      <c r="EIA34" s="67"/>
      <c r="EIB34" s="67"/>
      <c r="EIC34" s="67"/>
      <c r="EID34" s="67"/>
      <c r="EIE34" s="67"/>
      <c r="EIF34" s="67"/>
      <c r="EIG34" s="67"/>
      <c r="EIH34" s="67"/>
      <c r="EII34" s="67"/>
      <c r="EIJ34" s="67"/>
      <c r="EIK34" s="67"/>
      <c r="EIL34" s="67"/>
      <c r="EIM34" s="67"/>
      <c r="EIN34" s="67"/>
      <c r="EIO34" s="67"/>
      <c r="EIP34" s="67"/>
      <c r="EIQ34" s="67"/>
      <c r="EIR34" s="67"/>
      <c r="EIS34" s="67"/>
      <c r="EIT34" s="67"/>
      <c r="EIU34" s="67"/>
      <c r="EIV34" s="67"/>
      <c r="EIW34" s="67"/>
      <c r="EIX34" s="67"/>
      <c r="EIY34" s="67"/>
      <c r="EIZ34" s="67"/>
      <c r="EJA34" s="67"/>
      <c r="EJB34" s="67"/>
      <c r="EJC34" s="67"/>
      <c r="EJD34" s="67"/>
      <c r="EJE34" s="67"/>
      <c r="EJF34" s="67"/>
      <c r="EJG34" s="67"/>
      <c r="EJH34" s="67"/>
      <c r="EJI34" s="67"/>
      <c r="EJJ34" s="67"/>
      <c r="EJK34" s="67"/>
      <c r="EJL34" s="67"/>
      <c r="EJM34" s="67"/>
      <c r="EJN34" s="67"/>
      <c r="EJO34" s="67"/>
      <c r="EJP34" s="67"/>
      <c r="EJQ34" s="67"/>
      <c r="EJR34" s="67"/>
      <c r="EJS34" s="67"/>
      <c r="EJT34" s="67"/>
      <c r="EJU34" s="67"/>
      <c r="EJV34" s="67"/>
      <c r="EJW34" s="67"/>
      <c r="EJX34" s="67"/>
      <c r="EJY34" s="67"/>
      <c r="EJZ34" s="67"/>
      <c r="EKA34" s="67"/>
      <c r="EKB34" s="67"/>
      <c r="EKC34" s="67"/>
      <c r="EKD34" s="67"/>
      <c r="EKE34" s="67"/>
      <c r="EKF34" s="67"/>
      <c r="EKG34" s="67"/>
      <c r="EKH34" s="67"/>
      <c r="EKI34" s="67"/>
      <c r="EKJ34" s="67"/>
      <c r="EKK34" s="67"/>
      <c r="EKL34" s="67"/>
      <c r="EKM34" s="67"/>
      <c r="EKN34" s="67"/>
      <c r="EKO34" s="67"/>
      <c r="EKP34" s="67"/>
      <c r="EKQ34" s="67"/>
      <c r="EKR34" s="67"/>
      <c r="EKS34" s="67"/>
      <c r="EKT34" s="67"/>
      <c r="EKU34" s="67"/>
      <c r="EKV34" s="67"/>
      <c r="EKW34" s="67"/>
      <c r="EKX34" s="67"/>
      <c r="EKY34" s="67"/>
      <c r="EKZ34" s="67"/>
      <c r="ELA34" s="67"/>
      <c r="ELB34" s="67"/>
      <c r="ELC34" s="67"/>
      <c r="ELD34" s="67"/>
      <c r="ELE34" s="67"/>
      <c r="ELF34" s="67"/>
      <c r="ELG34" s="67"/>
      <c r="ELH34" s="67"/>
      <c r="ELI34" s="67"/>
      <c r="ELJ34" s="67"/>
      <c r="ELK34" s="67"/>
      <c r="ELL34" s="67"/>
      <c r="ELM34" s="67"/>
      <c r="ELN34" s="67"/>
      <c r="ELO34" s="67"/>
      <c r="ELP34" s="67"/>
      <c r="ELQ34" s="67"/>
      <c r="ELR34" s="67"/>
      <c r="ELS34" s="67"/>
      <c r="ELT34" s="67"/>
      <c r="ELU34" s="67"/>
      <c r="ELV34" s="67"/>
      <c r="ELW34" s="67"/>
      <c r="ELX34" s="67"/>
      <c r="ELY34" s="67"/>
      <c r="ELZ34" s="67"/>
      <c r="EMA34" s="67"/>
      <c r="EMB34" s="67"/>
      <c r="EMC34" s="67"/>
      <c r="EMD34" s="67"/>
      <c r="EME34" s="67"/>
      <c r="EMF34" s="67"/>
      <c r="EMG34" s="67"/>
      <c r="EMH34" s="67"/>
      <c r="EMI34" s="67"/>
      <c r="EMJ34" s="67"/>
      <c r="EMK34" s="67"/>
      <c r="EML34" s="67"/>
      <c r="EMM34" s="67"/>
      <c r="EMN34" s="67"/>
      <c r="EMO34" s="67"/>
      <c r="EMP34" s="67"/>
      <c r="EMQ34" s="67"/>
      <c r="EMR34" s="67"/>
      <c r="EMS34" s="67"/>
      <c r="EMT34" s="67"/>
      <c r="EMU34" s="67"/>
      <c r="EMV34" s="67"/>
      <c r="EMW34" s="67"/>
      <c r="EMX34" s="67"/>
      <c r="EMY34" s="67"/>
      <c r="EMZ34" s="67"/>
      <c r="ENA34" s="67"/>
      <c r="ENB34" s="67"/>
      <c r="ENC34" s="67"/>
      <c r="END34" s="67"/>
      <c r="ENE34" s="67"/>
      <c r="ENF34" s="67"/>
      <c r="ENG34" s="67"/>
      <c r="ENH34" s="67"/>
      <c r="ENI34" s="67"/>
      <c r="ENJ34" s="67"/>
      <c r="ENK34" s="67"/>
      <c r="ENL34" s="67"/>
      <c r="ENM34" s="67"/>
      <c r="ENN34" s="67"/>
      <c r="ENO34" s="67"/>
      <c r="ENP34" s="67"/>
      <c r="ENQ34" s="67"/>
      <c r="ENR34" s="67"/>
      <c r="ENS34" s="67"/>
      <c r="ENT34" s="67"/>
      <c r="ENU34" s="67"/>
      <c r="ENV34" s="67"/>
      <c r="ENW34" s="67"/>
      <c r="ENX34" s="67"/>
      <c r="ENY34" s="67"/>
      <c r="ENZ34" s="67"/>
      <c r="EOA34" s="67"/>
      <c r="EOB34" s="67"/>
      <c r="EOC34" s="67"/>
      <c r="EOD34" s="67"/>
      <c r="EOE34" s="67"/>
      <c r="EOF34" s="67"/>
      <c r="EOG34" s="67"/>
      <c r="EOH34" s="67"/>
      <c r="EOI34" s="67"/>
      <c r="EOJ34" s="67"/>
      <c r="EOK34" s="67"/>
      <c r="EOL34" s="67"/>
      <c r="EOM34" s="67"/>
      <c r="EON34" s="67"/>
      <c r="EOO34" s="67"/>
      <c r="EOP34" s="67"/>
      <c r="EOQ34" s="67"/>
      <c r="EOR34" s="67"/>
      <c r="EOS34" s="67"/>
      <c r="EOT34" s="67"/>
      <c r="EOU34" s="67"/>
      <c r="EOV34" s="67"/>
      <c r="EOW34" s="67"/>
      <c r="EOX34" s="67"/>
      <c r="EOY34" s="67"/>
      <c r="EOZ34" s="67"/>
      <c r="EPA34" s="67"/>
      <c r="EPB34" s="67"/>
      <c r="EPC34" s="67"/>
      <c r="EPD34" s="67"/>
      <c r="EPE34" s="67"/>
      <c r="EPF34" s="67"/>
      <c r="EPG34" s="67"/>
      <c r="EPH34" s="67"/>
      <c r="EPI34" s="67"/>
      <c r="EPJ34" s="67"/>
      <c r="EPK34" s="67"/>
      <c r="EPL34" s="67"/>
      <c r="EPM34" s="67"/>
      <c r="EPN34" s="67"/>
      <c r="EPO34" s="67"/>
      <c r="EPP34" s="67"/>
      <c r="EPQ34" s="67"/>
      <c r="EPR34" s="67"/>
      <c r="EPS34" s="67"/>
      <c r="EPT34" s="67"/>
      <c r="EPU34" s="67"/>
      <c r="EPV34" s="67"/>
      <c r="EPW34" s="67"/>
      <c r="EPX34" s="67"/>
      <c r="EPY34" s="67"/>
      <c r="EPZ34" s="67"/>
      <c r="EQA34" s="67"/>
      <c r="EQB34" s="67"/>
      <c r="EQC34" s="67"/>
      <c r="EQD34" s="67"/>
      <c r="EQE34" s="67"/>
      <c r="EQF34" s="67"/>
      <c r="EQG34" s="67"/>
      <c r="EQH34" s="67"/>
      <c r="EQI34" s="67"/>
      <c r="EQJ34" s="67"/>
      <c r="EQK34" s="67"/>
      <c r="EQL34" s="67"/>
      <c r="EQM34" s="67"/>
      <c r="EQN34" s="67"/>
      <c r="EQO34" s="67"/>
      <c r="EQP34" s="67"/>
      <c r="EQQ34" s="67"/>
      <c r="EQR34" s="67"/>
      <c r="EQS34" s="67"/>
      <c r="EQT34" s="67"/>
      <c r="EQU34" s="67"/>
      <c r="EQV34" s="67"/>
      <c r="EQW34" s="67"/>
      <c r="EQX34" s="67"/>
      <c r="EQY34" s="67"/>
      <c r="EQZ34" s="67"/>
      <c r="ERA34" s="67"/>
      <c r="ERB34" s="67"/>
      <c r="ERC34" s="67"/>
      <c r="ERD34" s="67"/>
      <c r="ERE34" s="67"/>
      <c r="ERF34" s="67"/>
      <c r="ERG34" s="67"/>
      <c r="ERH34" s="67"/>
      <c r="ERI34" s="67"/>
      <c r="ERJ34" s="67"/>
      <c r="ERK34" s="67"/>
      <c r="ERL34" s="67"/>
      <c r="ERM34" s="67"/>
      <c r="ERN34" s="67"/>
      <c r="ERO34" s="67"/>
      <c r="ERP34" s="67"/>
      <c r="ERQ34" s="67"/>
      <c r="ERR34" s="67"/>
      <c r="ERS34" s="67"/>
      <c r="ERT34" s="67"/>
      <c r="ERU34" s="67"/>
      <c r="ERV34" s="67"/>
      <c r="ERW34" s="67"/>
      <c r="ERX34" s="67"/>
      <c r="ERY34" s="67"/>
      <c r="ERZ34" s="67"/>
      <c r="ESA34" s="67"/>
      <c r="ESB34" s="67"/>
      <c r="ESC34" s="67"/>
      <c r="ESD34" s="67"/>
      <c r="ESE34" s="67"/>
      <c r="ESF34" s="67"/>
      <c r="ESG34" s="67"/>
      <c r="ESH34" s="67"/>
      <c r="ESI34" s="67"/>
      <c r="ESJ34" s="67"/>
      <c r="ESK34" s="67"/>
      <c r="ESL34" s="67"/>
      <c r="ESM34" s="67"/>
      <c r="ESN34" s="67"/>
      <c r="ESO34" s="67"/>
      <c r="ESP34" s="67"/>
      <c r="ESQ34" s="67"/>
      <c r="ESR34" s="67"/>
      <c r="ESS34" s="67"/>
      <c r="EST34" s="67"/>
      <c r="ESU34" s="67"/>
      <c r="ESV34" s="67"/>
      <c r="ESW34" s="67"/>
      <c r="ESX34" s="67"/>
      <c r="ESY34" s="67"/>
      <c r="ESZ34" s="67"/>
      <c r="ETA34" s="67"/>
      <c r="ETB34" s="67"/>
      <c r="ETC34" s="67"/>
      <c r="ETD34" s="67"/>
      <c r="ETE34" s="67"/>
      <c r="ETF34" s="67"/>
      <c r="ETG34" s="67"/>
      <c r="ETH34" s="67"/>
      <c r="ETI34" s="67"/>
      <c r="ETJ34" s="67"/>
      <c r="ETK34" s="67"/>
      <c r="ETL34" s="67"/>
      <c r="ETM34" s="67"/>
      <c r="ETN34" s="67"/>
      <c r="ETO34" s="67"/>
      <c r="ETP34" s="67"/>
      <c r="ETQ34" s="67"/>
      <c r="ETR34" s="67"/>
      <c r="ETS34" s="67"/>
      <c r="ETT34" s="67"/>
      <c r="ETU34" s="67"/>
      <c r="ETV34" s="67"/>
      <c r="ETW34" s="67"/>
      <c r="ETX34" s="67"/>
      <c r="ETY34" s="67"/>
      <c r="ETZ34" s="67"/>
      <c r="EUA34" s="67"/>
      <c r="EUB34" s="67"/>
      <c r="EUC34" s="67"/>
      <c r="EUD34" s="67"/>
      <c r="EUE34" s="67"/>
      <c r="EUF34" s="67"/>
      <c r="EUG34" s="67"/>
      <c r="EUH34" s="67"/>
      <c r="EUI34" s="67"/>
      <c r="EUJ34" s="67"/>
      <c r="EUK34" s="67"/>
      <c r="EUL34" s="67"/>
      <c r="EUM34" s="67"/>
      <c r="EUN34" s="67"/>
      <c r="EUO34" s="67"/>
      <c r="EUP34" s="67"/>
      <c r="EUQ34" s="67"/>
      <c r="EUR34" s="67"/>
      <c r="EUS34" s="67"/>
      <c r="EUT34" s="67"/>
      <c r="EUU34" s="67"/>
      <c r="EUV34" s="67"/>
      <c r="EUW34" s="67"/>
      <c r="EUX34" s="67"/>
      <c r="EUY34" s="67"/>
      <c r="EUZ34" s="67"/>
      <c r="EVA34" s="67"/>
      <c r="EVB34" s="67"/>
      <c r="EVC34" s="67"/>
      <c r="EVD34" s="67"/>
      <c r="EVE34" s="67"/>
      <c r="EVF34" s="67"/>
      <c r="EVG34" s="67"/>
      <c r="EVH34" s="67"/>
      <c r="EVI34" s="67"/>
      <c r="EVJ34" s="67"/>
      <c r="EVK34" s="67"/>
      <c r="EVL34" s="67"/>
      <c r="EVM34" s="67"/>
      <c r="EVN34" s="67"/>
      <c r="EVO34" s="67"/>
      <c r="EVP34" s="67"/>
      <c r="EVQ34" s="67"/>
      <c r="EVR34" s="67"/>
      <c r="EVS34" s="67"/>
      <c r="EVT34" s="67"/>
      <c r="EVU34" s="67"/>
      <c r="EVV34" s="67"/>
      <c r="EVW34" s="67"/>
      <c r="EVX34" s="67"/>
      <c r="EVY34" s="67"/>
      <c r="EVZ34" s="67"/>
      <c r="EWA34" s="67"/>
      <c r="EWB34" s="67"/>
      <c r="EWC34" s="67"/>
      <c r="EWD34" s="67"/>
      <c r="EWE34" s="67"/>
      <c r="EWF34" s="67"/>
      <c r="EWG34" s="67"/>
      <c r="EWH34" s="67"/>
      <c r="EWI34" s="67"/>
      <c r="EWJ34" s="67"/>
      <c r="EWK34" s="67"/>
      <c r="EWL34" s="67"/>
      <c r="EWM34" s="67"/>
      <c r="EWN34" s="67"/>
      <c r="EWO34" s="67"/>
      <c r="EWP34" s="67"/>
      <c r="EWQ34" s="67"/>
      <c r="EWR34" s="67"/>
      <c r="EWS34" s="67"/>
      <c r="EWT34" s="67"/>
      <c r="EWU34" s="67"/>
      <c r="EWV34" s="67"/>
      <c r="EWW34" s="67"/>
      <c r="EWX34" s="67"/>
      <c r="EWY34" s="67"/>
      <c r="EWZ34" s="67"/>
      <c r="EXA34" s="67"/>
      <c r="EXB34" s="67"/>
      <c r="EXC34" s="67"/>
      <c r="EXD34" s="67"/>
      <c r="EXE34" s="67"/>
      <c r="EXF34" s="67"/>
      <c r="EXG34" s="67"/>
      <c r="EXH34" s="67"/>
      <c r="EXI34" s="67"/>
      <c r="EXJ34" s="67"/>
      <c r="EXK34" s="67"/>
      <c r="EXL34" s="67"/>
      <c r="EXM34" s="67"/>
      <c r="EXN34" s="67"/>
      <c r="EXO34" s="67"/>
      <c r="EXP34" s="67"/>
      <c r="EXQ34" s="67"/>
      <c r="EXR34" s="67"/>
      <c r="EXS34" s="67"/>
      <c r="EXT34" s="67"/>
      <c r="EXU34" s="67"/>
      <c r="EXV34" s="67"/>
      <c r="EXW34" s="67"/>
      <c r="EXX34" s="67"/>
      <c r="EXY34" s="67"/>
      <c r="EXZ34" s="67"/>
      <c r="EYA34" s="67"/>
      <c r="EYB34" s="67"/>
      <c r="EYC34" s="67"/>
      <c r="EYD34" s="67"/>
      <c r="EYE34" s="67"/>
      <c r="EYF34" s="67"/>
      <c r="EYG34" s="67"/>
      <c r="EYH34" s="67"/>
      <c r="EYI34" s="67"/>
      <c r="EYJ34" s="67"/>
      <c r="EYK34" s="67"/>
      <c r="EYL34" s="67"/>
      <c r="EYM34" s="67"/>
      <c r="EYN34" s="67"/>
      <c r="EYO34" s="67"/>
      <c r="EYP34" s="67"/>
      <c r="EYQ34" s="67"/>
      <c r="EYR34" s="67"/>
      <c r="EYS34" s="67"/>
      <c r="EYT34" s="67"/>
      <c r="EYU34" s="67"/>
      <c r="EYV34" s="67"/>
      <c r="EYW34" s="67"/>
      <c r="EYX34" s="67"/>
      <c r="EYY34" s="67"/>
      <c r="EYZ34" s="67"/>
      <c r="EZA34" s="67"/>
      <c r="EZB34" s="67"/>
      <c r="EZC34" s="67"/>
      <c r="EZD34" s="67"/>
      <c r="EZE34" s="67"/>
      <c r="EZF34" s="67"/>
      <c r="EZG34" s="67"/>
      <c r="EZH34" s="67"/>
      <c r="EZI34" s="67"/>
      <c r="EZJ34" s="67"/>
      <c r="EZK34" s="67"/>
      <c r="EZL34" s="67"/>
      <c r="EZM34" s="67"/>
      <c r="EZN34" s="67"/>
      <c r="EZO34" s="67"/>
      <c r="EZP34" s="67"/>
      <c r="EZQ34" s="67"/>
      <c r="EZR34" s="67"/>
      <c r="EZS34" s="67"/>
      <c r="EZT34" s="67"/>
      <c r="EZU34" s="67"/>
      <c r="EZV34" s="67"/>
      <c r="EZW34" s="67"/>
      <c r="EZX34" s="67"/>
      <c r="EZY34" s="67"/>
      <c r="EZZ34" s="67"/>
      <c r="FAA34" s="67"/>
      <c r="FAB34" s="67"/>
      <c r="FAC34" s="67"/>
      <c r="FAD34" s="67"/>
      <c r="FAE34" s="67"/>
      <c r="FAF34" s="67"/>
      <c r="FAG34" s="67"/>
      <c r="FAH34" s="67"/>
      <c r="FAI34" s="67"/>
      <c r="FAJ34" s="67"/>
      <c r="FAK34" s="67"/>
      <c r="FAL34" s="67"/>
      <c r="FAM34" s="67"/>
      <c r="FAN34" s="67"/>
      <c r="FAO34" s="67"/>
      <c r="FAP34" s="67"/>
      <c r="FAQ34" s="67"/>
      <c r="FAR34" s="67"/>
      <c r="FAS34" s="67"/>
      <c r="FAT34" s="67"/>
      <c r="FAU34" s="67"/>
      <c r="FAV34" s="67"/>
      <c r="FAW34" s="67"/>
      <c r="FAX34" s="67"/>
      <c r="FAY34" s="67"/>
      <c r="FAZ34" s="67"/>
      <c r="FBA34" s="67"/>
      <c r="FBB34" s="67"/>
      <c r="FBC34" s="67"/>
      <c r="FBD34" s="67"/>
      <c r="FBE34" s="67"/>
      <c r="FBF34" s="67"/>
      <c r="FBG34" s="67"/>
      <c r="FBH34" s="67"/>
      <c r="FBI34" s="67"/>
      <c r="FBJ34" s="67"/>
      <c r="FBK34" s="67"/>
      <c r="FBL34" s="67"/>
      <c r="FBM34" s="67"/>
      <c r="FBN34" s="67"/>
      <c r="FBO34" s="67"/>
      <c r="FBP34" s="67"/>
      <c r="FBQ34" s="67"/>
      <c r="FBR34" s="67"/>
      <c r="FBS34" s="67"/>
      <c r="FBT34" s="67"/>
      <c r="FBU34" s="67"/>
      <c r="FBV34" s="67"/>
      <c r="FBW34" s="67"/>
      <c r="FBX34" s="67"/>
      <c r="FBY34" s="67"/>
      <c r="FBZ34" s="67"/>
      <c r="FCA34" s="67"/>
      <c r="FCB34" s="67"/>
      <c r="FCC34" s="67"/>
      <c r="FCD34" s="67"/>
      <c r="FCE34" s="67"/>
      <c r="FCF34" s="67"/>
      <c r="FCG34" s="67"/>
      <c r="FCH34" s="67"/>
      <c r="FCI34" s="67"/>
      <c r="FCJ34" s="67"/>
      <c r="FCK34" s="67"/>
      <c r="FCL34" s="67"/>
      <c r="FCM34" s="67"/>
      <c r="FCN34" s="67"/>
      <c r="FCO34" s="67"/>
      <c r="FCP34" s="67"/>
      <c r="FCQ34" s="67"/>
      <c r="FCR34" s="67"/>
      <c r="FCS34" s="67"/>
      <c r="FCT34" s="67"/>
      <c r="FCU34" s="67"/>
      <c r="FCV34" s="67"/>
      <c r="FCW34" s="67"/>
      <c r="FCX34" s="67"/>
      <c r="FCY34" s="67"/>
      <c r="FCZ34" s="67"/>
      <c r="FDA34" s="67"/>
      <c r="FDB34" s="67"/>
      <c r="FDC34" s="67"/>
      <c r="FDD34" s="67"/>
      <c r="FDE34" s="67"/>
      <c r="FDF34" s="67"/>
      <c r="FDG34" s="67"/>
      <c r="FDH34" s="67"/>
      <c r="FDI34" s="67"/>
      <c r="FDJ34" s="67"/>
      <c r="FDK34" s="67"/>
      <c r="FDL34" s="67"/>
      <c r="FDM34" s="67"/>
      <c r="FDN34" s="67"/>
      <c r="FDO34" s="67"/>
      <c r="FDP34" s="67"/>
      <c r="FDQ34" s="67"/>
      <c r="FDR34" s="67"/>
      <c r="FDS34" s="67"/>
      <c r="FDT34" s="67"/>
      <c r="FDU34" s="67"/>
      <c r="FDV34" s="67"/>
      <c r="FDW34" s="67"/>
      <c r="FDX34" s="67"/>
      <c r="FDY34" s="67"/>
      <c r="FDZ34" s="67"/>
      <c r="FEA34" s="67"/>
      <c r="FEB34" s="67"/>
      <c r="FEC34" s="67"/>
      <c r="FED34" s="67"/>
      <c r="FEE34" s="67"/>
      <c r="FEF34" s="67"/>
      <c r="FEG34" s="67"/>
      <c r="FEH34" s="67"/>
      <c r="FEI34" s="67"/>
      <c r="FEJ34" s="67"/>
      <c r="FEK34" s="67"/>
      <c r="FEL34" s="67"/>
      <c r="FEM34" s="67"/>
      <c r="FEN34" s="67"/>
      <c r="FEO34" s="67"/>
      <c r="FEP34" s="67"/>
      <c r="FEQ34" s="67"/>
      <c r="FER34" s="67"/>
      <c r="FES34" s="67"/>
      <c r="FET34" s="67"/>
      <c r="FEU34" s="67"/>
      <c r="FEV34" s="67"/>
      <c r="FEW34" s="67"/>
      <c r="FEX34" s="67"/>
      <c r="FEY34" s="67"/>
      <c r="FEZ34" s="67"/>
      <c r="FFA34" s="67"/>
      <c r="FFB34" s="67"/>
      <c r="FFC34" s="67"/>
      <c r="FFD34" s="67"/>
      <c r="FFE34" s="67"/>
      <c r="FFF34" s="67"/>
      <c r="FFG34" s="67"/>
      <c r="FFH34" s="67"/>
      <c r="FFI34" s="67"/>
      <c r="FFJ34" s="67"/>
      <c r="FFK34" s="67"/>
      <c r="FFL34" s="67"/>
      <c r="FFM34" s="67"/>
      <c r="FFN34" s="67"/>
      <c r="FFO34" s="67"/>
      <c r="FFP34" s="67"/>
      <c r="FFQ34" s="67"/>
      <c r="FFR34" s="67"/>
      <c r="FFS34" s="67"/>
      <c r="FFT34" s="67"/>
      <c r="FFU34" s="67"/>
      <c r="FFV34" s="67"/>
      <c r="FFW34" s="67"/>
      <c r="FFX34" s="67"/>
      <c r="FFY34" s="67"/>
      <c r="FFZ34" s="67"/>
      <c r="FGA34" s="67"/>
      <c r="FGB34" s="67"/>
      <c r="FGC34" s="67"/>
      <c r="FGD34" s="67"/>
      <c r="FGE34" s="67"/>
      <c r="FGF34" s="67"/>
      <c r="FGG34" s="67"/>
      <c r="FGH34" s="67"/>
      <c r="FGI34" s="67"/>
      <c r="FGJ34" s="67"/>
      <c r="FGK34" s="67"/>
      <c r="FGL34" s="67"/>
      <c r="FGM34" s="67"/>
      <c r="FGN34" s="67"/>
      <c r="FGO34" s="67"/>
      <c r="FGP34" s="67"/>
      <c r="FGQ34" s="67"/>
      <c r="FGR34" s="67"/>
      <c r="FGS34" s="67"/>
      <c r="FGT34" s="67"/>
      <c r="FGU34" s="67"/>
      <c r="FGV34" s="67"/>
      <c r="FGW34" s="67"/>
      <c r="FGX34" s="67"/>
      <c r="FGY34" s="67"/>
      <c r="FGZ34" s="67"/>
      <c r="FHA34" s="67"/>
      <c r="FHB34" s="67"/>
      <c r="FHC34" s="67"/>
      <c r="FHD34" s="67"/>
      <c r="FHE34" s="67"/>
      <c r="FHF34" s="67"/>
      <c r="FHG34" s="67"/>
      <c r="FHH34" s="67"/>
      <c r="FHI34" s="67"/>
      <c r="FHJ34" s="67"/>
      <c r="FHK34" s="67"/>
      <c r="FHL34" s="67"/>
      <c r="FHM34" s="67"/>
      <c r="FHN34" s="67"/>
      <c r="FHO34" s="67"/>
      <c r="FHP34" s="67"/>
      <c r="FHQ34" s="67"/>
      <c r="FHR34" s="67"/>
      <c r="FHS34" s="67"/>
      <c r="FHT34" s="67"/>
      <c r="FHU34" s="67"/>
      <c r="FHV34" s="67"/>
      <c r="FHW34" s="67"/>
      <c r="FHX34" s="67"/>
      <c r="FHY34" s="67"/>
      <c r="FHZ34" s="67"/>
      <c r="FIA34" s="67"/>
      <c r="FIB34" s="67"/>
      <c r="FIC34" s="67"/>
      <c r="FID34" s="67"/>
      <c r="FIE34" s="67"/>
      <c r="FIF34" s="67"/>
      <c r="FIG34" s="67"/>
      <c r="FIH34" s="67"/>
      <c r="FII34" s="67"/>
      <c r="FIJ34" s="67"/>
      <c r="FIK34" s="67"/>
      <c r="FIL34" s="67"/>
      <c r="FIM34" s="67"/>
      <c r="FIN34" s="67"/>
      <c r="FIO34" s="67"/>
      <c r="FIP34" s="67"/>
      <c r="FIQ34" s="67"/>
      <c r="FIR34" s="67"/>
      <c r="FIS34" s="67"/>
      <c r="FIT34" s="67"/>
      <c r="FIU34" s="67"/>
      <c r="FIV34" s="67"/>
      <c r="FIW34" s="67"/>
      <c r="FIX34" s="67"/>
      <c r="FIY34" s="67"/>
      <c r="FIZ34" s="67"/>
      <c r="FJA34" s="67"/>
      <c r="FJB34" s="67"/>
      <c r="FJC34" s="67"/>
      <c r="FJD34" s="67"/>
      <c r="FJE34" s="67"/>
      <c r="FJF34" s="67"/>
      <c r="FJG34" s="67"/>
      <c r="FJH34" s="67"/>
      <c r="FJI34" s="67"/>
      <c r="FJJ34" s="67"/>
      <c r="FJK34" s="67"/>
      <c r="FJL34" s="67"/>
      <c r="FJM34" s="67"/>
      <c r="FJN34" s="67"/>
      <c r="FJO34" s="67"/>
      <c r="FJP34" s="67"/>
      <c r="FJQ34" s="67"/>
      <c r="FJR34" s="67"/>
      <c r="FJS34" s="67"/>
      <c r="FJT34" s="67"/>
      <c r="FJU34" s="67"/>
      <c r="FJV34" s="67"/>
      <c r="FJW34" s="67"/>
      <c r="FJX34" s="67"/>
      <c r="FJY34" s="67"/>
      <c r="FJZ34" s="67"/>
      <c r="FKA34" s="67"/>
      <c r="FKB34" s="67"/>
      <c r="FKC34" s="67"/>
      <c r="FKD34" s="67"/>
      <c r="FKE34" s="67"/>
      <c r="FKF34" s="67"/>
      <c r="FKG34" s="67"/>
      <c r="FKH34" s="67"/>
      <c r="FKI34" s="67"/>
      <c r="FKJ34" s="67"/>
      <c r="FKK34" s="67"/>
      <c r="FKL34" s="67"/>
      <c r="FKM34" s="67"/>
      <c r="FKN34" s="67"/>
      <c r="FKO34" s="67"/>
      <c r="FKP34" s="67"/>
      <c r="FKQ34" s="67"/>
      <c r="FKR34" s="67"/>
      <c r="FKS34" s="67"/>
      <c r="FKT34" s="67"/>
      <c r="FKU34" s="67"/>
      <c r="FKV34" s="67"/>
      <c r="FKW34" s="67"/>
      <c r="FKX34" s="67"/>
      <c r="FKY34" s="67"/>
      <c r="FKZ34" s="67"/>
      <c r="FLA34" s="67"/>
      <c r="FLB34" s="67"/>
      <c r="FLC34" s="67"/>
      <c r="FLD34" s="67"/>
      <c r="FLE34" s="67"/>
      <c r="FLF34" s="67"/>
      <c r="FLG34" s="67"/>
      <c r="FLH34" s="67"/>
      <c r="FLI34" s="67"/>
      <c r="FLJ34" s="67"/>
      <c r="FLK34" s="67"/>
      <c r="FLL34" s="67"/>
      <c r="FLM34" s="67"/>
      <c r="FLN34" s="67"/>
      <c r="FLO34" s="67"/>
      <c r="FLP34" s="67"/>
      <c r="FLQ34" s="67"/>
      <c r="FLR34" s="67"/>
      <c r="FLS34" s="67"/>
      <c r="FLT34" s="67"/>
      <c r="FLU34" s="67"/>
      <c r="FLV34" s="67"/>
      <c r="FLW34" s="67"/>
      <c r="FLX34" s="67"/>
      <c r="FLY34" s="67"/>
      <c r="FLZ34" s="67"/>
      <c r="FMA34" s="67"/>
      <c r="FMB34" s="67"/>
      <c r="FMC34" s="67"/>
      <c r="FMD34" s="67"/>
      <c r="FME34" s="67"/>
      <c r="FMF34" s="67"/>
      <c r="FMG34" s="67"/>
      <c r="FMH34" s="67"/>
      <c r="FMI34" s="67"/>
      <c r="FMJ34" s="67"/>
      <c r="FMK34" s="67"/>
      <c r="FML34" s="67"/>
      <c r="FMM34" s="67"/>
      <c r="FMN34" s="67"/>
      <c r="FMO34" s="67"/>
      <c r="FMP34" s="67"/>
      <c r="FMQ34" s="67"/>
      <c r="FMR34" s="67"/>
      <c r="FMS34" s="67"/>
      <c r="FMT34" s="67"/>
      <c r="FMU34" s="67"/>
      <c r="FMV34" s="67"/>
      <c r="FMW34" s="67"/>
      <c r="FMX34" s="67"/>
      <c r="FMY34" s="67"/>
      <c r="FMZ34" s="67"/>
      <c r="FNA34" s="67"/>
      <c r="FNB34" s="67"/>
      <c r="FNC34" s="67"/>
      <c r="FND34" s="67"/>
      <c r="FNE34" s="67"/>
      <c r="FNF34" s="67"/>
      <c r="FNG34" s="67"/>
      <c r="FNH34" s="67"/>
      <c r="FNI34" s="67"/>
      <c r="FNJ34" s="67"/>
      <c r="FNK34" s="67"/>
      <c r="FNL34" s="67"/>
      <c r="FNM34" s="67"/>
      <c r="FNN34" s="67"/>
      <c r="FNO34" s="67"/>
      <c r="FNP34" s="67"/>
      <c r="FNQ34" s="67"/>
      <c r="FNR34" s="67"/>
      <c r="FNS34" s="67"/>
      <c r="FNT34" s="67"/>
      <c r="FNU34" s="67"/>
      <c r="FNV34" s="67"/>
      <c r="FNW34" s="67"/>
      <c r="FNX34" s="67"/>
      <c r="FNY34" s="67"/>
      <c r="FNZ34" s="67"/>
      <c r="FOA34" s="67"/>
      <c r="FOB34" s="67"/>
      <c r="FOC34" s="67"/>
      <c r="FOD34" s="67"/>
      <c r="FOE34" s="67"/>
      <c r="FOF34" s="67"/>
      <c r="FOG34" s="67"/>
      <c r="FOH34" s="67"/>
      <c r="FOI34" s="67"/>
      <c r="FOJ34" s="67"/>
      <c r="FOK34" s="67"/>
      <c r="FOL34" s="67"/>
      <c r="FOM34" s="67"/>
      <c r="FON34" s="67"/>
      <c r="FOO34" s="67"/>
      <c r="FOP34" s="67"/>
      <c r="FOQ34" s="67"/>
      <c r="FOR34" s="67"/>
      <c r="FOS34" s="67"/>
      <c r="FOT34" s="67"/>
      <c r="FOU34" s="67"/>
      <c r="FOV34" s="67"/>
      <c r="FOW34" s="67"/>
      <c r="FOX34" s="67"/>
      <c r="FOY34" s="67"/>
      <c r="FOZ34" s="67"/>
      <c r="FPA34" s="67"/>
      <c r="FPB34" s="67"/>
      <c r="FPC34" s="67"/>
      <c r="FPD34" s="67"/>
      <c r="FPE34" s="67"/>
      <c r="FPF34" s="67"/>
      <c r="FPG34" s="67"/>
      <c r="FPH34" s="67"/>
      <c r="FPI34" s="67"/>
      <c r="FPJ34" s="67"/>
      <c r="FPK34" s="67"/>
      <c r="FPL34" s="67"/>
      <c r="FPM34" s="67"/>
      <c r="FPN34" s="67"/>
      <c r="FPO34" s="67"/>
      <c r="FPP34" s="67"/>
      <c r="FPQ34" s="67"/>
      <c r="FPR34" s="67"/>
      <c r="FPS34" s="67"/>
      <c r="FPT34" s="67"/>
      <c r="FPU34" s="67"/>
      <c r="FPV34" s="67"/>
      <c r="FPW34" s="67"/>
      <c r="FPX34" s="67"/>
      <c r="FPY34" s="67"/>
      <c r="FPZ34" s="67"/>
      <c r="FQA34" s="67"/>
      <c r="FQB34" s="67"/>
      <c r="FQC34" s="67"/>
      <c r="FQD34" s="67"/>
      <c r="FQE34" s="67"/>
      <c r="FQF34" s="67"/>
      <c r="FQG34" s="67"/>
      <c r="FQH34" s="67"/>
      <c r="FQI34" s="67"/>
      <c r="FQJ34" s="67"/>
      <c r="FQK34" s="67"/>
      <c r="FQL34" s="67"/>
      <c r="FQM34" s="67"/>
      <c r="FQN34" s="67"/>
      <c r="FQO34" s="67"/>
      <c r="FQP34" s="67"/>
      <c r="FQQ34" s="67"/>
      <c r="FQR34" s="67"/>
      <c r="FQS34" s="67"/>
      <c r="FQT34" s="67"/>
      <c r="FQU34" s="67"/>
      <c r="FQV34" s="67"/>
      <c r="FQW34" s="67"/>
      <c r="FQX34" s="67"/>
      <c r="FQY34" s="67"/>
      <c r="FQZ34" s="67"/>
      <c r="FRA34" s="67"/>
      <c r="FRB34" s="67"/>
      <c r="FRC34" s="67"/>
      <c r="FRD34" s="67"/>
      <c r="FRE34" s="67"/>
      <c r="FRF34" s="67"/>
      <c r="FRG34" s="67"/>
      <c r="FRH34" s="67"/>
      <c r="FRI34" s="67"/>
      <c r="FRJ34" s="67"/>
      <c r="FRK34" s="67"/>
      <c r="FRL34" s="67"/>
      <c r="FRM34" s="67"/>
      <c r="FRN34" s="67"/>
      <c r="FRO34" s="67"/>
      <c r="FRP34" s="67"/>
      <c r="FRQ34" s="67"/>
      <c r="FRR34" s="67"/>
      <c r="FRS34" s="67"/>
      <c r="FRT34" s="67"/>
      <c r="FRU34" s="67"/>
      <c r="FRV34" s="67"/>
      <c r="FRW34" s="67"/>
      <c r="FRX34" s="67"/>
      <c r="FRY34" s="67"/>
      <c r="FRZ34" s="67"/>
      <c r="FSA34" s="67"/>
      <c r="FSB34" s="67"/>
      <c r="FSC34" s="67"/>
      <c r="FSD34" s="67"/>
      <c r="FSE34" s="67"/>
      <c r="FSF34" s="67"/>
      <c r="FSG34" s="67"/>
      <c r="FSH34" s="67"/>
      <c r="FSI34" s="67"/>
      <c r="FSJ34" s="67"/>
      <c r="FSK34" s="67"/>
      <c r="FSL34" s="67"/>
      <c r="FSM34" s="67"/>
      <c r="FSN34" s="67"/>
      <c r="FSO34" s="67"/>
      <c r="FSP34" s="67"/>
      <c r="FSQ34" s="67"/>
      <c r="FSR34" s="67"/>
      <c r="FSS34" s="67"/>
      <c r="FST34" s="67"/>
      <c r="FSU34" s="67"/>
      <c r="FSV34" s="67"/>
      <c r="FSW34" s="67"/>
      <c r="FSX34" s="67"/>
      <c r="FSY34" s="67"/>
      <c r="FSZ34" s="67"/>
      <c r="FTA34" s="67"/>
      <c r="FTB34" s="67"/>
      <c r="FTC34" s="67"/>
      <c r="FTD34" s="67"/>
      <c r="FTE34" s="67"/>
      <c r="FTF34" s="67"/>
      <c r="FTG34" s="67"/>
      <c r="FTH34" s="67"/>
      <c r="FTI34" s="67"/>
      <c r="FTJ34" s="67"/>
      <c r="FTK34" s="67"/>
      <c r="FTL34" s="67"/>
      <c r="FTM34" s="67"/>
      <c r="FTN34" s="67"/>
      <c r="FTO34" s="67"/>
      <c r="FTP34" s="67"/>
      <c r="FTQ34" s="67"/>
      <c r="FTR34" s="67"/>
      <c r="FTS34" s="67"/>
      <c r="FTT34" s="67"/>
      <c r="FTU34" s="67"/>
      <c r="FTV34" s="67"/>
      <c r="FTW34" s="67"/>
      <c r="FTX34" s="67"/>
      <c r="FTY34" s="67"/>
      <c r="FTZ34" s="67"/>
      <c r="FUA34" s="67"/>
      <c r="FUB34" s="67"/>
      <c r="FUC34" s="67"/>
      <c r="FUD34" s="67"/>
      <c r="FUE34" s="67"/>
      <c r="FUF34" s="67"/>
      <c r="FUG34" s="67"/>
      <c r="FUH34" s="67"/>
      <c r="FUI34" s="67"/>
      <c r="FUJ34" s="67"/>
      <c r="FUK34" s="67"/>
      <c r="FUL34" s="67"/>
      <c r="FUM34" s="67"/>
      <c r="FUN34" s="67"/>
      <c r="FUO34" s="67"/>
      <c r="FUP34" s="67"/>
      <c r="FUQ34" s="67"/>
      <c r="FUR34" s="67"/>
      <c r="FUS34" s="67"/>
      <c r="FUT34" s="67"/>
      <c r="FUU34" s="67"/>
      <c r="FUV34" s="67"/>
      <c r="FUW34" s="67"/>
      <c r="FUX34" s="67"/>
      <c r="FUY34" s="67"/>
      <c r="FUZ34" s="67"/>
      <c r="FVA34" s="67"/>
      <c r="FVB34" s="67"/>
      <c r="FVC34" s="67"/>
      <c r="FVD34" s="67"/>
      <c r="FVE34" s="67"/>
      <c r="FVF34" s="67"/>
      <c r="FVG34" s="67"/>
      <c r="FVH34" s="67"/>
      <c r="FVI34" s="67"/>
      <c r="FVJ34" s="67"/>
      <c r="FVK34" s="67"/>
      <c r="FVL34" s="67"/>
      <c r="FVM34" s="67"/>
      <c r="FVN34" s="67"/>
      <c r="FVO34" s="67"/>
      <c r="FVP34" s="67"/>
      <c r="FVQ34" s="67"/>
      <c r="FVR34" s="67"/>
      <c r="FVS34" s="67"/>
      <c r="FVT34" s="67"/>
      <c r="FVU34" s="67"/>
      <c r="FVV34" s="67"/>
      <c r="FVW34" s="67"/>
      <c r="FVX34" s="67"/>
      <c r="FVY34" s="67"/>
      <c r="FVZ34" s="67"/>
      <c r="FWA34" s="67"/>
      <c r="FWB34" s="67"/>
      <c r="FWC34" s="67"/>
      <c r="FWD34" s="67"/>
      <c r="FWE34" s="67"/>
      <c r="FWF34" s="67"/>
      <c r="FWG34" s="67"/>
      <c r="FWH34" s="67"/>
      <c r="FWI34" s="67"/>
      <c r="FWJ34" s="67"/>
      <c r="FWK34" s="67"/>
      <c r="FWL34" s="67"/>
      <c r="FWM34" s="67"/>
      <c r="FWN34" s="67"/>
      <c r="FWO34" s="67"/>
      <c r="FWP34" s="67"/>
      <c r="FWQ34" s="67"/>
      <c r="FWR34" s="67"/>
      <c r="FWS34" s="67"/>
      <c r="FWT34" s="67"/>
      <c r="FWU34" s="67"/>
      <c r="FWV34" s="67"/>
      <c r="FWW34" s="67"/>
      <c r="FWX34" s="67"/>
      <c r="FWY34" s="67"/>
      <c r="FWZ34" s="67"/>
      <c r="FXA34" s="67"/>
      <c r="FXB34" s="67"/>
      <c r="FXC34" s="67"/>
      <c r="FXD34" s="67"/>
      <c r="FXE34" s="67"/>
      <c r="FXF34" s="67"/>
      <c r="FXG34" s="67"/>
      <c r="FXH34" s="67"/>
      <c r="FXI34" s="67"/>
      <c r="FXJ34" s="67"/>
      <c r="FXK34" s="67"/>
      <c r="FXL34" s="67"/>
      <c r="FXM34" s="67"/>
      <c r="FXN34" s="67"/>
      <c r="FXO34" s="67"/>
      <c r="FXP34" s="67"/>
      <c r="FXQ34" s="67"/>
      <c r="FXR34" s="67"/>
      <c r="FXS34" s="67"/>
      <c r="FXT34" s="67"/>
      <c r="FXU34" s="67"/>
      <c r="FXV34" s="67"/>
      <c r="FXW34" s="67"/>
      <c r="FXX34" s="67"/>
      <c r="FXY34" s="67"/>
      <c r="FXZ34" s="67"/>
      <c r="FYA34" s="67"/>
      <c r="FYB34" s="67"/>
      <c r="FYC34" s="67"/>
      <c r="FYD34" s="67"/>
      <c r="FYE34" s="67"/>
      <c r="FYF34" s="67"/>
      <c r="FYG34" s="67"/>
      <c r="FYH34" s="67"/>
      <c r="FYI34" s="67"/>
      <c r="FYJ34" s="67"/>
      <c r="FYK34" s="67"/>
      <c r="FYL34" s="67"/>
      <c r="FYM34" s="67"/>
      <c r="FYN34" s="67"/>
      <c r="FYO34" s="67"/>
      <c r="FYP34" s="67"/>
      <c r="FYQ34" s="67"/>
      <c r="FYR34" s="67"/>
      <c r="FYS34" s="67"/>
      <c r="FYT34" s="67"/>
      <c r="FYU34" s="67"/>
      <c r="FYV34" s="67"/>
      <c r="FYW34" s="67"/>
      <c r="FYX34" s="67"/>
      <c r="FYY34" s="67"/>
      <c r="FYZ34" s="67"/>
      <c r="FZA34" s="67"/>
      <c r="FZB34" s="67"/>
      <c r="FZC34" s="67"/>
      <c r="FZD34" s="67"/>
      <c r="FZE34" s="67"/>
      <c r="FZF34" s="67"/>
      <c r="FZG34" s="67"/>
      <c r="FZH34" s="67"/>
      <c r="FZI34" s="67"/>
      <c r="FZJ34" s="67"/>
      <c r="FZK34" s="67"/>
      <c r="FZL34" s="67"/>
      <c r="FZM34" s="67"/>
      <c r="FZN34" s="67"/>
      <c r="FZO34" s="67"/>
      <c r="FZP34" s="67"/>
      <c r="FZQ34" s="67"/>
      <c r="FZR34" s="67"/>
      <c r="FZS34" s="67"/>
      <c r="FZT34" s="67"/>
      <c r="FZU34" s="67"/>
      <c r="FZV34" s="67"/>
      <c r="FZW34" s="67"/>
      <c r="FZX34" s="67"/>
      <c r="FZY34" s="67"/>
      <c r="FZZ34" s="67"/>
      <c r="GAA34" s="67"/>
      <c r="GAB34" s="67"/>
      <c r="GAC34" s="67"/>
      <c r="GAD34" s="67"/>
      <c r="GAE34" s="67"/>
      <c r="GAF34" s="67"/>
      <c r="GAG34" s="67"/>
      <c r="GAH34" s="67"/>
      <c r="GAI34" s="67"/>
      <c r="GAJ34" s="67"/>
      <c r="GAK34" s="67"/>
      <c r="GAL34" s="67"/>
      <c r="GAM34" s="67"/>
      <c r="GAN34" s="67"/>
      <c r="GAO34" s="67"/>
      <c r="GAP34" s="67"/>
      <c r="GAQ34" s="67"/>
      <c r="GAR34" s="67"/>
      <c r="GAS34" s="67"/>
      <c r="GAT34" s="67"/>
      <c r="GAU34" s="67"/>
      <c r="GAV34" s="67"/>
      <c r="GAW34" s="67"/>
      <c r="GAX34" s="67"/>
      <c r="GAY34" s="67"/>
      <c r="GAZ34" s="67"/>
      <c r="GBA34" s="67"/>
      <c r="GBB34" s="67"/>
      <c r="GBC34" s="67"/>
      <c r="GBD34" s="67"/>
      <c r="GBE34" s="67"/>
      <c r="GBF34" s="67"/>
      <c r="GBG34" s="67"/>
      <c r="GBH34" s="67"/>
      <c r="GBI34" s="67"/>
      <c r="GBJ34" s="67"/>
      <c r="GBK34" s="67"/>
      <c r="GBL34" s="67"/>
      <c r="GBM34" s="67"/>
      <c r="GBN34" s="67"/>
      <c r="GBO34" s="67"/>
      <c r="GBP34" s="67"/>
      <c r="GBQ34" s="67"/>
      <c r="GBR34" s="67"/>
      <c r="GBS34" s="67"/>
      <c r="GBT34" s="67"/>
      <c r="GBU34" s="67"/>
      <c r="GBV34" s="67"/>
      <c r="GBW34" s="67"/>
      <c r="GBX34" s="67"/>
      <c r="GBY34" s="67"/>
      <c r="GBZ34" s="67"/>
      <c r="GCA34" s="67"/>
      <c r="GCB34" s="67"/>
      <c r="GCC34" s="67"/>
      <c r="GCD34" s="67"/>
      <c r="GCE34" s="67"/>
      <c r="GCF34" s="67"/>
      <c r="GCG34" s="67"/>
      <c r="GCH34" s="67"/>
      <c r="GCI34" s="67"/>
      <c r="GCJ34" s="67"/>
      <c r="GCK34" s="67"/>
      <c r="GCL34" s="67"/>
      <c r="GCM34" s="67"/>
      <c r="GCN34" s="67"/>
      <c r="GCO34" s="67"/>
      <c r="GCP34" s="67"/>
      <c r="GCQ34" s="67"/>
      <c r="GCR34" s="67"/>
      <c r="GCS34" s="67"/>
      <c r="GCT34" s="67"/>
      <c r="GCU34" s="67"/>
      <c r="GCV34" s="67"/>
      <c r="GCW34" s="67"/>
      <c r="GCX34" s="67"/>
      <c r="GCY34" s="67"/>
      <c r="GCZ34" s="67"/>
      <c r="GDA34" s="67"/>
      <c r="GDB34" s="67"/>
      <c r="GDC34" s="67"/>
      <c r="GDD34" s="67"/>
      <c r="GDE34" s="67"/>
      <c r="GDF34" s="67"/>
      <c r="GDG34" s="67"/>
      <c r="GDH34" s="67"/>
      <c r="GDI34" s="67"/>
      <c r="GDJ34" s="67"/>
      <c r="GDK34" s="67"/>
      <c r="GDL34" s="67"/>
      <c r="GDM34" s="67"/>
      <c r="GDN34" s="67"/>
      <c r="GDO34" s="67"/>
      <c r="GDP34" s="67"/>
      <c r="GDQ34" s="67"/>
      <c r="GDR34" s="67"/>
      <c r="GDS34" s="67"/>
      <c r="GDT34" s="67"/>
      <c r="GDU34" s="67"/>
      <c r="GDV34" s="67"/>
      <c r="GDW34" s="67"/>
      <c r="GDX34" s="67"/>
      <c r="GDY34" s="67"/>
      <c r="GDZ34" s="67"/>
      <c r="GEA34" s="67"/>
      <c r="GEB34" s="67"/>
      <c r="GEC34" s="67"/>
      <c r="GED34" s="67"/>
      <c r="GEE34" s="67"/>
      <c r="GEF34" s="67"/>
      <c r="GEG34" s="67"/>
      <c r="GEH34" s="67"/>
      <c r="GEI34" s="67"/>
      <c r="GEJ34" s="67"/>
      <c r="GEK34" s="67"/>
      <c r="GEL34" s="67"/>
      <c r="GEM34" s="67"/>
      <c r="GEN34" s="67"/>
      <c r="GEO34" s="67"/>
      <c r="GEP34" s="67"/>
      <c r="GEQ34" s="67"/>
      <c r="GER34" s="67"/>
      <c r="GES34" s="67"/>
      <c r="GET34" s="67"/>
      <c r="GEU34" s="67"/>
      <c r="GEV34" s="67"/>
      <c r="GEW34" s="67"/>
      <c r="GEX34" s="67"/>
      <c r="GEY34" s="67"/>
      <c r="GEZ34" s="67"/>
      <c r="GFA34" s="67"/>
      <c r="GFB34" s="67"/>
      <c r="GFC34" s="67"/>
      <c r="GFD34" s="67"/>
      <c r="GFE34" s="67"/>
      <c r="GFF34" s="67"/>
      <c r="GFG34" s="67"/>
      <c r="GFH34" s="67"/>
      <c r="GFI34" s="67"/>
      <c r="GFJ34" s="67"/>
      <c r="GFK34" s="67"/>
      <c r="GFL34" s="67"/>
      <c r="GFM34" s="67"/>
      <c r="GFN34" s="67"/>
      <c r="GFO34" s="67"/>
      <c r="GFP34" s="67"/>
      <c r="GFQ34" s="67"/>
      <c r="GFR34" s="67"/>
      <c r="GFS34" s="67"/>
      <c r="GFT34" s="67"/>
      <c r="GFU34" s="67"/>
      <c r="GFV34" s="67"/>
      <c r="GFW34" s="67"/>
      <c r="GFX34" s="67"/>
      <c r="GFY34" s="67"/>
      <c r="GFZ34" s="67"/>
      <c r="GGA34" s="67"/>
      <c r="GGB34" s="67"/>
      <c r="GGC34" s="67"/>
      <c r="GGD34" s="67"/>
      <c r="GGE34" s="67"/>
      <c r="GGF34" s="67"/>
      <c r="GGG34" s="67"/>
      <c r="GGH34" s="67"/>
      <c r="GGI34" s="67"/>
      <c r="GGJ34" s="67"/>
      <c r="GGK34" s="67"/>
      <c r="GGL34" s="67"/>
      <c r="GGM34" s="67"/>
      <c r="GGN34" s="67"/>
      <c r="GGO34" s="67"/>
      <c r="GGP34" s="67"/>
      <c r="GGQ34" s="67"/>
      <c r="GGR34" s="67"/>
      <c r="GGS34" s="67"/>
      <c r="GGT34" s="67"/>
      <c r="GGU34" s="67"/>
      <c r="GGV34" s="67"/>
      <c r="GGW34" s="67"/>
      <c r="GGX34" s="67"/>
      <c r="GGY34" s="67"/>
      <c r="GGZ34" s="67"/>
      <c r="GHA34" s="67"/>
      <c r="GHB34" s="67"/>
      <c r="GHC34" s="67"/>
      <c r="GHD34" s="67"/>
      <c r="GHE34" s="67"/>
      <c r="GHF34" s="67"/>
      <c r="GHG34" s="67"/>
      <c r="GHH34" s="67"/>
      <c r="GHI34" s="67"/>
      <c r="GHJ34" s="67"/>
      <c r="GHK34" s="67"/>
      <c r="GHL34" s="67"/>
      <c r="GHM34" s="67"/>
      <c r="GHN34" s="67"/>
      <c r="GHO34" s="67"/>
      <c r="GHP34" s="67"/>
      <c r="GHQ34" s="67"/>
      <c r="GHR34" s="67"/>
      <c r="GHS34" s="67"/>
      <c r="GHT34" s="67"/>
      <c r="GHU34" s="67"/>
      <c r="GHV34" s="67"/>
      <c r="GHW34" s="67"/>
      <c r="GHX34" s="67"/>
      <c r="GHY34" s="67"/>
      <c r="GHZ34" s="67"/>
      <c r="GIA34" s="67"/>
      <c r="GIB34" s="67"/>
      <c r="GIC34" s="67"/>
      <c r="GID34" s="67"/>
      <c r="GIE34" s="67"/>
      <c r="GIF34" s="67"/>
      <c r="GIG34" s="67"/>
      <c r="GIH34" s="67"/>
      <c r="GII34" s="67"/>
      <c r="GIJ34" s="67"/>
      <c r="GIK34" s="67"/>
      <c r="GIL34" s="67"/>
      <c r="GIM34" s="67"/>
      <c r="GIN34" s="67"/>
      <c r="GIO34" s="67"/>
      <c r="GIP34" s="67"/>
      <c r="GIQ34" s="67"/>
      <c r="GIR34" s="67"/>
      <c r="GIS34" s="67"/>
      <c r="GIT34" s="67"/>
      <c r="GIU34" s="67"/>
      <c r="GIV34" s="67"/>
      <c r="GIW34" s="67"/>
      <c r="GIX34" s="67"/>
      <c r="GIY34" s="67"/>
      <c r="GIZ34" s="67"/>
      <c r="GJA34" s="67"/>
      <c r="GJB34" s="67"/>
      <c r="GJC34" s="67"/>
      <c r="GJD34" s="67"/>
      <c r="GJE34" s="67"/>
      <c r="GJF34" s="67"/>
      <c r="GJG34" s="67"/>
      <c r="GJH34" s="67"/>
      <c r="GJI34" s="67"/>
      <c r="GJJ34" s="67"/>
      <c r="GJK34" s="67"/>
      <c r="GJL34" s="67"/>
      <c r="GJM34" s="67"/>
      <c r="GJN34" s="67"/>
      <c r="GJO34" s="67"/>
      <c r="GJP34" s="67"/>
      <c r="GJQ34" s="67"/>
      <c r="GJR34" s="67"/>
      <c r="GJS34" s="67"/>
      <c r="GJT34" s="67"/>
      <c r="GJU34" s="67"/>
      <c r="GJV34" s="67"/>
      <c r="GJW34" s="67"/>
      <c r="GJX34" s="67"/>
      <c r="GJY34" s="67"/>
      <c r="GJZ34" s="67"/>
      <c r="GKA34" s="67"/>
      <c r="GKB34" s="67"/>
      <c r="GKC34" s="67"/>
      <c r="GKD34" s="67"/>
      <c r="GKE34" s="67"/>
      <c r="GKF34" s="67"/>
      <c r="GKG34" s="67"/>
      <c r="GKH34" s="67"/>
      <c r="GKI34" s="67"/>
      <c r="GKJ34" s="67"/>
      <c r="GKK34" s="67"/>
      <c r="GKL34" s="67"/>
      <c r="GKM34" s="67"/>
      <c r="GKN34" s="67"/>
      <c r="GKO34" s="67"/>
      <c r="GKP34" s="67"/>
      <c r="GKQ34" s="67"/>
      <c r="GKR34" s="67"/>
      <c r="GKS34" s="67"/>
      <c r="GKT34" s="67"/>
      <c r="GKU34" s="67"/>
      <c r="GKV34" s="67"/>
      <c r="GKW34" s="67"/>
      <c r="GKX34" s="67"/>
      <c r="GKY34" s="67"/>
      <c r="GKZ34" s="67"/>
      <c r="GLA34" s="67"/>
      <c r="GLB34" s="67"/>
      <c r="GLC34" s="67"/>
      <c r="GLD34" s="67"/>
      <c r="GLE34" s="67"/>
      <c r="GLF34" s="67"/>
      <c r="GLG34" s="67"/>
      <c r="GLH34" s="67"/>
      <c r="GLI34" s="67"/>
      <c r="GLJ34" s="67"/>
      <c r="GLK34" s="67"/>
      <c r="GLL34" s="67"/>
      <c r="GLM34" s="67"/>
      <c r="GLN34" s="67"/>
      <c r="GLO34" s="67"/>
      <c r="GLP34" s="67"/>
      <c r="GLQ34" s="67"/>
      <c r="GLR34" s="67"/>
      <c r="GLS34" s="67"/>
      <c r="GLT34" s="67"/>
      <c r="GLU34" s="67"/>
      <c r="GLV34" s="67"/>
      <c r="GLW34" s="67"/>
      <c r="GLX34" s="67"/>
      <c r="GLY34" s="67"/>
      <c r="GLZ34" s="67"/>
      <c r="GMA34" s="67"/>
      <c r="GMB34" s="67"/>
      <c r="GMC34" s="67"/>
      <c r="GMD34" s="67"/>
      <c r="GME34" s="67"/>
      <c r="GMF34" s="67"/>
      <c r="GMG34" s="67"/>
      <c r="GMH34" s="67"/>
      <c r="GMI34" s="67"/>
      <c r="GMJ34" s="67"/>
      <c r="GMK34" s="67"/>
      <c r="GML34" s="67"/>
      <c r="GMM34" s="67"/>
      <c r="GMN34" s="67"/>
      <c r="GMO34" s="67"/>
      <c r="GMP34" s="67"/>
      <c r="GMQ34" s="67"/>
      <c r="GMR34" s="67"/>
      <c r="GMS34" s="67"/>
      <c r="GMT34" s="67"/>
      <c r="GMU34" s="67"/>
      <c r="GMV34" s="67"/>
      <c r="GMW34" s="67"/>
      <c r="GMX34" s="67"/>
      <c r="GMY34" s="67"/>
      <c r="GMZ34" s="67"/>
      <c r="GNA34" s="67"/>
      <c r="GNB34" s="67"/>
      <c r="GNC34" s="67"/>
      <c r="GND34" s="67"/>
      <c r="GNE34" s="67"/>
      <c r="GNF34" s="67"/>
      <c r="GNG34" s="67"/>
      <c r="GNH34" s="67"/>
      <c r="GNI34" s="67"/>
      <c r="GNJ34" s="67"/>
      <c r="GNK34" s="67"/>
      <c r="GNL34" s="67"/>
      <c r="GNM34" s="67"/>
      <c r="GNN34" s="67"/>
      <c r="GNO34" s="67"/>
      <c r="GNP34" s="67"/>
      <c r="GNQ34" s="67"/>
      <c r="GNR34" s="67"/>
      <c r="GNS34" s="67"/>
      <c r="GNT34" s="67"/>
      <c r="GNU34" s="67"/>
      <c r="GNV34" s="67"/>
      <c r="GNW34" s="67"/>
      <c r="GNX34" s="67"/>
      <c r="GNY34" s="67"/>
      <c r="GNZ34" s="67"/>
      <c r="GOA34" s="67"/>
      <c r="GOB34" s="67"/>
      <c r="GOC34" s="67"/>
      <c r="GOD34" s="67"/>
      <c r="GOE34" s="67"/>
      <c r="GOF34" s="67"/>
      <c r="GOG34" s="67"/>
      <c r="GOH34" s="67"/>
      <c r="GOI34" s="67"/>
      <c r="GOJ34" s="67"/>
      <c r="GOK34" s="67"/>
      <c r="GOL34" s="67"/>
      <c r="GOM34" s="67"/>
      <c r="GON34" s="67"/>
      <c r="GOO34" s="67"/>
      <c r="GOP34" s="67"/>
      <c r="GOQ34" s="67"/>
      <c r="GOR34" s="67"/>
      <c r="GOS34" s="67"/>
      <c r="GOT34" s="67"/>
      <c r="GOU34" s="67"/>
      <c r="GOV34" s="67"/>
      <c r="GOW34" s="67"/>
      <c r="GOX34" s="67"/>
      <c r="GOY34" s="67"/>
      <c r="GOZ34" s="67"/>
      <c r="GPA34" s="67"/>
      <c r="GPB34" s="67"/>
      <c r="GPC34" s="67"/>
      <c r="GPD34" s="67"/>
      <c r="GPE34" s="67"/>
      <c r="GPF34" s="67"/>
      <c r="GPG34" s="67"/>
      <c r="GPH34" s="67"/>
      <c r="GPI34" s="67"/>
      <c r="GPJ34" s="67"/>
      <c r="GPK34" s="67"/>
      <c r="GPL34" s="67"/>
      <c r="GPM34" s="67"/>
      <c r="GPN34" s="67"/>
      <c r="GPO34" s="67"/>
      <c r="GPP34" s="67"/>
      <c r="GPQ34" s="67"/>
      <c r="GPR34" s="67"/>
      <c r="GPS34" s="67"/>
      <c r="GPT34" s="67"/>
      <c r="GPU34" s="67"/>
      <c r="GPV34" s="67"/>
      <c r="GPW34" s="67"/>
      <c r="GPX34" s="67"/>
      <c r="GPY34" s="67"/>
      <c r="GPZ34" s="67"/>
      <c r="GQA34" s="67"/>
      <c r="GQB34" s="67"/>
      <c r="GQC34" s="67"/>
      <c r="GQD34" s="67"/>
      <c r="GQE34" s="67"/>
      <c r="GQF34" s="67"/>
      <c r="GQG34" s="67"/>
      <c r="GQH34" s="67"/>
      <c r="GQI34" s="67"/>
      <c r="GQJ34" s="67"/>
      <c r="GQK34" s="67"/>
      <c r="GQL34" s="67"/>
      <c r="GQM34" s="67"/>
      <c r="GQN34" s="67"/>
      <c r="GQO34" s="67"/>
      <c r="GQP34" s="67"/>
      <c r="GQQ34" s="67"/>
      <c r="GQR34" s="67"/>
      <c r="GQS34" s="67"/>
      <c r="GQT34" s="67"/>
      <c r="GQU34" s="67"/>
      <c r="GQV34" s="67"/>
      <c r="GQW34" s="67"/>
      <c r="GQX34" s="67"/>
      <c r="GQY34" s="67"/>
      <c r="GQZ34" s="67"/>
      <c r="GRA34" s="67"/>
      <c r="GRB34" s="67"/>
      <c r="GRC34" s="67"/>
      <c r="GRD34" s="67"/>
      <c r="GRE34" s="67"/>
      <c r="GRF34" s="67"/>
      <c r="GRG34" s="67"/>
      <c r="GRH34" s="67"/>
      <c r="GRI34" s="67"/>
      <c r="GRJ34" s="67"/>
      <c r="GRK34" s="67"/>
      <c r="GRL34" s="67"/>
      <c r="GRM34" s="67"/>
      <c r="GRN34" s="67"/>
      <c r="GRO34" s="67"/>
      <c r="GRP34" s="67"/>
      <c r="GRQ34" s="67"/>
      <c r="GRR34" s="67"/>
      <c r="GRS34" s="67"/>
      <c r="GRT34" s="67"/>
      <c r="GRU34" s="67"/>
      <c r="GRV34" s="67"/>
      <c r="GRW34" s="67"/>
      <c r="GRX34" s="67"/>
      <c r="GRY34" s="67"/>
      <c r="GRZ34" s="67"/>
      <c r="GSA34" s="67"/>
      <c r="GSB34" s="67"/>
      <c r="GSC34" s="67"/>
      <c r="GSD34" s="67"/>
      <c r="GSE34" s="67"/>
      <c r="GSF34" s="67"/>
      <c r="GSG34" s="67"/>
      <c r="GSH34" s="67"/>
      <c r="GSI34" s="67"/>
      <c r="GSJ34" s="67"/>
      <c r="GSK34" s="67"/>
      <c r="GSL34" s="67"/>
      <c r="GSM34" s="67"/>
      <c r="GSN34" s="67"/>
      <c r="GSO34" s="67"/>
      <c r="GSP34" s="67"/>
      <c r="GSQ34" s="67"/>
      <c r="GSR34" s="67"/>
      <c r="GSS34" s="67"/>
      <c r="GST34" s="67"/>
      <c r="GSU34" s="67"/>
      <c r="GSV34" s="67"/>
      <c r="GSW34" s="67"/>
      <c r="GSX34" s="67"/>
      <c r="GSY34" s="67"/>
      <c r="GSZ34" s="67"/>
      <c r="GTA34" s="67"/>
      <c r="GTB34" s="67"/>
      <c r="GTC34" s="67"/>
      <c r="GTD34" s="67"/>
      <c r="GTE34" s="67"/>
      <c r="GTF34" s="67"/>
      <c r="GTG34" s="67"/>
      <c r="GTH34" s="67"/>
      <c r="GTI34" s="67"/>
      <c r="GTJ34" s="67"/>
      <c r="GTK34" s="67"/>
      <c r="GTL34" s="67"/>
      <c r="GTM34" s="67"/>
      <c r="GTN34" s="67"/>
      <c r="GTO34" s="67"/>
      <c r="GTP34" s="67"/>
      <c r="GTQ34" s="67"/>
      <c r="GTR34" s="67"/>
      <c r="GTS34" s="67"/>
      <c r="GTT34" s="67"/>
      <c r="GTU34" s="67"/>
      <c r="GTV34" s="67"/>
      <c r="GTW34" s="67"/>
      <c r="GTX34" s="67"/>
      <c r="GTY34" s="67"/>
      <c r="GTZ34" s="67"/>
      <c r="GUA34" s="67"/>
      <c r="GUB34" s="67"/>
      <c r="GUC34" s="67"/>
      <c r="GUD34" s="67"/>
      <c r="GUE34" s="67"/>
      <c r="GUF34" s="67"/>
      <c r="GUG34" s="67"/>
      <c r="GUH34" s="67"/>
      <c r="GUI34" s="67"/>
      <c r="GUJ34" s="67"/>
      <c r="GUK34" s="67"/>
      <c r="GUL34" s="67"/>
      <c r="GUM34" s="67"/>
      <c r="GUN34" s="67"/>
      <c r="GUO34" s="67"/>
      <c r="GUP34" s="67"/>
      <c r="GUQ34" s="67"/>
      <c r="GUR34" s="67"/>
      <c r="GUS34" s="67"/>
      <c r="GUT34" s="67"/>
      <c r="GUU34" s="67"/>
      <c r="GUV34" s="67"/>
      <c r="GUW34" s="67"/>
      <c r="GUX34" s="67"/>
      <c r="GUY34" s="67"/>
      <c r="GUZ34" s="67"/>
      <c r="GVA34" s="67"/>
      <c r="GVB34" s="67"/>
      <c r="GVC34" s="67"/>
      <c r="GVD34" s="67"/>
      <c r="GVE34" s="67"/>
      <c r="GVF34" s="67"/>
      <c r="GVG34" s="67"/>
      <c r="GVH34" s="67"/>
      <c r="GVI34" s="67"/>
      <c r="GVJ34" s="67"/>
      <c r="GVK34" s="67"/>
      <c r="GVL34" s="67"/>
      <c r="GVM34" s="67"/>
      <c r="GVN34" s="67"/>
      <c r="GVO34" s="67"/>
      <c r="GVP34" s="67"/>
      <c r="GVQ34" s="67"/>
      <c r="GVR34" s="67"/>
      <c r="GVS34" s="67"/>
      <c r="GVT34" s="67"/>
      <c r="GVU34" s="67"/>
      <c r="GVV34" s="67"/>
      <c r="GVW34" s="67"/>
      <c r="GVX34" s="67"/>
      <c r="GVY34" s="67"/>
      <c r="GVZ34" s="67"/>
      <c r="GWA34" s="67"/>
      <c r="GWB34" s="67"/>
      <c r="GWC34" s="67"/>
      <c r="GWD34" s="67"/>
      <c r="GWE34" s="67"/>
      <c r="GWF34" s="67"/>
      <c r="GWG34" s="67"/>
      <c r="GWH34" s="67"/>
      <c r="GWI34" s="67"/>
      <c r="GWJ34" s="67"/>
      <c r="GWK34" s="67"/>
      <c r="GWL34" s="67"/>
      <c r="GWM34" s="67"/>
      <c r="GWN34" s="67"/>
      <c r="GWO34" s="67"/>
      <c r="GWP34" s="67"/>
      <c r="GWQ34" s="67"/>
      <c r="GWR34" s="67"/>
      <c r="GWS34" s="67"/>
      <c r="GWT34" s="67"/>
      <c r="GWU34" s="67"/>
      <c r="GWV34" s="67"/>
      <c r="GWW34" s="67"/>
      <c r="GWX34" s="67"/>
      <c r="GWY34" s="67"/>
      <c r="GWZ34" s="67"/>
      <c r="GXA34" s="67"/>
      <c r="GXB34" s="67"/>
      <c r="GXC34" s="67"/>
      <c r="GXD34" s="67"/>
      <c r="GXE34" s="67"/>
      <c r="GXF34" s="67"/>
      <c r="GXG34" s="67"/>
      <c r="GXH34" s="67"/>
      <c r="GXI34" s="67"/>
      <c r="GXJ34" s="67"/>
      <c r="GXK34" s="67"/>
      <c r="GXL34" s="67"/>
      <c r="GXM34" s="67"/>
      <c r="GXN34" s="67"/>
      <c r="GXO34" s="67"/>
      <c r="GXP34" s="67"/>
      <c r="GXQ34" s="67"/>
      <c r="GXR34" s="67"/>
      <c r="GXS34" s="67"/>
      <c r="GXT34" s="67"/>
      <c r="GXU34" s="67"/>
      <c r="GXV34" s="67"/>
      <c r="GXW34" s="67"/>
      <c r="GXX34" s="67"/>
      <c r="GXY34" s="67"/>
      <c r="GXZ34" s="67"/>
      <c r="GYA34" s="67"/>
      <c r="GYB34" s="67"/>
      <c r="GYC34" s="67"/>
      <c r="GYD34" s="67"/>
      <c r="GYE34" s="67"/>
      <c r="GYF34" s="67"/>
      <c r="GYG34" s="67"/>
      <c r="GYH34" s="67"/>
      <c r="GYI34" s="67"/>
      <c r="GYJ34" s="67"/>
      <c r="GYK34" s="67"/>
      <c r="GYL34" s="67"/>
      <c r="GYM34" s="67"/>
      <c r="GYN34" s="67"/>
      <c r="GYO34" s="67"/>
      <c r="GYP34" s="67"/>
      <c r="GYQ34" s="67"/>
      <c r="GYR34" s="67"/>
      <c r="GYS34" s="67"/>
      <c r="GYT34" s="67"/>
      <c r="GYU34" s="67"/>
      <c r="GYV34" s="67"/>
      <c r="GYW34" s="67"/>
      <c r="GYX34" s="67"/>
      <c r="GYY34" s="67"/>
      <c r="GYZ34" s="67"/>
      <c r="GZA34" s="67"/>
      <c r="GZB34" s="67"/>
      <c r="GZC34" s="67"/>
      <c r="GZD34" s="67"/>
      <c r="GZE34" s="67"/>
      <c r="GZF34" s="67"/>
      <c r="GZG34" s="67"/>
      <c r="GZH34" s="67"/>
      <c r="GZI34" s="67"/>
      <c r="GZJ34" s="67"/>
      <c r="GZK34" s="67"/>
      <c r="GZL34" s="67"/>
      <c r="GZM34" s="67"/>
      <c r="GZN34" s="67"/>
      <c r="GZO34" s="67"/>
      <c r="GZP34" s="67"/>
      <c r="GZQ34" s="67"/>
      <c r="GZR34" s="67"/>
      <c r="GZS34" s="67"/>
      <c r="GZT34" s="67"/>
      <c r="GZU34" s="67"/>
      <c r="GZV34" s="67"/>
      <c r="GZW34" s="67"/>
      <c r="GZX34" s="67"/>
      <c r="GZY34" s="67"/>
      <c r="GZZ34" s="67"/>
      <c r="HAA34" s="67"/>
      <c r="HAB34" s="67"/>
      <c r="HAC34" s="67"/>
      <c r="HAD34" s="67"/>
      <c r="HAE34" s="67"/>
      <c r="HAF34" s="67"/>
      <c r="HAG34" s="67"/>
      <c r="HAH34" s="67"/>
      <c r="HAI34" s="67"/>
      <c r="HAJ34" s="67"/>
      <c r="HAK34" s="67"/>
      <c r="HAL34" s="67"/>
      <c r="HAM34" s="67"/>
      <c r="HAN34" s="67"/>
      <c r="HAO34" s="67"/>
      <c r="HAP34" s="67"/>
      <c r="HAQ34" s="67"/>
      <c r="HAR34" s="67"/>
      <c r="HAS34" s="67"/>
      <c r="HAT34" s="67"/>
      <c r="HAU34" s="67"/>
      <c r="HAV34" s="67"/>
      <c r="HAW34" s="67"/>
      <c r="HAX34" s="67"/>
      <c r="HAY34" s="67"/>
      <c r="HAZ34" s="67"/>
      <c r="HBA34" s="67"/>
      <c r="HBB34" s="67"/>
      <c r="HBC34" s="67"/>
      <c r="HBD34" s="67"/>
      <c r="HBE34" s="67"/>
      <c r="HBF34" s="67"/>
      <c r="HBG34" s="67"/>
      <c r="HBH34" s="67"/>
      <c r="HBI34" s="67"/>
      <c r="HBJ34" s="67"/>
      <c r="HBK34" s="67"/>
      <c r="HBL34" s="67"/>
      <c r="HBM34" s="67"/>
      <c r="HBN34" s="67"/>
      <c r="HBO34" s="67"/>
      <c r="HBP34" s="67"/>
      <c r="HBQ34" s="67"/>
      <c r="HBR34" s="67"/>
      <c r="HBS34" s="67"/>
      <c r="HBT34" s="67"/>
      <c r="HBU34" s="67"/>
      <c r="HBV34" s="67"/>
      <c r="HBW34" s="67"/>
      <c r="HBX34" s="67"/>
      <c r="HBY34" s="67"/>
      <c r="HBZ34" s="67"/>
      <c r="HCA34" s="67"/>
      <c r="HCB34" s="67"/>
      <c r="HCC34" s="67"/>
      <c r="HCD34" s="67"/>
      <c r="HCE34" s="67"/>
      <c r="HCF34" s="67"/>
      <c r="HCG34" s="67"/>
      <c r="HCH34" s="67"/>
      <c r="HCI34" s="67"/>
      <c r="HCJ34" s="67"/>
      <c r="HCK34" s="67"/>
      <c r="HCL34" s="67"/>
      <c r="HCM34" s="67"/>
      <c r="HCN34" s="67"/>
      <c r="HCO34" s="67"/>
      <c r="HCP34" s="67"/>
      <c r="HCQ34" s="67"/>
      <c r="HCR34" s="67"/>
      <c r="HCS34" s="67"/>
      <c r="HCT34" s="67"/>
      <c r="HCU34" s="67"/>
      <c r="HCV34" s="67"/>
      <c r="HCW34" s="67"/>
      <c r="HCX34" s="67"/>
      <c r="HCY34" s="67"/>
      <c r="HCZ34" s="67"/>
      <c r="HDA34" s="67"/>
      <c r="HDB34" s="67"/>
      <c r="HDC34" s="67"/>
      <c r="HDD34" s="67"/>
      <c r="HDE34" s="67"/>
      <c r="HDF34" s="67"/>
      <c r="HDG34" s="67"/>
      <c r="HDH34" s="67"/>
      <c r="HDI34" s="67"/>
      <c r="HDJ34" s="67"/>
      <c r="HDK34" s="67"/>
      <c r="HDL34" s="67"/>
      <c r="HDM34" s="67"/>
      <c r="HDN34" s="67"/>
      <c r="HDO34" s="67"/>
      <c r="HDP34" s="67"/>
      <c r="HDQ34" s="67"/>
      <c r="HDR34" s="67"/>
      <c r="HDS34" s="67"/>
      <c r="HDT34" s="67"/>
      <c r="HDU34" s="67"/>
      <c r="HDV34" s="67"/>
      <c r="HDW34" s="67"/>
      <c r="HDX34" s="67"/>
      <c r="HDY34" s="67"/>
      <c r="HDZ34" s="67"/>
      <c r="HEA34" s="67"/>
      <c r="HEB34" s="67"/>
      <c r="HEC34" s="67"/>
      <c r="HED34" s="67"/>
      <c r="HEE34" s="67"/>
      <c r="HEF34" s="67"/>
      <c r="HEG34" s="67"/>
      <c r="HEH34" s="67"/>
      <c r="HEI34" s="67"/>
      <c r="HEJ34" s="67"/>
      <c r="HEK34" s="67"/>
      <c r="HEL34" s="67"/>
      <c r="HEM34" s="67"/>
      <c r="HEN34" s="67"/>
      <c r="HEO34" s="67"/>
      <c r="HEP34" s="67"/>
      <c r="HEQ34" s="67"/>
      <c r="HER34" s="67"/>
      <c r="HES34" s="67"/>
      <c r="HET34" s="67"/>
      <c r="HEU34" s="67"/>
      <c r="HEV34" s="67"/>
      <c r="HEW34" s="67"/>
      <c r="HEX34" s="67"/>
      <c r="HEY34" s="67"/>
      <c r="HEZ34" s="67"/>
      <c r="HFA34" s="67"/>
      <c r="HFB34" s="67"/>
      <c r="HFC34" s="67"/>
      <c r="HFD34" s="67"/>
      <c r="HFE34" s="67"/>
      <c r="HFF34" s="67"/>
      <c r="HFG34" s="67"/>
      <c r="HFH34" s="67"/>
      <c r="HFI34" s="67"/>
      <c r="HFJ34" s="67"/>
      <c r="HFK34" s="67"/>
      <c r="HFL34" s="67"/>
      <c r="HFM34" s="67"/>
      <c r="HFN34" s="67"/>
      <c r="HFO34" s="67"/>
      <c r="HFP34" s="67"/>
      <c r="HFQ34" s="67"/>
      <c r="HFR34" s="67"/>
      <c r="HFS34" s="67"/>
      <c r="HFT34" s="67"/>
      <c r="HFU34" s="67"/>
      <c r="HFV34" s="67"/>
      <c r="HFW34" s="67"/>
      <c r="HFX34" s="67"/>
      <c r="HFY34" s="67"/>
      <c r="HFZ34" s="67"/>
      <c r="HGA34" s="67"/>
      <c r="HGB34" s="67"/>
      <c r="HGC34" s="67"/>
      <c r="HGD34" s="67"/>
      <c r="HGE34" s="67"/>
      <c r="HGF34" s="67"/>
      <c r="HGG34" s="67"/>
      <c r="HGH34" s="67"/>
      <c r="HGI34" s="67"/>
      <c r="HGJ34" s="67"/>
      <c r="HGK34" s="67"/>
      <c r="HGL34" s="67"/>
      <c r="HGM34" s="67"/>
      <c r="HGN34" s="67"/>
      <c r="HGO34" s="67"/>
      <c r="HGP34" s="67"/>
      <c r="HGQ34" s="67"/>
      <c r="HGR34" s="67"/>
      <c r="HGS34" s="67"/>
      <c r="HGT34" s="67"/>
      <c r="HGU34" s="67"/>
      <c r="HGV34" s="67"/>
      <c r="HGW34" s="67"/>
      <c r="HGX34" s="67"/>
      <c r="HGY34" s="67"/>
      <c r="HGZ34" s="67"/>
      <c r="HHA34" s="67"/>
      <c r="HHB34" s="67"/>
      <c r="HHC34" s="67"/>
      <c r="HHD34" s="67"/>
      <c r="HHE34" s="67"/>
      <c r="HHF34" s="67"/>
      <c r="HHG34" s="67"/>
      <c r="HHH34" s="67"/>
      <c r="HHI34" s="67"/>
      <c r="HHJ34" s="67"/>
      <c r="HHK34" s="67"/>
      <c r="HHL34" s="67"/>
      <c r="HHM34" s="67"/>
      <c r="HHN34" s="67"/>
      <c r="HHO34" s="67"/>
      <c r="HHP34" s="67"/>
      <c r="HHQ34" s="67"/>
      <c r="HHR34" s="67"/>
      <c r="HHS34" s="67"/>
      <c r="HHT34" s="67"/>
      <c r="HHU34" s="67"/>
      <c r="HHV34" s="67"/>
      <c r="HHW34" s="67"/>
      <c r="HHX34" s="67"/>
      <c r="HHY34" s="67"/>
      <c r="HHZ34" s="67"/>
      <c r="HIA34" s="67"/>
      <c r="HIB34" s="67"/>
      <c r="HIC34" s="67"/>
      <c r="HID34" s="67"/>
      <c r="HIE34" s="67"/>
      <c r="HIF34" s="67"/>
      <c r="HIG34" s="67"/>
      <c r="HIH34" s="67"/>
      <c r="HII34" s="67"/>
      <c r="HIJ34" s="67"/>
      <c r="HIK34" s="67"/>
      <c r="HIL34" s="67"/>
      <c r="HIM34" s="67"/>
      <c r="HIN34" s="67"/>
      <c r="HIO34" s="67"/>
      <c r="HIP34" s="67"/>
      <c r="HIQ34" s="67"/>
      <c r="HIR34" s="67"/>
      <c r="HIS34" s="67"/>
      <c r="HIT34" s="67"/>
      <c r="HIU34" s="67"/>
      <c r="HIV34" s="67"/>
      <c r="HIW34" s="67"/>
      <c r="HIX34" s="67"/>
      <c r="HIY34" s="67"/>
      <c r="HIZ34" s="67"/>
      <c r="HJA34" s="67"/>
      <c r="HJB34" s="67"/>
      <c r="HJC34" s="67"/>
      <c r="HJD34" s="67"/>
      <c r="HJE34" s="67"/>
      <c r="HJF34" s="67"/>
      <c r="HJG34" s="67"/>
      <c r="HJH34" s="67"/>
      <c r="HJI34" s="67"/>
      <c r="HJJ34" s="67"/>
      <c r="HJK34" s="67"/>
      <c r="HJL34" s="67"/>
      <c r="HJM34" s="67"/>
      <c r="HJN34" s="67"/>
      <c r="HJO34" s="67"/>
      <c r="HJP34" s="67"/>
      <c r="HJQ34" s="67"/>
      <c r="HJR34" s="67"/>
      <c r="HJS34" s="67"/>
      <c r="HJT34" s="67"/>
      <c r="HJU34" s="67"/>
      <c r="HJV34" s="67"/>
      <c r="HJW34" s="67"/>
      <c r="HJX34" s="67"/>
      <c r="HJY34" s="67"/>
      <c r="HJZ34" s="67"/>
      <c r="HKA34" s="67"/>
      <c r="HKB34" s="67"/>
      <c r="HKC34" s="67"/>
      <c r="HKD34" s="67"/>
      <c r="HKE34" s="67"/>
      <c r="HKF34" s="67"/>
      <c r="HKG34" s="67"/>
      <c r="HKH34" s="67"/>
      <c r="HKI34" s="67"/>
      <c r="HKJ34" s="67"/>
      <c r="HKK34" s="67"/>
      <c r="HKL34" s="67"/>
      <c r="HKM34" s="67"/>
      <c r="HKN34" s="67"/>
      <c r="HKO34" s="67"/>
      <c r="HKP34" s="67"/>
      <c r="HKQ34" s="67"/>
      <c r="HKR34" s="67"/>
      <c r="HKS34" s="67"/>
      <c r="HKT34" s="67"/>
      <c r="HKU34" s="67"/>
      <c r="HKV34" s="67"/>
      <c r="HKW34" s="67"/>
      <c r="HKX34" s="67"/>
      <c r="HKY34" s="67"/>
      <c r="HKZ34" s="67"/>
      <c r="HLA34" s="67"/>
      <c r="HLB34" s="67"/>
      <c r="HLC34" s="67"/>
      <c r="HLD34" s="67"/>
      <c r="HLE34" s="67"/>
      <c r="HLF34" s="67"/>
      <c r="HLG34" s="67"/>
      <c r="HLH34" s="67"/>
      <c r="HLI34" s="67"/>
      <c r="HLJ34" s="67"/>
      <c r="HLK34" s="67"/>
      <c r="HLL34" s="67"/>
      <c r="HLM34" s="67"/>
      <c r="HLN34" s="67"/>
      <c r="HLO34" s="67"/>
      <c r="HLP34" s="67"/>
      <c r="HLQ34" s="67"/>
      <c r="HLR34" s="67"/>
      <c r="HLS34" s="67"/>
      <c r="HLT34" s="67"/>
      <c r="HLU34" s="67"/>
      <c r="HLV34" s="67"/>
      <c r="HLW34" s="67"/>
      <c r="HLX34" s="67"/>
      <c r="HLY34" s="67"/>
      <c r="HLZ34" s="67"/>
      <c r="HMA34" s="67"/>
      <c r="HMB34" s="67"/>
      <c r="HMC34" s="67"/>
      <c r="HMD34" s="67"/>
      <c r="HME34" s="67"/>
      <c r="HMF34" s="67"/>
      <c r="HMG34" s="67"/>
      <c r="HMH34" s="67"/>
      <c r="HMI34" s="67"/>
      <c r="HMJ34" s="67"/>
      <c r="HMK34" s="67"/>
      <c r="HML34" s="67"/>
      <c r="HMM34" s="67"/>
      <c r="HMN34" s="67"/>
      <c r="HMO34" s="67"/>
      <c r="HMP34" s="67"/>
      <c r="HMQ34" s="67"/>
      <c r="HMR34" s="67"/>
      <c r="HMS34" s="67"/>
      <c r="HMT34" s="67"/>
      <c r="HMU34" s="67"/>
      <c r="HMV34" s="67"/>
      <c r="HMW34" s="67"/>
      <c r="HMX34" s="67"/>
      <c r="HMY34" s="67"/>
      <c r="HMZ34" s="67"/>
      <c r="HNA34" s="67"/>
      <c r="HNB34" s="67"/>
      <c r="HNC34" s="67"/>
      <c r="HND34" s="67"/>
      <c r="HNE34" s="67"/>
      <c r="HNF34" s="67"/>
      <c r="HNG34" s="67"/>
      <c r="HNH34" s="67"/>
      <c r="HNI34" s="67"/>
      <c r="HNJ34" s="67"/>
      <c r="HNK34" s="67"/>
      <c r="HNL34" s="67"/>
      <c r="HNM34" s="67"/>
      <c r="HNN34" s="67"/>
      <c r="HNO34" s="67"/>
      <c r="HNP34" s="67"/>
      <c r="HNQ34" s="67"/>
      <c r="HNR34" s="67"/>
      <c r="HNS34" s="67"/>
      <c r="HNT34" s="67"/>
      <c r="HNU34" s="67"/>
      <c r="HNV34" s="67"/>
      <c r="HNW34" s="67"/>
      <c r="HNX34" s="67"/>
      <c r="HNY34" s="67"/>
      <c r="HNZ34" s="67"/>
      <c r="HOA34" s="67"/>
      <c r="HOB34" s="67"/>
      <c r="HOC34" s="67"/>
      <c r="HOD34" s="67"/>
      <c r="HOE34" s="67"/>
      <c r="HOF34" s="67"/>
      <c r="HOG34" s="67"/>
      <c r="HOH34" s="67"/>
      <c r="HOI34" s="67"/>
      <c r="HOJ34" s="67"/>
      <c r="HOK34" s="67"/>
      <c r="HOL34" s="67"/>
      <c r="HOM34" s="67"/>
      <c r="HON34" s="67"/>
      <c r="HOO34" s="67"/>
      <c r="HOP34" s="67"/>
      <c r="HOQ34" s="67"/>
      <c r="HOR34" s="67"/>
      <c r="HOS34" s="67"/>
      <c r="HOT34" s="67"/>
      <c r="HOU34" s="67"/>
      <c r="HOV34" s="67"/>
      <c r="HOW34" s="67"/>
      <c r="HOX34" s="67"/>
      <c r="HOY34" s="67"/>
      <c r="HOZ34" s="67"/>
      <c r="HPA34" s="67"/>
      <c r="HPB34" s="67"/>
      <c r="HPC34" s="67"/>
      <c r="HPD34" s="67"/>
      <c r="HPE34" s="67"/>
      <c r="HPF34" s="67"/>
      <c r="HPG34" s="67"/>
      <c r="HPH34" s="67"/>
      <c r="HPI34" s="67"/>
      <c r="HPJ34" s="67"/>
      <c r="HPK34" s="67"/>
      <c r="HPL34" s="67"/>
      <c r="HPM34" s="67"/>
      <c r="HPN34" s="67"/>
      <c r="HPO34" s="67"/>
      <c r="HPP34" s="67"/>
      <c r="HPQ34" s="67"/>
      <c r="HPR34" s="67"/>
      <c r="HPS34" s="67"/>
      <c r="HPT34" s="67"/>
      <c r="HPU34" s="67"/>
      <c r="HPV34" s="67"/>
      <c r="HPW34" s="67"/>
      <c r="HPX34" s="67"/>
      <c r="HPY34" s="67"/>
      <c r="HPZ34" s="67"/>
      <c r="HQA34" s="67"/>
      <c r="HQB34" s="67"/>
      <c r="HQC34" s="67"/>
      <c r="HQD34" s="67"/>
      <c r="HQE34" s="67"/>
      <c r="HQF34" s="67"/>
      <c r="HQG34" s="67"/>
      <c r="HQH34" s="67"/>
      <c r="HQI34" s="67"/>
      <c r="HQJ34" s="67"/>
      <c r="HQK34" s="67"/>
      <c r="HQL34" s="67"/>
      <c r="HQM34" s="67"/>
      <c r="HQN34" s="67"/>
      <c r="HQO34" s="67"/>
      <c r="HQP34" s="67"/>
      <c r="HQQ34" s="67"/>
      <c r="HQR34" s="67"/>
      <c r="HQS34" s="67"/>
      <c r="HQT34" s="67"/>
      <c r="HQU34" s="67"/>
      <c r="HQV34" s="67"/>
      <c r="HQW34" s="67"/>
      <c r="HQX34" s="67"/>
      <c r="HQY34" s="67"/>
      <c r="HQZ34" s="67"/>
      <c r="HRA34" s="67"/>
      <c r="HRB34" s="67"/>
      <c r="HRC34" s="67"/>
      <c r="HRD34" s="67"/>
      <c r="HRE34" s="67"/>
      <c r="HRF34" s="67"/>
      <c r="HRG34" s="67"/>
      <c r="HRH34" s="67"/>
      <c r="HRI34" s="67"/>
      <c r="HRJ34" s="67"/>
      <c r="HRK34" s="67"/>
      <c r="HRL34" s="67"/>
      <c r="HRM34" s="67"/>
      <c r="HRN34" s="67"/>
      <c r="HRO34" s="67"/>
      <c r="HRP34" s="67"/>
      <c r="HRQ34" s="67"/>
      <c r="HRR34" s="67"/>
      <c r="HRS34" s="67"/>
      <c r="HRT34" s="67"/>
      <c r="HRU34" s="67"/>
      <c r="HRV34" s="67"/>
      <c r="HRW34" s="67"/>
      <c r="HRX34" s="67"/>
      <c r="HRY34" s="67"/>
      <c r="HRZ34" s="67"/>
      <c r="HSA34" s="67"/>
      <c r="HSB34" s="67"/>
      <c r="HSC34" s="67"/>
      <c r="HSD34" s="67"/>
      <c r="HSE34" s="67"/>
      <c r="HSF34" s="67"/>
      <c r="HSG34" s="67"/>
      <c r="HSH34" s="67"/>
      <c r="HSI34" s="67"/>
      <c r="HSJ34" s="67"/>
      <c r="HSK34" s="67"/>
      <c r="HSL34" s="67"/>
      <c r="HSM34" s="67"/>
      <c r="HSN34" s="67"/>
      <c r="HSO34" s="67"/>
      <c r="HSP34" s="67"/>
      <c r="HSQ34" s="67"/>
      <c r="HSR34" s="67"/>
      <c r="HSS34" s="67"/>
      <c r="HST34" s="67"/>
      <c r="HSU34" s="67"/>
      <c r="HSV34" s="67"/>
      <c r="HSW34" s="67"/>
      <c r="HSX34" s="67"/>
      <c r="HSY34" s="67"/>
      <c r="HSZ34" s="67"/>
      <c r="HTA34" s="67"/>
      <c r="HTB34" s="67"/>
      <c r="HTC34" s="67"/>
      <c r="HTD34" s="67"/>
      <c r="HTE34" s="67"/>
      <c r="HTF34" s="67"/>
      <c r="HTG34" s="67"/>
      <c r="HTH34" s="67"/>
      <c r="HTI34" s="67"/>
      <c r="HTJ34" s="67"/>
      <c r="HTK34" s="67"/>
      <c r="HTL34" s="67"/>
      <c r="HTM34" s="67"/>
      <c r="HTN34" s="67"/>
      <c r="HTO34" s="67"/>
      <c r="HTP34" s="67"/>
      <c r="HTQ34" s="67"/>
      <c r="HTR34" s="67"/>
      <c r="HTS34" s="67"/>
      <c r="HTT34" s="67"/>
      <c r="HTU34" s="67"/>
      <c r="HTV34" s="67"/>
      <c r="HTW34" s="67"/>
      <c r="HTX34" s="67"/>
      <c r="HTY34" s="67"/>
      <c r="HTZ34" s="67"/>
      <c r="HUA34" s="67"/>
      <c r="HUB34" s="67"/>
      <c r="HUC34" s="67"/>
      <c r="HUD34" s="67"/>
      <c r="HUE34" s="67"/>
      <c r="HUF34" s="67"/>
      <c r="HUG34" s="67"/>
      <c r="HUH34" s="67"/>
      <c r="HUI34" s="67"/>
      <c r="HUJ34" s="67"/>
      <c r="HUK34" s="67"/>
      <c r="HUL34" s="67"/>
      <c r="HUM34" s="67"/>
      <c r="HUN34" s="67"/>
      <c r="HUO34" s="67"/>
      <c r="HUP34" s="67"/>
      <c r="HUQ34" s="67"/>
      <c r="HUR34" s="67"/>
      <c r="HUS34" s="67"/>
      <c r="HUT34" s="67"/>
      <c r="HUU34" s="67"/>
      <c r="HUV34" s="67"/>
      <c r="HUW34" s="67"/>
      <c r="HUX34" s="67"/>
      <c r="HUY34" s="67"/>
      <c r="HUZ34" s="67"/>
      <c r="HVA34" s="67"/>
      <c r="HVB34" s="67"/>
      <c r="HVC34" s="67"/>
      <c r="HVD34" s="67"/>
      <c r="HVE34" s="67"/>
      <c r="HVF34" s="67"/>
      <c r="HVG34" s="67"/>
      <c r="HVH34" s="67"/>
      <c r="HVI34" s="67"/>
      <c r="HVJ34" s="67"/>
      <c r="HVK34" s="67"/>
      <c r="HVL34" s="67"/>
      <c r="HVM34" s="67"/>
      <c r="HVN34" s="67"/>
      <c r="HVO34" s="67"/>
      <c r="HVP34" s="67"/>
      <c r="HVQ34" s="67"/>
      <c r="HVR34" s="67"/>
      <c r="HVS34" s="67"/>
      <c r="HVT34" s="67"/>
      <c r="HVU34" s="67"/>
      <c r="HVV34" s="67"/>
      <c r="HVW34" s="67"/>
      <c r="HVX34" s="67"/>
      <c r="HVY34" s="67"/>
      <c r="HVZ34" s="67"/>
      <c r="HWA34" s="67"/>
      <c r="HWB34" s="67"/>
      <c r="HWC34" s="67"/>
      <c r="HWD34" s="67"/>
      <c r="HWE34" s="67"/>
      <c r="HWF34" s="67"/>
      <c r="HWG34" s="67"/>
      <c r="HWH34" s="67"/>
      <c r="HWI34" s="67"/>
      <c r="HWJ34" s="67"/>
      <c r="HWK34" s="67"/>
      <c r="HWL34" s="67"/>
      <c r="HWM34" s="67"/>
      <c r="HWN34" s="67"/>
      <c r="HWO34" s="67"/>
      <c r="HWP34" s="67"/>
      <c r="HWQ34" s="67"/>
      <c r="HWR34" s="67"/>
      <c r="HWS34" s="67"/>
      <c r="HWT34" s="67"/>
      <c r="HWU34" s="67"/>
      <c r="HWV34" s="67"/>
      <c r="HWW34" s="67"/>
      <c r="HWX34" s="67"/>
      <c r="HWY34" s="67"/>
      <c r="HWZ34" s="67"/>
      <c r="HXA34" s="67"/>
      <c r="HXB34" s="67"/>
      <c r="HXC34" s="67"/>
      <c r="HXD34" s="67"/>
      <c r="HXE34" s="67"/>
      <c r="HXF34" s="67"/>
      <c r="HXG34" s="67"/>
      <c r="HXH34" s="67"/>
      <c r="HXI34" s="67"/>
      <c r="HXJ34" s="67"/>
      <c r="HXK34" s="67"/>
      <c r="HXL34" s="67"/>
      <c r="HXM34" s="67"/>
      <c r="HXN34" s="67"/>
      <c r="HXO34" s="67"/>
      <c r="HXP34" s="67"/>
      <c r="HXQ34" s="67"/>
      <c r="HXR34" s="67"/>
      <c r="HXS34" s="67"/>
      <c r="HXT34" s="67"/>
      <c r="HXU34" s="67"/>
      <c r="HXV34" s="67"/>
      <c r="HXW34" s="67"/>
      <c r="HXX34" s="67"/>
      <c r="HXY34" s="67"/>
      <c r="HXZ34" s="67"/>
      <c r="HYA34" s="67"/>
      <c r="HYB34" s="67"/>
      <c r="HYC34" s="67"/>
      <c r="HYD34" s="67"/>
      <c r="HYE34" s="67"/>
      <c r="HYF34" s="67"/>
      <c r="HYG34" s="67"/>
      <c r="HYH34" s="67"/>
      <c r="HYI34" s="67"/>
      <c r="HYJ34" s="67"/>
      <c r="HYK34" s="67"/>
      <c r="HYL34" s="67"/>
      <c r="HYM34" s="67"/>
      <c r="HYN34" s="67"/>
      <c r="HYO34" s="67"/>
      <c r="HYP34" s="67"/>
      <c r="HYQ34" s="67"/>
      <c r="HYR34" s="67"/>
      <c r="HYS34" s="67"/>
      <c r="HYT34" s="67"/>
      <c r="HYU34" s="67"/>
      <c r="HYV34" s="67"/>
      <c r="HYW34" s="67"/>
      <c r="HYX34" s="67"/>
      <c r="HYY34" s="67"/>
      <c r="HYZ34" s="67"/>
      <c r="HZA34" s="67"/>
      <c r="HZB34" s="67"/>
      <c r="HZC34" s="67"/>
      <c r="HZD34" s="67"/>
      <c r="HZE34" s="67"/>
      <c r="HZF34" s="67"/>
      <c r="HZG34" s="67"/>
      <c r="HZH34" s="67"/>
      <c r="HZI34" s="67"/>
      <c r="HZJ34" s="67"/>
      <c r="HZK34" s="67"/>
      <c r="HZL34" s="67"/>
      <c r="HZM34" s="67"/>
      <c r="HZN34" s="67"/>
      <c r="HZO34" s="67"/>
      <c r="HZP34" s="67"/>
      <c r="HZQ34" s="67"/>
      <c r="HZR34" s="67"/>
      <c r="HZS34" s="67"/>
      <c r="HZT34" s="67"/>
      <c r="HZU34" s="67"/>
      <c r="HZV34" s="67"/>
      <c r="HZW34" s="67"/>
      <c r="HZX34" s="67"/>
      <c r="HZY34" s="67"/>
      <c r="HZZ34" s="67"/>
      <c r="IAA34" s="67"/>
      <c r="IAB34" s="67"/>
      <c r="IAC34" s="67"/>
      <c r="IAD34" s="67"/>
      <c r="IAE34" s="67"/>
      <c r="IAF34" s="67"/>
      <c r="IAG34" s="67"/>
      <c r="IAH34" s="67"/>
      <c r="IAI34" s="67"/>
      <c r="IAJ34" s="67"/>
      <c r="IAK34" s="67"/>
      <c r="IAL34" s="67"/>
      <c r="IAM34" s="67"/>
      <c r="IAN34" s="67"/>
      <c r="IAO34" s="67"/>
      <c r="IAP34" s="67"/>
      <c r="IAQ34" s="67"/>
      <c r="IAR34" s="67"/>
      <c r="IAS34" s="67"/>
      <c r="IAT34" s="67"/>
      <c r="IAU34" s="67"/>
      <c r="IAV34" s="67"/>
      <c r="IAW34" s="67"/>
      <c r="IAX34" s="67"/>
      <c r="IAY34" s="67"/>
      <c r="IAZ34" s="67"/>
      <c r="IBA34" s="67"/>
      <c r="IBB34" s="67"/>
      <c r="IBC34" s="67"/>
      <c r="IBD34" s="67"/>
      <c r="IBE34" s="67"/>
      <c r="IBF34" s="67"/>
      <c r="IBG34" s="67"/>
      <c r="IBH34" s="67"/>
      <c r="IBI34" s="67"/>
      <c r="IBJ34" s="67"/>
      <c r="IBK34" s="67"/>
      <c r="IBL34" s="67"/>
      <c r="IBM34" s="67"/>
      <c r="IBN34" s="67"/>
      <c r="IBO34" s="67"/>
      <c r="IBP34" s="67"/>
      <c r="IBQ34" s="67"/>
      <c r="IBR34" s="67"/>
      <c r="IBS34" s="67"/>
      <c r="IBT34" s="67"/>
      <c r="IBU34" s="67"/>
      <c r="IBV34" s="67"/>
      <c r="IBW34" s="67"/>
      <c r="IBX34" s="67"/>
      <c r="IBY34" s="67"/>
      <c r="IBZ34" s="67"/>
      <c r="ICA34" s="67"/>
      <c r="ICB34" s="67"/>
      <c r="ICC34" s="67"/>
      <c r="ICD34" s="67"/>
      <c r="ICE34" s="67"/>
      <c r="ICF34" s="67"/>
      <c r="ICG34" s="67"/>
      <c r="ICH34" s="67"/>
      <c r="ICI34" s="67"/>
      <c r="ICJ34" s="67"/>
      <c r="ICK34" s="67"/>
      <c r="ICL34" s="67"/>
      <c r="ICM34" s="67"/>
      <c r="ICN34" s="67"/>
      <c r="ICO34" s="67"/>
      <c r="ICP34" s="67"/>
      <c r="ICQ34" s="67"/>
      <c r="ICR34" s="67"/>
      <c r="ICS34" s="67"/>
      <c r="ICT34" s="67"/>
      <c r="ICU34" s="67"/>
      <c r="ICV34" s="67"/>
      <c r="ICW34" s="67"/>
      <c r="ICX34" s="67"/>
      <c r="ICY34" s="67"/>
      <c r="ICZ34" s="67"/>
      <c r="IDA34" s="67"/>
      <c r="IDB34" s="67"/>
      <c r="IDC34" s="67"/>
      <c r="IDD34" s="67"/>
      <c r="IDE34" s="67"/>
      <c r="IDF34" s="67"/>
      <c r="IDG34" s="67"/>
      <c r="IDH34" s="67"/>
      <c r="IDI34" s="67"/>
      <c r="IDJ34" s="67"/>
      <c r="IDK34" s="67"/>
      <c r="IDL34" s="67"/>
      <c r="IDM34" s="67"/>
      <c r="IDN34" s="67"/>
      <c r="IDO34" s="67"/>
      <c r="IDP34" s="67"/>
      <c r="IDQ34" s="67"/>
      <c r="IDR34" s="67"/>
      <c r="IDS34" s="67"/>
      <c r="IDT34" s="67"/>
      <c r="IDU34" s="67"/>
      <c r="IDV34" s="67"/>
      <c r="IDW34" s="67"/>
      <c r="IDX34" s="67"/>
      <c r="IDY34" s="67"/>
      <c r="IDZ34" s="67"/>
      <c r="IEA34" s="67"/>
      <c r="IEB34" s="67"/>
      <c r="IEC34" s="67"/>
      <c r="IED34" s="67"/>
      <c r="IEE34" s="67"/>
      <c r="IEF34" s="67"/>
      <c r="IEG34" s="67"/>
      <c r="IEH34" s="67"/>
      <c r="IEI34" s="67"/>
      <c r="IEJ34" s="67"/>
      <c r="IEK34" s="67"/>
      <c r="IEL34" s="67"/>
      <c r="IEM34" s="67"/>
      <c r="IEN34" s="67"/>
      <c r="IEO34" s="67"/>
      <c r="IEP34" s="67"/>
      <c r="IEQ34" s="67"/>
      <c r="IER34" s="67"/>
      <c r="IES34" s="67"/>
      <c r="IET34" s="67"/>
      <c r="IEU34" s="67"/>
      <c r="IEV34" s="67"/>
      <c r="IEW34" s="67"/>
      <c r="IEX34" s="67"/>
      <c r="IEY34" s="67"/>
      <c r="IEZ34" s="67"/>
      <c r="IFA34" s="67"/>
      <c r="IFB34" s="67"/>
      <c r="IFC34" s="67"/>
      <c r="IFD34" s="67"/>
      <c r="IFE34" s="67"/>
      <c r="IFF34" s="67"/>
      <c r="IFG34" s="67"/>
      <c r="IFH34" s="67"/>
      <c r="IFI34" s="67"/>
      <c r="IFJ34" s="67"/>
      <c r="IFK34" s="67"/>
      <c r="IFL34" s="67"/>
      <c r="IFM34" s="67"/>
      <c r="IFN34" s="67"/>
      <c r="IFO34" s="67"/>
      <c r="IFP34" s="67"/>
      <c r="IFQ34" s="67"/>
      <c r="IFR34" s="67"/>
      <c r="IFS34" s="67"/>
      <c r="IFT34" s="67"/>
      <c r="IFU34" s="67"/>
      <c r="IFV34" s="67"/>
      <c r="IFW34" s="67"/>
      <c r="IFX34" s="67"/>
      <c r="IFY34" s="67"/>
      <c r="IFZ34" s="67"/>
      <c r="IGA34" s="67"/>
      <c r="IGB34" s="67"/>
      <c r="IGC34" s="67"/>
      <c r="IGD34" s="67"/>
      <c r="IGE34" s="67"/>
      <c r="IGF34" s="67"/>
      <c r="IGG34" s="67"/>
      <c r="IGH34" s="67"/>
      <c r="IGI34" s="67"/>
      <c r="IGJ34" s="67"/>
      <c r="IGK34" s="67"/>
      <c r="IGL34" s="67"/>
      <c r="IGM34" s="67"/>
      <c r="IGN34" s="67"/>
      <c r="IGO34" s="67"/>
      <c r="IGP34" s="67"/>
      <c r="IGQ34" s="67"/>
      <c r="IGR34" s="67"/>
      <c r="IGS34" s="67"/>
      <c r="IGT34" s="67"/>
      <c r="IGU34" s="67"/>
      <c r="IGV34" s="67"/>
      <c r="IGW34" s="67"/>
      <c r="IGX34" s="67"/>
      <c r="IGY34" s="67"/>
      <c r="IGZ34" s="67"/>
      <c r="IHA34" s="67"/>
      <c r="IHB34" s="67"/>
      <c r="IHC34" s="67"/>
      <c r="IHD34" s="67"/>
      <c r="IHE34" s="67"/>
      <c r="IHF34" s="67"/>
      <c r="IHG34" s="67"/>
      <c r="IHH34" s="67"/>
      <c r="IHI34" s="67"/>
      <c r="IHJ34" s="67"/>
      <c r="IHK34" s="67"/>
      <c r="IHL34" s="67"/>
      <c r="IHM34" s="67"/>
      <c r="IHN34" s="67"/>
      <c r="IHO34" s="67"/>
      <c r="IHP34" s="67"/>
      <c r="IHQ34" s="67"/>
      <c r="IHR34" s="67"/>
      <c r="IHS34" s="67"/>
      <c r="IHT34" s="67"/>
      <c r="IHU34" s="67"/>
      <c r="IHV34" s="67"/>
      <c r="IHW34" s="67"/>
      <c r="IHX34" s="67"/>
      <c r="IHY34" s="67"/>
      <c r="IHZ34" s="67"/>
      <c r="IIA34" s="67"/>
      <c r="IIB34" s="67"/>
      <c r="IIC34" s="67"/>
      <c r="IID34" s="67"/>
      <c r="IIE34" s="67"/>
      <c r="IIF34" s="67"/>
      <c r="IIG34" s="67"/>
      <c r="IIH34" s="67"/>
      <c r="III34" s="67"/>
      <c r="IIJ34" s="67"/>
      <c r="IIK34" s="67"/>
      <c r="IIL34" s="67"/>
      <c r="IIM34" s="67"/>
      <c r="IIN34" s="67"/>
      <c r="IIO34" s="67"/>
      <c r="IIP34" s="67"/>
      <c r="IIQ34" s="67"/>
      <c r="IIR34" s="67"/>
      <c r="IIS34" s="67"/>
      <c r="IIT34" s="67"/>
      <c r="IIU34" s="67"/>
      <c r="IIV34" s="67"/>
      <c r="IIW34" s="67"/>
      <c r="IIX34" s="67"/>
      <c r="IIY34" s="67"/>
      <c r="IIZ34" s="67"/>
      <c r="IJA34" s="67"/>
      <c r="IJB34" s="67"/>
      <c r="IJC34" s="67"/>
      <c r="IJD34" s="67"/>
      <c r="IJE34" s="67"/>
      <c r="IJF34" s="67"/>
      <c r="IJG34" s="67"/>
      <c r="IJH34" s="67"/>
      <c r="IJI34" s="67"/>
      <c r="IJJ34" s="67"/>
      <c r="IJK34" s="67"/>
      <c r="IJL34" s="67"/>
      <c r="IJM34" s="67"/>
      <c r="IJN34" s="67"/>
      <c r="IJO34" s="67"/>
      <c r="IJP34" s="67"/>
      <c r="IJQ34" s="67"/>
      <c r="IJR34" s="67"/>
      <c r="IJS34" s="67"/>
      <c r="IJT34" s="67"/>
      <c r="IJU34" s="67"/>
      <c r="IJV34" s="67"/>
      <c r="IJW34" s="67"/>
      <c r="IJX34" s="67"/>
      <c r="IJY34" s="67"/>
      <c r="IJZ34" s="67"/>
      <c r="IKA34" s="67"/>
      <c r="IKB34" s="67"/>
      <c r="IKC34" s="67"/>
      <c r="IKD34" s="67"/>
      <c r="IKE34" s="67"/>
      <c r="IKF34" s="67"/>
      <c r="IKG34" s="67"/>
      <c r="IKH34" s="67"/>
      <c r="IKI34" s="67"/>
      <c r="IKJ34" s="67"/>
      <c r="IKK34" s="67"/>
      <c r="IKL34" s="67"/>
      <c r="IKM34" s="67"/>
      <c r="IKN34" s="67"/>
      <c r="IKO34" s="67"/>
      <c r="IKP34" s="67"/>
      <c r="IKQ34" s="67"/>
      <c r="IKR34" s="67"/>
      <c r="IKS34" s="67"/>
      <c r="IKT34" s="67"/>
      <c r="IKU34" s="67"/>
      <c r="IKV34" s="67"/>
      <c r="IKW34" s="67"/>
      <c r="IKX34" s="67"/>
      <c r="IKY34" s="67"/>
      <c r="IKZ34" s="67"/>
      <c r="ILA34" s="67"/>
      <c r="ILB34" s="67"/>
      <c r="ILC34" s="67"/>
      <c r="ILD34" s="67"/>
      <c r="ILE34" s="67"/>
      <c r="ILF34" s="67"/>
      <c r="ILG34" s="67"/>
      <c r="ILH34" s="67"/>
      <c r="ILI34" s="67"/>
      <c r="ILJ34" s="67"/>
      <c r="ILK34" s="67"/>
      <c r="ILL34" s="67"/>
      <c r="ILM34" s="67"/>
      <c r="ILN34" s="67"/>
      <c r="ILO34" s="67"/>
      <c r="ILP34" s="67"/>
      <c r="ILQ34" s="67"/>
      <c r="ILR34" s="67"/>
      <c r="ILS34" s="67"/>
      <c r="ILT34" s="67"/>
      <c r="ILU34" s="67"/>
      <c r="ILV34" s="67"/>
      <c r="ILW34" s="67"/>
      <c r="ILX34" s="67"/>
      <c r="ILY34" s="67"/>
      <c r="ILZ34" s="67"/>
      <c r="IMA34" s="67"/>
      <c r="IMB34" s="67"/>
      <c r="IMC34" s="67"/>
      <c r="IMD34" s="67"/>
      <c r="IME34" s="67"/>
      <c r="IMF34" s="67"/>
      <c r="IMG34" s="67"/>
      <c r="IMH34" s="67"/>
      <c r="IMI34" s="67"/>
      <c r="IMJ34" s="67"/>
      <c r="IMK34" s="67"/>
      <c r="IML34" s="67"/>
      <c r="IMM34" s="67"/>
      <c r="IMN34" s="67"/>
      <c r="IMO34" s="67"/>
      <c r="IMP34" s="67"/>
      <c r="IMQ34" s="67"/>
      <c r="IMR34" s="67"/>
      <c r="IMS34" s="67"/>
      <c r="IMT34" s="67"/>
      <c r="IMU34" s="67"/>
      <c r="IMV34" s="67"/>
      <c r="IMW34" s="67"/>
      <c r="IMX34" s="67"/>
      <c r="IMY34" s="67"/>
      <c r="IMZ34" s="67"/>
      <c r="INA34" s="67"/>
      <c r="INB34" s="67"/>
      <c r="INC34" s="67"/>
      <c r="IND34" s="67"/>
      <c r="INE34" s="67"/>
      <c r="INF34" s="67"/>
      <c r="ING34" s="67"/>
      <c r="INH34" s="67"/>
      <c r="INI34" s="67"/>
      <c r="INJ34" s="67"/>
      <c r="INK34" s="67"/>
      <c r="INL34" s="67"/>
      <c r="INM34" s="67"/>
      <c r="INN34" s="67"/>
      <c r="INO34" s="67"/>
      <c r="INP34" s="67"/>
      <c r="INQ34" s="67"/>
      <c r="INR34" s="67"/>
      <c r="INS34" s="67"/>
      <c r="INT34" s="67"/>
      <c r="INU34" s="67"/>
      <c r="INV34" s="67"/>
      <c r="INW34" s="67"/>
      <c r="INX34" s="67"/>
      <c r="INY34" s="67"/>
      <c r="INZ34" s="67"/>
      <c r="IOA34" s="67"/>
      <c r="IOB34" s="67"/>
      <c r="IOC34" s="67"/>
      <c r="IOD34" s="67"/>
      <c r="IOE34" s="67"/>
      <c r="IOF34" s="67"/>
      <c r="IOG34" s="67"/>
      <c r="IOH34" s="67"/>
      <c r="IOI34" s="67"/>
      <c r="IOJ34" s="67"/>
      <c r="IOK34" s="67"/>
      <c r="IOL34" s="67"/>
      <c r="IOM34" s="67"/>
      <c r="ION34" s="67"/>
      <c r="IOO34" s="67"/>
      <c r="IOP34" s="67"/>
      <c r="IOQ34" s="67"/>
      <c r="IOR34" s="67"/>
      <c r="IOS34" s="67"/>
      <c r="IOT34" s="67"/>
      <c r="IOU34" s="67"/>
      <c r="IOV34" s="67"/>
      <c r="IOW34" s="67"/>
      <c r="IOX34" s="67"/>
      <c r="IOY34" s="67"/>
      <c r="IOZ34" s="67"/>
      <c r="IPA34" s="67"/>
      <c r="IPB34" s="67"/>
      <c r="IPC34" s="67"/>
      <c r="IPD34" s="67"/>
      <c r="IPE34" s="67"/>
      <c r="IPF34" s="67"/>
      <c r="IPG34" s="67"/>
      <c r="IPH34" s="67"/>
      <c r="IPI34" s="67"/>
      <c r="IPJ34" s="67"/>
      <c r="IPK34" s="67"/>
      <c r="IPL34" s="67"/>
      <c r="IPM34" s="67"/>
      <c r="IPN34" s="67"/>
      <c r="IPO34" s="67"/>
      <c r="IPP34" s="67"/>
      <c r="IPQ34" s="67"/>
      <c r="IPR34" s="67"/>
      <c r="IPS34" s="67"/>
      <c r="IPT34" s="67"/>
      <c r="IPU34" s="67"/>
      <c r="IPV34" s="67"/>
      <c r="IPW34" s="67"/>
      <c r="IPX34" s="67"/>
      <c r="IPY34" s="67"/>
      <c r="IPZ34" s="67"/>
      <c r="IQA34" s="67"/>
      <c r="IQB34" s="67"/>
      <c r="IQC34" s="67"/>
      <c r="IQD34" s="67"/>
      <c r="IQE34" s="67"/>
      <c r="IQF34" s="67"/>
      <c r="IQG34" s="67"/>
      <c r="IQH34" s="67"/>
      <c r="IQI34" s="67"/>
      <c r="IQJ34" s="67"/>
      <c r="IQK34" s="67"/>
      <c r="IQL34" s="67"/>
      <c r="IQM34" s="67"/>
      <c r="IQN34" s="67"/>
      <c r="IQO34" s="67"/>
      <c r="IQP34" s="67"/>
      <c r="IQQ34" s="67"/>
      <c r="IQR34" s="67"/>
      <c r="IQS34" s="67"/>
      <c r="IQT34" s="67"/>
      <c r="IQU34" s="67"/>
      <c r="IQV34" s="67"/>
      <c r="IQW34" s="67"/>
      <c r="IQX34" s="67"/>
      <c r="IQY34" s="67"/>
      <c r="IQZ34" s="67"/>
      <c r="IRA34" s="67"/>
      <c r="IRB34" s="67"/>
      <c r="IRC34" s="67"/>
      <c r="IRD34" s="67"/>
      <c r="IRE34" s="67"/>
      <c r="IRF34" s="67"/>
      <c r="IRG34" s="67"/>
      <c r="IRH34" s="67"/>
      <c r="IRI34" s="67"/>
      <c r="IRJ34" s="67"/>
      <c r="IRK34" s="67"/>
      <c r="IRL34" s="67"/>
      <c r="IRM34" s="67"/>
      <c r="IRN34" s="67"/>
      <c r="IRO34" s="67"/>
      <c r="IRP34" s="67"/>
      <c r="IRQ34" s="67"/>
      <c r="IRR34" s="67"/>
      <c r="IRS34" s="67"/>
      <c r="IRT34" s="67"/>
      <c r="IRU34" s="67"/>
      <c r="IRV34" s="67"/>
      <c r="IRW34" s="67"/>
      <c r="IRX34" s="67"/>
      <c r="IRY34" s="67"/>
      <c r="IRZ34" s="67"/>
      <c r="ISA34" s="67"/>
      <c r="ISB34" s="67"/>
      <c r="ISC34" s="67"/>
      <c r="ISD34" s="67"/>
      <c r="ISE34" s="67"/>
      <c r="ISF34" s="67"/>
      <c r="ISG34" s="67"/>
      <c r="ISH34" s="67"/>
      <c r="ISI34" s="67"/>
      <c r="ISJ34" s="67"/>
      <c r="ISK34" s="67"/>
      <c r="ISL34" s="67"/>
      <c r="ISM34" s="67"/>
      <c r="ISN34" s="67"/>
      <c r="ISO34" s="67"/>
      <c r="ISP34" s="67"/>
      <c r="ISQ34" s="67"/>
      <c r="ISR34" s="67"/>
      <c r="ISS34" s="67"/>
      <c r="IST34" s="67"/>
      <c r="ISU34" s="67"/>
      <c r="ISV34" s="67"/>
      <c r="ISW34" s="67"/>
      <c r="ISX34" s="67"/>
      <c r="ISY34" s="67"/>
      <c r="ISZ34" s="67"/>
      <c r="ITA34" s="67"/>
      <c r="ITB34" s="67"/>
      <c r="ITC34" s="67"/>
      <c r="ITD34" s="67"/>
      <c r="ITE34" s="67"/>
      <c r="ITF34" s="67"/>
      <c r="ITG34" s="67"/>
      <c r="ITH34" s="67"/>
      <c r="ITI34" s="67"/>
      <c r="ITJ34" s="67"/>
      <c r="ITK34" s="67"/>
      <c r="ITL34" s="67"/>
      <c r="ITM34" s="67"/>
      <c r="ITN34" s="67"/>
      <c r="ITO34" s="67"/>
      <c r="ITP34" s="67"/>
      <c r="ITQ34" s="67"/>
      <c r="ITR34" s="67"/>
      <c r="ITS34" s="67"/>
      <c r="ITT34" s="67"/>
      <c r="ITU34" s="67"/>
      <c r="ITV34" s="67"/>
      <c r="ITW34" s="67"/>
      <c r="ITX34" s="67"/>
      <c r="ITY34" s="67"/>
      <c r="ITZ34" s="67"/>
      <c r="IUA34" s="67"/>
      <c r="IUB34" s="67"/>
      <c r="IUC34" s="67"/>
      <c r="IUD34" s="67"/>
      <c r="IUE34" s="67"/>
      <c r="IUF34" s="67"/>
      <c r="IUG34" s="67"/>
      <c r="IUH34" s="67"/>
      <c r="IUI34" s="67"/>
      <c r="IUJ34" s="67"/>
      <c r="IUK34" s="67"/>
      <c r="IUL34" s="67"/>
      <c r="IUM34" s="67"/>
      <c r="IUN34" s="67"/>
      <c r="IUO34" s="67"/>
      <c r="IUP34" s="67"/>
      <c r="IUQ34" s="67"/>
      <c r="IUR34" s="67"/>
      <c r="IUS34" s="67"/>
      <c r="IUT34" s="67"/>
      <c r="IUU34" s="67"/>
      <c r="IUV34" s="67"/>
      <c r="IUW34" s="67"/>
      <c r="IUX34" s="67"/>
      <c r="IUY34" s="67"/>
      <c r="IUZ34" s="67"/>
      <c r="IVA34" s="67"/>
      <c r="IVB34" s="67"/>
      <c r="IVC34" s="67"/>
      <c r="IVD34" s="67"/>
      <c r="IVE34" s="67"/>
      <c r="IVF34" s="67"/>
      <c r="IVG34" s="67"/>
      <c r="IVH34" s="67"/>
      <c r="IVI34" s="67"/>
      <c r="IVJ34" s="67"/>
      <c r="IVK34" s="67"/>
      <c r="IVL34" s="67"/>
      <c r="IVM34" s="67"/>
      <c r="IVN34" s="67"/>
      <c r="IVO34" s="67"/>
      <c r="IVP34" s="67"/>
      <c r="IVQ34" s="67"/>
      <c r="IVR34" s="67"/>
      <c r="IVS34" s="67"/>
      <c r="IVT34" s="67"/>
      <c r="IVU34" s="67"/>
      <c r="IVV34" s="67"/>
      <c r="IVW34" s="67"/>
      <c r="IVX34" s="67"/>
      <c r="IVY34" s="67"/>
      <c r="IVZ34" s="67"/>
      <c r="IWA34" s="67"/>
      <c r="IWB34" s="67"/>
      <c r="IWC34" s="67"/>
      <c r="IWD34" s="67"/>
      <c r="IWE34" s="67"/>
      <c r="IWF34" s="67"/>
      <c r="IWG34" s="67"/>
      <c r="IWH34" s="67"/>
      <c r="IWI34" s="67"/>
      <c r="IWJ34" s="67"/>
      <c r="IWK34" s="67"/>
      <c r="IWL34" s="67"/>
      <c r="IWM34" s="67"/>
      <c r="IWN34" s="67"/>
      <c r="IWO34" s="67"/>
      <c r="IWP34" s="67"/>
      <c r="IWQ34" s="67"/>
      <c r="IWR34" s="67"/>
      <c r="IWS34" s="67"/>
      <c r="IWT34" s="67"/>
      <c r="IWU34" s="67"/>
      <c r="IWV34" s="67"/>
      <c r="IWW34" s="67"/>
      <c r="IWX34" s="67"/>
      <c r="IWY34" s="67"/>
      <c r="IWZ34" s="67"/>
      <c r="IXA34" s="67"/>
      <c r="IXB34" s="67"/>
      <c r="IXC34" s="67"/>
      <c r="IXD34" s="67"/>
      <c r="IXE34" s="67"/>
      <c r="IXF34" s="67"/>
      <c r="IXG34" s="67"/>
      <c r="IXH34" s="67"/>
      <c r="IXI34" s="67"/>
      <c r="IXJ34" s="67"/>
      <c r="IXK34" s="67"/>
      <c r="IXL34" s="67"/>
      <c r="IXM34" s="67"/>
      <c r="IXN34" s="67"/>
      <c r="IXO34" s="67"/>
      <c r="IXP34" s="67"/>
      <c r="IXQ34" s="67"/>
      <c r="IXR34" s="67"/>
      <c r="IXS34" s="67"/>
      <c r="IXT34" s="67"/>
      <c r="IXU34" s="67"/>
      <c r="IXV34" s="67"/>
      <c r="IXW34" s="67"/>
      <c r="IXX34" s="67"/>
      <c r="IXY34" s="67"/>
      <c r="IXZ34" s="67"/>
      <c r="IYA34" s="67"/>
      <c r="IYB34" s="67"/>
      <c r="IYC34" s="67"/>
      <c r="IYD34" s="67"/>
      <c r="IYE34" s="67"/>
      <c r="IYF34" s="67"/>
      <c r="IYG34" s="67"/>
      <c r="IYH34" s="67"/>
      <c r="IYI34" s="67"/>
      <c r="IYJ34" s="67"/>
      <c r="IYK34" s="67"/>
      <c r="IYL34" s="67"/>
      <c r="IYM34" s="67"/>
      <c r="IYN34" s="67"/>
      <c r="IYO34" s="67"/>
      <c r="IYP34" s="67"/>
      <c r="IYQ34" s="67"/>
      <c r="IYR34" s="67"/>
      <c r="IYS34" s="67"/>
      <c r="IYT34" s="67"/>
      <c r="IYU34" s="67"/>
      <c r="IYV34" s="67"/>
      <c r="IYW34" s="67"/>
      <c r="IYX34" s="67"/>
      <c r="IYY34" s="67"/>
      <c r="IYZ34" s="67"/>
      <c r="IZA34" s="67"/>
      <c r="IZB34" s="67"/>
      <c r="IZC34" s="67"/>
      <c r="IZD34" s="67"/>
      <c r="IZE34" s="67"/>
      <c r="IZF34" s="67"/>
      <c r="IZG34" s="67"/>
      <c r="IZH34" s="67"/>
      <c r="IZI34" s="67"/>
      <c r="IZJ34" s="67"/>
      <c r="IZK34" s="67"/>
      <c r="IZL34" s="67"/>
      <c r="IZM34" s="67"/>
      <c r="IZN34" s="67"/>
      <c r="IZO34" s="67"/>
      <c r="IZP34" s="67"/>
      <c r="IZQ34" s="67"/>
      <c r="IZR34" s="67"/>
      <c r="IZS34" s="67"/>
      <c r="IZT34" s="67"/>
      <c r="IZU34" s="67"/>
      <c r="IZV34" s="67"/>
      <c r="IZW34" s="67"/>
      <c r="IZX34" s="67"/>
      <c r="IZY34" s="67"/>
      <c r="IZZ34" s="67"/>
      <c r="JAA34" s="67"/>
      <c r="JAB34" s="67"/>
      <c r="JAC34" s="67"/>
      <c r="JAD34" s="67"/>
      <c r="JAE34" s="67"/>
      <c r="JAF34" s="67"/>
      <c r="JAG34" s="67"/>
      <c r="JAH34" s="67"/>
      <c r="JAI34" s="67"/>
      <c r="JAJ34" s="67"/>
      <c r="JAK34" s="67"/>
      <c r="JAL34" s="67"/>
      <c r="JAM34" s="67"/>
      <c r="JAN34" s="67"/>
      <c r="JAO34" s="67"/>
      <c r="JAP34" s="67"/>
      <c r="JAQ34" s="67"/>
      <c r="JAR34" s="67"/>
      <c r="JAS34" s="67"/>
      <c r="JAT34" s="67"/>
      <c r="JAU34" s="67"/>
      <c r="JAV34" s="67"/>
      <c r="JAW34" s="67"/>
      <c r="JAX34" s="67"/>
      <c r="JAY34" s="67"/>
      <c r="JAZ34" s="67"/>
      <c r="JBA34" s="67"/>
      <c r="JBB34" s="67"/>
      <c r="JBC34" s="67"/>
      <c r="JBD34" s="67"/>
      <c r="JBE34" s="67"/>
      <c r="JBF34" s="67"/>
      <c r="JBG34" s="67"/>
      <c r="JBH34" s="67"/>
      <c r="JBI34" s="67"/>
      <c r="JBJ34" s="67"/>
      <c r="JBK34" s="67"/>
      <c r="JBL34" s="67"/>
      <c r="JBM34" s="67"/>
      <c r="JBN34" s="67"/>
      <c r="JBO34" s="67"/>
      <c r="JBP34" s="67"/>
      <c r="JBQ34" s="67"/>
      <c r="JBR34" s="67"/>
      <c r="JBS34" s="67"/>
      <c r="JBT34" s="67"/>
      <c r="JBU34" s="67"/>
      <c r="JBV34" s="67"/>
      <c r="JBW34" s="67"/>
      <c r="JBX34" s="67"/>
      <c r="JBY34" s="67"/>
      <c r="JBZ34" s="67"/>
      <c r="JCA34" s="67"/>
      <c r="JCB34" s="67"/>
      <c r="JCC34" s="67"/>
      <c r="JCD34" s="67"/>
      <c r="JCE34" s="67"/>
      <c r="JCF34" s="67"/>
      <c r="JCG34" s="67"/>
      <c r="JCH34" s="67"/>
      <c r="JCI34" s="67"/>
      <c r="JCJ34" s="67"/>
      <c r="JCK34" s="67"/>
      <c r="JCL34" s="67"/>
      <c r="JCM34" s="67"/>
      <c r="JCN34" s="67"/>
      <c r="JCO34" s="67"/>
      <c r="JCP34" s="67"/>
      <c r="JCQ34" s="67"/>
      <c r="JCR34" s="67"/>
      <c r="JCS34" s="67"/>
      <c r="JCT34" s="67"/>
      <c r="JCU34" s="67"/>
      <c r="JCV34" s="67"/>
      <c r="JCW34" s="67"/>
      <c r="JCX34" s="67"/>
      <c r="JCY34" s="67"/>
      <c r="JCZ34" s="67"/>
      <c r="JDA34" s="67"/>
      <c r="JDB34" s="67"/>
      <c r="JDC34" s="67"/>
      <c r="JDD34" s="67"/>
      <c r="JDE34" s="67"/>
      <c r="JDF34" s="67"/>
      <c r="JDG34" s="67"/>
      <c r="JDH34" s="67"/>
      <c r="JDI34" s="67"/>
      <c r="JDJ34" s="67"/>
      <c r="JDK34" s="67"/>
      <c r="JDL34" s="67"/>
      <c r="JDM34" s="67"/>
      <c r="JDN34" s="67"/>
      <c r="JDO34" s="67"/>
      <c r="JDP34" s="67"/>
      <c r="JDQ34" s="67"/>
      <c r="JDR34" s="67"/>
      <c r="JDS34" s="67"/>
      <c r="JDT34" s="67"/>
      <c r="JDU34" s="67"/>
      <c r="JDV34" s="67"/>
      <c r="JDW34" s="67"/>
      <c r="JDX34" s="67"/>
      <c r="JDY34" s="67"/>
      <c r="JDZ34" s="67"/>
      <c r="JEA34" s="67"/>
      <c r="JEB34" s="67"/>
      <c r="JEC34" s="67"/>
      <c r="JED34" s="67"/>
      <c r="JEE34" s="67"/>
      <c r="JEF34" s="67"/>
      <c r="JEG34" s="67"/>
      <c r="JEH34" s="67"/>
      <c r="JEI34" s="67"/>
      <c r="JEJ34" s="67"/>
      <c r="JEK34" s="67"/>
      <c r="JEL34" s="67"/>
      <c r="JEM34" s="67"/>
      <c r="JEN34" s="67"/>
      <c r="JEO34" s="67"/>
      <c r="JEP34" s="67"/>
      <c r="JEQ34" s="67"/>
      <c r="JER34" s="67"/>
      <c r="JES34" s="67"/>
      <c r="JET34" s="67"/>
      <c r="JEU34" s="67"/>
      <c r="JEV34" s="67"/>
      <c r="JEW34" s="67"/>
      <c r="JEX34" s="67"/>
      <c r="JEY34" s="67"/>
      <c r="JEZ34" s="67"/>
      <c r="JFA34" s="67"/>
      <c r="JFB34" s="67"/>
      <c r="JFC34" s="67"/>
      <c r="JFD34" s="67"/>
      <c r="JFE34" s="67"/>
      <c r="JFF34" s="67"/>
      <c r="JFG34" s="67"/>
      <c r="JFH34" s="67"/>
      <c r="JFI34" s="67"/>
      <c r="JFJ34" s="67"/>
      <c r="JFK34" s="67"/>
      <c r="JFL34" s="67"/>
      <c r="JFM34" s="67"/>
      <c r="JFN34" s="67"/>
      <c r="JFO34" s="67"/>
      <c r="JFP34" s="67"/>
      <c r="JFQ34" s="67"/>
      <c r="JFR34" s="67"/>
      <c r="JFS34" s="67"/>
      <c r="JFT34" s="67"/>
      <c r="JFU34" s="67"/>
      <c r="JFV34" s="67"/>
      <c r="JFW34" s="67"/>
      <c r="JFX34" s="67"/>
      <c r="JFY34" s="67"/>
      <c r="JFZ34" s="67"/>
      <c r="JGA34" s="67"/>
      <c r="JGB34" s="67"/>
      <c r="JGC34" s="67"/>
      <c r="JGD34" s="67"/>
      <c r="JGE34" s="67"/>
      <c r="JGF34" s="67"/>
      <c r="JGG34" s="67"/>
      <c r="JGH34" s="67"/>
      <c r="JGI34" s="67"/>
      <c r="JGJ34" s="67"/>
      <c r="JGK34" s="67"/>
      <c r="JGL34" s="67"/>
      <c r="JGM34" s="67"/>
      <c r="JGN34" s="67"/>
      <c r="JGO34" s="67"/>
      <c r="JGP34" s="67"/>
      <c r="JGQ34" s="67"/>
      <c r="JGR34" s="67"/>
      <c r="JGS34" s="67"/>
      <c r="JGT34" s="67"/>
      <c r="JGU34" s="67"/>
      <c r="JGV34" s="67"/>
      <c r="JGW34" s="67"/>
      <c r="JGX34" s="67"/>
      <c r="JGY34" s="67"/>
      <c r="JGZ34" s="67"/>
      <c r="JHA34" s="67"/>
      <c r="JHB34" s="67"/>
      <c r="JHC34" s="67"/>
      <c r="JHD34" s="67"/>
      <c r="JHE34" s="67"/>
      <c r="JHF34" s="67"/>
      <c r="JHG34" s="67"/>
      <c r="JHH34" s="67"/>
      <c r="JHI34" s="67"/>
      <c r="JHJ34" s="67"/>
      <c r="JHK34" s="67"/>
      <c r="JHL34" s="67"/>
      <c r="JHM34" s="67"/>
      <c r="JHN34" s="67"/>
      <c r="JHO34" s="67"/>
      <c r="JHP34" s="67"/>
      <c r="JHQ34" s="67"/>
      <c r="JHR34" s="67"/>
      <c r="JHS34" s="67"/>
      <c r="JHT34" s="67"/>
      <c r="JHU34" s="67"/>
      <c r="JHV34" s="67"/>
      <c r="JHW34" s="67"/>
      <c r="JHX34" s="67"/>
      <c r="JHY34" s="67"/>
      <c r="JHZ34" s="67"/>
      <c r="JIA34" s="67"/>
      <c r="JIB34" s="67"/>
      <c r="JIC34" s="67"/>
      <c r="JID34" s="67"/>
      <c r="JIE34" s="67"/>
      <c r="JIF34" s="67"/>
      <c r="JIG34" s="67"/>
      <c r="JIH34" s="67"/>
      <c r="JII34" s="67"/>
      <c r="JIJ34" s="67"/>
      <c r="JIK34" s="67"/>
      <c r="JIL34" s="67"/>
      <c r="JIM34" s="67"/>
      <c r="JIN34" s="67"/>
      <c r="JIO34" s="67"/>
      <c r="JIP34" s="67"/>
      <c r="JIQ34" s="67"/>
      <c r="JIR34" s="67"/>
      <c r="JIS34" s="67"/>
      <c r="JIT34" s="67"/>
      <c r="JIU34" s="67"/>
      <c r="JIV34" s="67"/>
      <c r="JIW34" s="67"/>
      <c r="JIX34" s="67"/>
      <c r="JIY34" s="67"/>
      <c r="JIZ34" s="67"/>
      <c r="JJA34" s="67"/>
      <c r="JJB34" s="67"/>
      <c r="JJC34" s="67"/>
      <c r="JJD34" s="67"/>
      <c r="JJE34" s="67"/>
      <c r="JJF34" s="67"/>
      <c r="JJG34" s="67"/>
      <c r="JJH34" s="67"/>
      <c r="JJI34" s="67"/>
      <c r="JJJ34" s="67"/>
      <c r="JJK34" s="67"/>
      <c r="JJL34" s="67"/>
      <c r="JJM34" s="67"/>
      <c r="JJN34" s="67"/>
      <c r="JJO34" s="67"/>
      <c r="JJP34" s="67"/>
      <c r="JJQ34" s="67"/>
      <c r="JJR34" s="67"/>
      <c r="JJS34" s="67"/>
      <c r="JJT34" s="67"/>
      <c r="JJU34" s="67"/>
      <c r="JJV34" s="67"/>
      <c r="JJW34" s="67"/>
      <c r="JJX34" s="67"/>
      <c r="JJY34" s="67"/>
      <c r="JJZ34" s="67"/>
      <c r="JKA34" s="67"/>
      <c r="JKB34" s="67"/>
      <c r="JKC34" s="67"/>
      <c r="JKD34" s="67"/>
      <c r="JKE34" s="67"/>
      <c r="JKF34" s="67"/>
      <c r="JKG34" s="67"/>
      <c r="JKH34" s="67"/>
      <c r="JKI34" s="67"/>
      <c r="JKJ34" s="67"/>
      <c r="JKK34" s="67"/>
      <c r="JKL34" s="67"/>
      <c r="JKM34" s="67"/>
      <c r="JKN34" s="67"/>
      <c r="JKO34" s="67"/>
      <c r="JKP34" s="67"/>
      <c r="JKQ34" s="67"/>
      <c r="JKR34" s="67"/>
      <c r="JKS34" s="67"/>
      <c r="JKT34" s="67"/>
      <c r="JKU34" s="67"/>
      <c r="JKV34" s="67"/>
      <c r="JKW34" s="67"/>
      <c r="JKX34" s="67"/>
      <c r="JKY34" s="67"/>
      <c r="JKZ34" s="67"/>
      <c r="JLA34" s="67"/>
      <c r="JLB34" s="67"/>
      <c r="JLC34" s="67"/>
      <c r="JLD34" s="67"/>
      <c r="JLE34" s="67"/>
      <c r="JLF34" s="67"/>
      <c r="JLG34" s="67"/>
      <c r="JLH34" s="67"/>
      <c r="JLI34" s="67"/>
      <c r="JLJ34" s="67"/>
      <c r="JLK34" s="67"/>
      <c r="JLL34" s="67"/>
      <c r="JLM34" s="67"/>
      <c r="JLN34" s="67"/>
      <c r="JLO34" s="67"/>
      <c r="JLP34" s="67"/>
      <c r="JLQ34" s="67"/>
      <c r="JLR34" s="67"/>
      <c r="JLS34" s="67"/>
      <c r="JLT34" s="67"/>
      <c r="JLU34" s="67"/>
      <c r="JLV34" s="67"/>
      <c r="JLW34" s="67"/>
      <c r="JLX34" s="67"/>
      <c r="JLY34" s="67"/>
      <c r="JLZ34" s="67"/>
      <c r="JMA34" s="67"/>
      <c r="JMB34" s="67"/>
      <c r="JMC34" s="67"/>
      <c r="JMD34" s="67"/>
      <c r="JME34" s="67"/>
      <c r="JMF34" s="67"/>
      <c r="JMG34" s="67"/>
      <c r="JMH34" s="67"/>
      <c r="JMI34" s="67"/>
      <c r="JMJ34" s="67"/>
      <c r="JMK34" s="67"/>
      <c r="JML34" s="67"/>
      <c r="JMM34" s="67"/>
      <c r="JMN34" s="67"/>
      <c r="JMO34" s="67"/>
      <c r="JMP34" s="67"/>
      <c r="JMQ34" s="67"/>
      <c r="JMR34" s="67"/>
      <c r="JMS34" s="67"/>
      <c r="JMT34" s="67"/>
      <c r="JMU34" s="67"/>
      <c r="JMV34" s="67"/>
      <c r="JMW34" s="67"/>
      <c r="JMX34" s="67"/>
      <c r="JMY34" s="67"/>
      <c r="JMZ34" s="67"/>
      <c r="JNA34" s="67"/>
      <c r="JNB34" s="67"/>
      <c r="JNC34" s="67"/>
      <c r="JND34" s="67"/>
      <c r="JNE34" s="67"/>
      <c r="JNF34" s="67"/>
      <c r="JNG34" s="67"/>
      <c r="JNH34" s="67"/>
      <c r="JNI34" s="67"/>
      <c r="JNJ34" s="67"/>
      <c r="JNK34" s="67"/>
      <c r="JNL34" s="67"/>
      <c r="JNM34" s="67"/>
      <c r="JNN34" s="67"/>
      <c r="JNO34" s="67"/>
      <c r="JNP34" s="67"/>
      <c r="JNQ34" s="67"/>
      <c r="JNR34" s="67"/>
      <c r="JNS34" s="67"/>
      <c r="JNT34" s="67"/>
      <c r="JNU34" s="67"/>
      <c r="JNV34" s="67"/>
      <c r="JNW34" s="67"/>
      <c r="JNX34" s="67"/>
      <c r="JNY34" s="67"/>
      <c r="JNZ34" s="67"/>
      <c r="JOA34" s="67"/>
      <c r="JOB34" s="67"/>
      <c r="JOC34" s="67"/>
      <c r="JOD34" s="67"/>
      <c r="JOE34" s="67"/>
      <c r="JOF34" s="67"/>
      <c r="JOG34" s="67"/>
      <c r="JOH34" s="67"/>
      <c r="JOI34" s="67"/>
      <c r="JOJ34" s="67"/>
      <c r="JOK34" s="67"/>
      <c r="JOL34" s="67"/>
      <c r="JOM34" s="67"/>
      <c r="JON34" s="67"/>
      <c r="JOO34" s="67"/>
      <c r="JOP34" s="67"/>
      <c r="JOQ34" s="67"/>
      <c r="JOR34" s="67"/>
      <c r="JOS34" s="67"/>
      <c r="JOT34" s="67"/>
      <c r="JOU34" s="67"/>
      <c r="JOV34" s="67"/>
      <c r="JOW34" s="67"/>
      <c r="JOX34" s="67"/>
      <c r="JOY34" s="67"/>
      <c r="JOZ34" s="67"/>
      <c r="JPA34" s="67"/>
      <c r="JPB34" s="67"/>
      <c r="JPC34" s="67"/>
      <c r="JPD34" s="67"/>
      <c r="JPE34" s="67"/>
      <c r="JPF34" s="67"/>
      <c r="JPG34" s="67"/>
      <c r="JPH34" s="67"/>
      <c r="JPI34" s="67"/>
      <c r="JPJ34" s="67"/>
      <c r="JPK34" s="67"/>
      <c r="JPL34" s="67"/>
      <c r="JPM34" s="67"/>
      <c r="JPN34" s="67"/>
      <c r="JPO34" s="67"/>
      <c r="JPP34" s="67"/>
      <c r="JPQ34" s="67"/>
      <c r="JPR34" s="67"/>
      <c r="JPS34" s="67"/>
      <c r="JPT34" s="67"/>
      <c r="JPU34" s="67"/>
      <c r="JPV34" s="67"/>
      <c r="JPW34" s="67"/>
      <c r="JPX34" s="67"/>
      <c r="JPY34" s="67"/>
      <c r="JPZ34" s="67"/>
      <c r="JQA34" s="67"/>
      <c r="JQB34" s="67"/>
      <c r="JQC34" s="67"/>
      <c r="JQD34" s="67"/>
      <c r="JQE34" s="67"/>
      <c r="JQF34" s="67"/>
      <c r="JQG34" s="67"/>
      <c r="JQH34" s="67"/>
      <c r="JQI34" s="67"/>
      <c r="JQJ34" s="67"/>
      <c r="JQK34" s="67"/>
      <c r="JQL34" s="67"/>
      <c r="JQM34" s="67"/>
      <c r="JQN34" s="67"/>
      <c r="JQO34" s="67"/>
      <c r="JQP34" s="67"/>
      <c r="JQQ34" s="67"/>
      <c r="JQR34" s="67"/>
      <c r="JQS34" s="67"/>
      <c r="JQT34" s="67"/>
      <c r="JQU34" s="67"/>
      <c r="JQV34" s="67"/>
      <c r="JQW34" s="67"/>
      <c r="JQX34" s="67"/>
      <c r="JQY34" s="67"/>
      <c r="JQZ34" s="67"/>
      <c r="JRA34" s="67"/>
      <c r="JRB34" s="67"/>
      <c r="JRC34" s="67"/>
      <c r="JRD34" s="67"/>
      <c r="JRE34" s="67"/>
      <c r="JRF34" s="67"/>
      <c r="JRG34" s="67"/>
      <c r="JRH34" s="67"/>
      <c r="JRI34" s="67"/>
      <c r="JRJ34" s="67"/>
      <c r="JRK34" s="67"/>
      <c r="JRL34" s="67"/>
      <c r="JRM34" s="67"/>
      <c r="JRN34" s="67"/>
      <c r="JRO34" s="67"/>
      <c r="JRP34" s="67"/>
      <c r="JRQ34" s="67"/>
      <c r="JRR34" s="67"/>
      <c r="JRS34" s="67"/>
      <c r="JRT34" s="67"/>
      <c r="JRU34" s="67"/>
      <c r="JRV34" s="67"/>
      <c r="JRW34" s="67"/>
      <c r="JRX34" s="67"/>
      <c r="JRY34" s="67"/>
      <c r="JRZ34" s="67"/>
      <c r="JSA34" s="67"/>
      <c r="JSB34" s="67"/>
      <c r="JSC34" s="67"/>
      <c r="JSD34" s="67"/>
      <c r="JSE34" s="67"/>
      <c r="JSF34" s="67"/>
      <c r="JSG34" s="67"/>
      <c r="JSH34" s="67"/>
      <c r="JSI34" s="67"/>
      <c r="JSJ34" s="67"/>
      <c r="JSK34" s="67"/>
      <c r="JSL34" s="67"/>
      <c r="JSM34" s="67"/>
      <c r="JSN34" s="67"/>
      <c r="JSO34" s="67"/>
      <c r="JSP34" s="67"/>
      <c r="JSQ34" s="67"/>
      <c r="JSR34" s="67"/>
      <c r="JSS34" s="67"/>
      <c r="JST34" s="67"/>
      <c r="JSU34" s="67"/>
      <c r="JSV34" s="67"/>
      <c r="JSW34" s="67"/>
      <c r="JSX34" s="67"/>
      <c r="JSY34" s="67"/>
      <c r="JSZ34" s="67"/>
      <c r="JTA34" s="67"/>
      <c r="JTB34" s="67"/>
      <c r="JTC34" s="67"/>
      <c r="JTD34" s="67"/>
      <c r="JTE34" s="67"/>
      <c r="JTF34" s="67"/>
      <c r="JTG34" s="67"/>
      <c r="JTH34" s="67"/>
      <c r="JTI34" s="67"/>
      <c r="JTJ34" s="67"/>
      <c r="JTK34" s="67"/>
      <c r="JTL34" s="67"/>
      <c r="JTM34" s="67"/>
      <c r="JTN34" s="67"/>
      <c r="JTO34" s="67"/>
      <c r="JTP34" s="67"/>
      <c r="JTQ34" s="67"/>
      <c r="JTR34" s="67"/>
      <c r="JTS34" s="67"/>
      <c r="JTT34" s="67"/>
      <c r="JTU34" s="67"/>
      <c r="JTV34" s="67"/>
      <c r="JTW34" s="67"/>
      <c r="JTX34" s="67"/>
      <c r="JTY34" s="67"/>
      <c r="JTZ34" s="67"/>
      <c r="JUA34" s="67"/>
      <c r="JUB34" s="67"/>
      <c r="JUC34" s="67"/>
      <c r="JUD34" s="67"/>
      <c r="JUE34" s="67"/>
      <c r="JUF34" s="67"/>
      <c r="JUG34" s="67"/>
      <c r="JUH34" s="67"/>
      <c r="JUI34" s="67"/>
      <c r="JUJ34" s="67"/>
      <c r="JUK34" s="67"/>
      <c r="JUL34" s="67"/>
      <c r="JUM34" s="67"/>
      <c r="JUN34" s="67"/>
      <c r="JUO34" s="67"/>
      <c r="JUP34" s="67"/>
      <c r="JUQ34" s="67"/>
      <c r="JUR34" s="67"/>
      <c r="JUS34" s="67"/>
      <c r="JUT34" s="67"/>
      <c r="JUU34" s="67"/>
      <c r="JUV34" s="67"/>
      <c r="JUW34" s="67"/>
      <c r="JUX34" s="67"/>
      <c r="JUY34" s="67"/>
      <c r="JUZ34" s="67"/>
      <c r="JVA34" s="67"/>
      <c r="JVB34" s="67"/>
      <c r="JVC34" s="67"/>
      <c r="JVD34" s="67"/>
      <c r="JVE34" s="67"/>
      <c r="JVF34" s="67"/>
      <c r="JVG34" s="67"/>
      <c r="JVH34" s="67"/>
      <c r="JVI34" s="67"/>
      <c r="JVJ34" s="67"/>
      <c r="JVK34" s="67"/>
      <c r="JVL34" s="67"/>
      <c r="JVM34" s="67"/>
      <c r="JVN34" s="67"/>
      <c r="JVO34" s="67"/>
      <c r="JVP34" s="67"/>
      <c r="JVQ34" s="67"/>
      <c r="JVR34" s="67"/>
      <c r="JVS34" s="67"/>
      <c r="JVT34" s="67"/>
      <c r="JVU34" s="67"/>
      <c r="JVV34" s="67"/>
      <c r="JVW34" s="67"/>
      <c r="JVX34" s="67"/>
      <c r="JVY34" s="67"/>
      <c r="JVZ34" s="67"/>
      <c r="JWA34" s="67"/>
      <c r="JWB34" s="67"/>
      <c r="JWC34" s="67"/>
      <c r="JWD34" s="67"/>
      <c r="JWE34" s="67"/>
      <c r="JWF34" s="67"/>
      <c r="JWG34" s="67"/>
      <c r="JWH34" s="67"/>
      <c r="JWI34" s="67"/>
      <c r="JWJ34" s="67"/>
      <c r="JWK34" s="67"/>
      <c r="JWL34" s="67"/>
      <c r="JWM34" s="67"/>
      <c r="JWN34" s="67"/>
      <c r="JWO34" s="67"/>
      <c r="JWP34" s="67"/>
      <c r="JWQ34" s="67"/>
      <c r="JWR34" s="67"/>
      <c r="JWS34" s="67"/>
      <c r="JWT34" s="67"/>
      <c r="JWU34" s="67"/>
      <c r="JWV34" s="67"/>
      <c r="JWW34" s="67"/>
      <c r="JWX34" s="67"/>
      <c r="JWY34" s="67"/>
      <c r="JWZ34" s="67"/>
      <c r="JXA34" s="67"/>
      <c r="JXB34" s="67"/>
      <c r="JXC34" s="67"/>
      <c r="JXD34" s="67"/>
      <c r="JXE34" s="67"/>
      <c r="JXF34" s="67"/>
      <c r="JXG34" s="67"/>
      <c r="JXH34" s="67"/>
      <c r="JXI34" s="67"/>
      <c r="JXJ34" s="67"/>
      <c r="JXK34" s="67"/>
      <c r="JXL34" s="67"/>
      <c r="JXM34" s="67"/>
      <c r="JXN34" s="67"/>
      <c r="JXO34" s="67"/>
      <c r="JXP34" s="67"/>
      <c r="JXQ34" s="67"/>
      <c r="JXR34" s="67"/>
      <c r="JXS34" s="67"/>
      <c r="JXT34" s="67"/>
      <c r="JXU34" s="67"/>
      <c r="JXV34" s="67"/>
      <c r="JXW34" s="67"/>
      <c r="JXX34" s="67"/>
      <c r="JXY34" s="67"/>
      <c r="JXZ34" s="67"/>
      <c r="JYA34" s="67"/>
      <c r="JYB34" s="67"/>
      <c r="JYC34" s="67"/>
      <c r="JYD34" s="67"/>
      <c r="JYE34" s="67"/>
      <c r="JYF34" s="67"/>
      <c r="JYG34" s="67"/>
      <c r="JYH34" s="67"/>
      <c r="JYI34" s="67"/>
      <c r="JYJ34" s="67"/>
      <c r="JYK34" s="67"/>
      <c r="JYL34" s="67"/>
      <c r="JYM34" s="67"/>
      <c r="JYN34" s="67"/>
      <c r="JYO34" s="67"/>
      <c r="JYP34" s="67"/>
      <c r="JYQ34" s="67"/>
      <c r="JYR34" s="67"/>
      <c r="JYS34" s="67"/>
      <c r="JYT34" s="67"/>
      <c r="JYU34" s="67"/>
      <c r="JYV34" s="67"/>
      <c r="JYW34" s="67"/>
      <c r="JYX34" s="67"/>
      <c r="JYY34" s="67"/>
      <c r="JYZ34" s="67"/>
      <c r="JZA34" s="67"/>
      <c r="JZB34" s="67"/>
      <c r="JZC34" s="67"/>
      <c r="JZD34" s="67"/>
      <c r="JZE34" s="67"/>
      <c r="JZF34" s="67"/>
      <c r="JZG34" s="67"/>
      <c r="JZH34" s="67"/>
      <c r="JZI34" s="67"/>
      <c r="JZJ34" s="67"/>
      <c r="JZK34" s="67"/>
      <c r="JZL34" s="67"/>
      <c r="JZM34" s="67"/>
      <c r="JZN34" s="67"/>
      <c r="JZO34" s="67"/>
      <c r="JZP34" s="67"/>
      <c r="JZQ34" s="67"/>
      <c r="JZR34" s="67"/>
      <c r="JZS34" s="67"/>
      <c r="JZT34" s="67"/>
      <c r="JZU34" s="67"/>
      <c r="JZV34" s="67"/>
      <c r="JZW34" s="67"/>
      <c r="JZX34" s="67"/>
      <c r="JZY34" s="67"/>
      <c r="JZZ34" s="67"/>
      <c r="KAA34" s="67"/>
      <c r="KAB34" s="67"/>
      <c r="KAC34" s="67"/>
      <c r="KAD34" s="67"/>
      <c r="KAE34" s="67"/>
      <c r="KAF34" s="67"/>
      <c r="KAG34" s="67"/>
      <c r="KAH34" s="67"/>
      <c r="KAI34" s="67"/>
      <c r="KAJ34" s="67"/>
      <c r="KAK34" s="67"/>
      <c r="KAL34" s="67"/>
      <c r="KAM34" s="67"/>
      <c r="KAN34" s="67"/>
      <c r="KAO34" s="67"/>
      <c r="KAP34" s="67"/>
      <c r="KAQ34" s="67"/>
      <c r="KAR34" s="67"/>
      <c r="KAS34" s="67"/>
      <c r="KAT34" s="67"/>
      <c r="KAU34" s="67"/>
      <c r="KAV34" s="67"/>
      <c r="KAW34" s="67"/>
      <c r="KAX34" s="67"/>
      <c r="KAY34" s="67"/>
      <c r="KAZ34" s="67"/>
      <c r="KBA34" s="67"/>
      <c r="KBB34" s="67"/>
      <c r="KBC34" s="67"/>
      <c r="KBD34" s="67"/>
      <c r="KBE34" s="67"/>
      <c r="KBF34" s="67"/>
      <c r="KBG34" s="67"/>
      <c r="KBH34" s="67"/>
      <c r="KBI34" s="67"/>
      <c r="KBJ34" s="67"/>
      <c r="KBK34" s="67"/>
      <c r="KBL34" s="67"/>
      <c r="KBM34" s="67"/>
      <c r="KBN34" s="67"/>
      <c r="KBO34" s="67"/>
      <c r="KBP34" s="67"/>
      <c r="KBQ34" s="67"/>
      <c r="KBR34" s="67"/>
      <c r="KBS34" s="67"/>
      <c r="KBT34" s="67"/>
      <c r="KBU34" s="67"/>
      <c r="KBV34" s="67"/>
      <c r="KBW34" s="67"/>
      <c r="KBX34" s="67"/>
      <c r="KBY34" s="67"/>
      <c r="KBZ34" s="67"/>
      <c r="KCA34" s="67"/>
      <c r="KCB34" s="67"/>
      <c r="KCC34" s="67"/>
      <c r="KCD34" s="67"/>
      <c r="KCE34" s="67"/>
      <c r="KCF34" s="67"/>
      <c r="KCG34" s="67"/>
      <c r="KCH34" s="67"/>
      <c r="KCI34" s="67"/>
      <c r="KCJ34" s="67"/>
      <c r="KCK34" s="67"/>
      <c r="KCL34" s="67"/>
      <c r="KCM34" s="67"/>
      <c r="KCN34" s="67"/>
      <c r="KCO34" s="67"/>
      <c r="KCP34" s="67"/>
      <c r="KCQ34" s="67"/>
      <c r="KCR34" s="67"/>
      <c r="KCS34" s="67"/>
      <c r="KCT34" s="67"/>
      <c r="KCU34" s="67"/>
      <c r="KCV34" s="67"/>
      <c r="KCW34" s="67"/>
      <c r="KCX34" s="67"/>
      <c r="KCY34" s="67"/>
      <c r="KCZ34" s="67"/>
      <c r="KDA34" s="67"/>
      <c r="KDB34" s="67"/>
      <c r="KDC34" s="67"/>
      <c r="KDD34" s="67"/>
      <c r="KDE34" s="67"/>
      <c r="KDF34" s="67"/>
      <c r="KDG34" s="67"/>
      <c r="KDH34" s="67"/>
      <c r="KDI34" s="67"/>
      <c r="KDJ34" s="67"/>
      <c r="KDK34" s="67"/>
      <c r="KDL34" s="67"/>
      <c r="KDM34" s="67"/>
      <c r="KDN34" s="67"/>
      <c r="KDO34" s="67"/>
      <c r="KDP34" s="67"/>
      <c r="KDQ34" s="67"/>
      <c r="KDR34" s="67"/>
      <c r="KDS34" s="67"/>
      <c r="KDT34" s="67"/>
      <c r="KDU34" s="67"/>
      <c r="KDV34" s="67"/>
      <c r="KDW34" s="67"/>
      <c r="KDX34" s="67"/>
      <c r="KDY34" s="67"/>
      <c r="KDZ34" s="67"/>
      <c r="KEA34" s="67"/>
      <c r="KEB34" s="67"/>
      <c r="KEC34" s="67"/>
      <c r="KED34" s="67"/>
      <c r="KEE34" s="67"/>
      <c r="KEF34" s="67"/>
      <c r="KEG34" s="67"/>
      <c r="KEH34" s="67"/>
      <c r="KEI34" s="67"/>
      <c r="KEJ34" s="67"/>
      <c r="KEK34" s="67"/>
      <c r="KEL34" s="67"/>
      <c r="KEM34" s="67"/>
      <c r="KEN34" s="67"/>
      <c r="KEO34" s="67"/>
      <c r="KEP34" s="67"/>
      <c r="KEQ34" s="67"/>
      <c r="KER34" s="67"/>
      <c r="KES34" s="67"/>
      <c r="KET34" s="67"/>
      <c r="KEU34" s="67"/>
      <c r="KEV34" s="67"/>
      <c r="KEW34" s="67"/>
      <c r="KEX34" s="67"/>
      <c r="KEY34" s="67"/>
      <c r="KEZ34" s="67"/>
      <c r="KFA34" s="67"/>
      <c r="KFB34" s="67"/>
      <c r="KFC34" s="67"/>
      <c r="KFD34" s="67"/>
      <c r="KFE34" s="67"/>
      <c r="KFF34" s="67"/>
      <c r="KFG34" s="67"/>
      <c r="KFH34" s="67"/>
      <c r="KFI34" s="67"/>
      <c r="KFJ34" s="67"/>
      <c r="KFK34" s="67"/>
      <c r="KFL34" s="67"/>
      <c r="KFM34" s="67"/>
      <c r="KFN34" s="67"/>
      <c r="KFO34" s="67"/>
      <c r="KFP34" s="67"/>
      <c r="KFQ34" s="67"/>
      <c r="KFR34" s="67"/>
      <c r="KFS34" s="67"/>
      <c r="KFT34" s="67"/>
      <c r="KFU34" s="67"/>
      <c r="KFV34" s="67"/>
      <c r="KFW34" s="67"/>
      <c r="KFX34" s="67"/>
      <c r="KFY34" s="67"/>
      <c r="KFZ34" s="67"/>
      <c r="KGA34" s="67"/>
      <c r="KGB34" s="67"/>
      <c r="KGC34" s="67"/>
      <c r="KGD34" s="67"/>
      <c r="KGE34" s="67"/>
      <c r="KGF34" s="67"/>
      <c r="KGG34" s="67"/>
      <c r="KGH34" s="67"/>
      <c r="KGI34" s="67"/>
      <c r="KGJ34" s="67"/>
      <c r="KGK34" s="67"/>
      <c r="KGL34" s="67"/>
      <c r="KGM34" s="67"/>
      <c r="KGN34" s="67"/>
      <c r="KGO34" s="67"/>
      <c r="KGP34" s="67"/>
      <c r="KGQ34" s="67"/>
      <c r="KGR34" s="67"/>
      <c r="KGS34" s="67"/>
      <c r="KGT34" s="67"/>
      <c r="KGU34" s="67"/>
      <c r="KGV34" s="67"/>
      <c r="KGW34" s="67"/>
      <c r="KGX34" s="67"/>
      <c r="KGY34" s="67"/>
      <c r="KGZ34" s="67"/>
      <c r="KHA34" s="67"/>
      <c r="KHB34" s="67"/>
      <c r="KHC34" s="67"/>
      <c r="KHD34" s="67"/>
      <c r="KHE34" s="67"/>
      <c r="KHF34" s="67"/>
      <c r="KHG34" s="67"/>
      <c r="KHH34" s="67"/>
      <c r="KHI34" s="67"/>
      <c r="KHJ34" s="67"/>
      <c r="KHK34" s="67"/>
      <c r="KHL34" s="67"/>
      <c r="KHM34" s="67"/>
      <c r="KHN34" s="67"/>
      <c r="KHO34" s="67"/>
      <c r="KHP34" s="67"/>
      <c r="KHQ34" s="67"/>
      <c r="KHR34" s="67"/>
      <c r="KHS34" s="67"/>
      <c r="KHT34" s="67"/>
      <c r="KHU34" s="67"/>
      <c r="KHV34" s="67"/>
      <c r="KHW34" s="67"/>
      <c r="KHX34" s="67"/>
      <c r="KHY34" s="67"/>
      <c r="KHZ34" s="67"/>
      <c r="KIA34" s="67"/>
      <c r="KIB34" s="67"/>
      <c r="KIC34" s="67"/>
      <c r="KID34" s="67"/>
      <c r="KIE34" s="67"/>
      <c r="KIF34" s="67"/>
      <c r="KIG34" s="67"/>
      <c r="KIH34" s="67"/>
      <c r="KII34" s="67"/>
      <c r="KIJ34" s="67"/>
      <c r="KIK34" s="67"/>
      <c r="KIL34" s="67"/>
      <c r="KIM34" s="67"/>
      <c r="KIN34" s="67"/>
      <c r="KIO34" s="67"/>
      <c r="KIP34" s="67"/>
      <c r="KIQ34" s="67"/>
      <c r="KIR34" s="67"/>
      <c r="KIS34" s="67"/>
      <c r="KIT34" s="67"/>
      <c r="KIU34" s="67"/>
      <c r="KIV34" s="67"/>
      <c r="KIW34" s="67"/>
      <c r="KIX34" s="67"/>
      <c r="KIY34" s="67"/>
      <c r="KIZ34" s="67"/>
      <c r="KJA34" s="67"/>
      <c r="KJB34" s="67"/>
      <c r="KJC34" s="67"/>
      <c r="KJD34" s="67"/>
      <c r="KJE34" s="67"/>
      <c r="KJF34" s="67"/>
      <c r="KJG34" s="67"/>
      <c r="KJH34" s="67"/>
      <c r="KJI34" s="67"/>
      <c r="KJJ34" s="67"/>
      <c r="KJK34" s="67"/>
      <c r="KJL34" s="67"/>
      <c r="KJM34" s="67"/>
      <c r="KJN34" s="67"/>
      <c r="KJO34" s="67"/>
      <c r="KJP34" s="67"/>
      <c r="KJQ34" s="67"/>
      <c r="KJR34" s="67"/>
      <c r="KJS34" s="67"/>
      <c r="KJT34" s="67"/>
      <c r="KJU34" s="67"/>
      <c r="KJV34" s="67"/>
      <c r="KJW34" s="67"/>
      <c r="KJX34" s="67"/>
      <c r="KJY34" s="67"/>
      <c r="KJZ34" s="67"/>
      <c r="KKA34" s="67"/>
      <c r="KKB34" s="67"/>
      <c r="KKC34" s="67"/>
      <c r="KKD34" s="67"/>
      <c r="KKE34" s="67"/>
      <c r="KKF34" s="67"/>
      <c r="KKG34" s="67"/>
      <c r="KKH34" s="67"/>
      <c r="KKI34" s="67"/>
      <c r="KKJ34" s="67"/>
      <c r="KKK34" s="67"/>
      <c r="KKL34" s="67"/>
      <c r="KKM34" s="67"/>
      <c r="KKN34" s="67"/>
      <c r="KKO34" s="67"/>
      <c r="KKP34" s="67"/>
      <c r="KKQ34" s="67"/>
      <c r="KKR34" s="67"/>
      <c r="KKS34" s="67"/>
      <c r="KKT34" s="67"/>
      <c r="KKU34" s="67"/>
      <c r="KKV34" s="67"/>
      <c r="KKW34" s="67"/>
      <c r="KKX34" s="67"/>
      <c r="KKY34" s="67"/>
      <c r="KKZ34" s="67"/>
      <c r="KLA34" s="67"/>
      <c r="KLB34" s="67"/>
      <c r="KLC34" s="67"/>
      <c r="KLD34" s="67"/>
      <c r="KLE34" s="67"/>
      <c r="KLF34" s="67"/>
      <c r="KLG34" s="67"/>
      <c r="KLH34" s="67"/>
      <c r="KLI34" s="67"/>
      <c r="KLJ34" s="67"/>
      <c r="KLK34" s="67"/>
      <c r="KLL34" s="67"/>
      <c r="KLM34" s="67"/>
      <c r="KLN34" s="67"/>
      <c r="KLO34" s="67"/>
      <c r="KLP34" s="67"/>
      <c r="KLQ34" s="67"/>
      <c r="KLR34" s="67"/>
      <c r="KLS34" s="67"/>
      <c r="KLT34" s="67"/>
      <c r="KLU34" s="67"/>
      <c r="KLV34" s="67"/>
      <c r="KLW34" s="67"/>
      <c r="KLX34" s="67"/>
      <c r="KLY34" s="67"/>
      <c r="KLZ34" s="67"/>
      <c r="KMA34" s="67"/>
      <c r="KMB34" s="67"/>
      <c r="KMC34" s="67"/>
      <c r="KMD34" s="67"/>
      <c r="KME34" s="67"/>
      <c r="KMF34" s="67"/>
      <c r="KMG34" s="67"/>
      <c r="KMH34" s="67"/>
      <c r="KMI34" s="67"/>
      <c r="KMJ34" s="67"/>
      <c r="KMK34" s="67"/>
      <c r="KML34" s="67"/>
      <c r="KMM34" s="67"/>
      <c r="KMN34" s="67"/>
      <c r="KMO34" s="67"/>
      <c r="KMP34" s="67"/>
      <c r="KMQ34" s="67"/>
      <c r="KMR34" s="67"/>
      <c r="KMS34" s="67"/>
      <c r="KMT34" s="67"/>
      <c r="KMU34" s="67"/>
      <c r="KMV34" s="67"/>
      <c r="KMW34" s="67"/>
      <c r="KMX34" s="67"/>
      <c r="KMY34" s="67"/>
      <c r="KMZ34" s="67"/>
      <c r="KNA34" s="67"/>
      <c r="KNB34" s="67"/>
      <c r="KNC34" s="67"/>
      <c r="KND34" s="67"/>
      <c r="KNE34" s="67"/>
      <c r="KNF34" s="67"/>
      <c r="KNG34" s="67"/>
      <c r="KNH34" s="67"/>
      <c r="KNI34" s="67"/>
      <c r="KNJ34" s="67"/>
      <c r="KNK34" s="67"/>
      <c r="KNL34" s="67"/>
      <c r="KNM34" s="67"/>
      <c r="KNN34" s="67"/>
      <c r="KNO34" s="67"/>
      <c r="KNP34" s="67"/>
      <c r="KNQ34" s="67"/>
      <c r="KNR34" s="67"/>
      <c r="KNS34" s="67"/>
      <c r="KNT34" s="67"/>
      <c r="KNU34" s="67"/>
      <c r="KNV34" s="67"/>
      <c r="KNW34" s="67"/>
      <c r="KNX34" s="67"/>
      <c r="KNY34" s="67"/>
      <c r="KNZ34" s="67"/>
      <c r="KOA34" s="67"/>
      <c r="KOB34" s="67"/>
      <c r="KOC34" s="67"/>
      <c r="KOD34" s="67"/>
      <c r="KOE34" s="67"/>
      <c r="KOF34" s="67"/>
      <c r="KOG34" s="67"/>
      <c r="KOH34" s="67"/>
      <c r="KOI34" s="67"/>
      <c r="KOJ34" s="67"/>
      <c r="KOK34" s="67"/>
      <c r="KOL34" s="67"/>
      <c r="KOM34" s="67"/>
      <c r="KON34" s="67"/>
      <c r="KOO34" s="67"/>
      <c r="KOP34" s="67"/>
      <c r="KOQ34" s="67"/>
      <c r="KOR34" s="67"/>
      <c r="KOS34" s="67"/>
      <c r="KOT34" s="67"/>
      <c r="KOU34" s="67"/>
      <c r="KOV34" s="67"/>
      <c r="KOW34" s="67"/>
      <c r="KOX34" s="67"/>
      <c r="KOY34" s="67"/>
      <c r="KOZ34" s="67"/>
      <c r="KPA34" s="67"/>
      <c r="KPB34" s="67"/>
      <c r="KPC34" s="67"/>
      <c r="KPD34" s="67"/>
      <c r="KPE34" s="67"/>
      <c r="KPF34" s="67"/>
      <c r="KPG34" s="67"/>
      <c r="KPH34" s="67"/>
      <c r="KPI34" s="67"/>
      <c r="KPJ34" s="67"/>
      <c r="KPK34" s="67"/>
      <c r="KPL34" s="67"/>
      <c r="KPM34" s="67"/>
      <c r="KPN34" s="67"/>
      <c r="KPO34" s="67"/>
      <c r="KPP34" s="67"/>
      <c r="KPQ34" s="67"/>
      <c r="KPR34" s="67"/>
      <c r="KPS34" s="67"/>
      <c r="KPT34" s="67"/>
      <c r="KPU34" s="67"/>
      <c r="KPV34" s="67"/>
      <c r="KPW34" s="67"/>
      <c r="KPX34" s="67"/>
      <c r="KPY34" s="67"/>
      <c r="KPZ34" s="67"/>
      <c r="KQA34" s="67"/>
      <c r="KQB34" s="67"/>
      <c r="KQC34" s="67"/>
      <c r="KQD34" s="67"/>
      <c r="KQE34" s="67"/>
      <c r="KQF34" s="67"/>
      <c r="KQG34" s="67"/>
      <c r="KQH34" s="67"/>
      <c r="KQI34" s="67"/>
      <c r="KQJ34" s="67"/>
      <c r="KQK34" s="67"/>
      <c r="KQL34" s="67"/>
      <c r="KQM34" s="67"/>
      <c r="KQN34" s="67"/>
      <c r="KQO34" s="67"/>
      <c r="KQP34" s="67"/>
      <c r="KQQ34" s="67"/>
      <c r="KQR34" s="67"/>
      <c r="KQS34" s="67"/>
      <c r="KQT34" s="67"/>
      <c r="KQU34" s="67"/>
      <c r="KQV34" s="67"/>
      <c r="KQW34" s="67"/>
      <c r="KQX34" s="67"/>
      <c r="KQY34" s="67"/>
      <c r="KQZ34" s="67"/>
      <c r="KRA34" s="67"/>
      <c r="KRB34" s="67"/>
      <c r="KRC34" s="67"/>
      <c r="KRD34" s="67"/>
      <c r="KRE34" s="67"/>
      <c r="KRF34" s="67"/>
      <c r="KRG34" s="67"/>
      <c r="KRH34" s="67"/>
      <c r="KRI34" s="67"/>
      <c r="KRJ34" s="67"/>
      <c r="KRK34" s="67"/>
      <c r="KRL34" s="67"/>
      <c r="KRM34" s="67"/>
      <c r="KRN34" s="67"/>
      <c r="KRO34" s="67"/>
      <c r="KRP34" s="67"/>
      <c r="KRQ34" s="67"/>
      <c r="KRR34" s="67"/>
      <c r="KRS34" s="67"/>
      <c r="KRT34" s="67"/>
      <c r="KRU34" s="67"/>
      <c r="KRV34" s="67"/>
      <c r="KRW34" s="67"/>
      <c r="KRX34" s="67"/>
      <c r="KRY34" s="67"/>
      <c r="KRZ34" s="67"/>
      <c r="KSA34" s="67"/>
      <c r="KSB34" s="67"/>
      <c r="KSC34" s="67"/>
      <c r="KSD34" s="67"/>
      <c r="KSE34" s="67"/>
      <c r="KSF34" s="67"/>
      <c r="KSG34" s="67"/>
      <c r="KSH34" s="67"/>
      <c r="KSI34" s="67"/>
      <c r="KSJ34" s="67"/>
      <c r="KSK34" s="67"/>
      <c r="KSL34" s="67"/>
      <c r="KSM34" s="67"/>
      <c r="KSN34" s="67"/>
      <c r="KSO34" s="67"/>
      <c r="KSP34" s="67"/>
      <c r="KSQ34" s="67"/>
      <c r="KSR34" s="67"/>
      <c r="KSS34" s="67"/>
      <c r="KST34" s="67"/>
      <c r="KSU34" s="67"/>
      <c r="KSV34" s="67"/>
      <c r="KSW34" s="67"/>
      <c r="KSX34" s="67"/>
      <c r="KSY34" s="67"/>
      <c r="KSZ34" s="67"/>
      <c r="KTA34" s="67"/>
      <c r="KTB34" s="67"/>
      <c r="KTC34" s="67"/>
      <c r="KTD34" s="67"/>
      <c r="KTE34" s="67"/>
      <c r="KTF34" s="67"/>
      <c r="KTG34" s="67"/>
      <c r="KTH34" s="67"/>
      <c r="KTI34" s="67"/>
      <c r="KTJ34" s="67"/>
      <c r="KTK34" s="67"/>
      <c r="KTL34" s="67"/>
      <c r="KTM34" s="67"/>
      <c r="KTN34" s="67"/>
      <c r="KTO34" s="67"/>
      <c r="KTP34" s="67"/>
      <c r="KTQ34" s="67"/>
      <c r="KTR34" s="67"/>
      <c r="KTS34" s="67"/>
      <c r="KTT34" s="67"/>
      <c r="KTU34" s="67"/>
      <c r="KTV34" s="67"/>
      <c r="KTW34" s="67"/>
      <c r="KTX34" s="67"/>
      <c r="KTY34" s="67"/>
      <c r="KTZ34" s="67"/>
      <c r="KUA34" s="67"/>
      <c r="KUB34" s="67"/>
      <c r="KUC34" s="67"/>
      <c r="KUD34" s="67"/>
      <c r="KUE34" s="67"/>
      <c r="KUF34" s="67"/>
      <c r="KUG34" s="67"/>
      <c r="KUH34" s="67"/>
      <c r="KUI34" s="67"/>
      <c r="KUJ34" s="67"/>
      <c r="KUK34" s="67"/>
      <c r="KUL34" s="67"/>
      <c r="KUM34" s="67"/>
      <c r="KUN34" s="67"/>
      <c r="KUO34" s="67"/>
      <c r="KUP34" s="67"/>
      <c r="KUQ34" s="67"/>
      <c r="KUR34" s="67"/>
      <c r="KUS34" s="67"/>
      <c r="KUT34" s="67"/>
      <c r="KUU34" s="67"/>
      <c r="KUV34" s="67"/>
      <c r="KUW34" s="67"/>
      <c r="KUX34" s="67"/>
      <c r="KUY34" s="67"/>
      <c r="KUZ34" s="67"/>
      <c r="KVA34" s="67"/>
      <c r="KVB34" s="67"/>
      <c r="KVC34" s="67"/>
      <c r="KVD34" s="67"/>
      <c r="KVE34" s="67"/>
      <c r="KVF34" s="67"/>
      <c r="KVG34" s="67"/>
      <c r="KVH34" s="67"/>
      <c r="KVI34" s="67"/>
      <c r="KVJ34" s="67"/>
      <c r="KVK34" s="67"/>
      <c r="KVL34" s="67"/>
      <c r="KVM34" s="67"/>
      <c r="KVN34" s="67"/>
      <c r="KVO34" s="67"/>
      <c r="KVP34" s="67"/>
      <c r="KVQ34" s="67"/>
      <c r="KVR34" s="67"/>
      <c r="KVS34" s="67"/>
      <c r="KVT34" s="67"/>
      <c r="KVU34" s="67"/>
      <c r="KVV34" s="67"/>
      <c r="KVW34" s="67"/>
      <c r="KVX34" s="67"/>
      <c r="KVY34" s="67"/>
      <c r="KVZ34" s="67"/>
      <c r="KWA34" s="67"/>
      <c r="KWB34" s="67"/>
      <c r="KWC34" s="67"/>
      <c r="KWD34" s="67"/>
      <c r="KWE34" s="67"/>
      <c r="KWF34" s="67"/>
      <c r="KWG34" s="67"/>
      <c r="KWH34" s="67"/>
      <c r="KWI34" s="67"/>
      <c r="KWJ34" s="67"/>
      <c r="KWK34" s="67"/>
      <c r="KWL34" s="67"/>
      <c r="KWM34" s="67"/>
      <c r="KWN34" s="67"/>
      <c r="KWO34" s="67"/>
      <c r="KWP34" s="67"/>
      <c r="KWQ34" s="67"/>
      <c r="KWR34" s="67"/>
      <c r="KWS34" s="67"/>
      <c r="KWT34" s="67"/>
      <c r="KWU34" s="67"/>
      <c r="KWV34" s="67"/>
      <c r="KWW34" s="67"/>
      <c r="KWX34" s="67"/>
      <c r="KWY34" s="67"/>
      <c r="KWZ34" s="67"/>
      <c r="KXA34" s="67"/>
      <c r="KXB34" s="67"/>
      <c r="KXC34" s="67"/>
      <c r="KXD34" s="67"/>
      <c r="KXE34" s="67"/>
      <c r="KXF34" s="67"/>
      <c r="KXG34" s="67"/>
      <c r="KXH34" s="67"/>
      <c r="KXI34" s="67"/>
      <c r="KXJ34" s="67"/>
      <c r="KXK34" s="67"/>
      <c r="KXL34" s="67"/>
      <c r="KXM34" s="67"/>
      <c r="KXN34" s="67"/>
      <c r="KXO34" s="67"/>
      <c r="KXP34" s="67"/>
      <c r="KXQ34" s="67"/>
      <c r="KXR34" s="67"/>
      <c r="KXS34" s="67"/>
      <c r="KXT34" s="67"/>
      <c r="KXU34" s="67"/>
      <c r="KXV34" s="67"/>
      <c r="KXW34" s="67"/>
      <c r="KXX34" s="67"/>
      <c r="KXY34" s="67"/>
      <c r="KXZ34" s="67"/>
      <c r="KYA34" s="67"/>
      <c r="KYB34" s="67"/>
      <c r="KYC34" s="67"/>
      <c r="KYD34" s="67"/>
      <c r="KYE34" s="67"/>
      <c r="KYF34" s="67"/>
      <c r="KYG34" s="67"/>
      <c r="KYH34" s="67"/>
      <c r="KYI34" s="67"/>
      <c r="KYJ34" s="67"/>
      <c r="KYK34" s="67"/>
      <c r="KYL34" s="67"/>
      <c r="KYM34" s="67"/>
      <c r="KYN34" s="67"/>
      <c r="KYO34" s="67"/>
      <c r="KYP34" s="67"/>
      <c r="KYQ34" s="67"/>
      <c r="KYR34" s="67"/>
      <c r="KYS34" s="67"/>
      <c r="KYT34" s="67"/>
      <c r="KYU34" s="67"/>
      <c r="KYV34" s="67"/>
      <c r="KYW34" s="67"/>
      <c r="KYX34" s="67"/>
      <c r="KYY34" s="67"/>
      <c r="KYZ34" s="67"/>
      <c r="KZA34" s="67"/>
      <c r="KZB34" s="67"/>
      <c r="KZC34" s="67"/>
      <c r="KZD34" s="67"/>
      <c r="KZE34" s="67"/>
      <c r="KZF34" s="67"/>
      <c r="KZG34" s="67"/>
      <c r="KZH34" s="67"/>
      <c r="KZI34" s="67"/>
      <c r="KZJ34" s="67"/>
      <c r="KZK34" s="67"/>
      <c r="KZL34" s="67"/>
      <c r="KZM34" s="67"/>
      <c r="KZN34" s="67"/>
      <c r="KZO34" s="67"/>
      <c r="KZP34" s="67"/>
      <c r="KZQ34" s="67"/>
      <c r="KZR34" s="67"/>
      <c r="KZS34" s="67"/>
      <c r="KZT34" s="67"/>
      <c r="KZU34" s="67"/>
      <c r="KZV34" s="67"/>
      <c r="KZW34" s="67"/>
      <c r="KZX34" s="67"/>
      <c r="KZY34" s="67"/>
      <c r="KZZ34" s="67"/>
      <c r="LAA34" s="67"/>
      <c r="LAB34" s="67"/>
      <c r="LAC34" s="67"/>
      <c r="LAD34" s="67"/>
      <c r="LAE34" s="67"/>
      <c r="LAF34" s="67"/>
      <c r="LAG34" s="67"/>
      <c r="LAH34" s="67"/>
      <c r="LAI34" s="67"/>
      <c r="LAJ34" s="67"/>
      <c r="LAK34" s="67"/>
      <c r="LAL34" s="67"/>
      <c r="LAM34" s="67"/>
      <c r="LAN34" s="67"/>
      <c r="LAO34" s="67"/>
      <c r="LAP34" s="67"/>
      <c r="LAQ34" s="67"/>
      <c r="LAR34" s="67"/>
      <c r="LAS34" s="67"/>
      <c r="LAT34" s="67"/>
      <c r="LAU34" s="67"/>
      <c r="LAV34" s="67"/>
      <c r="LAW34" s="67"/>
      <c r="LAX34" s="67"/>
      <c r="LAY34" s="67"/>
      <c r="LAZ34" s="67"/>
      <c r="LBA34" s="67"/>
      <c r="LBB34" s="67"/>
      <c r="LBC34" s="67"/>
      <c r="LBD34" s="67"/>
      <c r="LBE34" s="67"/>
      <c r="LBF34" s="67"/>
      <c r="LBG34" s="67"/>
      <c r="LBH34" s="67"/>
      <c r="LBI34" s="67"/>
      <c r="LBJ34" s="67"/>
      <c r="LBK34" s="67"/>
      <c r="LBL34" s="67"/>
      <c r="LBM34" s="67"/>
      <c r="LBN34" s="67"/>
      <c r="LBO34" s="67"/>
      <c r="LBP34" s="67"/>
      <c r="LBQ34" s="67"/>
      <c r="LBR34" s="67"/>
      <c r="LBS34" s="67"/>
      <c r="LBT34" s="67"/>
      <c r="LBU34" s="67"/>
      <c r="LBV34" s="67"/>
      <c r="LBW34" s="67"/>
      <c r="LBX34" s="67"/>
      <c r="LBY34" s="67"/>
      <c r="LBZ34" s="67"/>
      <c r="LCA34" s="67"/>
      <c r="LCB34" s="67"/>
      <c r="LCC34" s="67"/>
      <c r="LCD34" s="67"/>
      <c r="LCE34" s="67"/>
      <c r="LCF34" s="67"/>
      <c r="LCG34" s="67"/>
      <c r="LCH34" s="67"/>
      <c r="LCI34" s="67"/>
      <c r="LCJ34" s="67"/>
      <c r="LCK34" s="67"/>
      <c r="LCL34" s="67"/>
      <c r="LCM34" s="67"/>
      <c r="LCN34" s="67"/>
      <c r="LCO34" s="67"/>
      <c r="LCP34" s="67"/>
      <c r="LCQ34" s="67"/>
      <c r="LCR34" s="67"/>
      <c r="LCS34" s="67"/>
      <c r="LCT34" s="67"/>
      <c r="LCU34" s="67"/>
      <c r="LCV34" s="67"/>
      <c r="LCW34" s="67"/>
      <c r="LCX34" s="67"/>
      <c r="LCY34" s="67"/>
      <c r="LCZ34" s="67"/>
      <c r="LDA34" s="67"/>
      <c r="LDB34" s="67"/>
      <c r="LDC34" s="67"/>
      <c r="LDD34" s="67"/>
      <c r="LDE34" s="67"/>
      <c r="LDF34" s="67"/>
      <c r="LDG34" s="67"/>
      <c r="LDH34" s="67"/>
      <c r="LDI34" s="67"/>
      <c r="LDJ34" s="67"/>
      <c r="LDK34" s="67"/>
      <c r="LDL34" s="67"/>
      <c r="LDM34" s="67"/>
      <c r="LDN34" s="67"/>
      <c r="LDO34" s="67"/>
      <c r="LDP34" s="67"/>
      <c r="LDQ34" s="67"/>
      <c r="LDR34" s="67"/>
      <c r="LDS34" s="67"/>
      <c r="LDT34" s="67"/>
      <c r="LDU34" s="67"/>
      <c r="LDV34" s="67"/>
      <c r="LDW34" s="67"/>
      <c r="LDX34" s="67"/>
      <c r="LDY34" s="67"/>
      <c r="LDZ34" s="67"/>
      <c r="LEA34" s="67"/>
      <c r="LEB34" s="67"/>
      <c r="LEC34" s="67"/>
      <c r="LED34" s="67"/>
      <c r="LEE34" s="67"/>
      <c r="LEF34" s="67"/>
      <c r="LEG34" s="67"/>
      <c r="LEH34" s="67"/>
      <c r="LEI34" s="67"/>
      <c r="LEJ34" s="67"/>
      <c r="LEK34" s="67"/>
      <c r="LEL34" s="67"/>
      <c r="LEM34" s="67"/>
      <c r="LEN34" s="67"/>
      <c r="LEO34" s="67"/>
      <c r="LEP34" s="67"/>
      <c r="LEQ34" s="67"/>
      <c r="LER34" s="67"/>
      <c r="LES34" s="67"/>
      <c r="LET34" s="67"/>
      <c r="LEU34" s="67"/>
      <c r="LEV34" s="67"/>
      <c r="LEW34" s="67"/>
      <c r="LEX34" s="67"/>
      <c r="LEY34" s="67"/>
      <c r="LEZ34" s="67"/>
      <c r="LFA34" s="67"/>
      <c r="LFB34" s="67"/>
      <c r="LFC34" s="67"/>
      <c r="LFD34" s="67"/>
      <c r="LFE34" s="67"/>
      <c r="LFF34" s="67"/>
      <c r="LFG34" s="67"/>
      <c r="LFH34" s="67"/>
      <c r="LFI34" s="67"/>
      <c r="LFJ34" s="67"/>
      <c r="LFK34" s="67"/>
      <c r="LFL34" s="67"/>
      <c r="LFM34" s="67"/>
      <c r="LFN34" s="67"/>
      <c r="LFO34" s="67"/>
      <c r="LFP34" s="67"/>
      <c r="LFQ34" s="67"/>
      <c r="LFR34" s="67"/>
      <c r="LFS34" s="67"/>
      <c r="LFT34" s="67"/>
      <c r="LFU34" s="67"/>
      <c r="LFV34" s="67"/>
      <c r="LFW34" s="67"/>
      <c r="LFX34" s="67"/>
      <c r="LFY34" s="67"/>
      <c r="LFZ34" s="67"/>
      <c r="LGA34" s="67"/>
      <c r="LGB34" s="67"/>
      <c r="LGC34" s="67"/>
      <c r="LGD34" s="67"/>
      <c r="LGE34" s="67"/>
      <c r="LGF34" s="67"/>
      <c r="LGG34" s="67"/>
      <c r="LGH34" s="67"/>
      <c r="LGI34" s="67"/>
      <c r="LGJ34" s="67"/>
      <c r="LGK34" s="67"/>
      <c r="LGL34" s="67"/>
      <c r="LGM34" s="67"/>
      <c r="LGN34" s="67"/>
      <c r="LGO34" s="67"/>
      <c r="LGP34" s="67"/>
      <c r="LGQ34" s="67"/>
      <c r="LGR34" s="67"/>
      <c r="LGS34" s="67"/>
      <c r="LGT34" s="67"/>
      <c r="LGU34" s="67"/>
      <c r="LGV34" s="67"/>
      <c r="LGW34" s="67"/>
      <c r="LGX34" s="67"/>
      <c r="LGY34" s="67"/>
      <c r="LGZ34" s="67"/>
      <c r="LHA34" s="67"/>
      <c r="LHB34" s="67"/>
      <c r="LHC34" s="67"/>
      <c r="LHD34" s="67"/>
      <c r="LHE34" s="67"/>
      <c r="LHF34" s="67"/>
      <c r="LHG34" s="67"/>
      <c r="LHH34" s="67"/>
      <c r="LHI34" s="67"/>
      <c r="LHJ34" s="67"/>
      <c r="LHK34" s="67"/>
      <c r="LHL34" s="67"/>
      <c r="LHM34" s="67"/>
      <c r="LHN34" s="67"/>
      <c r="LHO34" s="67"/>
      <c r="LHP34" s="67"/>
      <c r="LHQ34" s="67"/>
      <c r="LHR34" s="67"/>
      <c r="LHS34" s="67"/>
      <c r="LHT34" s="67"/>
      <c r="LHU34" s="67"/>
      <c r="LHV34" s="67"/>
      <c r="LHW34" s="67"/>
      <c r="LHX34" s="67"/>
      <c r="LHY34" s="67"/>
      <c r="LHZ34" s="67"/>
      <c r="LIA34" s="67"/>
      <c r="LIB34" s="67"/>
      <c r="LIC34" s="67"/>
      <c r="LID34" s="67"/>
      <c r="LIE34" s="67"/>
      <c r="LIF34" s="67"/>
      <c r="LIG34" s="67"/>
      <c r="LIH34" s="67"/>
      <c r="LII34" s="67"/>
      <c r="LIJ34" s="67"/>
      <c r="LIK34" s="67"/>
      <c r="LIL34" s="67"/>
      <c r="LIM34" s="67"/>
      <c r="LIN34" s="67"/>
      <c r="LIO34" s="67"/>
      <c r="LIP34" s="67"/>
      <c r="LIQ34" s="67"/>
      <c r="LIR34" s="67"/>
      <c r="LIS34" s="67"/>
      <c r="LIT34" s="67"/>
      <c r="LIU34" s="67"/>
      <c r="LIV34" s="67"/>
      <c r="LIW34" s="67"/>
      <c r="LIX34" s="67"/>
      <c r="LIY34" s="67"/>
      <c r="LIZ34" s="67"/>
      <c r="LJA34" s="67"/>
      <c r="LJB34" s="67"/>
      <c r="LJC34" s="67"/>
      <c r="LJD34" s="67"/>
      <c r="LJE34" s="67"/>
      <c r="LJF34" s="67"/>
      <c r="LJG34" s="67"/>
      <c r="LJH34" s="67"/>
      <c r="LJI34" s="67"/>
      <c r="LJJ34" s="67"/>
      <c r="LJK34" s="67"/>
      <c r="LJL34" s="67"/>
      <c r="LJM34" s="67"/>
      <c r="LJN34" s="67"/>
      <c r="LJO34" s="67"/>
      <c r="LJP34" s="67"/>
      <c r="LJQ34" s="67"/>
      <c r="LJR34" s="67"/>
      <c r="LJS34" s="67"/>
      <c r="LJT34" s="67"/>
      <c r="LJU34" s="67"/>
      <c r="LJV34" s="67"/>
      <c r="LJW34" s="67"/>
      <c r="LJX34" s="67"/>
      <c r="LJY34" s="67"/>
      <c r="LJZ34" s="67"/>
      <c r="LKA34" s="67"/>
      <c r="LKB34" s="67"/>
      <c r="LKC34" s="67"/>
      <c r="LKD34" s="67"/>
      <c r="LKE34" s="67"/>
      <c r="LKF34" s="67"/>
      <c r="LKG34" s="67"/>
      <c r="LKH34" s="67"/>
      <c r="LKI34" s="67"/>
      <c r="LKJ34" s="67"/>
      <c r="LKK34" s="67"/>
      <c r="LKL34" s="67"/>
      <c r="LKM34" s="67"/>
      <c r="LKN34" s="67"/>
      <c r="LKO34" s="67"/>
      <c r="LKP34" s="67"/>
      <c r="LKQ34" s="67"/>
      <c r="LKR34" s="67"/>
      <c r="LKS34" s="67"/>
      <c r="LKT34" s="67"/>
      <c r="LKU34" s="67"/>
      <c r="LKV34" s="67"/>
      <c r="LKW34" s="67"/>
      <c r="LKX34" s="67"/>
      <c r="LKY34" s="67"/>
      <c r="LKZ34" s="67"/>
      <c r="LLA34" s="67"/>
      <c r="LLB34" s="67"/>
      <c r="LLC34" s="67"/>
      <c r="LLD34" s="67"/>
      <c r="LLE34" s="67"/>
      <c r="LLF34" s="67"/>
      <c r="LLG34" s="67"/>
      <c r="LLH34" s="67"/>
      <c r="LLI34" s="67"/>
      <c r="LLJ34" s="67"/>
      <c r="LLK34" s="67"/>
      <c r="LLL34" s="67"/>
      <c r="LLM34" s="67"/>
      <c r="LLN34" s="67"/>
      <c r="LLO34" s="67"/>
      <c r="LLP34" s="67"/>
      <c r="LLQ34" s="67"/>
      <c r="LLR34" s="67"/>
      <c r="LLS34" s="67"/>
      <c r="LLT34" s="67"/>
      <c r="LLU34" s="67"/>
      <c r="LLV34" s="67"/>
      <c r="LLW34" s="67"/>
      <c r="LLX34" s="67"/>
      <c r="LLY34" s="67"/>
      <c r="LLZ34" s="67"/>
      <c r="LMA34" s="67"/>
      <c r="LMB34" s="67"/>
      <c r="LMC34" s="67"/>
      <c r="LMD34" s="67"/>
      <c r="LME34" s="67"/>
      <c r="LMF34" s="67"/>
      <c r="LMG34" s="67"/>
      <c r="LMH34" s="67"/>
      <c r="LMI34" s="67"/>
      <c r="LMJ34" s="67"/>
      <c r="LMK34" s="67"/>
      <c r="LML34" s="67"/>
      <c r="LMM34" s="67"/>
      <c r="LMN34" s="67"/>
      <c r="LMO34" s="67"/>
      <c r="LMP34" s="67"/>
      <c r="LMQ34" s="67"/>
      <c r="LMR34" s="67"/>
      <c r="LMS34" s="67"/>
      <c r="LMT34" s="67"/>
      <c r="LMU34" s="67"/>
      <c r="LMV34" s="67"/>
      <c r="LMW34" s="67"/>
      <c r="LMX34" s="67"/>
      <c r="LMY34" s="67"/>
      <c r="LMZ34" s="67"/>
      <c r="LNA34" s="67"/>
      <c r="LNB34" s="67"/>
      <c r="LNC34" s="67"/>
      <c r="LND34" s="67"/>
      <c r="LNE34" s="67"/>
      <c r="LNF34" s="67"/>
      <c r="LNG34" s="67"/>
      <c r="LNH34" s="67"/>
      <c r="LNI34" s="67"/>
      <c r="LNJ34" s="67"/>
      <c r="LNK34" s="67"/>
      <c r="LNL34" s="67"/>
      <c r="LNM34" s="67"/>
      <c r="LNN34" s="67"/>
      <c r="LNO34" s="67"/>
      <c r="LNP34" s="67"/>
      <c r="LNQ34" s="67"/>
      <c r="LNR34" s="67"/>
      <c r="LNS34" s="67"/>
      <c r="LNT34" s="67"/>
      <c r="LNU34" s="67"/>
      <c r="LNV34" s="67"/>
      <c r="LNW34" s="67"/>
      <c r="LNX34" s="67"/>
      <c r="LNY34" s="67"/>
      <c r="LNZ34" s="67"/>
      <c r="LOA34" s="67"/>
      <c r="LOB34" s="67"/>
      <c r="LOC34" s="67"/>
      <c r="LOD34" s="67"/>
      <c r="LOE34" s="67"/>
      <c r="LOF34" s="67"/>
      <c r="LOG34" s="67"/>
      <c r="LOH34" s="67"/>
      <c r="LOI34" s="67"/>
      <c r="LOJ34" s="67"/>
      <c r="LOK34" s="67"/>
      <c r="LOL34" s="67"/>
      <c r="LOM34" s="67"/>
      <c r="LON34" s="67"/>
      <c r="LOO34" s="67"/>
      <c r="LOP34" s="67"/>
      <c r="LOQ34" s="67"/>
      <c r="LOR34" s="67"/>
      <c r="LOS34" s="67"/>
      <c r="LOT34" s="67"/>
      <c r="LOU34" s="67"/>
      <c r="LOV34" s="67"/>
      <c r="LOW34" s="67"/>
      <c r="LOX34" s="67"/>
      <c r="LOY34" s="67"/>
      <c r="LOZ34" s="67"/>
      <c r="LPA34" s="67"/>
      <c r="LPB34" s="67"/>
      <c r="LPC34" s="67"/>
      <c r="LPD34" s="67"/>
      <c r="LPE34" s="67"/>
      <c r="LPF34" s="67"/>
      <c r="LPG34" s="67"/>
      <c r="LPH34" s="67"/>
      <c r="LPI34" s="67"/>
      <c r="LPJ34" s="67"/>
      <c r="LPK34" s="67"/>
      <c r="LPL34" s="67"/>
      <c r="LPM34" s="67"/>
      <c r="LPN34" s="67"/>
      <c r="LPO34" s="67"/>
      <c r="LPP34" s="67"/>
      <c r="LPQ34" s="67"/>
      <c r="LPR34" s="67"/>
      <c r="LPS34" s="67"/>
      <c r="LPT34" s="67"/>
      <c r="LPU34" s="67"/>
      <c r="LPV34" s="67"/>
      <c r="LPW34" s="67"/>
      <c r="LPX34" s="67"/>
      <c r="LPY34" s="67"/>
      <c r="LPZ34" s="67"/>
      <c r="LQA34" s="67"/>
      <c r="LQB34" s="67"/>
      <c r="LQC34" s="67"/>
      <c r="LQD34" s="67"/>
      <c r="LQE34" s="67"/>
      <c r="LQF34" s="67"/>
      <c r="LQG34" s="67"/>
      <c r="LQH34" s="67"/>
      <c r="LQI34" s="67"/>
      <c r="LQJ34" s="67"/>
      <c r="LQK34" s="67"/>
      <c r="LQL34" s="67"/>
      <c r="LQM34" s="67"/>
      <c r="LQN34" s="67"/>
      <c r="LQO34" s="67"/>
      <c r="LQP34" s="67"/>
      <c r="LQQ34" s="67"/>
      <c r="LQR34" s="67"/>
      <c r="LQS34" s="67"/>
      <c r="LQT34" s="67"/>
      <c r="LQU34" s="67"/>
      <c r="LQV34" s="67"/>
      <c r="LQW34" s="67"/>
      <c r="LQX34" s="67"/>
      <c r="LQY34" s="67"/>
      <c r="LQZ34" s="67"/>
      <c r="LRA34" s="67"/>
      <c r="LRB34" s="67"/>
      <c r="LRC34" s="67"/>
      <c r="LRD34" s="67"/>
      <c r="LRE34" s="67"/>
      <c r="LRF34" s="67"/>
      <c r="LRG34" s="67"/>
      <c r="LRH34" s="67"/>
      <c r="LRI34" s="67"/>
      <c r="LRJ34" s="67"/>
      <c r="LRK34" s="67"/>
      <c r="LRL34" s="67"/>
      <c r="LRM34" s="67"/>
      <c r="LRN34" s="67"/>
      <c r="LRO34" s="67"/>
      <c r="LRP34" s="67"/>
      <c r="LRQ34" s="67"/>
      <c r="LRR34" s="67"/>
      <c r="LRS34" s="67"/>
      <c r="LRT34" s="67"/>
      <c r="LRU34" s="67"/>
      <c r="LRV34" s="67"/>
      <c r="LRW34" s="67"/>
      <c r="LRX34" s="67"/>
      <c r="LRY34" s="67"/>
      <c r="LRZ34" s="67"/>
      <c r="LSA34" s="67"/>
      <c r="LSB34" s="67"/>
      <c r="LSC34" s="67"/>
      <c r="LSD34" s="67"/>
      <c r="LSE34" s="67"/>
      <c r="LSF34" s="67"/>
      <c r="LSG34" s="67"/>
      <c r="LSH34" s="67"/>
      <c r="LSI34" s="67"/>
      <c r="LSJ34" s="67"/>
      <c r="LSK34" s="67"/>
      <c r="LSL34" s="67"/>
      <c r="LSM34" s="67"/>
      <c r="LSN34" s="67"/>
      <c r="LSO34" s="67"/>
      <c r="LSP34" s="67"/>
      <c r="LSQ34" s="67"/>
      <c r="LSR34" s="67"/>
      <c r="LSS34" s="67"/>
      <c r="LST34" s="67"/>
      <c r="LSU34" s="67"/>
      <c r="LSV34" s="67"/>
      <c r="LSW34" s="67"/>
      <c r="LSX34" s="67"/>
      <c r="LSY34" s="67"/>
      <c r="LSZ34" s="67"/>
      <c r="LTA34" s="67"/>
      <c r="LTB34" s="67"/>
      <c r="LTC34" s="67"/>
      <c r="LTD34" s="67"/>
      <c r="LTE34" s="67"/>
      <c r="LTF34" s="67"/>
      <c r="LTG34" s="67"/>
      <c r="LTH34" s="67"/>
      <c r="LTI34" s="67"/>
      <c r="LTJ34" s="67"/>
      <c r="LTK34" s="67"/>
      <c r="LTL34" s="67"/>
      <c r="LTM34" s="67"/>
      <c r="LTN34" s="67"/>
      <c r="LTO34" s="67"/>
      <c r="LTP34" s="67"/>
      <c r="LTQ34" s="67"/>
      <c r="LTR34" s="67"/>
      <c r="LTS34" s="67"/>
      <c r="LTT34" s="67"/>
      <c r="LTU34" s="67"/>
      <c r="LTV34" s="67"/>
      <c r="LTW34" s="67"/>
      <c r="LTX34" s="67"/>
      <c r="LTY34" s="67"/>
      <c r="LTZ34" s="67"/>
      <c r="LUA34" s="67"/>
      <c r="LUB34" s="67"/>
      <c r="LUC34" s="67"/>
      <c r="LUD34" s="67"/>
      <c r="LUE34" s="67"/>
      <c r="LUF34" s="67"/>
      <c r="LUG34" s="67"/>
      <c r="LUH34" s="67"/>
      <c r="LUI34" s="67"/>
      <c r="LUJ34" s="67"/>
      <c r="LUK34" s="67"/>
      <c r="LUL34" s="67"/>
      <c r="LUM34" s="67"/>
      <c r="LUN34" s="67"/>
      <c r="LUO34" s="67"/>
      <c r="LUP34" s="67"/>
      <c r="LUQ34" s="67"/>
      <c r="LUR34" s="67"/>
      <c r="LUS34" s="67"/>
      <c r="LUT34" s="67"/>
      <c r="LUU34" s="67"/>
      <c r="LUV34" s="67"/>
      <c r="LUW34" s="67"/>
      <c r="LUX34" s="67"/>
      <c r="LUY34" s="67"/>
      <c r="LUZ34" s="67"/>
      <c r="LVA34" s="67"/>
      <c r="LVB34" s="67"/>
      <c r="LVC34" s="67"/>
      <c r="LVD34" s="67"/>
      <c r="LVE34" s="67"/>
      <c r="LVF34" s="67"/>
      <c r="LVG34" s="67"/>
      <c r="LVH34" s="67"/>
      <c r="LVI34" s="67"/>
      <c r="LVJ34" s="67"/>
      <c r="LVK34" s="67"/>
      <c r="LVL34" s="67"/>
      <c r="LVM34" s="67"/>
      <c r="LVN34" s="67"/>
      <c r="LVO34" s="67"/>
      <c r="LVP34" s="67"/>
      <c r="LVQ34" s="67"/>
      <c r="LVR34" s="67"/>
      <c r="LVS34" s="67"/>
      <c r="LVT34" s="67"/>
      <c r="LVU34" s="67"/>
      <c r="LVV34" s="67"/>
      <c r="LVW34" s="67"/>
      <c r="LVX34" s="67"/>
      <c r="LVY34" s="67"/>
      <c r="LVZ34" s="67"/>
      <c r="LWA34" s="67"/>
      <c r="LWB34" s="67"/>
      <c r="LWC34" s="67"/>
      <c r="LWD34" s="67"/>
      <c r="LWE34" s="67"/>
      <c r="LWF34" s="67"/>
      <c r="LWG34" s="67"/>
      <c r="LWH34" s="67"/>
      <c r="LWI34" s="67"/>
      <c r="LWJ34" s="67"/>
      <c r="LWK34" s="67"/>
      <c r="LWL34" s="67"/>
      <c r="LWM34" s="67"/>
      <c r="LWN34" s="67"/>
      <c r="LWO34" s="67"/>
      <c r="LWP34" s="67"/>
      <c r="LWQ34" s="67"/>
      <c r="LWR34" s="67"/>
      <c r="LWS34" s="67"/>
      <c r="LWT34" s="67"/>
      <c r="LWU34" s="67"/>
      <c r="LWV34" s="67"/>
      <c r="LWW34" s="67"/>
      <c r="LWX34" s="67"/>
      <c r="LWY34" s="67"/>
      <c r="LWZ34" s="67"/>
      <c r="LXA34" s="67"/>
      <c r="LXB34" s="67"/>
      <c r="LXC34" s="67"/>
      <c r="LXD34" s="67"/>
      <c r="LXE34" s="67"/>
      <c r="LXF34" s="67"/>
      <c r="LXG34" s="67"/>
      <c r="LXH34" s="67"/>
      <c r="LXI34" s="67"/>
      <c r="LXJ34" s="67"/>
      <c r="LXK34" s="67"/>
      <c r="LXL34" s="67"/>
      <c r="LXM34" s="67"/>
      <c r="LXN34" s="67"/>
      <c r="LXO34" s="67"/>
      <c r="LXP34" s="67"/>
      <c r="LXQ34" s="67"/>
      <c r="LXR34" s="67"/>
      <c r="LXS34" s="67"/>
      <c r="LXT34" s="67"/>
      <c r="LXU34" s="67"/>
      <c r="LXV34" s="67"/>
      <c r="LXW34" s="67"/>
      <c r="LXX34" s="67"/>
      <c r="LXY34" s="67"/>
      <c r="LXZ34" s="67"/>
      <c r="LYA34" s="67"/>
      <c r="LYB34" s="67"/>
      <c r="LYC34" s="67"/>
      <c r="LYD34" s="67"/>
      <c r="LYE34" s="67"/>
      <c r="LYF34" s="67"/>
      <c r="LYG34" s="67"/>
      <c r="LYH34" s="67"/>
      <c r="LYI34" s="67"/>
      <c r="LYJ34" s="67"/>
      <c r="LYK34" s="67"/>
      <c r="LYL34" s="67"/>
      <c r="LYM34" s="67"/>
      <c r="LYN34" s="67"/>
      <c r="LYO34" s="67"/>
      <c r="LYP34" s="67"/>
      <c r="LYQ34" s="67"/>
      <c r="LYR34" s="67"/>
      <c r="LYS34" s="67"/>
      <c r="LYT34" s="67"/>
      <c r="LYU34" s="67"/>
      <c r="LYV34" s="67"/>
      <c r="LYW34" s="67"/>
      <c r="LYX34" s="67"/>
      <c r="LYY34" s="67"/>
      <c r="LYZ34" s="67"/>
      <c r="LZA34" s="67"/>
      <c r="LZB34" s="67"/>
      <c r="LZC34" s="67"/>
      <c r="LZD34" s="67"/>
      <c r="LZE34" s="67"/>
      <c r="LZF34" s="67"/>
      <c r="LZG34" s="67"/>
      <c r="LZH34" s="67"/>
      <c r="LZI34" s="67"/>
      <c r="LZJ34" s="67"/>
      <c r="LZK34" s="67"/>
      <c r="LZL34" s="67"/>
      <c r="LZM34" s="67"/>
      <c r="LZN34" s="67"/>
      <c r="LZO34" s="67"/>
      <c r="LZP34" s="67"/>
      <c r="LZQ34" s="67"/>
      <c r="LZR34" s="67"/>
      <c r="LZS34" s="67"/>
      <c r="LZT34" s="67"/>
      <c r="LZU34" s="67"/>
      <c r="LZV34" s="67"/>
      <c r="LZW34" s="67"/>
      <c r="LZX34" s="67"/>
      <c r="LZY34" s="67"/>
      <c r="LZZ34" s="67"/>
      <c r="MAA34" s="67"/>
      <c r="MAB34" s="67"/>
      <c r="MAC34" s="67"/>
      <c r="MAD34" s="67"/>
      <c r="MAE34" s="67"/>
      <c r="MAF34" s="67"/>
      <c r="MAG34" s="67"/>
      <c r="MAH34" s="67"/>
      <c r="MAI34" s="67"/>
      <c r="MAJ34" s="67"/>
      <c r="MAK34" s="67"/>
      <c r="MAL34" s="67"/>
      <c r="MAM34" s="67"/>
      <c r="MAN34" s="67"/>
      <c r="MAO34" s="67"/>
      <c r="MAP34" s="67"/>
      <c r="MAQ34" s="67"/>
      <c r="MAR34" s="67"/>
      <c r="MAS34" s="67"/>
      <c r="MAT34" s="67"/>
      <c r="MAU34" s="67"/>
      <c r="MAV34" s="67"/>
      <c r="MAW34" s="67"/>
      <c r="MAX34" s="67"/>
      <c r="MAY34" s="67"/>
      <c r="MAZ34" s="67"/>
      <c r="MBA34" s="67"/>
      <c r="MBB34" s="67"/>
      <c r="MBC34" s="67"/>
      <c r="MBD34" s="67"/>
      <c r="MBE34" s="67"/>
      <c r="MBF34" s="67"/>
      <c r="MBG34" s="67"/>
      <c r="MBH34" s="67"/>
      <c r="MBI34" s="67"/>
      <c r="MBJ34" s="67"/>
      <c r="MBK34" s="67"/>
      <c r="MBL34" s="67"/>
      <c r="MBM34" s="67"/>
      <c r="MBN34" s="67"/>
      <c r="MBO34" s="67"/>
      <c r="MBP34" s="67"/>
      <c r="MBQ34" s="67"/>
      <c r="MBR34" s="67"/>
      <c r="MBS34" s="67"/>
      <c r="MBT34" s="67"/>
      <c r="MBU34" s="67"/>
      <c r="MBV34" s="67"/>
      <c r="MBW34" s="67"/>
      <c r="MBX34" s="67"/>
      <c r="MBY34" s="67"/>
      <c r="MBZ34" s="67"/>
      <c r="MCA34" s="67"/>
      <c r="MCB34" s="67"/>
      <c r="MCC34" s="67"/>
      <c r="MCD34" s="67"/>
      <c r="MCE34" s="67"/>
      <c r="MCF34" s="67"/>
      <c r="MCG34" s="67"/>
      <c r="MCH34" s="67"/>
      <c r="MCI34" s="67"/>
      <c r="MCJ34" s="67"/>
      <c r="MCK34" s="67"/>
      <c r="MCL34" s="67"/>
      <c r="MCM34" s="67"/>
      <c r="MCN34" s="67"/>
      <c r="MCO34" s="67"/>
      <c r="MCP34" s="67"/>
      <c r="MCQ34" s="67"/>
      <c r="MCR34" s="67"/>
      <c r="MCS34" s="67"/>
      <c r="MCT34" s="67"/>
      <c r="MCU34" s="67"/>
      <c r="MCV34" s="67"/>
      <c r="MCW34" s="67"/>
      <c r="MCX34" s="67"/>
      <c r="MCY34" s="67"/>
      <c r="MCZ34" s="67"/>
      <c r="MDA34" s="67"/>
      <c r="MDB34" s="67"/>
      <c r="MDC34" s="67"/>
      <c r="MDD34" s="67"/>
      <c r="MDE34" s="67"/>
      <c r="MDF34" s="67"/>
      <c r="MDG34" s="67"/>
      <c r="MDH34" s="67"/>
      <c r="MDI34" s="67"/>
      <c r="MDJ34" s="67"/>
      <c r="MDK34" s="67"/>
      <c r="MDL34" s="67"/>
      <c r="MDM34" s="67"/>
      <c r="MDN34" s="67"/>
      <c r="MDO34" s="67"/>
      <c r="MDP34" s="67"/>
      <c r="MDQ34" s="67"/>
      <c r="MDR34" s="67"/>
      <c r="MDS34" s="67"/>
      <c r="MDT34" s="67"/>
      <c r="MDU34" s="67"/>
      <c r="MDV34" s="67"/>
      <c r="MDW34" s="67"/>
      <c r="MDX34" s="67"/>
      <c r="MDY34" s="67"/>
      <c r="MDZ34" s="67"/>
      <c r="MEA34" s="67"/>
      <c r="MEB34" s="67"/>
      <c r="MEC34" s="67"/>
      <c r="MED34" s="67"/>
      <c r="MEE34" s="67"/>
      <c r="MEF34" s="67"/>
      <c r="MEG34" s="67"/>
      <c r="MEH34" s="67"/>
      <c r="MEI34" s="67"/>
      <c r="MEJ34" s="67"/>
      <c r="MEK34" s="67"/>
      <c r="MEL34" s="67"/>
      <c r="MEM34" s="67"/>
      <c r="MEN34" s="67"/>
      <c r="MEO34" s="67"/>
      <c r="MEP34" s="67"/>
      <c r="MEQ34" s="67"/>
      <c r="MER34" s="67"/>
      <c r="MES34" s="67"/>
      <c r="MET34" s="67"/>
      <c r="MEU34" s="67"/>
      <c r="MEV34" s="67"/>
      <c r="MEW34" s="67"/>
      <c r="MEX34" s="67"/>
      <c r="MEY34" s="67"/>
      <c r="MEZ34" s="67"/>
      <c r="MFA34" s="67"/>
      <c r="MFB34" s="67"/>
      <c r="MFC34" s="67"/>
      <c r="MFD34" s="67"/>
      <c r="MFE34" s="67"/>
      <c r="MFF34" s="67"/>
      <c r="MFG34" s="67"/>
      <c r="MFH34" s="67"/>
      <c r="MFI34" s="67"/>
      <c r="MFJ34" s="67"/>
      <c r="MFK34" s="67"/>
      <c r="MFL34" s="67"/>
      <c r="MFM34" s="67"/>
      <c r="MFN34" s="67"/>
      <c r="MFO34" s="67"/>
      <c r="MFP34" s="67"/>
      <c r="MFQ34" s="67"/>
      <c r="MFR34" s="67"/>
      <c r="MFS34" s="67"/>
      <c r="MFT34" s="67"/>
      <c r="MFU34" s="67"/>
      <c r="MFV34" s="67"/>
      <c r="MFW34" s="67"/>
      <c r="MFX34" s="67"/>
      <c r="MFY34" s="67"/>
      <c r="MFZ34" s="67"/>
      <c r="MGA34" s="67"/>
      <c r="MGB34" s="67"/>
      <c r="MGC34" s="67"/>
      <c r="MGD34" s="67"/>
      <c r="MGE34" s="67"/>
      <c r="MGF34" s="67"/>
      <c r="MGG34" s="67"/>
      <c r="MGH34" s="67"/>
      <c r="MGI34" s="67"/>
      <c r="MGJ34" s="67"/>
      <c r="MGK34" s="67"/>
      <c r="MGL34" s="67"/>
      <c r="MGM34" s="67"/>
      <c r="MGN34" s="67"/>
      <c r="MGO34" s="67"/>
      <c r="MGP34" s="67"/>
      <c r="MGQ34" s="67"/>
      <c r="MGR34" s="67"/>
      <c r="MGS34" s="67"/>
      <c r="MGT34" s="67"/>
      <c r="MGU34" s="67"/>
      <c r="MGV34" s="67"/>
      <c r="MGW34" s="67"/>
      <c r="MGX34" s="67"/>
      <c r="MGY34" s="67"/>
      <c r="MGZ34" s="67"/>
      <c r="MHA34" s="67"/>
      <c r="MHB34" s="67"/>
      <c r="MHC34" s="67"/>
      <c r="MHD34" s="67"/>
      <c r="MHE34" s="67"/>
      <c r="MHF34" s="67"/>
      <c r="MHG34" s="67"/>
      <c r="MHH34" s="67"/>
      <c r="MHI34" s="67"/>
      <c r="MHJ34" s="67"/>
      <c r="MHK34" s="67"/>
      <c r="MHL34" s="67"/>
      <c r="MHM34" s="67"/>
      <c r="MHN34" s="67"/>
      <c r="MHO34" s="67"/>
      <c r="MHP34" s="67"/>
      <c r="MHQ34" s="67"/>
      <c r="MHR34" s="67"/>
      <c r="MHS34" s="67"/>
      <c r="MHT34" s="67"/>
      <c r="MHU34" s="67"/>
      <c r="MHV34" s="67"/>
      <c r="MHW34" s="67"/>
      <c r="MHX34" s="67"/>
      <c r="MHY34" s="67"/>
      <c r="MHZ34" s="67"/>
      <c r="MIA34" s="67"/>
      <c r="MIB34" s="67"/>
      <c r="MIC34" s="67"/>
      <c r="MID34" s="67"/>
      <c r="MIE34" s="67"/>
      <c r="MIF34" s="67"/>
      <c r="MIG34" s="67"/>
      <c r="MIH34" s="67"/>
      <c r="MII34" s="67"/>
      <c r="MIJ34" s="67"/>
      <c r="MIK34" s="67"/>
      <c r="MIL34" s="67"/>
      <c r="MIM34" s="67"/>
      <c r="MIN34" s="67"/>
      <c r="MIO34" s="67"/>
      <c r="MIP34" s="67"/>
      <c r="MIQ34" s="67"/>
      <c r="MIR34" s="67"/>
      <c r="MIS34" s="67"/>
      <c r="MIT34" s="67"/>
      <c r="MIU34" s="67"/>
      <c r="MIV34" s="67"/>
      <c r="MIW34" s="67"/>
      <c r="MIX34" s="67"/>
      <c r="MIY34" s="67"/>
      <c r="MIZ34" s="67"/>
      <c r="MJA34" s="67"/>
      <c r="MJB34" s="67"/>
      <c r="MJC34" s="67"/>
      <c r="MJD34" s="67"/>
      <c r="MJE34" s="67"/>
      <c r="MJF34" s="67"/>
      <c r="MJG34" s="67"/>
      <c r="MJH34" s="67"/>
      <c r="MJI34" s="67"/>
      <c r="MJJ34" s="67"/>
      <c r="MJK34" s="67"/>
      <c r="MJL34" s="67"/>
      <c r="MJM34" s="67"/>
      <c r="MJN34" s="67"/>
      <c r="MJO34" s="67"/>
      <c r="MJP34" s="67"/>
      <c r="MJQ34" s="67"/>
      <c r="MJR34" s="67"/>
      <c r="MJS34" s="67"/>
      <c r="MJT34" s="67"/>
      <c r="MJU34" s="67"/>
      <c r="MJV34" s="67"/>
      <c r="MJW34" s="67"/>
      <c r="MJX34" s="67"/>
      <c r="MJY34" s="67"/>
      <c r="MJZ34" s="67"/>
      <c r="MKA34" s="67"/>
      <c r="MKB34" s="67"/>
      <c r="MKC34" s="67"/>
      <c r="MKD34" s="67"/>
      <c r="MKE34" s="67"/>
      <c r="MKF34" s="67"/>
      <c r="MKG34" s="67"/>
      <c r="MKH34" s="67"/>
      <c r="MKI34" s="67"/>
      <c r="MKJ34" s="67"/>
      <c r="MKK34" s="67"/>
      <c r="MKL34" s="67"/>
      <c r="MKM34" s="67"/>
      <c r="MKN34" s="67"/>
      <c r="MKO34" s="67"/>
      <c r="MKP34" s="67"/>
      <c r="MKQ34" s="67"/>
      <c r="MKR34" s="67"/>
      <c r="MKS34" s="67"/>
      <c r="MKT34" s="67"/>
      <c r="MKU34" s="67"/>
      <c r="MKV34" s="67"/>
      <c r="MKW34" s="67"/>
      <c r="MKX34" s="67"/>
      <c r="MKY34" s="67"/>
      <c r="MKZ34" s="67"/>
      <c r="MLA34" s="67"/>
      <c r="MLB34" s="67"/>
      <c r="MLC34" s="67"/>
      <c r="MLD34" s="67"/>
      <c r="MLE34" s="67"/>
      <c r="MLF34" s="67"/>
      <c r="MLG34" s="67"/>
      <c r="MLH34" s="67"/>
      <c r="MLI34" s="67"/>
      <c r="MLJ34" s="67"/>
      <c r="MLK34" s="67"/>
      <c r="MLL34" s="67"/>
      <c r="MLM34" s="67"/>
      <c r="MLN34" s="67"/>
      <c r="MLO34" s="67"/>
      <c r="MLP34" s="67"/>
      <c r="MLQ34" s="67"/>
      <c r="MLR34" s="67"/>
      <c r="MLS34" s="67"/>
      <c r="MLT34" s="67"/>
      <c r="MLU34" s="67"/>
      <c r="MLV34" s="67"/>
      <c r="MLW34" s="67"/>
      <c r="MLX34" s="67"/>
      <c r="MLY34" s="67"/>
      <c r="MLZ34" s="67"/>
      <c r="MMA34" s="67"/>
      <c r="MMB34" s="67"/>
      <c r="MMC34" s="67"/>
      <c r="MMD34" s="67"/>
      <c r="MME34" s="67"/>
      <c r="MMF34" s="67"/>
      <c r="MMG34" s="67"/>
      <c r="MMH34" s="67"/>
      <c r="MMI34" s="67"/>
      <c r="MMJ34" s="67"/>
      <c r="MMK34" s="67"/>
      <c r="MML34" s="67"/>
      <c r="MMM34" s="67"/>
      <c r="MMN34" s="67"/>
      <c r="MMO34" s="67"/>
      <c r="MMP34" s="67"/>
      <c r="MMQ34" s="67"/>
      <c r="MMR34" s="67"/>
      <c r="MMS34" s="67"/>
      <c r="MMT34" s="67"/>
      <c r="MMU34" s="67"/>
      <c r="MMV34" s="67"/>
      <c r="MMW34" s="67"/>
      <c r="MMX34" s="67"/>
      <c r="MMY34" s="67"/>
      <c r="MMZ34" s="67"/>
      <c r="MNA34" s="67"/>
      <c r="MNB34" s="67"/>
      <c r="MNC34" s="67"/>
      <c r="MND34" s="67"/>
      <c r="MNE34" s="67"/>
      <c r="MNF34" s="67"/>
      <c r="MNG34" s="67"/>
      <c r="MNH34" s="67"/>
      <c r="MNI34" s="67"/>
      <c r="MNJ34" s="67"/>
      <c r="MNK34" s="67"/>
      <c r="MNL34" s="67"/>
      <c r="MNM34" s="67"/>
      <c r="MNN34" s="67"/>
      <c r="MNO34" s="67"/>
      <c r="MNP34" s="67"/>
      <c r="MNQ34" s="67"/>
      <c r="MNR34" s="67"/>
      <c r="MNS34" s="67"/>
      <c r="MNT34" s="67"/>
      <c r="MNU34" s="67"/>
      <c r="MNV34" s="67"/>
      <c r="MNW34" s="67"/>
      <c r="MNX34" s="67"/>
      <c r="MNY34" s="67"/>
      <c r="MNZ34" s="67"/>
      <c r="MOA34" s="67"/>
      <c r="MOB34" s="67"/>
      <c r="MOC34" s="67"/>
      <c r="MOD34" s="67"/>
      <c r="MOE34" s="67"/>
      <c r="MOF34" s="67"/>
      <c r="MOG34" s="67"/>
      <c r="MOH34" s="67"/>
      <c r="MOI34" s="67"/>
      <c r="MOJ34" s="67"/>
      <c r="MOK34" s="67"/>
      <c r="MOL34" s="67"/>
      <c r="MOM34" s="67"/>
      <c r="MON34" s="67"/>
      <c r="MOO34" s="67"/>
      <c r="MOP34" s="67"/>
      <c r="MOQ34" s="67"/>
      <c r="MOR34" s="67"/>
      <c r="MOS34" s="67"/>
      <c r="MOT34" s="67"/>
      <c r="MOU34" s="67"/>
      <c r="MOV34" s="67"/>
      <c r="MOW34" s="67"/>
      <c r="MOX34" s="67"/>
      <c r="MOY34" s="67"/>
      <c r="MOZ34" s="67"/>
      <c r="MPA34" s="67"/>
      <c r="MPB34" s="67"/>
      <c r="MPC34" s="67"/>
      <c r="MPD34" s="67"/>
      <c r="MPE34" s="67"/>
      <c r="MPF34" s="67"/>
      <c r="MPG34" s="67"/>
      <c r="MPH34" s="67"/>
      <c r="MPI34" s="67"/>
      <c r="MPJ34" s="67"/>
      <c r="MPK34" s="67"/>
      <c r="MPL34" s="67"/>
      <c r="MPM34" s="67"/>
      <c r="MPN34" s="67"/>
      <c r="MPO34" s="67"/>
      <c r="MPP34" s="67"/>
      <c r="MPQ34" s="67"/>
      <c r="MPR34" s="67"/>
      <c r="MPS34" s="67"/>
      <c r="MPT34" s="67"/>
      <c r="MPU34" s="67"/>
      <c r="MPV34" s="67"/>
      <c r="MPW34" s="67"/>
      <c r="MPX34" s="67"/>
      <c r="MPY34" s="67"/>
      <c r="MPZ34" s="67"/>
      <c r="MQA34" s="67"/>
      <c r="MQB34" s="67"/>
      <c r="MQC34" s="67"/>
      <c r="MQD34" s="67"/>
      <c r="MQE34" s="67"/>
      <c r="MQF34" s="67"/>
      <c r="MQG34" s="67"/>
      <c r="MQH34" s="67"/>
      <c r="MQI34" s="67"/>
      <c r="MQJ34" s="67"/>
      <c r="MQK34" s="67"/>
      <c r="MQL34" s="67"/>
      <c r="MQM34" s="67"/>
      <c r="MQN34" s="67"/>
      <c r="MQO34" s="67"/>
      <c r="MQP34" s="67"/>
      <c r="MQQ34" s="67"/>
      <c r="MQR34" s="67"/>
      <c r="MQS34" s="67"/>
      <c r="MQT34" s="67"/>
      <c r="MQU34" s="67"/>
      <c r="MQV34" s="67"/>
      <c r="MQW34" s="67"/>
      <c r="MQX34" s="67"/>
      <c r="MQY34" s="67"/>
      <c r="MQZ34" s="67"/>
      <c r="MRA34" s="67"/>
      <c r="MRB34" s="67"/>
      <c r="MRC34" s="67"/>
      <c r="MRD34" s="67"/>
      <c r="MRE34" s="67"/>
      <c r="MRF34" s="67"/>
      <c r="MRG34" s="67"/>
      <c r="MRH34" s="67"/>
      <c r="MRI34" s="67"/>
      <c r="MRJ34" s="67"/>
      <c r="MRK34" s="67"/>
      <c r="MRL34" s="67"/>
      <c r="MRM34" s="67"/>
      <c r="MRN34" s="67"/>
      <c r="MRO34" s="67"/>
      <c r="MRP34" s="67"/>
      <c r="MRQ34" s="67"/>
      <c r="MRR34" s="67"/>
      <c r="MRS34" s="67"/>
      <c r="MRT34" s="67"/>
      <c r="MRU34" s="67"/>
      <c r="MRV34" s="67"/>
      <c r="MRW34" s="67"/>
      <c r="MRX34" s="67"/>
      <c r="MRY34" s="67"/>
      <c r="MRZ34" s="67"/>
      <c r="MSA34" s="67"/>
      <c r="MSB34" s="67"/>
      <c r="MSC34" s="67"/>
      <c r="MSD34" s="67"/>
      <c r="MSE34" s="67"/>
      <c r="MSF34" s="67"/>
      <c r="MSG34" s="67"/>
      <c r="MSH34" s="67"/>
      <c r="MSI34" s="67"/>
      <c r="MSJ34" s="67"/>
      <c r="MSK34" s="67"/>
      <c r="MSL34" s="67"/>
      <c r="MSM34" s="67"/>
      <c r="MSN34" s="67"/>
      <c r="MSO34" s="67"/>
      <c r="MSP34" s="67"/>
      <c r="MSQ34" s="67"/>
      <c r="MSR34" s="67"/>
      <c r="MSS34" s="67"/>
      <c r="MST34" s="67"/>
      <c r="MSU34" s="67"/>
      <c r="MSV34" s="67"/>
      <c r="MSW34" s="67"/>
      <c r="MSX34" s="67"/>
      <c r="MSY34" s="67"/>
      <c r="MSZ34" s="67"/>
      <c r="MTA34" s="67"/>
      <c r="MTB34" s="67"/>
      <c r="MTC34" s="67"/>
      <c r="MTD34" s="67"/>
      <c r="MTE34" s="67"/>
      <c r="MTF34" s="67"/>
      <c r="MTG34" s="67"/>
      <c r="MTH34" s="67"/>
      <c r="MTI34" s="67"/>
      <c r="MTJ34" s="67"/>
      <c r="MTK34" s="67"/>
      <c r="MTL34" s="67"/>
      <c r="MTM34" s="67"/>
      <c r="MTN34" s="67"/>
      <c r="MTO34" s="67"/>
      <c r="MTP34" s="67"/>
      <c r="MTQ34" s="67"/>
      <c r="MTR34" s="67"/>
      <c r="MTS34" s="67"/>
      <c r="MTT34" s="67"/>
      <c r="MTU34" s="67"/>
      <c r="MTV34" s="67"/>
      <c r="MTW34" s="67"/>
      <c r="MTX34" s="67"/>
      <c r="MTY34" s="67"/>
      <c r="MTZ34" s="67"/>
      <c r="MUA34" s="67"/>
      <c r="MUB34" s="67"/>
      <c r="MUC34" s="67"/>
      <c r="MUD34" s="67"/>
      <c r="MUE34" s="67"/>
      <c r="MUF34" s="67"/>
      <c r="MUG34" s="67"/>
      <c r="MUH34" s="67"/>
      <c r="MUI34" s="67"/>
      <c r="MUJ34" s="67"/>
      <c r="MUK34" s="67"/>
      <c r="MUL34" s="67"/>
      <c r="MUM34" s="67"/>
      <c r="MUN34" s="67"/>
      <c r="MUO34" s="67"/>
      <c r="MUP34" s="67"/>
      <c r="MUQ34" s="67"/>
      <c r="MUR34" s="67"/>
      <c r="MUS34" s="67"/>
      <c r="MUT34" s="67"/>
      <c r="MUU34" s="67"/>
      <c r="MUV34" s="67"/>
      <c r="MUW34" s="67"/>
      <c r="MUX34" s="67"/>
      <c r="MUY34" s="67"/>
      <c r="MUZ34" s="67"/>
      <c r="MVA34" s="67"/>
      <c r="MVB34" s="67"/>
      <c r="MVC34" s="67"/>
      <c r="MVD34" s="67"/>
      <c r="MVE34" s="67"/>
      <c r="MVF34" s="67"/>
      <c r="MVG34" s="67"/>
      <c r="MVH34" s="67"/>
      <c r="MVI34" s="67"/>
      <c r="MVJ34" s="67"/>
      <c r="MVK34" s="67"/>
      <c r="MVL34" s="67"/>
      <c r="MVM34" s="67"/>
      <c r="MVN34" s="67"/>
      <c r="MVO34" s="67"/>
      <c r="MVP34" s="67"/>
      <c r="MVQ34" s="67"/>
      <c r="MVR34" s="67"/>
      <c r="MVS34" s="67"/>
      <c r="MVT34" s="67"/>
      <c r="MVU34" s="67"/>
      <c r="MVV34" s="67"/>
      <c r="MVW34" s="67"/>
      <c r="MVX34" s="67"/>
      <c r="MVY34" s="67"/>
      <c r="MVZ34" s="67"/>
      <c r="MWA34" s="67"/>
      <c r="MWB34" s="67"/>
      <c r="MWC34" s="67"/>
      <c r="MWD34" s="67"/>
      <c r="MWE34" s="67"/>
      <c r="MWF34" s="67"/>
      <c r="MWG34" s="67"/>
      <c r="MWH34" s="67"/>
      <c r="MWI34" s="67"/>
      <c r="MWJ34" s="67"/>
      <c r="MWK34" s="67"/>
      <c r="MWL34" s="67"/>
      <c r="MWM34" s="67"/>
      <c r="MWN34" s="67"/>
      <c r="MWO34" s="67"/>
      <c r="MWP34" s="67"/>
      <c r="MWQ34" s="67"/>
      <c r="MWR34" s="67"/>
      <c r="MWS34" s="67"/>
      <c r="MWT34" s="67"/>
      <c r="MWU34" s="67"/>
      <c r="MWV34" s="67"/>
      <c r="MWW34" s="67"/>
      <c r="MWX34" s="67"/>
      <c r="MWY34" s="67"/>
      <c r="MWZ34" s="67"/>
      <c r="MXA34" s="67"/>
      <c r="MXB34" s="67"/>
      <c r="MXC34" s="67"/>
      <c r="MXD34" s="67"/>
      <c r="MXE34" s="67"/>
      <c r="MXF34" s="67"/>
      <c r="MXG34" s="67"/>
      <c r="MXH34" s="67"/>
      <c r="MXI34" s="67"/>
      <c r="MXJ34" s="67"/>
      <c r="MXK34" s="67"/>
      <c r="MXL34" s="67"/>
      <c r="MXM34" s="67"/>
      <c r="MXN34" s="67"/>
      <c r="MXO34" s="67"/>
      <c r="MXP34" s="67"/>
      <c r="MXQ34" s="67"/>
      <c r="MXR34" s="67"/>
      <c r="MXS34" s="67"/>
      <c r="MXT34" s="67"/>
      <c r="MXU34" s="67"/>
      <c r="MXV34" s="67"/>
      <c r="MXW34" s="67"/>
      <c r="MXX34" s="67"/>
      <c r="MXY34" s="67"/>
      <c r="MXZ34" s="67"/>
      <c r="MYA34" s="67"/>
      <c r="MYB34" s="67"/>
      <c r="MYC34" s="67"/>
      <c r="MYD34" s="67"/>
      <c r="MYE34" s="67"/>
      <c r="MYF34" s="67"/>
      <c r="MYG34" s="67"/>
      <c r="MYH34" s="67"/>
      <c r="MYI34" s="67"/>
      <c r="MYJ34" s="67"/>
      <c r="MYK34" s="67"/>
      <c r="MYL34" s="67"/>
      <c r="MYM34" s="67"/>
      <c r="MYN34" s="67"/>
      <c r="MYO34" s="67"/>
      <c r="MYP34" s="67"/>
      <c r="MYQ34" s="67"/>
      <c r="MYR34" s="67"/>
      <c r="MYS34" s="67"/>
      <c r="MYT34" s="67"/>
      <c r="MYU34" s="67"/>
      <c r="MYV34" s="67"/>
      <c r="MYW34" s="67"/>
      <c r="MYX34" s="67"/>
      <c r="MYY34" s="67"/>
      <c r="MYZ34" s="67"/>
      <c r="MZA34" s="67"/>
      <c r="MZB34" s="67"/>
      <c r="MZC34" s="67"/>
      <c r="MZD34" s="67"/>
      <c r="MZE34" s="67"/>
      <c r="MZF34" s="67"/>
      <c r="MZG34" s="67"/>
      <c r="MZH34" s="67"/>
      <c r="MZI34" s="67"/>
      <c r="MZJ34" s="67"/>
      <c r="MZK34" s="67"/>
      <c r="MZL34" s="67"/>
      <c r="MZM34" s="67"/>
      <c r="MZN34" s="67"/>
      <c r="MZO34" s="67"/>
      <c r="MZP34" s="67"/>
      <c r="MZQ34" s="67"/>
      <c r="MZR34" s="67"/>
      <c r="MZS34" s="67"/>
      <c r="MZT34" s="67"/>
      <c r="MZU34" s="67"/>
      <c r="MZV34" s="67"/>
      <c r="MZW34" s="67"/>
      <c r="MZX34" s="67"/>
      <c r="MZY34" s="67"/>
      <c r="MZZ34" s="67"/>
      <c r="NAA34" s="67"/>
      <c r="NAB34" s="67"/>
      <c r="NAC34" s="67"/>
      <c r="NAD34" s="67"/>
      <c r="NAE34" s="67"/>
      <c r="NAF34" s="67"/>
      <c r="NAG34" s="67"/>
      <c r="NAH34" s="67"/>
      <c r="NAI34" s="67"/>
      <c r="NAJ34" s="67"/>
      <c r="NAK34" s="67"/>
      <c r="NAL34" s="67"/>
      <c r="NAM34" s="67"/>
      <c r="NAN34" s="67"/>
      <c r="NAO34" s="67"/>
      <c r="NAP34" s="67"/>
      <c r="NAQ34" s="67"/>
      <c r="NAR34" s="67"/>
      <c r="NAS34" s="67"/>
      <c r="NAT34" s="67"/>
      <c r="NAU34" s="67"/>
      <c r="NAV34" s="67"/>
      <c r="NAW34" s="67"/>
      <c r="NAX34" s="67"/>
      <c r="NAY34" s="67"/>
      <c r="NAZ34" s="67"/>
      <c r="NBA34" s="67"/>
      <c r="NBB34" s="67"/>
      <c r="NBC34" s="67"/>
      <c r="NBD34" s="67"/>
      <c r="NBE34" s="67"/>
      <c r="NBF34" s="67"/>
      <c r="NBG34" s="67"/>
      <c r="NBH34" s="67"/>
      <c r="NBI34" s="67"/>
      <c r="NBJ34" s="67"/>
      <c r="NBK34" s="67"/>
      <c r="NBL34" s="67"/>
      <c r="NBM34" s="67"/>
      <c r="NBN34" s="67"/>
      <c r="NBO34" s="67"/>
      <c r="NBP34" s="67"/>
      <c r="NBQ34" s="67"/>
      <c r="NBR34" s="67"/>
      <c r="NBS34" s="67"/>
      <c r="NBT34" s="67"/>
      <c r="NBU34" s="67"/>
      <c r="NBV34" s="67"/>
      <c r="NBW34" s="67"/>
      <c r="NBX34" s="67"/>
      <c r="NBY34" s="67"/>
      <c r="NBZ34" s="67"/>
      <c r="NCA34" s="67"/>
      <c r="NCB34" s="67"/>
      <c r="NCC34" s="67"/>
      <c r="NCD34" s="67"/>
      <c r="NCE34" s="67"/>
      <c r="NCF34" s="67"/>
      <c r="NCG34" s="67"/>
      <c r="NCH34" s="67"/>
      <c r="NCI34" s="67"/>
      <c r="NCJ34" s="67"/>
      <c r="NCK34" s="67"/>
      <c r="NCL34" s="67"/>
      <c r="NCM34" s="67"/>
      <c r="NCN34" s="67"/>
      <c r="NCO34" s="67"/>
      <c r="NCP34" s="67"/>
      <c r="NCQ34" s="67"/>
      <c r="NCR34" s="67"/>
      <c r="NCS34" s="67"/>
      <c r="NCT34" s="67"/>
      <c r="NCU34" s="67"/>
      <c r="NCV34" s="67"/>
      <c r="NCW34" s="67"/>
      <c r="NCX34" s="67"/>
      <c r="NCY34" s="67"/>
      <c r="NCZ34" s="67"/>
      <c r="NDA34" s="67"/>
      <c r="NDB34" s="67"/>
      <c r="NDC34" s="67"/>
      <c r="NDD34" s="67"/>
      <c r="NDE34" s="67"/>
      <c r="NDF34" s="67"/>
      <c r="NDG34" s="67"/>
      <c r="NDH34" s="67"/>
      <c r="NDI34" s="67"/>
      <c r="NDJ34" s="67"/>
      <c r="NDK34" s="67"/>
      <c r="NDL34" s="67"/>
      <c r="NDM34" s="67"/>
      <c r="NDN34" s="67"/>
      <c r="NDO34" s="67"/>
      <c r="NDP34" s="67"/>
      <c r="NDQ34" s="67"/>
      <c r="NDR34" s="67"/>
      <c r="NDS34" s="67"/>
      <c r="NDT34" s="67"/>
      <c r="NDU34" s="67"/>
      <c r="NDV34" s="67"/>
      <c r="NDW34" s="67"/>
      <c r="NDX34" s="67"/>
      <c r="NDY34" s="67"/>
      <c r="NDZ34" s="67"/>
      <c r="NEA34" s="67"/>
      <c r="NEB34" s="67"/>
      <c r="NEC34" s="67"/>
      <c r="NED34" s="67"/>
      <c r="NEE34" s="67"/>
      <c r="NEF34" s="67"/>
      <c r="NEG34" s="67"/>
      <c r="NEH34" s="67"/>
      <c r="NEI34" s="67"/>
      <c r="NEJ34" s="67"/>
      <c r="NEK34" s="67"/>
      <c r="NEL34" s="67"/>
      <c r="NEM34" s="67"/>
      <c r="NEN34" s="67"/>
      <c r="NEO34" s="67"/>
      <c r="NEP34" s="67"/>
      <c r="NEQ34" s="67"/>
      <c r="NER34" s="67"/>
      <c r="NES34" s="67"/>
      <c r="NET34" s="67"/>
      <c r="NEU34" s="67"/>
      <c r="NEV34" s="67"/>
      <c r="NEW34" s="67"/>
      <c r="NEX34" s="67"/>
      <c r="NEY34" s="67"/>
      <c r="NEZ34" s="67"/>
      <c r="NFA34" s="67"/>
      <c r="NFB34" s="67"/>
      <c r="NFC34" s="67"/>
      <c r="NFD34" s="67"/>
      <c r="NFE34" s="67"/>
      <c r="NFF34" s="67"/>
      <c r="NFG34" s="67"/>
      <c r="NFH34" s="67"/>
      <c r="NFI34" s="67"/>
      <c r="NFJ34" s="67"/>
      <c r="NFK34" s="67"/>
      <c r="NFL34" s="67"/>
      <c r="NFM34" s="67"/>
      <c r="NFN34" s="67"/>
      <c r="NFO34" s="67"/>
      <c r="NFP34" s="67"/>
      <c r="NFQ34" s="67"/>
      <c r="NFR34" s="67"/>
      <c r="NFS34" s="67"/>
      <c r="NFT34" s="67"/>
      <c r="NFU34" s="67"/>
      <c r="NFV34" s="67"/>
      <c r="NFW34" s="67"/>
      <c r="NFX34" s="67"/>
      <c r="NFY34" s="67"/>
      <c r="NFZ34" s="67"/>
      <c r="NGA34" s="67"/>
      <c r="NGB34" s="67"/>
      <c r="NGC34" s="67"/>
      <c r="NGD34" s="67"/>
      <c r="NGE34" s="67"/>
      <c r="NGF34" s="67"/>
      <c r="NGG34" s="67"/>
      <c r="NGH34" s="67"/>
      <c r="NGI34" s="67"/>
      <c r="NGJ34" s="67"/>
      <c r="NGK34" s="67"/>
      <c r="NGL34" s="67"/>
      <c r="NGM34" s="67"/>
      <c r="NGN34" s="67"/>
      <c r="NGO34" s="67"/>
      <c r="NGP34" s="67"/>
      <c r="NGQ34" s="67"/>
      <c r="NGR34" s="67"/>
      <c r="NGS34" s="67"/>
      <c r="NGT34" s="67"/>
      <c r="NGU34" s="67"/>
      <c r="NGV34" s="67"/>
      <c r="NGW34" s="67"/>
      <c r="NGX34" s="67"/>
      <c r="NGY34" s="67"/>
      <c r="NGZ34" s="67"/>
      <c r="NHA34" s="67"/>
      <c r="NHB34" s="67"/>
      <c r="NHC34" s="67"/>
      <c r="NHD34" s="67"/>
      <c r="NHE34" s="67"/>
      <c r="NHF34" s="67"/>
      <c r="NHG34" s="67"/>
      <c r="NHH34" s="67"/>
      <c r="NHI34" s="67"/>
      <c r="NHJ34" s="67"/>
      <c r="NHK34" s="67"/>
      <c r="NHL34" s="67"/>
      <c r="NHM34" s="67"/>
      <c r="NHN34" s="67"/>
      <c r="NHO34" s="67"/>
      <c r="NHP34" s="67"/>
      <c r="NHQ34" s="67"/>
      <c r="NHR34" s="67"/>
      <c r="NHS34" s="67"/>
      <c r="NHT34" s="67"/>
      <c r="NHU34" s="67"/>
      <c r="NHV34" s="67"/>
      <c r="NHW34" s="67"/>
      <c r="NHX34" s="67"/>
      <c r="NHY34" s="67"/>
      <c r="NHZ34" s="67"/>
      <c r="NIA34" s="67"/>
      <c r="NIB34" s="67"/>
      <c r="NIC34" s="67"/>
      <c r="NID34" s="67"/>
      <c r="NIE34" s="67"/>
      <c r="NIF34" s="67"/>
      <c r="NIG34" s="67"/>
      <c r="NIH34" s="67"/>
      <c r="NII34" s="67"/>
      <c r="NIJ34" s="67"/>
      <c r="NIK34" s="67"/>
      <c r="NIL34" s="67"/>
      <c r="NIM34" s="67"/>
      <c r="NIN34" s="67"/>
      <c r="NIO34" s="67"/>
      <c r="NIP34" s="67"/>
      <c r="NIQ34" s="67"/>
      <c r="NIR34" s="67"/>
      <c r="NIS34" s="67"/>
      <c r="NIT34" s="67"/>
      <c r="NIU34" s="67"/>
      <c r="NIV34" s="67"/>
      <c r="NIW34" s="67"/>
      <c r="NIX34" s="67"/>
      <c r="NIY34" s="67"/>
      <c r="NIZ34" s="67"/>
      <c r="NJA34" s="67"/>
      <c r="NJB34" s="67"/>
      <c r="NJC34" s="67"/>
      <c r="NJD34" s="67"/>
      <c r="NJE34" s="67"/>
      <c r="NJF34" s="67"/>
      <c r="NJG34" s="67"/>
      <c r="NJH34" s="67"/>
      <c r="NJI34" s="67"/>
      <c r="NJJ34" s="67"/>
      <c r="NJK34" s="67"/>
      <c r="NJL34" s="67"/>
      <c r="NJM34" s="67"/>
      <c r="NJN34" s="67"/>
      <c r="NJO34" s="67"/>
      <c r="NJP34" s="67"/>
      <c r="NJQ34" s="67"/>
      <c r="NJR34" s="67"/>
      <c r="NJS34" s="67"/>
      <c r="NJT34" s="67"/>
      <c r="NJU34" s="67"/>
      <c r="NJV34" s="67"/>
      <c r="NJW34" s="67"/>
      <c r="NJX34" s="67"/>
      <c r="NJY34" s="67"/>
      <c r="NJZ34" s="67"/>
      <c r="NKA34" s="67"/>
      <c r="NKB34" s="67"/>
      <c r="NKC34" s="67"/>
      <c r="NKD34" s="67"/>
      <c r="NKE34" s="67"/>
      <c r="NKF34" s="67"/>
      <c r="NKG34" s="67"/>
      <c r="NKH34" s="67"/>
      <c r="NKI34" s="67"/>
      <c r="NKJ34" s="67"/>
      <c r="NKK34" s="67"/>
      <c r="NKL34" s="67"/>
      <c r="NKM34" s="67"/>
      <c r="NKN34" s="67"/>
      <c r="NKO34" s="67"/>
      <c r="NKP34" s="67"/>
      <c r="NKQ34" s="67"/>
      <c r="NKR34" s="67"/>
      <c r="NKS34" s="67"/>
      <c r="NKT34" s="67"/>
      <c r="NKU34" s="67"/>
      <c r="NKV34" s="67"/>
      <c r="NKW34" s="67"/>
      <c r="NKX34" s="67"/>
      <c r="NKY34" s="67"/>
      <c r="NKZ34" s="67"/>
      <c r="NLA34" s="67"/>
      <c r="NLB34" s="67"/>
      <c r="NLC34" s="67"/>
      <c r="NLD34" s="67"/>
      <c r="NLE34" s="67"/>
      <c r="NLF34" s="67"/>
      <c r="NLG34" s="67"/>
      <c r="NLH34" s="67"/>
      <c r="NLI34" s="67"/>
      <c r="NLJ34" s="67"/>
      <c r="NLK34" s="67"/>
      <c r="NLL34" s="67"/>
      <c r="NLM34" s="67"/>
      <c r="NLN34" s="67"/>
      <c r="NLO34" s="67"/>
      <c r="NLP34" s="67"/>
      <c r="NLQ34" s="67"/>
      <c r="NLR34" s="67"/>
      <c r="NLS34" s="67"/>
      <c r="NLT34" s="67"/>
      <c r="NLU34" s="67"/>
      <c r="NLV34" s="67"/>
      <c r="NLW34" s="67"/>
      <c r="NLX34" s="67"/>
      <c r="NLY34" s="67"/>
      <c r="NLZ34" s="67"/>
      <c r="NMA34" s="67"/>
      <c r="NMB34" s="67"/>
      <c r="NMC34" s="67"/>
      <c r="NMD34" s="67"/>
      <c r="NME34" s="67"/>
      <c r="NMF34" s="67"/>
      <c r="NMG34" s="67"/>
      <c r="NMH34" s="67"/>
      <c r="NMI34" s="67"/>
      <c r="NMJ34" s="67"/>
      <c r="NMK34" s="67"/>
      <c r="NML34" s="67"/>
      <c r="NMM34" s="67"/>
      <c r="NMN34" s="67"/>
      <c r="NMO34" s="67"/>
      <c r="NMP34" s="67"/>
      <c r="NMQ34" s="67"/>
      <c r="NMR34" s="67"/>
      <c r="NMS34" s="67"/>
      <c r="NMT34" s="67"/>
      <c r="NMU34" s="67"/>
      <c r="NMV34" s="67"/>
      <c r="NMW34" s="67"/>
      <c r="NMX34" s="67"/>
      <c r="NMY34" s="67"/>
      <c r="NMZ34" s="67"/>
      <c r="NNA34" s="67"/>
      <c r="NNB34" s="67"/>
      <c r="NNC34" s="67"/>
      <c r="NND34" s="67"/>
      <c r="NNE34" s="67"/>
      <c r="NNF34" s="67"/>
      <c r="NNG34" s="67"/>
      <c r="NNH34" s="67"/>
      <c r="NNI34" s="67"/>
      <c r="NNJ34" s="67"/>
      <c r="NNK34" s="67"/>
      <c r="NNL34" s="67"/>
      <c r="NNM34" s="67"/>
      <c r="NNN34" s="67"/>
      <c r="NNO34" s="67"/>
      <c r="NNP34" s="67"/>
      <c r="NNQ34" s="67"/>
      <c r="NNR34" s="67"/>
      <c r="NNS34" s="67"/>
      <c r="NNT34" s="67"/>
      <c r="NNU34" s="67"/>
      <c r="NNV34" s="67"/>
      <c r="NNW34" s="67"/>
      <c r="NNX34" s="67"/>
      <c r="NNY34" s="67"/>
      <c r="NNZ34" s="67"/>
      <c r="NOA34" s="67"/>
      <c r="NOB34" s="67"/>
      <c r="NOC34" s="67"/>
      <c r="NOD34" s="67"/>
      <c r="NOE34" s="67"/>
      <c r="NOF34" s="67"/>
      <c r="NOG34" s="67"/>
      <c r="NOH34" s="67"/>
      <c r="NOI34" s="67"/>
      <c r="NOJ34" s="67"/>
      <c r="NOK34" s="67"/>
      <c r="NOL34" s="67"/>
      <c r="NOM34" s="67"/>
      <c r="NON34" s="67"/>
      <c r="NOO34" s="67"/>
      <c r="NOP34" s="67"/>
      <c r="NOQ34" s="67"/>
      <c r="NOR34" s="67"/>
      <c r="NOS34" s="67"/>
      <c r="NOT34" s="67"/>
      <c r="NOU34" s="67"/>
      <c r="NOV34" s="67"/>
      <c r="NOW34" s="67"/>
      <c r="NOX34" s="67"/>
      <c r="NOY34" s="67"/>
      <c r="NOZ34" s="67"/>
      <c r="NPA34" s="67"/>
      <c r="NPB34" s="67"/>
      <c r="NPC34" s="67"/>
      <c r="NPD34" s="67"/>
      <c r="NPE34" s="67"/>
      <c r="NPF34" s="67"/>
      <c r="NPG34" s="67"/>
      <c r="NPH34" s="67"/>
      <c r="NPI34" s="67"/>
      <c r="NPJ34" s="67"/>
      <c r="NPK34" s="67"/>
      <c r="NPL34" s="67"/>
      <c r="NPM34" s="67"/>
      <c r="NPN34" s="67"/>
      <c r="NPO34" s="67"/>
      <c r="NPP34" s="67"/>
      <c r="NPQ34" s="67"/>
      <c r="NPR34" s="67"/>
      <c r="NPS34" s="67"/>
      <c r="NPT34" s="67"/>
      <c r="NPU34" s="67"/>
      <c r="NPV34" s="67"/>
      <c r="NPW34" s="67"/>
      <c r="NPX34" s="67"/>
      <c r="NPY34" s="67"/>
      <c r="NPZ34" s="67"/>
      <c r="NQA34" s="67"/>
      <c r="NQB34" s="67"/>
      <c r="NQC34" s="67"/>
      <c r="NQD34" s="67"/>
      <c r="NQE34" s="67"/>
      <c r="NQF34" s="67"/>
      <c r="NQG34" s="67"/>
      <c r="NQH34" s="67"/>
      <c r="NQI34" s="67"/>
      <c r="NQJ34" s="67"/>
      <c r="NQK34" s="67"/>
      <c r="NQL34" s="67"/>
      <c r="NQM34" s="67"/>
      <c r="NQN34" s="67"/>
      <c r="NQO34" s="67"/>
      <c r="NQP34" s="67"/>
      <c r="NQQ34" s="67"/>
      <c r="NQR34" s="67"/>
      <c r="NQS34" s="67"/>
      <c r="NQT34" s="67"/>
      <c r="NQU34" s="67"/>
      <c r="NQV34" s="67"/>
      <c r="NQW34" s="67"/>
      <c r="NQX34" s="67"/>
      <c r="NQY34" s="67"/>
      <c r="NQZ34" s="67"/>
      <c r="NRA34" s="67"/>
      <c r="NRB34" s="67"/>
      <c r="NRC34" s="67"/>
      <c r="NRD34" s="67"/>
      <c r="NRE34" s="67"/>
      <c r="NRF34" s="67"/>
      <c r="NRG34" s="67"/>
      <c r="NRH34" s="67"/>
      <c r="NRI34" s="67"/>
      <c r="NRJ34" s="67"/>
      <c r="NRK34" s="67"/>
      <c r="NRL34" s="67"/>
      <c r="NRM34" s="67"/>
      <c r="NRN34" s="67"/>
      <c r="NRO34" s="67"/>
      <c r="NRP34" s="67"/>
      <c r="NRQ34" s="67"/>
      <c r="NRR34" s="67"/>
      <c r="NRS34" s="67"/>
      <c r="NRT34" s="67"/>
      <c r="NRU34" s="67"/>
      <c r="NRV34" s="67"/>
      <c r="NRW34" s="67"/>
      <c r="NRX34" s="67"/>
      <c r="NRY34" s="67"/>
      <c r="NRZ34" s="67"/>
      <c r="NSA34" s="67"/>
      <c r="NSB34" s="67"/>
      <c r="NSC34" s="67"/>
      <c r="NSD34" s="67"/>
      <c r="NSE34" s="67"/>
      <c r="NSF34" s="67"/>
      <c r="NSG34" s="67"/>
      <c r="NSH34" s="67"/>
      <c r="NSI34" s="67"/>
      <c r="NSJ34" s="67"/>
      <c r="NSK34" s="67"/>
      <c r="NSL34" s="67"/>
      <c r="NSM34" s="67"/>
      <c r="NSN34" s="67"/>
      <c r="NSO34" s="67"/>
      <c r="NSP34" s="67"/>
      <c r="NSQ34" s="67"/>
      <c r="NSR34" s="67"/>
      <c r="NSS34" s="67"/>
      <c r="NST34" s="67"/>
      <c r="NSU34" s="67"/>
      <c r="NSV34" s="67"/>
      <c r="NSW34" s="67"/>
      <c r="NSX34" s="67"/>
      <c r="NSY34" s="67"/>
      <c r="NSZ34" s="67"/>
      <c r="NTA34" s="67"/>
      <c r="NTB34" s="67"/>
      <c r="NTC34" s="67"/>
      <c r="NTD34" s="67"/>
      <c r="NTE34" s="67"/>
      <c r="NTF34" s="67"/>
      <c r="NTG34" s="67"/>
      <c r="NTH34" s="67"/>
      <c r="NTI34" s="67"/>
      <c r="NTJ34" s="67"/>
      <c r="NTK34" s="67"/>
      <c r="NTL34" s="67"/>
      <c r="NTM34" s="67"/>
      <c r="NTN34" s="67"/>
      <c r="NTO34" s="67"/>
      <c r="NTP34" s="67"/>
      <c r="NTQ34" s="67"/>
      <c r="NTR34" s="67"/>
      <c r="NTS34" s="67"/>
      <c r="NTT34" s="67"/>
      <c r="NTU34" s="67"/>
      <c r="NTV34" s="67"/>
      <c r="NTW34" s="67"/>
      <c r="NTX34" s="67"/>
      <c r="NTY34" s="67"/>
      <c r="NTZ34" s="67"/>
      <c r="NUA34" s="67"/>
      <c r="NUB34" s="67"/>
      <c r="NUC34" s="67"/>
      <c r="NUD34" s="67"/>
      <c r="NUE34" s="67"/>
      <c r="NUF34" s="67"/>
      <c r="NUG34" s="67"/>
      <c r="NUH34" s="67"/>
      <c r="NUI34" s="67"/>
      <c r="NUJ34" s="67"/>
      <c r="NUK34" s="67"/>
      <c r="NUL34" s="67"/>
      <c r="NUM34" s="67"/>
      <c r="NUN34" s="67"/>
      <c r="NUO34" s="67"/>
      <c r="NUP34" s="67"/>
      <c r="NUQ34" s="67"/>
      <c r="NUR34" s="67"/>
      <c r="NUS34" s="67"/>
      <c r="NUT34" s="67"/>
      <c r="NUU34" s="67"/>
      <c r="NUV34" s="67"/>
      <c r="NUW34" s="67"/>
      <c r="NUX34" s="67"/>
      <c r="NUY34" s="67"/>
      <c r="NUZ34" s="67"/>
      <c r="NVA34" s="67"/>
      <c r="NVB34" s="67"/>
      <c r="NVC34" s="67"/>
      <c r="NVD34" s="67"/>
      <c r="NVE34" s="67"/>
      <c r="NVF34" s="67"/>
      <c r="NVG34" s="67"/>
      <c r="NVH34" s="67"/>
      <c r="NVI34" s="67"/>
      <c r="NVJ34" s="67"/>
      <c r="NVK34" s="67"/>
      <c r="NVL34" s="67"/>
      <c r="NVM34" s="67"/>
      <c r="NVN34" s="67"/>
      <c r="NVO34" s="67"/>
      <c r="NVP34" s="67"/>
      <c r="NVQ34" s="67"/>
      <c r="NVR34" s="67"/>
      <c r="NVS34" s="67"/>
      <c r="NVT34" s="67"/>
      <c r="NVU34" s="67"/>
      <c r="NVV34" s="67"/>
      <c r="NVW34" s="67"/>
      <c r="NVX34" s="67"/>
      <c r="NVY34" s="67"/>
      <c r="NVZ34" s="67"/>
      <c r="NWA34" s="67"/>
      <c r="NWB34" s="67"/>
      <c r="NWC34" s="67"/>
      <c r="NWD34" s="67"/>
      <c r="NWE34" s="67"/>
      <c r="NWF34" s="67"/>
      <c r="NWG34" s="67"/>
      <c r="NWH34" s="67"/>
      <c r="NWI34" s="67"/>
      <c r="NWJ34" s="67"/>
      <c r="NWK34" s="67"/>
      <c r="NWL34" s="67"/>
      <c r="NWM34" s="67"/>
      <c r="NWN34" s="67"/>
      <c r="NWO34" s="67"/>
      <c r="NWP34" s="67"/>
      <c r="NWQ34" s="67"/>
      <c r="NWR34" s="67"/>
      <c r="NWS34" s="67"/>
      <c r="NWT34" s="67"/>
      <c r="NWU34" s="67"/>
      <c r="NWV34" s="67"/>
      <c r="NWW34" s="67"/>
      <c r="NWX34" s="67"/>
      <c r="NWY34" s="67"/>
      <c r="NWZ34" s="67"/>
      <c r="NXA34" s="67"/>
      <c r="NXB34" s="67"/>
      <c r="NXC34" s="67"/>
      <c r="NXD34" s="67"/>
      <c r="NXE34" s="67"/>
      <c r="NXF34" s="67"/>
      <c r="NXG34" s="67"/>
      <c r="NXH34" s="67"/>
      <c r="NXI34" s="67"/>
      <c r="NXJ34" s="67"/>
      <c r="NXK34" s="67"/>
      <c r="NXL34" s="67"/>
      <c r="NXM34" s="67"/>
      <c r="NXN34" s="67"/>
      <c r="NXO34" s="67"/>
      <c r="NXP34" s="67"/>
      <c r="NXQ34" s="67"/>
      <c r="NXR34" s="67"/>
      <c r="NXS34" s="67"/>
      <c r="NXT34" s="67"/>
      <c r="NXU34" s="67"/>
      <c r="NXV34" s="67"/>
      <c r="NXW34" s="67"/>
      <c r="NXX34" s="67"/>
      <c r="NXY34" s="67"/>
      <c r="NXZ34" s="67"/>
      <c r="NYA34" s="67"/>
      <c r="NYB34" s="67"/>
      <c r="NYC34" s="67"/>
      <c r="NYD34" s="67"/>
      <c r="NYE34" s="67"/>
      <c r="NYF34" s="67"/>
      <c r="NYG34" s="67"/>
      <c r="NYH34" s="67"/>
      <c r="NYI34" s="67"/>
      <c r="NYJ34" s="67"/>
      <c r="NYK34" s="67"/>
      <c r="NYL34" s="67"/>
      <c r="NYM34" s="67"/>
      <c r="NYN34" s="67"/>
      <c r="NYO34" s="67"/>
      <c r="NYP34" s="67"/>
      <c r="NYQ34" s="67"/>
      <c r="NYR34" s="67"/>
      <c r="NYS34" s="67"/>
      <c r="NYT34" s="67"/>
      <c r="NYU34" s="67"/>
      <c r="NYV34" s="67"/>
      <c r="NYW34" s="67"/>
      <c r="NYX34" s="67"/>
      <c r="NYY34" s="67"/>
      <c r="NYZ34" s="67"/>
      <c r="NZA34" s="67"/>
      <c r="NZB34" s="67"/>
      <c r="NZC34" s="67"/>
      <c r="NZD34" s="67"/>
      <c r="NZE34" s="67"/>
      <c r="NZF34" s="67"/>
      <c r="NZG34" s="67"/>
      <c r="NZH34" s="67"/>
      <c r="NZI34" s="67"/>
      <c r="NZJ34" s="67"/>
      <c r="NZK34" s="67"/>
      <c r="NZL34" s="67"/>
      <c r="NZM34" s="67"/>
      <c r="NZN34" s="67"/>
      <c r="NZO34" s="67"/>
      <c r="NZP34" s="67"/>
      <c r="NZQ34" s="67"/>
      <c r="NZR34" s="67"/>
      <c r="NZS34" s="67"/>
      <c r="NZT34" s="67"/>
      <c r="NZU34" s="67"/>
      <c r="NZV34" s="67"/>
      <c r="NZW34" s="67"/>
      <c r="NZX34" s="67"/>
      <c r="NZY34" s="67"/>
      <c r="NZZ34" s="67"/>
      <c r="OAA34" s="67"/>
      <c r="OAB34" s="67"/>
      <c r="OAC34" s="67"/>
      <c r="OAD34" s="67"/>
      <c r="OAE34" s="67"/>
      <c r="OAF34" s="67"/>
      <c r="OAG34" s="67"/>
      <c r="OAH34" s="67"/>
      <c r="OAI34" s="67"/>
      <c r="OAJ34" s="67"/>
      <c r="OAK34" s="67"/>
      <c r="OAL34" s="67"/>
      <c r="OAM34" s="67"/>
      <c r="OAN34" s="67"/>
      <c r="OAO34" s="67"/>
      <c r="OAP34" s="67"/>
      <c r="OAQ34" s="67"/>
      <c r="OAR34" s="67"/>
      <c r="OAS34" s="67"/>
      <c r="OAT34" s="67"/>
      <c r="OAU34" s="67"/>
      <c r="OAV34" s="67"/>
      <c r="OAW34" s="67"/>
      <c r="OAX34" s="67"/>
      <c r="OAY34" s="67"/>
      <c r="OAZ34" s="67"/>
      <c r="OBA34" s="67"/>
      <c r="OBB34" s="67"/>
      <c r="OBC34" s="67"/>
      <c r="OBD34" s="67"/>
      <c r="OBE34" s="67"/>
      <c r="OBF34" s="67"/>
      <c r="OBG34" s="67"/>
      <c r="OBH34" s="67"/>
      <c r="OBI34" s="67"/>
      <c r="OBJ34" s="67"/>
      <c r="OBK34" s="67"/>
      <c r="OBL34" s="67"/>
      <c r="OBM34" s="67"/>
      <c r="OBN34" s="67"/>
      <c r="OBO34" s="67"/>
      <c r="OBP34" s="67"/>
      <c r="OBQ34" s="67"/>
      <c r="OBR34" s="67"/>
      <c r="OBS34" s="67"/>
      <c r="OBT34" s="67"/>
      <c r="OBU34" s="67"/>
      <c r="OBV34" s="67"/>
      <c r="OBW34" s="67"/>
      <c r="OBX34" s="67"/>
      <c r="OBY34" s="67"/>
      <c r="OBZ34" s="67"/>
      <c r="OCA34" s="67"/>
      <c r="OCB34" s="67"/>
      <c r="OCC34" s="67"/>
      <c r="OCD34" s="67"/>
      <c r="OCE34" s="67"/>
      <c r="OCF34" s="67"/>
      <c r="OCG34" s="67"/>
      <c r="OCH34" s="67"/>
      <c r="OCI34" s="67"/>
      <c r="OCJ34" s="67"/>
      <c r="OCK34" s="67"/>
      <c r="OCL34" s="67"/>
      <c r="OCM34" s="67"/>
      <c r="OCN34" s="67"/>
      <c r="OCO34" s="67"/>
      <c r="OCP34" s="67"/>
      <c r="OCQ34" s="67"/>
      <c r="OCR34" s="67"/>
      <c r="OCS34" s="67"/>
      <c r="OCT34" s="67"/>
      <c r="OCU34" s="67"/>
      <c r="OCV34" s="67"/>
      <c r="OCW34" s="67"/>
      <c r="OCX34" s="67"/>
      <c r="OCY34" s="67"/>
      <c r="OCZ34" s="67"/>
      <c r="ODA34" s="67"/>
      <c r="ODB34" s="67"/>
      <c r="ODC34" s="67"/>
      <c r="ODD34" s="67"/>
      <c r="ODE34" s="67"/>
      <c r="ODF34" s="67"/>
      <c r="ODG34" s="67"/>
      <c r="ODH34" s="67"/>
      <c r="ODI34" s="67"/>
      <c r="ODJ34" s="67"/>
      <c r="ODK34" s="67"/>
      <c r="ODL34" s="67"/>
      <c r="ODM34" s="67"/>
      <c r="ODN34" s="67"/>
      <c r="ODO34" s="67"/>
      <c r="ODP34" s="67"/>
      <c r="ODQ34" s="67"/>
      <c r="ODR34" s="67"/>
      <c r="ODS34" s="67"/>
      <c r="ODT34" s="67"/>
      <c r="ODU34" s="67"/>
      <c r="ODV34" s="67"/>
      <c r="ODW34" s="67"/>
      <c r="ODX34" s="67"/>
      <c r="ODY34" s="67"/>
      <c r="ODZ34" s="67"/>
      <c r="OEA34" s="67"/>
      <c r="OEB34" s="67"/>
      <c r="OEC34" s="67"/>
      <c r="OED34" s="67"/>
      <c r="OEE34" s="67"/>
      <c r="OEF34" s="67"/>
      <c r="OEG34" s="67"/>
      <c r="OEH34" s="67"/>
      <c r="OEI34" s="67"/>
      <c r="OEJ34" s="67"/>
      <c r="OEK34" s="67"/>
      <c r="OEL34" s="67"/>
      <c r="OEM34" s="67"/>
      <c r="OEN34" s="67"/>
      <c r="OEO34" s="67"/>
      <c r="OEP34" s="67"/>
      <c r="OEQ34" s="67"/>
      <c r="OER34" s="67"/>
      <c r="OES34" s="67"/>
      <c r="OET34" s="67"/>
      <c r="OEU34" s="67"/>
      <c r="OEV34" s="67"/>
      <c r="OEW34" s="67"/>
      <c r="OEX34" s="67"/>
      <c r="OEY34" s="67"/>
      <c r="OEZ34" s="67"/>
      <c r="OFA34" s="67"/>
      <c r="OFB34" s="67"/>
      <c r="OFC34" s="67"/>
      <c r="OFD34" s="67"/>
      <c r="OFE34" s="67"/>
      <c r="OFF34" s="67"/>
      <c r="OFG34" s="67"/>
      <c r="OFH34" s="67"/>
      <c r="OFI34" s="67"/>
      <c r="OFJ34" s="67"/>
      <c r="OFK34" s="67"/>
      <c r="OFL34" s="67"/>
      <c r="OFM34" s="67"/>
      <c r="OFN34" s="67"/>
      <c r="OFO34" s="67"/>
      <c r="OFP34" s="67"/>
      <c r="OFQ34" s="67"/>
      <c r="OFR34" s="67"/>
      <c r="OFS34" s="67"/>
      <c r="OFT34" s="67"/>
      <c r="OFU34" s="67"/>
      <c r="OFV34" s="67"/>
      <c r="OFW34" s="67"/>
      <c r="OFX34" s="67"/>
      <c r="OFY34" s="67"/>
      <c r="OFZ34" s="67"/>
      <c r="OGA34" s="67"/>
      <c r="OGB34" s="67"/>
      <c r="OGC34" s="67"/>
      <c r="OGD34" s="67"/>
      <c r="OGE34" s="67"/>
      <c r="OGF34" s="67"/>
      <c r="OGG34" s="67"/>
      <c r="OGH34" s="67"/>
      <c r="OGI34" s="67"/>
      <c r="OGJ34" s="67"/>
      <c r="OGK34" s="67"/>
      <c r="OGL34" s="67"/>
      <c r="OGM34" s="67"/>
      <c r="OGN34" s="67"/>
      <c r="OGO34" s="67"/>
      <c r="OGP34" s="67"/>
      <c r="OGQ34" s="67"/>
      <c r="OGR34" s="67"/>
      <c r="OGS34" s="67"/>
      <c r="OGT34" s="67"/>
      <c r="OGU34" s="67"/>
      <c r="OGV34" s="67"/>
      <c r="OGW34" s="67"/>
      <c r="OGX34" s="67"/>
      <c r="OGY34" s="67"/>
      <c r="OGZ34" s="67"/>
      <c r="OHA34" s="67"/>
      <c r="OHB34" s="67"/>
      <c r="OHC34" s="67"/>
      <c r="OHD34" s="67"/>
      <c r="OHE34" s="67"/>
      <c r="OHF34" s="67"/>
      <c r="OHG34" s="67"/>
      <c r="OHH34" s="67"/>
      <c r="OHI34" s="67"/>
      <c r="OHJ34" s="67"/>
      <c r="OHK34" s="67"/>
      <c r="OHL34" s="67"/>
      <c r="OHM34" s="67"/>
      <c r="OHN34" s="67"/>
      <c r="OHO34" s="67"/>
      <c r="OHP34" s="67"/>
      <c r="OHQ34" s="67"/>
      <c r="OHR34" s="67"/>
      <c r="OHS34" s="67"/>
      <c r="OHT34" s="67"/>
      <c r="OHU34" s="67"/>
      <c r="OHV34" s="67"/>
      <c r="OHW34" s="67"/>
      <c r="OHX34" s="67"/>
      <c r="OHY34" s="67"/>
      <c r="OHZ34" s="67"/>
      <c r="OIA34" s="67"/>
      <c r="OIB34" s="67"/>
      <c r="OIC34" s="67"/>
      <c r="OID34" s="67"/>
      <c r="OIE34" s="67"/>
      <c r="OIF34" s="67"/>
      <c r="OIG34" s="67"/>
      <c r="OIH34" s="67"/>
      <c r="OII34" s="67"/>
      <c r="OIJ34" s="67"/>
      <c r="OIK34" s="67"/>
      <c r="OIL34" s="67"/>
      <c r="OIM34" s="67"/>
      <c r="OIN34" s="67"/>
      <c r="OIO34" s="67"/>
      <c r="OIP34" s="67"/>
      <c r="OIQ34" s="67"/>
      <c r="OIR34" s="67"/>
      <c r="OIS34" s="67"/>
      <c r="OIT34" s="67"/>
      <c r="OIU34" s="67"/>
      <c r="OIV34" s="67"/>
      <c r="OIW34" s="67"/>
      <c r="OIX34" s="67"/>
      <c r="OIY34" s="67"/>
      <c r="OIZ34" s="67"/>
      <c r="OJA34" s="67"/>
      <c r="OJB34" s="67"/>
      <c r="OJC34" s="67"/>
      <c r="OJD34" s="67"/>
      <c r="OJE34" s="67"/>
      <c r="OJF34" s="67"/>
      <c r="OJG34" s="67"/>
      <c r="OJH34" s="67"/>
      <c r="OJI34" s="67"/>
      <c r="OJJ34" s="67"/>
      <c r="OJK34" s="67"/>
      <c r="OJL34" s="67"/>
      <c r="OJM34" s="67"/>
      <c r="OJN34" s="67"/>
      <c r="OJO34" s="67"/>
      <c r="OJP34" s="67"/>
      <c r="OJQ34" s="67"/>
      <c r="OJR34" s="67"/>
      <c r="OJS34" s="67"/>
      <c r="OJT34" s="67"/>
      <c r="OJU34" s="67"/>
      <c r="OJV34" s="67"/>
      <c r="OJW34" s="67"/>
      <c r="OJX34" s="67"/>
      <c r="OJY34" s="67"/>
      <c r="OJZ34" s="67"/>
      <c r="OKA34" s="67"/>
      <c r="OKB34" s="67"/>
      <c r="OKC34" s="67"/>
      <c r="OKD34" s="67"/>
      <c r="OKE34" s="67"/>
      <c r="OKF34" s="67"/>
      <c r="OKG34" s="67"/>
      <c r="OKH34" s="67"/>
      <c r="OKI34" s="67"/>
      <c r="OKJ34" s="67"/>
      <c r="OKK34" s="67"/>
      <c r="OKL34" s="67"/>
      <c r="OKM34" s="67"/>
      <c r="OKN34" s="67"/>
      <c r="OKO34" s="67"/>
      <c r="OKP34" s="67"/>
      <c r="OKQ34" s="67"/>
      <c r="OKR34" s="67"/>
      <c r="OKS34" s="67"/>
      <c r="OKT34" s="67"/>
      <c r="OKU34" s="67"/>
      <c r="OKV34" s="67"/>
      <c r="OKW34" s="67"/>
      <c r="OKX34" s="67"/>
      <c r="OKY34" s="67"/>
      <c r="OKZ34" s="67"/>
      <c r="OLA34" s="67"/>
      <c r="OLB34" s="67"/>
      <c r="OLC34" s="67"/>
      <c r="OLD34" s="67"/>
      <c r="OLE34" s="67"/>
      <c r="OLF34" s="67"/>
      <c r="OLG34" s="67"/>
      <c r="OLH34" s="67"/>
      <c r="OLI34" s="67"/>
      <c r="OLJ34" s="67"/>
      <c r="OLK34" s="67"/>
      <c r="OLL34" s="67"/>
      <c r="OLM34" s="67"/>
      <c r="OLN34" s="67"/>
      <c r="OLO34" s="67"/>
      <c r="OLP34" s="67"/>
      <c r="OLQ34" s="67"/>
      <c r="OLR34" s="67"/>
      <c r="OLS34" s="67"/>
      <c r="OLT34" s="67"/>
      <c r="OLU34" s="67"/>
      <c r="OLV34" s="67"/>
      <c r="OLW34" s="67"/>
      <c r="OLX34" s="67"/>
      <c r="OLY34" s="67"/>
      <c r="OLZ34" s="67"/>
      <c r="OMA34" s="67"/>
      <c r="OMB34" s="67"/>
      <c r="OMC34" s="67"/>
      <c r="OMD34" s="67"/>
      <c r="OME34" s="67"/>
      <c r="OMF34" s="67"/>
      <c r="OMG34" s="67"/>
      <c r="OMH34" s="67"/>
      <c r="OMI34" s="67"/>
      <c r="OMJ34" s="67"/>
      <c r="OMK34" s="67"/>
      <c r="OML34" s="67"/>
      <c r="OMM34" s="67"/>
      <c r="OMN34" s="67"/>
      <c r="OMO34" s="67"/>
      <c r="OMP34" s="67"/>
      <c r="OMQ34" s="67"/>
      <c r="OMR34" s="67"/>
      <c r="OMS34" s="67"/>
      <c r="OMT34" s="67"/>
      <c r="OMU34" s="67"/>
      <c r="OMV34" s="67"/>
      <c r="OMW34" s="67"/>
      <c r="OMX34" s="67"/>
      <c r="OMY34" s="67"/>
      <c r="OMZ34" s="67"/>
      <c r="ONA34" s="67"/>
      <c r="ONB34" s="67"/>
      <c r="ONC34" s="67"/>
      <c r="OND34" s="67"/>
      <c r="ONE34" s="67"/>
      <c r="ONF34" s="67"/>
      <c r="ONG34" s="67"/>
      <c r="ONH34" s="67"/>
      <c r="ONI34" s="67"/>
      <c r="ONJ34" s="67"/>
      <c r="ONK34" s="67"/>
      <c r="ONL34" s="67"/>
      <c r="ONM34" s="67"/>
      <c r="ONN34" s="67"/>
      <c r="ONO34" s="67"/>
      <c r="ONP34" s="67"/>
      <c r="ONQ34" s="67"/>
      <c r="ONR34" s="67"/>
      <c r="ONS34" s="67"/>
      <c r="ONT34" s="67"/>
      <c r="ONU34" s="67"/>
      <c r="ONV34" s="67"/>
      <c r="ONW34" s="67"/>
      <c r="ONX34" s="67"/>
      <c r="ONY34" s="67"/>
      <c r="ONZ34" s="67"/>
      <c r="OOA34" s="67"/>
      <c r="OOB34" s="67"/>
      <c r="OOC34" s="67"/>
      <c r="OOD34" s="67"/>
      <c r="OOE34" s="67"/>
      <c r="OOF34" s="67"/>
      <c r="OOG34" s="67"/>
      <c r="OOH34" s="67"/>
      <c r="OOI34" s="67"/>
      <c r="OOJ34" s="67"/>
      <c r="OOK34" s="67"/>
      <c r="OOL34" s="67"/>
      <c r="OOM34" s="67"/>
      <c r="OON34" s="67"/>
      <c r="OOO34" s="67"/>
      <c r="OOP34" s="67"/>
      <c r="OOQ34" s="67"/>
      <c r="OOR34" s="67"/>
      <c r="OOS34" s="67"/>
      <c r="OOT34" s="67"/>
      <c r="OOU34" s="67"/>
      <c r="OOV34" s="67"/>
      <c r="OOW34" s="67"/>
      <c r="OOX34" s="67"/>
      <c r="OOY34" s="67"/>
      <c r="OOZ34" s="67"/>
      <c r="OPA34" s="67"/>
      <c r="OPB34" s="67"/>
      <c r="OPC34" s="67"/>
      <c r="OPD34" s="67"/>
      <c r="OPE34" s="67"/>
      <c r="OPF34" s="67"/>
      <c r="OPG34" s="67"/>
      <c r="OPH34" s="67"/>
      <c r="OPI34" s="67"/>
      <c r="OPJ34" s="67"/>
      <c r="OPK34" s="67"/>
      <c r="OPL34" s="67"/>
      <c r="OPM34" s="67"/>
      <c r="OPN34" s="67"/>
      <c r="OPO34" s="67"/>
      <c r="OPP34" s="67"/>
      <c r="OPQ34" s="67"/>
      <c r="OPR34" s="67"/>
      <c r="OPS34" s="67"/>
      <c r="OPT34" s="67"/>
      <c r="OPU34" s="67"/>
      <c r="OPV34" s="67"/>
      <c r="OPW34" s="67"/>
      <c r="OPX34" s="67"/>
      <c r="OPY34" s="67"/>
      <c r="OPZ34" s="67"/>
      <c r="OQA34" s="67"/>
      <c r="OQB34" s="67"/>
      <c r="OQC34" s="67"/>
      <c r="OQD34" s="67"/>
      <c r="OQE34" s="67"/>
      <c r="OQF34" s="67"/>
      <c r="OQG34" s="67"/>
      <c r="OQH34" s="67"/>
      <c r="OQI34" s="67"/>
      <c r="OQJ34" s="67"/>
      <c r="OQK34" s="67"/>
      <c r="OQL34" s="67"/>
      <c r="OQM34" s="67"/>
      <c r="OQN34" s="67"/>
      <c r="OQO34" s="67"/>
      <c r="OQP34" s="67"/>
      <c r="OQQ34" s="67"/>
      <c r="OQR34" s="67"/>
      <c r="OQS34" s="67"/>
      <c r="OQT34" s="67"/>
      <c r="OQU34" s="67"/>
      <c r="OQV34" s="67"/>
      <c r="OQW34" s="67"/>
      <c r="OQX34" s="67"/>
      <c r="OQY34" s="67"/>
      <c r="OQZ34" s="67"/>
      <c r="ORA34" s="67"/>
      <c r="ORB34" s="67"/>
      <c r="ORC34" s="67"/>
      <c r="ORD34" s="67"/>
      <c r="ORE34" s="67"/>
      <c r="ORF34" s="67"/>
      <c r="ORG34" s="67"/>
      <c r="ORH34" s="67"/>
      <c r="ORI34" s="67"/>
      <c r="ORJ34" s="67"/>
      <c r="ORK34" s="67"/>
      <c r="ORL34" s="67"/>
      <c r="ORM34" s="67"/>
      <c r="ORN34" s="67"/>
      <c r="ORO34" s="67"/>
      <c r="ORP34" s="67"/>
      <c r="ORQ34" s="67"/>
      <c r="ORR34" s="67"/>
      <c r="ORS34" s="67"/>
      <c r="ORT34" s="67"/>
      <c r="ORU34" s="67"/>
      <c r="ORV34" s="67"/>
      <c r="ORW34" s="67"/>
      <c r="ORX34" s="67"/>
      <c r="ORY34" s="67"/>
      <c r="ORZ34" s="67"/>
      <c r="OSA34" s="67"/>
      <c r="OSB34" s="67"/>
      <c r="OSC34" s="67"/>
      <c r="OSD34" s="67"/>
      <c r="OSE34" s="67"/>
      <c r="OSF34" s="67"/>
      <c r="OSG34" s="67"/>
      <c r="OSH34" s="67"/>
      <c r="OSI34" s="67"/>
      <c r="OSJ34" s="67"/>
      <c r="OSK34" s="67"/>
      <c r="OSL34" s="67"/>
      <c r="OSM34" s="67"/>
      <c r="OSN34" s="67"/>
      <c r="OSO34" s="67"/>
      <c r="OSP34" s="67"/>
      <c r="OSQ34" s="67"/>
      <c r="OSR34" s="67"/>
      <c r="OSS34" s="67"/>
      <c r="OST34" s="67"/>
      <c r="OSU34" s="67"/>
      <c r="OSV34" s="67"/>
      <c r="OSW34" s="67"/>
      <c r="OSX34" s="67"/>
      <c r="OSY34" s="67"/>
      <c r="OSZ34" s="67"/>
      <c r="OTA34" s="67"/>
      <c r="OTB34" s="67"/>
      <c r="OTC34" s="67"/>
      <c r="OTD34" s="67"/>
      <c r="OTE34" s="67"/>
      <c r="OTF34" s="67"/>
      <c r="OTG34" s="67"/>
      <c r="OTH34" s="67"/>
      <c r="OTI34" s="67"/>
      <c r="OTJ34" s="67"/>
      <c r="OTK34" s="67"/>
      <c r="OTL34" s="67"/>
      <c r="OTM34" s="67"/>
      <c r="OTN34" s="67"/>
      <c r="OTO34" s="67"/>
      <c r="OTP34" s="67"/>
      <c r="OTQ34" s="67"/>
      <c r="OTR34" s="67"/>
      <c r="OTS34" s="67"/>
      <c r="OTT34" s="67"/>
      <c r="OTU34" s="67"/>
      <c r="OTV34" s="67"/>
      <c r="OTW34" s="67"/>
      <c r="OTX34" s="67"/>
      <c r="OTY34" s="67"/>
      <c r="OTZ34" s="67"/>
      <c r="OUA34" s="67"/>
      <c r="OUB34" s="67"/>
      <c r="OUC34" s="67"/>
      <c r="OUD34" s="67"/>
      <c r="OUE34" s="67"/>
      <c r="OUF34" s="67"/>
      <c r="OUG34" s="67"/>
      <c r="OUH34" s="67"/>
      <c r="OUI34" s="67"/>
      <c r="OUJ34" s="67"/>
      <c r="OUK34" s="67"/>
      <c r="OUL34" s="67"/>
      <c r="OUM34" s="67"/>
      <c r="OUN34" s="67"/>
      <c r="OUO34" s="67"/>
      <c r="OUP34" s="67"/>
      <c r="OUQ34" s="67"/>
      <c r="OUR34" s="67"/>
      <c r="OUS34" s="67"/>
      <c r="OUT34" s="67"/>
      <c r="OUU34" s="67"/>
      <c r="OUV34" s="67"/>
      <c r="OUW34" s="67"/>
      <c r="OUX34" s="67"/>
      <c r="OUY34" s="67"/>
      <c r="OUZ34" s="67"/>
      <c r="OVA34" s="67"/>
      <c r="OVB34" s="67"/>
      <c r="OVC34" s="67"/>
      <c r="OVD34" s="67"/>
      <c r="OVE34" s="67"/>
      <c r="OVF34" s="67"/>
      <c r="OVG34" s="67"/>
      <c r="OVH34" s="67"/>
      <c r="OVI34" s="67"/>
      <c r="OVJ34" s="67"/>
      <c r="OVK34" s="67"/>
      <c r="OVL34" s="67"/>
      <c r="OVM34" s="67"/>
      <c r="OVN34" s="67"/>
      <c r="OVO34" s="67"/>
      <c r="OVP34" s="67"/>
      <c r="OVQ34" s="67"/>
      <c r="OVR34" s="67"/>
      <c r="OVS34" s="67"/>
      <c r="OVT34" s="67"/>
      <c r="OVU34" s="67"/>
      <c r="OVV34" s="67"/>
      <c r="OVW34" s="67"/>
      <c r="OVX34" s="67"/>
      <c r="OVY34" s="67"/>
      <c r="OVZ34" s="67"/>
      <c r="OWA34" s="67"/>
      <c r="OWB34" s="67"/>
      <c r="OWC34" s="67"/>
      <c r="OWD34" s="67"/>
      <c r="OWE34" s="67"/>
      <c r="OWF34" s="67"/>
      <c r="OWG34" s="67"/>
      <c r="OWH34" s="67"/>
      <c r="OWI34" s="67"/>
      <c r="OWJ34" s="67"/>
      <c r="OWK34" s="67"/>
      <c r="OWL34" s="67"/>
      <c r="OWM34" s="67"/>
      <c r="OWN34" s="67"/>
      <c r="OWO34" s="67"/>
      <c r="OWP34" s="67"/>
      <c r="OWQ34" s="67"/>
      <c r="OWR34" s="67"/>
      <c r="OWS34" s="67"/>
      <c r="OWT34" s="67"/>
      <c r="OWU34" s="67"/>
      <c r="OWV34" s="67"/>
      <c r="OWW34" s="67"/>
      <c r="OWX34" s="67"/>
      <c r="OWY34" s="67"/>
      <c r="OWZ34" s="67"/>
      <c r="OXA34" s="67"/>
      <c r="OXB34" s="67"/>
      <c r="OXC34" s="67"/>
      <c r="OXD34" s="67"/>
      <c r="OXE34" s="67"/>
      <c r="OXF34" s="67"/>
      <c r="OXG34" s="67"/>
      <c r="OXH34" s="67"/>
      <c r="OXI34" s="67"/>
      <c r="OXJ34" s="67"/>
      <c r="OXK34" s="67"/>
      <c r="OXL34" s="67"/>
      <c r="OXM34" s="67"/>
      <c r="OXN34" s="67"/>
      <c r="OXO34" s="67"/>
      <c r="OXP34" s="67"/>
      <c r="OXQ34" s="67"/>
      <c r="OXR34" s="67"/>
      <c r="OXS34" s="67"/>
      <c r="OXT34" s="67"/>
      <c r="OXU34" s="67"/>
      <c r="OXV34" s="67"/>
      <c r="OXW34" s="67"/>
      <c r="OXX34" s="67"/>
      <c r="OXY34" s="67"/>
      <c r="OXZ34" s="67"/>
      <c r="OYA34" s="67"/>
      <c r="OYB34" s="67"/>
      <c r="OYC34" s="67"/>
      <c r="OYD34" s="67"/>
      <c r="OYE34" s="67"/>
      <c r="OYF34" s="67"/>
      <c r="OYG34" s="67"/>
      <c r="OYH34" s="67"/>
      <c r="OYI34" s="67"/>
      <c r="OYJ34" s="67"/>
      <c r="OYK34" s="67"/>
      <c r="OYL34" s="67"/>
      <c r="OYM34" s="67"/>
      <c r="OYN34" s="67"/>
      <c r="OYO34" s="67"/>
      <c r="OYP34" s="67"/>
      <c r="OYQ34" s="67"/>
      <c r="OYR34" s="67"/>
      <c r="OYS34" s="67"/>
      <c r="OYT34" s="67"/>
      <c r="OYU34" s="67"/>
      <c r="OYV34" s="67"/>
      <c r="OYW34" s="67"/>
      <c r="OYX34" s="67"/>
      <c r="OYY34" s="67"/>
      <c r="OYZ34" s="67"/>
      <c r="OZA34" s="67"/>
      <c r="OZB34" s="67"/>
      <c r="OZC34" s="67"/>
      <c r="OZD34" s="67"/>
      <c r="OZE34" s="67"/>
      <c r="OZF34" s="67"/>
      <c r="OZG34" s="67"/>
      <c r="OZH34" s="67"/>
      <c r="OZI34" s="67"/>
      <c r="OZJ34" s="67"/>
      <c r="OZK34" s="67"/>
      <c r="OZL34" s="67"/>
      <c r="OZM34" s="67"/>
      <c r="OZN34" s="67"/>
      <c r="OZO34" s="67"/>
      <c r="OZP34" s="67"/>
      <c r="OZQ34" s="67"/>
      <c r="OZR34" s="67"/>
      <c r="OZS34" s="67"/>
      <c r="OZT34" s="67"/>
      <c r="OZU34" s="67"/>
      <c r="OZV34" s="67"/>
      <c r="OZW34" s="67"/>
      <c r="OZX34" s="67"/>
      <c r="OZY34" s="67"/>
      <c r="OZZ34" s="67"/>
      <c r="PAA34" s="67"/>
      <c r="PAB34" s="67"/>
      <c r="PAC34" s="67"/>
      <c r="PAD34" s="67"/>
      <c r="PAE34" s="67"/>
      <c r="PAF34" s="67"/>
      <c r="PAG34" s="67"/>
      <c r="PAH34" s="67"/>
      <c r="PAI34" s="67"/>
      <c r="PAJ34" s="67"/>
      <c r="PAK34" s="67"/>
      <c r="PAL34" s="67"/>
      <c r="PAM34" s="67"/>
      <c r="PAN34" s="67"/>
      <c r="PAO34" s="67"/>
      <c r="PAP34" s="67"/>
      <c r="PAQ34" s="67"/>
      <c r="PAR34" s="67"/>
      <c r="PAS34" s="67"/>
      <c r="PAT34" s="67"/>
      <c r="PAU34" s="67"/>
      <c r="PAV34" s="67"/>
      <c r="PAW34" s="67"/>
      <c r="PAX34" s="67"/>
      <c r="PAY34" s="67"/>
      <c r="PAZ34" s="67"/>
      <c r="PBA34" s="67"/>
      <c r="PBB34" s="67"/>
      <c r="PBC34" s="67"/>
      <c r="PBD34" s="67"/>
      <c r="PBE34" s="67"/>
      <c r="PBF34" s="67"/>
      <c r="PBG34" s="67"/>
      <c r="PBH34" s="67"/>
      <c r="PBI34" s="67"/>
      <c r="PBJ34" s="67"/>
      <c r="PBK34" s="67"/>
      <c r="PBL34" s="67"/>
      <c r="PBM34" s="67"/>
      <c r="PBN34" s="67"/>
      <c r="PBO34" s="67"/>
      <c r="PBP34" s="67"/>
      <c r="PBQ34" s="67"/>
      <c r="PBR34" s="67"/>
      <c r="PBS34" s="67"/>
      <c r="PBT34" s="67"/>
      <c r="PBU34" s="67"/>
      <c r="PBV34" s="67"/>
      <c r="PBW34" s="67"/>
      <c r="PBX34" s="67"/>
      <c r="PBY34" s="67"/>
      <c r="PBZ34" s="67"/>
      <c r="PCA34" s="67"/>
      <c r="PCB34" s="67"/>
      <c r="PCC34" s="67"/>
      <c r="PCD34" s="67"/>
      <c r="PCE34" s="67"/>
      <c r="PCF34" s="67"/>
      <c r="PCG34" s="67"/>
      <c r="PCH34" s="67"/>
      <c r="PCI34" s="67"/>
      <c r="PCJ34" s="67"/>
      <c r="PCK34" s="67"/>
      <c r="PCL34" s="67"/>
      <c r="PCM34" s="67"/>
      <c r="PCN34" s="67"/>
      <c r="PCO34" s="67"/>
      <c r="PCP34" s="67"/>
      <c r="PCQ34" s="67"/>
      <c r="PCR34" s="67"/>
      <c r="PCS34" s="67"/>
      <c r="PCT34" s="67"/>
      <c r="PCU34" s="67"/>
      <c r="PCV34" s="67"/>
      <c r="PCW34" s="67"/>
      <c r="PCX34" s="67"/>
      <c r="PCY34" s="67"/>
      <c r="PCZ34" s="67"/>
      <c r="PDA34" s="67"/>
      <c r="PDB34" s="67"/>
      <c r="PDC34" s="67"/>
      <c r="PDD34" s="67"/>
      <c r="PDE34" s="67"/>
      <c r="PDF34" s="67"/>
      <c r="PDG34" s="67"/>
      <c r="PDH34" s="67"/>
      <c r="PDI34" s="67"/>
      <c r="PDJ34" s="67"/>
      <c r="PDK34" s="67"/>
      <c r="PDL34" s="67"/>
      <c r="PDM34" s="67"/>
      <c r="PDN34" s="67"/>
      <c r="PDO34" s="67"/>
      <c r="PDP34" s="67"/>
      <c r="PDQ34" s="67"/>
      <c r="PDR34" s="67"/>
      <c r="PDS34" s="67"/>
      <c r="PDT34" s="67"/>
      <c r="PDU34" s="67"/>
      <c r="PDV34" s="67"/>
      <c r="PDW34" s="67"/>
      <c r="PDX34" s="67"/>
      <c r="PDY34" s="67"/>
      <c r="PDZ34" s="67"/>
      <c r="PEA34" s="67"/>
      <c r="PEB34" s="67"/>
      <c r="PEC34" s="67"/>
      <c r="PED34" s="67"/>
      <c r="PEE34" s="67"/>
      <c r="PEF34" s="67"/>
      <c r="PEG34" s="67"/>
      <c r="PEH34" s="67"/>
      <c r="PEI34" s="67"/>
      <c r="PEJ34" s="67"/>
      <c r="PEK34" s="67"/>
      <c r="PEL34" s="67"/>
      <c r="PEM34" s="67"/>
      <c r="PEN34" s="67"/>
      <c r="PEO34" s="67"/>
      <c r="PEP34" s="67"/>
      <c r="PEQ34" s="67"/>
      <c r="PER34" s="67"/>
      <c r="PES34" s="67"/>
      <c r="PET34" s="67"/>
      <c r="PEU34" s="67"/>
      <c r="PEV34" s="67"/>
      <c r="PEW34" s="67"/>
      <c r="PEX34" s="67"/>
      <c r="PEY34" s="67"/>
      <c r="PEZ34" s="67"/>
      <c r="PFA34" s="67"/>
      <c r="PFB34" s="67"/>
      <c r="PFC34" s="67"/>
      <c r="PFD34" s="67"/>
      <c r="PFE34" s="67"/>
      <c r="PFF34" s="67"/>
      <c r="PFG34" s="67"/>
      <c r="PFH34" s="67"/>
      <c r="PFI34" s="67"/>
      <c r="PFJ34" s="67"/>
      <c r="PFK34" s="67"/>
      <c r="PFL34" s="67"/>
      <c r="PFM34" s="67"/>
      <c r="PFN34" s="67"/>
      <c r="PFO34" s="67"/>
      <c r="PFP34" s="67"/>
      <c r="PFQ34" s="67"/>
      <c r="PFR34" s="67"/>
      <c r="PFS34" s="67"/>
      <c r="PFT34" s="67"/>
      <c r="PFU34" s="67"/>
      <c r="PFV34" s="67"/>
      <c r="PFW34" s="67"/>
      <c r="PFX34" s="67"/>
      <c r="PFY34" s="67"/>
      <c r="PFZ34" s="67"/>
      <c r="PGA34" s="67"/>
      <c r="PGB34" s="67"/>
      <c r="PGC34" s="67"/>
      <c r="PGD34" s="67"/>
      <c r="PGE34" s="67"/>
      <c r="PGF34" s="67"/>
      <c r="PGG34" s="67"/>
      <c r="PGH34" s="67"/>
      <c r="PGI34" s="67"/>
      <c r="PGJ34" s="67"/>
      <c r="PGK34" s="67"/>
      <c r="PGL34" s="67"/>
      <c r="PGM34" s="67"/>
      <c r="PGN34" s="67"/>
      <c r="PGO34" s="67"/>
      <c r="PGP34" s="67"/>
      <c r="PGQ34" s="67"/>
      <c r="PGR34" s="67"/>
      <c r="PGS34" s="67"/>
      <c r="PGT34" s="67"/>
      <c r="PGU34" s="67"/>
      <c r="PGV34" s="67"/>
      <c r="PGW34" s="67"/>
      <c r="PGX34" s="67"/>
      <c r="PGY34" s="67"/>
      <c r="PGZ34" s="67"/>
      <c r="PHA34" s="67"/>
      <c r="PHB34" s="67"/>
      <c r="PHC34" s="67"/>
      <c r="PHD34" s="67"/>
      <c r="PHE34" s="67"/>
      <c r="PHF34" s="67"/>
      <c r="PHG34" s="67"/>
      <c r="PHH34" s="67"/>
      <c r="PHI34" s="67"/>
      <c r="PHJ34" s="67"/>
      <c r="PHK34" s="67"/>
      <c r="PHL34" s="67"/>
      <c r="PHM34" s="67"/>
      <c r="PHN34" s="67"/>
      <c r="PHO34" s="67"/>
      <c r="PHP34" s="67"/>
      <c r="PHQ34" s="67"/>
      <c r="PHR34" s="67"/>
      <c r="PHS34" s="67"/>
      <c r="PHT34" s="67"/>
      <c r="PHU34" s="67"/>
      <c r="PHV34" s="67"/>
      <c r="PHW34" s="67"/>
      <c r="PHX34" s="67"/>
      <c r="PHY34" s="67"/>
      <c r="PHZ34" s="67"/>
      <c r="PIA34" s="67"/>
      <c r="PIB34" s="67"/>
      <c r="PIC34" s="67"/>
      <c r="PID34" s="67"/>
      <c r="PIE34" s="67"/>
      <c r="PIF34" s="67"/>
      <c r="PIG34" s="67"/>
      <c r="PIH34" s="67"/>
      <c r="PII34" s="67"/>
      <c r="PIJ34" s="67"/>
      <c r="PIK34" s="67"/>
      <c r="PIL34" s="67"/>
      <c r="PIM34" s="67"/>
      <c r="PIN34" s="67"/>
      <c r="PIO34" s="67"/>
      <c r="PIP34" s="67"/>
      <c r="PIQ34" s="67"/>
      <c r="PIR34" s="67"/>
      <c r="PIS34" s="67"/>
      <c r="PIT34" s="67"/>
      <c r="PIU34" s="67"/>
      <c r="PIV34" s="67"/>
      <c r="PIW34" s="67"/>
      <c r="PIX34" s="67"/>
      <c r="PIY34" s="67"/>
      <c r="PIZ34" s="67"/>
      <c r="PJA34" s="67"/>
      <c r="PJB34" s="67"/>
      <c r="PJC34" s="67"/>
      <c r="PJD34" s="67"/>
      <c r="PJE34" s="67"/>
      <c r="PJF34" s="67"/>
      <c r="PJG34" s="67"/>
      <c r="PJH34" s="67"/>
      <c r="PJI34" s="67"/>
      <c r="PJJ34" s="67"/>
      <c r="PJK34" s="67"/>
      <c r="PJL34" s="67"/>
      <c r="PJM34" s="67"/>
      <c r="PJN34" s="67"/>
      <c r="PJO34" s="67"/>
      <c r="PJP34" s="67"/>
      <c r="PJQ34" s="67"/>
      <c r="PJR34" s="67"/>
      <c r="PJS34" s="67"/>
      <c r="PJT34" s="67"/>
      <c r="PJU34" s="67"/>
      <c r="PJV34" s="67"/>
      <c r="PJW34" s="67"/>
      <c r="PJX34" s="67"/>
      <c r="PJY34" s="67"/>
      <c r="PJZ34" s="67"/>
      <c r="PKA34" s="67"/>
      <c r="PKB34" s="67"/>
      <c r="PKC34" s="67"/>
      <c r="PKD34" s="67"/>
      <c r="PKE34" s="67"/>
      <c r="PKF34" s="67"/>
      <c r="PKG34" s="67"/>
      <c r="PKH34" s="67"/>
      <c r="PKI34" s="67"/>
      <c r="PKJ34" s="67"/>
      <c r="PKK34" s="67"/>
      <c r="PKL34" s="67"/>
      <c r="PKM34" s="67"/>
      <c r="PKN34" s="67"/>
      <c r="PKO34" s="67"/>
      <c r="PKP34" s="67"/>
      <c r="PKQ34" s="67"/>
      <c r="PKR34" s="67"/>
      <c r="PKS34" s="67"/>
      <c r="PKT34" s="67"/>
      <c r="PKU34" s="67"/>
      <c r="PKV34" s="67"/>
      <c r="PKW34" s="67"/>
      <c r="PKX34" s="67"/>
      <c r="PKY34" s="67"/>
      <c r="PKZ34" s="67"/>
      <c r="PLA34" s="67"/>
      <c r="PLB34" s="67"/>
      <c r="PLC34" s="67"/>
      <c r="PLD34" s="67"/>
      <c r="PLE34" s="67"/>
      <c r="PLF34" s="67"/>
      <c r="PLG34" s="67"/>
      <c r="PLH34" s="67"/>
      <c r="PLI34" s="67"/>
      <c r="PLJ34" s="67"/>
      <c r="PLK34" s="67"/>
      <c r="PLL34" s="67"/>
      <c r="PLM34" s="67"/>
      <c r="PLN34" s="67"/>
      <c r="PLO34" s="67"/>
      <c r="PLP34" s="67"/>
      <c r="PLQ34" s="67"/>
      <c r="PLR34" s="67"/>
      <c r="PLS34" s="67"/>
      <c r="PLT34" s="67"/>
      <c r="PLU34" s="67"/>
      <c r="PLV34" s="67"/>
      <c r="PLW34" s="67"/>
      <c r="PLX34" s="67"/>
      <c r="PLY34" s="67"/>
      <c r="PLZ34" s="67"/>
      <c r="PMA34" s="67"/>
      <c r="PMB34" s="67"/>
      <c r="PMC34" s="67"/>
      <c r="PMD34" s="67"/>
      <c r="PME34" s="67"/>
      <c r="PMF34" s="67"/>
      <c r="PMG34" s="67"/>
      <c r="PMH34" s="67"/>
      <c r="PMI34" s="67"/>
      <c r="PMJ34" s="67"/>
      <c r="PMK34" s="67"/>
      <c r="PML34" s="67"/>
      <c r="PMM34" s="67"/>
      <c r="PMN34" s="67"/>
      <c r="PMO34" s="67"/>
      <c r="PMP34" s="67"/>
      <c r="PMQ34" s="67"/>
      <c r="PMR34" s="67"/>
      <c r="PMS34" s="67"/>
      <c r="PMT34" s="67"/>
      <c r="PMU34" s="67"/>
      <c r="PMV34" s="67"/>
      <c r="PMW34" s="67"/>
      <c r="PMX34" s="67"/>
      <c r="PMY34" s="67"/>
      <c r="PMZ34" s="67"/>
      <c r="PNA34" s="67"/>
      <c r="PNB34" s="67"/>
      <c r="PNC34" s="67"/>
      <c r="PND34" s="67"/>
      <c r="PNE34" s="67"/>
      <c r="PNF34" s="67"/>
      <c r="PNG34" s="67"/>
      <c r="PNH34" s="67"/>
      <c r="PNI34" s="67"/>
      <c r="PNJ34" s="67"/>
      <c r="PNK34" s="67"/>
      <c r="PNL34" s="67"/>
      <c r="PNM34" s="67"/>
      <c r="PNN34" s="67"/>
      <c r="PNO34" s="67"/>
      <c r="PNP34" s="67"/>
      <c r="PNQ34" s="67"/>
      <c r="PNR34" s="67"/>
      <c r="PNS34" s="67"/>
      <c r="PNT34" s="67"/>
      <c r="PNU34" s="67"/>
      <c r="PNV34" s="67"/>
      <c r="PNW34" s="67"/>
      <c r="PNX34" s="67"/>
      <c r="PNY34" s="67"/>
      <c r="PNZ34" s="67"/>
      <c r="POA34" s="67"/>
      <c r="POB34" s="67"/>
      <c r="POC34" s="67"/>
      <c r="POD34" s="67"/>
      <c r="POE34" s="67"/>
      <c r="POF34" s="67"/>
      <c r="POG34" s="67"/>
      <c r="POH34" s="67"/>
      <c r="POI34" s="67"/>
      <c r="POJ34" s="67"/>
      <c r="POK34" s="67"/>
      <c r="POL34" s="67"/>
      <c r="POM34" s="67"/>
      <c r="PON34" s="67"/>
      <c r="POO34" s="67"/>
      <c r="POP34" s="67"/>
      <c r="POQ34" s="67"/>
      <c r="POR34" s="67"/>
      <c r="POS34" s="67"/>
      <c r="POT34" s="67"/>
      <c r="POU34" s="67"/>
      <c r="POV34" s="67"/>
      <c r="POW34" s="67"/>
      <c r="POX34" s="67"/>
      <c r="POY34" s="67"/>
      <c r="POZ34" s="67"/>
      <c r="PPA34" s="67"/>
      <c r="PPB34" s="67"/>
      <c r="PPC34" s="67"/>
      <c r="PPD34" s="67"/>
      <c r="PPE34" s="67"/>
      <c r="PPF34" s="67"/>
      <c r="PPG34" s="67"/>
      <c r="PPH34" s="67"/>
      <c r="PPI34" s="67"/>
      <c r="PPJ34" s="67"/>
      <c r="PPK34" s="67"/>
      <c r="PPL34" s="67"/>
      <c r="PPM34" s="67"/>
      <c r="PPN34" s="67"/>
      <c r="PPO34" s="67"/>
      <c r="PPP34" s="67"/>
      <c r="PPQ34" s="67"/>
      <c r="PPR34" s="67"/>
      <c r="PPS34" s="67"/>
      <c r="PPT34" s="67"/>
      <c r="PPU34" s="67"/>
      <c r="PPV34" s="67"/>
      <c r="PPW34" s="67"/>
      <c r="PPX34" s="67"/>
      <c r="PPY34" s="67"/>
      <c r="PPZ34" s="67"/>
      <c r="PQA34" s="67"/>
      <c r="PQB34" s="67"/>
      <c r="PQC34" s="67"/>
      <c r="PQD34" s="67"/>
      <c r="PQE34" s="67"/>
      <c r="PQF34" s="67"/>
      <c r="PQG34" s="67"/>
      <c r="PQH34" s="67"/>
      <c r="PQI34" s="67"/>
      <c r="PQJ34" s="67"/>
      <c r="PQK34" s="67"/>
      <c r="PQL34" s="67"/>
      <c r="PQM34" s="67"/>
      <c r="PQN34" s="67"/>
      <c r="PQO34" s="67"/>
      <c r="PQP34" s="67"/>
      <c r="PQQ34" s="67"/>
      <c r="PQR34" s="67"/>
      <c r="PQS34" s="67"/>
      <c r="PQT34" s="67"/>
      <c r="PQU34" s="67"/>
      <c r="PQV34" s="67"/>
      <c r="PQW34" s="67"/>
      <c r="PQX34" s="67"/>
      <c r="PQY34" s="67"/>
      <c r="PQZ34" s="67"/>
      <c r="PRA34" s="67"/>
      <c r="PRB34" s="67"/>
      <c r="PRC34" s="67"/>
      <c r="PRD34" s="67"/>
      <c r="PRE34" s="67"/>
      <c r="PRF34" s="67"/>
      <c r="PRG34" s="67"/>
      <c r="PRH34" s="67"/>
      <c r="PRI34" s="67"/>
      <c r="PRJ34" s="67"/>
      <c r="PRK34" s="67"/>
      <c r="PRL34" s="67"/>
      <c r="PRM34" s="67"/>
      <c r="PRN34" s="67"/>
      <c r="PRO34" s="67"/>
      <c r="PRP34" s="67"/>
      <c r="PRQ34" s="67"/>
      <c r="PRR34" s="67"/>
      <c r="PRS34" s="67"/>
      <c r="PRT34" s="67"/>
      <c r="PRU34" s="67"/>
      <c r="PRV34" s="67"/>
      <c r="PRW34" s="67"/>
      <c r="PRX34" s="67"/>
      <c r="PRY34" s="67"/>
      <c r="PRZ34" s="67"/>
      <c r="PSA34" s="67"/>
      <c r="PSB34" s="67"/>
      <c r="PSC34" s="67"/>
      <c r="PSD34" s="67"/>
      <c r="PSE34" s="67"/>
      <c r="PSF34" s="67"/>
      <c r="PSG34" s="67"/>
      <c r="PSH34" s="67"/>
      <c r="PSI34" s="67"/>
      <c r="PSJ34" s="67"/>
      <c r="PSK34" s="67"/>
      <c r="PSL34" s="67"/>
      <c r="PSM34" s="67"/>
      <c r="PSN34" s="67"/>
      <c r="PSO34" s="67"/>
      <c r="PSP34" s="67"/>
      <c r="PSQ34" s="67"/>
      <c r="PSR34" s="67"/>
      <c r="PSS34" s="67"/>
      <c r="PST34" s="67"/>
      <c r="PSU34" s="67"/>
      <c r="PSV34" s="67"/>
      <c r="PSW34" s="67"/>
      <c r="PSX34" s="67"/>
      <c r="PSY34" s="67"/>
      <c r="PSZ34" s="67"/>
      <c r="PTA34" s="67"/>
      <c r="PTB34" s="67"/>
      <c r="PTC34" s="67"/>
      <c r="PTD34" s="67"/>
      <c r="PTE34" s="67"/>
      <c r="PTF34" s="67"/>
      <c r="PTG34" s="67"/>
      <c r="PTH34" s="67"/>
      <c r="PTI34" s="67"/>
      <c r="PTJ34" s="67"/>
      <c r="PTK34" s="67"/>
      <c r="PTL34" s="67"/>
      <c r="PTM34" s="67"/>
      <c r="PTN34" s="67"/>
      <c r="PTO34" s="67"/>
      <c r="PTP34" s="67"/>
      <c r="PTQ34" s="67"/>
      <c r="PTR34" s="67"/>
      <c r="PTS34" s="67"/>
      <c r="PTT34" s="67"/>
      <c r="PTU34" s="67"/>
      <c r="PTV34" s="67"/>
      <c r="PTW34" s="67"/>
      <c r="PTX34" s="67"/>
      <c r="PTY34" s="67"/>
      <c r="PTZ34" s="67"/>
      <c r="PUA34" s="67"/>
      <c r="PUB34" s="67"/>
      <c r="PUC34" s="67"/>
      <c r="PUD34" s="67"/>
      <c r="PUE34" s="67"/>
      <c r="PUF34" s="67"/>
      <c r="PUG34" s="67"/>
      <c r="PUH34" s="67"/>
      <c r="PUI34" s="67"/>
      <c r="PUJ34" s="67"/>
      <c r="PUK34" s="67"/>
      <c r="PUL34" s="67"/>
      <c r="PUM34" s="67"/>
      <c r="PUN34" s="67"/>
      <c r="PUO34" s="67"/>
      <c r="PUP34" s="67"/>
      <c r="PUQ34" s="67"/>
      <c r="PUR34" s="67"/>
      <c r="PUS34" s="67"/>
      <c r="PUT34" s="67"/>
      <c r="PUU34" s="67"/>
      <c r="PUV34" s="67"/>
      <c r="PUW34" s="67"/>
      <c r="PUX34" s="67"/>
      <c r="PUY34" s="67"/>
      <c r="PUZ34" s="67"/>
      <c r="PVA34" s="67"/>
      <c r="PVB34" s="67"/>
      <c r="PVC34" s="67"/>
      <c r="PVD34" s="67"/>
      <c r="PVE34" s="67"/>
      <c r="PVF34" s="67"/>
      <c r="PVG34" s="67"/>
      <c r="PVH34" s="67"/>
      <c r="PVI34" s="67"/>
      <c r="PVJ34" s="67"/>
      <c r="PVK34" s="67"/>
      <c r="PVL34" s="67"/>
      <c r="PVM34" s="67"/>
      <c r="PVN34" s="67"/>
      <c r="PVO34" s="67"/>
      <c r="PVP34" s="67"/>
      <c r="PVQ34" s="67"/>
      <c r="PVR34" s="67"/>
      <c r="PVS34" s="67"/>
      <c r="PVT34" s="67"/>
      <c r="PVU34" s="67"/>
      <c r="PVV34" s="67"/>
      <c r="PVW34" s="67"/>
      <c r="PVX34" s="67"/>
      <c r="PVY34" s="67"/>
      <c r="PVZ34" s="67"/>
      <c r="PWA34" s="67"/>
      <c r="PWB34" s="67"/>
      <c r="PWC34" s="67"/>
      <c r="PWD34" s="67"/>
      <c r="PWE34" s="67"/>
      <c r="PWF34" s="67"/>
      <c r="PWG34" s="67"/>
      <c r="PWH34" s="67"/>
      <c r="PWI34" s="67"/>
      <c r="PWJ34" s="67"/>
      <c r="PWK34" s="67"/>
      <c r="PWL34" s="67"/>
      <c r="PWM34" s="67"/>
      <c r="PWN34" s="67"/>
      <c r="PWO34" s="67"/>
      <c r="PWP34" s="67"/>
      <c r="PWQ34" s="67"/>
      <c r="PWR34" s="67"/>
      <c r="PWS34" s="67"/>
      <c r="PWT34" s="67"/>
      <c r="PWU34" s="67"/>
      <c r="PWV34" s="67"/>
      <c r="PWW34" s="67"/>
      <c r="PWX34" s="67"/>
      <c r="PWY34" s="67"/>
      <c r="PWZ34" s="67"/>
      <c r="PXA34" s="67"/>
      <c r="PXB34" s="67"/>
      <c r="PXC34" s="67"/>
      <c r="PXD34" s="67"/>
      <c r="PXE34" s="67"/>
      <c r="PXF34" s="67"/>
      <c r="PXG34" s="67"/>
      <c r="PXH34" s="67"/>
      <c r="PXI34" s="67"/>
      <c r="PXJ34" s="67"/>
      <c r="PXK34" s="67"/>
      <c r="PXL34" s="67"/>
      <c r="PXM34" s="67"/>
      <c r="PXN34" s="67"/>
      <c r="PXO34" s="67"/>
      <c r="PXP34" s="67"/>
      <c r="PXQ34" s="67"/>
      <c r="PXR34" s="67"/>
      <c r="PXS34" s="67"/>
      <c r="PXT34" s="67"/>
      <c r="PXU34" s="67"/>
      <c r="PXV34" s="67"/>
      <c r="PXW34" s="67"/>
      <c r="PXX34" s="67"/>
      <c r="PXY34" s="67"/>
      <c r="PXZ34" s="67"/>
      <c r="PYA34" s="67"/>
      <c r="PYB34" s="67"/>
      <c r="PYC34" s="67"/>
      <c r="PYD34" s="67"/>
      <c r="PYE34" s="67"/>
      <c r="PYF34" s="67"/>
      <c r="PYG34" s="67"/>
      <c r="PYH34" s="67"/>
      <c r="PYI34" s="67"/>
      <c r="PYJ34" s="67"/>
      <c r="PYK34" s="67"/>
      <c r="PYL34" s="67"/>
      <c r="PYM34" s="67"/>
      <c r="PYN34" s="67"/>
      <c r="PYO34" s="67"/>
      <c r="PYP34" s="67"/>
      <c r="PYQ34" s="67"/>
      <c r="PYR34" s="67"/>
      <c r="PYS34" s="67"/>
      <c r="PYT34" s="67"/>
      <c r="PYU34" s="67"/>
      <c r="PYV34" s="67"/>
      <c r="PYW34" s="67"/>
      <c r="PYX34" s="67"/>
      <c r="PYY34" s="67"/>
      <c r="PYZ34" s="67"/>
      <c r="PZA34" s="67"/>
      <c r="PZB34" s="67"/>
      <c r="PZC34" s="67"/>
      <c r="PZD34" s="67"/>
      <c r="PZE34" s="67"/>
      <c r="PZF34" s="67"/>
      <c r="PZG34" s="67"/>
      <c r="PZH34" s="67"/>
      <c r="PZI34" s="67"/>
      <c r="PZJ34" s="67"/>
      <c r="PZK34" s="67"/>
      <c r="PZL34" s="67"/>
      <c r="PZM34" s="67"/>
      <c r="PZN34" s="67"/>
      <c r="PZO34" s="67"/>
      <c r="PZP34" s="67"/>
      <c r="PZQ34" s="67"/>
      <c r="PZR34" s="67"/>
      <c r="PZS34" s="67"/>
      <c r="PZT34" s="67"/>
      <c r="PZU34" s="67"/>
      <c r="PZV34" s="67"/>
      <c r="PZW34" s="67"/>
      <c r="PZX34" s="67"/>
      <c r="PZY34" s="67"/>
      <c r="PZZ34" s="67"/>
      <c r="QAA34" s="67"/>
      <c r="QAB34" s="67"/>
      <c r="QAC34" s="67"/>
      <c r="QAD34" s="67"/>
      <c r="QAE34" s="67"/>
      <c r="QAF34" s="67"/>
      <c r="QAG34" s="67"/>
      <c r="QAH34" s="67"/>
      <c r="QAI34" s="67"/>
      <c r="QAJ34" s="67"/>
      <c r="QAK34" s="67"/>
      <c r="QAL34" s="67"/>
      <c r="QAM34" s="67"/>
      <c r="QAN34" s="67"/>
      <c r="QAO34" s="67"/>
      <c r="QAP34" s="67"/>
      <c r="QAQ34" s="67"/>
      <c r="QAR34" s="67"/>
      <c r="QAS34" s="67"/>
      <c r="QAT34" s="67"/>
      <c r="QAU34" s="67"/>
      <c r="QAV34" s="67"/>
      <c r="QAW34" s="67"/>
      <c r="QAX34" s="67"/>
      <c r="QAY34" s="67"/>
      <c r="QAZ34" s="67"/>
      <c r="QBA34" s="67"/>
      <c r="QBB34" s="67"/>
      <c r="QBC34" s="67"/>
      <c r="QBD34" s="67"/>
      <c r="QBE34" s="67"/>
      <c r="QBF34" s="67"/>
      <c r="QBG34" s="67"/>
      <c r="QBH34" s="67"/>
      <c r="QBI34" s="67"/>
      <c r="QBJ34" s="67"/>
      <c r="QBK34" s="67"/>
      <c r="QBL34" s="67"/>
      <c r="QBM34" s="67"/>
      <c r="QBN34" s="67"/>
      <c r="QBO34" s="67"/>
      <c r="QBP34" s="67"/>
      <c r="QBQ34" s="67"/>
      <c r="QBR34" s="67"/>
      <c r="QBS34" s="67"/>
      <c r="QBT34" s="67"/>
      <c r="QBU34" s="67"/>
      <c r="QBV34" s="67"/>
      <c r="QBW34" s="67"/>
      <c r="QBX34" s="67"/>
      <c r="QBY34" s="67"/>
      <c r="QBZ34" s="67"/>
      <c r="QCA34" s="67"/>
      <c r="QCB34" s="67"/>
      <c r="QCC34" s="67"/>
      <c r="QCD34" s="67"/>
      <c r="QCE34" s="67"/>
      <c r="QCF34" s="67"/>
      <c r="QCG34" s="67"/>
      <c r="QCH34" s="67"/>
      <c r="QCI34" s="67"/>
      <c r="QCJ34" s="67"/>
      <c r="QCK34" s="67"/>
      <c r="QCL34" s="67"/>
      <c r="QCM34" s="67"/>
      <c r="QCN34" s="67"/>
      <c r="QCO34" s="67"/>
      <c r="QCP34" s="67"/>
      <c r="QCQ34" s="67"/>
      <c r="QCR34" s="67"/>
      <c r="QCS34" s="67"/>
      <c r="QCT34" s="67"/>
      <c r="QCU34" s="67"/>
      <c r="QCV34" s="67"/>
      <c r="QCW34" s="67"/>
      <c r="QCX34" s="67"/>
      <c r="QCY34" s="67"/>
      <c r="QCZ34" s="67"/>
      <c r="QDA34" s="67"/>
      <c r="QDB34" s="67"/>
      <c r="QDC34" s="67"/>
      <c r="QDD34" s="67"/>
      <c r="QDE34" s="67"/>
      <c r="QDF34" s="67"/>
      <c r="QDG34" s="67"/>
      <c r="QDH34" s="67"/>
      <c r="QDI34" s="67"/>
      <c r="QDJ34" s="67"/>
      <c r="QDK34" s="67"/>
      <c r="QDL34" s="67"/>
      <c r="QDM34" s="67"/>
      <c r="QDN34" s="67"/>
      <c r="QDO34" s="67"/>
      <c r="QDP34" s="67"/>
      <c r="QDQ34" s="67"/>
      <c r="QDR34" s="67"/>
      <c r="QDS34" s="67"/>
      <c r="QDT34" s="67"/>
      <c r="QDU34" s="67"/>
      <c r="QDV34" s="67"/>
      <c r="QDW34" s="67"/>
      <c r="QDX34" s="67"/>
      <c r="QDY34" s="67"/>
      <c r="QDZ34" s="67"/>
      <c r="QEA34" s="67"/>
      <c r="QEB34" s="67"/>
      <c r="QEC34" s="67"/>
      <c r="QED34" s="67"/>
      <c r="QEE34" s="67"/>
      <c r="QEF34" s="67"/>
      <c r="QEG34" s="67"/>
      <c r="QEH34" s="67"/>
      <c r="QEI34" s="67"/>
      <c r="QEJ34" s="67"/>
      <c r="QEK34" s="67"/>
      <c r="QEL34" s="67"/>
      <c r="QEM34" s="67"/>
      <c r="QEN34" s="67"/>
      <c r="QEO34" s="67"/>
      <c r="QEP34" s="67"/>
      <c r="QEQ34" s="67"/>
      <c r="QER34" s="67"/>
      <c r="QES34" s="67"/>
      <c r="QET34" s="67"/>
      <c r="QEU34" s="67"/>
      <c r="QEV34" s="67"/>
      <c r="QEW34" s="67"/>
      <c r="QEX34" s="67"/>
      <c r="QEY34" s="67"/>
      <c r="QEZ34" s="67"/>
      <c r="QFA34" s="67"/>
      <c r="QFB34" s="67"/>
      <c r="QFC34" s="67"/>
      <c r="QFD34" s="67"/>
      <c r="QFE34" s="67"/>
      <c r="QFF34" s="67"/>
      <c r="QFG34" s="67"/>
      <c r="QFH34" s="67"/>
      <c r="QFI34" s="67"/>
      <c r="QFJ34" s="67"/>
      <c r="QFK34" s="67"/>
      <c r="QFL34" s="67"/>
      <c r="QFM34" s="67"/>
      <c r="QFN34" s="67"/>
      <c r="QFO34" s="67"/>
      <c r="QFP34" s="67"/>
      <c r="QFQ34" s="67"/>
      <c r="QFR34" s="67"/>
      <c r="QFS34" s="67"/>
      <c r="QFT34" s="67"/>
      <c r="QFU34" s="67"/>
      <c r="QFV34" s="67"/>
      <c r="QFW34" s="67"/>
      <c r="QFX34" s="67"/>
      <c r="QFY34" s="67"/>
      <c r="QFZ34" s="67"/>
      <c r="QGA34" s="67"/>
      <c r="QGB34" s="67"/>
      <c r="QGC34" s="67"/>
      <c r="QGD34" s="67"/>
      <c r="QGE34" s="67"/>
      <c r="QGF34" s="67"/>
      <c r="QGG34" s="67"/>
      <c r="QGH34" s="67"/>
      <c r="QGI34" s="67"/>
      <c r="QGJ34" s="67"/>
      <c r="QGK34" s="67"/>
      <c r="QGL34" s="67"/>
      <c r="QGM34" s="67"/>
      <c r="QGN34" s="67"/>
      <c r="QGO34" s="67"/>
      <c r="QGP34" s="67"/>
      <c r="QGQ34" s="67"/>
      <c r="QGR34" s="67"/>
      <c r="QGS34" s="67"/>
      <c r="QGT34" s="67"/>
      <c r="QGU34" s="67"/>
      <c r="QGV34" s="67"/>
      <c r="QGW34" s="67"/>
      <c r="QGX34" s="67"/>
      <c r="QGY34" s="67"/>
      <c r="QGZ34" s="67"/>
      <c r="QHA34" s="67"/>
      <c r="QHB34" s="67"/>
      <c r="QHC34" s="67"/>
      <c r="QHD34" s="67"/>
      <c r="QHE34" s="67"/>
      <c r="QHF34" s="67"/>
      <c r="QHG34" s="67"/>
      <c r="QHH34" s="67"/>
      <c r="QHI34" s="67"/>
      <c r="QHJ34" s="67"/>
      <c r="QHK34" s="67"/>
      <c r="QHL34" s="67"/>
      <c r="QHM34" s="67"/>
      <c r="QHN34" s="67"/>
      <c r="QHO34" s="67"/>
      <c r="QHP34" s="67"/>
      <c r="QHQ34" s="67"/>
      <c r="QHR34" s="67"/>
      <c r="QHS34" s="67"/>
      <c r="QHT34" s="67"/>
      <c r="QHU34" s="67"/>
      <c r="QHV34" s="67"/>
      <c r="QHW34" s="67"/>
      <c r="QHX34" s="67"/>
      <c r="QHY34" s="67"/>
      <c r="QHZ34" s="67"/>
      <c r="QIA34" s="67"/>
      <c r="QIB34" s="67"/>
      <c r="QIC34" s="67"/>
      <c r="QID34" s="67"/>
      <c r="QIE34" s="67"/>
      <c r="QIF34" s="67"/>
      <c r="QIG34" s="67"/>
      <c r="QIH34" s="67"/>
      <c r="QII34" s="67"/>
      <c r="QIJ34" s="67"/>
      <c r="QIK34" s="67"/>
      <c r="QIL34" s="67"/>
      <c r="QIM34" s="67"/>
      <c r="QIN34" s="67"/>
      <c r="QIO34" s="67"/>
      <c r="QIP34" s="67"/>
      <c r="QIQ34" s="67"/>
      <c r="QIR34" s="67"/>
      <c r="QIS34" s="67"/>
      <c r="QIT34" s="67"/>
      <c r="QIU34" s="67"/>
      <c r="QIV34" s="67"/>
      <c r="QIW34" s="67"/>
      <c r="QIX34" s="67"/>
      <c r="QIY34" s="67"/>
      <c r="QIZ34" s="67"/>
      <c r="QJA34" s="67"/>
      <c r="QJB34" s="67"/>
      <c r="QJC34" s="67"/>
      <c r="QJD34" s="67"/>
      <c r="QJE34" s="67"/>
      <c r="QJF34" s="67"/>
      <c r="QJG34" s="67"/>
      <c r="QJH34" s="67"/>
      <c r="QJI34" s="67"/>
      <c r="QJJ34" s="67"/>
      <c r="QJK34" s="67"/>
      <c r="QJL34" s="67"/>
      <c r="QJM34" s="67"/>
      <c r="QJN34" s="67"/>
      <c r="QJO34" s="67"/>
      <c r="QJP34" s="67"/>
      <c r="QJQ34" s="67"/>
      <c r="QJR34" s="67"/>
      <c r="QJS34" s="67"/>
      <c r="QJT34" s="67"/>
      <c r="QJU34" s="67"/>
      <c r="QJV34" s="67"/>
      <c r="QJW34" s="67"/>
      <c r="QJX34" s="67"/>
      <c r="QJY34" s="67"/>
      <c r="QJZ34" s="67"/>
      <c r="QKA34" s="67"/>
      <c r="QKB34" s="67"/>
      <c r="QKC34" s="67"/>
      <c r="QKD34" s="67"/>
      <c r="QKE34" s="67"/>
      <c r="QKF34" s="67"/>
      <c r="QKG34" s="67"/>
      <c r="QKH34" s="67"/>
      <c r="QKI34" s="67"/>
      <c r="QKJ34" s="67"/>
      <c r="QKK34" s="67"/>
      <c r="QKL34" s="67"/>
      <c r="QKM34" s="67"/>
      <c r="QKN34" s="67"/>
      <c r="QKO34" s="67"/>
      <c r="QKP34" s="67"/>
      <c r="QKQ34" s="67"/>
      <c r="QKR34" s="67"/>
      <c r="QKS34" s="67"/>
      <c r="QKT34" s="67"/>
      <c r="QKU34" s="67"/>
      <c r="QKV34" s="67"/>
      <c r="QKW34" s="67"/>
      <c r="QKX34" s="67"/>
      <c r="QKY34" s="67"/>
      <c r="QKZ34" s="67"/>
      <c r="QLA34" s="67"/>
      <c r="QLB34" s="67"/>
      <c r="QLC34" s="67"/>
      <c r="QLD34" s="67"/>
      <c r="QLE34" s="67"/>
      <c r="QLF34" s="67"/>
      <c r="QLG34" s="67"/>
      <c r="QLH34" s="67"/>
      <c r="QLI34" s="67"/>
      <c r="QLJ34" s="67"/>
      <c r="QLK34" s="67"/>
      <c r="QLL34" s="67"/>
      <c r="QLM34" s="67"/>
      <c r="QLN34" s="67"/>
      <c r="QLO34" s="67"/>
      <c r="QLP34" s="67"/>
      <c r="QLQ34" s="67"/>
      <c r="QLR34" s="67"/>
      <c r="QLS34" s="67"/>
      <c r="QLT34" s="67"/>
      <c r="QLU34" s="67"/>
      <c r="QLV34" s="67"/>
      <c r="QLW34" s="67"/>
      <c r="QLX34" s="67"/>
      <c r="QLY34" s="67"/>
      <c r="QLZ34" s="67"/>
      <c r="QMA34" s="67"/>
      <c r="QMB34" s="67"/>
      <c r="QMC34" s="67"/>
      <c r="QMD34" s="67"/>
      <c r="QME34" s="67"/>
      <c r="QMF34" s="67"/>
      <c r="QMG34" s="67"/>
      <c r="QMH34" s="67"/>
      <c r="QMI34" s="67"/>
      <c r="QMJ34" s="67"/>
      <c r="QMK34" s="67"/>
      <c r="QML34" s="67"/>
      <c r="QMM34" s="67"/>
      <c r="QMN34" s="67"/>
      <c r="QMO34" s="67"/>
      <c r="QMP34" s="67"/>
      <c r="QMQ34" s="67"/>
      <c r="QMR34" s="67"/>
      <c r="QMS34" s="67"/>
      <c r="QMT34" s="67"/>
      <c r="QMU34" s="67"/>
      <c r="QMV34" s="67"/>
      <c r="QMW34" s="67"/>
      <c r="QMX34" s="67"/>
      <c r="QMY34" s="67"/>
      <c r="QMZ34" s="67"/>
      <c r="QNA34" s="67"/>
      <c r="QNB34" s="67"/>
      <c r="QNC34" s="67"/>
      <c r="QND34" s="67"/>
      <c r="QNE34" s="67"/>
      <c r="QNF34" s="67"/>
      <c r="QNG34" s="67"/>
      <c r="QNH34" s="67"/>
      <c r="QNI34" s="67"/>
      <c r="QNJ34" s="67"/>
      <c r="QNK34" s="67"/>
      <c r="QNL34" s="67"/>
      <c r="QNM34" s="67"/>
      <c r="QNN34" s="67"/>
      <c r="QNO34" s="67"/>
      <c r="QNP34" s="67"/>
      <c r="QNQ34" s="67"/>
      <c r="QNR34" s="67"/>
      <c r="QNS34" s="67"/>
      <c r="QNT34" s="67"/>
      <c r="QNU34" s="67"/>
      <c r="QNV34" s="67"/>
      <c r="QNW34" s="67"/>
      <c r="QNX34" s="67"/>
      <c r="QNY34" s="67"/>
      <c r="QNZ34" s="67"/>
      <c r="QOA34" s="67"/>
      <c r="QOB34" s="67"/>
      <c r="QOC34" s="67"/>
      <c r="QOD34" s="67"/>
      <c r="QOE34" s="67"/>
      <c r="QOF34" s="67"/>
      <c r="QOG34" s="67"/>
      <c r="QOH34" s="67"/>
      <c r="QOI34" s="67"/>
      <c r="QOJ34" s="67"/>
      <c r="QOK34" s="67"/>
      <c r="QOL34" s="67"/>
      <c r="QOM34" s="67"/>
      <c r="QON34" s="67"/>
      <c r="QOO34" s="67"/>
      <c r="QOP34" s="67"/>
      <c r="QOQ34" s="67"/>
      <c r="QOR34" s="67"/>
      <c r="QOS34" s="67"/>
      <c r="QOT34" s="67"/>
      <c r="QOU34" s="67"/>
      <c r="QOV34" s="67"/>
      <c r="QOW34" s="67"/>
      <c r="QOX34" s="67"/>
      <c r="QOY34" s="67"/>
      <c r="QOZ34" s="67"/>
      <c r="QPA34" s="67"/>
      <c r="QPB34" s="67"/>
      <c r="QPC34" s="67"/>
      <c r="QPD34" s="67"/>
      <c r="QPE34" s="67"/>
      <c r="QPF34" s="67"/>
      <c r="QPG34" s="67"/>
      <c r="QPH34" s="67"/>
      <c r="QPI34" s="67"/>
      <c r="QPJ34" s="67"/>
      <c r="QPK34" s="67"/>
      <c r="QPL34" s="67"/>
      <c r="QPM34" s="67"/>
      <c r="QPN34" s="67"/>
      <c r="QPO34" s="67"/>
      <c r="QPP34" s="67"/>
      <c r="QPQ34" s="67"/>
      <c r="QPR34" s="67"/>
      <c r="QPS34" s="67"/>
      <c r="QPT34" s="67"/>
      <c r="QPU34" s="67"/>
      <c r="QPV34" s="67"/>
      <c r="QPW34" s="67"/>
      <c r="QPX34" s="67"/>
      <c r="QPY34" s="67"/>
      <c r="QPZ34" s="67"/>
      <c r="QQA34" s="67"/>
      <c r="QQB34" s="67"/>
      <c r="QQC34" s="67"/>
      <c r="QQD34" s="67"/>
      <c r="QQE34" s="67"/>
      <c r="QQF34" s="67"/>
      <c r="QQG34" s="67"/>
      <c r="QQH34" s="67"/>
      <c r="QQI34" s="67"/>
      <c r="QQJ34" s="67"/>
      <c r="QQK34" s="67"/>
      <c r="QQL34" s="67"/>
      <c r="QQM34" s="67"/>
      <c r="QQN34" s="67"/>
      <c r="QQO34" s="67"/>
      <c r="QQP34" s="67"/>
      <c r="QQQ34" s="67"/>
      <c r="QQR34" s="67"/>
      <c r="QQS34" s="67"/>
      <c r="QQT34" s="67"/>
      <c r="QQU34" s="67"/>
      <c r="QQV34" s="67"/>
      <c r="QQW34" s="67"/>
      <c r="QQX34" s="67"/>
      <c r="QQY34" s="67"/>
      <c r="QQZ34" s="67"/>
      <c r="QRA34" s="67"/>
      <c r="QRB34" s="67"/>
      <c r="QRC34" s="67"/>
      <c r="QRD34" s="67"/>
      <c r="QRE34" s="67"/>
      <c r="QRF34" s="67"/>
      <c r="QRG34" s="67"/>
      <c r="QRH34" s="67"/>
      <c r="QRI34" s="67"/>
      <c r="QRJ34" s="67"/>
      <c r="QRK34" s="67"/>
      <c r="QRL34" s="67"/>
      <c r="QRM34" s="67"/>
      <c r="QRN34" s="67"/>
      <c r="QRO34" s="67"/>
      <c r="QRP34" s="67"/>
      <c r="QRQ34" s="67"/>
      <c r="QRR34" s="67"/>
      <c r="QRS34" s="67"/>
      <c r="QRT34" s="67"/>
      <c r="QRU34" s="67"/>
      <c r="QRV34" s="67"/>
      <c r="QRW34" s="67"/>
      <c r="QRX34" s="67"/>
      <c r="QRY34" s="67"/>
      <c r="QRZ34" s="67"/>
      <c r="QSA34" s="67"/>
      <c r="QSB34" s="67"/>
      <c r="QSC34" s="67"/>
      <c r="QSD34" s="67"/>
      <c r="QSE34" s="67"/>
      <c r="QSF34" s="67"/>
      <c r="QSG34" s="67"/>
      <c r="QSH34" s="67"/>
      <c r="QSI34" s="67"/>
      <c r="QSJ34" s="67"/>
      <c r="QSK34" s="67"/>
      <c r="QSL34" s="67"/>
      <c r="QSM34" s="67"/>
      <c r="QSN34" s="67"/>
      <c r="QSO34" s="67"/>
      <c r="QSP34" s="67"/>
      <c r="QSQ34" s="67"/>
      <c r="QSR34" s="67"/>
      <c r="QSS34" s="67"/>
      <c r="QST34" s="67"/>
      <c r="QSU34" s="67"/>
      <c r="QSV34" s="67"/>
      <c r="QSW34" s="67"/>
      <c r="QSX34" s="67"/>
      <c r="QSY34" s="67"/>
      <c r="QSZ34" s="67"/>
      <c r="QTA34" s="67"/>
      <c r="QTB34" s="67"/>
      <c r="QTC34" s="67"/>
      <c r="QTD34" s="67"/>
      <c r="QTE34" s="67"/>
      <c r="QTF34" s="67"/>
      <c r="QTG34" s="67"/>
      <c r="QTH34" s="67"/>
      <c r="QTI34" s="67"/>
      <c r="QTJ34" s="67"/>
      <c r="QTK34" s="67"/>
      <c r="QTL34" s="67"/>
      <c r="QTM34" s="67"/>
      <c r="QTN34" s="67"/>
      <c r="QTO34" s="67"/>
      <c r="QTP34" s="67"/>
      <c r="QTQ34" s="67"/>
      <c r="QTR34" s="67"/>
      <c r="QTS34" s="67"/>
      <c r="QTT34" s="67"/>
      <c r="QTU34" s="67"/>
      <c r="QTV34" s="67"/>
      <c r="QTW34" s="67"/>
      <c r="QTX34" s="67"/>
      <c r="QTY34" s="67"/>
      <c r="QTZ34" s="67"/>
      <c r="QUA34" s="67"/>
      <c r="QUB34" s="67"/>
      <c r="QUC34" s="67"/>
      <c r="QUD34" s="67"/>
      <c r="QUE34" s="67"/>
      <c r="QUF34" s="67"/>
      <c r="QUG34" s="67"/>
      <c r="QUH34" s="67"/>
      <c r="QUI34" s="67"/>
      <c r="QUJ34" s="67"/>
      <c r="QUK34" s="67"/>
      <c r="QUL34" s="67"/>
      <c r="QUM34" s="67"/>
      <c r="QUN34" s="67"/>
      <c r="QUO34" s="67"/>
      <c r="QUP34" s="67"/>
      <c r="QUQ34" s="67"/>
      <c r="QUR34" s="67"/>
      <c r="QUS34" s="67"/>
      <c r="QUT34" s="67"/>
      <c r="QUU34" s="67"/>
      <c r="QUV34" s="67"/>
      <c r="QUW34" s="67"/>
      <c r="QUX34" s="67"/>
      <c r="QUY34" s="67"/>
      <c r="QUZ34" s="67"/>
      <c r="QVA34" s="67"/>
      <c r="QVB34" s="67"/>
      <c r="QVC34" s="67"/>
      <c r="QVD34" s="67"/>
      <c r="QVE34" s="67"/>
      <c r="QVF34" s="67"/>
      <c r="QVG34" s="67"/>
      <c r="QVH34" s="67"/>
      <c r="QVI34" s="67"/>
      <c r="QVJ34" s="67"/>
      <c r="QVK34" s="67"/>
      <c r="QVL34" s="67"/>
      <c r="QVM34" s="67"/>
      <c r="QVN34" s="67"/>
      <c r="QVO34" s="67"/>
      <c r="QVP34" s="67"/>
      <c r="QVQ34" s="67"/>
      <c r="QVR34" s="67"/>
      <c r="QVS34" s="67"/>
      <c r="QVT34" s="67"/>
      <c r="QVU34" s="67"/>
      <c r="QVV34" s="67"/>
      <c r="QVW34" s="67"/>
      <c r="QVX34" s="67"/>
      <c r="QVY34" s="67"/>
      <c r="QVZ34" s="67"/>
      <c r="QWA34" s="67"/>
      <c r="QWB34" s="67"/>
      <c r="QWC34" s="67"/>
      <c r="QWD34" s="67"/>
      <c r="QWE34" s="67"/>
      <c r="QWF34" s="67"/>
      <c r="QWG34" s="67"/>
      <c r="QWH34" s="67"/>
      <c r="QWI34" s="67"/>
      <c r="QWJ34" s="67"/>
      <c r="QWK34" s="67"/>
      <c r="QWL34" s="67"/>
      <c r="QWM34" s="67"/>
      <c r="QWN34" s="67"/>
      <c r="QWO34" s="67"/>
      <c r="QWP34" s="67"/>
      <c r="QWQ34" s="67"/>
      <c r="QWR34" s="67"/>
      <c r="QWS34" s="67"/>
      <c r="QWT34" s="67"/>
      <c r="QWU34" s="67"/>
      <c r="QWV34" s="67"/>
      <c r="QWW34" s="67"/>
      <c r="QWX34" s="67"/>
      <c r="QWY34" s="67"/>
      <c r="QWZ34" s="67"/>
      <c r="QXA34" s="67"/>
      <c r="QXB34" s="67"/>
      <c r="QXC34" s="67"/>
      <c r="QXD34" s="67"/>
      <c r="QXE34" s="67"/>
      <c r="QXF34" s="67"/>
      <c r="QXG34" s="67"/>
      <c r="QXH34" s="67"/>
      <c r="QXI34" s="67"/>
      <c r="QXJ34" s="67"/>
      <c r="QXK34" s="67"/>
      <c r="QXL34" s="67"/>
      <c r="QXM34" s="67"/>
      <c r="QXN34" s="67"/>
      <c r="QXO34" s="67"/>
      <c r="QXP34" s="67"/>
      <c r="QXQ34" s="67"/>
      <c r="QXR34" s="67"/>
      <c r="QXS34" s="67"/>
      <c r="QXT34" s="67"/>
      <c r="QXU34" s="67"/>
      <c r="QXV34" s="67"/>
      <c r="QXW34" s="67"/>
      <c r="QXX34" s="67"/>
      <c r="QXY34" s="67"/>
      <c r="QXZ34" s="67"/>
      <c r="QYA34" s="67"/>
      <c r="QYB34" s="67"/>
      <c r="QYC34" s="67"/>
      <c r="QYD34" s="67"/>
      <c r="QYE34" s="67"/>
      <c r="QYF34" s="67"/>
      <c r="QYG34" s="67"/>
      <c r="QYH34" s="67"/>
      <c r="QYI34" s="67"/>
      <c r="QYJ34" s="67"/>
      <c r="QYK34" s="67"/>
      <c r="QYL34" s="67"/>
      <c r="QYM34" s="67"/>
      <c r="QYN34" s="67"/>
      <c r="QYO34" s="67"/>
      <c r="QYP34" s="67"/>
      <c r="QYQ34" s="67"/>
      <c r="QYR34" s="67"/>
      <c r="QYS34" s="67"/>
      <c r="QYT34" s="67"/>
      <c r="QYU34" s="67"/>
      <c r="QYV34" s="67"/>
      <c r="QYW34" s="67"/>
      <c r="QYX34" s="67"/>
      <c r="QYY34" s="67"/>
      <c r="QYZ34" s="67"/>
      <c r="QZA34" s="67"/>
      <c r="QZB34" s="67"/>
      <c r="QZC34" s="67"/>
      <c r="QZD34" s="67"/>
      <c r="QZE34" s="67"/>
      <c r="QZF34" s="67"/>
      <c r="QZG34" s="67"/>
      <c r="QZH34" s="67"/>
      <c r="QZI34" s="67"/>
      <c r="QZJ34" s="67"/>
      <c r="QZK34" s="67"/>
      <c r="QZL34" s="67"/>
      <c r="QZM34" s="67"/>
      <c r="QZN34" s="67"/>
      <c r="QZO34" s="67"/>
      <c r="QZP34" s="67"/>
      <c r="QZQ34" s="67"/>
      <c r="QZR34" s="67"/>
      <c r="QZS34" s="67"/>
      <c r="QZT34" s="67"/>
      <c r="QZU34" s="67"/>
      <c r="QZV34" s="67"/>
      <c r="QZW34" s="67"/>
      <c r="QZX34" s="67"/>
      <c r="QZY34" s="67"/>
      <c r="QZZ34" s="67"/>
      <c r="RAA34" s="67"/>
      <c r="RAB34" s="67"/>
      <c r="RAC34" s="67"/>
      <c r="RAD34" s="67"/>
      <c r="RAE34" s="67"/>
      <c r="RAF34" s="67"/>
      <c r="RAG34" s="67"/>
      <c r="RAH34" s="67"/>
      <c r="RAI34" s="67"/>
      <c r="RAJ34" s="67"/>
      <c r="RAK34" s="67"/>
      <c r="RAL34" s="67"/>
      <c r="RAM34" s="67"/>
      <c r="RAN34" s="67"/>
      <c r="RAO34" s="67"/>
      <c r="RAP34" s="67"/>
      <c r="RAQ34" s="67"/>
      <c r="RAR34" s="67"/>
      <c r="RAS34" s="67"/>
      <c r="RAT34" s="67"/>
      <c r="RAU34" s="67"/>
      <c r="RAV34" s="67"/>
      <c r="RAW34" s="67"/>
      <c r="RAX34" s="67"/>
      <c r="RAY34" s="67"/>
      <c r="RAZ34" s="67"/>
      <c r="RBA34" s="67"/>
      <c r="RBB34" s="67"/>
      <c r="RBC34" s="67"/>
      <c r="RBD34" s="67"/>
      <c r="RBE34" s="67"/>
      <c r="RBF34" s="67"/>
      <c r="RBG34" s="67"/>
      <c r="RBH34" s="67"/>
      <c r="RBI34" s="67"/>
      <c r="RBJ34" s="67"/>
      <c r="RBK34" s="67"/>
      <c r="RBL34" s="67"/>
      <c r="RBM34" s="67"/>
      <c r="RBN34" s="67"/>
      <c r="RBO34" s="67"/>
      <c r="RBP34" s="67"/>
      <c r="RBQ34" s="67"/>
      <c r="RBR34" s="67"/>
      <c r="RBS34" s="67"/>
      <c r="RBT34" s="67"/>
      <c r="RBU34" s="67"/>
      <c r="RBV34" s="67"/>
      <c r="RBW34" s="67"/>
      <c r="RBX34" s="67"/>
      <c r="RBY34" s="67"/>
      <c r="RBZ34" s="67"/>
      <c r="RCA34" s="67"/>
      <c r="RCB34" s="67"/>
      <c r="RCC34" s="67"/>
      <c r="RCD34" s="67"/>
      <c r="RCE34" s="67"/>
      <c r="RCF34" s="67"/>
      <c r="RCG34" s="67"/>
      <c r="RCH34" s="67"/>
      <c r="RCI34" s="67"/>
      <c r="RCJ34" s="67"/>
      <c r="RCK34" s="67"/>
      <c r="RCL34" s="67"/>
      <c r="RCM34" s="67"/>
      <c r="RCN34" s="67"/>
      <c r="RCO34" s="67"/>
      <c r="RCP34" s="67"/>
      <c r="RCQ34" s="67"/>
      <c r="RCR34" s="67"/>
      <c r="RCS34" s="67"/>
      <c r="RCT34" s="67"/>
      <c r="RCU34" s="67"/>
      <c r="RCV34" s="67"/>
      <c r="RCW34" s="67"/>
      <c r="RCX34" s="67"/>
      <c r="RCY34" s="67"/>
      <c r="RCZ34" s="67"/>
      <c r="RDA34" s="67"/>
      <c r="RDB34" s="67"/>
      <c r="RDC34" s="67"/>
      <c r="RDD34" s="67"/>
      <c r="RDE34" s="67"/>
      <c r="RDF34" s="67"/>
      <c r="RDG34" s="67"/>
      <c r="RDH34" s="67"/>
      <c r="RDI34" s="67"/>
      <c r="RDJ34" s="67"/>
      <c r="RDK34" s="67"/>
      <c r="RDL34" s="67"/>
      <c r="RDM34" s="67"/>
      <c r="RDN34" s="67"/>
      <c r="RDO34" s="67"/>
      <c r="RDP34" s="67"/>
      <c r="RDQ34" s="67"/>
      <c r="RDR34" s="67"/>
      <c r="RDS34" s="67"/>
      <c r="RDT34" s="67"/>
      <c r="RDU34" s="67"/>
      <c r="RDV34" s="67"/>
      <c r="RDW34" s="67"/>
      <c r="RDX34" s="67"/>
      <c r="RDY34" s="67"/>
      <c r="RDZ34" s="67"/>
      <c r="REA34" s="67"/>
      <c r="REB34" s="67"/>
      <c r="REC34" s="67"/>
      <c r="RED34" s="67"/>
      <c r="REE34" s="67"/>
      <c r="REF34" s="67"/>
      <c r="REG34" s="67"/>
      <c r="REH34" s="67"/>
      <c r="REI34" s="67"/>
      <c r="REJ34" s="67"/>
      <c r="REK34" s="67"/>
      <c r="REL34" s="67"/>
      <c r="REM34" s="67"/>
      <c r="REN34" s="67"/>
      <c r="REO34" s="67"/>
      <c r="REP34" s="67"/>
      <c r="REQ34" s="67"/>
      <c r="RER34" s="67"/>
      <c r="RES34" s="67"/>
      <c r="RET34" s="67"/>
      <c r="REU34" s="67"/>
      <c r="REV34" s="67"/>
      <c r="REW34" s="67"/>
      <c r="REX34" s="67"/>
      <c r="REY34" s="67"/>
      <c r="REZ34" s="67"/>
      <c r="RFA34" s="67"/>
      <c r="RFB34" s="67"/>
      <c r="RFC34" s="67"/>
      <c r="RFD34" s="67"/>
      <c r="RFE34" s="67"/>
      <c r="RFF34" s="67"/>
      <c r="RFG34" s="67"/>
      <c r="RFH34" s="67"/>
      <c r="RFI34" s="67"/>
      <c r="RFJ34" s="67"/>
      <c r="RFK34" s="67"/>
      <c r="RFL34" s="67"/>
      <c r="RFM34" s="67"/>
      <c r="RFN34" s="67"/>
      <c r="RFO34" s="67"/>
      <c r="RFP34" s="67"/>
      <c r="RFQ34" s="67"/>
      <c r="RFR34" s="67"/>
      <c r="RFS34" s="67"/>
      <c r="RFT34" s="67"/>
      <c r="RFU34" s="67"/>
      <c r="RFV34" s="67"/>
      <c r="RFW34" s="67"/>
      <c r="RFX34" s="67"/>
      <c r="RFY34" s="67"/>
      <c r="RFZ34" s="67"/>
      <c r="RGA34" s="67"/>
      <c r="RGB34" s="67"/>
      <c r="RGC34" s="67"/>
      <c r="RGD34" s="67"/>
      <c r="RGE34" s="67"/>
      <c r="RGF34" s="67"/>
      <c r="RGG34" s="67"/>
      <c r="RGH34" s="67"/>
      <c r="RGI34" s="67"/>
      <c r="RGJ34" s="67"/>
      <c r="RGK34" s="67"/>
      <c r="RGL34" s="67"/>
      <c r="RGM34" s="67"/>
      <c r="RGN34" s="67"/>
      <c r="RGO34" s="67"/>
      <c r="RGP34" s="67"/>
      <c r="RGQ34" s="67"/>
      <c r="RGR34" s="67"/>
      <c r="RGS34" s="67"/>
      <c r="RGT34" s="67"/>
      <c r="RGU34" s="67"/>
      <c r="RGV34" s="67"/>
      <c r="RGW34" s="67"/>
      <c r="RGX34" s="67"/>
      <c r="RGY34" s="67"/>
      <c r="RGZ34" s="67"/>
      <c r="RHA34" s="67"/>
      <c r="RHB34" s="67"/>
      <c r="RHC34" s="67"/>
      <c r="RHD34" s="67"/>
      <c r="RHE34" s="67"/>
      <c r="RHF34" s="67"/>
      <c r="RHG34" s="67"/>
      <c r="RHH34" s="67"/>
      <c r="RHI34" s="67"/>
      <c r="RHJ34" s="67"/>
      <c r="RHK34" s="67"/>
      <c r="RHL34" s="67"/>
      <c r="RHM34" s="67"/>
      <c r="RHN34" s="67"/>
      <c r="RHO34" s="67"/>
      <c r="RHP34" s="67"/>
      <c r="RHQ34" s="67"/>
      <c r="RHR34" s="67"/>
      <c r="RHS34" s="67"/>
      <c r="RHT34" s="67"/>
      <c r="RHU34" s="67"/>
      <c r="RHV34" s="67"/>
      <c r="RHW34" s="67"/>
      <c r="RHX34" s="67"/>
      <c r="RHY34" s="67"/>
      <c r="RHZ34" s="67"/>
      <c r="RIA34" s="67"/>
      <c r="RIB34" s="67"/>
      <c r="RIC34" s="67"/>
      <c r="RID34" s="67"/>
      <c r="RIE34" s="67"/>
      <c r="RIF34" s="67"/>
      <c r="RIG34" s="67"/>
      <c r="RIH34" s="67"/>
      <c r="RII34" s="67"/>
      <c r="RIJ34" s="67"/>
      <c r="RIK34" s="67"/>
      <c r="RIL34" s="67"/>
      <c r="RIM34" s="67"/>
      <c r="RIN34" s="67"/>
      <c r="RIO34" s="67"/>
      <c r="RIP34" s="67"/>
      <c r="RIQ34" s="67"/>
      <c r="RIR34" s="67"/>
      <c r="RIS34" s="67"/>
      <c r="RIT34" s="67"/>
      <c r="RIU34" s="67"/>
      <c r="RIV34" s="67"/>
      <c r="RIW34" s="67"/>
      <c r="RIX34" s="67"/>
      <c r="RIY34" s="67"/>
      <c r="RIZ34" s="67"/>
      <c r="RJA34" s="67"/>
      <c r="RJB34" s="67"/>
      <c r="RJC34" s="67"/>
      <c r="RJD34" s="67"/>
      <c r="RJE34" s="67"/>
      <c r="RJF34" s="67"/>
      <c r="RJG34" s="67"/>
      <c r="RJH34" s="67"/>
      <c r="RJI34" s="67"/>
      <c r="RJJ34" s="67"/>
      <c r="RJK34" s="67"/>
      <c r="RJL34" s="67"/>
      <c r="RJM34" s="67"/>
      <c r="RJN34" s="67"/>
      <c r="RJO34" s="67"/>
      <c r="RJP34" s="67"/>
      <c r="RJQ34" s="67"/>
      <c r="RJR34" s="67"/>
      <c r="RJS34" s="67"/>
      <c r="RJT34" s="67"/>
      <c r="RJU34" s="67"/>
      <c r="RJV34" s="67"/>
      <c r="RJW34" s="67"/>
      <c r="RJX34" s="67"/>
      <c r="RJY34" s="67"/>
      <c r="RJZ34" s="67"/>
      <c r="RKA34" s="67"/>
      <c r="RKB34" s="67"/>
      <c r="RKC34" s="67"/>
      <c r="RKD34" s="67"/>
      <c r="RKE34" s="67"/>
      <c r="RKF34" s="67"/>
      <c r="RKG34" s="67"/>
      <c r="RKH34" s="67"/>
      <c r="RKI34" s="67"/>
      <c r="RKJ34" s="67"/>
      <c r="RKK34" s="67"/>
      <c r="RKL34" s="67"/>
      <c r="RKM34" s="67"/>
      <c r="RKN34" s="67"/>
      <c r="RKO34" s="67"/>
      <c r="RKP34" s="67"/>
      <c r="RKQ34" s="67"/>
      <c r="RKR34" s="67"/>
      <c r="RKS34" s="67"/>
      <c r="RKT34" s="67"/>
      <c r="RKU34" s="67"/>
      <c r="RKV34" s="67"/>
      <c r="RKW34" s="67"/>
      <c r="RKX34" s="67"/>
      <c r="RKY34" s="67"/>
      <c r="RKZ34" s="67"/>
      <c r="RLA34" s="67"/>
      <c r="RLB34" s="67"/>
      <c r="RLC34" s="67"/>
      <c r="RLD34" s="67"/>
      <c r="RLE34" s="67"/>
      <c r="RLF34" s="67"/>
      <c r="RLG34" s="67"/>
      <c r="RLH34" s="67"/>
      <c r="RLI34" s="67"/>
      <c r="RLJ34" s="67"/>
      <c r="RLK34" s="67"/>
      <c r="RLL34" s="67"/>
      <c r="RLM34" s="67"/>
      <c r="RLN34" s="67"/>
      <c r="RLO34" s="67"/>
      <c r="RLP34" s="67"/>
      <c r="RLQ34" s="67"/>
      <c r="RLR34" s="67"/>
      <c r="RLS34" s="67"/>
      <c r="RLT34" s="67"/>
      <c r="RLU34" s="67"/>
      <c r="RLV34" s="67"/>
      <c r="RLW34" s="67"/>
      <c r="RLX34" s="67"/>
      <c r="RLY34" s="67"/>
      <c r="RLZ34" s="67"/>
      <c r="RMA34" s="67"/>
      <c r="RMB34" s="67"/>
      <c r="RMC34" s="67"/>
      <c r="RMD34" s="67"/>
      <c r="RME34" s="67"/>
      <c r="RMF34" s="67"/>
      <c r="RMG34" s="67"/>
      <c r="RMH34" s="67"/>
      <c r="RMI34" s="67"/>
      <c r="RMJ34" s="67"/>
      <c r="RMK34" s="67"/>
      <c r="RML34" s="67"/>
      <c r="RMM34" s="67"/>
      <c r="RMN34" s="67"/>
      <c r="RMO34" s="67"/>
      <c r="RMP34" s="67"/>
      <c r="RMQ34" s="67"/>
      <c r="RMR34" s="67"/>
      <c r="RMS34" s="67"/>
      <c r="RMT34" s="67"/>
      <c r="RMU34" s="67"/>
      <c r="RMV34" s="67"/>
      <c r="RMW34" s="67"/>
      <c r="RMX34" s="67"/>
      <c r="RMY34" s="67"/>
      <c r="RMZ34" s="67"/>
      <c r="RNA34" s="67"/>
      <c r="RNB34" s="67"/>
      <c r="RNC34" s="67"/>
      <c r="RND34" s="67"/>
      <c r="RNE34" s="67"/>
      <c r="RNF34" s="67"/>
      <c r="RNG34" s="67"/>
      <c r="RNH34" s="67"/>
      <c r="RNI34" s="67"/>
      <c r="RNJ34" s="67"/>
      <c r="RNK34" s="67"/>
      <c r="RNL34" s="67"/>
      <c r="RNM34" s="67"/>
      <c r="RNN34" s="67"/>
      <c r="RNO34" s="67"/>
      <c r="RNP34" s="67"/>
      <c r="RNQ34" s="67"/>
      <c r="RNR34" s="67"/>
      <c r="RNS34" s="67"/>
      <c r="RNT34" s="67"/>
      <c r="RNU34" s="67"/>
      <c r="RNV34" s="67"/>
      <c r="RNW34" s="67"/>
      <c r="RNX34" s="67"/>
      <c r="RNY34" s="67"/>
      <c r="RNZ34" s="67"/>
      <c r="ROA34" s="67"/>
      <c r="ROB34" s="67"/>
      <c r="ROC34" s="67"/>
      <c r="ROD34" s="67"/>
      <c r="ROE34" s="67"/>
      <c r="ROF34" s="67"/>
      <c r="ROG34" s="67"/>
      <c r="ROH34" s="67"/>
      <c r="ROI34" s="67"/>
      <c r="ROJ34" s="67"/>
      <c r="ROK34" s="67"/>
      <c r="ROL34" s="67"/>
      <c r="ROM34" s="67"/>
      <c r="RON34" s="67"/>
      <c r="ROO34" s="67"/>
      <c r="ROP34" s="67"/>
      <c r="ROQ34" s="67"/>
      <c r="ROR34" s="67"/>
      <c r="ROS34" s="67"/>
      <c r="ROT34" s="67"/>
      <c r="ROU34" s="67"/>
      <c r="ROV34" s="67"/>
      <c r="ROW34" s="67"/>
      <c r="ROX34" s="67"/>
      <c r="ROY34" s="67"/>
      <c r="ROZ34" s="67"/>
      <c r="RPA34" s="67"/>
      <c r="RPB34" s="67"/>
      <c r="RPC34" s="67"/>
      <c r="RPD34" s="67"/>
      <c r="RPE34" s="67"/>
      <c r="RPF34" s="67"/>
      <c r="RPG34" s="67"/>
      <c r="RPH34" s="67"/>
      <c r="RPI34" s="67"/>
      <c r="RPJ34" s="67"/>
      <c r="RPK34" s="67"/>
      <c r="RPL34" s="67"/>
      <c r="RPM34" s="67"/>
      <c r="RPN34" s="67"/>
      <c r="RPO34" s="67"/>
      <c r="RPP34" s="67"/>
      <c r="RPQ34" s="67"/>
      <c r="RPR34" s="67"/>
      <c r="RPS34" s="67"/>
      <c r="RPT34" s="67"/>
      <c r="RPU34" s="67"/>
      <c r="RPV34" s="67"/>
      <c r="RPW34" s="67"/>
      <c r="RPX34" s="67"/>
      <c r="RPY34" s="67"/>
      <c r="RPZ34" s="67"/>
      <c r="RQA34" s="67"/>
      <c r="RQB34" s="67"/>
      <c r="RQC34" s="67"/>
      <c r="RQD34" s="67"/>
      <c r="RQE34" s="67"/>
      <c r="RQF34" s="67"/>
      <c r="RQG34" s="67"/>
      <c r="RQH34" s="67"/>
      <c r="RQI34" s="67"/>
      <c r="RQJ34" s="67"/>
      <c r="RQK34" s="67"/>
      <c r="RQL34" s="67"/>
      <c r="RQM34" s="67"/>
      <c r="RQN34" s="67"/>
      <c r="RQO34" s="67"/>
      <c r="RQP34" s="67"/>
      <c r="RQQ34" s="67"/>
      <c r="RQR34" s="67"/>
      <c r="RQS34" s="67"/>
      <c r="RQT34" s="67"/>
      <c r="RQU34" s="67"/>
      <c r="RQV34" s="67"/>
      <c r="RQW34" s="67"/>
      <c r="RQX34" s="67"/>
      <c r="RQY34" s="67"/>
      <c r="RQZ34" s="67"/>
      <c r="RRA34" s="67"/>
      <c r="RRB34" s="67"/>
      <c r="RRC34" s="67"/>
      <c r="RRD34" s="67"/>
      <c r="RRE34" s="67"/>
      <c r="RRF34" s="67"/>
      <c r="RRG34" s="67"/>
      <c r="RRH34" s="67"/>
      <c r="RRI34" s="67"/>
      <c r="RRJ34" s="67"/>
      <c r="RRK34" s="67"/>
      <c r="RRL34" s="67"/>
      <c r="RRM34" s="67"/>
      <c r="RRN34" s="67"/>
      <c r="RRO34" s="67"/>
      <c r="RRP34" s="67"/>
      <c r="RRQ34" s="67"/>
      <c r="RRR34" s="67"/>
      <c r="RRS34" s="67"/>
      <c r="RRT34" s="67"/>
      <c r="RRU34" s="67"/>
      <c r="RRV34" s="67"/>
      <c r="RRW34" s="67"/>
      <c r="RRX34" s="67"/>
      <c r="RRY34" s="67"/>
      <c r="RRZ34" s="67"/>
      <c r="RSA34" s="67"/>
      <c r="RSB34" s="67"/>
      <c r="RSC34" s="67"/>
      <c r="RSD34" s="67"/>
      <c r="RSE34" s="67"/>
      <c r="RSF34" s="67"/>
      <c r="RSG34" s="67"/>
      <c r="RSH34" s="67"/>
      <c r="RSI34" s="67"/>
      <c r="RSJ34" s="67"/>
      <c r="RSK34" s="67"/>
      <c r="RSL34" s="67"/>
      <c r="RSM34" s="67"/>
      <c r="RSN34" s="67"/>
      <c r="RSO34" s="67"/>
      <c r="RSP34" s="67"/>
      <c r="RSQ34" s="67"/>
      <c r="RSR34" s="67"/>
      <c r="RSS34" s="67"/>
      <c r="RST34" s="67"/>
      <c r="RSU34" s="67"/>
      <c r="RSV34" s="67"/>
      <c r="RSW34" s="67"/>
      <c r="RSX34" s="67"/>
      <c r="RSY34" s="67"/>
      <c r="RSZ34" s="67"/>
      <c r="RTA34" s="67"/>
      <c r="RTB34" s="67"/>
      <c r="RTC34" s="67"/>
      <c r="RTD34" s="67"/>
      <c r="RTE34" s="67"/>
      <c r="RTF34" s="67"/>
      <c r="RTG34" s="67"/>
      <c r="RTH34" s="67"/>
      <c r="RTI34" s="67"/>
      <c r="RTJ34" s="67"/>
      <c r="RTK34" s="67"/>
      <c r="RTL34" s="67"/>
      <c r="RTM34" s="67"/>
      <c r="RTN34" s="67"/>
      <c r="RTO34" s="67"/>
      <c r="RTP34" s="67"/>
      <c r="RTQ34" s="67"/>
      <c r="RTR34" s="67"/>
      <c r="RTS34" s="67"/>
      <c r="RTT34" s="67"/>
      <c r="RTU34" s="67"/>
      <c r="RTV34" s="67"/>
      <c r="RTW34" s="67"/>
      <c r="RTX34" s="67"/>
      <c r="RTY34" s="67"/>
      <c r="RTZ34" s="67"/>
      <c r="RUA34" s="67"/>
      <c r="RUB34" s="67"/>
      <c r="RUC34" s="67"/>
      <c r="RUD34" s="67"/>
      <c r="RUE34" s="67"/>
      <c r="RUF34" s="67"/>
      <c r="RUG34" s="67"/>
      <c r="RUH34" s="67"/>
      <c r="RUI34" s="67"/>
      <c r="RUJ34" s="67"/>
      <c r="RUK34" s="67"/>
      <c r="RUL34" s="67"/>
      <c r="RUM34" s="67"/>
      <c r="RUN34" s="67"/>
      <c r="RUO34" s="67"/>
      <c r="RUP34" s="67"/>
      <c r="RUQ34" s="67"/>
      <c r="RUR34" s="67"/>
      <c r="RUS34" s="67"/>
      <c r="RUT34" s="67"/>
      <c r="RUU34" s="67"/>
      <c r="RUV34" s="67"/>
      <c r="RUW34" s="67"/>
      <c r="RUX34" s="67"/>
      <c r="RUY34" s="67"/>
      <c r="RUZ34" s="67"/>
      <c r="RVA34" s="67"/>
      <c r="RVB34" s="67"/>
      <c r="RVC34" s="67"/>
      <c r="RVD34" s="67"/>
      <c r="RVE34" s="67"/>
      <c r="RVF34" s="67"/>
      <c r="RVG34" s="67"/>
      <c r="RVH34" s="67"/>
      <c r="RVI34" s="67"/>
      <c r="RVJ34" s="67"/>
      <c r="RVK34" s="67"/>
      <c r="RVL34" s="67"/>
      <c r="RVM34" s="67"/>
      <c r="RVN34" s="67"/>
      <c r="RVO34" s="67"/>
      <c r="RVP34" s="67"/>
      <c r="RVQ34" s="67"/>
      <c r="RVR34" s="67"/>
      <c r="RVS34" s="67"/>
      <c r="RVT34" s="67"/>
      <c r="RVU34" s="67"/>
      <c r="RVV34" s="67"/>
      <c r="RVW34" s="67"/>
      <c r="RVX34" s="67"/>
      <c r="RVY34" s="67"/>
      <c r="RVZ34" s="67"/>
      <c r="RWA34" s="67"/>
      <c r="RWB34" s="67"/>
      <c r="RWC34" s="67"/>
      <c r="RWD34" s="67"/>
      <c r="RWE34" s="67"/>
      <c r="RWF34" s="67"/>
      <c r="RWG34" s="67"/>
      <c r="RWH34" s="67"/>
      <c r="RWI34" s="67"/>
      <c r="RWJ34" s="67"/>
      <c r="RWK34" s="67"/>
      <c r="RWL34" s="67"/>
      <c r="RWM34" s="67"/>
      <c r="RWN34" s="67"/>
      <c r="RWO34" s="67"/>
      <c r="RWP34" s="67"/>
      <c r="RWQ34" s="67"/>
      <c r="RWR34" s="67"/>
      <c r="RWS34" s="67"/>
      <c r="RWT34" s="67"/>
      <c r="RWU34" s="67"/>
      <c r="RWV34" s="67"/>
      <c r="RWW34" s="67"/>
      <c r="RWX34" s="67"/>
      <c r="RWY34" s="67"/>
      <c r="RWZ34" s="67"/>
      <c r="RXA34" s="67"/>
      <c r="RXB34" s="67"/>
      <c r="RXC34" s="67"/>
      <c r="RXD34" s="67"/>
      <c r="RXE34" s="67"/>
      <c r="RXF34" s="67"/>
      <c r="RXG34" s="67"/>
      <c r="RXH34" s="67"/>
      <c r="RXI34" s="67"/>
      <c r="RXJ34" s="67"/>
      <c r="RXK34" s="67"/>
      <c r="RXL34" s="67"/>
      <c r="RXM34" s="67"/>
      <c r="RXN34" s="67"/>
      <c r="RXO34" s="67"/>
      <c r="RXP34" s="67"/>
      <c r="RXQ34" s="67"/>
      <c r="RXR34" s="67"/>
      <c r="RXS34" s="67"/>
      <c r="RXT34" s="67"/>
      <c r="RXU34" s="67"/>
      <c r="RXV34" s="67"/>
      <c r="RXW34" s="67"/>
      <c r="RXX34" s="67"/>
      <c r="RXY34" s="67"/>
      <c r="RXZ34" s="67"/>
      <c r="RYA34" s="67"/>
      <c r="RYB34" s="67"/>
      <c r="RYC34" s="67"/>
      <c r="RYD34" s="67"/>
      <c r="RYE34" s="67"/>
      <c r="RYF34" s="67"/>
      <c r="RYG34" s="67"/>
      <c r="RYH34" s="67"/>
      <c r="RYI34" s="67"/>
      <c r="RYJ34" s="67"/>
      <c r="RYK34" s="67"/>
      <c r="RYL34" s="67"/>
      <c r="RYM34" s="67"/>
      <c r="RYN34" s="67"/>
      <c r="RYO34" s="67"/>
      <c r="RYP34" s="67"/>
      <c r="RYQ34" s="67"/>
      <c r="RYR34" s="67"/>
      <c r="RYS34" s="67"/>
      <c r="RYT34" s="67"/>
      <c r="RYU34" s="67"/>
      <c r="RYV34" s="67"/>
      <c r="RYW34" s="67"/>
      <c r="RYX34" s="67"/>
      <c r="RYY34" s="67"/>
      <c r="RYZ34" s="67"/>
      <c r="RZA34" s="67"/>
      <c r="RZB34" s="67"/>
      <c r="RZC34" s="67"/>
      <c r="RZD34" s="67"/>
      <c r="RZE34" s="67"/>
      <c r="RZF34" s="67"/>
      <c r="RZG34" s="67"/>
      <c r="RZH34" s="67"/>
      <c r="RZI34" s="67"/>
      <c r="RZJ34" s="67"/>
      <c r="RZK34" s="67"/>
      <c r="RZL34" s="67"/>
      <c r="RZM34" s="67"/>
      <c r="RZN34" s="67"/>
      <c r="RZO34" s="67"/>
      <c r="RZP34" s="67"/>
      <c r="RZQ34" s="67"/>
      <c r="RZR34" s="67"/>
      <c r="RZS34" s="67"/>
      <c r="RZT34" s="67"/>
      <c r="RZU34" s="67"/>
      <c r="RZV34" s="67"/>
      <c r="RZW34" s="67"/>
      <c r="RZX34" s="67"/>
      <c r="RZY34" s="67"/>
      <c r="RZZ34" s="67"/>
      <c r="SAA34" s="67"/>
      <c r="SAB34" s="67"/>
      <c r="SAC34" s="67"/>
      <c r="SAD34" s="67"/>
      <c r="SAE34" s="67"/>
      <c r="SAF34" s="67"/>
      <c r="SAG34" s="67"/>
      <c r="SAH34" s="67"/>
      <c r="SAI34" s="67"/>
      <c r="SAJ34" s="67"/>
      <c r="SAK34" s="67"/>
      <c r="SAL34" s="67"/>
      <c r="SAM34" s="67"/>
      <c r="SAN34" s="67"/>
      <c r="SAO34" s="67"/>
      <c r="SAP34" s="67"/>
      <c r="SAQ34" s="67"/>
      <c r="SAR34" s="67"/>
      <c r="SAS34" s="67"/>
      <c r="SAT34" s="67"/>
      <c r="SAU34" s="67"/>
      <c r="SAV34" s="67"/>
      <c r="SAW34" s="67"/>
      <c r="SAX34" s="67"/>
      <c r="SAY34" s="67"/>
      <c r="SAZ34" s="67"/>
      <c r="SBA34" s="67"/>
      <c r="SBB34" s="67"/>
      <c r="SBC34" s="67"/>
      <c r="SBD34" s="67"/>
      <c r="SBE34" s="67"/>
      <c r="SBF34" s="67"/>
      <c r="SBG34" s="67"/>
      <c r="SBH34" s="67"/>
      <c r="SBI34" s="67"/>
      <c r="SBJ34" s="67"/>
      <c r="SBK34" s="67"/>
      <c r="SBL34" s="67"/>
      <c r="SBM34" s="67"/>
      <c r="SBN34" s="67"/>
      <c r="SBO34" s="67"/>
      <c r="SBP34" s="67"/>
      <c r="SBQ34" s="67"/>
      <c r="SBR34" s="67"/>
      <c r="SBS34" s="67"/>
      <c r="SBT34" s="67"/>
      <c r="SBU34" s="67"/>
      <c r="SBV34" s="67"/>
      <c r="SBW34" s="67"/>
      <c r="SBX34" s="67"/>
      <c r="SBY34" s="67"/>
      <c r="SBZ34" s="67"/>
      <c r="SCA34" s="67"/>
      <c r="SCB34" s="67"/>
      <c r="SCC34" s="67"/>
      <c r="SCD34" s="67"/>
      <c r="SCE34" s="67"/>
      <c r="SCF34" s="67"/>
      <c r="SCG34" s="67"/>
      <c r="SCH34" s="67"/>
      <c r="SCI34" s="67"/>
      <c r="SCJ34" s="67"/>
      <c r="SCK34" s="67"/>
      <c r="SCL34" s="67"/>
      <c r="SCM34" s="67"/>
      <c r="SCN34" s="67"/>
      <c r="SCO34" s="67"/>
      <c r="SCP34" s="67"/>
      <c r="SCQ34" s="67"/>
      <c r="SCR34" s="67"/>
      <c r="SCS34" s="67"/>
      <c r="SCT34" s="67"/>
      <c r="SCU34" s="67"/>
      <c r="SCV34" s="67"/>
      <c r="SCW34" s="67"/>
      <c r="SCX34" s="67"/>
      <c r="SCY34" s="67"/>
      <c r="SCZ34" s="67"/>
      <c r="SDA34" s="67"/>
      <c r="SDB34" s="67"/>
      <c r="SDC34" s="67"/>
      <c r="SDD34" s="67"/>
      <c r="SDE34" s="67"/>
      <c r="SDF34" s="67"/>
      <c r="SDG34" s="67"/>
      <c r="SDH34" s="67"/>
      <c r="SDI34" s="67"/>
      <c r="SDJ34" s="67"/>
      <c r="SDK34" s="67"/>
      <c r="SDL34" s="67"/>
      <c r="SDM34" s="67"/>
      <c r="SDN34" s="67"/>
      <c r="SDO34" s="67"/>
      <c r="SDP34" s="67"/>
      <c r="SDQ34" s="67"/>
      <c r="SDR34" s="67"/>
      <c r="SDS34" s="67"/>
      <c r="SDT34" s="67"/>
      <c r="SDU34" s="67"/>
      <c r="SDV34" s="67"/>
      <c r="SDW34" s="67"/>
      <c r="SDX34" s="67"/>
      <c r="SDY34" s="67"/>
      <c r="SDZ34" s="67"/>
      <c r="SEA34" s="67"/>
      <c r="SEB34" s="67"/>
      <c r="SEC34" s="67"/>
      <c r="SED34" s="67"/>
      <c r="SEE34" s="67"/>
      <c r="SEF34" s="67"/>
      <c r="SEG34" s="67"/>
      <c r="SEH34" s="67"/>
      <c r="SEI34" s="67"/>
      <c r="SEJ34" s="67"/>
      <c r="SEK34" s="67"/>
      <c r="SEL34" s="67"/>
      <c r="SEM34" s="67"/>
      <c r="SEN34" s="67"/>
      <c r="SEO34" s="67"/>
      <c r="SEP34" s="67"/>
      <c r="SEQ34" s="67"/>
      <c r="SER34" s="67"/>
      <c r="SES34" s="67"/>
      <c r="SET34" s="67"/>
      <c r="SEU34" s="67"/>
      <c r="SEV34" s="67"/>
      <c r="SEW34" s="67"/>
      <c r="SEX34" s="67"/>
      <c r="SEY34" s="67"/>
      <c r="SEZ34" s="67"/>
      <c r="SFA34" s="67"/>
      <c r="SFB34" s="67"/>
      <c r="SFC34" s="67"/>
      <c r="SFD34" s="67"/>
      <c r="SFE34" s="67"/>
      <c r="SFF34" s="67"/>
      <c r="SFG34" s="67"/>
      <c r="SFH34" s="67"/>
      <c r="SFI34" s="67"/>
      <c r="SFJ34" s="67"/>
      <c r="SFK34" s="67"/>
      <c r="SFL34" s="67"/>
      <c r="SFM34" s="67"/>
      <c r="SFN34" s="67"/>
      <c r="SFO34" s="67"/>
      <c r="SFP34" s="67"/>
      <c r="SFQ34" s="67"/>
      <c r="SFR34" s="67"/>
      <c r="SFS34" s="67"/>
      <c r="SFT34" s="67"/>
      <c r="SFU34" s="67"/>
      <c r="SFV34" s="67"/>
      <c r="SFW34" s="67"/>
      <c r="SFX34" s="67"/>
      <c r="SFY34" s="67"/>
      <c r="SFZ34" s="67"/>
      <c r="SGA34" s="67"/>
      <c r="SGB34" s="67"/>
      <c r="SGC34" s="67"/>
      <c r="SGD34" s="67"/>
      <c r="SGE34" s="67"/>
      <c r="SGF34" s="67"/>
      <c r="SGG34" s="67"/>
      <c r="SGH34" s="67"/>
      <c r="SGI34" s="67"/>
      <c r="SGJ34" s="67"/>
      <c r="SGK34" s="67"/>
      <c r="SGL34" s="67"/>
      <c r="SGM34" s="67"/>
      <c r="SGN34" s="67"/>
      <c r="SGO34" s="67"/>
      <c r="SGP34" s="67"/>
      <c r="SGQ34" s="67"/>
      <c r="SGR34" s="67"/>
      <c r="SGS34" s="67"/>
      <c r="SGT34" s="67"/>
      <c r="SGU34" s="67"/>
      <c r="SGV34" s="67"/>
      <c r="SGW34" s="67"/>
      <c r="SGX34" s="67"/>
      <c r="SGY34" s="67"/>
      <c r="SGZ34" s="67"/>
      <c r="SHA34" s="67"/>
      <c r="SHB34" s="67"/>
      <c r="SHC34" s="67"/>
      <c r="SHD34" s="67"/>
      <c r="SHE34" s="67"/>
      <c r="SHF34" s="67"/>
      <c r="SHG34" s="67"/>
      <c r="SHH34" s="67"/>
      <c r="SHI34" s="67"/>
      <c r="SHJ34" s="67"/>
      <c r="SHK34" s="67"/>
      <c r="SHL34" s="67"/>
      <c r="SHM34" s="67"/>
      <c r="SHN34" s="67"/>
      <c r="SHO34" s="67"/>
      <c r="SHP34" s="67"/>
      <c r="SHQ34" s="67"/>
      <c r="SHR34" s="67"/>
      <c r="SHS34" s="67"/>
      <c r="SHT34" s="67"/>
      <c r="SHU34" s="67"/>
      <c r="SHV34" s="67"/>
      <c r="SHW34" s="67"/>
      <c r="SHX34" s="67"/>
      <c r="SHY34" s="67"/>
      <c r="SHZ34" s="67"/>
      <c r="SIA34" s="67"/>
      <c r="SIB34" s="67"/>
      <c r="SIC34" s="67"/>
      <c r="SID34" s="67"/>
      <c r="SIE34" s="67"/>
      <c r="SIF34" s="67"/>
      <c r="SIG34" s="67"/>
      <c r="SIH34" s="67"/>
      <c r="SII34" s="67"/>
      <c r="SIJ34" s="67"/>
      <c r="SIK34" s="67"/>
      <c r="SIL34" s="67"/>
      <c r="SIM34" s="67"/>
      <c r="SIN34" s="67"/>
      <c r="SIO34" s="67"/>
      <c r="SIP34" s="67"/>
      <c r="SIQ34" s="67"/>
      <c r="SIR34" s="67"/>
      <c r="SIS34" s="67"/>
      <c r="SIT34" s="67"/>
      <c r="SIU34" s="67"/>
      <c r="SIV34" s="67"/>
      <c r="SIW34" s="67"/>
      <c r="SIX34" s="67"/>
      <c r="SIY34" s="67"/>
      <c r="SIZ34" s="67"/>
      <c r="SJA34" s="67"/>
      <c r="SJB34" s="67"/>
      <c r="SJC34" s="67"/>
      <c r="SJD34" s="67"/>
      <c r="SJE34" s="67"/>
      <c r="SJF34" s="67"/>
      <c r="SJG34" s="67"/>
      <c r="SJH34" s="67"/>
      <c r="SJI34" s="67"/>
      <c r="SJJ34" s="67"/>
      <c r="SJK34" s="67"/>
      <c r="SJL34" s="67"/>
      <c r="SJM34" s="67"/>
      <c r="SJN34" s="67"/>
      <c r="SJO34" s="67"/>
      <c r="SJP34" s="67"/>
      <c r="SJQ34" s="67"/>
      <c r="SJR34" s="67"/>
      <c r="SJS34" s="67"/>
      <c r="SJT34" s="67"/>
      <c r="SJU34" s="67"/>
      <c r="SJV34" s="67"/>
      <c r="SJW34" s="67"/>
      <c r="SJX34" s="67"/>
      <c r="SJY34" s="67"/>
      <c r="SJZ34" s="67"/>
      <c r="SKA34" s="67"/>
      <c r="SKB34" s="67"/>
      <c r="SKC34" s="67"/>
      <c r="SKD34" s="67"/>
      <c r="SKE34" s="67"/>
      <c r="SKF34" s="67"/>
      <c r="SKG34" s="67"/>
      <c r="SKH34" s="67"/>
      <c r="SKI34" s="67"/>
      <c r="SKJ34" s="67"/>
      <c r="SKK34" s="67"/>
      <c r="SKL34" s="67"/>
      <c r="SKM34" s="67"/>
      <c r="SKN34" s="67"/>
      <c r="SKO34" s="67"/>
      <c r="SKP34" s="67"/>
      <c r="SKQ34" s="67"/>
      <c r="SKR34" s="67"/>
      <c r="SKS34" s="67"/>
      <c r="SKT34" s="67"/>
      <c r="SKU34" s="67"/>
      <c r="SKV34" s="67"/>
      <c r="SKW34" s="67"/>
      <c r="SKX34" s="67"/>
      <c r="SKY34" s="67"/>
      <c r="SKZ34" s="67"/>
      <c r="SLA34" s="67"/>
      <c r="SLB34" s="67"/>
      <c r="SLC34" s="67"/>
      <c r="SLD34" s="67"/>
      <c r="SLE34" s="67"/>
      <c r="SLF34" s="67"/>
      <c r="SLG34" s="67"/>
      <c r="SLH34" s="67"/>
      <c r="SLI34" s="67"/>
      <c r="SLJ34" s="67"/>
      <c r="SLK34" s="67"/>
      <c r="SLL34" s="67"/>
      <c r="SLM34" s="67"/>
      <c r="SLN34" s="67"/>
      <c r="SLO34" s="67"/>
      <c r="SLP34" s="67"/>
      <c r="SLQ34" s="67"/>
      <c r="SLR34" s="67"/>
      <c r="SLS34" s="67"/>
      <c r="SLT34" s="67"/>
      <c r="SLU34" s="67"/>
      <c r="SLV34" s="67"/>
      <c r="SLW34" s="67"/>
      <c r="SLX34" s="67"/>
      <c r="SLY34" s="67"/>
      <c r="SLZ34" s="67"/>
      <c r="SMA34" s="67"/>
      <c r="SMB34" s="67"/>
      <c r="SMC34" s="67"/>
      <c r="SMD34" s="67"/>
      <c r="SME34" s="67"/>
      <c r="SMF34" s="67"/>
      <c r="SMG34" s="67"/>
      <c r="SMH34" s="67"/>
      <c r="SMI34" s="67"/>
      <c r="SMJ34" s="67"/>
      <c r="SMK34" s="67"/>
      <c r="SML34" s="67"/>
      <c r="SMM34" s="67"/>
      <c r="SMN34" s="67"/>
      <c r="SMO34" s="67"/>
      <c r="SMP34" s="67"/>
      <c r="SMQ34" s="67"/>
      <c r="SMR34" s="67"/>
      <c r="SMS34" s="67"/>
      <c r="SMT34" s="67"/>
      <c r="SMU34" s="67"/>
      <c r="SMV34" s="67"/>
      <c r="SMW34" s="67"/>
      <c r="SMX34" s="67"/>
      <c r="SMY34" s="67"/>
      <c r="SMZ34" s="67"/>
      <c r="SNA34" s="67"/>
      <c r="SNB34" s="67"/>
      <c r="SNC34" s="67"/>
      <c r="SND34" s="67"/>
      <c r="SNE34" s="67"/>
      <c r="SNF34" s="67"/>
      <c r="SNG34" s="67"/>
      <c r="SNH34" s="67"/>
      <c r="SNI34" s="67"/>
      <c r="SNJ34" s="67"/>
      <c r="SNK34" s="67"/>
      <c r="SNL34" s="67"/>
      <c r="SNM34" s="67"/>
      <c r="SNN34" s="67"/>
      <c r="SNO34" s="67"/>
      <c r="SNP34" s="67"/>
      <c r="SNQ34" s="67"/>
      <c r="SNR34" s="67"/>
      <c r="SNS34" s="67"/>
      <c r="SNT34" s="67"/>
      <c r="SNU34" s="67"/>
      <c r="SNV34" s="67"/>
      <c r="SNW34" s="67"/>
      <c r="SNX34" s="67"/>
      <c r="SNY34" s="67"/>
      <c r="SNZ34" s="67"/>
      <c r="SOA34" s="67"/>
      <c r="SOB34" s="67"/>
      <c r="SOC34" s="67"/>
      <c r="SOD34" s="67"/>
      <c r="SOE34" s="67"/>
      <c r="SOF34" s="67"/>
      <c r="SOG34" s="67"/>
      <c r="SOH34" s="67"/>
      <c r="SOI34" s="67"/>
      <c r="SOJ34" s="67"/>
      <c r="SOK34" s="67"/>
      <c r="SOL34" s="67"/>
      <c r="SOM34" s="67"/>
      <c r="SON34" s="67"/>
      <c r="SOO34" s="67"/>
      <c r="SOP34" s="67"/>
      <c r="SOQ34" s="67"/>
      <c r="SOR34" s="67"/>
      <c r="SOS34" s="67"/>
      <c r="SOT34" s="67"/>
      <c r="SOU34" s="67"/>
      <c r="SOV34" s="67"/>
      <c r="SOW34" s="67"/>
      <c r="SOX34" s="67"/>
      <c r="SOY34" s="67"/>
      <c r="SOZ34" s="67"/>
      <c r="SPA34" s="67"/>
      <c r="SPB34" s="67"/>
      <c r="SPC34" s="67"/>
      <c r="SPD34" s="67"/>
      <c r="SPE34" s="67"/>
      <c r="SPF34" s="67"/>
      <c r="SPG34" s="67"/>
      <c r="SPH34" s="67"/>
      <c r="SPI34" s="67"/>
      <c r="SPJ34" s="67"/>
      <c r="SPK34" s="67"/>
      <c r="SPL34" s="67"/>
      <c r="SPM34" s="67"/>
      <c r="SPN34" s="67"/>
      <c r="SPO34" s="67"/>
      <c r="SPP34" s="67"/>
      <c r="SPQ34" s="67"/>
      <c r="SPR34" s="67"/>
      <c r="SPS34" s="67"/>
      <c r="SPT34" s="67"/>
      <c r="SPU34" s="67"/>
      <c r="SPV34" s="67"/>
      <c r="SPW34" s="67"/>
      <c r="SPX34" s="67"/>
      <c r="SPY34" s="67"/>
      <c r="SPZ34" s="67"/>
      <c r="SQA34" s="67"/>
      <c r="SQB34" s="67"/>
      <c r="SQC34" s="67"/>
      <c r="SQD34" s="67"/>
      <c r="SQE34" s="67"/>
      <c r="SQF34" s="67"/>
      <c r="SQG34" s="67"/>
      <c r="SQH34" s="67"/>
      <c r="SQI34" s="67"/>
      <c r="SQJ34" s="67"/>
      <c r="SQK34" s="67"/>
      <c r="SQL34" s="67"/>
      <c r="SQM34" s="67"/>
      <c r="SQN34" s="67"/>
      <c r="SQO34" s="67"/>
      <c r="SQP34" s="67"/>
      <c r="SQQ34" s="67"/>
      <c r="SQR34" s="67"/>
      <c r="SQS34" s="67"/>
      <c r="SQT34" s="67"/>
      <c r="SQU34" s="67"/>
      <c r="SQV34" s="67"/>
      <c r="SQW34" s="67"/>
      <c r="SQX34" s="67"/>
      <c r="SQY34" s="67"/>
      <c r="SQZ34" s="67"/>
      <c r="SRA34" s="67"/>
      <c r="SRB34" s="67"/>
      <c r="SRC34" s="67"/>
      <c r="SRD34" s="67"/>
      <c r="SRE34" s="67"/>
      <c r="SRF34" s="67"/>
      <c r="SRG34" s="67"/>
      <c r="SRH34" s="67"/>
      <c r="SRI34" s="67"/>
      <c r="SRJ34" s="67"/>
      <c r="SRK34" s="67"/>
      <c r="SRL34" s="67"/>
      <c r="SRM34" s="67"/>
      <c r="SRN34" s="67"/>
      <c r="SRO34" s="67"/>
      <c r="SRP34" s="67"/>
      <c r="SRQ34" s="67"/>
      <c r="SRR34" s="67"/>
      <c r="SRS34" s="67"/>
      <c r="SRT34" s="67"/>
      <c r="SRU34" s="67"/>
      <c r="SRV34" s="67"/>
      <c r="SRW34" s="67"/>
      <c r="SRX34" s="67"/>
      <c r="SRY34" s="67"/>
      <c r="SRZ34" s="67"/>
      <c r="SSA34" s="67"/>
      <c r="SSB34" s="67"/>
      <c r="SSC34" s="67"/>
      <c r="SSD34" s="67"/>
      <c r="SSE34" s="67"/>
      <c r="SSF34" s="67"/>
      <c r="SSG34" s="67"/>
      <c r="SSH34" s="67"/>
      <c r="SSI34" s="67"/>
      <c r="SSJ34" s="67"/>
      <c r="SSK34" s="67"/>
      <c r="SSL34" s="67"/>
      <c r="SSM34" s="67"/>
      <c r="SSN34" s="67"/>
      <c r="SSO34" s="67"/>
      <c r="SSP34" s="67"/>
      <c r="SSQ34" s="67"/>
      <c r="SSR34" s="67"/>
      <c r="SSS34" s="67"/>
      <c r="SST34" s="67"/>
      <c r="SSU34" s="67"/>
      <c r="SSV34" s="67"/>
      <c r="SSW34" s="67"/>
      <c r="SSX34" s="67"/>
      <c r="SSY34" s="67"/>
      <c r="SSZ34" s="67"/>
      <c r="STA34" s="67"/>
      <c r="STB34" s="67"/>
      <c r="STC34" s="67"/>
      <c r="STD34" s="67"/>
      <c r="STE34" s="67"/>
      <c r="STF34" s="67"/>
      <c r="STG34" s="67"/>
      <c r="STH34" s="67"/>
      <c r="STI34" s="67"/>
      <c r="STJ34" s="67"/>
      <c r="STK34" s="67"/>
      <c r="STL34" s="67"/>
      <c r="STM34" s="67"/>
      <c r="STN34" s="67"/>
      <c r="STO34" s="67"/>
      <c r="STP34" s="67"/>
      <c r="STQ34" s="67"/>
      <c r="STR34" s="67"/>
      <c r="STS34" s="67"/>
      <c r="STT34" s="67"/>
      <c r="STU34" s="67"/>
      <c r="STV34" s="67"/>
      <c r="STW34" s="67"/>
      <c r="STX34" s="67"/>
      <c r="STY34" s="67"/>
      <c r="STZ34" s="67"/>
      <c r="SUA34" s="67"/>
      <c r="SUB34" s="67"/>
      <c r="SUC34" s="67"/>
      <c r="SUD34" s="67"/>
      <c r="SUE34" s="67"/>
      <c r="SUF34" s="67"/>
      <c r="SUG34" s="67"/>
      <c r="SUH34" s="67"/>
      <c r="SUI34" s="67"/>
      <c r="SUJ34" s="67"/>
      <c r="SUK34" s="67"/>
      <c r="SUL34" s="67"/>
      <c r="SUM34" s="67"/>
      <c r="SUN34" s="67"/>
      <c r="SUO34" s="67"/>
      <c r="SUP34" s="67"/>
      <c r="SUQ34" s="67"/>
      <c r="SUR34" s="67"/>
      <c r="SUS34" s="67"/>
      <c r="SUT34" s="67"/>
      <c r="SUU34" s="67"/>
      <c r="SUV34" s="67"/>
      <c r="SUW34" s="67"/>
      <c r="SUX34" s="67"/>
      <c r="SUY34" s="67"/>
      <c r="SUZ34" s="67"/>
      <c r="SVA34" s="67"/>
      <c r="SVB34" s="67"/>
      <c r="SVC34" s="67"/>
      <c r="SVD34" s="67"/>
      <c r="SVE34" s="67"/>
      <c r="SVF34" s="67"/>
      <c r="SVG34" s="67"/>
      <c r="SVH34" s="67"/>
      <c r="SVI34" s="67"/>
      <c r="SVJ34" s="67"/>
      <c r="SVK34" s="67"/>
      <c r="SVL34" s="67"/>
      <c r="SVM34" s="67"/>
      <c r="SVN34" s="67"/>
      <c r="SVO34" s="67"/>
      <c r="SVP34" s="67"/>
      <c r="SVQ34" s="67"/>
      <c r="SVR34" s="67"/>
      <c r="SVS34" s="67"/>
      <c r="SVT34" s="67"/>
      <c r="SVU34" s="67"/>
      <c r="SVV34" s="67"/>
      <c r="SVW34" s="67"/>
      <c r="SVX34" s="67"/>
      <c r="SVY34" s="67"/>
      <c r="SVZ34" s="67"/>
      <c r="SWA34" s="67"/>
      <c r="SWB34" s="67"/>
      <c r="SWC34" s="67"/>
      <c r="SWD34" s="67"/>
      <c r="SWE34" s="67"/>
      <c r="SWF34" s="67"/>
      <c r="SWG34" s="67"/>
      <c r="SWH34" s="67"/>
      <c r="SWI34" s="67"/>
      <c r="SWJ34" s="67"/>
      <c r="SWK34" s="67"/>
      <c r="SWL34" s="67"/>
      <c r="SWM34" s="67"/>
      <c r="SWN34" s="67"/>
      <c r="SWO34" s="67"/>
      <c r="SWP34" s="67"/>
      <c r="SWQ34" s="67"/>
      <c r="SWR34" s="67"/>
      <c r="SWS34" s="67"/>
      <c r="SWT34" s="67"/>
      <c r="SWU34" s="67"/>
      <c r="SWV34" s="67"/>
      <c r="SWW34" s="67"/>
      <c r="SWX34" s="67"/>
      <c r="SWY34" s="67"/>
      <c r="SWZ34" s="67"/>
      <c r="SXA34" s="67"/>
      <c r="SXB34" s="67"/>
      <c r="SXC34" s="67"/>
      <c r="SXD34" s="67"/>
      <c r="SXE34" s="67"/>
      <c r="SXF34" s="67"/>
      <c r="SXG34" s="67"/>
      <c r="SXH34" s="67"/>
      <c r="SXI34" s="67"/>
      <c r="SXJ34" s="67"/>
      <c r="SXK34" s="67"/>
      <c r="SXL34" s="67"/>
      <c r="SXM34" s="67"/>
      <c r="SXN34" s="67"/>
      <c r="SXO34" s="67"/>
      <c r="SXP34" s="67"/>
      <c r="SXQ34" s="67"/>
      <c r="SXR34" s="67"/>
      <c r="SXS34" s="67"/>
      <c r="SXT34" s="67"/>
      <c r="SXU34" s="67"/>
      <c r="SXV34" s="67"/>
      <c r="SXW34" s="67"/>
      <c r="SXX34" s="67"/>
      <c r="SXY34" s="67"/>
      <c r="SXZ34" s="67"/>
      <c r="SYA34" s="67"/>
      <c r="SYB34" s="67"/>
      <c r="SYC34" s="67"/>
      <c r="SYD34" s="67"/>
      <c r="SYE34" s="67"/>
      <c r="SYF34" s="67"/>
      <c r="SYG34" s="67"/>
      <c r="SYH34" s="67"/>
      <c r="SYI34" s="67"/>
      <c r="SYJ34" s="67"/>
      <c r="SYK34" s="67"/>
      <c r="SYL34" s="67"/>
      <c r="SYM34" s="67"/>
      <c r="SYN34" s="67"/>
      <c r="SYO34" s="67"/>
      <c r="SYP34" s="67"/>
      <c r="SYQ34" s="67"/>
      <c r="SYR34" s="67"/>
      <c r="SYS34" s="67"/>
      <c r="SYT34" s="67"/>
      <c r="SYU34" s="67"/>
      <c r="SYV34" s="67"/>
      <c r="SYW34" s="67"/>
      <c r="SYX34" s="67"/>
      <c r="SYY34" s="67"/>
      <c r="SYZ34" s="67"/>
      <c r="SZA34" s="67"/>
      <c r="SZB34" s="67"/>
      <c r="SZC34" s="67"/>
      <c r="SZD34" s="67"/>
      <c r="SZE34" s="67"/>
      <c r="SZF34" s="67"/>
      <c r="SZG34" s="67"/>
      <c r="SZH34" s="67"/>
      <c r="SZI34" s="67"/>
      <c r="SZJ34" s="67"/>
      <c r="SZK34" s="67"/>
      <c r="SZL34" s="67"/>
      <c r="SZM34" s="67"/>
      <c r="SZN34" s="67"/>
      <c r="SZO34" s="67"/>
      <c r="SZP34" s="67"/>
      <c r="SZQ34" s="67"/>
      <c r="SZR34" s="67"/>
      <c r="SZS34" s="67"/>
      <c r="SZT34" s="67"/>
      <c r="SZU34" s="67"/>
      <c r="SZV34" s="67"/>
      <c r="SZW34" s="67"/>
      <c r="SZX34" s="67"/>
      <c r="SZY34" s="67"/>
      <c r="SZZ34" s="67"/>
      <c r="TAA34" s="67"/>
      <c r="TAB34" s="67"/>
      <c r="TAC34" s="67"/>
      <c r="TAD34" s="67"/>
      <c r="TAE34" s="67"/>
      <c r="TAF34" s="67"/>
      <c r="TAG34" s="67"/>
      <c r="TAH34" s="67"/>
      <c r="TAI34" s="67"/>
      <c r="TAJ34" s="67"/>
      <c r="TAK34" s="67"/>
      <c r="TAL34" s="67"/>
      <c r="TAM34" s="67"/>
      <c r="TAN34" s="67"/>
      <c r="TAO34" s="67"/>
      <c r="TAP34" s="67"/>
      <c r="TAQ34" s="67"/>
      <c r="TAR34" s="67"/>
      <c r="TAS34" s="67"/>
      <c r="TAT34" s="67"/>
      <c r="TAU34" s="67"/>
      <c r="TAV34" s="67"/>
      <c r="TAW34" s="67"/>
      <c r="TAX34" s="67"/>
      <c r="TAY34" s="67"/>
      <c r="TAZ34" s="67"/>
      <c r="TBA34" s="67"/>
      <c r="TBB34" s="67"/>
      <c r="TBC34" s="67"/>
      <c r="TBD34" s="67"/>
      <c r="TBE34" s="67"/>
      <c r="TBF34" s="67"/>
      <c r="TBG34" s="67"/>
      <c r="TBH34" s="67"/>
      <c r="TBI34" s="67"/>
      <c r="TBJ34" s="67"/>
      <c r="TBK34" s="67"/>
      <c r="TBL34" s="67"/>
      <c r="TBM34" s="67"/>
      <c r="TBN34" s="67"/>
      <c r="TBO34" s="67"/>
      <c r="TBP34" s="67"/>
      <c r="TBQ34" s="67"/>
      <c r="TBR34" s="67"/>
      <c r="TBS34" s="67"/>
      <c r="TBT34" s="67"/>
      <c r="TBU34" s="67"/>
      <c r="TBV34" s="67"/>
      <c r="TBW34" s="67"/>
      <c r="TBX34" s="67"/>
      <c r="TBY34" s="67"/>
      <c r="TBZ34" s="67"/>
      <c r="TCA34" s="67"/>
      <c r="TCB34" s="67"/>
      <c r="TCC34" s="67"/>
      <c r="TCD34" s="67"/>
      <c r="TCE34" s="67"/>
      <c r="TCF34" s="67"/>
      <c r="TCG34" s="67"/>
      <c r="TCH34" s="67"/>
      <c r="TCI34" s="67"/>
      <c r="TCJ34" s="67"/>
      <c r="TCK34" s="67"/>
      <c r="TCL34" s="67"/>
      <c r="TCM34" s="67"/>
      <c r="TCN34" s="67"/>
      <c r="TCO34" s="67"/>
      <c r="TCP34" s="67"/>
      <c r="TCQ34" s="67"/>
      <c r="TCR34" s="67"/>
      <c r="TCS34" s="67"/>
      <c r="TCT34" s="67"/>
      <c r="TCU34" s="67"/>
      <c r="TCV34" s="67"/>
      <c r="TCW34" s="67"/>
      <c r="TCX34" s="67"/>
      <c r="TCY34" s="67"/>
      <c r="TCZ34" s="67"/>
      <c r="TDA34" s="67"/>
      <c r="TDB34" s="67"/>
      <c r="TDC34" s="67"/>
      <c r="TDD34" s="67"/>
      <c r="TDE34" s="67"/>
      <c r="TDF34" s="67"/>
      <c r="TDG34" s="67"/>
      <c r="TDH34" s="67"/>
      <c r="TDI34" s="67"/>
      <c r="TDJ34" s="67"/>
      <c r="TDK34" s="67"/>
      <c r="TDL34" s="67"/>
      <c r="TDM34" s="67"/>
      <c r="TDN34" s="67"/>
      <c r="TDO34" s="67"/>
      <c r="TDP34" s="67"/>
      <c r="TDQ34" s="67"/>
      <c r="TDR34" s="67"/>
      <c r="TDS34" s="67"/>
      <c r="TDT34" s="67"/>
      <c r="TDU34" s="67"/>
      <c r="TDV34" s="67"/>
      <c r="TDW34" s="67"/>
      <c r="TDX34" s="67"/>
      <c r="TDY34" s="67"/>
      <c r="TDZ34" s="67"/>
      <c r="TEA34" s="67"/>
      <c r="TEB34" s="67"/>
      <c r="TEC34" s="67"/>
      <c r="TED34" s="67"/>
      <c r="TEE34" s="67"/>
      <c r="TEF34" s="67"/>
      <c r="TEG34" s="67"/>
      <c r="TEH34" s="67"/>
      <c r="TEI34" s="67"/>
      <c r="TEJ34" s="67"/>
      <c r="TEK34" s="67"/>
      <c r="TEL34" s="67"/>
      <c r="TEM34" s="67"/>
      <c r="TEN34" s="67"/>
      <c r="TEO34" s="67"/>
      <c r="TEP34" s="67"/>
      <c r="TEQ34" s="67"/>
      <c r="TER34" s="67"/>
      <c r="TES34" s="67"/>
      <c r="TET34" s="67"/>
      <c r="TEU34" s="67"/>
      <c r="TEV34" s="67"/>
      <c r="TEW34" s="67"/>
      <c r="TEX34" s="67"/>
      <c r="TEY34" s="67"/>
      <c r="TEZ34" s="67"/>
      <c r="TFA34" s="67"/>
      <c r="TFB34" s="67"/>
      <c r="TFC34" s="67"/>
      <c r="TFD34" s="67"/>
      <c r="TFE34" s="67"/>
      <c r="TFF34" s="67"/>
      <c r="TFG34" s="67"/>
      <c r="TFH34" s="67"/>
      <c r="TFI34" s="67"/>
      <c r="TFJ34" s="67"/>
      <c r="TFK34" s="67"/>
      <c r="TFL34" s="67"/>
      <c r="TFM34" s="67"/>
      <c r="TFN34" s="67"/>
      <c r="TFO34" s="67"/>
      <c r="TFP34" s="67"/>
      <c r="TFQ34" s="67"/>
      <c r="TFR34" s="67"/>
      <c r="TFS34" s="67"/>
      <c r="TFT34" s="67"/>
      <c r="TFU34" s="67"/>
      <c r="TFV34" s="67"/>
      <c r="TFW34" s="67"/>
      <c r="TFX34" s="67"/>
      <c r="TFY34" s="67"/>
      <c r="TFZ34" s="67"/>
      <c r="TGA34" s="67"/>
      <c r="TGB34" s="67"/>
      <c r="TGC34" s="67"/>
      <c r="TGD34" s="67"/>
      <c r="TGE34" s="67"/>
      <c r="TGF34" s="67"/>
      <c r="TGG34" s="67"/>
      <c r="TGH34" s="67"/>
      <c r="TGI34" s="67"/>
      <c r="TGJ34" s="67"/>
      <c r="TGK34" s="67"/>
      <c r="TGL34" s="67"/>
      <c r="TGM34" s="67"/>
      <c r="TGN34" s="67"/>
      <c r="TGO34" s="67"/>
      <c r="TGP34" s="67"/>
      <c r="TGQ34" s="67"/>
      <c r="TGR34" s="67"/>
      <c r="TGS34" s="67"/>
      <c r="TGT34" s="67"/>
      <c r="TGU34" s="67"/>
      <c r="TGV34" s="67"/>
      <c r="TGW34" s="67"/>
      <c r="TGX34" s="67"/>
      <c r="TGY34" s="67"/>
      <c r="TGZ34" s="67"/>
      <c r="THA34" s="67"/>
      <c r="THB34" s="67"/>
      <c r="THC34" s="67"/>
      <c r="THD34" s="67"/>
      <c r="THE34" s="67"/>
      <c r="THF34" s="67"/>
      <c r="THG34" s="67"/>
      <c r="THH34" s="67"/>
      <c r="THI34" s="67"/>
      <c r="THJ34" s="67"/>
      <c r="THK34" s="67"/>
      <c r="THL34" s="67"/>
      <c r="THM34" s="67"/>
      <c r="THN34" s="67"/>
      <c r="THO34" s="67"/>
      <c r="THP34" s="67"/>
      <c r="THQ34" s="67"/>
      <c r="THR34" s="67"/>
      <c r="THS34" s="67"/>
      <c r="THT34" s="67"/>
      <c r="THU34" s="67"/>
      <c r="THV34" s="67"/>
      <c r="THW34" s="67"/>
      <c r="THX34" s="67"/>
      <c r="THY34" s="67"/>
      <c r="THZ34" s="67"/>
      <c r="TIA34" s="67"/>
      <c r="TIB34" s="67"/>
      <c r="TIC34" s="67"/>
      <c r="TID34" s="67"/>
      <c r="TIE34" s="67"/>
      <c r="TIF34" s="67"/>
      <c r="TIG34" s="67"/>
      <c r="TIH34" s="67"/>
      <c r="TII34" s="67"/>
      <c r="TIJ34" s="67"/>
      <c r="TIK34" s="67"/>
      <c r="TIL34" s="67"/>
      <c r="TIM34" s="67"/>
      <c r="TIN34" s="67"/>
      <c r="TIO34" s="67"/>
      <c r="TIP34" s="67"/>
      <c r="TIQ34" s="67"/>
      <c r="TIR34" s="67"/>
      <c r="TIS34" s="67"/>
      <c r="TIT34" s="67"/>
      <c r="TIU34" s="67"/>
      <c r="TIV34" s="67"/>
      <c r="TIW34" s="67"/>
      <c r="TIX34" s="67"/>
      <c r="TIY34" s="67"/>
      <c r="TIZ34" s="67"/>
      <c r="TJA34" s="67"/>
      <c r="TJB34" s="67"/>
      <c r="TJC34" s="67"/>
      <c r="TJD34" s="67"/>
      <c r="TJE34" s="67"/>
      <c r="TJF34" s="67"/>
      <c r="TJG34" s="67"/>
      <c r="TJH34" s="67"/>
      <c r="TJI34" s="67"/>
      <c r="TJJ34" s="67"/>
      <c r="TJK34" s="67"/>
      <c r="TJL34" s="67"/>
      <c r="TJM34" s="67"/>
      <c r="TJN34" s="67"/>
      <c r="TJO34" s="67"/>
      <c r="TJP34" s="67"/>
      <c r="TJQ34" s="67"/>
      <c r="TJR34" s="67"/>
      <c r="TJS34" s="67"/>
      <c r="TJT34" s="67"/>
      <c r="TJU34" s="67"/>
      <c r="TJV34" s="67"/>
      <c r="TJW34" s="67"/>
      <c r="TJX34" s="67"/>
      <c r="TJY34" s="67"/>
      <c r="TJZ34" s="67"/>
      <c r="TKA34" s="67"/>
      <c r="TKB34" s="67"/>
      <c r="TKC34" s="67"/>
      <c r="TKD34" s="67"/>
      <c r="TKE34" s="67"/>
      <c r="TKF34" s="67"/>
      <c r="TKG34" s="67"/>
      <c r="TKH34" s="67"/>
      <c r="TKI34" s="67"/>
      <c r="TKJ34" s="67"/>
      <c r="TKK34" s="67"/>
      <c r="TKL34" s="67"/>
      <c r="TKM34" s="67"/>
      <c r="TKN34" s="67"/>
      <c r="TKO34" s="67"/>
      <c r="TKP34" s="67"/>
      <c r="TKQ34" s="67"/>
      <c r="TKR34" s="67"/>
      <c r="TKS34" s="67"/>
      <c r="TKT34" s="67"/>
      <c r="TKU34" s="67"/>
      <c r="TKV34" s="67"/>
      <c r="TKW34" s="67"/>
      <c r="TKX34" s="67"/>
      <c r="TKY34" s="67"/>
      <c r="TKZ34" s="67"/>
      <c r="TLA34" s="67"/>
      <c r="TLB34" s="67"/>
      <c r="TLC34" s="67"/>
      <c r="TLD34" s="67"/>
      <c r="TLE34" s="67"/>
      <c r="TLF34" s="67"/>
      <c r="TLG34" s="67"/>
      <c r="TLH34" s="67"/>
      <c r="TLI34" s="67"/>
      <c r="TLJ34" s="67"/>
      <c r="TLK34" s="67"/>
      <c r="TLL34" s="67"/>
      <c r="TLM34" s="67"/>
      <c r="TLN34" s="67"/>
      <c r="TLO34" s="67"/>
      <c r="TLP34" s="67"/>
      <c r="TLQ34" s="67"/>
      <c r="TLR34" s="67"/>
      <c r="TLS34" s="67"/>
      <c r="TLT34" s="67"/>
      <c r="TLU34" s="67"/>
      <c r="TLV34" s="67"/>
      <c r="TLW34" s="67"/>
      <c r="TLX34" s="67"/>
      <c r="TLY34" s="67"/>
      <c r="TLZ34" s="67"/>
      <c r="TMA34" s="67"/>
      <c r="TMB34" s="67"/>
      <c r="TMC34" s="67"/>
      <c r="TMD34" s="67"/>
      <c r="TME34" s="67"/>
      <c r="TMF34" s="67"/>
      <c r="TMG34" s="67"/>
      <c r="TMH34" s="67"/>
      <c r="TMI34" s="67"/>
      <c r="TMJ34" s="67"/>
      <c r="TMK34" s="67"/>
      <c r="TML34" s="67"/>
      <c r="TMM34" s="67"/>
      <c r="TMN34" s="67"/>
      <c r="TMO34" s="67"/>
      <c r="TMP34" s="67"/>
      <c r="TMQ34" s="67"/>
      <c r="TMR34" s="67"/>
      <c r="TMS34" s="67"/>
      <c r="TMT34" s="67"/>
      <c r="TMU34" s="67"/>
      <c r="TMV34" s="67"/>
      <c r="TMW34" s="67"/>
      <c r="TMX34" s="67"/>
      <c r="TMY34" s="67"/>
      <c r="TMZ34" s="67"/>
      <c r="TNA34" s="67"/>
      <c r="TNB34" s="67"/>
      <c r="TNC34" s="67"/>
      <c r="TND34" s="67"/>
      <c r="TNE34" s="67"/>
      <c r="TNF34" s="67"/>
      <c r="TNG34" s="67"/>
      <c r="TNH34" s="67"/>
      <c r="TNI34" s="67"/>
      <c r="TNJ34" s="67"/>
      <c r="TNK34" s="67"/>
      <c r="TNL34" s="67"/>
      <c r="TNM34" s="67"/>
      <c r="TNN34" s="67"/>
      <c r="TNO34" s="67"/>
      <c r="TNP34" s="67"/>
      <c r="TNQ34" s="67"/>
      <c r="TNR34" s="67"/>
      <c r="TNS34" s="67"/>
      <c r="TNT34" s="67"/>
      <c r="TNU34" s="67"/>
      <c r="TNV34" s="67"/>
      <c r="TNW34" s="67"/>
      <c r="TNX34" s="67"/>
      <c r="TNY34" s="67"/>
      <c r="TNZ34" s="67"/>
      <c r="TOA34" s="67"/>
      <c r="TOB34" s="67"/>
      <c r="TOC34" s="67"/>
      <c r="TOD34" s="67"/>
      <c r="TOE34" s="67"/>
      <c r="TOF34" s="67"/>
      <c r="TOG34" s="67"/>
      <c r="TOH34" s="67"/>
      <c r="TOI34" s="67"/>
      <c r="TOJ34" s="67"/>
      <c r="TOK34" s="67"/>
      <c r="TOL34" s="67"/>
      <c r="TOM34" s="67"/>
      <c r="TON34" s="67"/>
      <c r="TOO34" s="67"/>
      <c r="TOP34" s="67"/>
      <c r="TOQ34" s="67"/>
      <c r="TOR34" s="67"/>
      <c r="TOS34" s="67"/>
      <c r="TOT34" s="67"/>
      <c r="TOU34" s="67"/>
      <c r="TOV34" s="67"/>
      <c r="TOW34" s="67"/>
      <c r="TOX34" s="67"/>
      <c r="TOY34" s="67"/>
      <c r="TOZ34" s="67"/>
      <c r="TPA34" s="67"/>
      <c r="TPB34" s="67"/>
      <c r="TPC34" s="67"/>
      <c r="TPD34" s="67"/>
      <c r="TPE34" s="67"/>
      <c r="TPF34" s="67"/>
      <c r="TPG34" s="67"/>
      <c r="TPH34" s="67"/>
      <c r="TPI34" s="67"/>
      <c r="TPJ34" s="67"/>
      <c r="TPK34" s="67"/>
      <c r="TPL34" s="67"/>
      <c r="TPM34" s="67"/>
      <c r="TPN34" s="67"/>
      <c r="TPO34" s="67"/>
      <c r="TPP34" s="67"/>
      <c r="TPQ34" s="67"/>
      <c r="TPR34" s="67"/>
      <c r="TPS34" s="67"/>
      <c r="TPT34" s="67"/>
      <c r="TPU34" s="67"/>
      <c r="TPV34" s="67"/>
      <c r="TPW34" s="67"/>
      <c r="TPX34" s="67"/>
      <c r="TPY34" s="67"/>
      <c r="TPZ34" s="67"/>
      <c r="TQA34" s="67"/>
      <c r="TQB34" s="67"/>
      <c r="TQC34" s="67"/>
      <c r="TQD34" s="67"/>
      <c r="TQE34" s="67"/>
      <c r="TQF34" s="67"/>
      <c r="TQG34" s="67"/>
      <c r="TQH34" s="67"/>
      <c r="TQI34" s="67"/>
      <c r="TQJ34" s="67"/>
      <c r="TQK34" s="67"/>
      <c r="TQL34" s="67"/>
      <c r="TQM34" s="67"/>
      <c r="TQN34" s="67"/>
      <c r="TQO34" s="67"/>
      <c r="TQP34" s="67"/>
      <c r="TQQ34" s="67"/>
      <c r="TQR34" s="67"/>
      <c r="TQS34" s="67"/>
      <c r="TQT34" s="67"/>
      <c r="TQU34" s="67"/>
      <c r="TQV34" s="67"/>
      <c r="TQW34" s="67"/>
      <c r="TQX34" s="67"/>
      <c r="TQY34" s="67"/>
      <c r="TQZ34" s="67"/>
      <c r="TRA34" s="67"/>
      <c r="TRB34" s="67"/>
      <c r="TRC34" s="67"/>
      <c r="TRD34" s="67"/>
      <c r="TRE34" s="67"/>
      <c r="TRF34" s="67"/>
      <c r="TRG34" s="67"/>
      <c r="TRH34" s="67"/>
      <c r="TRI34" s="67"/>
      <c r="TRJ34" s="67"/>
      <c r="TRK34" s="67"/>
      <c r="TRL34" s="67"/>
      <c r="TRM34" s="67"/>
      <c r="TRN34" s="67"/>
      <c r="TRO34" s="67"/>
      <c r="TRP34" s="67"/>
      <c r="TRQ34" s="67"/>
      <c r="TRR34" s="67"/>
      <c r="TRS34" s="67"/>
      <c r="TRT34" s="67"/>
      <c r="TRU34" s="67"/>
      <c r="TRV34" s="67"/>
      <c r="TRW34" s="67"/>
      <c r="TRX34" s="67"/>
      <c r="TRY34" s="67"/>
      <c r="TRZ34" s="67"/>
      <c r="TSA34" s="67"/>
      <c r="TSB34" s="67"/>
      <c r="TSC34" s="67"/>
      <c r="TSD34" s="67"/>
      <c r="TSE34" s="67"/>
      <c r="TSF34" s="67"/>
      <c r="TSG34" s="67"/>
      <c r="TSH34" s="67"/>
      <c r="TSI34" s="67"/>
      <c r="TSJ34" s="67"/>
      <c r="TSK34" s="67"/>
      <c r="TSL34" s="67"/>
      <c r="TSM34" s="67"/>
      <c r="TSN34" s="67"/>
      <c r="TSO34" s="67"/>
      <c r="TSP34" s="67"/>
      <c r="TSQ34" s="67"/>
      <c r="TSR34" s="67"/>
      <c r="TSS34" s="67"/>
      <c r="TST34" s="67"/>
      <c r="TSU34" s="67"/>
      <c r="TSV34" s="67"/>
      <c r="TSW34" s="67"/>
      <c r="TSX34" s="67"/>
      <c r="TSY34" s="67"/>
      <c r="TSZ34" s="67"/>
      <c r="TTA34" s="67"/>
      <c r="TTB34" s="67"/>
      <c r="TTC34" s="67"/>
      <c r="TTD34" s="67"/>
      <c r="TTE34" s="67"/>
      <c r="TTF34" s="67"/>
      <c r="TTG34" s="67"/>
      <c r="TTH34" s="67"/>
      <c r="TTI34" s="67"/>
      <c r="TTJ34" s="67"/>
      <c r="TTK34" s="67"/>
      <c r="TTL34" s="67"/>
      <c r="TTM34" s="67"/>
      <c r="TTN34" s="67"/>
      <c r="TTO34" s="67"/>
      <c r="TTP34" s="67"/>
      <c r="TTQ34" s="67"/>
      <c r="TTR34" s="67"/>
      <c r="TTS34" s="67"/>
      <c r="TTT34" s="67"/>
      <c r="TTU34" s="67"/>
      <c r="TTV34" s="67"/>
      <c r="TTW34" s="67"/>
      <c r="TTX34" s="67"/>
      <c r="TTY34" s="67"/>
      <c r="TTZ34" s="67"/>
      <c r="TUA34" s="67"/>
      <c r="TUB34" s="67"/>
      <c r="TUC34" s="67"/>
      <c r="TUD34" s="67"/>
      <c r="TUE34" s="67"/>
      <c r="TUF34" s="67"/>
      <c r="TUG34" s="67"/>
      <c r="TUH34" s="67"/>
      <c r="TUI34" s="67"/>
      <c r="TUJ34" s="67"/>
      <c r="TUK34" s="67"/>
      <c r="TUL34" s="67"/>
      <c r="TUM34" s="67"/>
      <c r="TUN34" s="67"/>
      <c r="TUO34" s="67"/>
      <c r="TUP34" s="67"/>
      <c r="TUQ34" s="67"/>
      <c r="TUR34" s="67"/>
      <c r="TUS34" s="67"/>
      <c r="TUT34" s="67"/>
      <c r="TUU34" s="67"/>
      <c r="TUV34" s="67"/>
      <c r="TUW34" s="67"/>
      <c r="TUX34" s="67"/>
      <c r="TUY34" s="67"/>
      <c r="TUZ34" s="67"/>
      <c r="TVA34" s="67"/>
      <c r="TVB34" s="67"/>
      <c r="TVC34" s="67"/>
      <c r="TVD34" s="67"/>
      <c r="TVE34" s="67"/>
      <c r="TVF34" s="67"/>
      <c r="TVG34" s="67"/>
      <c r="TVH34" s="67"/>
      <c r="TVI34" s="67"/>
      <c r="TVJ34" s="67"/>
      <c r="TVK34" s="67"/>
      <c r="TVL34" s="67"/>
      <c r="TVM34" s="67"/>
      <c r="TVN34" s="67"/>
      <c r="TVO34" s="67"/>
      <c r="TVP34" s="67"/>
      <c r="TVQ34" s="67"/>
      <c r="TVR34" s="67"/>
      <c r="TVS34" s="67"/>
      <c r="TVT34" s="67"/>
      <c r="TVU34" s="67"/>
      <c r="TVV34" s="67"/>
      <c r="TVW34" s="67"/>
      <c r="TVX34" s="67"/>
      <c r="TVY34" s="67"/>
      <c r="TVZ34" s="67"/>
      <c r="TWA34" s="67"/>
      <c r="TWB34" s="67"/>
      <c r="TWC34" s="67"/>
      <c r="TWD34" s="67"/>
      <c r="TWE34" s="67"/>
      <c r="TWF34" s="67"/>
      <c r="TWG34" s="67"/>
      <c r="TWH34" s="67"/>
      <c r="TWI34" s="67"/>
      <c r="TWJ34" s="67"/>
      <c r="TWK34" s="67"/>
      <c r="TWL34" s="67"/>
      <c r="TWM34" s="67"/>
      <c r="TWN34" s="67"/>
      <c r="TWO34" s="67"/>
      <c r="TWP34" s="67"/>
      <c r="TWQ34" s="67"/>
      <c r="TWR34" s="67"/>
      <c r="TWS34" s="67"/>
      <c r="TWT34" s="67"/>
      <c r="TWU34" s="67"/>
      <c r="TWV34" s="67"/>
      <c r="TWW34" s="67"/>
      <c r="TWX34" s="67"/>
      <c r="TWY34" s="67"/>
      <c r="TWZ34" s="67"/>
      <c r="TXA34" s="67"/>
      <c r="TXB34" s="67"/>
      <c r="TXC34" s="67"/>
      <c r="TXD34" s="67"/>
      <c r="TXE34" s="67"/>
      <c r="TXF34" s="67"/>
      <c r="TXG34" s="67"/>
      <c r="TXH34" s="67"/>
      <c r="TXI34" s="67"/>
      <c r="TXJ34" s="67"/>
      <c r="TXK34" s="67"/>
      <c r="TXL34" s="67"/>
      <c r="TXM34" s="67"/>
      <c r="TXN34" s="67"/>
      <c r="TXO34" s="67"/>
      <c r="TXP34" s="67"/>
      <c r="TXQ34" s="67"/>
      <c r="TXR34" s="67"/>
      <c r="TXS34" s="67"/>
      <c r="TXT34" s="67"/>
      <c r="TXU34" s="67"/>
      <c r="TXV34" s="67"/>
      <c r="TXW34" s="67"/>
      <c r="TXX34" s="67"/>
      <c r="TXY34" s="67"/>
      <c r="TXZ34" s="67"/>
      <c r="TYA34" s="67"/>
      <c r="TYB34" s="67"/>
      <c r="TYC34" s="67"/>
      <c r="TYD34" s="67"/>
      <c r="TYE34" s="67"/>
      <c r="TYF34" s="67"/>
      <c r="TYG34" s="67"/>
      <c r="TYH34" s="67"/>
      <c r="TYI34" s="67"/>
      <c r="TYJ34" s="67"/>
      <c r="TYK34" s="67"/>
      <c r="TYL34" s="67"/>
      <c r="TYM34" s="67"/>
      <c r="TYN34" s="67"/>
      <c r="TYO34" s="67"/>
      <c r="TYP34" s="67"/>
      <c r="TYQ34" s="67"/>
      <c r="TYR34" s="67"/>
      <c r="TYS34" s="67"/>
      <c r="TYT34" s="67"/>
      <c r="TYU34" s="67"/>
      <c r="TYV34" s="67"/>
      <c r="TYW34" s="67"/>
      <c r="TYX34" s="67"/>
      <c r="TYY34" s="67"/>
      <c r="TYZ34" s="67"/>
      <c r="TZA34" s="67"/>
      <c r="TZB34" s="67"/>
      <c r="TZC34" s="67"/>
      <c r="TZD34" s="67"/>
      <c r="TZE34" s="67"/>
      <c r="TZF34" s="67"/>
      <c r="TZG34" s="67"/>
      <c r="TZH34" s="67"/>
      <c r="TZI34" s="67"/>
      <c r="TZJ34" s="67"/>
      <c r="TZK34" s="67"/>
      <c r="TZL34" s="67"/>
      <c r="TZM34" s="67"/>
      <c r="TZN34" s="67"/>
      <c r="TZO34" s="67"/>
      <c r="TZP34" s="67"/>
      <c r="TZQ34" s="67"/>
      <c r="TZR34" s="67"/>
      <c r="TZS34" s="67"/>
      <c r="TZT34" s="67"/>
      <c r="TZU34" s="67"/>
      <c r="TZV34" s="67"/>
      <c r="TZW34" s="67"/>
      <c r="TZX34" s="67"/>
      <c r="TZY34" s="67"/>
      <c r="TZZ34" s="67"/>
      <c r="UAA34" s="67"/>
      <c r="UAB34" s="67"/>
      <c r="UAC34" s="67"/>
      <c r="UAD34" s="67"/>
      <c r="UAE34" s="67"/>
      <c r="UAF34" s="67"/>
      <c r="UAG34" s="67"/>
      <c r="UAH34" s="67"/>
      <c r="UAI34" s="67"/>
      <c r="UAJ34" s="67"/>
      <c r="UAK34" s="67"/>
      <c r="UAL34" s="67"/>
      <c r="UAM34" s="67"/>
      <c r="UAN34" s="67"/>
      <c r="UAO34" s="67"/>
      <c r="UAP34" s="67"/>
      <c r="UAQ34" s="67"/>
      <c r="UAR34" s="67"/>
      <c r="UAS34" s="67"/>
      <c r="UAT34" s="67"/>
      <c r="UAU34" s="67"/>
      <c r="UAV34" s="67"/>
      <c r="UAW34" s="67"/>
      <c r="UAX34" s="67"/>
      <c r="UAY34" s="67"/>
      <c r="UAZ34" s="67"/>
      <c r="UBA34" s="67"/>
      <c r="UBB34" s="67"/>
      <c r="UBC34" s="67"/>
      <c r="UBD34" s="67"/>
      <c r="UBE34" s="67"/>
      <c r="UBF34" s="67"/>
      <c r="UBG34" s="67"/>
      <c r="UBH34" s="67"/>
      <c r="UBI34" s="67"/>
      <c r="UBJ34" s="67"/>
      <c r="UBK34" s="67"/>
      <c r="UBL34" s="67"/>
      <c r="UBM34" s="67"/>
      <c r="UBN34" s="67"/>
      <c r="UBO34" s="67"/>
      <c r="UBP34" s="67"/>
      <c r="UBQ34" s="67"/>
      <c r="UBR34" s="67"/>
      <c r="UBS34" s="67"/>
      <c r="UBT34" s="67"/>
      <c r="UBU34" s="67"/>
      <c r="UBV34" s="67"/>
      <c r="UBW34" s="67"/>
      <c r="UBX34" s="67"/>
      <c r="UBY34" s="67"/>
      <c r="UBZ34" s="67"/>
      <c r="UCA34" s="67"/>
      <c r="UCB34" s="67"/>
      <c r="UCC34" s="67"/>
      <c r="UCD34" s="67"/>
      <c r="UCE34" s="67"/>
      <c r="UCF34" s="67"/>
      <c r="UCG34" s="67"/>
      <c r="UCH34" s="67"/>
      <c r="UCI34" s="67"/>
      <c r="UCJ34" s="67"/>
      <c r="UCK34" s="67"/>
      <c r="UCL34" s="67"/>
      <c r="UCM34" s="67"/>
      <c r="UCN34" s="67"/>
      <c r="UCO34" s="67"/>
      <c r="UCP34" s="67"/>
      <c r="UCQ34" s="67"/>
      <c r="UCR34" s="67"/>
      <c r="UCS34" s="67"/>
      <c r="UCT34" s="67"/>
      <c r="UCU34" s="67"/>
      <c r="UCV34" s="67"/>
      <c r="UCW34" s="67"/>
      <c r="UCX34" s="67"/>
      <c r="UCY34" s="67"/>
      <c r="UCZ34" s="67"/>
      <c r="UDA34" s="67"/>
      <c r="UDB34" s="67"/>
      <c r="UDC34" s="67"/>
      <c r="UDD34" s="67"/>
      <c r="UDE34" s="67"/>
      <c r="UDF34" s="67"/>
      <c r="UDG34" s="67"/>
      <c r="UDH34" s="67"/>
      <c r="UDI34" s="67"/>
      <c r="UDJ34" s="67"/>
      <c r="UDK34" s="67"/>
      <c r="UDL34" s="67"/>
      <c r="UDM34" s="67"/>
      <c r="UDN34" s="67"/>
      <c r="UDO34" s="67"/>
      <c r="UDP34" s="67"/>
      <c r="UDQ34" s="67"/>
      <c r="UDR34" s="67"/>
      <c r="UDS34" s="67"/>
      <c r="UDT34" s="67"/>
      <c r="UDU34" s="67"/>
      <c r="UDV34" s="67"/>
      <c r="UDW34" s="67"/>
      <c r="UDX34" s="67"/>
      <c r="UDY34" s="67"/>
      <c r="UDZ34" s="67"/>
      <c r="UEA34" s="67"/>
      <c r="UEB34" s="67"/>
      <c r="UEC34" s="67"/>
      <c r="UED34" s="67"/>
      <c r="UEE34" s="67"/>
      <c r="UEF34" s="67"/>
      <c r="UEG34" s="67"/>
      <c r="UEH34" s="67"/>
      <c r="UEI34" s="67"/>
      <c r="UEJ34" s="67"/>
      <c r="UEK34" s="67"/>
      <c r="UEL34" s="67"/>
      <c r="UEM34" s="67"/>
      <c r="UEN34" s="67"/>
      <c r="UEO34" s="67"/>
      <c r="UEP34" s="67"/>
      <c r="UEQ34" s="67"/>
      <c r="UER34" s="67"/>
      <c r="UES34" s="67"/>
      <c r="UET34" s="67"/>
      <c r="UEU34" s="67"/>
      <c r="UEV34" s="67"/>
      <c r="UEW34" s="67"/>
      <c r="UEX34" s="67"/>
      <c r="UEY34" s="67"/>
      <c r="UEZ34" s="67"/>
      <c r="UFA34" s="67"/>
      <c r="UFB34" s="67"/>
      <c r="UFC34" s="67"/>
      <c r="UFD34" s="67"/>
      <c r="UFE34" s="67"/>
      <c r="UFF34" s="67"/>
      <c r="UFG34" s="67"/>
      <c r="UFH34" s="67"/>
      <c r="UFI34" s="67"/>
      <c r="UFJ34" s="67"/>
      <c r="UFK34" s="67"/>
      <c r="UFL34" s="67"/>
      <c r="UFM34" s="67"/>
      <c r="UFN34" s="67"/>
      <c r="UFO34" s="67"/>
      <c r="UFP34" s="67"/>
      <c r="UFQ34" s="67"/>
      <c r="UFR34" s="67"/>
      <c r="UFS34" s="67"/>
      <c r="UFT34" s="67"/>
      <c r="UFU34" s="67"/>
      <c r="UFV34" s="67"/>
      <c r="UFW34" s="67"/>
      <c r="UFX34" s="67"/>
      <c r="UFY34" s="67"/>
      <c r="UFZ34" s="67"/>
      <c r="UGA34" s="67"/>
      <c r="UGB34" s="67"/>
      <c r="UGC34" s="67"/>
      <c r="UGD34" s="67"/>
      <c r="UGE34" s="67"/>
      <c r="UGF34" s="67"/>
      <c r="UGG34" s="67"/>
      <c r="UGH34" s="67"/>
      <c r="UGI34" s="67"/>
      <c r="UGJ34" s="67"/>
      <c r="UGK34" s="67"/>
      <c r="UGL34" s="67"/>
      <c r="UGM34" s="67"/>
      <c r="UGN34" s="67"/>
      <c r="UGO34" s="67"/>
      <c r="UGP34" s="67"/>
      <c r="UGQ34" s="67"/>
      <c r="UGR34" s="67"/>
      <c r="UGS34" s="67"/>
      <c r="UGT34" s="67"/>
      <c r="UGU34" s="67"/>
      <c r="UGV34" s="67"/>
      <c r="UGW34" s="67"/>
      <c r="UGX34" s="67"/>
      <c r="UGY34" s="67"/>
      <c r="UGZ34" s="67"/>
      <c r="UHA34" s="67"/>
      <c r="UHB34" s="67"/>
      <c r="UHC34" s="67"/>
      <c r="UHD34" s="67"/>
      <c r="UHE34" s="67"/>
      <c r="UHF34" s="67"/>
      <c r="UHG34" s="67"/>
      <c r="UHH34" s="67"/>
      <c r="UHI34" s="67"/>
      <c r="UHJ34" s="67"/>
      <c r="UHK34" s="67"/>
      <c r="UHL34" s="67"/>
      <c r="UHM34" s="67"/>
      <c r="UHN34" s="67"/>
      <c r="UHO34" s="67"/>
      <c r="UHP34" s="67"/>
      <c r="UHQ34" s="67"/>
      <c r="UHR34" s="67"/>
      <c r="UHS34" s="67"/>
      <c r="UHT34" s="67"/>
      <c r="UHU34" s="67"/>
      <c r="UHV34" s="67"/>
      <c r="UHW34" s="67"/>
      <c r="UHX34" s="67"/>
      <c r="UHY34" s="67"/>
      <c r="UHZ34" s="67"/>
      <c r="UIA34" s="67"/>
      <c r="UIB34" s="67"/>
      <c r="UIC34" s="67"/>
      <c r="UID34" s="67"/>
      <c r="UIE34" s="67"/>
      <c r="UIF34" s="67"/>
      <c r="UIG34" s="67"/>
      <c r="UIH34" s="67"/>
      <c r="UII34" s="67"/>
      <c r="UIJ34" s="67"/>
      <c r="UIK34" s="67"/>
      <c r="UIL34" s="67"/>
      <c r="UIM34" s="67"/>
      <c r="UIN34" s="67"/>
      <c r="UIO34" s="67"/>
      <c r="UIP34" s="67"/>
      <c r="UIQ34" s="67"/>
      <c r="UIR34" s="67"/>
      <c r="UIS34" s="67"/>
      <c r="UIT34" s="67"/>
      <c r="UIU34" s="67"/>
      <c r="UIV34" s="67"/>
      <c r="UIW34" s="67"/>
      <c r="UIX34" s="67"/>
      <c r="UIY34" s="67"/>
      <c r="UIZ34" s="67"/>
      <c r="UJA34" s="67"/>
      <c r="UJB34" s="67"/>
      <c r="UJC34" s="67"/>
      <c r="UJD34" s="67"/>
      <c r="UJE34" s="67"/>
      <c r="UJF34" s="67"/>
      <c r="UJG34" s="67"/>
      <c r="UJH34" s="67"/>
      <c r="UJI34" s="67"/>
      <c r="UJJ34" s="67"/>
      <c r="UJK34" s="67"/>
      <c r="UJL34" s="67"/>
      <c r="UJM34" s="67"/>
      <c r="UJN34" s="67"/>
      <c r="UJO34" s="67"/>
      <c r="UJP34" s="67"/>
      <c r="UJQ34" s="67"/>
      <c r="UJR34" s="67"/>
      <c r="UJS34" s="67"/>
      <c r="UJT34" s="67"/>
      <c r="UJU34" s="67"/>
      <c r="UJV34" s="67"/>
      <c r="UJW34" s="67"/>
      <c r="UJX34" s="67"/>
      <c r="UJY34" s="67"/>
      <c r="UJZ34" s="67"/>
      <c r="UKA34" s="67"/>
      <c r="UKB34" s="67"/>
      <c r="UKC34" s="67"/>
      <c r="UKD34" s="67"/>
      <c r="UKE34" s="67"/>
      <c r="UKF34" s="67"/>
      <c r="UKG34" s="67"/>
      <c r="UKH34" s="67"/>
      <c r="UKI34" s="67"/>
      <c r="UKJ34" s="67"/>
      <c r="UKK34" s="67"/>
      <c r="UKL34" s="67"/>
      <c r="UKM34" s="67"/>
      <c r="UKN34" s="67"/>
      <c r="UKO34" s="67"/>
      <c r="UKP34" s="67"/>
      <c r="UKQ34" s="67"/>
      <c r="UKR34" s="67"/>
      <c r="UKS34" s="67"/>
      <c r="UKT34" s="67"/>
      <c r="UKU34" s="67"/>
      <c r="UKV34" s="67"/>
      <c r="UKW34" s="67"/>
      <c r="UKX34" s="67"/>
      <c r="UKY34" s="67"/>
      <c r="UKZ34" s="67"/>
      <c r="ULA34" s="67"/>
      <c r="ULB34" s="67"/>
      <c r="ULC34" s="67"/>
      <c r="ULD34" s="67"/>
      <c r="ULE34" s="67"/>
      <c r="ULF34" s="67"/>
      <c r="ULG34" s="67"/>
      <c r="ULH34" s="67"/>
      <c r="ULI34" s="67"/>
      <c r="ULJ34" s="67"/>
      <c r="ULK34" s="67"/>
      <c r="ULL34" s="67"/>
      <c r="ULM34" s="67"/>
      <c r="ULN34" s="67"/>
      <c r="ULO34" s="67"/>
      <c r="ULP34" s="67"/>
      <c r="ULQ34" s="67"/>
      <c r="ULR34" s="67"/>
      <c r="ULS34" s="67"/>
      <c r="ULT34" s="67"/>
      <c r="ULU34" s="67"/>
      <c r="ULV34" s="67"/>
      <c r="ULW34" s="67"/>
      <c r="ULX34" s="67"/>
      <c r="ULY34" s="67"/>
      <c r="ULZ34" s="67"/>
      <c r="UMA34" s="67"/>
      <c r="UMB34" s="67"/>
      <c r="UMC34" s="67"/>
      <c r="UMD34" s="67"/>
      <c r="UME34" s="67"/>
      <c r="UMF34" s="67"/>
      <c r="UMG34" s="67"/>
      <c r="UMH34" s="67"/>
      <c r="UMI34" s="67"/>
      <c r="UMJ34" s="67"/>
      <c r="UMK34" s="67"/>
      <c r="UML34" s="67"/>
      <c r="UMM34" s="67"/>
      <c r="UMN34" s="67"/>
      <c r="UMO34" s="67"/>
      <c r="UMP34" s="67"/>
      <c r="UMQ34" s="67"/>
      <c r="UMR34" s="67"/>
      <c r="UMS34" s="67"/>
      <c r="UMT34" s="67"/>
      <c r="UMU34" s="67"/>
      <c r="UMV34" s="67"/>
      <c r="UMW34" s="67"/>
      <c r="UMX34" s="67"/>
      <c r="UMY34" s="67"/>
      <c r="UMZ34" s="67"/>
      <c r="UNA34" s="67"/>
      <c r="UNB34" s="67"/>
      <c r="UNC34" s="67"/>
      <c r="UND34" s="67"/>
      <c r="UNE34" s="67"/>
      <c r="UNF34" s="67"/>
      <c r="UNG34" s="67"/>
      <c r="UNH34" s="67"/>
      <c r="UNI34" s="67"/>
      <c r="UNJ34" s="67"/>
      <c r="UNK34" s="67"/>
      <c r="UNL34" s="67"/>
      <c r="UNM34" s="67"/>
      <c r="UNN34" s="67"/>
      <c r="UNO34" s="67"/>
      <c r="UNP34" s="67"/>
      <c r="UNQ34" s="67"/>
      <c r="UNR34" s="67"/>
      <c r="UNS34" s="67"/>
      <c r="UNT34" s="67"/>
      <c r="UNU34" s="67"/>
      <c r="UNV34" s="67"/>
      <c r="UNW34" s="67"/>
      <c r="UNX34" s="67"/>
      <c r="UNY34" s="67"/>
      <c r="UNZ34" s="67"/>
      <c r="UOA34" s="67"/>
      <c r="UOB34" s="67"/>
      <c r="UOC34" s="67"/>
      <c r="UOD34" s="67"/>
      <c r="UOE34" s="67"/>
      <c r="UOF34" s="67"/>
      <c r="UOG34" s="67"/>
      <c r="UOH34" s="67"/>
      <c r="UOI34" s="67"/>
      <c r="UOJ34" s="67"/>
      <c r="UOK34" s="67"/>
      <c r="UOL34" s="67"/>
      <c r="UOM34" s="67"/>
      <c r="UON34" s="67"/>
      <c r="UOO34" s="67"/>
      <c r="UOP34" s="67"/>
      <c r="UOQ34" s="67"/>
      <c r="UOR34" s="67"/>
      <c r="UOS34" s="67"/>
      <c r="UOT34" s="67"/>
      <c r="UOU34" s="67"/>
      <c r="UOV34" s="67"/>
      <c r="UOW34" s="67"/>
      <c r="UOX34" s="67"/>
      <c r="UOY34" s="67"/>
      <c r="UOZ34" s="67"/>
      <c r="UPA34" s="67"/>
      <c r="UPB34" s="67"/>
      <c r="UPC34" s="67"/>
      <c r="UPD34" s="67"/>
      <c r="UPE34" s="67"/>
      <c r="UPF34" s="67"/>
      <c r="UPG34" s="67"/>
      <c r="UPH34" s="67"/>
      <c r="UPI34" s="67"/>
      <c r="UPJ34" s="67"/>
      <c r="UPK34" s="67"/>
      <c r="UPL34" s="67"/>
      <c r="UPM34" s="67"/>
      <c r="UPN34" s="67"/>
      <c r="UPO34" s="67"/>
      <c r="UPP34" s="67"/>
      <c r="UPQ34" s="67"/>
      <c r="UPR34" s="67"/>
      <c r="UPS34" s="67"/>
      <c r="UPT34" s="67"/>
      <c r="UPU34" s="67"/>
      <c r="UPV34" s="67"/>
      <c r="UPW34" s="67"/>
      <c r="UPX34" s="67"/>
      <c r="UPY34" s="67"/>
      <c r="UPZ34" s="67"/>
      <c r="UQA34" s="67"/>
      <c r="UQB34" s="67"/>
      <c r="UQC34" s="67"/>
      <c r="UQD34" s="67"/>
      <c r="UQE34" s="67"/>
      <c r="UQF34" s="67"/>
      <c r="UQG34" s="67"/>
      <c r="UQH34" s="67"/>
      <c r="UQI34" s="67"/>
      <c r="UQJ34" s="67"/>
      <c r="UQK34" s="67"/>
      <c r="UQL34" s="67"/>
      <c r="UQM34" s="67"/>
      <c r="UQN34" s="67"/>
      <c r="UQO34" s="67"/>
      <c r="UQP34" s="67"/>
      <c r="UQQ34" s="67"/>
      <c r="UQR34" s="67"/>
      <c r="UQS34" s="67"/>
      <c r="UQT34" s="67"/>
      <c r="UQU34" s="67"/>
      <c r="UQV34" s="67"/>
      <c r="UQW34" s="67"/>
      <c r="UQX34" s="67"/>
      <c r="UQY34" s="67"/>
      <c r="UQZ34" s="67"/>
      <c r="URA34" s="67"/>
      <c r="URB34" s="67"/>
      <c r="URC34" s="67"/>
      <c r="URD34" s="67"/>
      <c r="URE34" s="67"/>
      <c r="URF34" s="67"/>
      <c r="URG34" s="67"/>
      <c r="URH34" s="67"/>
      <c r="URI34" s="67"/>
      <c r="URJ34" s="67"/>
      <c r="URK34" s="67"/>
      <c r="URL34" s="67"/>
      <c r="URM34" s="67"/>
      <c r="URN34" s="67"/>
      <c r="URO34" s="67"/>
      <c r="URP34" s="67"/>
      <c r="URQ34" s="67"/>
      <c r="URR34" s="67"/>
      <c r="URS34" s="67"/>
      <c r="URT34" s="67"/>
      <c r="URU34" s="67"/>
      <c r="URV34" s="67"/>
      <c r="URW34" s="67"/>
      <c r="URX34" s="67"/>
      <c r="URY34" s="67"/>
      <c r="URZ34" s="67"/>
      <c r="USA34" s="67"/>
      <c r="USB34" s="67"/>
      <c r="USC34" s="67"/>
      <c r="USD34" s="67"/>
      <c r="USE34" s="67"/>
      <c r="USF34" s="67"/>
      <c r="USG34" s="67"/>
      <c r="USH34" s="67"/>
      <c r="USI34" s="67"/>
      <c r="USJ34" s="67"/>
      <c r="USK34" s="67"/>
      <c r="USL34" s="67"/>
      <c r="USM34" s="67"/>
      <c r="USN34" s="67"/>
      <c r="USO34" s="67"/>
      <c r="USP34" s="67"/>
      <c r="USQ34" s="67"/>
      <c r="USR34" s="67"/>
      <c r="USS34" s="67"/>
      <c r="UST34" s="67"/>
      <c r="USU34" s="67"/>
      <c r="USV34" s="67"/>
      <c r="USW34" s="67"/>
      <c r="USX34" s="67"/>
      <c r="USY34" s="67"/>
      <c r="USZ34" s="67"/>
      <c r="UTA34" s="67"/>
      <c r="UTB34" s="67"/>
      <c r="UTC34" s="67"/>
      <c r="UTD34" s="67"/>
      <c r="UTE34" s="67"/>
      <c r="UTF34" s="67"/>
      <c r="UTG34" s="67"/>
      <c r="UTH34" s="67"/>
      <c r="UTI34" s="67"/>
      <c r="UTJ34" s="67"/>
      <c r="UTK34" s="67"/>
      <c r="UTL34" s="67"/>
      <c r="UTM34" s="67"/>
      <c r="UTN34" s="67"/>
      <c r="UTO34" s="67"/>
      <c r="UTP34" s="67"/>
      <c r="UTQ34" s="67"/>
      <c r="UTR34" s="67"/>
      <c r="UTS34" s="67"/>
      <c r="UTT34" s="67"/>
      <c r="UTU34" s="67"/>
      <c r="UTV34" s="67"/>
      <c r="UTW34" s="67"/>
      <c r="UTX34" s="67"/>
      <c r="UTY34" s="67"/>
      <c r="UTZ34" s="67"/>
      <c r="UUA34" s="67"/>
      <c r="UUB34" s="67"/>
      <c r="UUC34" s="67"/>
      <c r="UUD34" s="67"/>
      <c r="UUE34" s="67"/>
      <c r="UUF34" s="67"/>
      <c r="UUG34" s="67"/>
      <c r="UUH34" s="67"/>
      <c r="UUI34" s="67"/>
      <c r="UUJ34" s="67"/>
      <c r="UUK34" s="67"/>
      <c r="UUL34" s="67"/>
      <c r="UUM34" s="67"/>
      <c r="UUN34" s="67"/>
      <c r="UUO34" s="67"/>
      <c r="UUP34" s="67"/>
      <c r="UUQ34" s="67"/>
      <c r="UUR34" s="67"/>
      <c r="UUS34" s="67"/>
      <c r="UUT34" s="67"/>
      <c r="UUU34" s="67"/>
      <c r="UUV34" s="67"/>
      <c r="UUW34" s="67"/>
      <c r="UUX34" s="67"/>
      <c r="UUY34" s="67"/>
      <c r="UUZ34" s="67"/>
      <c r="UVA34" s="67"/>
      <c r="UVB34" s="67"/>
      <c r="UVC34" s="67"/>
      <c r="UVD34" s="67"/>
      <c r="UVE34" s="67"/>
      <c r="UVF34" s="67"/>
      <c r="UVG34" s="67"/>
      <c r="UVH34" s="67"/>
      <c r="UVI34" s="67"/>
      <c r="UVJ34" s="67"/>
      <c r="UVK34" s="67"/>
      <c r="UVL34" s="67"/>
      <c r="UVM34" s="67"/>
      <c r="UVN34" s="67"/>
      <c r="UVO34" s="67"/>
      <c r="UVP34" s="67"/>
      <c r="UVQ34" s="67"/>
      <c r="UVR34" s="67"/>
      <c r="UVS34" s="67"/>
      <c r="UVT34" s="67"/>
      <c r="UVU34" s="67"/>
      <c r="UVV34" s="67"/>
      <c r="UVW34" s="67"/>
      <c r="UVX34" s="67"/>
      <c r="UVY34" s="67"/>
      <c r="UVZ34" s="67"/>
      <c r="UWA34" s="67"/>
      <c r="UWB34" s="67"/>
      <c r="UWC34" s="67"/>
      <c r="UWD34" s="67"/>
      <c r="UWE34" s="67"/>
      <c r="UWF34" s="67"/>
      <c r="UWG34" s="67"/>
      <c r="UWH34" s="67"/>
      <c r="UWI34" s="67"/>
      <c r="UWJ34" s="67"/>
      <c r="UWK34" s="67"/>
      <c r="UWL34" s="67"/>
      <c r="UWM34" s="67"/>
      <c r="UWN34" s="67"/>
      <c r="UWO34" s="67"/>
      <c r="UWP34" s="67"/>
      <c r="UWQ34" s="67"/>
      <c r="UWR34" s="67"/>
      <c r="UWS34" s="67"/>
      <c r="UWT34" s="67"/>
      <c r="UWU34" s="67"/>
      <c r="UWV34" s="67"/>
      <c r="UWW34" s="67"/>
      <c r="UWX34" s="67"/>
      <c r="UWY34" s="67"/>
      <c r="UWZ34" s="67"/>
      <c r="UXA34" s="67"/>
      <c r="UXB34" s="67"/>
      <c r="UXC34" s="67"/>
      <c r="UXD34" s="67"/>
      <c r="UXE34" s="67"/>
      <c r="UXF34" s="67"/>
      <c r="UXG34" s="67"/>
      <c r="UXH34" s="67"/>
      <c r="UXI34" s="67"/>
      <c r="UXJ34" s="67"/>
      <c r="UXK34" s="67"/>
      <c r="UXL34" s="67"/>
      <c r="UXM34" s="67"/>
      <c r="UXN34" s="67"/>
      <c r="UXO34" s="67"/>
      <c r="UXP34" s="67"/>
      <c r="UXQ34" s="67"/>
      <c r="UXR34" s="67"/>
      <c r="UXS34" s="67"/>
      <c r="UXT34" s="67"/>
      <c r="UXU34" s="67"/>
      <c r="UXV34" s="67"/>
      <c r="UXW34" s="67"/>
      <c r="UXX34" s="67"/>
      <c r="UXY34" s="67"/>
      <c r="UXZ34" s="67"/>
      <c r="UYA34" s="67"/>
      <c r="UYB34" s="67"/>
      <c r="UYC34" s="67"/>
      <c r="UYD34" s="67"/>
      <c r="UYE34" s="67"/>
      <c r="UYF34" s="67"/>
      <c r="UYG34" s="67"/>
      <c r="UYH34" s="67"/>
      <c r="UYI34" s="67"/>
      <c r="UYJ34" s="67"/>
      <c r="UYK34" s="67"/>
      <c r="UYL34" s="67"/>
      <c r="UYM34" s="67"/>
      <c r="UYN34" s="67"/>
      <c r="UYO34" s="67"/>
      <c r="UYP34" s="67"/>
      <c r="UYQ34" s="67"/>
      <c r="UYR34" s="67"/>
      <c r="UYS34" s="67"/>
      <c r="UYT34" s="67"/>
      <c r="UYU34" s="67"/>
      <c r="UYV34" s="67"/>
      <c r="UYW34" s="67"/>
      <c r="UYX34" s="67"/>
      <c r="UYY34" s="67"/>
      <c r="UYZ34" s="67"/>
      <c r="UZA34" s="67"/>
      <c r="UZB34" s="67"/>
      <c r="UZC34" s="67"/>
      <c r="UZD34" s="67"/>
      <c r="UZE34" s="67"/>
      <c r="UZF34" s="67"/>
      <c r="UZG34" s="67"/>
      <c r="UZH34" s="67"/>
      <c r="UZI34" s="67"/>
      <c r="UZJ34" s="67"/>
      <c r="UZK34" s="67"/>
      <c r="UZL34" s="67"/>
      <c r="UZM34" s="67"/>
      <c r="UZN34" s="67"/>
      <c r="UZO34" s="67"/>
      <c r="UZP34" s="67"/>
      <c r="UZQ34" s="67"/>
      <c r="UZR34" s="67"/>
      <c r="UZS34" s="67"/>
      <c r="UZT34" s="67"/>
      <c r="UZU34" s="67"/>
      <c r="UZV34" s="67"/>
      <c r="UZW34" s="67"/>
      <c r="UZX34" s="67"/>
      <c r="UZY34" s="67"/>
      <c r="UZZ34" s="67"/>
      <c r="VAA34" s="67"/>
      <c r="VAB34" s="67"/>
      <c r="VAC34" s="67"/>
      <c r="VAD34" s="67"/>
      <c r="VAE34" s="67"/>
      <c r="VAF34" s="67"/>
      <c r="VAG34" s="67"/>
      <c r="VAH34" s="67"/>
      <c r="VAI34" s="67"/>
      <c r="VAJ34" s="67"/>
      <c r="VAK34" s="67"/>
      <c r="VAL34" s="67"/>
      <c r="VAM34" s="67"/>
      <c r="VAN34" s="67"/>
      <c r="VAO34" s="67"/>
      <c r="VAP34" s="67"/>
      <c r="VAQ34" s="67"/>
      <c r="VAR34" s="67"/>
      <c r="VAS34" s="67"/>
      <c r="VAT34" s="67"/>
      <c r="VAU34" s="67"/>
      <c r="VAV34" s="67"/>
      <c r="VAW34" s="67"/>
      <c r="VAX34" s="67"/>
      <c r="VAY34" s="67"/>
      <c r="VAZ34" s="67"/>
      <c r="VBA34" s="67"/>
      <c r="VBB34" s="67"/>
      <c r="VBC34" s="67"/>
      <c r="VBD34" s="67"/>
      <c r="VBE34" s="67"/>
      <c r="VBF34" s="67"/>
      <c r="VBG34" s="67"/>
      <c r="VBH34" s="67"/>
      <c r="VBI34" s="67"/>
      <c r="VBJ34" s="67"/>
      <c r="VBK34" s="67"/>
      <c r="VBL34" s="67"/>
      <c r="VBM34" s="67"/>
      <c r="VBN34" s="67"/>
      <c r="VBO34" s="67"/>
      <c r="VBP34" s="67"/>
      <c r="VBQ34" s="67"/>
      <c r="VBR34" s="67"/>
      <c r="VBS34" s="67"/>
      <c r="VBT34" s="67"/>
      <c r="VBU34" s="67"/>
      <c r="VBV34" s="67"/>
      <c r="VBW34" s="67"/>
      <c r="VBX34" s="67"/>
      <c r="VBY34" s="67"/>
      <c r="VBZ34" s="67"/>
      <c r="VCA34" s="67"/>
      <c r="VCB34" s="67"/>
      <c r="VCC34" s="67"/>
      <c r="VCD34" s="67"/>
      <c r="VCE34" s="67"/>
      <c r="VCF34" s="67"/>
      <c r="VCG34" s="67"/>
      <c r="VCH34" s="67"/>
      <c r="VCI34" s="67"/>
      <c r="VCJ34" s="67"/>
      <c r="VCK34" s="67"/>
      <c r="VCL34" s="67"/>
      <c r="VCM34" s="67"/>
      <c r="VCN34" s="67"/>
      <c r="VCO34" s="67"/>
      <c r="VCP34" s="67"/>
      <c r="VCQ34" s="67"/>
      <c r="VCR34" s="67"/>
      <c r="VCS34" s="67"/>
      <c r="VCT34" s="67"/>
      <c r="VCU34" s="67"/>
      <c r="VCV34" s="67"/>
      <c r="VCW34" s="67"/>
      <c r="VCX34" s="67"/>
      <c r="VCY34" s="67"/>
      <c r="VCZ34" s="67"/>
      <c r="VDA34" s="67"/>
      <c r="VDB34" s="67"/>
      <c r="VDC34" s="67"/>
      <c r="VDD34" s="67"/>
      <c r="VDE34" s="67"/>
      <c r="VDF34" s="67"/>
      <c r="VDG34" s="67"/>
      <c r="VDH34" s="67"/>
      <c r="VDI34" s="67"/>
      <c r="VDJ34" s="67"/>
      <c r="VDK34" s="67"/>
      <c r="VDL34" s="67"/>
      <c r="VDM34" s="67"/>
      <c r="VDN34" s="67"/>
      <c r="VDO34" s="67"/>
      <c r="VDP34" s="67"/>
      <c r="VDQ34" s="67"/>
      <c r="VDR34" s="67"/>
      <c r="VDS34" s="67"/>
      <c r="VDT34" s="67"/>
      <c r="VDU34" s="67"/>
      <c r="VDV34" s="67"/>
      <c r="VDW34" s="67"/>
      <c r="VDX34" s="67"/>
      <c r="VDY34" s="67"/>
      <c r="VDZ34" s="67"/>
      <c r="VEA34" s="67"/>
      <c r="VEB34" s="67"/>
      <c r="VEC34" s="67"/>
      <c r="VED34" s="67"/>
      <c r="VEE34" s="67"/>
      <c r="VEF34" s="67"/>
      <c r="VEG34" s="67"/>
      <c r="VEH34" s="67"/>
      <c r="VEI34" s="67"/>
      <c r="VEJ34" s="67"/>
      <c r="VEK34" s="67"/>
      <c r="VEL34" s="67"/>
      <c r="VEM34" s="67"/>
      <c r="VEN34" s="67"/>
      <c r="VEO34" s="67"/>
      <c r="VEP34" s="67"/>
      <c r="VEQ34" s="67"/>
      <c r="VER34" s="67"/>
      <c r="VES34" s="67"/>
      <c r="VET34" s="67"/>
      <c r="VEU34" s="67"/>
      <c r="VEV34" s="67"/>
      <c r="VEW34" s="67"/>
      <c r="VEX34" s="67"/>
      <c r="VEY34" s="67"/>
      <c r="VEZ34" s="67"/>
      <c r="VFA34" s="67"/>
      <c r="VFB34" s="67"/>
      <c r="VFC34" s="67"/>
      <c r="VFD34" s="67"/>
      <c r="VFE34" s="67"/>
      <c r="VFF34" s="67"/>
      <c r="VFG34" s="67"/>
      <c r="VFH34" s="67"/>
      <c r="VFI34" s="67"/>
      <c r="VFJ34" s="67"/>
      <c r="VFK34" s="67"/>
      <c r="VFL34" s="67"/>
      <c r="VFM34" s="67"/>
      <c r="VFN34" s="67"/>
      <c r="VFO34" s="67"/>
      <c r="VFP34" s="67"/>
      <c r="VFQ34" s="67"/>
      <c r="VFR34" s="67"/>
      <c r="VFS34" s="67"/>
      <c r="VFT34" s="67"/>
      <c r="VFU34" s="67"/>
      <c r="VFV34" s="67"/>
      <c r="VFW34" s="67"/>
      <c r="VFX34" s="67"/>
      <c r="VFY34" s="67"/>
      <c r="VFZ34" s="67"/>
      <c r="VGA34" s="67"/>
      <c r="VGB34" s="67"/>
      <c r="VGC34" s="67"/>
      <c r="VGD34" s="67"/>
      <c r="VGE34" s="67"/>
      <c r="VGF34" s="67"/>
      <c r="VGG34" s="67"/>
      <c r="VGH34" s="67"/>
      <c r="VGI34" s="67"/>
      <c r="VGJ34" s="67"/>
      <c r="VGK34" s="67"/>
      <c r="VGL34" s="67"/>
      <c r="VGM34" s="67"/>
    </row>
    <row r="35" spans="1:15067" s="3" customFormat="1" ht="13.8" x14ac:dyDescent="0.25">
      <c r="B35" s="122"/>
      <c r="C35" s="123" t="s">
        <v>80</v>
      </c>
      <c r="D35" s="128">
        <f>SUM(D37:D38)</f>
        <v>11218000</v>
      </c>
      <c r="E35" s="26" t="s">
        <v>16</v>
      </c>
      <c r="F35" s="108">
        <f>F36+F37+F38</f>
        <v>0</v>
      </c>
      <c r="G35" s="108">
        <f>G36+G37+G38</f>
        <v>0</v>
      </c>
      <c r="H35" s="108">
        <f t="shared" ref="H35:T35" si="11">H36+H37+H38</f>
        <v>0</v>
      </c>
      <c r="I35" s="108">
        <f t="shared" si="11"/>
        <v>0</v>
      </c>
      <c r="J35" s="108">
        <f t="shared" si="11"/>
        <v>0</v>
      </c>
      <c r="K35" s="108">
        <f t="shared" si="11"/>
        <v>0</v>
      </c>
      <c r="L35" s="108">
        <f t="shared" si="11"/>
        <v>0</v>
      </c>
      <c r="M35" s="108">
        <f t="shared" si="11"/>
        <v>0</v>
      </c>
      <c r="N35" s="108">
        <f t="shared" si="11"/>
        <v>0</v>
      </c>
      <c r="O35" s="108">
        <f t="shared" si="11"/>
        <v>0</v>
      </c>
      <c r="P35" s="108">
        <f t="shared" si="11"/>
        <v>0</v>
      </c>
      <c r="Q35" s="108">
        <f t="shared" si="11"/>
        <v>335700</v>
      </c>
      <c r="R35" s="108">
        <f t="shared" si="11"/>
        <v>0</v>
      </c>
      <c r="S35" s="108">
        <f t="shared" si="11"/>
        <v>0</v>
      </c>
      <c r="T35" s="108">
        <f t="shared" si="11"/>
        <v>0</v>
      </c>
      <c r="U35" s="108">
        <f>U37+U38</f>
        <v>0</v>
      </c>
      <c r="V35" s="108">
        <f t="shared" ref="V35:AI35" si="12">V37+V38</f>
        <v>0</v>
      </c>
      <c r="W35" s="108">
        <f t="shared" si="12"/>
        <v>0</v>
      </c>
      <c r="X35" s="108">
        <f t="shared" si="12"/>
        <v>0</v>
      </c>
      <c r="Y35" s="108">
        <f t="shared" si="12"/>
        <v>0</v>
      </c>
      <c r="Z35" s="108">
        <f t="shared" si="12"/>
        <v>0</v>
      </c>
      <c r="AA35" s="108">
        <f t="shared" si="12"/>
        <v>291274</v>
      </c>
      <c r="AB35" s="108">
        <f t="shared" si="12"/>
        <v>0</v>
      </c>
      <c r="AC35" s="108">
        <f t="shared" si="12"/>
        <v>0</v>
      </c>
      <c r="AD35" s="108">
        <f t="shared" si="12"/>
        <v>0</v>
      </c>
      <c r="AE35" s="108">
        <f t="shared" si="12"/>
        <v>405376</v>
      </c>
      <c r="AF35" s="108">
        <f t="shared" si="12"/>
        <v>0</v>
      </c>
      <c r="AG35" s="108">
        <f t="shared" si="12"/>
        <v>361505</v>
      </c>
      <c r="AH35" s="108">
        <f t="shared" si="12"/>
        <v>285582</v>
      </c>
      <c r="AI35" s="110">
        <f t="shared" si="12"/>
        <v>0</v>
      </c>
      <c r="AK35" s="111">
        <f>SUM(F35:AI35)</f>
        <v>1679437</v>
      </c>
      <c r="AL35" s="306"/>
      <c r="AM35" s="309"/>
      <c r="BQ35" s="312"/>
      <c r="CX35" s="306"/>
    </row>
    <row r="36" spans="1:15067" s="3" customFormat="1" ht="13.8" x14ac:dyDescent="0.25">
      <c r="B36" s="122"/>
      <c r="C36" s="123" t="s">
        <v>79</v>
      </c>
      <c r="D36" s="128"/>
      <c r="E36" s="26" t="s">
        <v>16</v>
      </c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9"/>
      <c r="AH36" s="109"/>
      <c r="AI36" s="110"/>
      <c r="AK36" s="111">
        <f>SUM(F36:AI36)</f>
        <v>0</v>
      </c>
      <c r="AL36" s="306"/>
      <c r="AM36" s="306"/>
      <c r="CX36" s="306"/>
    </row>
    <row r="37" spans="1:15067" s="3" customFormat="1" ht="13.8" x14ac:dyDescent="0.25">
      <c r="B37" s="122"/>
      <c r="C37" s="123" t="s">
        <v>78</v>
      </c>
      <c r="D37" s="128">
        <v>6731000</v>
      </c>
      <c r="E37" s="26" t="s">
        <v>16</v>
      </c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>
        <v>201600</v>
      </c>
      <c r="R37" s="108"/>
      <c r="S37" s="108"/>
      <c r="T37" s="108"/>
      <c r="U37" s="108"/>
      <c r="V37" s="108"/>
      <c r="W37" s="108"/>
      <c r="X37" s="108"/>
      <c r="Y37" s="108"/>
      <c r="Z37" s="108"/>
      <c r="AA37" s="108">
        <v>175300</v>
      </c>
      <c r="AB37" s="108"/>
      <c r="AC37" s="108"/>
      <c r="AD37" s="108"/>
      <c r="AE37" s="108">
        <v>243300</v>
      </c>
      <c r="AF37" s="108"/>
      <c r="AG37" s="109">
        <v>223000</v>
      </c>
      <c r="AH37" s="109">
        <v>171600</v>
      </c>
      <c r="AI37" s="110"/>
      <c r="AK37" s="111">
        <f>SUM(F37:AI37)</f>
        <v>1014800</v>
      </c>
      <c r="AL37" s="306"/>
      <c r="AM37" s="314"/>
      <c r="BQ37" s="306"/>
      <c r="CX37" s="306"/>
    </row>
    <row r="38" spans="1:15067" s="3" customFormat="1" ht="13.8" x14ac:dyDescent="0.25">
      <c r="B38" s="122"/>
      <c r="C38" s="123" t="s">
        <v>77</v>
      </c>
      <c r="D38" s="128">
        <v>4487000</v>
      </c>
      <c r="E38" s="26" t="s">
        <v>16</v>
      </c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>
        <v>134100</v>
      </c>
      <c r="R38" s="108"/>
      <c r="S38" s="108"/>
      <c r="T38" s="108"/>
      <c r="U38" s="108"/>
      <c r="V38" s="108"/>
      <c r="W38" s="108"/>
      <c r="X38" s="108"/>
      <c r="Y38" s="108"/>
      <c r="Z38" s="108"/>
      <c r="AA38" s="108">
        <v>115974</v>
      </c>
      <c r="AB38" s="108"/>
      <c r="AC38" s="108"/>
      <c r="AD38" s="108"/>
      <c r="AE38" s="108">
        <v>162076</v>
      </c>
      <c r="AF38" s="108"/>
      <c r="AG38" s="109">
        <v>138505</v>
      </c>
      <c r="AH38" s="109">
        <v>113982</v>
      </c>
      <c r="AI38" s="110"/>
      <c r="AK38" s="111">
        <f>SUM(F38:AI38)</f>
        <v>664637</v>
      </c>
      <c r="CX38" s="306"/>
    </row>
    <row r="39" spans="1:15067" s="3" customFormat="1" ht="13.8" x14ac:dyDescent="0.25">
      <c r="B39" s="122"/>
      <c r="C39" s="153" t="s">
        <v>128</v>
      </c>
      <c r="D39" s="133">
        <v>100</v>
      </c>
      <c r="E39" s="5" t="s">
        <v>29</v>
      </c>
      <c r="F39" s="315">
        <f>(F21+F25+F30+F35)/2000/1000*100</f>
        <v>53.466450000000002</v>
      </c>
      <c r="G39" s="315">
        <f t="shared" ref="G39:AI39" si="13">(G21+G25+G30+G35)/2000/1000*100</f>
        <v>80.29310000000001</v>
      </c>
      <c r="H39" s="315">
        <f t="shared" si="13"/>
        <v>84.846900000000005</v>
      </c>
      <c r="I39" s="315">
        <f t="shared" si="13"/>
        <v>80.095100000000002</v>
      </c>
      <c r="J39" s="315">
        <f t="shared" si="13"/>
        <v>57.544600000000003</v>
      </c>
      <c r="K39" s="315">
        <f t="shared" si="13"/>
        <v>70.614200000000011</v>
      </c>
      <c r="L39" s="315">
        <f t="shared" si="13"/>
        <v>40.1372</v>
      </c>
      <c r="M39" s="315">
        <f>(M21+M25+M30+M35)/2000/1000*100</f>
        <v>62.790899999999993</v>
      </c>
      <c r="N39" s="315">
        <f t="shared" si="13"/>
        <v>46.330099999999995</v>
      </c>
      <c r="O39" s="315">
        <f t="shared" si="13"/>
        <v>41.726700000000001</v>
      </c>
      <c r="P39" s="315">
        <f t="shared" si="13"/>
        <v>50.099141000000003</v>
      </c>
      <c r="Q39" s="315">
        <f>(Q21+Q25+Q32+Q35)/2000/1000*100</f>
        <v>65.289749999999998</v>
      </c>
      <c r="R39" s="315">
        <f t="shared" si="13"/>
        <v>55.067</v>
      </c>
      <c r="S39" s="315">
        <f t="shared" si="13"/>
        <v>52.34102863527459</v>
      </c>
      <c r="T39" s="315">
        <f t="shared" si="13"/>
        <v>66.752898367032671</v>
      </c>
      <c r="U39" s="315">
        <f t="shared" si="13"/>
        <v>81.75020653055644</v>
      </c>
      <c r="V39" s="315">
        <f t="shared" si="13"/>
        <v>70.106700000000004</v>
      </c>
      <c r="W39" s="315">
        <f t="shared" si="13"/>
        <v>50.267149999999994</v>
      </c>
      <c r="X39" s="315">
        <f t="shared" si="13"/>
        <v>76.600847424749759</v>
      </c>
      <c r="Y39" s="315">
        <f t="shared" si="13"/>
        <v>69.122349999999997</v>
      </c>
      <c r="Z39" s="315">
        <f t="shared" si="13"/>
        <v>55.736329122029417</v>
      </c>
      <c r="AA39" s="315">
        <f t="shared" si="13"/>
        <v>39.257935101084456</v>
      </c>
      <c r="AB39" s="315">
        <f t="shared" si="13"/>
        <v>68.982897423760264</v>
      </c>
      <c r="AC39" s="315">
        <f t="shared" si="13"/>
        <v>91.488099999999989</v>
      </c>
      <c r="AD39" s="315">
        <f>(AD21+AD25+AD30+AD35)/2000/1000*100</f>
        <v>87.878200000000007</v>
      </c>
      <c r="AE39" s="315">
        <f t="shared" si="13"/>
        <v>29.73845</v>
      </c>
      <c r="AF39" s="315">
        <f t="shared" si="13"/>
        <v>35.232975843253207</v>
      </c>
      <c r="AG39" s="315">
        <f t="shared" si="13"/>
        <v>21.610149999999997</v>
      </c>
      <c r="AH39" s="315">
        <f t="shared" si="13"/>
        <v>45.505900000000004</v>
      </c>
      <c r="AI39" s="315">
        <f t="shared" si="13"/>
        <v>68.789343857221439</v>
      </c>
      <c r="AJ39" s="120"/>
      <c r="AK39" s="316">
        <f>(AK21+AK25+AK30+AK35)/62000/1000*100</f>
        <v>58.047180751772963</v>
      </c>
      <c r="CX39" s="306"/>
    </row>
    <row r="40" spans="1:15067" x14ac:dyDescent="0.3">
      <c r="B40" s="70"/>
      <c r="C40" s="149" t="s">
        <v>76</v>
      </c>
      <c r="D40" s="150"/>
      <c r="E40" s="151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53"/>
      <c r="AH40" s="53"/>
      <c r="AI40" s="61"/>
      <c r="AK40" s="152" t="s">
        <v>75</v>
      </c>
    </row>
    <row r="41" spans="1:15067" x14ac:dyDescent="0.3">
      <c r="B41" s="122"/>
      <c r="C41" s="153" t="s">
        <v>74</v>
      </c>
      <c r="D41" s="15">
        <v>94.2</v>
      </c>
      <c r="E41" s="134" t="s">
        <v>29</v>
      </c>
      <c r="F41" s="10">
        <f>(F18/(F11))*100</f>
        <v>95.471947347430714</v>
      </c>
      <c r="G41" s="10">
        <f t="shared" ref="G41:AH41" si="14">(G18/(G11))*100</f>
        <v>95.59479607629828</v>
      </c>
      <c r="H41" s="10">
        <f t="shared" si="14"/>
        <v>94.80904671089742</v>
      </c>
      <c r="I41" s="10">
        <f t="shared" si="14"/>
        <v>94.36246877590348</v>
      </c>
      <c r="J41" s="10">
        <f t="shared" si="14"/>
        <v>94.73207938698279</v>
      </c>
      <c r="K41" s="10">
        <f t="shared" si="14"/>
        <v>93.951632464949313</v>
      </c>
      <c r="L41" s="10">
        <f t="shared" si="14"/>
        <v>94.61515422350088</v>
      </c>
      <c r="M41" s="10">
        <f t="shared" si="14"/>
        <v>94.328086530427015</v>
      </c>
      <c r="N41" s="10">
        <f t="shared" si="14"/>
        <v>94.877724699788757</v>
      </c>
      <c r="O41" s="10">
        <f t="shared" si="14"/>
        <v>95.037747503365338</v>
      </c>
      <c r="P41" s="10">
        <f t="shared" si="14"/>
        <v>94.969637801425364</v>
      </c>
      <c r="Q41" s="10">
        <f t="shared" si="14"/>
        <v>94.683159151199987</v>
      </c>
      <c r="R41" s="10">
        <f t="shared" si="14"/>
        <v>95.267420348326056</v>
      </c>
      <c r="S41" s="10">
        <f t="shared" si="14"/>
        <v>95.489303525602779</v>
      </c>
      <c r="T41" s="10">
        <f t="shared" si="14"/>
        <v>95.375615406082332</v>
      </c>
      <c r="U41" s="10">
        <f t="shared" si="14"/>
        <v>95.567613592792682</v>
      </c>
      <c r="V41" s="10">
        <f t="shared" si="14"/>
        <v>95.242428718421181</v>
      </c>
      <c r="W41" s="10">
        <f t="shared" si="14"/>
        <v>95.161616001994631</v>
      </c>
      <c r="X41" s="10">
        <f t="shared" si="14"/>
        <v>95.364107089470892</v>
      </c>
      <c r="Y41" s="10">
        <f t="shared" si="14"/>
        <v>95.306218216325377</v>
      </c>
      <c r="Z41" s="10">
        <f t="shared" si="14"/>
        <v>95.671030313577646</v>
      </c>
      <c r="AA41" s="10">
        <f t="shared" si="14"/>
        <v>95.630901051086227</v>
      </c>
      <c r="AB41" s="10">
        <f t="shared" si="14"/>
        <v>95.325391034702108</v>
      </c>
      <c r="AC41" s="10">
        <f t="shared" si="14"/>
        <v>95.832534100152401</v>
      </c>
      <c r="AD41" s="10">
        <f t="shared" si="14"/>
        <v>95.447967800630238</v>
      </c>
      <c r="AE41" s="10">
        <f t="shared" si="14"/>
        <v>94.861535564792959</v>
      </c>
      <c r="AF41" s="10">
        <f t="shared" si="14"/>
        <v>95.785083569344735</v>
      </c>
      <c r="AG41" s="10">
        <f t="shared" si="14"/>
        <v>95.940549985715521</v>
      </c>
      <c r="AH41" s="10">
        <f t="shared" si="14"/>
        <v>95.652540520283566</v>
      </c>
      <c r="AI41" s="21">
        <f>(AI18/(AI11))*100</f>
        <v>95.477009216148019</v>
      </c>
      <c r="AJ41" s="120"/>
      <c r="AK41" s="154">
        <f>(AK18/(AK11))*100</f>
        <v>95.185025794968922</v>
      </c>
    </row>
    <row r="42" spans="1:15067" x14ac:dyDescent="0.3">
      <c r="B42" s="122"/>
      <c r="C42" s="153" t="s">
        <v>73</v>
      </c>
      <c r="D42" s="15">
        <v>5</v>
      </c>
      <c r="E42" s="134" t="s">
        <v>29</v>
      </c>
      <c r="F42" s="10">
        <f>(F19/(F11))*100</f>
        <v>3.792390760681557</v>
      </c>
      <c r="G42" s="10">
        <f t="shared" ref="G42:AH42" si="15">(G19/(G11))*100</f>
        <v>3.7116977919323939</v>
      </c>
      <c r="H42" s="10">
        <f t="shared" si="15"/>
        <v>4.4623814768057155</v>
      </c>
      <c r="I42" s="10">
        <f t="shared" si="15"/>
        <v>4.9352883125960352</v>
      </c>
      <c r="J42" s="10">
        <f t="shared" si="15"/>
        <v>4.5333375148968198</v>
      </c>
      <c r="K42" s="10">
        <f t="shared" si="15"/>
        <v>5.2770096541017804</v>
      </c>
      <c r="L42" s="10">
        <f t="shared" si="15"/>
        <v>4.6440670280667797</v>
      </c>
      <c r="M42" s="10">
        <f t="shared" si="15"/>
        <v>4.9646840779807357</v>
      </c>
      <c r="N42" s="10">
        <f t="shared" si="15"/>
        <v>4.368140382375258</v>
      </c>
      <c r="O42" s="10">
        <f t="shared" si="15"/>
        <v>4.2209498422128657</v>
      </c>
      <c r="P42" s="10">
        <f t="shared" si="15"/>
        <v>4.3084057405057115</v>
      </c>
      <c r="Q42" s="10">
        <f t="shared" si="15"/>
        <v>4.5786498711873485</v>
      </c>
      <c r="R42" s="10">
        <f t="shared" si="15"/>
        <v>4.0305203316055476</v>
      </c>
      <c r="S42" s="10">
        <f t="shared" si="15"/>
        <v>3.7640653268521924</v>
      </c>
      <c r="T42" s="10">
        <f t="shared" si="15"/>
        <v>3.922512285810416</v>
      </c>
      <c r="U42" s="10">
        <f t="shared" si="15"/>
        <v>3.6966173198439054</v>
      </c>
      <c r="V42" s="10">
        <f t="shared" si="15"/>
        <v>3.9736554200036549</v>
      </c>
      <c r="W42" s="10">
        <f t="shared" si="15"/>
        <v>4.120305258087531</v>
      </c>
      <c r="X42" s="10">
        <f t="shared" si="15"/>
        <v>3.941305858352405</v>
      </c>
      <c r="Y42" s="10">
        <f t="shared" si="15"/>
        <v>3.9614581124625028</v>
      </c>
      <c r="Z42" s="10">
        <f t="shared" si="15"/>
        <v>3.6172599848506284</v>
      </c>
      <c r="AA42" s="10">
        <f t="shared" si="15"/>
        <v>3.6499266256839169</v>
      </c>
      <c r="AB42" s="10">
        <f t="shared" si="15"/>
        <v>4.0320979547480649</v>
      </c>
      <c r="AC42" s="10">
        <f t="shared" si="15"/>
        <v>3.3841339842844347</v>
      </c>
      <c r="AD42" s="10">
        <f t="shared" si="15"/>
        <v>3.7895229597807627</v>
      </c>
      <c r="AE42" s="10">
        <f t="shared" si="15"/>
        <v>4.3700302709905419</v>
      </c>
      <c r="AF42" s="10">
        <f t="shared" si="15"/>
        <v>3.5107206823294095</v>
      </c>
      <c r="AG42" s="10">
        <f t="shared" si="15"/>
        <v>3.3150166746852081</v>
      </c>
      <c r="AH42" s="10">
        <f t="shared" si="15"/>
        <v>3.6465392441033724</v>
      </c>
      <c r="AI42" s="21">
        <f>(AI19/(AI11))*100</f>
        <v>3.7660557965948276</v>
      </c>
      <c r="AJ42" s="120"/>
      <c r="AK42" s="154">
        <f>(AK19/(AK11))*100</f>
        <v>4.0862420020319314</v>
      </c>
      <c r="BM42" s="90"/>
    </row>
    <row r="43" spans="1:15067" x14ac:dyDescent="0.3">
      <c r="B43" s="122"/>
      <c r="C43" s="153" t="s">
        <v>72</v>
      </c>
      <c r="D43" s="15">
        <v>82</v>
      </c>
      <c r="E43" s="134" t="s">
        <v>29</v>
      </c>
      <c r="F43" s="10">
        <f t="shared" ref="F43:AH43" si="16">(F22/F21)*100</f>
        <v>82.032564346426597</v>
      </c>
      <c r="G43" s="10">
        <f t="shared" si="16"/>
        <v>82.008603479003796</v>
      </c>
      <c r="H43" s="10">
        <f t="shared" si="16"/>
        <v>82.022678495030462</v>
      </c>
      <c r="I43" s="10">
        <f t="shared" si="16"/>
        <v>82.024555809281722</v>
      </c>
      <c r="J43" s="10">
        <f t="shared" si="16"/>
        <v>82.079381336821982</v>
      </c>
      <c r="K43" s="10">
        <f t="shared" si="16"/>
        <v>82.871937133178903</v>
      </c>
      <c r="L43" s="10">
        <f t="shared" si="16"/>
        <v>76.636155370263353</v>
      </c>
      <c r="M43" s="10">
        <f t="shared" si="16"/>
        <v>82.073087322852601</v>
      </c>
      <c r="N43" s="10">
        <f t="shared" si="16"/>
        <v>84.503644797879389</v>
      </c>
      <c r="O43" s="10" t="e">
        <f t="shared" si="16"/>
        <v>#DIV/0!</v>
      </c>
      <c r="P43" s="10">
        <f t="shared" si="16"/>
        <v>80.716774635925702</v>
      </c>
      <c r="Q43" s="10">
        <f t="shared" si="16"/>
        <v>82.031141279977732</v>
      </c>
      <c r="R43" s="10">
        <f>(R22/R21)*100</f>
        <v>82.006412080829051</v>
      </c>
      <c r="S43" s="10" t="e">
        <f>(S22/S21)*100</f>
        <v>#DIV/0!</v>
      </c>
      <c r="T43" s="10" t="e">
        <f>(T22/T21)*100</f>
        <v>#DIV/0!</v>
      </c>
      <c r="U43" s="10" t="e">
        <f t="shared" si="16"/>
        <v>#DIV/0!</v>
      </c>
      <c r="V43" s="10" t="e">
        <f t="shared" si="16"/>
        <v>#DIV/0!</v>
      </c>
      <c r="W43" s="10" t="e">
        <f t="shared" si="16"/>
        <v>#DIV/0!</v>
      </c>
      <c r="X43" s="10" t="e">
        <f t="shared" si="16"/>
        <v>#DIV/0!</v>
      </c>
      <c r="Y43" s="10">
        <f>(Y22/Y21)*100</f>
        <v>82.029452699294097</v>
      </c>
      <c r="Z43" s="10" t="e">
        <f t="shared" si="16"/>
        <v>#DIV/0!</v>
      </c>
      <c r="AA43" s="10" t="e">
        <f t="shared" si="16"/>
        <v>#DIV/0!</v>
      </c>
      <c r="AB43" s="10">
        <f t="shared" si="16"/>
        <v>82.010437106455214</v>
      </c>
      <c r="AC43" s="10">
        <f t="shared" si="16"/>
        <v>82.005911151286341</v>
      </c>
      <c r="AD43" s="10">
        <f t="shared" si="16"/>
        <v>82.021870597285414</v>
      </c>
      <c r="AE43" s="10" t="e">
        <f t="shared" si="16"/>
        <v>#DIV/0!</v>
      </c>
      <c r="AF43" s="10" t="e">
        <f t="shared" si="16"/>
        <v>#DIV/0!</v>
      </c>
      <c r="AG43" s="10" t="e">
        <f t="shared" si="16"/>
        <v>#DIV/0!</v>
      </c>
      <c r="AH43" s="10">
        <f t="shared" si="16"/>
        <v>80.714802669501836</v>
      </c>
      <c r="AI43" s="21">
        <f>(AI22/AI21)*100</f>
        <v>80.806692927026717</v>
      </c>
      <c r="AJ43" s="120"/>
      <c r="AK43" s="155">
        <f>AK22/AK21*100</f>
        <v>81.865379896525297</v>
      </c>
    </row>
    <row r="44" spans="1:15067" x14ac:dyDescent="0.3">
      <c r="B44" s="122"/>
      <c r="C44" s="153" t="s">
        <v>70</v>
      </c>
      <c r="D44" s="15">
        <v>18</v>
      </c>
      <c r="E44" s="134" t="s">
        <v>29</v>
      </c>
      <c r="F44" s="10">
        <f t="shared" ref="F44:AH44" si="17">(F23/F21)*100</f>
        <v>17.967435653573411</v>
      </c>
      <c r="G44" s="10">
        <f t="shared" si="17"/>
        <v>17.991396520996201</v>
      </c>
      <c r="H44" s="10">
        <f t="shared" si="17"/>
        <v>17.977321504969542</v>
      </c>
      <c r="I44" s="10">
        <f t="shared" si="17"/>
        <v>17.975444190718285</v>
      </c>
      <c r="J44" s="10">
        <f t="shared" si="17"/>
        <v>17.920618663178008</v>
      </c>
      <c r="K44" s="10">
        <f t="shared" si="17"/>
        <v>17.1280628668211</v>
      </c>
      <c r="L44" s="10">
        <f t="shared" si="17"/>
        <v>23.363844629736647</v>
      </c>
      <c r="M44" s="10">
        <f t="shared" si="17"/>
        <v>17.926912677147403</v>
      </c>
      <c r="N44" s="10">
        <f t="shared" si="17"/>
        <v>15.496355202120609</v>
      </c>
      <c r="O44" s="10" t="e">
        <f t="shared" si="17"/>
        <v>#DIV/0!</v>
      </c>
      <c r="P44" s="10">
        <f t="shared" si="17"/>
        <v>19.283225364074298</v>
      </c>
      <c r="Q44" s="10">
        <f t="shared" si="17"/>
        <v>17.968858720022265</v>
      </c>
      <c r="R44" s="10">
        <f>(R23/R21)*100</f>
        <v>17.993587919170949</v>
      </c>
      <c r="S44" s="10" t="e">
        <f>(S23/S21)*100</f>
        <v>#DIV/0!</v>
      </c>
      <c r="T44" s="10" t="e">
        <f t="shared" si="17"/>
        <v>#DIV/0!</v>
      </c>
      <c r="U44" s="10" t="e">
        <f t="shared" si="17"/>
        <v>#DIV/0!</v>
      </c>
      <c r="V44" s="10" t="e">
        <f t="shared" si="17"/>
        <v>#DIV/0!</v>
      </c>
      <c r="W44" s="10" t="e">
        <f t="shared" si="17"/>
        <v>#DIV/0!</v>
      </c>
      <c r="X44" s="10" t="e">
        <f t="shared" si="17"/>
        <v>#DIV/0!</v>
      </c>
      <c r="Y44" s="10">
        <f t="shared" si="17"/>
        <v>17.970547300705906</v>
      </c>
      <c r="Z44" s="10" t="e">
        <f t="shared" si="17"/>
        <v>#DIV/0!</v>
      </c>
      <c r="AA44" s="10" t="e">
        <f t="shared" si="17"/>
        <v>#DIV/0!</v>
      </c>
      <c r="AB44" s="10">
        <f t="shared" si="17"/>
        <v>17.98956289354479</v>
      </c>
      <c r="AC44" s="10">
        <f t="shared" si="17"/>
        <v>17.994088848713659</v>
      </c>
      <c r="AD44" s="10">
        <f t="shared" si="17"/>
        <v>17.978129402714593</v>
      </c>
      <c r="AE44" s="10" t="e">
        <f t="shared" si="17"/>
        <v>#DIV/0!</v>
      </c>
      <c r="AF44" s="10" t="e">
        <f t="shared" si="17"/>
        <v>#DIV/0!</v>
      </c>
      <c r="AG44" s="10" t="e">
        <f t="shared" si="17"/>
        <v>#DIV/0!</v>
      </c>
      <c r="AH44" s="10">
        <f t="shared" si="17"/>
        <v>19.285197330498161</v>
      </c>
      <c r="AI44" s="21">
        <f>(AI23/AI21)*100</f>
        <v>19.19330707297329</v>
      </c>
      <c r="AJ44" s="120"/>
      <c r="AK44" s="155">
        <f>AK23/AK21*100</f>
        <v>18.134620103474706</v>
      </c>
    </row>
    <row r="45" spans="1:15067" x14ac:dyDescent="0.3">
      <c r="B45" s="122"/>
      <c r="C45" s="153" t="s">
        <v>131</v>
      </c>
      <c r="D45" s="15">
        <v>70</v>
      </c>
      <c r="E45" s="134" t="s">
        <v>29</v>
      </c>
      <c r="F45" s="10" t="e">
        <f>(F26/F25)*100</f>
        <v>#DIV/0!</v>
      </c>
      <c r="G45" s="10" t="e">
        <f t="shared" ref="G45:AH45" si="18">(G26/G25)*100</f>
        <v>#DIV/0!</v>
      </c>
      <c r="H45" s="10" t="e">
        <f t="shared" si="18"/>
        <v>#DIV/0!</v>
      </c>
      <c r="I45" s="10" t="e">
        <f t="shared" si="18"/>
        <v>#DIV/0!</v>
      </c>
      <c r="J45" s="10">
        <f t="shared" si="18"/>
        <v>70.009575256092944</v>
      </c>
      <c r="K45" s="10" t="e">
        <f t="shared" si="18"/>
        <v>#DIV/0!</v>
      </c>
      <c r="L45" s="10" t="e">
        <f t="shared" si="18"/>
        <v>#DIV/0!</v>
      </c>
      <c r="M45" s="10" t="e">
        <f t="shared" si="18"/>
        <v>#DIV/0!</v>
      </c>
      <c r="N45" s="10" t="e">
        <f t="shared" si="18"/>
        <v>#DIV/0!</v>
      </c>
      <c r="O45" s="10" t="e">
        <f t="shared" si="18"/>
        <v>#DIV/0!</v>
      </c>
      <c r="P45" s="10" t="e">
        <f t="shared" si="18"/>
        <v>#DIV/0!</v>
      </c>
      <c r="Q45" s="10" t="e">
        <f t="shared" si="18"/>
        <v>#DIV/0!</v>
      </c>
      <c r="R45" s="10">
        <f t="shared" si="18"/>
        <v>70.119718749349929</v>
      </c>
      <c r="S45" s="10">
        <f t="shared" si="18"/>
        <v>70.10437446289211</v>
      </c>
      <c r="T45" s="10">
        <f t="shared" si="18"/>
        <v>70.030667047540874</v>
      </c>
      <c r="U45" s="10">
        <f t="shared" si="18"/>
        <v>70.011855666351892</v>
      </c>
      <c r="V45" s="10">
        <f t="shared" si="18"/>
        <v>70.025475453843924</v>
      </c>
      <c r="W45" s="10">
        <f t="shared" si="18"/>
        <v>70.042761525171017</v>
      </c>
      <c r="X45" s="10">
        <f t="shared" si="18"/>
        <v>70.075653587600698</v>
      </c>
      <c r="Y45" s="10" t="e">
        <f t="shared" si="18"/>
        <v>#DIV/0!</v>
      </c>
      <c r="Z45" s="10" t="e">
        <f>(Z26/Z25)*100</f>
        <v>#DIV/0!</v>
      </c>
      <c r="AA45" s="10" t="e">
        <f t="shared" si="18"/>
        <v>#DIV/0!</v>
      </c>
      <c r="AB45" s="10" t="e">
        <f t="shared" si="18"/>
        <v>#DIV/0!</v>
      </c>
      <c r="AC45" s="10" t="e">
        <f t="shared" si="18"/>
        <v>#DIV/0!</v>
      </c>
      <c r="AD45" s="10" t="e">
        <f t="shared" si="18"/>
        <v>#DIV/0!</v>
      </c>
      <c r="AE45" s="10" t="e">
        <f t="shared" si="18"/>
        <v>#DIV/0!</v>
      </c>
      <c r="AF45" s="10" t="e">
        <f t="shared" si="18"/>
        <v>#DIV/0!</v>
      </c>
      <c r="AG45" s="10" t="e">
        <f t="shared" si="18"/>
        <v>#DIV/0!</v>
      </c>
      <c r="AH45" s="10" t="e">
        <f t="shared" si="18"/>
        <v>#DIV/0!</v>
      </c>
      <c r="AI45" s="21" t="e">
        <f>(AI26/AI25)*100</f>
        <v>#DIV/0!</v>
      </c>
      <c r="AJ45" s="120"/>
      <c r="AK45" s="156">
        <f>(AK26/AK25)*100</f>
        <v>70.046264515707449</v>
      </c>
    </row>
    <row r="46" spans="1:15067" x14ac:dyDescent="0.3">
      <c r="B46" s="122"/>
      <c r="C46" s="153" t="s">
        <v>70</v>
      </c>
      <c r="D46" s="15">
        <v>30</v>
      </c>
      <c r="E46" s="134" t="s">
        <v>29</v>
      </c>
      <c r="F46" s="10" t="e">
        <f>(F27/F25)*100</f>
        <v>#DIV/0!</v>
      </c>
      <c r="G46" s="10" t="e">
        <f t="shared" ref="G46:AH46" si="19">(G27/G25)*100</f>
        <v>#DIV/0!</v>
      </c>
      <c r="H46" s="10" t="e">
        <f t="shared" si="19"/>
        <v>#DIV/0!</v>
      </c>
      <c r="I46" s="10" t="e">
        <f t="shared" si="19"/>
        <v>#DIV/0!</v>
      </c>
      <c r="J46" s="10">
        <f t="shared" si="19"/>
        <v>29.990424743907067</v>
      </c>
      <c r="K46" s="10" t="e">
        <f t="shared" si="19"/>
        <v>#DIV/0!</v>
      </c>
      <c r="L46" s="10" t="e">
        <f t="shared" si="19"/>
        <v>#DIV/0!</v>
      </c>
      <c r="M46" s="10" t="e">
        <f t="shared" si="19"/>
        <v>#DIV/0!</v>
      </c>
      <c r="N46" s="10" t="e">
        <f t="shared" si="19"/>
        <v>#DIV/0!</v>
      </c>
      <c r="O46" s="10" t="e">
        <f t="shared" si="19"/>
        <v>#DIV/0!</v>
      </c>
      <c r="P46" s="10" t="e">
        <f t="shared" si="19"/>
        <v>#DIV/0!</v>
      </c>
      <c r="Q46" s="10" t="e">
        <f>(Q27/Q25)*100</f>
        <v>#DIV/0!</v>
      </c>
      <c r="R46" s="10">
        <f t="shared" si="19"/>
        <v>29.880281250650082</v>
      </c>
      <c r="S46" s="10">
        <f t="shared" si="19"/>
        <v>29.8956255371079</v>
      </c>
      <c r="T46" s="10">
        <f t="shared" si="19"/>
        <v>29.969332952459133</v>
      </c>
      <c r="U46" s="10">
        <f t="shared" si="19"/>
        <v>29.988144333648108</v>
      </c>
      <c r="V46" s="10">
        <f t="shared" si="19"/>
        <v>29.974524546156072</v>
      </c>
      <c r="W46" s="10">
        <f t="shared" si="19"/>
        <v>29.957238474828991</v>
      </c>
      <c r="X46" s="10">
        <f t="shared" si="19"/>
        <v>29.924346412399309</v>
      </c>
      <c r="Y46" s="10" t="e">
        <f t="shared" si="19"/>
        <v>#DIV/0!</v>
      </c>
      <c r="Z46" s="10" t="e">
        <f t="shared" si="19"/>
        <v>#DIV/0!</v>
      </c>
      <c r="AA46" s="10" t="e">
        <f t="shared" si="19"/>
        <v>#DIV/0!</v>
      </c>
      <c r="AB46" s="10" t="e">
        <f t="shared" si="19"/>
        <v>#DIV/0!</v>
      </c>
      <c r="AC46" s="10" t="e">
        <f t="shared" si="19"/>
        <v>#DIV/0!</v>
      </c>
      <c r="AD46" s="10" t="e">
        <f t="shared" si="19"/>
        <v>#DIV/0!</v>
      </c>
      <c r="AE46" s="10" t="e">
        <f t="shared" si="19"/>
        <v>#DIV/0!</v>
      </c>
      <c r="AF46" s="10" t="e">
        <f t="shared" si="19"/>
        <v>#DIV/0!</v>
      </c>
      <c r="AG46" s="10" t="e">
        <f t="shared" si="19"/>
        <v>#DIV/0!</v>
      </c>
      <c r="AH46" s="10" t="e">
        <f t="shared" si="19"/>
        <v>#DIV/0!</v>
      </c>
      <c r="AI46" s="21" t="e">
        <f>(AI27/AI25)*100</f>
        <v>#DIV/0!</v>
      </c>
      <c r="AJ46" s="120"/>
      <c r="AK46" s="156">
        <f>(AK27/AK25)*100</f>
        <v>29.953735484292558</v>
      </c>
    </row>
    <row r="47" spans="1:15067" x14ac:dyDescent="0.3">
      <c r="B47" s="122"/>
      <c r="C47" s="153" t="s">
        <v>124</v>
      </c>
      <c r="D47" s="15">
        <v>75</v>
      </c>
      <c r="E47" s="134" t="s">
        <v>29</v>
      </c>
      <c r="F47" s="10" t="e">
        <f>F31/F30*100</f>
        <v>#DIV/0!</v>
      </c>
      <c r="G47" s="10" t="e">
        <f t="shared" ref="G47:AH47" si="20">G31/G30*100</f>
        <v>#DIV/0!</v>
      </c>
      <c r="H47" s="10" t="e">
        <f t="shared" si="20"/>
        <v>#DIV/0!</v>
      </c>
      <c r="I47" s="10" t="e">
        <f t="shared" si="20"/>
        <v>#DIV/0!</v>
      </c>
      <c r="J47" s="10" t="e">
        <f t="shared" si="20"/>
        <v>#DIV/0!</v>
      </c>
      <c r="K47" s="10">
        <f t="shared" si="20"/>
        <v>75.015635586595081</v>
      </c>
      <c r="L47" s="10">
        <f t="shared" si="20"/>
        <v>75.005583509597059</v>
      </c>
      <c r="M47" s="10">
        <f t="shared" si="20"/>
        <v>75.021137708763291</v>
      </c>
      <c r="N47" s="10">
        <f t="shared" si="20"/>
        <v>75.019603387195303</v>
      </c>
      <c r="O47" s="10">
        <f t="shared" si="20"/>
        <v>75.06213048240096</v>
      </c>
      <c r="P47" s="10">
        <f>P31/P30*100</f>
        <v>74.945600419194463</v>
      </c>
      <c r="Q47" s="10" t="e">
        <f>Q31/Q30*100</f>
        <v>#DIV/0!</v>
      </c>
      <c r="R47" s="10" t="e">
        <f>R31/R30*100</f>
        <v>#DIV/0!</v>
      </c>
      <c r="S47" s="10" t="e">
        <f t="shared" si="20"/>
        <v>#DIV/0!</v>
      </c>
      <c r="T47" s="10" t="e">
        <f t="shared" si="20"/>
        <v>#DIV/0!</v>
      </c>
      <c r="U47" s="10" t="e">
        <f t="shared" si="20"/>
        <v>#DIV/0!</v>
      </c>
      <c r="V47" s="10" t="e">
        <f t="shared" si="20"/>
        <v>#DIV/0!</v>
      </c>
      <c r="W47" s="10" t="e">
        <f t="shared" si="20"/>
        <v>#DIV/0!</v>
      </c>
      <c r="X47" s="10">
        <f t="shared" si="20"/>
        <v>75.244856027981555</v>
      </c>
      <c r="Y47" s="10">
        <f t="shared" si="20"/>
        <v>75.043991795484601</v>
      </c>
      <c r="Z47" s="10">
        <f t="shared" si="20"/>
        <v>75.021229027267751</v>
      </c>
      <c r="AA47" s="10">
        <f t="shared" si="20"/>
        <v>74.898189902922809</v>
      </c>
      <c r="AB47" s="10">
        <f t="shared" si="20"/>
        <v>75.16756687723381</v>
      </c>
      <c r="AC47" s="10" t="e">
        <f t="shared" si="20"/>
        <v>#DIV/0!</v>
      </c>
      <c r="AD47" s="10">
        <f t="shared" si="20"/>
        <v>73.054797191887673</v>
      </c>
      <c r="AE47" s="10">
        <f t="shared" si="20"/>
        <v>73.485820489669635</v>
      </c>
      <c r="AF47" s="10">
        <f t="shared" si="20"/>
        <v>76.004650073087348</v>
      </c>
      <c r="AG47" s="10">
        <f t="shared" si="20"/>
        <v>75.840900732693996</v>
      </c>
      <c r="AH47" s="10" t="e">
        <f t="shared" si="20"/>
        <v>#DIV/0!</v>
      </c>
      <c r="AI47" s="21" t="e">
        <f>AI31/AI30*100</f>
        <v>#DIV/0!</v>
      </c>
      <c r="AJ47" s="120"/>
      <c r="AK47" s="157">
        <f>AK31/AK30*100</f>
        <v>75.006697522961304</v>
      </c>
      <c r="BM47" s="90"/>
    </row>
    <row r="48" spans="1:15067" x14ac:dyDescent="0.3">
      <c r="B48" s="122"/>
      <c r="C48" s="153" t="s">
        <v>70</v>
      </c>
      <c r="D48" s="15">
        <v>25</v>
      </c>
      <c r="E48" s="134" t="s">
        <v>29</v>
      </c>
      <c r="F48" s="10" t="e">
        <f t="shared" ref="F48:AH48" si="21">F32/F30*100</f>
        <v>#DIV/0!</v>
      </c>
      <c r="G48" s="10" t="e">
        <f t="shared" si="21"/>
        <v>#DIV/0!</v>
      </c>
      <c r="H48" s="10" t="e">
        <f t="shared" si="21"/>
        <v>#DIV/0!</v>
      </c>
      <c r="I48" s="10" t="e">
        <f t="shared" si="21"/>
        <v>#DIV/0!</v>
      </c>
      <c r="J48" s="10" t="e">
        <f t="shared" si="21"/>
        <v>#DIV/0!</v>
      </c>
      <c r="K48" s="10">
        <f t="shared" si="21"/>
        <v>24.984364413404911</v>
      </c>
      <c r="L48" s="10">
        <f t="shared" si="21"/>
        <v>24.994416490402934</v>
      </c>
      <c r="M48" s="10">
        <f t="shared" si="21"/>
        <v>24.978862291236716</v>
      </c>
      <c r="N48" s="10">
        <f t="shared" si="21"/>
        <v>24.980396612804697</v>
      </c>
      <c r="O48" s="10">
        <f t="shared" si="21"/>
        <v>24.937869517599044</v>
      </c>
      <c r="P48" s="10">
        <f t="shared" si="21"/>
        <v>25.054399580805537</v>
      </c>
      <c r="Q48" s="10" t="e">
        <f t="shared" si="21"/>
        <v>#DIV/0!</v>
      </c>
      <c r="R48" s="10" t="e">
        <f t="shared" si="21"/>
        <v>#DIV/0!</v>
      </c>
      <c r="S48" s="10" t="e">
        <f>S32/S30*100</f>
        <v>#DIV/0!</v>
      </c>
      <c r="T48" s="10" t="e">
        <f t="shared" si="21"/>
        <v>#DIV/0!</v>
      </c>
      <c r="U48" s="10" t="e">
        <f t="shared" si="21"/>
        <v>#DIV/0!</v>
      </c>
      <c r="V48" s="10" t="e">
        <f t="shared" si="21"/>
        <v>#DIV/0!</v>
      </c>
      <c r="W48" s="10" t="e">
        <f t="shared" si="21"/>
        <v>#DIV/0!</v>
      </c>
      <c r="X48" s="10">
        <f t="shared" si="21"/>
        <v>24.755143972018441</v>
      </c>
      <c r="Y48" s="10">
        <f t="shared" si="21"/>
        <v>24.956008204515399</v>
      </c>
      <c r="Z48" s="10">
        <f t="shared" si="21"/>
        <v>24.978770972732256</v>
      </c>
      <c r="AA48" s="10">
        <f t="shared" si="21"/>
        <v>25.101810097077198</v>
      </c>
      <c r="AB48" s="10">
        <f t="shared" si="21"/>
        <v>24.83243312276619</v>
      </c>
      <c r="AC48" s="10" t="e">
        <f t="shared" si="21"/>
        <v>#DIV/0!</v>
      </c>
      <c r="AD48" s="10">
        <f t="shared" si="21"/>
        <v>26.945202808112324</v>
      </c>
      <c r="AE48" s="10">
        <f t="shared" si="21"/>
        <v>26.514179510330372</v>
      </c>
      <c r="AF48" s="10">
        <f t="shared" si="21"/>
        <v>23.995349926912642</v>
      </c>
      <c r="AG48" s="10">
        <f t="shared" si="21"/>
        <v>24.159099267306004</v>
      </c>
      <c r="AH48" s="10" t="e">
        <f t="shared" si="21"/>
        <v>#DIV/0!</v>
      </c>
      <c r="AI48" s="21" t="e">
        <f>AI32/AI30*100</f>
        <v>#DIV/0!</v>
      </c>
      <c r="AJ48" s="37"/>
      <c r="AK48" s="157">
        <f>AK32/AK30*100</f>
        <v>24.993302477038693</v>
      </c>
    </row>
    <row r="49" spans="2:102 15068:15081" x14ac:dyDescent="0.3">
      <c r="B49" s="122"/>
      <c r="C49" s="153" t="s">
        <v>69</v>
      </c>
      <c r="D49" s="15">
        <v>60</v>
      </c>
      <c r="E49" s="134" t="s">
        <v>29</v>
      </c>
      <c r="F49" s="10" t="e">
        <f t="shared" ref="F49:AH49" si="22">F37/F35*100</f>
        <v>#DIV/0!</v>
      </c>
      <c r="G49" s="10" t="e">
        <f t="shared" si="22"/>
        <v>#DIV/0!</v>
      </c>
      <c r="H49" s="10" t="e">
        <f>H37/H35*100</f>
        <v>#DIV/0!</v>
      </c>
      <c r="I49" s="10" t="e">
        <f t="shared" si="22"/>
        <v>#DIV/0!</v>
      </c>
      <c r="J49" s="10" t="e">
        <f t="shared" si="22"/>
        <v>#DIV/0!</v>
      </c>
      <c r="K49" s="10" t="e">
        <f t="shared" si="22"/>
        <v>#DIV/0!</v>
      </c>
      <c r="L49" s="10" t="e">
        <f t="shared" si="22"/>
        <v>#DIV/0!</v>
      </c>
      <c r="M49" s="10" t="e">
        <f t="shared" si="22"/>
        <v>#DIV/0!</v>
      </c>
      <c r="N49" s="10" t="e">
        <f t="shared" si="22"/>
        <v>#DIV/0!</v>
      </c>
      <c r="O49" s="10" t="e">
        <f t="shared" si="22"/>
        <v>#DIV/0!</v>
      </c>
      <c r="P49" s="10" t="e">
        <f t="shared" si="22"/>
        <v>#DIV/0!</v>
      </c>
      <c r="Q49" s="10">
        <f t="shared" si="22"/>
        <v>60.053619302949059</v>
      </c>
      <c r="R49" s="10" t="e">
        <f t="shared" si="22"/>
        <v>#DIV/0!</v>
      </c>
      <c r="S49" s="10" t="e">
        <f t="shared" si="22"/>
        <v>#DIV/0!</v>
      </c>
      <c r="T49" s="10" t="e">
        <f t="shared" si="22"/>
        <v>#DIV/0!</v>
      </c>
      <c r="U49" s="10" t="e">
        <f>(U37+U36)/U35*100</f>
        <v>#DIV/0!</v>
      </c>
      <c r="V49" s="10" t="e">
        <f>(V37+V36)/V35*100</f>
        <v>#DIV/0!</v>
      </c>
      <c r="W49" s="10" t="e">
        <f>(W37+W36)/W35*100</f>
        <v>#DIV/0!</v>
      </c>
      <c r="X49" s="10" t="e">
        <f t="shared" si="22"/>
        <v>#DIV/0!</v>
      </c>
      <c r="Y49" s="10" t="e">
        <f t="shared" si="22"/>
        <v>#DIV/0!</v>
      </c>
      <c r="Z49" s="10" t="e">
        <f t="shared" si="22"/>
        <v>#DIV/0!</v>
      </c>
      <c r="AA49" s="10">
        <f t="shared" si="22"/>
        <v>60.183881843212916</v>
      </c>
      <c r="AB49" s="10" t="e">
        <f t="shared" si="22"/>
        <v>#DIV/0!</v>
      </c>
      <c r="AC49" s="10" t="e">
        <f t="shared" si="22"/>
        <v>#DIV/0!</v>
      </c>
      <c r="AD49" s="10" t="e">
        <f t="shared" si="22"/>
        <v>#DIV/0!</v>
      </c>
      <c r="AE49" s="10">
        <f t="shared" si="22"/>
        <v>60.01835333122829</v>
      </c>
      <c r="AF49" s="10" t="e">
        <f t="shared" si="22"/>
        <v>#DIV/0!</v>
      </c>
      <c r="AG49" s="10">
        <f t="shared" si="22"/>
        <v>61.686560351862354</v>
      </c>
      <c r="AH49" s="10">
        <f t="shared" si="22"/>
        <v>60.087820660966031</v>
      </c>
      <c r="AI49" s="21" t="e">
        <f>AI37/AI35*100</f>
        <v>#DIV/0!</v>
      </c>
      <c r="AJ49" s="120"/>
      <c r="AK49" s="155">
        <f>(AK37+AK36)/AK35*100</f>
        <v>60.425011477060465</v>
      </c>
    </row>
    <row r="50" spans="2:102 15068:15081" ht="15" thickBot="1" x14ac:dyDescent="0.35">
      <c r="B50" s="158"/>
      <c r="C50" s="153" t="s">
        <v>68</v>
      </c>
      <c r="D50" s="15">
        <v>40</v>
      </c>
      <c r="E50" s="134" t="s">
        <v>29</v>
      </c>
      <c r="F50" s="10" t="e">
        <f t="shared" ref="F50:AH50" si="23">F38/F35*100</f>
        <v>#DIV/0!</v>
      </c>
      <c r="G50" s="10" t="e">
        <f t="shared" si="23"/>
        <v>#DIV/0!</v>
      </c>
      <c r="H50" s="10" t="e">
        <f t="shared" si="23"/>
        <v>#DIV/0!</v>
      </c>
      <c r="I50" s="10" t="e">
        <f t="shared" si="23"/>
        <v>#DIV/0!</v>
      </c>
      <c r="J50" s="10" t="e">
        <f t="shared" si="23"/>
        <v>#DIV/0!</v>
      </c>
      <c r="K50" s="10" t="e">
        <f t="shared" si="23"/>
        <v>#DIV/0!</v>
      </c>
      <c r="L50" s="10" t="e">
        <f t="shared" si="23"/>
        <v>#DIV/0!</v>
      </c>
      <c r="M50" s="10" t="e">
        <f t="shared" si="23"/>
        <v>#DIV/0!</v>
      </c>
      <c r="N50" s="10" t="e">
        <f t="shared" si="23"/>
        <v>#DIV/0!</v>
      </c>
      <c r="O50" s="10" t="e">
        <f t="shared" si="23"/>
        <v>#DIV/0!</v>
      </c>
      <c r="P50" s="10" t="e">
        <f t="shared" si="23"/>
        <v>#DIV/0!</v>
      </c>
      <c r="Q50" s="10">
        <f t="shared" si="23"/>
        <v>39.946380697050934</v>
      </c>
      <c r="R50" s="10" t="e">
        <f t="shared" si="23"/>
        <v>#DIV/0!</v>
      </c>
      <c r="S50" s="10" t="e">
        <f t="shared" si="23"/>
        <v>#DIV/0!</v>
      </c>
      <c r="T50" s="10" t="e">
        <f t="shared" si="23"/>
        <v>#DIV/0!</v>
      </c>
      <c r="U50" s="10" t="e">
        <f t="shared" si="23"/>
        <v>#DIV/0!</v>
      </c>
      <c r="V50" s="10" t="e">
        <f t="shared" si="23"/>
        <v>#DIV/0!</v>
      </c>
      <c r="W50" s="10" t="e">
        <f t="shared" si="23"/>
        <v>#DIV/0!</v>
      </c>
      <c r="X50" s="10" t="e">
        <f t="shared" si="23"/>
        <v>#DIV/0!</v>
      </c>
      <c r="Y50" s="10" t="e">
        <f t="shared" si="23"/>
        <v>#DIV/0!</v>
      </c>
      <c r="Z50" s="10" t="e">
        <f t="shared" si="23"/>
        <v>#DIV/0!</v>
      </c>
      <c r="AA50" s="10">
        <f t="shared" si="23"/>
        <v>39.816118156787077</v>
      </c>
      <c r="AB50" s="10" t="e">
        <f t="shared" si="23"/>
        <v>#DIV/0!</v>
      </c>
      <c r="AC50" s="10" t="e">
        <f t="shared" si="23"/>
        <v>#DIV/0!</v>
      </c>
      <c r="AD50" s="10" t="e">
        <f t="shared" si="23"/>
        <v>#DIV/0!</v>
      </c>
      <c r="AE50" s="10">
        <f t="shared" si="23"/>
        <v>39.98164666877171</v>
      </c>
      <c r="AF50" s="10" t="e">
        <f t="shared" si="23"/>
        <v>#DIV/0!</v>
      </c>
      <c r="AG50" s="10">
        <f t="shared" si="23"/>
        <v>38.313439648137646</v>
      </c>
      <c r="AH50" s="10">
        <f t="shared" si="23"/>
        <v>39.912179339033969</v>
      </c>
      <c r="AI50" s="21" t="e">
        <f>AI38/AI35*100</f>
        <v>#DIV/0!</v>
      </c>
      <c r="AJ50" s="37"/>
      <c r="AK50" s="155">
        <f>AK38/AK35*100</f>
        <v>39.574988522939528</v>
      </c>
    </row>
    <row r="51" spans="2:102 15068:15081" x14ac:dyDescent="0.3">
      <c r="B51" s="70">
        <v>2</v>
      </c>
      <c r="C51" s="159" t="s">
        <v>67</v>
      </c>
      <c r="D51" s="150"/>
      <c r="E51" s="151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53"/>
      <c r="AH51" s="53"/>
      <c r="AI51" s="61"/>
      <c r="AK51" s="160" t="s">
        <v>66</v>
      </c>
    </row>
    <row r="52" spans="2:102 15068:15081" x14ac:dyDescent="0.3">
      <c r="B52" s="70"/>
      <c r="C52" s="71" t="s">
        <v>65</v>
      </c>
      <c r="D52" s="15">
        <v>8</v>
      </c>
      <c r="E52" s="8" t="s">
        <v>63</v>
      </c>
      <c r="F52" s="1">
        <v>14974</v>
      </c>
      <c r="G52" s="1">
        <v>13448</v>
      </c>
      <c r="H52" s="1">
        <f>21194-2500-3650</f>
        <v>15044</v>
      </c>
      <c r="I52" s="1">
        <f>14849-2300</f>
        <v>12549</v>
      </c>
      <c r="J52" s="1">
        <f>16889-1900-3000</f>
        <v>11989</v>
      </c>
      <c r="K52" s="1">
        <f>19692-2600-6300</f>
        <v>10792</v>
      </c>
      <c r="L52" s="1">
        <f>12606-4000</f>
        <v>8606</v>
      </c>
      <c r="M52" s="1">
        <f>15164-7450-1500</f>
        <v>6214</v>
      </c>
      <c r="N52" s="1">
        <v>0</v>
      </c>
      <c r="O52" s="1">
        <v>0</v>
      </c>
      <c r="P52" s="1">
        <v>0</v>
      </c>
      <c r="Q52" s="1">
        <f>7194-5650+2300</f>
        <v>3844</v>
      </c>
      <c r="R52" s="1">
        <v>12018</v>
      </c>
      <c r="S52" s="1">
        <v>8346</v>
      </c>
      <c r="T52" s="1">
        <v>9162</v>
      </c>
      <c r="U52" s="1">
        <v>9438</v>
      </c>
      <c r="V52" s="1">
        <v>10115</v>
      </c>
      <c r="W52" s="1">
        <v>12813</v>
      </c>
      <c r="X52" s="1">
        <f>17018-9200</f>
        <v>7818</v>
      </c>
      <c r="Y52" s="1">
        <f>15874-13800+2500</f>
        <v>4574</v>
      </c>
      <c r="Z52" s="1">
        <v>3650</v>
      </c>
      <c r="AA52" s="1">
        <f>15949-13100</f>
        <v>2849</v>
      </c>
      <c r="AB52" s="1">
        <f>15923-9800+3000</f>
        <v>9123</v>
      </c>
      <c r="AC52" s="1">
        <v>15262</v>
      </c>
      <c r="AD52" s="1">
        <f>19509-6200-3000</f>
        <v>10309</v>
      </c>
      <c r="AE52" s="1">
        <f>17701-10200-1500</f>
        <v>6001</v>
      </c>
      <c r="AF52" s="1">
        <f>17133-11600-1000</f>
        <v>4533</v>
      </c>
      <c r="AG52" s="51">
        <f>9170-7200</f>
        <v>1970</v>
      </c>
      <c r="AH52" s="51">
        <v>170</v>
      </c>
      <c r="AI52" s="22">
        <f>16014-170-200</f>
        <v>15644</v>
      </c>
      <c r="AK52" s="161">
        <f>SUM(F52:AI52)</f>
        <v>241255</v>
      </c>
      <c r="AM52" s="90"/>
    </row>
    <row r="53" spans="2:102 15068:15081" x14ac:dyDescent="0.3">
      <c r="B53" s="122"/>
      <c r="C53" s="162"/>
      <c r="D53" s="118"/>
      <c r="E53" s="8" t="s">
        <v>29</v>
      </c>
      <c r="F53" s="10">
        <f>F52/(F12)*100</f>
        <v>0.82484471502259593</v>
      </c>
      <c r="G53" s="10">
        <f>G52/(G12)*100</f>
        <v>0.70674980751999028</v>
      </c>
      <c r="H53" s="10">
        <f t="shared" ref="H53:AI53" si="24">H52/(H12)*100</f>
        <v>0.80818716591904172</v>
      </c>
      <c r="I53" s="10">
        <f>I52/(I12)*100</f>
        <v>0.78034590422558325</v>
      </c>
      <c r="J53" s="10">
        <f>J52/(J12)*100</f>
        <v>0.78332444751092434</v>
      </c>
      <c r="K53" s="10">
        <f t="shared" si="24"/>
        <v>0.81710634404599713</v>
      </c>
      <c r="L53" s="10">
        <f t="shared" si="24"/>
        <v>0.83352579963173568</v>
      </c>
      <c r="M53" s="10">
        <f t="shared" si="24"/>
        <v>0.83848147559543418</v>
      </c>
      <c r="N53" s="10">
        <f t="shared" si="24"/>
        <v>0</v>
      </c>
      <c r="O53" s="10">
        <f>O52/(O12)*100</f>
        <v>0</v>
      </c>
      <c r="P53" s="10">
        <f t="shared" si="24"/>
        <v>0</v>
      </c>
      <c r="Q53" s="10">
        <f t="shared" si="24"/>
        <v>0.79826045254946365</v>
      </c>
      <c r="R53" s="10">
        <f t="shared" si="24"/>
        <v>0.81027071051396704</v>
      </c>
      <c r="S53" s="10">
        <f t="shared" si="24"/>
        <v>0.67756650843791943</v>
      </c>
      <c r="T53" s="10">
        <f t="shared" si="24"/>
        <v>0.64081267524953711</v>
      </c>
      <c r="U53" s="10">
        <f>U52/(U12)*100</f>
        <v>0.62392409782876002</v>
      </c>
      <c r="V53" s="10">
        <f>V52/(V12)*100</f>
        <v>0.63307855807048419</v>
      </c>
      <c r="W53" s="10">
        <f>W52/(W12)*100</f>
        <v>0.74991791462770108</v>
      </c>
      <c r="X53" s="10">
        <f t="shared" si="24"/>
        <v>0.6913473361878868</v>
      </c>
      <c r="Y53" s="10">
        <f t="shared" si="24"/>
        <v>0.79626543625570079</v>
      </c>
      <c r="Z53" s="10">
        <f>Z52/(Z12)*100</f>
        <v>0.79535127401798977</v>
      </c>
      <c r="AA53" s="10">
        <f>AA52/(AA12)*100</f>
        <v>0.37514994616886632</v>
      </c>
      <c r="AB53" s="10">
        <f>AB52/(AB12)*100</f>
        <v>0.76461948012795344</v>
      </c>
      <c r="AC53" s="10">
        <f>AC52/(AC12)*100</f>
        <v>0.8485493431276232</v>
      </c>
      <c r="AD53" s="10">
        <f t="shared" si="24"/>
        <v>0.8727885647883139</v>
      </c>
      <c r="AE53" s="10">
        <f t="shared" si="24"/>
        <v>0.79602212016221041</v>
      </c>
      <c r="AF53" s="10">
        <f t="shared" si="24"/>
        <v>0.83434759654043966</v>
      </c>
      <c r="AG53" s="10">
        <f>AG52/(AG12)*100</f>
        <v>1.299801824315274</v>
      </c>
      <c r="AH53" s="10">
        <f t="shared" si="24"/>
        <v>0.78528670925040833</v>
      </c>
      <c r="AI53" s="21">
        <f t="shared" si="24"/>
        <v>1.3372277398680039</v>
      </c>
      <c r="AK53" s="57">
        <f>AK52/(AK12)*100</f>
        <v>0.75239726760249259</v>
      </c>
      <c r="BL53" s="317">
        <f>K53*10</f>
        <v>8.1710634404599709</v>
      </c>
      <c r="BM53" s="317">
        <f>L53*10</f>
        <v>8.3352579963173561</v>
      </c>
    </row>
    <row r="54" spans="2:102 15068:15081" s="3" customFormat="1" x14ac:dyDescent="0.3">
      <c r="B54" s="70"/>
      <c r="C54" s="163" t="s">
        <v>64</v>
      </c>
      <c r="D54" s="164">
        <v>16</v>
      </c>
      <c r="E54" s="165" t="s">
        <v>63</v>
      </c>
      <c r="F54" s="166"/>
      <c r="G54" s="166"/>
      <c r="H54" s="166"/>
      <c r="I54" s="166"/>
      <c r="J54" s="166"/>
      <c r="K54" s="166">
        <v>2600</v>
      </c>
      <c r="L54" s="166">
        <v>10300</v>
      </c>
      <c r="M54" s="166">
        <v>7450</v>
      </c>
      <c r="N54" s="166">
        <f>13234+1500</f>
        <v>14734</v>
      </c>
      <c r="O54" s="166">
        <f>12176+1900</f>
        <v>14076</v>
      </c>
      <c r="P54" s="166">
        <v>8184</v>
      </c>
      <c r="Q54" s="166">
        <v>5650</v>
      </c>
      <c r="R54" s="166"/>
      <c r="S54" s="166"/>
      <c r="T54" s="166"/>
      <c r="U54" s="166"/>
      <c r="V54" s="167"/>
      <c r="W54" s="167"/>
      <c r="X54" s="167">
        <v>9200</v>
      </c>
      <c r="Y54" s="167">
        <v>13800</v>
      </c>
      <c r="Z54" s="167">
        <f>15410+3000</f>
        <v>18410</v>
      </c>
      <c r="AA54" s="166">
        <v>13100</v>
      </c>
      <c r="AB54" s="166">
        <v>9800</v>
      </c>
      <c r="AC54" s="166"/>
      <c r="AD54" s="166">
        <v>6200</v>
      </c>
      <c r="AE54" s="166">
        <v>10200</v>
      </c>
      <c r="AF54" s="166">
        <v>11900</v>
      </c>
      <c r="AG54" s="168">
        <v>7200</v>
      </c>
      <c r="AH54" s="168">
        <f>2249+2500</f>
        <v>4749</v>
      </c>
      <c r="AI54" s="169"/>
      <c r="AK54" s="170">
        <f>SUM(F54:AI54)</f>
        <v>167553</v>
      </c>
      <c r="CX54" s="17"/>
      <c r="VGN54" s="300"/>
      <c r="VGO54" s="300"/>
      <c r="VGP54" s="300"/>
      <c r="VGQ54" s="300"/>
      <c r="VGR54" s="300"/>
      <c r="VGS54" s="300"/>
      <c r="VGT54" s="300"/>
      <c r="VGU54" s="300"/>
      <c r="VGV54" s="300"/>
      <c r="VGW54" s="300"/>
      <c r="VGX54" s="300"/>
      <c r="VGY54" s="300"/>
      <c r="VGZ54" s="300"/>
      <c r="VHA54" s="300"/>
    </row>
    <row r="55" spans="2:102 15068:15081" s="3" customFormat="1" x14ac:dyDescent="0.3">
      <c r="B55" s="122"/>
      <c r="C55" s="171"/>
      <c r="D55" s="172"/>
      <c r="E55" s="173" t="s">
        <v>29</v>
      </c>
      <c r="F55" s="174" t="e">
        <f t="shared" ref="F55:AI55" si="25">F54/(F13)*100</f>
        <v>#DIV/0!</v>
      </c>
      <c r="G55" s="174" t="e">
        <f t="shared" si="25"/>
        <v>#DIV/0!</v>
      </c>
      <c r="H55" s="174" t="e">
        <f>H54/(H13)*100</f>
        <v>#DIV/0!</v>
      </c>
      <c r="I55" s="174" t="e">
        <f t="shared" si="25"/>
        <v>#DIV/0!</v>
      </c>
      <c r="J55" s="174" t="e">
        <f t="shared" si="25"/>
        <v>#DIV/0!</v>
      </c>
      <c r="K55" s="174">
        <f t="shared" si="25"/>
        <v>1.5914046255854759</v>
      </c>
      <c r="L55" s="174">
        <f t="shared" si="25"/>
        <v>1.6003916478941287</v>
      </c>
      <c r="M55" s="174">
        <f t="shared" si="25"/>
        <v>1.597247653604505</v>
      </c>
      <c r="N55" s="174">
        <f t="shared" si="25"/>
        <v>1.5726904799276926</v>
      </c>
      <c r="O55" s="174">
        <f>O54/(O13)*100</f>
        <v>1.6029920097412096</v>
      </c>
      <c r="P55" s="174">
        <f t="shared" si="25"/>
        <v>1.2193530972334501</v>
      </c>
      <c r="Q55" s="174">
        <f t="shared" si="25"/>
        <v>1.5935652344482572</v>
      </c>
      <c r="R55" s="174" t="e">
        <f t="shared" si="25"/>
        <v>#DIV/0!</v>
      </c>
      <c r="S55" s="174" t="e">
        <f t="shared" si="25"/>
        <v>#DIV/0!</v>
      </c>
      <c r="T55" s="174" t="e">
        <f t="shared" si="25"/>
        <v>#DIV/0!</v>
      </c>
      <c r="U55" s="174" t="e">
        <f t="shared" si="25"/>
        <v>#DIV/0!</v>
      </c>
      <c r="V55" s="174" t="e">
        <f>V54/(V13)*100</f>
        <v>#DIV/0!</v>
      </c>
      <c r="W55" s="174" t="e">
        <f>W54/(W13)*100</f>
        <v>#DIV/0!</v>
      </c>
      <c r="X55" s="174">
        <f t="shared" si="25"/>
        <v>1.5889528811824161</v>
      </c>
      <c r="Y55" s="174">
        <f t="shared" si="25"/>
        <v>1.5972158705460693</v>
      </c>
      <c r="Z55" s="174">
        <f>Z54/(Z13)*100</f>
        <v>1.5800319969196004</v>
      </c>
      <c r="AA55" s="174">
        <f t="shared" si="25"/>
        <v>1.5955561602304233</v>
      </c>
      <c r="AB55" s="174">
        <f>AB54/(AB13)*100</f>
        <v>1.5675824023835609</v>
      </c>
      <c r="AC55" s="174" t="e">
        <f t="shared" si="25"/>
        <v>#DIV/0!</v>
      </c>
      <c r="AD55" s="174">
        <f t="shared" si="25"/>
        <v>1.6027945711017602</v>
      </c>
      <c r="AE55" s="174">
        <f>AE54/(AE13)*100</f>
        <v>1.6268293451085851</v>
      </c>
      <c r="AF55" s="174">
        <f t="shared" si="25"/>
        <v>1.6175790820880542</v>
      </c>
      <c r="AG55" s="174">
        <f t="shared" si="25"/>
        <v>1.5982581330929022</v>
      </c>
      <c r="AH55" s="174">
        <f t="shared" si="25"/>
        <v>1.5906251617077638</v>
      </c>
      <c r="AI55" s="175" t="e">
        <f t="shared" si="25"/>
        <v>#DIV/0!</v>
      </c>
      <c r="AK55" s="57">
        <f>AK54/(AK13)*100</f>
        <v>1.5707614130334355</v>
      </c>
      <c r="CX55" s="17"/>
      <c r="VGN55" s="300"/>
      <c r="VGO55" s="300"/>
      <c r="VGP55" s="300"/>
      <c r="VGQ55" s="300"/>
      <c r="VGR55" s="300"/>
      <c r="VGS55" s="300"/>
      <c r="VGT55" s="300"/>
      <c r="VGU55" s="300"/>
      <c r="VGV55" s="300"/>
      <c r="VGW55" s="300"/>
      <c r="VGX55" s="300"/>
      <c r="VGY55" s="300"/>
      <c r="VGZ55" s="300"/>
      <c r="VHA55" s="300"/>
    </row>
    <row r="56" spans="2:102 15068:15081" x14ac:dyDescent="0.3">
      <c r="B56" s="122"/>
      <c r="C56" s="71" t="s">
        <v>62</v>
      </c>
      <c r="D56" s="15">
        <v>0.55000000000000004</v>
      </c>
      <c r="E56" s="8" t="s">
        <v>16</v>
      </c>
      <c r="F56" s="1">
        <v>903.65</v>
      </c>
      <c r="G56" s="1">
        <v>968.94600000000003</v>
      </c>
      <c r="H56" s="1">
        <v>974.77599999999995</v>
      </c>
      <c r="I56" s="1">
        <v>831.35799999999995</v>
      </c>
      <c r="J56" s="1">
        <v>746.24</v>
      </c>
      <c r="K56" s="1">
        <v>759.06600000000003</v>
      </c>
      <c r="L56" s="1">
        <v>853.51199999999994</v>
      </c>
      <c r="M56" s="1">
        <v>712.42600000000004</v>
      </c>
      <c r="N56" s="1">
        <v>674</v>
      </c>
      <c r="O56" s="1">
        <v>567.84</v>
      </c>
      <c r="P56" s="1">
        <v>518.87</v>
      </c>
      <c r="Q56" s="176">
        <v>409.27</v>
      </c>
      <c r="R56" s="1">
        <v>815.03</v>
      </c>
      <c r="S56" s="1">
        <v>614.48</v>
      </c>
      <c r="T56" s="1">
        <v>717.09</v>
      </c>
      <c r="U56" s="1">
        <v>831.36</v>
      </c>
      <c r="V56" s="1">
        <v>841.85</v>
      </c>
      <c r="W56" s="1">
        <v>873.33</v>
      </c>
      <c r="X56" s="1">
        <v>921.97</v>
      </c>
      <c r="Y56" s="1">
        <v>765.86</v>
      </c>
      <c r="Z56" s="1">
        <v>894.32</v>
      </c>
      <c r="AA56" s="1">
        <v>833.69</v>
      </c>
      <c r="AB56" s="1">
        <v>950.29</v>
      </c>
      <c r="AC56" s="1">
        <v>977.11</v>
      </c>
      <c r="AD56" s="1">
        <v>804.54</v>
      </c>
      <c r="AE56" s="1">
        <v>687.77</v>
      </c>
      <c r="AF56" s="1">
        <v>650.63</v>
      </c>
      <c r="AG56" s="51">
        <v>285.67</v>
      </c>
      <c r="AH56" s="51">
        <v>146.91999999999999</v>
      </c>
      <c r="AI56" s="22">
        <v>605.15</v>
      </c>
      <c r="AK56" s="170">
        <f>SUM(F56:AI56)</f>
        <v>22137.014000000003</v>
      </c>
    </row>
    <row r="57" spans="2:102 15068:15081" ht="15" thickBot="1" x14ac:dyDescent="0.35">
      <c r="B57" s="158"/>
      <c r="C57" s="177"/>
      <c r="D57" s="118"/>
      <c r="E57" s="178" t="s">
        <v>29</v>
      </c>
      <c r="F57" s="179">
        <f>F56/(F11)*100</f>
        <v>4.9777676421141226E-2</v>
      </c>
      <c r="G57" s="179">
        <f t="shared" ref="G57:AI57" si="26">G56/(G11)*100</f>
        <v>5.0922248586947098E-2</v>
      </c>
      <c r="H57" s="179">
        <f t="shared" si="26"/>
        <v>5.2366488490155523E-2</v>
      </c>
      <c r="I57" s="179">
        <f t="shared" si="26"/>
        <v>5.1697092218118773E-2</v>
      </c>
      <c r="J57" s="179">
        <f t="shared" si="26"/>
        <v>4.8757030253611826E-2</v>
      </c>
      <c r="K57" s="179">
        <f t="shared" si="26"/>
        <v>5.1145312828473941E-2</v>
      </c>
      <c r="L57" s="179">
        <f t="shared" si="26"/>
        <v>5.0923288589883257E-2</v>
      </c>
      <c r="M57" s="179">
        <f t="shared" si="26"/>
        <v>5.8998665870550519E-2</v>
      </c>
      <c r="N57" s="179">
        <f t="shared" si="26"/>
        <v>4.8019549798909225E-2</v>
      </c>
      <c r="O57" s="179">
        <f t="shared" si="26"/>
        <v>5.0321733327779838E-2</v>
      </c>
      <c r="P57" s="179">
        <f>P56/(P11)*100</f>
        <v>5.0656057795567699E-2</v>
      </c>
      <c r="Q57" s="179">
        <f>Q56/(Q11)*100</f>
        <v>4.8950003468492924E-2</v>
      </c>
      <c r="R57" s="179">
        <f>R56/(R11)*100</f>
        <v>5.4950485703960598E-2</v>
      </c>
      <c r="S57" s="179">
        <f t="shared" si="26"/>
        <v>4.9886300995079409E-2</v>
      </c>
      <c r="T57" s="179">
        <f t="shared" si="26"/>
        <v>5.0155027427929558E-2</v>
      </c>
      <c r="U57" s="179">
        <f t="shared" si="26"/>
        <v>5.4959264459728541E-2</v>
      </c>
      <c r="V57" s="179">
        <f t="shared" si="26"/>
        <v>5.2689785873617119E-2</v>
      </c>
      <c r="W57" s="179">
        <f t="shared" si="26"/>
        <v>5.1114166267213788E-2</v>
      </c>
      <c r="X57" s="179">
        <f t="shared" si="26"/>
        <v>5.3921640300543972E-2</v>
      </c>
      <c r="Y57" s="179">
        <f t="shared" si="26"/>
        <v>5.3242586561088961E-2</v>
      </c>
      <c r="Z57" s="179">
        <f t="shared" si="26"/>
        <v>5.506615117577119E-2</v>
      </c>
      <c r="AA57" s="179">
        <f t="shared" si="26"/>
        <v>5.2749832327297116E-2</v>
      </c>
      <c r="AB57" s="179">
        <f t="shared" si="26"/>
        <v>5.2262294252517036E-2</v>
      </c>
      <c r="AC57" s="179">
        <f t="shared" si="26"/>
        <v>5.4326172760020441E-2</v>
      </c>
      <c r="AD57" s="179">
        <f t="shared" si="26"/>
        <v>5.1310570727578969E-2</v>
      </c>
      <c r="AE57" s="179">
        <f t="shared" si="26"/>
        <v>4.9807366423822837E-2</v>
      </c>
      <c r="AF57" s="179">
        <f t="shared" si="26"/>
        <v>5.0871562626461031E-2</v>
      </c>
      <c r="AG57" s="179">
        <f t="shared" si="26"/>
        <v>4.7449389753708986E-2</v>
      </c>
      <c r="AH57" s="179">
        <f t="shared" si="26"/>
        <v>4.5882389681771329E-2</v>
      </c>
      <c r="AI57" s="180">
        <f t="shared" si="26"/>
        <v>5.1727394961718388E-2</v>
      </c>
      <c r="AK57" s="181">
        <f>AK56/(AK11)*100</f>
        <v>5.1804501233030459E-2</v>
      </c>
    </row>
    <row r="58" spans="2:102 15068:15081" s="288" customFormat="1" ht="13.8" x14ac:dyDescent="0.25">
      <c r="B58" s="182">
        <v>3</v>
      </c>
      <c r="C58" s="289" t="s">
        <v>61</v>
      </c>
      <c r="D58" s="290">
        <v>0.8</v>
      </c>
      <c r="E58" s="291" t="s">
        <v>29</v>
      </c>
      <c r="F58" s="292">
        <f>((SUM(F18:F19))-(SUM(F11)))/(SUM(F11))*100</f>
        <v>-0.73566189188772324</v>
      </c>
      <c r="G58" s="292">
        <f t="shared" ref="G58:AH58" si="27">((SUM(G18:G19))-(SUM(G11)))/(SUM(G11))*100</f>
        <v>-0.6935061317693183</v>
      </c>
      <c r="H58" s="292">
        <f t="shared" si="27"/>
        <v>-0.72857181229686541</v>
      </c>
      <c r="I58" s="292">
        <f t="shared" si="27"/>
        <v>-0.70224291150047913</v>
      </c>
      <c r="J58" s="292">
        <f t="shared" si="27"/>
        <v>-0.73458309812038713</v>
      </c>
      <c r="K58" s="292">
        <f t="shared" si="27"/>
        <v>-0.77135788094891578</v>
      </c>
      <c r="L58" s="292">
        <f t="shared" si="27"/>
        <v>-0.74077874843234848</v>
      </c>
      <c r="M58" s="292">
        <f t="shared" si="27"/>
        <v>-0.70722939159225162</v>
      </c>
      <c r="N58" s="292">
        <f t="shared" si="27"/>
        <v>-0.75413491783598552</v>
      </c>
      <c r="O58" s="292">
        <f t="shared" si="27"/>
        <v>-0.7413026544218061</v>
      </c>
      <c r="P58" s="292">
        <f t="shared" si="27"/>
        <v>-0.72195645806892517</v>
      </c>
      <c r="Q58" s="292">
        <f t="shared" si="27"/>
        <v>-0.73819097761267216</v>
      </c>
      <c r="R58" s="292">
        <f t="shared" si="27"/>
        <v>-0.70205932006839233</v>
      </c>
      <c r="S58" s="292">
        <f t="shared" si="27"/>
        <v>-0.74663114754503712</v>
      </c>
      <c r="T58" s="292">
        <f t="shared" si="27"/>
        <v>-0.70187230810724111</v>
      </c>
      <c r="U58" s="292">
        <f t="shared" si="27"/>
        <v>-0.7357690873634124</v>
      </c>
      <c r="V58" s="292">
        <f t="shared" si="27"/>
        <v>-0.78391586157516713</v>
      </c>
      <c r="W58" s="292">
        <f t="shared" si="27"/>
        <v>-0.71807873991783855</v>
      </c>
      <c r="X58" s="292">
        <f t="shared" si="27"/>
        <v>-0.69458705217670724</v>
      </c>
      <c r="Y58" s="292">
        <f t="shared" si="27"/>
        <v>-0.73232367121211595</v>
      </c>
      <c r="Z58" s="292">
        <f t="shared" si="27"/>
        <v>-0.71170970157173097</v>
      </c>
      <c r="AA58" s="292">
        <f t="shared" si="27"/>
        <v>-0.71917232322985647</v>
      </c>
      <c r="AB58" s="292">
        <f t="shared" si="27"/>
        <v>-0.64251101054982629</v>
      </c>
      <c r="AC58" s="292">
        <f>((SUM(AC18:AC19))-(SUM(AC11)))/(SUM(AC11))*100</f>
        <v>-0.78333191556316883</v>
      </c>
      <c r="AD58" s="292">
        <f>((SUM(AD18:AD19))-(SUM(AD11)))/(SUM(AD11))*100</f>
        <v>-0.76250923958900008</v>
      </c>
      <c r="AE58" s="292">
        <f t="shared" si="27"/>
        <v>-0.76843416421650279</v>
      </c>
      <c r="AF58" s="292">
        <f t="shared" si="27"/>
        <v>-0.70419574832585974</v>
      </c>
      <c r="AG58" s="292">
        <f t="shared" si="27"/>
        <v>-0.74443333959927216</v>
      </c>
      <c r="AH58" s="292">
        <f t="shared" si="27"/>
        <v>-0.70092023561306405</v>
      </c>
      <c r="AI58" s="293">
        <f>((SUM(AI18:AI19))-(SUM(AI11)))/(SUM(AI11))*100</f>
        <v>-0.75693498725716513</v>
      </c>
      <c r="AK58" s="294">
        <f>((SUM(AK18:AK19))-(SUM(AK11)))/(SUM(AK11))*100</f>
        <v>-0.72873220299914809</v>
      </c>
      <c r="CX58" s="295"/>
    </row>
    <row r="59" spans="2:102 15068:15081" s="120" customFormat="1" ht="13.8" x14ac:dyDescent="0.25">
      <c r="B59" s="132"/>
      <c r="C59" s="153" t="s">
        <v>60</v>
      </c>
      <c r="D59" s="183">
        <v>22</v>
      </c>
      <c r="E59" s="134" t="s">
        <v>29</v>
      </c>
      <c r="F59" s="10">
        <v>22.09</v>
      </c>
      <c r="G59" s="10">
        <v>22.09</v>
      </c>
      <c r="H59" s="10">
        <v>22.06</v>
      </c>
      <c r="I59" s="10">
        <v>22.01</v>
      </c>
      <c r="J59" s="10">
        <v>22.15</v>
      </c>
      <c r="K59" s="10">
        <v>22.21</v>
      </c>
      <c r="L59" s="10">
        <v>22.16</v>
      </c>
      <c r="M59" s="10">
        <v>22.13</v>
      </c>
      <c r="N59" s="10">
        <v>22.13</v>
      </c>
      <c r="O59" s="10">
        <v>22.14</v>
      </c>
      <c r="P59" s="10">
        <v>22.2</v>
      </c>
      <c r="Q59" s="184">
        <v>22.13</v>
      </c>
      <c r="R59" s="10">
        <v>22.4</v>
      </c>
      <c r="S59" s="10">
        <v>22.15</v>
      </c>
      <c r="T59" s="10">
        <v>22.03</v>
      </c>
      <c r="U59" s="10">
        <v>22.17</v>
      </c>
      <c r="V59" s="10">
        <v>22.16</v>
      </c>
      <c r="W59" s="10">
        <v>22.19</v>
      </c>
      <c r="X59" s="10">
        <v>22.17</v>
      </c>
      <c r="Y59" s="10">
        <v>22.15</v>
      </c>
      <c r="Z59" s="10">
        <v>22.16</v>
      </c>
      <c r="AA59" s="10">
        <v>22.16</v>
      </c>
      <c r="AB59" s="10">
        <v>22.11</v>
      </c>
      <c r="AC59" s="10">
        <v>22.2</v>
      </c>
      <c r="AD59" s="10">
        <v>22.13</v>
      </c>
      <c r="AE59" s="10">
        <v>22.11</v>
      </c>
      <c r="AF59" s="10">
        <v>22.15</v>
      </c>
      <c r="AG59" s="50">
        <v>22.13</v>
      </c>
      <c r="AH59" s="50">
        <v>22.07</v>
      </c>
      <c r="AI59" s="21">
        <v>22.06</v>
      </c>
      <c r="AK59" s="185">
        <f>AVERAGE(F59:AI59)</f>
        <v>22.14</v>
      </c>
      <c r="CX59" s="307"/>
    </row>
    <row r="60" spans="2:102 15068:15081" s="120" customFormat="1" thickBot="1" x14ac:dyDescent="0.3">
      <c r="B60" s="186"/>
      <c r="C60" s="187" t="s">
        <v>59</v>
      </c>
      <c r="D60" s="118"/>
      <c r="E60" s="188" t="s">
        <v>16</v>
      </c>
      <c r="F60" s="10">
        <f>SUM(F52,F54)+(F59%*SUM(F52,F54))</f>
        <v>18281.756600000001</v>
      </c>
      <c r="G60" s="10">
        <f t="shared" ref="G60:AH60" si="28">SUM(G52,G54)+(G59%*SUM(G52,G54))</f>
        <v>16418.663199999999</v>
      </c>
      <c r="H60" s="10">
        <f>SUM(H52,H54)+(H59%*SUM(H52,H54))</f>
        <v>18362.706399999999</v>
      </c>
      <c r="I60" s="10">
        <f t="shared" si="28"/>
        <v>15311.034900000001</v>
      </c>
      <c r="J60" s="10">
        <f t="shared" si="28"/>
        <v>14644.5635</v>
      </c>
      <c r="K60" s="10">
        <f>SUM(K52,K54)+(K59%*SUM(K52,K54))</f>
        <v>16366.3632</v>
      </c>
      <c r="L60" s="10">
        <f>SUM(L52,L54)+(L59%*SUM(L52,L54))</f>
        <v>23095.569599999999</v>
      </c>
      <c r="M60" s="10">
        <f t="shared" si="28"/>
        <v>16687.843199999999</v>
      </c>
      <c r="N60" s="10">
        <f t="shared" si="28"/>
        <v>17994.6342</v>
      </c>
      <c r="O60" s="10">
        <f>SUM(O52,O54)+(O59%*SUM(O52,O54))</f>
        <v>17192.4264</v>
      </c>
      <c r="P60" s="10">
        <f t="shared" si="28"/>
        <v>10000.848</v>
      </c>
      <c r="Q60" s="10">
        <f>SUM(Q52,Q54)+(R59%*SUM(Q52,Q54))</f>
        <v>11620.655999999999</v>
      </c>
      <c r="R60" s="10">
        <f>SUM(R52,R54)+(S59%*SUM(R52,R54))</f>
        <v>14679.986999999999</v>
      </c>
      <c r="S60" s="10">
        <f t="shared" si="28"/>
        <v>10194.638999999999</v>
      </c>
      <c r="T60" s="10">
        <f t="shared" si="28"/>
        <v>11180.3886</v>
      </c>
      <c r="U60" s="10">
        <f t="shared" si="28"/>
        <v>11530.4046</v>
      </c>
      <c r="V60" s="10">
        <f t="shared" si="28"/>
        <v>12356.484</v>
      </c>
      <c r="W60" s="10">
        <f t="shared" si="28"/>
        <v>15656.2047</v>
      </c>
      <c r="X60" s="10">
        <f t="shared" si="28"/>
        <v>20790.890599999999</v>
      </c>
      <c r="Y60" s="10">
        <f t="shared" si="28"/>
        <v>22443.841</v>
      </c>
      <c r="Z60" s="10">
        <f t="shared" si="28"/>
        <v>26948.495999999999</v>
      </c>
      <c r="AA60" s="10">
        <f t="shared" si="28"/>
        <v>19483.2984</v>
      </c>
      <c r="AB60" s="10">
        <f t="shared" si="28"/>
        <v>23106.8753</v>
      </c>
      <c r="AC60" s="10">
        <f t="shared" si="28"/>
        <v>18650.164000000001</v>
      </c>
      <c r="AD60" s="10">
        <f t="shared" si="28"/>
        <v>20162.441699999999</v>
      </c>
      <c r="AE60" s="10">
        <f t="shared" si="28"/>
        <v>19783.041099999999</v>
      </c>
      <c r="AF60" s="10">
        <f t="shared" si="28"/>
        <v>20072.909500000002</v>
      </c>
      <c r="AG60" s="10">
        <f t="shared" si="28"/>
        <v>11199.321</v>
      </c>
      <c r="AH60" s="10">
        <f t="shared" si="28"/>
        <v>6004.6233000000002</v>
      </c>
      <c r="AI60" s="21">
        <f>SUM(AI52,AI54)+(AI59%*SUM(AI52,AI54))</f>
        <v>19095.0664</v>
      </c>
      <c r="AK60" s="185">
        <f>SUM(AK52,AK54)+(AK59%*SUM(AK52,AK54))</f>
        <v>499318.09120000002</v>
      </c>
      <c r="CX60" s="307"/>
    </row>
    <row r="61" spans="2:102 15068:15081" x14ac:dyDescent="0.3">
      <c r="B61" s="70">
        <v>4</v>
      </c>
      <c r="C61" s="72" t="s">
        <v>58</v>
      </c>
      <c r="D61" s="88"/>
      <c r="E61" s="19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89"/>
      <c r="AD61" s="6"/>
      <c r="AE61" s="6"/>
      <c r="AF61" s="6"/>
      <c r="AG61" s="53"/>
      <c r="AH61" s="53"/>
      <c r="AI61" s="61"/>
      <c r="AJ61" s="90"/>
      <c r="AK61" s="152" t="s">
        <v>45</v>
      </c>
    </row>
    <row r="62" spans="2:102 15068:15081" s="199" customFormat="1" ht="13.8" x14ac:dyDescent="0.25">
      <c r="B62" s="70"/>
      <c r="C62" s="76" t="s">
        <v>57</v>
      </c>
      <c r="D62" s="189"/>
      <c r="E62" s="103" t="s">
        <v>16</v>
      </c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0"/>
      <c r="Q62" s="190">
        <v>201600</v>
      </c>
      <c r="R62" s="190"/>
      <c r="S62" s="190"/>
      <c r="T62" s="190"/>
      <c r="U62" s="190"/>
      <c r="V62" s="190"/>
      <c r="W62" s="190"/>
      <c r="X62" s="190"/>
      <c r="Y62" s="190"/>
      <c r="Z62" s="190"/>
      <c r="AA62" s="190">
        <v>173300</v>
      </c>
      <c r="AB62" s="190"/>
      <c r="AC62" s="190"/>
      <c r="AD62" s="190"/>
      <c r="AE62" s="190">
        <v>205558</v>
      </c>
      <c r="AF62" s="190">
        <v>19026</v>
      </c>
      <c r="AG62" s="191">
        <v>150159</v>
      </c>
      <c r="AH62" s="191">
        <v>223323</v>
      </c>
      <c r="AI62" s="192">
        <v>0</v>
      </c>
      <c r="AJ62" s="193"/>
      <c r="AK62" s="194">
        <f>SUM(F62:AI62)</f>
        <v>972966</v>
      </c>
      <c r="BD62" s="193"/>
      <c r="CX62" s="314"/>
    </row>
    <row r="63" spans="2:102 15068:15081" s="3" customFormat="1" ht="13.8" x14ac:dyDescent="0.25">
      <c r="B63" s="122"/>
      <c r="C63" s="73" t="s">
        <v>52</v>
      </c>
      <c r="D63" s="195"/>
      <c r="E63" s="8" t="s">
        <v>16</v>
      </c>
      <c r="F63" s="196"/>
      <c r="G63" s="197"/>
      <c r="H63" s="4"/>
      <c r="I63" s="4">
        <v>42445.41</v>
      </c>
      <c r="J63" s="4">
        <v>42271.65</v>
      </c>
      <c r="K63" s="4"/>
      <c r="L63" s="4"/>
      <c r="M63" s="4"/>
      <c r="N63" s="198">
        <v>35060.61</v>
      </c>
      <c r="O63" s="198">
        <v>16010.36</v>
      </c>
      <c r="P63" s="4"/>
      <c r="Q63" s="4"/>
      <c r="R63" s="4"/>
      <c r="S63" s="4"/>
      <c r="T63" s="4">
        <f>40632.69+792.78</f>
        <v>41425.47</v>
      </c>
      <c r="U63" s="197">
        <v>2640.79</v>
      </c>
      <c r="V63" s="4">
        <v>3390.13</v>
      </c>
      <c r="W63" s="4">
        <v>2305.04</v>
      </c>
      <c r="X63" s="4">
        <v>2760.25</v>
      </c>
      <c r="Y63" s="4">
        <v>1695.97</v>
      </c>
      <c r="Z63" s="4">
        <v>8018.3</v>
      </c>
      <c r="AA63" s="4">
        <v>74086.02</v>
      </c>
      <c r="AB63" s="197">
        <f>42010.1+3965.71</f>
        <v>45975.81</v>
      </c>
      <c r="AC63" s="4">
        <v>10571.31</v>
      </c>
      <c r="AD63" s="4">
        <v>6506.95</v>
      </c>
      <c r="AE63" s="4">
        <f>21.72+21.72</f>
        <v>43.44</v>
      </c>
      <c r="AF63" s="4"/>
      <c r="AG63" s="113"/>
      <c r="AH63" s="113"/>
      <c r="AI63" s="114">
        <v>9840.9699999999993</v>
      </c>
      <c r="AJ63" s="199"/>
      <c r="AK63" s="194">
        <f>SUM(F63:AI63)</f>
        <v>345048.48</v>
      </c>
      <c r="CX63" s="306"/>
    </row>
    <row r="64" spans="2:102 15068:15081" s="3" customFormat="1" x14ac:dyDescent="0.3">
      <c r="B64" s="122"/>
      <c r="C64" s="74" t="s">
        <v>44</v>
      </c>
      <c r="D64" s="118"/>
      <c r="E64" s="8" t="s">
        <v>16</v>
      </c>
      <c r="F64" s="10">
        <f>SUM(F68:F69)*10.86</f>
        <v>0</v>
      </c>
      <c r="G64" s="10">
        <f t="shared" ref="G64:AH64" si="29">SUM(G68:G69)*10.86</f>
        <v>0</v>
      </c>
      <c r="H64" s="10">
        <f t="shared" si="29"/>
        <v>0</v>
      </c>
      <c r="I64" s="10">
        <f t="shared" si="29"/>
        <v>42440.88</v>
      </c>
      <c r="J64" s="10">
        <f t="shared" si="29"/>
        <v>0</v>
      </c>
      <c r="K64" s="10">
        <f t="shared" si="29"/>
        <v>42277.979999999996</v>
      </c>
      <c r="L64" s="10">
        <f t="shared" si="29"/>
        <v>0</v>
      </c>
      <c r="M64" s="10">
        <f t="shared" si="29"/>
        <v>0</v>
      </c>
      <c r="N64" s="10">
        <f t="shared" si="29"/>
        <v>35132.1</v>
      </c>
      <c r="O64" s="10">
        <f t="shared" si="29"/>
        <v>16018.5</v>
      </c>
      <c r="P64" s="10">
        <f t="shared" si="29"/>
        <v>0</v>
      </c>
      <c r="Q64" s="10">
        <f t="shared" si="29"/>
        <v>0</v>
      </c>
      <c r="R64" s="10">
        <f t="shared" si="29"/>
        <v>0</v>
      </c>
      <c r="S64" s="10">
        <f t="shared" si="29"/>
        <v>0</v>
      </c>
      <c r="T64" s="10">
        <f t="shared" si="29"/>
        <v>41485.199999999997</v>
      </c>
      <c r="U64" s="10">
        <f t="shared" si="29"/>
        <v>2725.8599999999997</v>
      </c>
      <c r="V64" s="10">
        <f t="shared" si="29"/>
        <v>3442.62</v>
      </c>
      <c r="W64" s="10">
        <f t="shared" si="29"/>
        <v>2302.3199999999997</v>
      </c>
      <c r="X64" s="10">
        <f t="shared" si="29"/>
        <v>2758.44</v>
      </c>
      <c r="Y64" s="10">
        <f t="shared" si="29"/>
        <v>1694.1599999999999</v>
      </c>
      <c r="Z64" s="10">
        <f t="shared" si="29"/>
        <v>8014.6799999999994</v>
      </c>
      <c r="AA64" s="10">
        <f t="shared" si="29"/>
        <v>74076.06</v>
      </c>
      <c r="AB64" s="10">
        <f t="shared" si="29"/>
        <v>46024.68</v>
      </c>
      <c r="AC64" s="10">
        <f t="shared" si="29"/>
        <v>10566.779999999999</v>
      </c>
      <c r="AD64" s="10">
        <f t="shared" si="29"/>
        <v>6505.1399999999994</v>
      </c>
      <c r="AE64" s="10">
        <f t="shared" si="29"/>
        <v>0</v>
      </c>
      <c r="AF64" s="200">
        <f t="shared" si="29"/>
        <v>0</v>
      </c>
      <c r="AG64" s="200">
        <f t="shared" si="29"/>
        <v>0</v>
      </c>
      <c r="AH64" s="200">
        <f t="shared" si="29"/>
        <v>0</v>
      </c>
      <c r="AI64" s="201">
        <f>SUM(AI68:AI69)*10.86</f>
        <v>9839.16</v>
      </c>
      <c r="AK64" s="115">
        <f>SUM(F64:AI64)</f>
        <v>345304.55999999988</v>
      </c>
      <c r="CX64" s="306"/>
    </row>
    <row r="65" spans="2:102 15068:15460" s="3" customFormat="1" x14ac:dyDescent="0.3">
      <c r="B65" s="122"/>
      <c r="C65" s="74" t="s">
        <v>43</v>
      </c>
      <c r="D65" s="118"/>
      <c r="E65" s="8" t="s">
        <v>16</v>
      </c>
      <c r="F65" s="10">
        <f>F63-F64</f>
        <v>0</v>
      </c>
      <c r="G65" s="10">
        <f t="shared" ref="G65:AH65" si="30">G63-G64</f>
        <v>0</v>
      </c>
      <c r="H65" s="10">
        <f t="shared" si="30"/>
        <v>0</v>
      </c>
      <c r="I65" s="10">
        <f t="shared" si="30"/>
        <v>4.5300000000061118</v>
      </c>
      <c r="J65" s="10">
        <f t="shared" si="30"/>
        <v>42271.65</v>
      </c>
      <c r="K65" s="10">
        <f t="shared" si="30"/>
        <v>-42277.979999999996</v>
      </c>
      <c r="L65" s="10">
        <f t="shared" si="30"/>
        <v>0</v>
      </c>
      <c r="M65" s="10">
        <f t="shared" si="30"/>
        <v>0</v>
      </c>
      <c r="N65" s="10">
        <f t="shared" si="30"/>
        <v>-71.489999999997963</v>
      </c>
      <c r="O65" s="10">
        <f t="shared" si="30"/>
        <v>-8.1399999999994179</v>
      </c>
      <c r="P65" s="10">
        <f t="shared" si="30"/>
        <v>0</v>
      </c>
      <c r="Q65" s="10">
        <f t="shared" si="30"/>
        <v>0</v>
      </c>
      <c r="R65" s="10">
        <f t="shared" si="30"/>
        <v>0</v>
      </c>
      <c r="S65" s="10">
        <f t="shared" si="30"/>
        <v>0</v>
      </c>
      <c r="T65" s="10">
        <f t="shared" si="30"/>
        <v>-59.729999999995925</v>
      </c>
      <c r="U65" s="10">
        <f t="shared" si="30"/>
        <v>-85.069999999999709</v>
      </c>
      <c r="V65" s="10">
        <f t="shared" si="30"/>
        <v>-52.489999999999782</v>
      </c>
      <c r="W65" s="10">
        <f t="shared" si="30"/>
        <v>2.7200000000002547</v>
      </c>
      <c r="X65" s="10">
        <f t="shared" si="30"/>
        <v>1.8099999999999454</v>
      </c>
      <c r="Y65" s="10">
        <f t="shared" si="30"/>
        <v>1.8100000000001728</v>
      </c>
      <c r="Z65" s="10">
        <f>Z63-Z64</f>
        <v>3.6200000000008004</v>
      </c>
      <c r="AA65" s="10">
        <f t="shared" si="30"/>
        <v>9.9600000000064028</v>
      </c>
      <c r="AB65" s="10">
        <f t="shared" si="30"/>
        <v>-48.870000000002619</v>
      </c>
      <c r="AC65" s="10">
        <f t="shared" si="30"/>
        <v>4.5300000000006548</v>
      </c>
      <c r="AD65" s="10">
        <f t="shared" si="30"/>
        <v>1.8100000000004002</v>
      </c>
      <c r="AE65" s="10">
        <f t="shared" si="30"/>
        <v>43.44</v>
      </c>
      <c r="AF65" s="10">
        <f t="shared" si="30"/>
        <v>0</v>
      </c>
      <c r="AG65" s="10">
        <f t="shared" si="30"/>
        <v>0</v>
      </c>
      <c r="AH65" s="10">
        <f t="shared" si="30"/>
        <v>0</v>
      </c>
      <c r="AI65" s="21">
        <f>AI63-AI64</f>
        <v>1.8099999999994907</v>
      </c>
      <c r="AK65" s="115">
        <f>SUM(F65:AI65)</f>
        <v>-256.07999999997566</v>
      </c>
      <c r="CX65" s="306"/>
    </row>
    <row r="66" spans="2:102 15068:15460" s="3" customFormat="1" x14ac:dyDescent="0.3">
      <c r="B66" s="122"/>
      <c r="C66" s="74" t="s">
        <v>56</v>
      </c>
      <c r="D66" s="118"/>
      <c r="E66" s="5" t="s">
        <v>16</v>
      </c>
      <c r="F66" s="10">
        <v>0</v>
      </c>
      <c r="G66" s="10"/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/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/>
      <c r="AF66" s="10">
        <v>0</v>
      </c>
      <c r="AG66" s="10">
        <v>0</v>
      </c>
      <c r="AH66" s="10">
        <v>0</v>
      </c>
      <c r="AI66" s="21">
        <v>0</v>
      </c>
      <c r="AK66" s="115">
        <f>SUM(F66:AI66)</f>
        <v>0</v>
      </c>
      <c r="CX66" s="306"/>
    </row>
    <row r="67" spans="2:102 15068:15460" s="3" customFormat="1" x14ac:dyDescent="0.3">
      <c r="B67" s="122"/>
      <c r="C67" s="74" t="s">
        <v>33</v>
      </c>
      <c r="D67" s="118"/>
      <c r="E67" s="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51"/>
      <c r="AH67" s="51"/>
      <c r="AI67" s="22"/>
      <c r="AK67" s="121" t="s">
        <v>33</v>
      </c>
      <c r="CX67" s="306"/>
    </row>
    <row r="68" spans="2:102 15068:15460" s="67" customFormat="1" ht="13.8" x14ac:dyDescent="0.25">
      <c r="B68" s="144"/>
      <c r="C68" s="202" t="s">
        <v>55</v>
      </c>
      <c r="D68" s="102"/>
      <c r="E68" s="18" t="s">
        <v>36</v>
      </c>
      <c r="F68" s="7"/>
      <c r="G68" s="7"/>
      <c r="H68" s="7"/>
      <c r="I68" s="7">
        <v>3908</v>
      </c>
      <c r="J68" s="7">
        <v>0</v>
      </c>
      <c r="K68" s="7">
        <v>3893</v>
      </c>
      <c r="L68" s="7"/>
      <c r="M68" s="7"/>
      <c r="N68" s="7">
        <v>3235</v>
      </c>
      <c r="O68" s="7">
        <v>1475</v>
      </c>
      <c r="P68" s="7"/>
      <c r="Q68" s="7"/>
      <c r="R68" s="7"/>
      <c r="S68" s="7"/>
      <c r="T68" s="7">
        <v>3746</v>
      </c>
      <c r="U68" s="7"/>
      <c r="V68" s="7"/>
      <c r="W68" s="7"/>
      <c r="X68" s="7"/>
      <c r="Y68" s="7"/>
      <c r="Z68" s="7"/>
      <c r="AA68" s="7"/>
      <c r="AB68" s="7">
        <v>3873</v>
      </c>
      <c r="AC68" s="7"/>
      <c r="AD68" s="7"/>
      <c r="AE68" s="7"/>
      <c r="AF68" s="7"/>
      <c r="AG68" s="52"/>
      <c r="AH68" s="52"/>
      <c r="AI68" s="39"/>
      <c r="AK68" s="104">
        <f>SUM(F68:AI68)</f>
        <v>20130</v>
      </c>
      <c r="CX68" s="318"/>
    </row>
    <row r="69" spans="2:102 15068:15460" s="67" customFormat="1" ht="13.8" x14ac:dyDescent="0.25">
      <c r="B69" s="144"/>
      <c r="C69" s="202" t="s">
        <v>54</v>
      </c>
      <c r="D69" s="102"/>
      <c r="E69" s="18" t="s">
        <v>36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>
        <v>74</v>
      </c>
      <c r="U69" s="7">
        <v>251</v>
      </c>
      <c r="V69" s="7">
        <v>317</v>
      </c>
      <c r="W69" s="7">
        <v>212</v>
      </c>
      <c r="X69" s="7">
        <v>254</v>
      </c>
      <c r="Y69" s="7">
        <v>156</v>
      </c>
      <c r="Z69" s="7">
        <v>738</v>
      </c>
      <c r="AA69" s="7">
        <v>6821</v>
      </c>
      <c r="AB69" s="7">
        <v>365</v>
      </c>
      <c r="AC69" s="7">
        <v>973</v>
      </c>
      <c r="AD69" s="7">
        <v>599</v>
      </c>
      <c r="AE69" s="7"/>
      <c r="AF69" s="7"/>
      <c r="AG69" s="52"/>
      <c r="AH69" s="52"/>
      <c r="AI69" s="39">
        <v>906</v>
      </c>
      <c r="AK69" s="104">
        <f>SUM(F69:AI69)</f>
        <v>11666</v>
      </c>
      <c r="CX69" s="318"/>
    </row>
    <row r="70" spans="2:102 15068:15460" s="3" customFormat="1" x14ac:dyDescent="0.3">
      <c r="B70" s="122"/>
      <c r="C70" s="74" t="s">
        <v>32</v>
      </c>
      <c r="D70" s="118"/>
      <c r="E70" s="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51"/>
      <c r="AH70" s="51"/>
      <c r="AI70" s="22"/>
      <c r="AK70" s="121" t="s">
        <v>32</v>
      </c>
      <c r="CX70" s="306"/>
    </row>
    <row r="71" spans="2:102 15068:15460" s="3" customFormat="1" ht="13.8" x14ac:dyDescent="0.25">
      <c r="B71" s="122"/>
      <c r="C71" s="71" t="s">
        <v>55</v>
      </c>
      <c r="D71" s="118"/>
      <c r="E71" s="8" t="s">
        <v>32</v>
      </c>
      <c r="F71" s="1">
        <f t="shared" ref="F71:AH71" si="31">F68*12</f>
        <v>0</v>
      </c>
      <c r="G71" s="1">
        <f t="shared" si="31"/>
        <v>0</v>
      </c>
      <c r="H71" s="1">
        <f t="shared" si="31"/>
        <v>0</v>
      </c>
      <c r="I71" s="1">
        <f t="shared" si="31"/>
        <v>46896</v>
      </c>
      <c r="J71" s="1">
        <f t="shared" si="31"/>
        <v>0</v>
      </c>
      <c r="K71" s="1">
        <f t="shared" si="31"/>
        <v>46716</v>
      </c>
      <c r="L71" s="1">
        <f t="shared" si="31"/>
        <v>0</v>
      </c>
      <c r="M71" s="1">
        <f t="shared" si="31"/>
        <v>0</v>
      </c>
      <c r="N71" s="1">
        <f t="shared" si="31"/>
        <v>38820</v>
      </c>
      <c r="O71" s="1">
        <f t="shared" si="31"/>
        <v>17700</v>
      </c>
      <c r="P71" s="1">
        <f t="shared" si="31"/>
        <v>0</v>
      </c>
      <c r="Q71" s="1">
        <f t="shared" si="31"/>
        <v>0</v>
      </c>
      <c r="R71" s="1">
        <f t="shared" si="31"/>
        <v>0</v>
      </c>
      <c r="S71" s="1">
        <f t="shared" si="31"/>
        <v>0</v>
      </c>
      <c r="T71" s="1">
        <f t="shared" si="31"/>
        <v>44952</v>
      </c>
      <c r="U71" s="1">
        <f t="shared" si="31"/>
        <v>0</v>
      </c>
      <c r="V71" s="1">
        <f t="shared" si="31"/>
        <v>0</v>
      </c>
      <c r="W71" s="1">
        <f t="shared" si="31"/>
        <v>0</v>
      </c>
      <c r="X71" s="1">
        <f t="shared" si="31"/>
        <v>0</v>
      </c>
      <c r="Y71" s="1">
        <f t="shared" si="31"/>
        <v>0</v>
      </c>
      <c r="Z71" s="1">
        <f t="shared" si="31"/>
        <v>0</v>
      </c>
      <c r="AA71" s="1">
        <f t="shared" si="31"/>
        <v>0</v>
      </c>
      <c r="AB71" s="1">
        <f t="shared" si="31"/>
        <v>46476</v>
      </c>
      <c r="AC71" s="1">
        <f t="shared" si="31"/>
        <v>0</v>
      </c>
      <c r="AD71" s="1">
        <f t="shared" si="31"/>
        <v>0</v>
      </c>
      <c r="AE71" s="1">
        <f t="shared" si="31"/>
        <v>0</v>
      </c>
      <c r="AF71" s="1">
        <f t="shared" si="31"/>
        <v>0</v>
      </c>
      <c r="AG71" s="1">
        <f t="shared" si="31"/>
        <v>0</v>
      </c>
      <c r="AH71" s="1">
        <f t="shared" si="31"/>
        <v>0</v>
      </c>
      <c r="AI71" s="22">
        <f>AI68*12</f>
        <v>0</v>
      </c>
      <c r="AK71" s="104">
        <f>AK68*12</f>
        <v>241560</v>
      </c>
      <c r="CX71" s="306"/>
    </row>
    <row r="72" spans="2:102 15068:15460" s="3" customFormat="1" ht="13.8" x14ac:dyDescent="0.25">
      <c r="B72" s="122"/>
      <c r="C72" s="71" t="s">
        <v>54</v>
      </c>
      <c r="D72" s="118"/>
      <c r="E72" s="8" t="s">
        <v>32</v>
      </c>
      <c r="F72" s="1">
        <f t="shared" ref="F72:AH72" si="32">F69*6</f>
        <v>0</v>
      </c>
      <c r="G72" s="1">
        <f t="shared" si="32"/>
        <v>0</v>
      </c>
      <c r="H72" s="1">
        <v>0</v>
      </c>
      <c r="I72" s="1">
        <f t="shared" si="32"/>
        <v>0</v>
      </c>
      <c r="J72" s="1">
        <f t="shared" si="32"/>
        <v>0</v>
      </c>
      <c r="K72" s="1">
        <f t="shared" si="32"/>
        <v>0</v>
      </c>
      <c r="L72" s="1">
        <f t="shared" si="32"/>
        <v>0</v>
      </c>
      <c r="M72" s="1">
        <f t="shared" si="32"/>
        <v>0</v>
      </c>
      <c r="N72" s="1">
        <f t="shared" si="32"/>
        <v>0</v>
      </c>
      <c r="O72" s="1">
        <f t="shared" si="32"/>
        <v>0</v>
      </c>
      <c r="P72" s="1">
        <f t="shared" si="32"/>
        <v>0</v>
      </c>
      <c r="Q72" s="1">
        <f t="shared" si="32"/>
        <v>0</v>
      </c>
      <c r="R72" s="1">
        <f t="shared" si="32"/>
        <v>0</v>
      </c>
      <c r="S72" s="1">
        <f t="shared" si="32"/>
        <v>0</v>
      </c>
      <c r="T72" s="1">
        <f t="shared" si="32"/>
        <v>444</v>
      </c>
      <c r="U72" s="1">
        <f t="shared" si="32"/>
        <v>1506</v>
      </c>
      <c r="V72" s="1">
        <f t="shared" si="32"/>
        <v>1902</v>
      </c>
      <c r="W72" s="1">
        <f t="shared" si="32"/>
        <v>1272</v>
      </c>
      <c r="X72" s="1">
        <f t="shared" si="32"/>
        <v>1524</v>
      </c>
      <c r="Y72" s="1">
        <f t="shared" si="32"/>
        <v>936</v>
      </c>
      <c r="Z72" s="1">
        <f t="shared" si="32"/>
        <v>4428</v>
      </c>
      <c r="AA72" s="1">
        <f t="shared" si="32"/>
        <v>40926</v>
      </c>
      <c r="AB72" s="1">
        <f t="shared" si="32"/>
        <v>2190</v>
      </c>
      <c r="AC72" s="1">
        <f t="shared" si="32"/>
        <v>5838</v>
      </c>
      <c r="AD72" s="1">
        <f t="shared" si="32"/>
        <v>3594</v>
      </c>
      <c r="AE72" s="1">
        <f t="shared" si="32"/>
        <v>0</v>
      </c>
      <c r="AF72" s="1">
        <f t="shared" si="32"/>
        <v>0</v>
      </c>
      <c r="AG72" s="1">
        <f t="shared" si="32"/>
        <v>0</v>
      </c>
      <c r="AH72" s="1">
        <f t="shared" si="32"/>
        <v>0</v>
      </c>
      <c r="AI72" s="22">
        <f>AI69*6</f>
        <v>5436</v>
      </c>
      <c r="AK72" s="104">
        <f>AK69*6</f>
        <v>69996</v>
      </c>
      <c r="CX72" s="306"/>
    </row>
    <row r="73" spans="2:102 15068:15460" s="3" customFormat="1" x14ac:dyDescent="0.3">
      <c r="B73" s="122"/>
      <c r="C73" s="74" t="s">
        <v>41</v>
      </c>
      <c r="D73" s="118"/>
      <c r="E73" s="8" t="s">
        <v>40</v>
      </c>
      <c r="F73" s="203">
        <f>(F63*45)/1700</f>
        <v>0</v>
      </c>
      <c r="G73" s="204">
        <f>(G63*45)/1700</f>
        <v>0</v>
      </c>
      <c r="H73" s="204">
        <f t="shared" ref="H73:AH73" si="33">(H63*45)/1700</f>
        <v>0</v>
      </c>
      <c r="I73" s="204">
        <f t="shared" si="33"/>
        <v>1123.5549705882354</v>
      </c>
      <c r="J73" s="204">
        <f t="shared" si="33"/>
        <v>1118.9554411764707</v>
      </c>
      <c r="K73" s="204">
        <f t="shared" si="33"/>
        <v>0</v>
      </c>
      <c r="L73" s="204">
        <f t="shared" si="33"/>
        <v>0</v>
      </c>
      <c r="M73" s="204">
        <f t="shared" si="33"/>
        <v>0</v>
      </c>
      <c r="N73" s="204">
        <f t="shared" si="33"/>
        <v>928.07497058823526</v>
      </c>
      <c r="O73" s="204">
        <f t="shared" si="33"/>
        <v>423.80364705882357</v>
      </c>
      <c r="P73" s="204">
        <f t="shared" si="33"/>
        <v>0</v>
      </c>
      <c r="Q73" s="204">
        <f t="shared" si="33"/>
        <v>0</v>
      </c>
      <c r="R73" s="204">
        <f t="shared" si="33"/>
        <v>0</v>
      </c>
      <c r="S73" s="204">
        <f t="shared" si="33"/>
        <v>0</v>
      </c>
      <c r="T73" s="204">
        <f t="shared" si="33"/>
        <v>1096.5565588235295</v>
      </c>
      <c r="U73" s="204">
        <f t="shared" si="33"/>
        <v>69.90326470588235</v>
      </c>
      <c r="V73" s="204">
        <f t="shared" si="33"/>
        <v>89.738735294117646</v>
      </c>
      <c r="W73" s="204">
        <f t="shared" si="33"/>
        <v>61.015764705882354</v>
      </c>
      <c r="X73" s="204">
        <f t="shared" si="33"/>
        <v>73.065441176470586</v>
      </c>
      <c r="Y73" s="204">
        <f t="shared" si="33"/>
        <v>44.893323529411759</v>
      </c>
      <c r="Z73" s="204">
        <f t="shared" si="33"/>
        <v>212.24911764705882</v>
      </c>
      <c r="AA73" s="204">
        <f t="shared" si="33"/>
        <v>1961.1005294117649</v>
      </c>
      <c r="AB73" s="204">
        <f t="shared" si="33"/>
        <v>1217.0067352941176</v>
      </c>
      <c r="AC73" s="204">
        <f t="shared" si="33"/>
        <v>279.82879411764702</v>
      </c>
      <c r="AD73" s="204">
        <f t="shared" si="33"/>
        <v>172.24279411764707</v>
      </c>
      <c r="AE73" s="204">
        <f t="shared" si="33"/>
        <v>1.1498823529411764</v>
      </c>
      <c r="AF73" s="204">
        <f t="shared" si="33"/>
        <v>0</v>
      </c>
      <c r="AG73" s="204">
        <f t="shared" si="33"/>
        <v>0</v>
      </c>
      <c r="AH73" s="204">
        <f t="shared" si="33"/>
        <v>0</v>
      </c>
      <c r="AI73" s="205">
        <f>(AI63*45)/1700</f>
        <v>260.49626470588231</v>
      </c>
      <c r="AK73" s="104">
        <f>SUM(F73:AI73)</f>
        <v>9133.6362352941178</v>
      </c>
      <c r="CX73" s="306"/>
    </row>
    <row r="74" spans="2:102 15068:15460" s="3" customFormat="1" x14ac:dyDescent="0.3">
      <c r="B74" s="122"/>
      <c r="C74" s="74" t="s">
        <v>39</v>
      </c>
      <c r="D74" s="118"/>
      <c r="E74" s="8" t="s">
        <v>38</v>
      </c>
      <c r="F74" s="1">
        <f t="shared" ref="F74:AH74" si="34">SUM(F68:F69)/500</f>
        <v>0</v>
      </c>
      <c r="G74" s="1">
        <f t="shared" si="34"/>
        <v>0</v>
      </c>
      <c r="H74" s="1">
        <f t="shared" si="34"/>
        <v>0</v>
      </c>
      <c r="I74" s="1">
        <f t="shared" si="34"/>
        <v>7.8159999999999998</v>
      </c>
      <c r="J74" s="1">
        <f t="shared" si="34"/>
        <v>0</v>
      </c>
      <c r="K74" s="1">
        <f t="shared" si="34"/>
        <v>7.7859999999999996</v>
      </c>
      <c r="L74" s="1">
        <f t="shared" si="34"/>
        <v>0</v>
      </c>
      <c r="M74" s="1">
        <f t="shared" si="34"/>
        <v>0</v>
      </c>
      <c r="N74" s="1">
        <f t="shared" si="34"/>
        <v>6.47</v>
      </c>
      <c r="O74" s="1">
        <f t="shared" si="34"/>
        <v>2.95</v>
      </c>
      <c r="P74" s="1">
        <f t="shared" si="34"/>
        <v>0</v>
      </c>
      <c r="Q74" s="1">
        <f t="shared" si="34"/>
        <v>0</v>
      </c>
      <c r="R74" s="1">
        <f t="shared" si="34"/>
        <v>0</v>
      </c>
      <c r="S74" s="1">
        <f t="shared" si="34"/>
        <v>0</v>
      </c>
      <c r="T74" s="1">
        <f t="shared" si="34"/>
        <v>7.64</v>
      </c>
      <c r="U74" s="1">
        <f t="shared" si="34"/>
        <v>0.502</v>
      </c>
      <c r="V74" s="1">
        <f t="shared" si="34"/>
        <v>0.63400000000000001</v>
      </c>
      <c r="W74" s="1">
        <f t="shared" si="34"/>
        <v>0.42399999999999999</v>
      </c>
      <c r="X74" s="1">
        <f t="shared" si="34"/>
        <v>0.50800000000000001</v>
      </c>
      <c r="Y74" s="1">
        <f t="shared" si="34"/>
        <v>0.312</v>
      </c>
      <c r="Z74" s="1">
        <f t="shared" si="34"/>
        <v>1.476</v>
      </c>
      <c r="AA74" s="1">
        <f t="shared" si="34"/>
        <v>13.641999999999999</v>
      </c>
      <c r="AB74" s="1">
        <f t="shared" si="34"/>
        <v>8.4760000000000009</v>
      </c>
      <c r="AC74" s="1">
        <f t="shared" si="34"/>
        <v>1.946</v>
      </c>
      <c r="AD74" s="1">
        <f t="shared" si="34"/>
        <v>1.198</v>
      </c>
      <c r="AE74" s="1">
        <f t="shared" si="34"/>
        <v>0</v>
      </c>
      <c r="AF74" s="1">
        <f t="shared" si="34"/>
        <v>0</v>
      </c>
      <c r="AG74" s="1">
        <f t="shared" si="34"/>
        <v>0</v>
      </c>
      <c r="AH74" s="1">
        <f t="shared" si="34"/>
        <v>0</v>
      </c>
      <c r="AI74" s="22">
        <f>SUM(AI68:AI69)/500</f>
        <v>1.8120000000000001</v>
      </c>
      <c r="AK74" s="104">
        <f>SUM(F74:AI74)</f>
        <v>63.591999999999992</v>
      </c>
      <c r="CX74" s="306"/>
    </row>
    <row r="75" spans="2:102 15068:15460" s="3" customFormat="1" x14ac:dyDescent="0.3">
      <c r="B75" s="70"/>
      <c r="C75" s="72" t="s">
        <v>37</v>
      </c>
      <c r="D75" s="88"/>
      <c r="E75" s="19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89"/>
      <c r="AD75" s="6"/>
      <c r="AE75" s="6"/>
      <c r="AF75" s="6"/>
      <c r="AG75" s="53"/>
      <c r="AH75" s="53"/>
      <c r="AI75" s="61"/>
      <c r="AJ75" s="90"/>
      <c r="AK75" s="152" t="s">
        <v>34</v>
      </c>
      <c r="CX75" s="17"/>
      <c r="VGN75" s="300"/>
      <c r="VGO75" s="300"/>
      <c r="VGP75" s="300"/>
      <c r="VGQ75" s="300"/>
      <c r="VGR75" s="300"/>
      <c r="VGS75" s="300"/>
      <c r="VGT75" s="300"/>
      <c r="VGU75" s="300"/>
      <c r="VGV75" s="300"/>
      <c r="VGW75" s="300"/>
      <c r="VGX75" s="300"/>
      <c r="VGY75" s="300"/>
      <c r="VGZ75" s="300"/>
      <c r="VHA75" s="300"/>
      <c r="VHB75" s="300"/>
      <c r="VHC75" s="300"/>
      <c r="VHD75" s="300"/>
      <c r="VHE75" s="300"/>
      <c r="VHF75" s="300"/>
      <c r="VHG75" s="300"/>
      <c r="VHH75" s="300"/>
      <c r="VHI75" s="300"/>
      <c r="VHJ75" s="300"/>
      <c r="VHK75" s="300"/>
      <c r="VHL75" s="300"/>
      <c r="VHM75" s="300"/>
      <c r="VHN75" s="300"/>
      <c r="VHO75" s="300"/>
      <c r="VHP75" s="300"/>
      <c r="VHQ75" s="300"/>
      <c r="VHR75" s="300"/>
      <c r="VHS75" s="300"/>
      <c r="VHT75" s="300"/>
      <c r="VHU75" s="300"/>
      <c r="VHV75" s="300"/>
      <c r="VHW75" s="300"/>
      <c r="VHX75" s="300"/>
      <c r="VHY75" s="300"/>
      <c r="VHZ75" s="300"/>
      <c r="VIA75" s="300"/>
      <c r="VIB75" s="300"/>
      <c r="VIC75" s="300"/>
      <c r="VID75" s="300"/>
      <c r="VIE75" s="300"/>
      <c r="VIF75" s="300"/>
      <c r="VIG75" s="300"/>
      <c r="VIH75" s="300"/>
      <c r="VII75" s="300"/>
      <c r="VIJ75" s="300"/>
      <c r="VIK75" s="300"/>
      <c r="VIL75" s="300"/>
      <c r="VIM75" s="300"/>
      <c r="VIN75" s="300"/>
      <c r="VIO75" s="300"/>
      <c r="VIP75" s="300"/>
      <c r="VIQ75" s="300"/>
      <c r="VIR75" s="300"/>
      <c r="VIS75" s="300"/>
      <c r="VIT75" s="300"/>
      <c r="VIU75" s="300"/>
      <c r="VIV75" s="300"/>
      <c r="VIW75" s="300"/>
      <c r="VIX75" s="300"/>
      <c r="VIY75" s="300"/>
      <c r="VIZ75" s="300"/>
      <c r="VJA75" s="300"/>
      <c r="VJB75" s="300"/>
      <c r="VJC75" s="300"/>
      <c r="VJD75" s="300"/>
      <c r="VJE75" s="300"/>
      <c r="VJF75" s="300"/>
      <c r="VJG75" s="300"/>
      <c r="VJH75" s="300"/>
      <c r="VJI75" s="300"/>
      <c r="VJJ75" s="300"/>
      <c r="VJK75" s="300"/>
      <c r="VJL75" s="300"/>
      <c r="VJM75" s="300"/>
      <c r="VJN75" s="300"/>
      <c r="VJO75" s="300"/>
      <c r="VJP75" s="300"/>
      <c r="VJQ75" s="300"/>
      <c r="VJR75" s="300"/>
      <c r="VJS75" s="300"/>
      <c r="VJT75" s="300"/>
      <c r="VJU75" s="300"/>
      <c r="VJV75" s="300"/>
      <c r="VJW75" s="300"/>
      <c r="VJX75" s="300"/>
      <c r="VJY75" s="300"/>
      <c r="VJZ75" s="300"/>
      <c r="VKA75" s="300"/>
      <c r="VKB75" s="300"/>
      <c r="VKC75" s="300"/>
      <c r="VKD75" s="300"/>
      <c r="VKE75" s="300"/>
      <c r="VKF75" s="300"/>
      <c r="VKG75" s="300"/>
      <c r="VKH75" s="300"/>
      <c r="VKI75" s="300"/>
      <c r="VKJ75" s="300"/>
      <c r="VKK75" s="300"/>
      <c r="VKL75" s="300"/>
      <c r="VKM75" s="300"/>
      <c r="VKN75" s="300"/>
      <c r="VKO75" s="300"/>
      <c r="VKP75" s="300"/>
      <c r="VKQ75" s="300"/>
      <c r="VKR75" s="300"/>
      <c r="VKS75" s="300"/>
      <c r="VKT75" s="300"/>
      <c r="VKU75" s="300"/>
      <c r="VKV75" s="300"/>
      <c r="VKW75" s="300"/>
      <c r="VKX75" s="300"/>
      <c r="VKY75" s="300"/>
      <c r="VKZ75" s="300"/>
      <c r="VLA75" s="300"/>
      <c r="VLB75" s="300"/>
      <c r="VLC75" s="300"/>
      <c r="VLD75" s="300"/>
      <c r="VLE75" s="300"/>
      <c r="VLF75" s="300"/>
      <c r="VLG75" s="300"/>
      <c r="VLH75" s="300"/>
      <c r="VLI75" s="300"/>
      <c r="VLJ75" s="300"/>
      <c r="VLK75" s="300"/>
      <c r="VLL75" s="300"/>
      <c r="VLM75" s="300"/>
      <c r="VLN75" s="300"/>
      <c r="VLO75" s="300"/>
      <c r="VLP75" s="300"/>
      <c r="VLQ75" s="300"/>
      <c r="VLR75" s="300"/>
      <c r="VLS75" s="300"/>
      <c r="VLT75" s="300"/>
      <c r="VLU75" s="300"/>
      <c r="VLV75" s="300"/>
      <c r="VLW75" s="300"/>
      <c r="VLX75" s="300"/>
      <c r="VLY75" s="300"/>
      <c r="VLZ75" s="300"/>
      <c r="VMA75" s="300"/>
      <c r="VMB75" s="300"/>
      <c r="VMC75" s="300"/>
      <c r="VMD75" s="300"/>
      <c r="VME75" s="300"/>
      <c r="VMF75" s="300"/>
      <c r="VMG75" s="300"/>
      <c r="VMH75" s="300"/>
      <c r="VMI75" s="300"/>
      <c r="VMJ75" s="300"/>
      <c r="VMK75" s="300"/>
      <c r="VML75" s="300"/>
      <c r="VMM75" s="300"/>
      <c r="VMN75" s="300"/>
      <c r="VMO75" s="300"/>
      <c r="VMP75" s="300"/>
      <c r="VMQ75" s="300"/>
      <c r="VMR75" s="300"/>
      <c r="VMS75" s="300"/>
      <c r="VMT75" s="300"/>
      <c r="VMU75" s="300"/>
      <c r="VMV75" s="300"/>
      <c r="VMW75" s="300"/>
      <c r="VMX75" s="300"/>
      <c r="VMY75" s="300"/>
      <c r="VMZ75" s="300"/>
      <c r="VNA75" s="300"/>
      <c r="VNB75" s="300"/>
      <c r="VNC75" s="300"/>
      <c r="VND75" s="300"/>
      <c r="VNE75" s="300"/>
      <c r="VNF75" s="300"/>
      <c r="VNG75" s="300"/>
      <c r="VNH75" s="300"/>
      <c r="VNI75" s="300"/>
      <c r="VNJ75" s="300"/>
      <c r="VNK75" s="300"/>
      <c r="VNL75" s="300"/>
      <c r="VNM75" s="300"/>
      <c r="VNN75" s="300"/>
      <c r="VNO75" s="300"/>
      <c r="VNP75" s="300"/>
      <c r="VNQ75" s="300"/>
      <c r="VNR75" s="300"/>
      <c r="VNS75" s="300"/>
      <c r="VNT75" s="300"/>
      <c r="VNU75" s="300"/>
      <c r="VNV75" s="300"/>
      <c r="VNW75" s="300"/>
      <c r="VNX75" s="300"/>
      <c r="VNY75" s="300"/>
      <c r="VNZ75" s="300"/>
      <c r="VOA75" s="300"/>
      <c r="VOB75" s="300"/>
      <c r="VOC75" s="300"/>
      <c r="VOD75" s="300"/>
      <c r="VOE75" s="300"/>
      <c r="VOF75" s="300"/>
      <c r="VOG75" s="300"/>
      <c r="VOH75" s="300"/>
      <c r="VOI75" s="300"/>
      <c r="VOJ75" s="300"/>
      <c r="VOK75" s="300"/>
      <c r="VOL75" s="300"/>
      <c r="VOM75" s="300"/>
      <c r="VON75" s="300"/>
      <c r="VOO75" s="300"/>
      <c r="VOP75" s="300"/>
      <c r="VOQ75" s="300"/>
      <c r="VOR75" s="300"/>
      <c r="VOS75" s="300"/>
      <c r="VOT75" s="300"/>
      <c r="VOU75" s="300"/>
      <c r="VOV75" s="300"/>
      <c r="VOW75" s="300"/>
      <c r="VOX75" s="300"/>
      <c r="VOY75" s="300"/>
      <c r="VOZ75" s="300"/>
      <c r="VPA75" s="300"/>
      <c r="VPB75" s="300"/>
      <c r="VPC75" s="300"/>
      <c r="VPD75" s="300"/>
      <c r="VPE75" s="300"/>
      <c r="VPF75" s="300"/>
      <c r="VPG75" s="300"/>
      <c r="VPH75" s="300"/>
      <c r="VPI75" s="300"/>
      <c r="VPJ75" s="300"/>
      <c r="VPK75" s="300"/>
      <c r="VPL75" s="300"/>
      <c r="VPM75" s="300"/>
      <c r="VPN75" s="300"/>
      <c r="VPO75" s="300"/>
      <c r="VPP75" s="300"/>
      <c r="VPQ75" s="300"/>
      <c r="VPR75" s="300"/>
      <c r="VPS75" s="300"/>
      <c r="VPT75" s="300"/>
      <c r="VPU75" s="300"/>
      <c r="VPV75" s="300"/>
      <c r="VPW75" s="300"/>
      <c r="VPX75" s="300"/>
      <c r="VPY75" s="300"/>
      <c r="VPZ75" s="300"/>
      <c r="VQA75" s="300"/>
      <c r="VQB75" s="300"/>
      <c r="VQC75" s="300"/>
      <c r="VQD75" s="300"/>
      <c r="VQE75" s="300"/>
      <c r="VQF75" s="300"/>
      <c r="VQG75" s="300"/>
      <c r="VQH75" s="300"/>
      <c r="VQI75" s="300"/>
      <c r="VQJ75" s="300"/>
      <c r="VQK75" s="300"/>
      <c r="VQL75" s="300"/>
      <c r="VQM75" s="300"/>
      <c r="VQN75" s="300"/>
      <c r="VQO75" s="300"/>
      <c r="VQP75" s="300"/>
      <c r="VQQ75" s="300"/>
      <c r="VQR75" s="300"/>
      <c r="VQS75" s="300"/>
      <c r="VQT75" s="300"/>
      <c r="VQU75" s="300"/>
      <c r="VQV75" s="300"/>
      <c r="VQW75" s="300"/>
      <c r="VQX75" s="300"/>
      <c r="VQY75" s="300"/>
      <c r="VQZ75" s="300"/>
      <c r="VRA75" s="300"/>
      <c r="VRB75" s="300"/>
      <c r="VRC75" s="300"/>
      <c r="VRD75" s="300"/>
      <c r="VRE75" s="300"/>
      <c r="VRF75" s="300"/>
      <c r="VRG75" s="300"/>
      <c r="VRH75" s="300"/>
      <c r="VRI75" s="300"/>
      <c r="VRJ75" s="300"/>
      <c r="VRK75" s="300"/>
      <c r="VRL75" s="300"/>
      <c r="VRM75" s="300"/>
      <c r="VRN75" s="300"/>
      <c r="VRO75" s="300"/>
      <c r="VRP75" s="300"/>
      <c r="VRQ75" s="300"/>
      <c r="VRR75" s="300"/>
      <c r="VRS75" s="300"/>
      <c r="VRT75" s="300"/>
      <c r="VRU75" s="300"/>
      <c r="VRV75" s="300"/>
      <c r="VRW75" s="300"/>
      <c r="VRX75" s="300"/>
      <c r="VRY75" s="300"/>
      <c r="VRZ75" s="300"/>
      <c r="VSA75" s="300"/>
      <c r="VSB75" s="300"/>
      <c r="VSC75" s="300"/>
      <c r="VSD75" s="300"/>
      <c r="VSE75" s="300"/>
      <c r="VSF75" s="300"/>
      <c r="VSG75" s="300"/>
      <c r="VSH75" s="300"/>
      <c r="VSI75" s="300"/>
      <c r="VSJ75" s="300"/>
      <c r="VSK75" s="300"/>
      <c r="VSL75" s="300"/>
      <c r="VSM75" s="300"/>
      <c r="VSN75" s="300"/>
      <c r="VSO75" s="300"/>
      <c r="VSP75" s="300"/>
      <c r="VSQ75" s="300"/>
      <c r="VSR75" s="300"/>
      <c r="VSS75" s="300"/>
      <c r="VST75" s="300"/>
      <c r="VSU75" s="300"/>
      <c r="VSV75" s="300"/>
      <c r="VSW75" s="300"/>
      <c r="VSX75" s="300"/>
      <c r="VSY75" s="300"/>
      <c r="VSZ75" s="300"/>
      <c r="VTA75" s="300"/>
      <c r="VTB75" s="300"/>
      <c r="VTC75" s="300"/>
      <c r="VTD75" s="300"/>
      <c r="VTE75" s="300"/>
      <c r="VTF75" s="300"/>
      <c r="VTG75" s="300"/>
      <c r="VTH75" s="300"/>
      <c r="VTI75" s="300"/>
      <c r="VTJ75" s="300"/>
      <c r="VTK75" s="300"/>
      <c r="VTL75" s="300"/>
      <c r="VTM75" s="300"/>
      <c r="VTN75" s="300"/>
      <c r="VTO75" s="300"/>
      <c r="VTP75" s="300"/>
      <c r="VTQ75" s="300"/>
      <c r="VTR75" s="300"/>
      <c r="VTS75" s="300"/>
      <c r="VTT75" s="300"/>
      <c r="VTU75" s="300"/>
      <c r="VTV75" s="300"/>
      <c r="VTW75" s="300"/>
      <c r="VTX75" s="300"/>
      <c r="VTY75" s="300"/>
      <c r="VTZ75" s="300"/>
      <c r="VUA75" s="300"/>
      <c r="VUB75" s="300"/>
      <c r="VUC75" s="300"/>
      <c r="VUD75" s="300"/>
      <c r="VUE75" s="300"/>
      <c r="VUF75" s="300"/>
      <c r="VUG75" s="300"/>
      <c r="VUH75" s="300"/>
      <c r="VUI75" s="300"/>
      <c r="VUJ75" s="300"/>
      <c r="VUK75" s="300"/>
      <c r="VUL75" s="300"/>
      <c r="VUM75" s="300"/>
      <c r="VUN75" s="300"/>
      <c r="VUO75" s="300"/>
      <c r="VUP75" s="300"/>
      <c r="VUQ75" s="300"/>
      <c r="VUR75" s="300"/>
      <c r="VUS75" s="300"/>
      <c r="VUT75" s="300"/>
      <c r="VUU75" s="300"/>
      <c r="VUV75" s="300"/>
      <c r="VUW75" s="300"/>
      <c r="VUX75" s="300"/>
      <c r="VUY75" s="300"/>
      <c r="VUZ75" s="300"/>
      <c r="VVA75" s="300"/>
      <c r="VVB75" s="300"/>
      <c r="VVC75" s="300"/>
      <c r="VVD75" s="300"/>
      <c r="VVE75" s="300"/>
      <c r="VVF75" s="300"/>
      <c r="VVG75" s="300"/>
      <c r="VVH75" s="300"/>
      <c r="VVI75" s="300"/>
      <c r="VVJ75" s="300"/>
      <c r="VVK75" s="300"/>
      <c r="VVL75" s="300"/>
      <c r="VVM75" s="300"/>
      <c r="VVN75" s="300"/>
      <c r="VVO75" s="300"/>
      <c r="VVP75" s="300"/>
    </row>
    <row r="76" spans="2:102 15068:15460" s="3" customFormat="1" x14ac:dyDescent="0.3">
      <c r="B76" s="122"/>
      <c r="C76" s="74" t="s">
        <v>33</v>
      </c>
      <c r="D76" s="118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51"/>
      <c r="AH76" s="51"/>
      <c r="AI76" s="22"/>
      <c r="AK76" s="121" t="s">
        <v>33</v>
      </c>
      <c r="CX76" s="306"/>
    </row>
    <row r="77" spans="2:102 15068:15460" s="3" customFormat="1" ht="13.8" x14ac:dyDescent="0.25">
      <c r="B77" s="122"/>
      <c r="C77" s="71" t="s">
        <v>55</v>
      </c>
      <c r="D77" s="118"/>
      <c r="E77" s="8" t="s">
        <v>36</v>
      </c>
      <c r="F77" s="1"/>
      <c r="G77" s="1"/>
      <c r="H77" s="1"/>
      <c r="I77" s="1"/>
      <c r="J77" s="1"/>
      <c r="K77" s="1">
        <v>1</v>
      </c>
      <c r="L77" s="1"/>
      <c r="M77" s="1"/>
      <c r="N77" s="1">
        <v>7</v>
      </c>
      <c r="O77" s="1">
        <v>1</v>
      </c>
      <c r="P77" s="1"/>
      <c r="Q77" s="1"/>
      <c r="R77" s="1"/>
      <c r="S77" s="1"/>
      <c r="T77" s="1">
        <v>5</v>
      </c>
      <c r="U77" s="1"/>
      <c r="V77" s="1"/>
      <c r="W77" s="1"/>
      <c r="X77" s="1"/>
      <c r="Y77" s="1"/>
      <c r="Z77" s="1"/>
      <c r="AA77" s="1"/>
      <c r="AB77" s="1">
        <v>5</v>
      </c>
      <c r="AC77" s="1"/>
      <c r="AD77" s="1"/>
      <c r="AE77" s="1"/>
      <c r="AF77" s="1"/>
      <c r="AG77" s="51"/>
      <c r="AH77" s="51"/>
      <c r="AI77" s="22"/>
      <c r="AK77" s="104">
        <f>SUM(F77:AI77)</f>
        <v>19</v>
      </c>
      <c r="CX77" s="306"/>
    </row>
    <row r="78" spans="2:102 15068:15460" s="3" customFormat="1" ht="13.8" x14ac:dyDescent="0.25">
      <c r="B78" s="122"/>
      <c r="C78" s="71" t="s">
        <v>54</v>
      </c>
      <c r="D78" s="118"/>
      <c r="E78" s="8" t="s">
        <v>36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>
        <v>1</v>
      </c>
      <c r="V78" s="1">
        <v>8</v>
      </c>
      <c r="W78" s="1">
        <v>5</v>
      </c>
      <c r="X78" s="1"/>
      <c r="Y78" s="1"/>
      <c r="Z78" s="1"/>
      <c r="AA78" s="1"/>
      <c r="AB78" s="1"/>
      <c r="AC78" s="1"/>
      <c r="AD78" s="1"/>
      <c r="AE78" s="1"/>
      <c r="AF78" s="1"/>
      <c r="AG78" s="51"/>
      <c r="AH78" s="51"/>
      <c r="AI78" s="22"/>
      <c r="AK78" s="104">
        <f>SUM(F78:AI78)</f>
        <v>14</v>
      </c>
      <c r="CX78" s="306"/>
    </row>
    <row r="79" spans="2:102 15068:15460" s="3" customFormat="1" x14ac:dyDescent="0.3">
      <c r="B79" s="122"/>
      <c r="C79" s="74" t="s">
        <v>32</v>
      </c>
      <c r="D79" s="118"/>
      <c r="E79" s="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51"/>
      <c r="AH79" s="51"/>
      <c r="AI79" s="22"/>
      <c r="AK79" s="121" t="s">
        <v>32</v>
      </c>
      <c r="CF79" s="306"/>
      <c r="CG79" s="306"/>
      <c r="CH79" s="306"/>
      <c r="CI79" s="306"/>
      <c r="CJ79" s="306"/>
      <c r="CK79" s="306"/>
      <c r="CL79" s="306"/>
      <c r="CM79" s="306"/>
      <c r="CN79" s="306"/>
      <c r="CO79" s="306"/>
      <c r="CX79" s="306"/>
    </row>
    <row r="80" spans="2:102 15068:15460" s="3" customFormat="1" ht="13.8" x14ac:dyDescent="0.25">
      <c r="B80" s="122"/>
      <c r="C80" s="71" t="s">
        <v>55</v>
      </c>
      <c r="D80" s="118"/>
      <c r="E80" s="8" t="s">
        <v>32</v>
      </c>
      <c r="F80" s="7">
        <f>F77*12</f>
        <v>0</v>
      </c>
      <c r="G80" s="7">
        <f t="shared" ref="G80:AI80" si="35">G77*12</f>
        <v>0</v>
      </c>
      <c r="H80" s="7">
        <f t="shared" si="35"/>
        <v>0</v>
      </c>
      <c r="I80" s="7">
        <f t="shared" si="35"/>
        <v>0</v>
      </c>
      <c r="J80" s="7">
        <f t="shared" si="35"/>
        <v>0</v>
      </c>
      <c r="K80" s="7">
        <f t="shared" si="35"/>
        <v>12</v>
      </c>
      <c r="L80" s="7"/>
      <c r="M80" s="7">
        <f t="shared" si="35"/>
        <v>0</v>
      </c>
      <c r="N80" s="7">
        <f t="shared" si="35"/>
        <v>84</v>
      </c>
      <c r="O80" s="7">
        <f t="shared" si="35"/>
        <v>12</v>
      </c>
      <c r="P80" s="7">
        <f t="shared" si="35"/>
        <v>0</v>
      </c>
      <c r="Q80" s="7">
        <f t="shared" si="35"/>
        <v>0</v>
      </c>
      <c r="R80" s="7">
        <f t="shared" si="35"/>
        <v>0</v>
      </c>
      <c r="S80" s="7">
        <f t="shared" si="35"/>
        <v>0</v>
      </c>
      <c r="T80" s="7">
        <f t="shared" si="35"/>
        <v>60</v>
      </c>
      <c r="U80" s="7">
        <f t="shared" si="35"/>
        <v>0</v>
      </c>
      <c r="V80" s="7">
        <f t="shared" si="35"/>
        <v>0</v>
      </c>
      <c r="W80" s="7">
        <f t="shared" si="35"/>
        <v>0</v>
      </c>
      <c r="X80" s="7">
        <f t="shared" si="35"/>
        <v>0</v>
      </c>
      <c r="Y80" s="7">
        <f t="shared" si="35"/>
        <v>0</v>
      </c>
      <c r="Z80" s="7">
        <f t="shared" si="35"/>
        <v>0</v>
      </c>
      <c r="AA80" s="7">
        <f t="shared" si="35"/>
        <v>0</v>
      </c>
      <c r="AB80" s="7">
        <f t="shared" si="35"/>
        <v>60</v>
      </c>
      <c r="AC80" s="7">
        <f t="shared" si="35"/>
        <v>0</v>
      </c>
      <c r="AD80" s="7">
        <f t="shared" si="35"/>
        <v>0</v>
      </c>
      <c r="AE80" s="7">
        <f t="shared" si="35"/>
        <v>0</v>
      </c>
      <c r="AF80" s="7">
        <f t="shared" si="35"/>
        <v>0</v>
      </c>
      <c r="AG80" s="7">
        <f t="shared" si="35"/>
        <v>0</v>
      </c>
      <c r="AH80" s="7">
        <f t="shared" si="35"/>
        <v>0</v>
      </c>
      <c r="AI80" s="39">
        <f t="shared" si="35"/>
        <v>0</v>
      </c>
      <c r="AK80" s="104">
        <f>SUM(F80:AI80)</f>
        <v>228</v>
      </c>
      <c r="CF80" s="314"/>
      <c r="CG80" s="306"/>
      <c r="CH80" s="306"/>
      <c r="CI80" s="306"/>
      <c r="CJ80" s="319"/>
      <c r="CK80" s="306"/>
      <c r="CL80" s="306"/>
      <c r="CM80" s="306"/>
      <c r="CN80" s="306"/>
      <c r="CO80" s="306"/>
      <c r="CX80" s="306"/>
    </row>
    <row r="81" spans="2:102 15068:15460" s="3" customFormat="1" ht="13.8" x14ac:dyDescent="0.25">
      <c r="B81" s="122"/>
      <c r="C81" s="71" t="s">
        <v>54</v>
      </c>
      <c r="D81" s="118"/>
      <c r="E81" s="8" t="s">
        <v>32</v>
      </c>
      <c r="F81" s="7">
        <f>F78*6</f>
        <v>0</v>
      </c>
      <c r="G81" s="7">
        <f t="shared" ref="G81:AI81" si="36">G78*6</f>
        <v>0</v>
      </c>
      <c r="H81" s="7">
        <f t="shared" si="36"/>
        <v>0</v>
      </c>
      <c r="I81" s="7">
        <f t="shared" si="36"/>
        <v>0</v>
      </c>
      <c r="J81" s="7">
        <f t="shared" si="36"/>
        <v>0</v>
      </c>
      <c r="K81" s="7">
        <f t="shared" si="36"/>
        <v>0</v>
      </c>
      <c r="L81" s="7">
        <f t="shared" si="36"/>
        <v>0</v>
      </c>
      <c r="M81" s="7">
        <f t="shared" si="36"/>
        <v>0</v>
      </c>
      <c r="N81" s="7">
        <f t="shared" si="36"/>
        <v>0</v>
      </c>
      <c r="O81" s="7">
        <f t="shared" si="36"/>
        <v>0</v>
      </c>
      <c r="P81" s="7">
        <f t="shared" si="36"/>
        <v>0</v>
      </c>
      <c r="Q81" s="7">
        <f t="shared" si="36"/>
        <v>0</v>
      </c>
      <c r="R81" s="7">
        <f t="shared" si="36"/>
        <v>0</v>
      </c>
      <c r="S81" s="7">
        <f t="shared" si="36"/>
        <v>0</v>
      </c>
      <c r="T81" s="7">
        <f t="shared" si="36"/>
        <v>0</v>
      </c>
      <c r="U81" s="7">
        <f t="shared" si="36"/>
        <v>6</v>
      </c>
      <c r="V81" s="7">
        <f t="shared" si="36"/>
        <v>48</v>
      </c>
      <c r="W81" s="7">
        <f t="shared" si="36"/>
        <v>30</v>
      </c>
      <c r="X81" s="7">
        <f t="shared" si="36"/>
        <v>0</v>
      </c>
      <c r="Y81" s="7">
        <f t="shared" si="36"/>
        <v>0</v>
      </c>
      <c r="Z81" s="7">
        <f t="shared" si="36"/>
        <v>0</v>
      </c>
      <c r="AA81" s="7">
        <f t="shared" si="36"/>
        <v>0</v>
      </c>
      <c r="AB81" s="7">
        <f t="shared" si="36"/>
        <v>0</v>
      </c>
      <c r="AC81" s="7">
        <f t="shared" si="36"/>
        <v>0</v>
      </c>
      <c r="AD81" s="7">
        <f t="shared" si="36"/>
        <v>0</v>
      </c>
      <c r="AE81" s="7">
        <f t="shared" si="36"/>
        <v>0</v>
      </c>
      <c r="AF81" s="7">
        <f t="shared" si="36"/>
        <v>0</v>
      </c>
      <c r="AG81" s="7">
        <f t="shared" si="36"/>
        <v>0</v>
      </c>
      <c r="AH81" s="7">
        <f t="shared" si="36"/>
        <v>0</v>
      </c>
      <c r="AI81" s="39">
        <f t="shared" si="36"/>
        <v>0</v>
      </c>
      <c r="AK81" s="104">
        <f>SUM(F81:AI81)</f>
        <v>84</v>
      </c>
      <c r="CF81" s="17"/>
      <c r="CG81" s="306"/>
      <c r="CH81" s="306"/>
      <c r="CI81" s="306"/>
      <c r="CJ81" s="306"/>
      <c r="CK81" s="306"/>
      <c r="CL81" s="306"/>
      <c r="CM81" s="306"/>
      <c r="CN81" s="306"/>
      <c r="CO81" s="306"/>
      <c r="CX81" s="306"/>
    </row>
    <row r="82" spans="2:102 15068:15460" x14ac:dyDescent="0.3">
      <c r="B82" s="70"/>
      <c r="C82" s="72" t="s">
        <v>35</v>
      </c>
      <c r="D82" s="88"/>
      <c r="E82" s="19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89"/>
      <c r="AD82" s="6"/>
      <c r="AE82" s="6"/>
      <c r="AF82" s="6"/>
      <c r="AG82" s="53"/>
      <c r="AH82" s="53"/>
      <c r="AI82" s="61"/>
      <c r="AJ82" s="90"/>
      <c r="AK82" s="152" t="s">
        <v>34</v>
      </c>
      <c r="CF82" s="17"/>
      <c r="CG82" s="17"/>
      <c r="CH82" s="17"/>
      <c r="CI82" s="17"/>
      <c r="CJ82" s="17"/>
      <c r="CK82" s="17"/>
      <c r="CL82" s="17"/>
      <c r="CM82" s="17"/>
      <c r="CN82" s="17"/>
      <c r="CO82" s="17"/>
    </row>
    <row r="83" spans="2:102 15068:15460" s="3" customFormat="1" x14ac:dyDescent="0.3">
      <c r="B83" s="122"/>
      <c r="C83" s="74" t="s">
        <v>33</v>
      </c>
      <c r="D83" s="118"/>
      <c r="E83" s="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51"/>
      <c r="AH83" s="51"/>
      <c r="AI83" s="22"/>
      <c r="AK83" s="121" t="s">
        <v>33</v>
      </c>
      <c r="CF83" s="306"/>
      <c r="CG83" s="306"/>
      <c r="CH83" s="306"/>
      <c r="CI83" s="306"/>
      <c r="CJ83" s="306"/>
      <c r="CK83" s="306"/>
      <c r="CL83" s="306"/>
      <c r="CM83" s="306"/>
      <c r="CN83" s="306"/>
      <c r="CO83" s="306"/>
      <c r="CX83" s="306"/>
    </row>
    <row r="84" spans="2:102 15068:15460" s="3" customFormat="1" ht="13.8" x14ac:dyDescent="0.25">
      <c r="B84" s="122"/>
      <c r="C84" s="71" t="s">
        <v>55</v>
      </c>
      <c r="D84" s="15">
        <v>0.3</v>
      </c>
      <c r="E84" s="8" t="s">
        <v>29</v>
      </c>
      <c r="F84" s="10" t="e">
        <f t="shared" ref="F84:AH85" si="37">F77/F68*100</f>
        <v>#DIV/0!</v>
      </c>
      <c r="G84" s="10" t="e">
        <f t="shared" si="37"/>
        <v>#DIV/0!</v>
      </c>
      <c r="H84" s="10" t="e">
        <f t="shared" si="37"/>
        <v>#DIV/0!</v>
      </c>
      <c r="I84" s="10">
        <f t="shared" si="37"/>
        <v>0</v>
      </c>
      <c r="J84" s="10" t="e">
        <f t="shared" si="37"/>
        <v>#DIV/0!</v>
      </c>
      <c r="K84" s="10">
        <f t="shared" si="37"/>
        <v>2.5687130747495505E-2</v>
      </c>
      <c r="L84" s="10" t="e">
        <f t="shared" si="37"/>
        <v>#DIV/0!</v>
      </c>
      <c r="M84" s="10" t="e">
        <f t="shared" si="37"/>
        <v>#DIV/0!</v>
      </c>
      <c r="N84" s="10">
        <f t="shared" si="37"/>
        <v>0.21638330757341576</v>
      </c>
      <c r="O84" s="10">
        <f t="shared" si="37"/>
        <v>6.7796610169491525E-2</v>
      </c>
      <c r="P84" s="10" t="e">
        <f t="shared" si="37"/>
        <v>#DIV/0!</v>
      </c>
      <c r="Q84" s="10" t="e">
        <f t="shared" si="37"/>
        <v>#DIV/0!</v>
      </c>
      <c r="R84" s="10" t="e">
        <f t="shared" si="37"/>
        <v>#DIV/0!</v>
      </c>
      <c r="S84" s="10" t="e">
        <f t="shared" si="37"/>
        <v>#DIV/0!</v>
      </c>
      <c r="T84" s="10">
        <f t="shared" si="37"/>
        <v>0.13347570742124934</v>
      </c>
      <c r="U84" s="10" t="e">
        <f t="shared" si="37"/>
        <v>#DIV/0!</v>
      </c>
      <c r="V84" s="10" t="e">
        <f t="shared" si="37"/>
        <v>#DIV/0!</v>
      </c>
      <c r="W84" s="10" t="e">
        <f t="shared" si="37"/>
        <v>#DIV/0!</v>
      </c>
      <c r="X84" s="10" t="e">
        <f t="shared" si="37"/>
        <v>#DIV/0!</v>
      </c>
      <c r="Y84" s="10" t="e">
        <f t="shared" si="37"/>
        <v>#DIV/0!</v>
      </c>
      <c r="Z84" s="10" t="e">
        <f t="shared" si="37"/>
        <v>#DIV/0!</v>
      </c>
      <c r="AA84" s="10" t="e">
        <f t="shared" si="37"/>
        <v>#DIV/0!</v>
      </c>
      <c r="AB84" s="10">
        <f t="shared" si="37"/>
        <v>0.12909888974954814</v>
      </c>
      <c r="AC84" s="10" t="e">
        <f t="shared" si="37"/>
        <v>#DIV/0!</v>
      </c>
      <c r="AD84" s="10" t="e">
        <f t="shared" si="37"/>
        <v>#DIV/0!</v>
      </c>
      <c r="AE84" s="10" t="e">
        <f>AE77/AE68*100</f>
        <v>#DIV/0!</v>
      </c>
      <c r="AF84" s="10" t="e">
        <f t="shared" si="37"/>
        <v>#DIV/0!</v>
      </c>
      <c r="AG84" s="10" t="e">
        <f t="shared" si="37"/>
        <v>#DIV/0!</v>
      </c>
      <c r="AH84" s="10" t="e">
        <f t="shared" si="37"/>
        <v>#DIV/0!</v>
      </c>
      <c r="AI84" s="21" t="e">
        <f>AI77/AI68*100</f>
        <v>#DIV/0!</v>
      </c>
      <c r="AK84" s="115">
        <f>AK77/AK68*100</f>
        <v>9.4386487829110785E-2</v>
      </c>
      <c r="CF84" s="306"/>
      <c r="CG84" s="306"/>
      <c r="CH84" s="306"/>
      <c r="CI84" s="306"/>
      <c r="CJ84" s="306"/>
      <c r="CK84" s="306"/>
      <c r="CL84" s="306"/>
      <c r="CM84" s="306"/>
      <c r="CN84" s="306"/>
      <c r="CO84" s="306"/>
      <c r="CX84" s="306"/>
    </row>
    <row r="85" spans="2:102 15068:15460" s="3" customFormat="1" ht="13.8" x14ac:dyDescent="0.25">
      <c r="B85" s="122"/>
      <c r="C85" s="71" t="s">
        <v>54</v>
      </c>
      <c r="D85" s="15">
        <v>0.3</v>
      </c>
      <c r="E85" s="8" t="s">
        <v>29</v>
      </c>
      <c r="F85" s="10" t="e">
        <f t="shared" si="37"/>
        <v>#DIV/0!</v>
      </c>
      <c r="G85" s="10" t="e">
        <f t="shared" si="37"/>
        <v>#DIV/0!</v>
      </c>
      <c r="H85" s="10" t="e">
        <f t="shared" si="37"/>
        <v>#DIV/0!</v>
      </c>
      <c r="I85" s="10" t="e">
        <f t="shared" si="37"/>
        <v>#DIV/0!</v>
      </c>
      <c r="J85" s="10" t="e">
        <f t="shared" si="37"/>
        <v>#DIV/0!</v>
      </c>
      <c r="K85" s="10" t="e">
        <f t="shared" si="37"/>
        <v>#DIV/0!</v>
      </c>
      <c r="L85" s="10" t="e">
        <f t="shared" si="37"/>
        <v>#DIV/0!</v>
      </c>
      <c r="M85" s="10" t="e">
        <f t="shared" si="37"/>
        <v>#DIV/0!</v>
      </c>
      <c r="N85" s="10" t="e">
        <f t="shared" si="37"/>
        <v>#DIV/0!</v>
      </c>
      <c r="O85" s="10" t="e">
        <f t="shared" si="37"/>
        <v>#DIV/0!</v>
      </c>
      <c r="P85" s="10" t="e">
        <f t="shared" si="37"/>
        <v>#DIV/0!</v>
      </c>
      <c r="Q85" s="10" t="e">
        <f t="shared" si="37"/>
        <v>#DIV/0!</v>
      </c>
      <c r="R85" s="10" t="e">
        <f t="shared" si="37"/>
        <v>#DIV/0!</v>
      </c>
      <c r="S85" s="10" t="e">
        <f t="shared" si="37"/>
        <v>#DIV/0!</v>
      </c>
      <c r="T85" s="10">
        <f t="shared" si="37"/>
        <v>0</v>
      </c>
      <c r="U85" s="10">
        <f t="shared" si="37"/>
        <v>0.39840637450199201</v>
      </c>
      <c r="V85" s="10">
        <f t="shared" si="37"/>
        <v>2.5236593059936907</v>
      </c>
      <c r="W85" s="10">
        <f t="shared" si="37"/>
        <v>2.358490566037736</v>
      </c>
      <c r="X85" s="10">
        <f t="shared" si="37"/>
        <v>0</v>
      </c>
      <c r="Y85" s="10">
        <f t="shared" si="37"/>
        <v>0</v>
      </c>
      <c r="Z85" s="10">
        <f t="shared" si="37"/>
        <v>0</v>
      </c>
      <c r="AA85" s="10">
        <f t="shared" si="37"/>
        <v>0</v>
      </c>
      <c r="AB85" s="10">
        <f t="shared" si="37"/>
        <v>0</v>
      </c>
      <c r="AC85" s="10">
        <f t="shared" si="37"/>
        <v>0</v>
      </c>
      <c r="AD85" s="10">
        <f t="shared" si="37"/>
        <v>0</v>
      </c>
      <c r="AE85" s="10" t="e">
        <f t="shared" si="37"/>
        <v>#DIV/0!</v>
      </c>
      <c r="AF85" s="10" t="e">
        <f t="shared" si="37"/>
        <v>#DIV/0!</v>
      </c>
      <c r="AG85" s="10" t="e">
        <f t="shared" si="37"/>
        <v>#DIV/0!</v>
      </c>
      <c r="AH85" s="10" t="e">
        <f t="shared" si="37"/>
        <v>#DIV/0!</v>
      </c>
      <c r="AI85" s="21">
        <f>AI78/AI69*100</f>
        <v>0</v>
      </c>
      <c r="AK85" s="115">
        <f>AK78/AK69*100</f>
        <v>0.12000685753471627</v>
      </c>
      <c r="CF85" s="306"/>
      <c r="CG85" s="306"/>
      <c r="CH85" s="306"/>
      <c r="CI85" s="306"/>
      <c r="CJ85" s="306"/>
      <c r="CK85" s="306"/>
      <c r="CL85" s="306"/>
      <c r="CM85" s="306"/>
      <c r="CN85" s="306"/>
      <c r="CO85" s="306"/>
      <c r="CX85" s="306"/>
    </row>
    <row r="86" spans="2:102 15068:15460" s="3" customFormat="1" x14ac:dyDescent="0.3">
      <c r="B86" s="122"/>
      <c r="C86" s="74" t="s">
        <v>32</v>
      </c>
      <c r="D86" s="15"/>
      <c r="E86" s="5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1"/>
      <c r="AK86" s="121" t="s">
        <v>32</v>
      </c>
      <c r="CF86" s="306"/>
      <c r="CG86" s="306"/>
      <c r="CH86" s="306"/>
      <c r="CI86" s="306"/>
      <c r="CJ86" s="306"/>
      <c r="CK86" s="306"/>
      <c r="CL86" s="306"/>
      <c r="CM86" s="306"/>
      <c r="CN86" s="306"/>
      <c r="CO86" s="306"/>
      <c r="CX86" s="306"/>
    </row>
    <row r="87" spans="2:102 15068:15460" s="3" customFormat="1" ht="13.8" x14ac:dyDescent="0.25">
      <c r="B87" s="122"/>
      <c r="C87" s="71" t="s">
        <v>55</v>
      </c>
      <c r="D87" s="15">
        <v>0.5</v>
      </c>
      <c r="E87" s="8" t="s">
        <v>29</v>
      </c>
      <c r="F87" s="10" t="e">
        <f t="shared" ref="F87:AH88" si="38">F80/F71*100</f>
        <v>#DIV/0!</v>
      </c>
      <c r="G87" s="10" t="e">
        <f t="shared" si="38"/>
        <v>#DIV/0!</v>
      </c>
      <c r="H87" s="10" t="e">
        <f t="shared" si="38"/>
        <v>#DIV/0!</v>
      </c>
      <c r="I87" s="10">
        <f t="shared" si="38"/>
        <v>0</v>
      </c>
      <c r="J87" s="10" t="e">
        <f t="shared" si="38"/>
        <v>#DIV/0!</v>
      </c>
      <c r="K87" s="10">
        <f t="shared" si="38"/>
        <v>2.5687130747495505E-2</v>
      </c>
      <c r="L87" s="206" t="e">
        <f t="shared" si="38"/>
        <v>#DIV/0!</v>
      </c>
      <c r="M87" s="10" t="e">
        <f t="shared" si="38"/>
        <v>#DIV/0!</v>
      </c>
      <c r="N87" s="10">
        <f t="shared" si="38"/>
        <v>0.21638330757341576</v>
      </c>
      <c r="O87" s="10">
        <f t="shared" si="38"/>
        <v>6.7796610169491525E-2</v>
      </c>
      <c r="P87" s="10" t="e">
        <f t="shared" si="38"/>
        <v>#DIV/0!</v>
      </c>
      <c r="Q87" s="10" t="e">
        <f t="shared" si="38"/>
        <v>#DIV/0!</v>
      </c>
      <c r="R87" s="10" t="e">
        <f t="shared" si="38"/>
        <v>#DIV/0!</v>
      </c>
      <c r="S87" s="10" t="e">
        <f t="shared" si="38"/>
        <v>#DIV/0!</v>
      </c>
      <c r="T87" s="10">
        <f t="shared" si="38"/>
        <v>0.13347570742124934</v>
      </c>
      <c r="U87" s="10" t="e">
        <f t="shared" si="38"/>
        <v>#DIV/0!</v>
      </c>
      <c r="V87" s="10" t="e">
        <f t="shared" si="38"/>
        <v>#DIV/0!</v>
      </c>
      <c r="W87" s="10" t="e">
        <f t="shared" si="38"/>
        <v>#DIV/0!</v>
      </c>
      <c r="X87" s="10" t="e">
        <f t="shared" si="38"/>
        <v>#DIV/0!</v>
      </c>
      <c r="Y87" s="10" t="e">
        <f t="shared" si="38"/>
        <v>#DIV/0!</v>
      </c>
      <c r="Z87" s="10" t="e">
        <f t="shared" si="38"/>
        <v>#DIV/0!</v>
      </c>
      <c r="AA87" s="10" t="e">
        <f t="shared" si="38"/>
        <v>#DIV/0!</v>
      </c>
      <c r="AB87" s="10">
        <f t="shared" si="38"/>
        <v>0.12909888974954814</v>
      </c>
      <c r="AC87" s="10" t="e">
        <f t="shared" si="38"/>
        <v>#DIV/0!</v>
      </c>
      <c r="AD87" s="10" t="e">
        <f t="shared" si="38"/>
        <v>#DIV/0!</v>
      </c>
      <c r="AE87" s="10" t="e">
        <f t="shared" si="38"/>
        <v>#DIV/0!</v>
      </c>
      <c r="AF87" s="10" t="e">
        <f t="shared" si="38"/>
        <v>#DIV/0!</v>
      </c>
      <c r="AG87" s="10" t="e">
        <f t="shared" si="38"/>
        <v>#DIV/0!</v>
      </c>
      <c r="AH87" s="10" t="e">
        <f t="shared" si="38"/>
        <v>#DIV/0!</v>
      </c>
      <c r="AI87" s="21" t="e">
        <f>AI80/AI71*100</f>
        <v>#DIV/0!</v>
      </c>
      <c r="AK87" s="115">
        <f>AK80/AK71*100</f>
        <v>9.4386487829110785E-2</v>
      </c>
      <c r="CF87" s="306"/>
      <c r="CG87" s="306"/>
      <c r="CH87" s="306"/>
      <c r="CI87" s="306"/>
      <c r="CJ87" s="306"/>
      <c r="CK87" s="306"/>
      <c r="CL87" s="306"/>
      <c r="CM87" s="306"/>
      <c r="CN87" s="306"/>
      <c r="CO87" s="306"/>
      <c r="CX87" s="306"/>
    </row>
    <row r="88" spans="2:102 15068:15460" s="3" customFormat="1" thickBot="1" x14ac:dyDescent="0.3">
      <c r="B88" s="158"/>
      <c r="C88" s="71" t="s">
        <v>54</v>
      </c>
      <c r="D88" s="15">
        <v>0.5</v>
      </c>
      <c r="E88" s="8" t="s">
        <v>29</v>
      </c>
      <c r="F88" s="10" t="e">
        <f t="shared" si="38"/>
        <v>#DIV/0!</v>
      </c>
      <c r="G88" s="10" t="e">
        <f t="shared" si="38"/>
        <v>#DIV/0!</v>
      </c>
      <c r="H88" s="10" t="e">
        <f t="shared" si="38"/>
        <v>#DIV/0!</v>
      </c>
      <c r="I88" s="10" t="e">
        <f t="shared" si="38"/>
        <v>#DIV/0!</v>
      </c>
      <c r="J88" s="10" t="e">
        <f t="shared" si="38"/>
        <v>#DIV/0!</v>
      </c>
      <c r="K88" s="10" t="e">
        <f t="shared" si="38"/>
        <v>#DIV/0!</v>
      </c>
      <c r="L88" s="10" t="e">
        <f t="shared" si="38"/>
        <v>#DIV/0!</v>
      </c>
      <c r="M88" s="10" t="e">
        <f t="shared" si="38"/>
        <v>#DIV/0!</v>
      </c>
      <c r="N88" s="10" t="e">
        <f t="shared" si="38"/>
        <v>#DIV/0!</v>
      </c>
      <c r="O88" s="10" t="e">
        <f t="shared" si="38"/>
        <v>#DIV/0!</v>
      </c>
      <c r="P88" s="10" t="e">
        <f t="shared" si="38"/>
        <v>#DIV/0!</v>
      </c>
      <c r="Q88" s="10" t="e">
        <f t="shared" si="38"/>
        <v>#DIV/0!</v>
      </c>
      <c r="R88" s="10" t="e">
        <f t="shared" si="38"/>
        <v>#DIV/0!</v>
      </c>
      <c r="S88" s="10" t="e">
        <f t="shared" si="38"/>
        <v>#DIV/0!</v>
      </c>
      <c r="T88" s="10">
        <f t="shared" si="38"/>
        <v>0</v>
      </c>
      <c r="U88" s="10">
        <f t="shared" si="38"/>
        <v>0.39840637450199201</v>
      </c>
      <c r="V88" s="10">
        <f t="shared" si="38"/>
        <v>2.5236593059936907</v>
      </c>
      <c r="W88" s="10">
        <f t="shared" si="38"/>
        <v>2.358490566037736</v>
      </c>
      <c r="X88" s="10">
        <f t="shared" si="38"/>
        <v>0</v>
      </c>
      <c r="Y88" s="10">
        <f t="shared" si="38"/>
        <v>0</v>
      </c>
      <c r="Z88" s="10">
        <f t="shared" si="38"/>
        <v>0</v>
      </c>
      <c r="AA88" s="10">
        <f t="shared" si="38"/>
        <v>0</v>
      </c>
      <c r="AB88" s="10">
        <f t="shared" si="38"/>
        <v>0</v>
      </c>
      <c r="AC88" s="10">
        <f t="shared" si="38"/>
        <v>0</v>
      </c>
      <c r="AD88" s="10">
        <f t="shared" si="38"/>
        <v>0</v>
      </c>
      <c r="AE88" s="10" t="e">
        <f t="shared" si="38"/>
        <v>#DIV/0!</v>
      </c>
      <c r="AF88" s="10" t="e">
        <f t="shared" si="38"/>
        <v>#DIV/0!</v>
      </c>
      <c r="AG88" s="10" t="e">
        <f t="shared" si="38"/>
        <v>#DIV/0!</v>
      </c>
      <c r="AH88" s="10" t="e">
        <f t="shared" si="38"/>
        <v>#DIV/0!</v>
      </c>
      <c r="AI88" s="21">
        <f>AI81/AI72*100</f>
        <v>0</v>
      </c>
      <c r="AK88" s="115">
        <f>AK81/AK72*100</f>
        <v>0.12000685753471627</v>
      </c>
      <c r="CF88" s="306"/>
      <c r="CG88" s="306"/>
      <c r="CH88" s="306"/>
      <c r="CI88" s="306"/>
      <c r="CJ88" s="306"/>
      <c r="CK88" s="306"/>
      <c r="CL88" s="306"/>
      <c r="CM88" s="306"/>
      <c r="CN88" s="306"/>
      <c r="CO88" s="306"/>
      <c r="CX88" s="306"/>
    </row>
    <row r="89" spans="2:102 15068:15460" s="3" customFormat="1" x14ac:dyDescent="0.3">
      <c r="B89" s="70">
        <v>5</v>
      </c>
      <c r="C89" s="72" t="s">
        <v>53</v>
      </c>
      <c r="D89" s="88"/>
      <c r="E89" s="19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89"/>
      <c r="AD89" s="6"/>
      <c r="AE89" s="6"/>
      <c r="AF89" s="6"/>
      <c r="AG89" s="53"/>
      <c r="AH89" s="53"/>
      <c r="AI89" s="61"/>
      <c r="AJ89" s="90"/>
      <c r="AK89" s="152" t="s">
        <v>45</v>
      </c>
      <c r="CF89" s="17"/>
      <c r="CG89" s="17"/>
      <c r="CH89" s="306"/>
      <c r="CI89" s="306"/>
      <c r="CJ89" s="17"/>
      <c r="CK89" s="306"/>
      <c r="CL89" s="17"/>
      <c r="CM89" s="17"/>
      <c r="CN89" s="17"/>
      <c r="CO89" s="17"/>
      <c r="CX89" s="17"/>
      <c r="VGN89" s="300"/>
      <c r="VGO89" s="300"/>
      <c r="VGP89" s="300"/>
      <c r="VGQ89" s="300"/>
      <c r="VGR89" s="300"/>
      <c r="VGS89" s="300"/>
      <c r="VGT89" s="300"/>
      <c r="VGU89" s="300"/>
      <c r="VGV89" s="300"/>
      <c r="VGW89" s="300"/>
      <c r="VGX89" s="300"/>
      <c r="VGY89" s="300"/>
      <c r="VGZ89" s="300"/>
      <c r="VHA89" s="300"/>
      <c r="VHB89" s="300"/>
      <c r="VHC89" s="300"/>
      <c r="VHD89" s="300"/>
      <c r="VHE89" s="300"/>
      <c r="VHF89" s="300"/>
      <c r="VHG89" s="300"/>
      <c r="VHH89" s="300"/>
      <c r="VHI89" s="300"/>
      <c r="VHJ89" s="300"/>
      <c r="VHK89" s="300"/>
      <c r="VHL89" s="300"/>
      <c r="VHM89" s="300"/>
      <c r="VHN89" s="300"/>
      <c r="VHO89" s="300"/>
      <c r="VHP89" s="300"/>
      <c r="VHQ89" s="300"/>
      <c r="VHR89" s="300"/>
      <c r="VHS89" s="300"/>
      <c r="VHT89" s="300"/>
      <c r="VHU89" s="300"/>
      <c r="VHV89" s="300"/>
      <c r="VHW89" s="300"/>
      <c r="VHX89" s="300"/>
      <c r="VHY89" s="300"/>
      <c r="VHZ89" s="300"/>
      <c r="VIA89" s="300"/>
      <c r="VIB89" s="300"/>
      <c r="VIC89" s="300"/>
      <c r="VID89" s="300"/>
      <c r="VIE89" s="300"/>
      <c r="VIF89" s="300"/>
      <c r="VIG89" s="300"/>
      <c r="VIH89" s="300"/>
      <c r="VII89" s="300"/>
      <c r="VIJ89" s="300"/>
      <c r="VIK89" s="300"/>
      <c r="VIL89" s="300"/>
      <c r="VIM89" s="300"/>
      <c r="VIN89" s="300"/>
      <c r="VIO89" s="300"/>
      <c r="VIP89" s="300"/>
      <c r="VIQ89" s="300"/>
      <c r="VIR89" s="300"/>
      <c r="VIS89" s="300"/>
      <c r="VIT89" s="300"/>
      <c r="VIU89" s="300"/>
      <c r="VIV89" s="300"/>
      <c r="VIW89" s="300"/>
      <c r="VIX89" s="300"/>
      <c r="VIY89" s="300"/>
      <c r="VIZ89" s="300"/>
      <c r="VJA89" s="300"/>
      <c r="VJB89" s="300"/>
      <c r="VJC89" s="300"/>
      <c r="VJD89" s="300"/>
      <c r="VJE89" s="300"/>
      <c r="VJF89" s="300"/>
      <c r="VJG89" s="300"/>
      <c r="VJH89" s="300"/>
      <c r="VJI89" s="300"/>
      <c r="VJJ89" s="300"/>
      <c r="VJK89" s="300"/>
      <c r="VJL89" s="300"/>
      <c r="VJM89" s="300"/>
      <c r="VJN89" s="300"/>
      <c r="VJO89" s="300"/>
      <c r="VJP89" s="300"/>
      <c r="VJQ89" s="300"/>
      <c r="VJR89" s="300"/>
      <c r="VJS89" s="300"/>
      <c r="VJT89" s="300"/>
      <c r="VJU89" s="300"/>
      <c r="VJV89" s="300"/>
      <c r="VJW89" s="300"/>
      <c r="VJX89" s="300"/>
      <c r="VJY89" s="300"/>
      <c r="VJZ89" s="300"/>
      <c r="VKA89" s="300"/>
      <c r="VKB89" s="300"/>
      <c r="VKC89" s="300"/>
      <c r="VKD89" s="300"/>
      <c r="VKE89" s="300"/>
      <c r="VKF89" s="300"/>
      <c r="VKG89" s="300"/>
      <c r="VKH89" s="300"/>
      <c r="VKI89" s="300"/>
      <c r="VKJ89" s="300"/>
      <c r="VKK89" s="300"/>
      <c r="VKL89" s="300"/>
      <c r="VKM89" s="300"/>
      <c r="VKN89" s="300"/>
      <c r="VKO89" s="300"/>
      <c r="VKP89" s="300"/>
      <c r="VKQ89" s="300"/>
      <c r="VKR89" s="300"/>
      <c r="VKS89" s="300"/>
      <c r="VKT89" s="300"/>
      <c r="VKU89" s="300"/>
      <c r="VKV89" s="300"/>
      <c r="VKW89" s="300"/>
      <c r="VKX89" s="300"/>
      <c r="VKY89" s="300"/>
      <c r="VKZ89" s="300"/>
      <c r="VLA89" s="300"/>
      <c r="VLB89" s="300"/>
      <c r="VLC89" s="300"/>
      <c r="VLD89" s="300"/>
      <c r="VLE89" s="300"/>
      <c r="VLF89" s="300"/>
      <c r="VLG89" s="300"/>
      <c r="VLH89" s="300"/>
      <c r="VLI89" s="300"/>
      <c r="VLJ89" s="300"/>
      <c r="VLK89" s="300"/>
      <c r="VLL89" s="300"/>
      <c r="VLM89" s="300"/>
      <c r="VLN89" s="300"/>
      <c r="VLO89" s="300"/>
      <c r="VLP89" s="300"/>
      <c r="VLQ89" s="300"/>
      <c r="VLR89" s="300"/>
      <c r="VLS89" s="300"/>
      <c r="VLT89" s="300"/>
      <c r="VLU89" s="300"/>
      <c r="VLV89" s="300"/>
      <c r="VLW89" s="300"/>
      <c r="VLX89" s="300"/>
      <c r="VLY89" s="300"/>
      <c r="VLZ89" s="300"/>
      <c r="VMA89" s="300"/>
      <c r="VMB89" s="300"/>
      <c r="VMC89" s="300"/>
      <c r="VMD89" s="300"/>
      <c r="VME89" s="300"/>
      <c r="VMF89" s="300"/>
      <c r="VMG89" s="300"/>
      <c r="VMH89" s="300"/>
      <c r="VMI89" s="300"/>
      <c r="VMJ89" s="300"/>
      <c r="VMK89" s="300"/>
      <c r="VML89" s="300"/>
      <c r="VMM89" s="300"/>
      <c r="VMN89" s="300"/>
      <c r="VMO89" s="300"/>
      <c r="VMP89" s="300"/>
      <c r="VMQ89" s="300"/>
      <c r="VMR89" s="300"/>
      <c r="VMS89" s="300"/>
      <c r="VMT89" s="300"/>
      <c r="VMU89" s="300"/>
      <c r="VMV89" s="300"/>
      <c r="VMW89" s="300"/>
      <c r="VMX89" s="300"/>
      <c r="VMY89" s="300"/>
      <c r="VMZ89" s="300"/>
      <c r="VNA89" s="300"/>
      <c r="VNB89" s="300"/>
      <c r="VNC89" s="300"/>
      <c r="VND89" s="300"/>
      <c r="VNE89" s="300"/>
      <c r="VNF89" s="300"/>
      <c r="VNG89" s="300"/>
      <c r="VNH89" s="300"/>
      <c r="VNI89" s="300"/>
      <c r="VNJ89" s="300"/>
      <c r="VNK89" s="300"/>
      <c r="VNL89" s="300"/>
      <c r="VNM89" s="300"/>
      <c r="VNN89" s="300"/>
      <c r="VNO89" s="300"/>
      <c r="VNP89" s="300"/>
      <c r="VNQ89" s="300"/>
      <c r="VNR89" s="300"/>
      <c r="VNS89" s="300"/>
      <c r="VNT89" s="300"/>
      <c r="VNU89" s="300"/>
      <c r="VNV89" s="300"/>
      <c r="VNW89" s="300"/>
      <c r="VNX89" s="300"/>
      <c r="VNY89" s="300"/>
      <c r="VNZ89" s="300"/>
      <c r="VOA89" s="300"/>
      <c r="VOB89" s="300"/>
      <c r="VOC89" s="300"/>
      <c r="VOD89" s="300"/>
      <c r="VOE89" s="300"/>
      <c r="VOF89" s="300"/>
      <c r="VOG89" s="300"/>
      <c r="VOH89" s="300"/>
      <c r="VOI89" s="300"/>
      <c r="VOJ89" s="300"/>
      <c r="VOK89" s="300"/>
      <c r="VOL89" s="300"/>
      <c r="VOM89" s="300"/>
      <c r="VON89" s="300"/>
      <c r="VOO89" s="300"/>
      <c r="VOP89" s="300"/>
      <c r="VOQ89" s="300"/>
      <c r="VOR89" s="300"/>
      <c r="VOS89" s="300"/>
      <c r="VOT89" s="300"/>
      <c r="VOU89" s="300"/>
      <c r="VOV89" s="300"/>
      <c r="VOW89" s="300"/>
      <c r="VOX89" s="300"/>
      <c r="VOY89" s="300"/>
      <c r="VOZ89" s="300"/>
      <c r="VPA89" s="300"/>
      <c r="VPB89" s="300"/>
      <c r="VPC89" s="300"/>
      <c r="VPD89" s="300"/>
      <c r="VPE89" s="300"/>
      <c r="VPF89" s="300"/>
      <c r="VPG89" s="300"/>
      <c r="VPH89" s="300"/>
      <c r="VPI89" s="300"/>
      <c r="VPJ89" s="300"/>
      <c r="VPK89" s="300"/>
      <c r="VPL89" s="300"/>
      <c r="VPM89" s="300"/>
      <c r="VPN89" s="300"/>
      <c r="VPO89" s="300"/>
      <c r="VPP89" s="300"/>
      <c r="VPQ89" s="300"/>
      <c r="VPR89" s="300"/>
      <c r="VPS89" s="300"/>
      <c r="VPT89" s="300"/>
      <c r="VPU89" s="300"/>
      <c r="VPV89" s="300"/>
      <c r="VPW89" s="300"/>
      <c r="VPX89" s="300"/>
      <c r="VPY89" s="300"/>
      <c r="VPZ89" s="300"/>
      <c r="VQA89" s="300"/>
      <c r="VQB89" s="300"/>
      <c r="VQC89" s="300"/>
      <c r="VQD89" s="300"/>
      <c r="VQE89" s="300"/>
      <c r="VQF89" s="300"/>
      <c r="VQG89" s="300"/>
      <c r="VQH89" s="300"/>
      <c r="VQI89" s="300"/>
      <c r="VQJ89" s="300"/>
      <c r="VQK89" s="300"/>
      <c r="VQL89" s="300"/>
      <c r="VQM89" s="300"/>
      <c r="VQN89" s="300"/>
      <c r="VQO89" s="300"/>
      <c r="VQP89" s="300"/>
      <c r="VQQ89" s="300"/>
      <c r="VQR89" s="300"/>
      <c r="VQS89" s="300"/>
      <c r="VQT89" s="300"/>
      <c r="VQU89" s="300"/>
      <c r="VQV89" s="300"/>
      <c r="VQW89" s="300"/>
      <c r="VQX89" s="300"/>
      <c r="VQY89" s="300"/>
      <c r="VQZ89" s="300"/>
      <c r="VRA89" s="300"/>
      <c r="VRB89" s="300"/>
      <c r="VRC89" s="300"/>
      <c r="VRD89" s="300"/>
      <c r="VRE89" s="300"/>
      <c r="VRF89" s="300"/>
      <c r="VRG89" s="300"/>
      <c r="VRH89" s="300"/>
      <c r="VRI89" s="300"/>
      <c r="VRJ89" s="300"/>
      <c r="VRK89" s="300"/>
      <c r="VRL89" s="300"/>
      <c r="VRM89" s="300"/>
      <c r="VRN89" s="300"/>
      <c r="VRO89" s="300"/>
      <c r="VRP89" s="300"/>
      <c r="VRQ89" s="300"/>
      <c r="VRR89" s="300"/>
      <c r="VRS89" s="300"/>
      <c r="VRT89" s="300"/>
      <c r="VRU89" s="300"/>
      <c r="VRV89" s="300"/>
      <c r="VRW89" s="300"/>
      <c r="VRX89" s="300"/>
      <c r="VRY89" s="300"/>
      <c r="VRZ89" s="300"/>
      <c r="VSA89" s="300"/>
      <c r="VSB89" s="300"/>
      <c r="VSC89" s="300"/>
      <c r="VSD89" s="300"/>
      <c r="VSE89" s="300"/>
      <c r="VSF89" s="300"/>
      <c r="VSG89" s="300"/>
      <c r="VSH89" s="300"/>
      <c r="VSI89" s="300"/>
      <c r="VSJ89" s="300"/>
      <c r="VSK89" s="300"/>
      <c r="VSL89" s="300"/>
      <c r="VSM89" s="300"/>
      <c r="VSN89" s="300"/>
      <c r="VSO89" s="300"/>
      <c r="VSP89" s="300"/>
      <c r="VSQ89" s="300"/>
      <c r="VSR89" s="300"/>
      <c r="VSS89" s="300"/>
      <c r="VST89" s="300"/>
      <c r="VSU89" s="300"/>
      <c r="VSV89" s="300"/>
      <c r="VSW89" s="300"/>
      <c r="VSX89" s="300"/>
      <c r="VSY89" s="300"/>
      <c r="VSZ89" s="300"/>
      <c r="VTA89" s="300"/>
      <c r="VTB89" s="300"/>
      <c r="VTC89" s="300"/>
      <c r="VTD89" s="300"/>
      <c r="VTE89" s="300"/>
      <c r="VTF89" s="300"/>
      <c r="VTG89" s="300"/>
      <c r="VTH89" s="300"/>
      <c r="VTI89" s="300"/>
      <c r="VTJ89" s="300"/>
      <c r="VTK89" s="300"/>
      <c r="VTL89" s="300"/>
      <c r="VTM89" s="300"/>
      <c r="VTN89" s="300"/>
      <c r="VTO89" s="300"/>
      <c r="VTP89" s="300"/>
      <c r="VTQ89" s="300"/>
      <c r="VTR89" s="300"/>
      <c r="VTS89" s="300"/>
      <c r="VTT89" s="300"/>
      <c r="VTU89" s="300"/>
      <c r="VTV89" s="300"/>
      <c r="VTW89" s="300"/>
      <c r="VTX89" s="300"/>
      <c r="VTY89" s="300"/>
      <c r="VTZ89" s="300"/>
      <c r="VUA89" s="300"/>
      <c r="VUB89" s="300"/>
      <c r="VUC89" s="300"/>
      <c r="VUD89" s="300"/>
      <c r="VUE89" s="300"/>
      <c r="VUF89" s="300"/>
      <c r="VUG89" s="300"/>
      <c r="VUH89" s="300"/>
      <c r="VUI89" s="300"/>
      <c r="VUJ89" s="300"/>
      <c r="VUK89" s="300"/>
      <c r="VUL89" s="300"/>
      <c r="VUM89" s="300"/>
      <c r="VUN89" s="300"/>
      <c r="VUO89" s="300"/>
      <c r="VUP89" s="300"/>
      <c r="VUQ89" s="300"/>
      <c r="VUR89" s="300"/>
      <c r="VUS89" s="300"/>
      <c r="VUT89" s="300"/>
      <c r="VUU89" s="300"/>
      <c r="VUV89" s="300"/>
      <c r="VUW89" s="300"/>
      <c r="VUX89" s="300"/>
      <c r="VUY89" s="300"/>
      <c r="VUZ89" s="300"/>
      <c r="VVA89" s="300"/>
      <c r="VVB89" s="300"/>
      <c r="VVC89" s="300"/>
      <c r="VVD89" s="300"/>
      <c r="VVE89" s="300"/>
      <c r="VVF89" s="300"/>
      <c r="VVG89" s="300"/>
      <c r="VVH89" s="300"/>
      <c r="VVI89" s="300"/>
      <c r="VVJ89" s="300"/>
      <c r="VVK89" s="300"/>
      <c r="VVL89" s="300"/>
      <c r="VVM89" s="300"/>
      <c r="VVN89" s="300"/>
      <c r="VVO89" s="300"/>
      <c r="VVP89" s="300"/>
    </row>
    <row r="90" spans="2:102 15068:15460" s="3" customFormat="1" ht="13.8" x14ac:dyDescent="0.25">
      <c r="B90" s="122"/>
      <c r="C90" s="73" t="s">
        <v>52</v>
      </c>
      <c r="D90" s="195"/>
      <c r="E90" s="8" t="s">
        <v>16</v>
      </c>
      <c r="F90" s="58"/>
      <c r="G90" s="58">
        <v>41977.52</v>
      </c>
      <c r="H90" s="58"/>
      <c r="I90" s="10"/>
      <c r="J90" s="7"/>
      <c r="K90" s="58"/>
      <c r="L90" s="58"/>
      <c r="M90" s="58"/>
      <c r="N90" s="58"/>
      <c r="O90" s="58"/>
      <c r="P90" s="12"/>
      <c r="Q90" s="58">
        <v>27826.94</v>
      </c>
      <c r="R90" s="58"/>
      <c r="S90" s="58"/>
      <c r="T90" s="58"/>
      <c r="U90" s="58"/>
      <c r="V90" s="58">
        <v>41599.230000000003</v>
      </c>
      <c r="W90" s="1"/>
      <c r="X90" s="7">
        <v>41554.89</v>
      </c>
      <c r="Y90" s="7"/>
      <c r="Z90" s="7"/>
      <c r="AA90" s="7"/>
      <c r="AB90" s="7"/>
      <c r="AC90" s="7"/>
      <c r="AD90" s="10">
        <v>42456.27</v>
      </c>
      <c r="AE90" s="58">
        <f>36809.97+21.72</f>
        <v>36831.69</v>
      </c>
      <c r="AF90" s="7">
        <f>40543.1+145676.95</f>
        <v>186220.05000000002</v>
      </c>
      <c r="AG90" s="7"/>
      <c r="AH90" s="7">
        <v>157969.57999999999</v>
      </c>
      <c r="AI90" s="39">
        <f>41041.75+165970.66</f>
        <v>207012.41</v>
      </c>
      <c r="AJ90" s="199"/>
      <c r="AK90" s="194">
        <f>SUM(F90:AI90)</f>
        <v>783448.58000000007</v>
      </c>
      <c r="CF90" s="17"/>
      <c r="CG90" s="306"/>
      <c r="CH90" s="306"/>
      <c r="CI90" s="306"/>
      <c r="CJ90" s="17"/>
      <c r="CK90" s="306"/>
      <c r="CL90" s="306"/>
      <c r="CM90" s="306"/>
      <c r="CN90" s="306"/>
      <c r="CO90" s="306"/>
      <c r="CX90" s="306"/>
    </row>
    <row r="91" spans="2:102 15068:15460" s="3" customFormat="1" x14ac:dyDescent="0.3">
      <c r="B91" s="122"/>
      <c r="C91" s="74" t="s">
        <v>44</v>
      </c>
      <c r="D91" s="118"/>
      <c r="E91" s="8" t="s">
        <v>16</v>
      </c>
      <c r="F91" s="10">
        <f t="shared" ref="F91:AF91" si="39">SUM(F95:F96)*10.86</f>
        <v>0</v>
      </c>
      <c r="G91" s="10">
        <f>SUM(G95:G96)*10.86</f>
        <v>42082.5</v>
      </c>
      <c r="H91" s="10">
        <f t="shared" si="39"/>
        <v>0</v>
      </c>
      <c r="I91" s="10">
        <f t="shared" si="39"/>
        <v>0</v>
      </c>
      <c r="J91" s="10">
        <f t="shared" si="39"/>
        <v>0</v>
      </c>
      <c r="K91" s="10">
        <f t="shared" si="39"/>
        <v>0</v>
      </c>
      <c r="L91" s="10">
        <f t="shared" si="39"/>
        <v>0</v>
      </c>
      <c r="M91" s="10">
        <f t="shared" si="39"/>
        <v>0</v>
      </c>
      <c r="N91" s="10">
        <f t="shared" si="39"/>
        <v>0</v>
      </c>
      <c r="O91" s="10">
        <f t="shared" si="39"/>
        <v>0</v>
      </c>
      <c r="P91" s="10">
        <f t="shared" si="39"/>
        <v>0</v>
      </c>
      <c r="Q91" s="10">
        <f t="shared" si="39"/>
        <v>27899.34</v>
      </c>
      <c r="R91" s="10">
        <f t="shared" si="39"/>
        <v>0</v>
      </c>
      <c r="S91" s="10">
        <f t="shared" si="39"/>
        <v>0</v>
      </c>
      <c r="T91" s="10">
        <f t="shared" si="39"/>
        <v>0</v>
      </c>
      <c r="U91" s="10">
        <f t="shared" si="39"/>
        <v>0</v>
      </c>
      <c r="V91" s="10">
        <f t="shared" si="39"/>
        <v>41713.259999999995</v>
      </c>
      <c r="W91" s="10">
        <f>SUM(W95:W96)*10.86</f>
        <v>0</v>
      </c>
      <c r="X91" s="10">
        <f t="shared" si="39"/>
        <v>41637.24</v>
      </c>
      <c r="Y91" s="10">
        <f t="shared" si="39"/>
        <v>0</v>
      </c>
      <c r="Z91" s="10">
        <f t="shared" si="39"/>
        <v>0</v>
      </c>
      <c r="AA91" s="10">
        <f t="shared" si="39"/>
        <v>0</v>
      </c>
      <c r="AB91" s="10">
        <f t="shared" si="39"/>
        <v>0</v>
      </c>
      <c r="AC91" s="10">
        <f t="shared" si="39"/>
        <v>0</v>
      </c>
      <c r="AD91" s="10">
        <f t="shared" si="39"/>
        <v>42451.74</v>
      </c>
      <c r="AE91" s="10">
        <f t="shared" si="39"/>
        <v>36891.42</v>
      </c>
      <c r="AF91" s="10">
        <f t="shared" si="39"/>
        <v>198759.72</v>
      </c>
      <c r="AG91" s="10">
        <f>SUM(AG95:AG96)*10.86</f>
        <v>0</v>
      </c>
      <c r="AH91" s="10">
        <f>SUM(AH95:AH96)*10.86</f>
        <v>157947.84</v>
      </c>
      <c r="AI91" s="21">
        <f>SUM(AI95:AI96)*10.86</f>
        <v>207013.31999999998</v>
      </c>
      <c r="AK91" s="115">
        <f>SUM(F91:AI91)</f>
        <v>796396.37999999989</v>
      </c>
      <c r="CF91" s="320"/>
      <c r="CG91" s="314"/>
      <c r="CH91" s="314"/>
      <c r="CI91" s="314"/>
      <c r="CJ91" s="314"/>
      <c r="CK91" s="314"/>
      <c r="CL91" s="306"/>
      <c r="CM91" s="306"/>
      <c r="CN91" s="306"/>
      <c r="CO91" s="306"/>
      <c r="CX91" s="306"/>
    </row>
    <row r="92" spans="2:102 15068:15460" s="3" customFormat="1" x14ac:dyDescent="0.3">
      <c r="B92" s="122"/>
      <c r="C92" s="74" t="s">
        <v>43</v>
      </c>
      <c r="D92" s="118"/>
      <c r="E92" s="8" t="s">
        <v>16</v>
      </c>
      <c r="F92" s="10">
        <f t="shared" ref="F92:AF92" si="40">F90-F91</f>
        <v>0</v>
      </c>
      <c r="G92" s="10">
        <f t="shared" si="40"/>
        <v>-104.9800000000032</v>
      </c>
      <c r="H92" s="10">
        <f t="shared" si="40"/>
        <v>0</v>
      </c>
      <c r="I92" s="10">
        <f t="shared" si="40"/>
        <v>0</v>
      </c>
      <c r="J92" s="10">
        <f t="shared" si="40"/>
        <v>0</v>
      </c>
      <c r="K92" s="10">
        <f t="shared" si="40"/>
        <v>0</v>
      </c>
      <c r="L92" s="10">
        <f t="shared" si="40"/>
        <v>0</v>
      </c>
      <c r="M92" s="10">
        <f t="shared" si="40"/>
        <v>0</v>
      </c>
      <c r="N92" s="10">
        <f t="shared" si="40"/>
        <v>0</v>
      </c>
      <c r="O92" s="10">
        <f t="shared" si="40"/>
        <v>0</v>
      </c>
      <c r="P92" s="10">
        <f t="shared" si="40"/>
        <v>0</v>
      </c>
      <c r="Q92" s="10">
        <f t="shared" si="40"/>
        <v>-72.400000000001455</v>
      </c>
      <c r="R92" s="10">
        <f t="shared" si="40"/>
        <v>0</v>
      </c>
      <c r="S92" s="10">
        <f t="shared" si="40"/>
        <v>0</v>
      </c>
      <c r="T92" s="10">
        <f t="shared" si="40"/>
        <v>0</v>
      </c>
      <c r="U92" s="10">
        <f t="shared" si="40"/>
        <v>0</v>
      </c>
      <c r="V92" s="10">
        <f t="shared" si="40"/>
        <v>-114.02999999999156</v>
      </c>
      <c r="W92" s="10">
        <f t="shared" si="40"/>
        <v>0</v>
      </c>
      <c r="X92" s="10">
        <f t="shared" si="40"/>
        <v>-82.349999999998545</v>
      </c>
      <c r="Y92" s="10">
        <f t="shared" si="40"/>
        <v>0</v>
      </c>
      <c r="Z92" s="10">
        <f t="shared" si="40"/>
        <v>0</v>
      </c>
      <c r="AA92" s="10">
        <f t="shared" si="40"/>
        <v>0</v>
      </c>
      <c r="AB92" s="10">
        <f t="shared" si="40"/>
        <v>0</v>
      </c>
      <c r="AC92" s="10">
        <f t="shared" si="40"/>
        <v>0</v>
      </c>
      <c r="AD92" s="10">
        <f t="shared" si="40"/>
        <v>4.5299999999988358</v>
      </c>
      <c r="AE92" s="10">
        <f t="shared" si="40"/>
        <v>-59.729999999995925</v>
      </c>
      <c r="AF92" s="10">
        <f t="shared" si="40"/>
        <v>-12539.669999999984</v>
      </c>
      <c r="AG92" s="10">
        <f>AG90-AG91</f>
        <v>0</v>
      </c>
      <c r="AH92" s="10">
        <f>AH90-AH91</f>
        <v>21.739999999990687</v>
      </c>
      <c r="AI92" s="21">
        <f>AI90-AI91</f>
        <v>-0.90999999997438863</v>
      </c>
      <c r="AK92" s="115">
        <f>SUM(F92:AI92)</f>
        <v>-12947.799999999959</v>
      </c>
      <c r="CF92" s="306"/>
      <c r="CG92" s="306"/>
      <c r="CH92" s="306"/>
      <c r="CI92" s="306"/>
      <c r="CJ92" s="306"/>
      <c r="CK92" s="306"/>
      <c r="CL92" s="306"/>
      <c r="CM92" s="306"/>
      <c r="CN92" s="306"/>
      <c r="CO92" s="306"/>
      <c r="CX92" s="306"/>
    </row>
    <row r="93" spans="2:102 15068:15460" s="3" customFormat="1" x14ac:dyDescent="0.3">
      <c r="B93" s="122"/>
      <c r="C93" s="74" t="s">
        <v>56</v>
      </c>
      <c r="D93" s="118"/>
      <c r="E93" s="5" t="s">
        <v>16</v>
      </c>
      <c r="F93" s="10">
        <v>0</v>
      </c>
      <c r="G93" s="10"/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/>
      <c r="T93" s="10">
        <v>0</v>
      </c>
      <c r="U93" s="10">
        <v>0</v>
      </c>
      <c r="V93" s="10"/>
      <c r="W93" s="10">
        <v>0</v>
      </c>
      <c r="X93" s="10">
        <v>0</v>
      </c>
      <c r="Y93" s="10"/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/>
      <c r="AF93" s="10">
        <v>0</v>
      </c>
      <c r="AG93" s="10">
        <v>0</v>
      </c>
      <c r="AH93" s="10">
        <v>0</v>
      </c>
      <c r="AI93" s="21">
        <v>0</v>
      </c>
      <c r="AK93" s="115">
        <f>SUM(F93:AI93)</f>
        <v>0</v>
      </c>
      <c r="CX93" s="306"/>
    </row>
    <row r="94" spans="2:102 15068:15460" s="3" customFormat="1" x14ac:dyDescent="0.3">
      <c r="B94" s="122"/>
      <c r="C94" s="74" t="s">
        <v>33</v>
      </c>
      <c r="D94" s="118"/>
      <c r="E94" s="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22"/>
      <c r="AK94" s="121" t="s">
        <v>33</v>
      </c>
      <c r="CF94" s="306"/>
      <c r="CG94" s="306"/>
      <c r="CH94" s="306"/>
      <c r="CI94" s="306"/>
      <c r="CJ94" s="306"/>
      <c r="CK94" s="306"/>
      <c r="CL94" s="306"/>
      <c r="CM94" s="306"/>
      <c r="CN94" s="306"/>
      <c r="CO94" s="306"/>
      <c r="CX94" s="306"/>
    </row>
    <row r="95" spans="2:102 15068:15460" s="67" customFormat="1" ht="13.8" x14ac:dyDescent="0.3">
      <c r="B95" s="144"/>
      <c r="C95" s="75" t="s">
        <v>51</v>
      </c>
      <c r="D95" s="102"/>
      <c r="E95" s="18" t="s">
        <v>36</v>
      </c>
      <c r="F95" s="7"/>
      <c r="G95" s="7">
        <v>3875</v>
      </c>
      <c r="H95" s="7"/>
      <c r="I95" s="7"/>
      <c r="J95" s="7"/>
      <c r="K95" s="7"/>
      <c r="L95" s="7"/>
      <c r="M95" s="7"/>
      <c r="N95" s="7"/>
      <c r="O95" s="7"/>
      <c r="P95" s="7"/>
      <c r="Q95" s="7">
        <v>2569</v>
      </c>
      <c r="R95" s="7"/>
      <c r="S95" s="7"/>
      <c r="T95" s="7"/>
      <c r="U95" s="7"/>
      <c r="V95" s="7">
        <v>3841</v>
      </c>
      <c r="W95" s="7"/>
      <c r="X95" s="7">
        <v>3834</v>
      </c>
      <c r="Y95" s="7"/>
      <c r="Z95" s="7"/>
      <c r="AA95" s="7"/>
      <c r="AB95" s="7"/>
      <c r="AC95" s="7"/>
      <c r="AD95" s="7">
        <v>3909</v>
      </c>
      <c r="AE95" s="7">
        <v>3397</v>
      </c>
      <c r="AF95" s="7">
        <v>4868</v>
      </c>
      <c r="AG95" s="7">
        <v>0</v>
      </c>
      <c r="AH95" s="7">
        <v>0</v>
      </c>
      <c r="AI95" s="39">
        <v>3781</v>
      </c>
      <c r="AK95" s="208">
        <f>SUM(F95:AI95)</f>
        <v>30074</v>
      </c>
      <c r="CF95" s="318"/>
      <c r="CG95" s="318"/>
      <c r="CH95" s="318"/>
      <c r="CI95" s="318"/>
      <c r="CJ95" s="318"/>
      <c r="CK95" s="318"/>
      <c r="CL95" s="318"/>
      <c r="CM95" s="318"/>
      <c r="CN95" s="318"/>
      <c r="CO95" s="318"/>
      <c r="CX95" s="318"/>
    </row>
    <row r="96" spans="2:102 15068:15460" s="67" customFormat="1" ht="13.8" x14ac:dyDescent="0.25">
      <c r="B96" s="144"/>
      <c r="C96" s="75" t="s">
        <v>50</v>
      </c>
      <c r="D96" s="102"/>
      <c r="E96" s="18" t="s">
        <v>36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1"/>
      <c r="AE96" s="7"/>
      <c r="AF96" s="7">
        <v>13434</v>
      </c>
      <c r="AG96" s="7">
        <v>0</v>
      </c>
      <c r="AH96" s="7">
        <v>14544</v>
      </c>
      <c r="AI96" s="39">
        <v>15281</v>
      </c>
      <c r="AK96" s="208">
        <f>SUM(F96:AI96)</f>
        <v>43259</v>
      </c>
      <c r="CF96" s="318"/>
      <c r="CG96" s="318"/>
      <c r="CH96" s="318"/>
      <c r="CI96" s="318"/>
      <c r="CJ96" s="318"/>
      <c r="CK96" s="318"/>
      <c r="CL96" s="318"/>
      <c r="CM96" s="318"/>
      <c r="CN96" s="318"/>
      <c r="CO96" s="318"/>
      <c r="CX96" s="318"/>
    </row>
    <row r="97" spans="2:102 15068:15460" s="3" customFormat="1" x14ac:dyDescent="0.3">
      <c r="B97" s="122"/>
      <c r="C97" s="74" t="s">
        <v>32</v>
      </c>
      <c r="D97" s="118"/>
      <c r="E97" s="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22"/>
      <c r="AK97" s="121" t="s">
        <v>32</v>
      </c>
      <c r="CF97" s="306"/>
      <c r="CG97" s="306"/>
      <c r="CH97" s="306"/>
      <c r="CI97" s="306"/>
      <c r="CJ97" s="306"/>
      <c r="CK97" s="306"/>
      <c r="CL97" s="306"/>
      <c r="CM97" s="306"/>
      <c r="CN97" s="306"/>
      <c r="CO97" s="306"/>
      <c r="CX97" s="306"/>
    </row>
    <row r="98" spans="2:102 15068:15460" s="3" customFormat="1" ht="13.8" x14ac:dyDescent="0.25">
      <c r="B98" s="122"/>
      <c r="C98" s="75" t="s">
        <v>51</v>
      </c>
      <c r="D98" s="118"/>
      <c r="E98" s="8" t="s">
        <v>32</v>
      </c>
      <c r="F98" s="1">
        <f t="shared" ref="F98:AF98" si="41">F95*12</f>
        <v>0</v>
      </c>
      <c r="G98" s="1">
        <f t="shared" si="41"/>
        <v>46500</v>
      </c>
      <c r="H98" s="1">
        <f t="shared" si="41"/>
        <v>0</v>
      </c>
      <c r="I98" s="1">
        <f t="shared" si="41"/>
        <v>0</v>
      </c>
      <c r="J98" s="1">
        <f t="shared" si="41"/>
        <v>0</v>
      </c>
      <c r="K98" s="1">
        <f t="shared" si="41"/>
        <v>0</v>
      </c>
      <c r="L98" s="1">
        <f t="shared" si="41"/>
        <v>0</v>
      </c>
      <c r="M98" s="1">
        <f t="shared" si="41"/>
        <v>0</v>
      </c>
      <c r="N98" s="1">
        <f t="shared" si="41"/>
        <v>0</v>
      </c>
      <c r="O98" s="1">
        <f t="shared" si="41"/>
        <v>0</v>
      </c>
      <c r="P98" s="1">
        <f t="shared" si="41"/>
        <v>0</v>
      </c>
      <c r="Q98" s="1">
        <f t="shared" si="41"/>
        <v>30828</v>
      </c>
      <c r="R98" s="1">
        <f t="shared" si="41"/>
        <v>0</v>
      </c>
      <c r="S98" s="1">
        <f t="shared" si="41"/>
        <v>0</v>
      </c>
      <c r="T98" s="1">
        <f t="shared" si="41"/>
        <v>0</v>
      </c>
      <c r="U98" s="1">
        <f t="shared" si="41"/>
        <v>0</v>
      </c>
      <c r="V98" s="1">
        <f t="shared" si="41"/>
        <v>46092</v>
      </c>
      <c r="W98" s="1">
        <f t="shared" si="41"/>
        <v>0</v>
      </c>
      <c r="X98" s="1">
        <f t="shared" si="41"/>
        <v>46008</v>
      </c>
      <c r="Y98" s="1">
        <f t="shared" si="41"/>
        <v>0</v>
      </c>
      <c r="Z98" s="1">
        <f t="shared" si="41"/>
        <v>0</v>
      </c>
      <c r="AA98" s="1">
        <f t="shared" si="41"/>
        <v>0</v>
      </c>
      <c r="AB98" s="1">
        <f t="shared" si="41"/>
        <v>0</v>
      </c>
      <c r="AC98" s="1">
        <f t="shared" si="41"/>
        <v>0</v>
      </c>
      <c r="AD98" s="1">
        <f t="shared" si="41"/>
        <v>46908</v>
      </c>
      <c r="AE98" s="1">
        <f t="shared" si="41"/>
        <v>40764</v>
      </c>
      <c r="AF98" s="1">
        <f t="shared" si="41"/>
        <v>58416</v>
      </c>
      <c r="AG98" s="1">
        <f>AG95*12</f>
        <v>0</v>
      </c>
      <c r="AH98" s="1">
        <f>AH95*12</f>
        <v>0</v>
      </c>
      <c r="AI98" s="22">
        <f>AI95*12</f>
        <v>45372</v>
      </c>
      <c r="AK98" s="104">
        <f>AK95*12</f>
        <v>360888</v>
      </c>
      <c r="CF98" s="306"/>
      <c r="CG98" s="306"/>
      <c r="CH98" s="306"/>
      <c r="CI98" s="306"/>
      <c r="CJ98" s="306"/>
      <c r="CK98" s="306"/>
      <c r="CL98" s="306"/>
      <c r="CM98" s="306"/>
      <c r="CN98" s="306"/>
      <c r="CO98" s="306"/>
      <c r="CX98" s="306"/>
    </row>
    <row r="99" spans="2:102 15068:15460" s="3" customFormat="1" ht="13.8" x14ac:dyDescent="0.25">
      <c r="B99" s="122"/>
      <c r="C99" s="75" t="s">
        <v>50</v>
      </c>
      <c r="D99" s="118"/>
      <c r="E99" s="8" t="s">
        <v>32</v>
      </c>
      <c r="F99" s="1">
        <f t="shared" ref="F99:AF99" si="42">F96*6</f>
        <v>0</v>
      </c>
      <c r="G99" s="1">
        <f t="shared" si="42"/>
        <v>0</v>
      </c>
      <c r="H99" s="1">
        <f t="shared" si="42"/>
        <v>0</v>
      </c>
      <c r="I99" s="1">
        <f t="shared" si="42"/>
        <v>0</v>
      </c>
      <c r="J99" s="1">
        <f t="shared" si="42"/>
        <v>0</v>
      </c>
      <c r="K99" s="1">
        <f t="shared" si="42"/>
        <v>0</v>
      </c>
      <c r="L99" s="1">
        <f t="shared" si="42"/>
        <v>0</v>
      </c>
      <c r="M99" s="1">
        <f t="shared" si="42"/>
        <v>0</v>
      </c>
      <c r="N99" s="1">
        <f t="shared" si="42"/>
        <v>0</v>
      </c>
      <c r="O99" s="1">
        <f t="shared" si="42"/>
        <v>0</v>
      </c>
      <c r="P99" s="1">
        <f t="shared" si="42"/>
        <v>0</v>
      </c>
      <c r="Q99" s="1">
        <f t="shared" si="42"/>
        <v>0</v>
      </c>
      <c r="R99" s="1">
        <f t="shared" si="42"/>
        <v>0</v>
      </c>
      <c r="S99" s="1">
        <f t="shared" si="42"/>
        <v>0</v>
      </c>
      <c r="T99" s="1">
        <f t="shared" si="42"/>
        <v>0</v>
      </c>
      <c r="U99" s="1">
        <f t="shared" si="42"/>
        <v>0</v>
      </c>
      <c r="V99" s="1">
        <f t="shared" si="42"/>
        <v>0</v>
      </c>
      <c r="W99" s="1">
        <f t="shared" si="42"/>
        <v>0</v>
      </c>
      <c r="X99" s="1">
        <f t="shared" si="42"/>
        <v>0</v>
      </c>
      <c r="Y99" s="1">
        <f t="shared" si="42"/>
        <v>0</v>
      </c>
      <c r="Z99" s="1">
        <f t="shared" si="42"/>
        <v>0</v>
      </c>
      <c r="AA99" s="1">
        <f t="shared" si="42"/>
        <v>0</v>
      </c>
      <c r="AB99" s="1">
        <f t="shared" si="42"/>
        <v>0</v>
      </c>
      <c r="AC99" s="1">
        <f t="shared" si="42"/>
        <v>0</v>
      </c>
      <c r="AD99" s="1">
        <f t="shared" si="42"/>
        <v>0</v>
      </c>
      <c r="AE99" s="1">
        <f t="shared" si="42"/>
        <v>0</v>
      </c>
      <c r="AF99" s="1">
        <f t="shared" si="42"/>
        <v>80604</v>
      </c>
      <c r="AG99" s="1">
        <f>AG96*6</f>
        <v>0</v>
      </c>
      <c r="AH99" s="1">
        <f>AH96*6</f>
        <v>87264</v>
      </c>
      <c r="AI99" s="22">
        <f>AI96*6</f>
        <v>91686</v>
      </c>
      <c r="AK99" s="104">
        <f>AK96*6</f>
        <v>259554</v>
      </c>
      <c r="CF99" s="306"/>
      <c r="CG99" s="306"/>
      <c r="CH99" s="306"/>
      <c r="CI99" s="306"/>
      <c r="CJ99" s="306"/>
      <c r="CK99" s="306"/>
      <c r="CL99" s="306"/>
      <c r="CM99" s="306"/>
      <c r="CN99" s="306"/>
      <c r="CO99" s="306"/>
      <c r="CX99" s="306"/>
    </row>
    <row r="100" spans="2:102 15068:15460" s="3" customFormat="1" x14ac:dyDescent="0.3">
      <c r="B100" s="122"/>
      <c r="C100" s="74" t="s">
        <v>41</v>
      </c>
      <c r="D100" s="118"/>
      <c r="E100" s="8" t="s">
        <v>40</v>
      </c>
      <c r="F100" s="1">
        <v>0</v>
      </c>
      <c r="G100" s="1">
        <f>(G90*45)/1700</f>
        <v>1111.1696470588236</v>
      </c>
      <c r="H100" s="1">
        <f t="shared" ref="H100:Y100" si="43">(H90*45)/1700</f>
        <v>0</v>
      </c>
      <c r="I100" s="1">
        <f t="shared" si="43"/>
        <v>0</v>
      </c>
      <c r="J100" s="1">
        <f t="shared" si="43"/>
        <v>0</v>
      </c>
      <c r="K100" s="1">
        <f t="shared" si="43"/>
        <v>0</v>
      </c>
      <c r="L100" s="1">
        <f t="shared" si="43"/>
        <v>0</v>
      </c>
      <c r="M100" s="1">
        <f t="shared" si="43"/>
        <v>0</v>
      </c>
      <c r="N100" s="1">
        <f t="shared" si="43"/>
        <v>0</v>
      </c>
      <c r="O100" s="1">
        <f t="shared" si="43"/>
        <v>0</v>
      </c>
      <c r="P100" s="1">
        <f t="shared" si="43"/>
        <v>0</v>
      </c>
      <c r="Q100" s="1">
        <f t="shared" si="43"/>
        <v>736.59547058823534</v>
      </c>
      <c r="R100" s="1">
        <f t="shared" si="43"/>
        <v>0</v>
      </c>
      <c r="S100" s="1">
        <f t="shared" si="43"/>
        <v>0</v>
      </c>
      <c r="T100" s="1">
        <f t="shared" si="43"/>
        <v>0</v>
      </c>
      <c r="U100" s="1">
        <f t="shared" si="43"/>
        <v>0</v>
      </c>
      <c r="V100" s="1">
        <f t="shared" si="43"/>
        <v>1101.1560882352942</v>
      </c>
      <c r="W100" s="1">
        <f t="shared" si="43"/>
        <v>0</v>
      </c>
      <c r="X100" s="1">
        <f t="shared" si="43"/>
        <v>1099.9823823529412</v>
      </c>
      <c r="Y100" s="1">
        <f t="shared" si="43"/>
        <v>0</v>
      </c>
      <c r="Z100" s="1">
        <f t="shared" ref="Z100:AF100" si="44">Z90*45/1700</f>
        <v>0</v>
      </c>
      <c r="AA100" s="1">
        <f t="shared" si="44"/>
        <v>0</v>
      </c>
      <c r="AB100" s="1">
        <f t="shared" si="44"/>
        <v>0</v>
      </c>
      <c r="AC100" s="1">
        <f t="shared" si="44"/>
        <v>0</v>
      </c>
      <c r="AD100" s="1">
        <f t="shared" si="44"/>
        <v>1123.8424411764706</v>
      </c>
      <c r="AE100" s="1">
        <f t="shared" si="44"/>
        <v>974.95650000000001</v>
      </c>
      <c r="AF100" s="1">
        <f t="shared" si="44"/>
        <v>4929.354264705883</v>
      </c>
      <c r="AG100" s="1">
        <f>AG90*45/1700</f>
        <v>0</v>
      </c>
      <c r="AH100" s="1">
        <f>AH90*45/1700</f>
        <v>4181.5477058823526</v>
      </c>
      <c r="AI100" s="22">
        <f>AI90*45/1700</f>
        <v>5479.7402647058816</v>
      </c>
      <c r="AK100" s="104">
        <f>SUM(F100:AI100)</f>
        <v>20738.344764705882</v>
      </c>
      <c r="CF100" s="306"/>
      <c r="CG100" s="306"/>
      <c r="CH100" s="306"/>
      <c r="CI100" s="306"/>
      <c r="CJ100" s="306"/>
      <c r="CK100" s="306"/>
      <c r="CL100" s="306"/>
      <c r="CM100" s="306"/>
      <c r="CN100" s="306"/>
      <c r="CO100" s="306"/>
      <c r="CX100" s="306"/>
    </row>
    <row r="101" spans="2:102 15068:15460" s="3" customFormat="1" x14ac:dyDescent="0.3">
      <c r="B101" s="122"/>
      <c r="C101" s="74" t="s">
        <v>39</v>
      </c>
      <c r="D101" s="118"/>
      <c r="E101" s="8" t="s">
        <v>38</v>
      </c>
      <c r="F101" s="1">
        <f t="shared" ref="F101:AF101" si="45">SUM(F95:F96)/500</f>
        <v>0</v>
      </c>
      <c r="G101" s="1">
        <f t="shared" si="45"/>
        <v>7.75</v>
      </c>
      <c r="H101" s="1">
        <f t="shared" si="45"/>
        <v>0</v>
      </c>
      <c r="I101" s="1">
        <f t="shared" si="45"/>
        <v>0</v>
      </c>
      <c r="J101" s="1">
        <f t="shared" si="45"/>
        <v>0</v>
      </c>
      <c r="K101" s="1">
        <f t="shared" si="45"/>
        <v>0</v>
      </c>
      <c r="L101" s="1">
        <f t="shared" si="45"/>
        <v>0</v>
      </c>
      <c r="M101" s="1">
        <f t="shared" si="45"/>
        <v>0</v>
      </c>
      <c r="N101" s="1">
        <f t="shared" si="45"/>
        <v>0</v>
      </c>
      <c r="O101" s="1">
        <f t="shared" si="45"/>
        <v>0</v>
      </c>
      <c r="P101" s="1">
        <f t="shared" si="45"/>
        <v>0</v>
      </c>
      <c r="Q101" s="1">
        <f t="shared" si="45"/>
        <v>5.1379999999999999</v>
      </c>
      <c r="R101" s="1">
        <f t="shared" si="45"/>
        <v>0</v>
      </c>
      <c r="S101" s="1">
        <f t="shared" si="45"/>
        <v>0</v>
      </c>
      <c r="T101" s="1">
        <f t="shared" si="45"/>
        <v>0</v>
      </c>
      <c r="U101" s="1">
        <f t="shared" si="45"/>
        <v>0</v>
      </c>
      <c r="V101" s="1">
        <f t="shared" si="45"/>
        <v>7.6820000000000004</v>
      </c>
      <c r="W101" s="1">
        <f t="shared" si="45"/>
        <v>0</v>
      </c>
      <c r="X101" s="1">
        <f t="shared" si="45"/>
        <v>7.6680000000000001</v>
      </c>
      <c r="Y101" s="1">
        <f t="shared" si="45"/>
        <v>0</v>
      </c>
      <c r="Z101" s="1">
        <f t="shared" si="45"/>
        <v>0</v>
      </c>
      <c r="AA101" s="1">
        <f t="shared" si="45"/>
        <v>0</v>
      </c>
      <c r="AB101" s="1">
        <f t="shared" si="45"/>
        <v>0</v>
      </c>
      <c r="AC101" s="1">
        <f t="shared" si="45"/>
        <v>0</v>
      </c>
      <c r="AD101" s="1">
        <f t="shared" si="45"/>
        <v>7.8179999999999996</v>
      </c>
      <c r="AE101" s="1">
        <f t="shared" si="45"/>
        <v>6.7939999999999996</v>
      </c>
      <c r="AF101" s="209">
        <f t="shared" si="45"/>
        <v>36.603999999999999</v>
      </c>
      <c r="AG101" s="209">
        <f>SUM(AG95:AG96)/500</f>
        <v>0</v>
      </c>
      <c r="AH101" s="209">
        <f>SUM(AH95:AH96)/500</f>
        <v>29.088000000000001</v>
      </c>
      <c r="AI101" s="210">
        <f>SUM(AI95:AI96)/500</f>
        <v>38.124000000000002</v>
      </c>
      <c r="AK101" s="104">
        <f>SUM(F101:AI101)</f>
        <v>146.666</v>
      </c>
      <c r="CF101" s="306"/>
      <c r="CG101" s="306"/>
      <c r="CH101" s="306"/>
      <c r="CI101" s="306"/>
      <c r="CJ101" s="306"/>
      <c r="CK101" s="306"/>
      <c r="CL101" s="306"/>
      <c r="CM101" s="306"/>
      <c r="CN101" s="306"/>
      <c r="CO101" s="306"/>
      <c r="CX101" s="306"/>
    </row>
    <row r="102" spans="2:102 15068:15460" s="3" customFormat="1" x14ac:dyDescent="0.3">
      <c r="B102" s="70"/>
      <c r="C102" s="72" t="s">
        <v>37</v>
      </c>
      <c r="D102" s="88"/>
      <c r="E102" s="1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89"/>
      <c r="AD102" s="6"/>
      <c r="AE102" s="6"/>
      <c r="AF102" s="6"/>
      <c r="AG102" s="53"/>
      <c r="AH102" s="53"/>
      <c r="AI102" s="61"/>
      <c r="AJ102" s="90"/>
      <c r="AK102" s="152" t="s">
        <v>34</v>
      </c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X102" s="17"/>
      <c r="VGN102" s="300"/>
      <c r="VGO102" s="300"/>
      <c r="VGP102" s="300"/>
      <c r="VGQ102" s="300"/>
      <c r="VGR102" s="300"/>
      <c r="VGS102" s="300"/>
      <c r="VGT102" s="300"/>
      <c r="VGU102" s="300"/>
      <c r="VGV102" s="300"/>
      <c r="VGW102" s="300"/>
      <c r="VGX102" s="300"/>
      <c r="VGY102" s="300"/>
      <c r="VGZ102" s="300"/>
      <c r="VHA102" s="300"/>
      <c r="VHB102" s="300"/>
      <c r="VHC102" s="300"/>
      <c r="VHD102" s="300"/>
      <c r="VHE102" s="300"/>
      <c r="VHF102" s="300"/>
      <c r="VHG102" s="300"/>
      <c r="VHH102" s="300"/>
      <c r="VHI102" s="300"/>
      <c r="VHJ102" s="300"/>
      <c r="VHK102" s="300"/>
      <c r="VHL102" s="300"/>
      <c r="VHM102" s="300"/>
      <c r="VHN102" s="300"/>
      <c r="VHO102" s="300"/>
      <c r="VHP102" s="300"/>
      <c r="VHQ102" s="300"/>
      <c r="VHR102" s="300"/>
      <c r="VHS102" s="300"/>
      <c r="VHT102" s="300"/>
      <c r="VHU102" s="300"/>
      <c r="VHV102" s="300"/>
      <c r="VHW102" s="300"/>
      <c r="VHX102" s="300"/>
      <c r="VHY102" s="300"/>
      <c r="VHZ102" s="300"/>
      <c r="VIA102" s="300"/>
      <c r="VIB102" s="300"/>
      <c r="VIC102" s="300"/>
      <c r="VID102" s="300"/>
      <c r="VIE102" s="300"/>
      <c r="VIF102" s="300"/>
      <c r="VIG102" s="300"/>
      <c r="VIH102" s="300"/>
      <c r="VII102" s="300"/>
      <c r="VIJ102" s="300"/>
      <c r="VIK102" s="300"/>
      <c r="VIL102" s="300"/>
      <c r="VIM102" s="300"/>
      <c r="VIN102" s="300"/>
      <c r="VIO102" s="300"/>
      <c r="VIP102" s="300"/>
      <c r="VIQ102" s="300"/>
      <c r="VIR102" s="300"/>
      <c r="VIS102" s="300"/>
      <c r="VIT102" s="300"/>
      <c r="VIU102" s="300"/>
      <c r="VIV102" s="300"/>
      <c r="VIW102" s="300"/>
      <c r="VIX102" s="300"/>
      <c r="VIY102" s="300"/>
      <c r="VIZ102" s="300"/>
      <c r="VJA102" s="300"/>
      <c r="VJB102" s="300"/>
      <c r="VJC102" s="300"/>
      <c r="VJD102" s="300"/>
      <c r="VJE102" s="300"/>
      <c r="VJF102" s="300"/>
      <c r="VJG102" s="300"/>
      <c r="VJH102" s="300"/>
      <c r="VJI102" s="300"/>
      <c r="VJJ102" s="300"/>
      <c r="VJK102" s="300"/>
      <c r="VJL102" s="300"/>
      <c r="VJM102" s="300"/>
      <c r="VJN102" s="300"/>
      <c r="VJO102" s="300"/>
      <c r="VJP102" s="300"/>
      <c r="VJQ102" s="300"/>
      <c r="VJR102" s="300"/>
      <c r="VJS102" s="300"/>
      <c r="VJT102" s="300"/>
      <c r="VJU102" s="300"/>
      <c r="VJV102" s="300"/>
      <c r="VJW102" s="300"/>
      <c r="VJX102" s="300"/>
      <c r="VJY102" s="300"/>
      <c r="VJZ102" s="300"/>
      <c r="VKA102" s="300"/>
      <c r="VKB102" s="300"/>
      <c r="VKC102" s="300"/>
      <c r="VKD102" s="300"/>
      <c r="VKE102" s="300"/>
      <c r="VKF102" s="300"/>
      <c r="VKG102" s="300"/>
      <c r="VKH102" s="300"/>
      <c r="VKI102" s="300"/>
      <c r="VKJ102" s="300"/>
      <c r="VKK102" s="300"/>
      <c r="VKL102" s="300"/>
      <c r="VKM102" s="300"/>
      <c r="VKN102" s="300"/>
      <c r="VKO102" s="300"/>
      <c r="VKP102" s="300"/>
      <c r="VKQ102" s="300"/>
      <c r="VKR102" s="300"/>
      <c r="VKS102" s="300"/>
      <c r="VKT102" s="300"/>
      <c r="VKU102" s="300"/>
      <c r="VKV102" s="300"/>
      <c r="VKW102" s="300"/>
      <c r="VKX102" s="300"/>
      <c r="VKY102" s="300"/>
      <c r="VKZ102" s="300"/>
      <c r="VLA102" s="300"/>
      <c r="VLB102" s="300"/>
      <c r="VLC102" s="300"/>
      <c r="VLD102" s="300"/>
      <c r="VLE102" s="300"/>
      <c r="VLF102" s="300"/>
      <c r="VLG102" s="300"/>
      <c r="VLH102" s="300"/>
      <c r="VLI102" s="300"/>
      <c r="VLJ102" s="300"/>
      <c r="VLK102" s="300"/>
      <c r="VLL102" s="300"/>
      <c r="VLM102" s="300"/>
      <c r="VLN102" s="300"/>
      <c r="VLO102" s="300"/>
      <c r="VLP102" s="300"/>
      <c r="VLQ102" s="300"/>
      <c r="VLR102" s="300"/>
      <c r="VLS102" s="300"/>
      <c r="VLT102" s="300"/>
      <c r="VLU102" s="300"/>
      <c r="VLV102" s="300"/>
      <c r="VLW102" s="300"/>
      <c r="VLX102" s="300"/>
      <c r="VLY102" s="300"/>
      <c r="VLZ102" s="300"/>
      <c r="VMA102" s="300"/>
      <c r="VMB102" s="300"/>
      <c r="VMC102" s="300"/>
      <c r="VMD102" s="300"/>
      <c r="VME102" s="300"/>
      <c r="VMF102" s="300"/>
      <c r="VMG102" s="300"/>
      <c r="VMH102" s="300"/>
      <c r="VMI102" s="300"/>
      <c r="VMJ102" s="300"/>
      <c r="VMK102" s="300"/>
      <c r="VML102" s="300"/>
      <c r="VMM102" s="300"/>
      <c r="VMN102" s="300"/>
      <c r="VMO102" s="300"/>
      <c r="VMP102" s="300"/>
      <c r="VMQ102" s="300"/>
      <c r="VMR102" s="300"/>
      <c r="VMS102" s="300"/>
      <c r="VMT102" s="300"/>
      <c r="VMU102" s="300"/>
      <c r="VMV102" s="300"/>
      <c r="VMW102" s="300"/>
      <c r="VMX102" s="300"/>
      <c r="VMY102" s="300"/>
      <c r="VMZ102" s="300"/>
      <c r="VNA102" s="300"/>
      <c r="VNB102" s="300"/>
      <c r="VNC102" s="300"/>
      <c r="VND102" s="300"/>
      <c r="VNE102" s="300"/>
      <c r="VNF102" s="300"/>
      <c r="VNG102" s="300"/>
      <c r="VNH102" s="300"/>
      <c r="VNI102" s="300"/>
      <c r="VNJ102" s="300"/>
      <c r="VNK102" s="300"/>
      <c r="VNL102" s="300"/>
      <c r="VNM102" s="300"/>
      <c r="VNN102" s="300"/>
      <c r="VNO102" s="300"/>
      <c r="VNP102" s="300"/>
      <c r="VNQ102" s="300"/>
      <c r="VNR102" s="300"/>
      <c r="VNS102" s="300"/>
      <c r="VNT102" s="300"/>
      <c r="VNU102" s="300"/>
      <c r="VNV102" s="300"/>
      <c r="VNW102" s="300"/>
      <c r="VNX102" s="300"/>
      <c r="VNY102" s="300"/>
      <c r="VNZ102" s="300"/>
      <c r="VOA102" s="300"/>
      <c r="VOB102" s="300"/>
      <c r="VOC102" s="300"/>
      <c r="VOD102" s="300"/>
      <c r="VOE102" s="300"/>
      <c r="VOF102" s="300"/>
      <c r="VOG102" s="300"/>
      <c r="VOH102" s="300"/>
      <c r="VOI102" s="300"/>
      <c r="VOJ102" s="300"/>
      <c r="VOK102" s="300"/>
      <c r="VOL102" s="300"/>
      <c r="VOM102" s="300"/>
      <c r="VON102" s="300"/>
      <c r="VOO102" s="300"/>
      <c r="VOP102" s="300"/>
      <c r="VOQ102" s="300"/>
      <c r="VOR102" s="300"/>
      <c r="VOS102" s="300"/>
      <c r="VOT102" s="300"/>
      <c r="VOU102" s="300"/>
      <c r="VOV102" s="300"/>
      <c r="VOW102" s="300"/>
      <c r="VOX102" s="300"/>
      <c r="VOY102" s="300"/>
      <c r="VOZ102" s="300"/>
      <c r="VPA102" s="300"/>
      <c r="VPB102" s="300"/>
      <c r="VPC102" s="300"/>
      <c r="VPD102" s="300"/>
      <c r="VPE102" s="300"/>
      <c r="VPF102" s="300"/>
      <c r="VPG102" s="300"/>
      <c r="VPH102" s="300"/>
      <c r="VPI102" s="300"/>
      <c r="VPJ102" s="300"/>
      <c r="VPK102" s="300"/>
      <c r="VPL102" s="300"/>
      <c r="VPM102" s="300"/>
      <c r="VPN102" s="300"/>
      <c r="VPO102" s="300"/>
      <c r="VPP102" s="300"/>
      <c r="VPQ102" s="300"/>
      <c r="VPR102" s="300"/>
      <c r="VPS102" s="300"/>
      <c r="VPT102" s="300"/>
      <c r="VPU102" s="300"/>
      <c r="VPV102" s="300"/>
      <c r="VPW102" s="300"/>
      <c r="VPX102" s="300"/>
      <c r="VPY102" s="300"/>
      <c r="VPZ102" s="300"/>
      <c r="VQA102" s="300"/>
      <c r="VQB102" s="300"/>
      <c r="VQC102" s="300"/>
      <c r="VQD102" s="300"/>
      <c r="VQE102" s="300"/>
      <c r="VQF102" s="300"/>
      <c r="VQG102" s="300"/>
      <c r="VQH102" s="300"/>
      <c r="VQI102" s="300"/>
      <c r="VQJ102" s="300"/>
      <c r="VQK102" s="300"/>
      <c r="VQL102" s="300"/>
      <c r="VQM102" s="300"/>
      <c r="VQN102" s="300"/>
      <c r="VQO102" s="300"/>
      <c r="VQP102" s="300"/>
      <c r="VQQ102" s="300"/>
      <c r="VQR102" s="300"/>
      <c r="VQS102" s="300"/>
      <c r="VQT102" s="300"/>
      <c r="VQU102" s="300"/>
      <c r="VQV102" s="300"/>
      <c r="VQW102" s="300"/>
      <c r="VQX102" s="300"/>
      <c r="VQY102" s="300"/>
      <c r="VQZ102" s="300"/>
      <c r="VRA102" s="300"/>
      <c r="VRB102" s="300"/>
      <c r="VRC102" s="300"/>
      <c r="VRD102" s="300"/>
      <c r="VRE102" s="300"/>
      <c r="VRF102" s="300"/>
      <c r="VRG102" s="300"/>
      <c r="VRH102" s="300"/>
      <c r="VRI102" s="300"/>
      <c r="VRJ102" s="300"/>
      <c r="VRK102" s="300"/>
      <c r="VRL102" s="300"/>
      <c r="VRM102" s="300"/>
      <c r="VRN102" s="300"/>
      <c r="VRO102" s="300"/>
      <c r="VRP102" s="300"/>
      <c r="VRQ102" s="300"/>
      <c r="VRR102" s="300"/>
      <c r="VRS102" s="300"/>
      <c r="VRT102" s="300"/>
      <c r="VRU102" s="300"/>
      <c r="VRV102" s="300"/>
      <c r="VRW102" s="300"/>
      <c r="VRX102" s="300"/>
      <c r="VRY102" s="300"/>
      <c r="VRZ102" s="300"/>
      <c r="VSA102" s="300"/>
      <c r="VSB102" s="300"/>
      <c r="VSC102" s="300"/>
      <c r="VSD102" s="300"/>
      <c r="VSE102" s="300"/>
      <c r="VSF102" s="300"/>
      <c r="VSG102" s="300"/>
      <c r="VSH102" s="300"/>
      <c r="VSI102" s="300"/>
      <c r="VSJ102" s="300"/>
      <c r="VSK102" s="300"/>
      <c r="VSL102" s="300"/>
      <c r="VSM102" s="300"/>
      <c r="VSN102" s="300"/>
      <c r="VSO102" s="300"/>
      <c r="VSP102" s="300"/>
      <c r="VSQ102" s="300"/>
      <c r="VSR102" s="300"/>
      <c r="VSS102" s="300"/>
      <c r="VST102" s="300"/>
      <c r="VSU102" s="300"/>
      <c r="VSV102" s="300"/>
      <c r="VSW102" s="300"/>
      <c r="VSX102" s="300"/>
      <c r="VSY102" s="300"/>
      <c r="VSZ102" s="300"/>
      <c r="VTA102" s="300"/>
      <c r="VTB102" s="300"/>
      <c r="VTC102" s="300"/>
      <c r="VTD102" s="300"/>
      <c r="VTE102" s="300"/>
      <c r="VTF102" s="300"/>
      <c r="VTG102" s="300"/>
      <c r="VTH102" s="300"/>
      <c r="VTI102" s="300"/>
      <c r="VTJ102" s="300"/>
      <c r="VTK102" s="300"/>
      <c r="VTL102" s="300"/>
      <c r="VTM102" s="300"/>
      <c r="VTN102" s="300"/>
      <c r="VTO102" s="300"/>
      <c r="VTP102" s="300"/>
      <c r="VTQ102" s="300"/>
      <c r="VTR102" s="300"/>
      <c r="VTS102" s="300"/>
      <c r="VTT102" s="300"/>
      <c r="VTU102" s="300"/>
      <c r="VTV102" s="300"/>
      <c r="VTW102" s="300"/>
      <c r="VTX102" s="300"/>
      <c r="VTY102" s="300"/>
      <c r="VTZ102" s="300"/>
      <c r="VUA102" s="300"/>
      <c r="VUB102" s="300"/>
      <c r="VUC102" s="300"/>
      <c r="VUD102" s="300"/>
      <c r="VUE102" s="300"/>
      <c r="VUF102" s="300"/>
      <c r="VUG102" s="300"/>
      <c r="VUH102" s="300"/>
      <c r="VUI102" s="300"/>
      <c r="VUJ102" s="300"/>
      <c r="VUK102" s="300"/>
      <c r="VUL102" s="300"/>
      <c r="VUM102" s="300"/>
      <c r="VUN102" s="300"/>
      <c r="VUO102" s="300"/>
      <c r="VUP102" s="300"/>
      <c r="VUQ102" s="300"/>
      <c r="VUR102" s="300"/>
      <c r="VUS102" s="300"/>
      <c r="VUT102" s="300"/>
      <c r="VUU102" s="300"/>
      <c r="VUV102" s="300"/>
      <c r="VUW102" s="300"/>
      <c r="VUX102" s="300"/>
      <c r="VUY102" s="300"/>
      <c r="VUZ102" s="300"/>
      <c r="VVA102" s="300"/>
      <c r="VVB102" s="300"/>
      <c r="VVC102" s="300"/>
      <c r="VVD102" s="300"/>
      <c r="VVE102" s="300"/>
      <c r="VVF102" s="300"/>
      <c r="VVG102" s="300"/>
      <c r="VVH102" s="300"/>
      <c r="VVI102" s="300"/>
      <c r="VVJ102" s="300"/>
      <c r="VVK102" s="300"/>
      <c r="VVL102" s="300"/>
      <c r="VVM102" s="300"/>
      <c r="VVN102" s="300"/>
      <c r="VVO102" s="300"/>
      <c r="VVP102" s="300"/>
    </row>
    <row r="103" spans="2:102 15068:15460" s="3" customFormat="1" x14ac:dyDescent="0.3">
      <c r="B103" s="122"/>
      <c r="C103" s="74" t="s">
        <v>33</v>
      </c>
      <c r="D103" s="118"/>
      <c r="E103" s="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51"/>
      <c r="AH103" s="51"/>
      <c r="AI103" s="22"/>
      <c r="AK103" s="121" t="s">
        <v>33</v>
      </c>
      <c r="CX103" s="306"/>
    </row>
    <row r="104" spans="2:102 15068:15460" s="3" customFormat="1" ht="13.8" x14ac:dyDescent="0.25">
      <c r="B104" s="122"/>
      <c r="C104" s="75" t="s">
        <v>51</v>
      </c>
      <c r="D104" s="118"/>
      <c r="E104" s="8" t="s">
        <v>36</v>
      </c>
      <c r="F104" s="7"/>
      <c r="G104" s="7">
        <v>10</v>
      </c>
      <c r="H104" s="7"/>
      <c r="I104" s="1"/>
      <c r="J104" s="7"/>
      <c r="K104" s="7"/>
      <c r="L104" s="7"/>
      <c r="M104" s="7"/>
      <c r="N104" s="7"/>
      <c r="O104" s="7"/>
      <c r="P104" s="1"/>
      <c r="Q104" s="7">
        <v>7</v>
      </c>
      <c r="R104" s="7"/>
      <c r="S104" s="7"/>
      <c r="T104" s="7"/>
      <c r="U104" s="7"/>
      <c r="V104" s="7">
        <v>11</v>
      </c>
      <c r="W104" s="1"/>
      <c r="X104" s="7">
        <v>8</v>
      </c>
      <c r="Y104" s="7"/>
      <c r="Z104" s="7"/>
      <c r="AA104" s="7"/>
      <c r="AB104" s="7"/>
      <c r="AC104" s="7"/>
      <c r="AD104" s="1"/>
      <c r="AE104" s="7">
        <v>10</v>
      </c>
      <c r="AF104" s="7">
        <v>1135</v>
      </c>
      <c r="AG104" s="7"/>
      <c r="AH104" s="7"/>
      <c r="AI104" s="39">
        <v>2</v>
      </c>
      <c r="AK104" s="104">
        <f>SUM(F104:AI104)</f>
        <v>1183</v>
      </c>
      <c r="CX104" s="306"/>
    </row>
    <row r="105" spans="2:102 15068:15460" s="3" customFormat="1" ht="13.8" x14ac:dyDescent="0.25">
      <c r="B105" s="122"/>
      <c r="C105" s="75" t="s">
        <v>50</v>
      </c>
      <c r="D105" s="118"/>
      <c r="E105" s="8" t="s">
        <v>36</v>
      </c>
      <c r="F105" s="7"/>
      <c r="G105" s="7"/>
      <c r="H105" s="7"/>
      <c r="I105" s="1"/>
      <c r="J105" s="7"/>
      <c r="K105" s="7"/>
      <c r="L105" s="7"/>
      <c r="M105" s="7"/>
      <c r="N105" s="7"/>
      <c r="O105" s="7"/>
      <c r="P105" s="1"/>
      <c r="Q105" s="7"/>
      <c r="R105" s="7"/>
      <c r="S105" s="7"/>
      <c r="T105" s="7"/>
      <c r="U105" s="7"/>
      <c r="V105" s="7"/>
      <c r="W105" s="1"/>
      <c r="X105" s="7"/>
      <c r="Y105" s="7"/>
      <c r="Z105" s="7"/>
      <c r="AA105" s="7"/>
      <c r="AB105" s="7"/>
      <c r="AC105" s="7"/>
      <c r="AD105" s="1"/>
      <c r="AE105" s="7"/>
      <c r="AF105" s="7">
        <v>22</v>
      </c>
      <c r="AG105" s="7"/>
      <c r="AH105" s="7"/>
      <c r="AI105" s="39"/>
      <c r="AK105" s="104">
        <f>SUM(F105:AI105)</f>
        <v>22</v>
      </c>
      <c r="CX105" s="306"/>
    </row>
    <row r="106" spans="2:102 15068:15460" s="3" customFormat="1" x14ac:dyDescent="0.3">
      <c r="B106" s="122"/>
      <c r="C106" s="74" t="s">
        <v>32</v>
      </c>
      <c r="D106" s="118"/>
      <c r="E106" s="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22"/>
      <c r="AK106" s="121" t="s">
        <v>32</v>
      </c>
      <c r="CX106" s="306"/>
    </row>
    <row r="107" spans="2:102 15068:15460" s="3" customFormat="1" ht="13.8" x14ac:dyDescent="0.25">
      <c r="B107" s="122"/>
      <c r="C107" s="75" t="s">
        <v>51</v>
      </c>
      <c r="D107" s="118"/>
      <c r="E107" s="8" t="s">
        <v>32</v>
      </c>
      <c r="F107" s="7">
        <f>F104*12</f>
        <v>0</v>
      </c>
      <c r="G107" s="7">
        <f t="shared" ref="G107:AI107" si="46">G104*12</f>
        <v>120</v>
      </c>
      <c r="H107" s="7">
        <f t="shared" si="46"/>
        <v>0</v>
      </c>
      <c r="I107" s="7">
        <f t="shared" si="46"/>
        <v>0</v>
      </c>
      <c r="J107" s="7">
        <f t="shared" si="46"/>
        <v>0</v>
      </c>
      <c r="K107" s="7">
        <f t="shared" si="46"/>
        <v>0</v>
      </c>
      <c r="L107" s="7">
        <f t="shared" si="46"/>
        <v>0</v>
      </c>
      <c r="M107" s="7">
        <f t="shared" si="46"/>
        <v>0</v>
      </c>
      <c r="N107" s="7">
        <f t="shared" si="46"/>
        <v>0</v>
      </c>
      <c r="O107" s="7">
        <f t="shared" si="46"/>
        <v>0</v>
      </c>
      <c r="P107" s="7">
        <f t="shared" si="46"/>
        <v>0</v>
      </c>
      <c r="Q107" s="7">
        <f t="shared" si="46"/>
        <v>84</v>
      </c>
      <c r="R107" s="7">
        <f t="shared" si="46"/>
        <v>0</v>
      </c>
      <c r="S107" s="7">
        <f t="shared" si="46"/>
        <v>0</v>
      </c>
      <c r="T107" s="7">
        <f t="shared" si="46"/>
        <v>0</v>
      </c>
      <c r="U107" s="7">
        <f t="shared" si="46"/>
        <v>0</v>
      </c>
      <c r="V107" s="7">
        <f t="shared" si="46"/>
        <v>132</v>
      </c>
      <c r="W107" s="7">
        <f t="shared" si="46"/>
        <v>0</v>
      </c>
      <c r="X107" s="7">
        <f t="shared" si="46"/>
        <v>96</v>
      </c>
      <c r="Y107" s="7">
        <f t="shared" si="46"/>
        <v>0</v>
      </c>
      <c r="Z107" s="7">
        <f t="shared" si="46"/>
        <v>0</v>
      </c>
      <c r="AA107" s="7">
        <f t="shared" si="46"/>
        <v>0</v>
      </c>
      <c r="AB107" s="7">
        <f t="shared" si="46"/>
        <v>0</v>
      </c>
      <c r="AC107" s="7">
        <f t="shared" si="46"/>
        <v>0</v>
      </c>
      <c r="AD107" s="7">
        <f t="shared" si="46"/>
        <v>0</v>
      </c>
      <c r="AE107" s="7">
        <f t="shared" si="46"/>
        <v>120</v>
      </c>
      <c r="AF107" s="7">
        <f t="shared" si="46"/>
        <v>13620</v>
      </c>
      <c r="AG107" s="7">
        <f t="shared" si="46"/>
        <v>0</v>
      </c>
      <c r="AH107" s="7">
        <f t="shared" si="46"/>
        <v>0</v>
      </c>
      <c r="AI107" s="39">
        <f t="shared" si="46"/>
        <v>24</v>
      </c>
      <c r="AK107" s="104">
        <f>SUM(F107:AI107)</f>
        <v>14196</v>
      </c>
      <c r="CX107" s="306"/>
    </row>
    <row r="108" spans="2:102 15068:15460" s="3" customFormat="1" ht="13.8" x14ac:dyDescent="0.25">
      <c r="B108" s="122"/>
      <c r="C108" s="75" t="s">
        <v>50</v>
      </c>
      <c r="D108" s="118"/>
      <c r="E108" s="8" t="s">
        <v>32</v>
      </c>
      <c r="F108" s="7">
        <f>F105*6</f>
        <v>0</v>
      </c>
      <c r="G108" s="7">
        <f t="shared" ref="G108:AI108" si="47">G105*6</f>
        <v>0</v>
      </c>
      <c r="H108" s="7">
        <f t="shared" si="47"/>
        <v>0</v>
      </c>
      <c r="I108" s="7">
        <f t="shared" si="47"/>
        <v>0</v>
      </c>
      <c r="J108" s="7">
        <f t="shared" si="47"/>
        <v>0</v>
      </c>
      <c r="K108" s="7">
        <f t="shared" si="47"/>
        <v>0</v>
      </c>
      <c r="L108" s="7">
        <f t="shared" si="47"/>
        <v>0</v>
      </c>
      <c r="M108" s="7">
        <f t="shared" si="47"/>
        <v>0</v>
      </c>
      <c r="N108" s="7">
        <f t="shared" si="47"/>
        <v>0</v>
      </c>
      <c r="O108" s="7">
        <f t="shared" si="47"/>
        <v>0</v>
      </c>
      <c r="P108" s="7">
        <f t="shared" si="47"/>
        <v>0</v>
      </c>
      <c r="Q108" s="7">
        <f t="shared" si="47"/>
        <v>0</v>
      </c>
      <c r="R108" s="7">
        <f t="shared" si="47"/>
        <v>0</v>
      </c>
      <c r="S108" s="7">
        <f t="shared" si="47"/>
        <v>0</v>
      </c>
      <c r="T108" s="7">
        <f t="shared" si="47"/>
        <v>0</v>
      </c>
      <c r="U108" s="7">
        <f t="shared" si="47"/>
        <v>0</v>
      </c>
      <c r="V108" s="7">
        <f t="shared" si="47"/>
        <v>0</v>
      </c>
      <c r="W108" s="7">
        <f t="shared" si="47"/>
        <v>0</v>
      </c>
      <c r="X108" s="7">
        <f t="shared" si="47"/>
        <v>0</v>
      </c>
      <c r="Y108" s="7">
        <f t="shared" si="47"/>
        <v>0</v>
      </c>
      <c r="Z108" s="7">
        <f t="shared" si="47"/>
        <v>0</v>
      </c>
      <c r="AA108" s="7">
        <f t="shared" si="47"/>
        <v>0</v>
      </c>
      <c r="AB108" s="7">
        <f t="shared" si="47"/>
        <v>0</v>
      </c>
      <c r="AC108" s="7">
        <f t="shared" si="47"/>
        <v>0</v>
      </c>
      <c r="AD108" s="7">
        <f t="shared" si="47"/>
        <v>0</v>
      </c>
      <c r="AE108" s="7">
        <f t="shared" si="47"/>
        <v>0</v>
      </c>
      <c r="AF108" s="7">
        <f t="shared" si="47"/>
        <v>132</v>
      </c>
      <c r="AG108" s="7">
        <f t="shared" si="47"/>
        <v>0</v>
      </c>
      <c r="AH108" s="7">
        <f t="shared" si="47"/>
        <v>0</v>
      </c>
      <c r="AI108" s="39">
        <f t="shared" si="47"/>
        <v>0</v>
      </c>
      <c r="AK108" s="104">
        <f>SUM(F108:AI108)</f>
        <v>132</v>
      </c>
      <c r="CX108" s="306"/>
    </row>
    <row r="109" spans="2:102 15068:15460" s="3" customFormat="1" x14ac:dyDescent="0.3">
      <c r="B109" s="70"/>
      <c r="C109" s="72" t="s">
        <v>35</v>
      </c>
      <c r="D109" s="88"/>
      <c r="E109" s="1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89"/>
      <c r="AD109" s="6"/>
      <c r="AE109" s="6"/>
      <c r="AF109" s="6"/>
      <c r="AG109" s="53"/>
      <c r="AH109" s="53"/>
      <c r="AI109" s="61"/>
      <c r="AJ109" s="90"/>
      <c r="AK109" s="152" t="s">
        <v>34</v>
      </c>
      <c r="CX109" s="17"/>
      <c r="VGN109" s="300"/>
      <c r="VGO109" s="300"/>
      <c r="VGP109" s="300"/>
      <c r="VGQ109" s="300"/>
      <c r="VGR109" s="300"/>
      <c r="VGS109" s="300"/>
      <c r="VGT109" s="300"/>
      <c r="VGU109" s="300"/>
      <c r="VGV109" s="300"/>
      <c r="VGW109" s="300"/>
      <c r="VGX109" s="300"/>
      <c r="VGY109" s="300"/>
      <c r="VGZ109" s="300"/>
      <c r="VHA109" s="300"/>
      <c r="VHB109" s="300"/>
      <c r="VHC109" s="300"/>
      <c r="VHD109" s="300"/>
      <c r="VHE109" s="300"/>
      <c r="VHF109" s="300"/>
      <c r="VHG109" s="300"/>
      <c r="VHH109" s="300"/>
      <c r="VHI109" s="300"/>
      <c r="VHJ109" s="300"/>
      <c r="VHK109" s="300"/>
      <c r="VHL109" s="300"/>
      <c r="VHM109" s="300"/>
      <c r="VHN109" s="300"/>
      <c r="VHO109" s="300"/>
      <c r="VHP109" s="300"/>
      <c r="VHQ109" s="300"/>
      <c r="VHR109" s="300"/>
      <c r="VHS109" s="300"/>
      <c r="VHT109" s="300"/>
      <c r="VHU109" s="300"/>
      <c r="VHV109" s="300"/>
      <c r="VHW109" s="300"/>
      <c r="VHX109" s="300"/>
      <c r="VHY109" s="300"/>
      <c r="VHZ109" s="300"/>
      <c r="VIA109" s="300"/>
      <c r="VIB109" s="300"/>
      <c r="VIC109" s="300"/>
      <c r="VID109" s="300"/>
      <c r="VIE109" s="300"/>
      <c r="VIF109" s="300"/>
      <c r="VIG109" s="300"/>
      <c r="VIH109" s="300"/>
      <c r="VII109" s="300"/>
      <c r="VIJ109" s="300"/>
      <c r="VIK109" s="300"/>
      <c r="VIL109" s="300"/>
      <c r="VIM109" s="300"/>
      <c r="VIN109" s="300"/>
      <c r="VIO109" s="300"/>
      <c r="VIP109" s="300"/>
      <c r="VIQ109" s="300"/>
      <c r="VIR109" s="300"/>
      <c r="VIS109" s="300"/>
      <c r="VIT109" s="300"/>
      <c r="VIU109" s="300"/>
      <c r="VIV109" s="300"/>
      <c r="VIW109" s="300"/>
      <c r="VIX109" s="300"/>
      <c r="VIY109" s="300"/>
      <c r="VIZ109" s="300"/>
      <c r="VJA109" s="300"/>
      <c r="VJB109" s="300"/>
      <c r="VJC109" s="300"/>
      <c r="VJD109" s="300"/>
      <c r="VJE109" s="300"/>
      <c r="VJF109" s="300"/>
      <c r="VJG109" s="300"/>
      <c r="VJH109" s="300"/>
      <c r="VJI109" s="300"/>
      <c r="VJJ109" s="300"/>
      <c r="VJK109" s="300"/>
      <c r="VJL109" s="300"/>
      <c r="VJM109" s="300"/>
      <c r="VJN109" s="300"/>
      <c r="VJO109" s="300"/>
      <c r="VJP109" s="300"/>
      <c r="VJQ109" s="300"/>
      <c r="VJR109" s="300"/>
      <c r="VJS109" s="300"/>
      <c r="VJT109" s="300"/>
      <c r="VJU109" s="300"/>
      <c r="VJV109" s="300"/>
      <c r="VJW109" s="300"/>
      <c r="VJX109" s="300"/>
      <c r="VJY109" s="300"/>
      <c r="VJZ109" s="300"/>
      <c r="VKA109" s="300"/>
      <c r="VKB109" s="300"/>
      <c r="VKC109" s="300"/>
      <c r="VKD109" s="300"/>
      <c r="VKE109" s="300"/>
      <c r="VKF109" s="300"/>
      <c r="VKG109" s="300"/>
      <c r="VKH109" s="300"/>
      <c r="VKI109" s="300"/>
      <c r="VKJ109" s="300"/>
      <c r="VKK109" s="300"/>
      <c r="VKL109" s="300"/>
      <c r="VKM109" s="300"/>
      <c r="VKN109" s="300"/>
      <c r="VKO109" s="300"/>
      <c r="VKP109" s="300"/>
      <c r="VKQ109" s="300"/>
      <c r="VKR109" s="300"/>
      <c r="VKS109" s="300"/>
      <c r="VKT109" s="300"/>
      <c r="VKU109" s="300"/>
      <c r="VKV109" s="300"/>
      <c r="VKW109" s="300"/>
      <c r="VKX109" s="300"/>
      <c r="VKY109" s="300"/>
      <c r="VKZ109" s="300"/>
      <c r="VLA109" s="300"/>
      <c r="VLB109" s="300"/>
      <c r="VLC109" s="300"/>
      <c r="VLD109" s="300"/>
      <c r="VLE109" s="300"/>
      <c r="VLF109" s="300"/>
      <c r="VLG109" s="300"/>
      <c r="VLH109" s="300"/>
      <c r="VLI109" s="300"/>
      <c r="VLJ109" s="300"/>
      <c r="VLK109" s="300"/>
      <c r="VLL109" s="300"/>
      <c r="VLM109" s="300"/>
      <c r="VLN109" s="300"/>
      <c r="VLO109" s="300"/>
      <c r="VLP109" s="300"/>
      <c r="VLQ109" s="300"/>
      <c r="VLR109" s="300"/>
      <c r="VLS109" s="300"/>
      <c r="VLT109" s="300"/>
      <c r="VLU109" s="300"/>
      <c r="VLV109" s="300"/>
      <c r="VLW109" s="300"/>
      <c r="VLX109" s="300"/>
      <c r="VLY109" s="300"/>
      <c r="VLZ109" s="300"/>
      <c r="VMA109" s="300"/>
      <c r="VMB109" s="300"/>
      <c r="VMC109" s="300"/>
      <c r="VMD109" s="300"/>
      <c r="VME109" s="300"/>
      <c r="VMF109" s="300"/>
      <c r="VMG109" s="300"/>
      <c r="VMH109" s="300"/>
      <c r="VMI109" s="300"/>
      <c r="VMJ109" s="300"/>
      <c r="VMK109" s="300"/>
      <c r="VML109" s="300"/>
      <c r="VMM109" s="300"/>
      <c r="VMN109" s="300"/>
      <c r="VMO109" s="300"/>
      <c r="VMP109" s="300"/>
      <c r="VMQ109" s="300"/>
      <c r="VMR109" s="300"/>
      <c r="VMS109" s="300"/>
      <c r="VMT109" s="300"/>
      <c r="VMU109" s="300"/>
      <c r="VMV109" s="300"/>
      <c r="VMW109" s="300"/>
      <c r="VMX109" s="300"/>
      <c r="VMY109" s="300"/>
      <c r="VMZ109" s="300"/>
      <c r="VNA109" s="300"/>
      <c r="VNB109" s="300"/>
      <c r="VNC109" s="300"/>
      <c r="VND109" s="300"/>
      <c r="VNE109" s="300"/>
      <c r="VNF109" s="300"/>
      <c r="VNG109" s="300"/>
      <c r="VNH109" s="300"/>
      <c r="VNI109" s="300"/>
      <c r="VNJ109" s="300"/>
      <c r="VNK109" s="300"/>
      <c r="VNL109" s="300"/>
      <c r="VNM109" s="300"/>
      <c r="VNN109" s="300"/>
      <c r="VNO109" s="300"/>
      <c r="VNP109" s="300"/>
      <c r="VNQ109" s="300"/>
      <c r="VNR109" s="300"/>
      <c r="VNS109" s="300"/>
      <c r="VNT109" s="300"/>
      <c r="VNU109" s="300"/>
      <c r="VNV109" s="300"/>
      <c r="VNW109" s="300"/>
      <c r="VNX109" s="300"/>
      <c r="VNY109" s="300"/>
      <c r="VNZ109" s="300"/>
      <c r="VOA109" s="300"/>
      <c r="VOB109" s="300"/>
      <c r="VOC109" s="300"/>
      <c r="VOD109" s="300"/>
      <c r="VOE109" s="300"/>
      <c r="VOF109" s="300"/>
      <c r="VOG109" s="300"/>
      <c r="VOH109" s="300"/>
      <c r="VOI109" s="300"/>
      <c r="VOJ109" s="300"/>
      <c r="VOK109" s="300"/>
      <c r="VOL109" s="300"/>
      <c r="VOM109" s="300"/>
      <c r="VON109" s="300"/>
      <c r="VOO109" s="300"/>
      <c r="VOP109" s="300"/>
      <c r="VOQ109" s="300"/>
      <c r="VOR109" s="300"/>
      <c r="VOS109" s="300"/>
      <c r="VOT109" s="300"/>
      <c r="VOU109" s="300"/>
      <c r="VOV109" s="300"/>
      <c r="VOW109" s="300"/>
      <c r="VOX109" s="300"/>
      <c r="VOY109" s="300"/>
      <c r="VOZ109" s="300"/>
      <c r="VPA109" s="300"/>
      <c r="VPB109" s="300"/>
      <c r="VPC109" s="300"/>
      <c r="VPD109" s="300"/>
      <c r="VPE109" s="300"/>
      <c r="VPF109" s="300"/>
      <c r="VPG109" s="300"/>
      <c r="VPH109" s="300"/>
      <c r="VPI109" s="300"/>
      <c r="VPJ109" s="300"/>
      <c r="VPK109" s="300"/>
      <c r="VPL109" s="300"/>
      <c r="VPM109" s="300"/>
      <c r="VPN109" s="300"/>
      <c r="VPO109" s="300"/>
      <c r="VPP109" s="300"/>
      <c r="VPQ109" s="300"/>
      <c r="VPR109" s="300"/>
      <c r="VPS109" s="300"/>
      <c r="VPT109" s="300"/>
      <c r="VPU109" s="300"/>
      <c r="VPV109" s="300"/>
      <c r="VPW109" s="300"/>
      <c r="VPX109" s="300"/>
      <c r="VPY109" s="300"/>
      <c r="VPZ109" s="300"/>
      <c r="VQA109" s="300"/>
      <c r="VQB109" s="300"/>
      <c r="VQC109" s="300"/>
      <c r="VQD109" s="300"/>
      <c r="VQE109" s="300"/>
      <c r="VQF109" s="300"/>
      <c r="VQG109" s="300"/>
      <c r="VQH109" s="300"/>
      <c r="VQI109" s="300"/>
      <c r="VQJ109" s="300"/>
      <c r="VQK109" s="300"/>
      <c r="VQL109" s="300"/>
      <c r="VQM109" s="300"/>
      <c r="VQN109" s="300"/>
      <c r="VQO109" s="300"/>
      <c r="VQP109" s="300"/>
      <c r="VQQ109" s="300"/>
      <c r="VQR109" s="300"/>
      <c r="VQS109" s="300"/>
      <c r="VQT109" s="300"/>
      <c r="VQU109" s="300"/>
      <c r="VQV109" s="300"/>
      <c r="VQW109" s="300"/>
      <c r="VQX109" s="300"/>
      <c r="VQY109" s="300"/>
      <c r="VQZ109" s="300"/>
      <c r="VRA109" s="300"/>
      <c r="VRB109" s="300"/>
      <c r="VRC109" s="300"/>
      <c r="VRD109" s="300"/>
      <c r="VRE109" s="300"/>
      <c r="VRF109" s="300"/>
      <c r="VRG109" s="300"/>
      <c r="VRH109" s="300"/>
      <c r="VRI109" s="300"/>
      <c r="VRJ109" s="300"/>
      <c r="VRK109" s="300"/>
      <c r="VRL109" s="300"/>
      <c r="VRM109" s="300"/>
      <c r="VRN109" s="300"/>
      <c r="VRO109" s="300"/>
      <c r="VRP109" s="300"/>
      <c r="VRQ109" s="300"/>
      <c r="VRR109" s="300"/>
      <c r="VRS109" s="300"/>
      <c r="VRT109" s="300"/>
      <c r="VRU109" s="300"/>
      <c r="VRV109" s="300"/>
      <c r="VRW109" s="300"/>
      <c r="VRX109" s="300"/>
      <c r="VRY109" s="300"/>
      <c r="VRZ109" s="300"/>
      <c r="VSA109" s="300"/>
      <c r="VSB109" s="300"/>
      <c r="VSC109" s="300"/>
      <c r="VSD109" s="300"/>
      <c r="VSE109" s="300"/>
      <c r="VSF109" s="300"/>
      <c r="VSG109" s="300"/>
      <c r="VSH109" s="300"/>
      <c r="VSI109" s="300"/>
      <c r="VSJ109" s="300"/>
      <c r="VSK109" s="300"/>
      <c r="VSL109" s="300"/>
      <c r="VSM109" s="300"/>
      <c r="VSN109" s="300"/>
      <c r="VSO109" s="300"/>
      <c r="VSP109" s="300"/>
      <c r="VSQ109" s="300"/>
      <c r="VSR109" s="300"/>
      <c r="VSS109" s="300"/>
      <c r="VST109" s="300"/>
      <c r="VSU109" s="300"/>
      <c r="VSV109" s="300"/>
      <c r="VSW109" s="300"/>
      <c r="VSX109" s="300"/>
      <c r="VSY109" s="300"/>
      <c r="VSZ109" s="300"/>
      <c r="VTA109" s="300"/>
      <c r="VTB109" s="300"/>
      <c r="VTC109" s="300"/>
      <c r="VTD109" s="300"/>
      <c r="VTE109" s="300"/>
      <c r="VTF109" s="300"/>
      <c r="VTG109" s="300"/>
      <c r="VTH109" s="300"/>
      <c r="VTI109" s="300"/>
      <c r="VTJ109" s="300"/>
      <c r="VTK109" s="300"/>
      <c r="VTL109" s="300"/>
      <c r="VTM109" s="300"/>
      <c r="VTN109" s="300"/>
      <c r="VTO109" s="300"/>
      <c r="VTP109" s="300"/>
      <c r="VTQ109" s="300"/>
      <c r="VTR109" s="300"/>
      <c r="VTS109" s="300"/>
      <c r="VTT109" s="300"/>
      <c r="VTU109" s="300"/>
      <c r="VTV109" s="300"/>
      <c r="VTW109" s="300"/>
      <c r="VTX109" s="300"/>
      <c r="VTY109" s="300"/>
      <c r="VTZ109" s="300"/>
      <c r="VUA109" s="300"/>
      <c r="VUB109" s="300"/>
      <c r="VUC109" s="300"/>
      <c r="VUD109" s="300"/>
      <c r="VUE109" s="300"/>
      <c r="VUF109" s="300"/>
      <c r="VUG109" s="300"/>
      <c r="VUH109" s="300"/>
      <c r="VUI109" s="300"/>
      <c r="VUJ109" s="300"/>
      <c r="VUK109" s="300"/>
      <c r="VUL109" s="300"/>
      <c r="VUM109" s="300"/>
      <c r="VUN109" s="300"/>
      <c r="VUO109" s="300"/>
      <c r="VUP109" s="300"/>
      <c r="VUQ109" s="300"/>
      <c r="VUR109" s="300"/>
      <c r="VUS109" s="300"/>
      <c r="VUT109" s="300"/>
      <c r="VUU109" s="300"/>
      <c r="VUV109" s="300"/>
      <c r="VUW109" s="300"/>
      <c r="VUX109" s="300"/>
      <c r="VUY109" s="300"/>
      <c r="VUZ109" s="300"/>
      <c r="VVA109" s="300"/>
      <c r="VVB109" s="300"/>
      <c r="VVC109" s="300"/>
      <c r="VVD109" s="300"/>
      <c r="VVE109" s="300"/>
      <c r="VVF109" s="300"/>
      <c r="VVG109" s="300"/>
      <c r="VVH109" s="300"/>
      <c r="VVI109" s="300"/>
      <c r="VVJ109" s="300"/>
      <c r="VVK109" s="300"/>
      <c r="VVL109" s="300"/>
      <c r="VVM109" s="300"/>
      <c r="VVN109" s="300"/>
      <c r="VVO109" s="300"/>
      <c r="VVP109" s="300"/>
    </row>
    <row r="110" spans="2:102 15068:15460" s="3" customFormat="1" x14ac:dyDescent="0.3">
      <c r="B110" s="122"/>
      <c r="C110" s="74" t="s">
        <v>33</v>
      </c>
      <c r="D110" s="118"/>
      <c r="E110" s="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51"/>
      <c r="AH110" s="51"/>
      <c r="AI110" s="22"/>
      <c r="AK110" s="121" t="s">
        <v>33</v>
      </c>
      <c r="CX110" s="306"/>
    </row>
    <row r="111" spans="2:102 15068:15460" s="3" customFormat="1" ht="13.8" x14ac:dyDescent="0.25">
      <c r="B111" s="122"/>
      <c r="C111" s="75" t="s">
        <v>51</v>
      </c>
      <c r="D111" s="15">
        <v>0.3</v>
      </c>
      <c r="E111" s="8" t="s">
        <v>29</v>
      </c>
      <c r="F111" s="10" t="e">
        <f t="shared" ref="F111:AH112" si="48">F104/F95*100</f>
        <v>#DIV/0!</v>
      </c>
      <c r="G111" s="10">
        <f t="shared" si="48"/>
        <v>0.25806451612903225</v>
      </c>
      <c r="H111" s="10" t="e">
        <f t="shared" si="48"/>
        <v>#DIV/0!</v>
      </c>
      <c r="I111" s="10" t="e">
        <f t="shared" si="48"/>
        <v>#DIV/0!</v>
      </c>
      <c r="J111" s="10" t="e">
        <f t="shared" si="48"/>
        <v>#DIV/0!</v>
      </c>
      <c r="K111" s="10" t="e">
        <f t="shared" si="48"/>
        <v>#DIV/0!</v>
      </c>
      <c r="L111" s="10" t="e">
        <f t="shared" si="48"/>
        <v>#DIV/0!</v>
      </c>
      <c r="M111" s="10" t="e">
        <f t="shared" si="48"/>
        <v>#DIV/0!</v>
      </c>
      <c r="N111" s="10" t="e">
        <f t="shared" si="48"/>
        <v>#DIV/0!</v>
      </c>
      <c r="O111" s="10" t="e">
        <f t="shared" si="48"/>
        <v>#DIV/0!</v>
      </c>
      <c r="P111" s="10" t="e">
        <f t="shared" si="48"/>
        <v>#DIV/0!</v>
      </c>
      <c r="Q111" s="10">
        <f t="shared" si="48"/>
        <v>0.27247956403269752</v>
      </c>
      <c r="R111" s="10" t="e">
        <f t="shared" si="48"/>
        <v>#DIV/0!</v>
      </c>
      <c r="S111" s="10" t="e">
        <f t="shared" si="48"/>
        <v>#DIV/0!</v>
      </c>
      <c r="T111" s="10" t="e">
        <f t="shared" si="48"/>
        <v>#DIV/0!</v>
      </c>
      <c r="U111" s="10" t="e">
        <f t="shared" si="48"/>
        <v>#DIV/0!</v>
      </c>
      <c r="V111" s="10">
        <f t="shared" si="48"/>
        <v>0.28638375423066909</v>
      </c>
      <c r="W111" s="10" t="e">
        <f t="shared" si="48"/>
        <v>#DIV/0!</v>
      </c>
      <c r="X111" s="10">
        <f t="shared" si="48"/>
        <v>0.20865936358894105</v>
      </c>
      <c r="Y111" s="10" t="e">
        <f t="shared" si="48"/>
        <v>#DIV/0!</v>
      </c>
      <c r="Z111" s="10" t="e">
        <f t="shared" si="48"/>
        <v>#DIV/0!</v>
      </c>
      <c r="AA111" s="10" t="e">
        <f t="shared" si="48"/>
        <v>#DIV/0!</v>
      </c>
      <c r="AB111" s="10" t="e">
        <f t="shared" si="48"/>
        <v>#DIV/0!</v>
      </c>
      <c r="AC111" s="10" t="e">
        <f t="shared" si="48"/>
        <v>#DIV/0!</v>
      </c>
      <c r="AD111" s="10">
        <f t="shared" si="48"/>
        <v>0</v>
      </c>
      <c r="AE111" s="10">
        <f t="shared" si="48"/>
        <v>0.29437739181630851</v>
      </c>
      <c r="AF111" s="10">
        <f t="shared" si="48"/>
        <v>23.315529991783073</v>
      </c>
      <c r="AG111" s="10" t="e">
        <f t="shared" si="48"/>
        <v>#DIV/0!</v>
      </c>
      <c r="AH111" s="10" t="e">
        <f t="shared" si="48"/>
        <v>#DIV/0!</v>
      </c>
      <c r="AI111" s="21">
        <f>AI104/AI95*100</f>
        <v>5.2896059243586355E-2</v>
      </c>
      <c r="AK111" s="115">
        <f>AK104/AK95*100</f>
        <v>3.9336303783999464</v>
      </c>
      <c r="CX111" s="306"/>
    </row>
    <row r="112" spans="2:102 15068:15460" s="3" customFormat="1" ht="13.8" x14ac:dyDescent="0.25">
      <c r="B112" s="122"/>
      <c r="C112" s="75" t="s">
        <v>50</v>
      </c>
      <c r="D112" s="15">
        <v>0.3</v>
      </c>
      <c r="E112" s="8" t="s">
        <v>29</v>
      </c>
      <c r="F112" s="10" t="e">
        <f t="shared" si="48"/>
        <v>#DIV/0!</v>
      </c>
      <c r="G112" s="10" t="e">
        <f t="shared" si="48"/>
        <v>#DIV/0!</v>
      </c>
      <c r="H112" s="10" t="e">
        <f t="shared" si="48"/>
        <v>#DIV/0!</v>
      </c>
      <c r="I112" s="10" t="e">
        <f t="shared" si="48"/>
        <v>#DIV/0!</v>
      </c>
      <c r="J112" s="10" t="e">
        <f t="shared" si="48"/>
        <v>#DIV/0!</v>
      </c>
      <c r="K112" s="10" t="e">
        <f t="shared" si="48"/>
        <v>#DIV/0!</v>
      </c>
      <c r="L112" s="10" t="e">
        <f t="shared" si="48"/>
        <v>#DIV/0!</v>
      </c>
      <c r="M112" s="10" t="e">
        <f t="shared" si="48"/>
        <v>#DIV/0!</v>
      </c>
      <c r="N112" s="10" t="e">
        <f t="shared" si="48"/>
        <v>#DIV/0!</v>
      </c>
      <c r="O112" s="10" t="e">
        <f t="shared" si="48"/>
        <v>#DIV/0!</v>
      </c>
      <c r="P112" s="10" t="e">
        <f t="shared" si="48"/>
        <v>#DIV/0!</v>
      </c>
      <c r="Q112" s="10" t="e">
        <f t="shared" si="48"/>
        <v>#DIV/0!</v>
      </c>
      <c r="R112" s="10" t="e">
        <f t="shared" si="48"/>
        <v>#DIV/0!</v>
      </c>
      <c r="S112" s="10" t="e">
        <f t="shared" si="48"/>
        <v>#DIV/0!</v>
      </c>
      <c r="T112" s="10" t="e">
        <f t="shared" si="48"/>
        <v>#DIV/0!</v>
      </c>
      <c r="U112" s="10" t="e">
        <f t="shared" si="48"/>
        <v>#DIV/0!</v>
      </c>
      <c r="V112" s="10" t="e">
        <f t="shared" si="48"/>
        <v>#DIV/0!</v>
      </c>
      <c r="W112" s="10" t="e">
        <f t="shared" si="48"/>
        <v>#DIV/0!</v>
      </c>
      <c r="X112" s="10" t="e">
        <f t="shared" si="48"/>
        <v>#DIV/0!</v>
      </c>
      <c r="Y112" s="10" t="e">
        <f t="shared" si="48"/>
        <v>#DIV/0!</v>
      </c>
      <c r="Z112" s="10" t="e">
        <f t="shared" si="48"/>
        <v>#DIV/0!</v>
      </c>
      <c r="AA112" s="10" t="e">
        <f t="shared" si="48"/>
        <v>#DIV/0!</v>
      </c>
      <c r="AB112" s="10" t="e">
        <f t="shared" si="48"/>
        <v>#DIV/0!</v>
      </c>
      <c r="AC112" s="10" t="e">
        <f t="shared" si="48"/>
        <v>#DIV/0!</v>
      </c>
      <c r="AD112" s="10" t="e">
        <f t="shared" si="48"/>
        <v>#DIV/0!</v>
      </c>
      <c r="AE112" s="10" t="e">
        <f t="shared" si="48"/>
        <v>#DIV/0!</v>
      </c>
      <c r="AF112" s="10">
        <f t="shared" si="48"/>
        <v>0.16376358493375021</v>
      </c>
      <c r="AG112" s="10" t="e">
        <f t="shared" si="48"/>
        <v>#DIV/0!</v>
      </c>
      <c r="AH112" s="10">
        <f t="shared" si="48"/>
        <v>0</v>
      </c>
      <c r="AI112" s="21">
        <f>AI105/AI96*100</f>
        <v>0</v>
      </c>
      <c r="AK112" s="115">
        <f>AK105/AK96*100</f>
        <v>5.0856469174044711E-2</v>
      </c>
      <c r="CX112" s="306"/>
    </row>
    <row r="113" spans="2:102" s="3" customFormat="1" x14ac:dyDescent="0.3">
      <c r="B113" s="122"/>
      <c r="C113" s="74" t="s">
        <v>32</v>
      </c>
      <c r="D113" s="15"/>
      <c r="E113" s="5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21"/>
      <c r="AK113" s="121" t="s">
        <v>32</v>
      </c>
      <c r="CX113" s="306"/>
    </row>
    <row r="114" spans="2:102" s="3" customFormat="1" ht="13.8" x14ac:dyDescent="0.25">
      <c r="B114" s="122"/>
      <c r="C114" s="75" t="s">
        <v>51</v>
      </c>
      <c r="D114" s="15">
        <v>0.5</v>
      </c>
      <c r="E114" s="8" t="s">
        <v>29</v>
      </c>
      <c r="F114" s="10" t="e">
        <f t="shared" ref="F114:AH115" si="49">F107/F98*100</f>
        <v>#DIV/0!</v>
      </c>
      <c r="G114" s="10">
        <f t="shared" si="49"/>
        <v>0.25806451612903225</v>
      </c>
      <c r="H114" s="10" t="e">
        <f t="shared" si="49"/>
        <v>#DIV/0!</v>
      </c>
      <c r="I114" s="10" t="e">
        <f t="shared" si="49"/>
        <v>#DIV/0!</v>
      </c>
      <c r="J114" s="10" t="e">
        <f t="shared" si="49"/>
        <v>#DIV/0!</v>
      </c>
      <c r="K114" s="10" t="e">
        <f t="shared" si="49"/>
        <v>#DIV/0!</v>
      </c>
      <c r="L114" s="10" t="e">
        <f t="shared" si="49"/>
        <v>#DIV/0!</v>
      </c>
      <c r="M114" s="10" t="e">
        <f t="shared" si="49"/>
        <v>#DIV/0!</v>
      </c>
      <c r="N114" s="10" t="e">
        <f t="shared" si="49"/>
        <v>#DIV/0!</v>
      </c>
      <c r="O114" s="10" t="e">
        <f t="shared" si="49"/>
        <v>#DIV/0!</v>
      </c>
      <c r="P114" s="10" t="e">
        <f t="shared" si="49"/>
        <v>#DIV/0!</v>
      </c>
      <c r="Q114" s="10">
        <f t="shared" si="49"/>
        <v>0.27247956403269752</v>
      </c>
      <c r="R114" s="10" t="e">
        <f t="shared" si="49"/>
        <v>#DIV/0!</v>
      </c>
      <c r="S114" s="10" t="e">
        <f t="shared" si="49"/>
        <v>#DIV/0!</v>
      </c>
      <c r="T114" s="10" t="e">
        <f t="shared" si="49"/>
        <v>#DIV/0!</v>
      </c>
      <c r="U114" s="10" t="e">
        <f t="shared" si="49"/>
        <v>#DIV/0!</v>
      </c>
      <c r="V114" s="10">
        <f t="shared" si="49"/>
        <v>0.28638375423066909</v>
      </c>
      <c r="W114" s="10" t="e">
        <f t="shared" si="49"/>
        <v>#DIV/0!</v>
      </c>
      <c r="X114" s="10">
        <f t="shared" si="49"/>
        <v>0.20865936358894105</v>
      </c>
      <c r="Y114" s="10" t="e">
        <f t="shared" si="49"/>
        <v>#DIV/0!</v>
      </c>
      <c r="Z114" s="10" t="e">
        <f t="shared" si="49"/>
        <v>#DIV/0!</v>
      </c>
      <c r="AA114" s="10" t="e">
        <f t="shared" si="49"/>
        <v>#DIV/0!</v>
      </c>
      <c r="AB114" s="10" t="e">
        <f t="shared" si="49"/>
        <v>#DIV/0!</v>
      </c>
      <c r="AC114" s="10" t="e">
        <f t="shared" si="49"/>
        <v>#DIV/0!</v>
      </c>
      <c r="AD114" s="10">
        <f t="shared" si="49"/>
        <v>0</v>
      </c>
      <c r="AE114" s="10">
        <f t="shared" si="49"/>
        <v>0.29437739181630851</v>
      </c>
      <c r="AF114" s="10">
        <f t="shared" si="49"/>
        <v>23.315529991783073</v>
      </c>
      <c r="AG114" s="10" t="e">
        <f t="shared" si="49"/>
        <v>#DIV/0!</v>
      </c>
      <c r="AH114" s="10" t="e">
        <f t="shared" si="49"/>
        <v>#DIV/0!</v>
      </c>
      <c r="AI114" s="21">
        <f>AI107/AI98*100</f>
        <v>5.2896059243586355E-2</v>
      </c>
      <c r="AK114" s="115">
        <f>AK107/AK98*100</f>
        <v>3.9336303783999464</v>
      </c>
      <c r="CX114" s="306"/>
    </row>
    <row r="115" spans="2:102" s="3" customFormat="1" ht="13.8" x14ac:dyDescent="0.25">
      <c r="B115" s="122"/>
      <c r="C115" s="75" t="s">
        <v>50</v>
      </c>
      <c r="D115" s="15">
        <v>0.5</v>
      </c>
      <c r="E115" s="8" t="s">
        <v>29</v>
      </c>
      <c r="F115" s="10" t="e">
        <f t="shared" si="49"/>
        <v>#DIV/0!</v>
      </c>
      <c r="G115" s="10" t="e">
        <f t="shared" si="49"/>
        <v>#DIV/0!</v>
      </c>
      <c r="H115" s="10" t="e">
        <f t="shared" si="49"/>
        <v>#DIV/0!</v>
      </c>
      <c r="I115" s="10" t="e">
        <f t="shared" si="49"/>
        <v>#DIV/0!</v>
      </c>
      <c r="J115" s="10" t="e">
        <f t="shared" si="49"/>
        <v>#DIV/0!</v>
      </c>
      <c r="K115" s="10" t="e">
        <f t="shared" si="49"/>
        <v>#DIV/0!</v>
      </c>
      <c r="L115" s="10" t="e">
        <f t="shared" si="49"/>
        <v>#DIV/0!</v>
      </c>
      <c r="M115" s="10" t="e">
        <f t="shared" si="49"/>
        <v>#DIV/0!</v>
      </c>
      <c r="N115" s="10" t="e">
        <f t="shared" si="49"/>
        <v>#DIV/0!</v>
      </c>
      <c r="O115" s="10" t="e">
        <f t="shared" si="49"/>
        <v>#DIV/0!</v>
      </c>
      <c r="P115" s="10" t="e">
        <f t="shared" si="49"/>
        <v>#DIV/0!</v>
      </c>
      <c r="Q115" s="10" t="e">
        <f t="shared" si="49"/>
        <v>#DIV/0!</v>
      </c>
      <c r="R115" s="10" t="e">
        <f t="shared" si="49"/>
        <v>#DIV/0!</v>
      </c>
      <c r="S115" s="10" t="e">
        <f t="shared" si="49"/>
        <v>#DIV/0!</v>
      </c>
      <c r="T115" s="10" t="e">
        <f t="shared" si="49"/>
        <v>#DIV/0!</v>
      </c>
      <c r="U115" s="10" t="e">
        <f t="shared" si="49"/>
        <v>#DIV/0!</v>
      </c>
      <c r="V115" s="10" t="e">
        <f t="shared" si="49"/>
        <v>#DIV/0!</v>
      </c>
      <c r="W115" s="10" t="e">
        <f t="shared" si="49"/>
        <v>#DIV/0!</v>
      </c>
      <c r="X115" s="10" t="e">
        <f t="shared" si="49"/>
        <v>#DIV/0!</v>
      </c>
      <c r="Y115" s="10" t="e">
        <f t="shared" si="49"/>
        <v>#DIV/0!</v>
      </c>
      <c r="Z115" s="10" t="e">
        <f t="shared" si="49"/>
        <v>#DIV/0!</v>
      </c>
      <c r="AA115" s="10" t="e">
        <f t="shared" si="49"/>
        <v>#DIV/0!</v>
      </c>
      <c r="AB115" s="10" t="e">
        <f t="shared" si="49"/>
        <v>#DIV/0!</v>
      </c>
      <c r="AC115" s="10" t="e">
        <f t="shared" si="49"/>
        <v>#DIV/0!</v>
      </c>
      <c r="AD115" s="10" t="e">
        <f t="shared" si="49"/>
        <v>#DIV/0!</v>
      </c>
      <c r="AE115" s="10" t="e">
        <f t="shared" si="49"/>
        <v>#DIV/0!</v>
      </c>
      <c r="AF115" s="10">
        <f t="shared" si="49"/>
        <v>0.16376358493375021</v>
      </c>
      <c r="AG115" s="10" t="e">
        <f t="shared" si="49"/>
        <v>#DIV/0!</v>
      </c>
      <c r="AH115" s="10">
        <f t="shared" si="49"/>
        <v>0</v>
      </c>
      <c r="AI115" s="21">
        <f>AI108/AI99*100</f>
        <v>0</v>
      </c>
      <c r="AK115" s="115">
        <f>AK108/AK99*100</f>
        <v>5.0856469174044711E-2</v>
      </c>
      <c r="CX115" s="306"/>
    </row>
    <row r="116" spans="2:102" s="3" customFormat="1" ht="13.8" x14ac:dyDescent="0.25">
      <c r="B116" s="122"/>
      <c r="C116" s="72" t="s">
        <v>49</v>
      </c>
      <c r="D116" s="211"/>
      <c r="E116" s="16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  <c r="X116" s="212"/>
      <c r="Y116" s="212"/>
      <c r="Z116" s="212"/>
      <c r="AA116" s="212"/>
      <c r="AB116" s="212"/>
      <c r="AC116" s="212"/>
      <c r="AD116" s="212"/>
      <c r="AE116" s="212"/>
      <c r="AF116" s="212"/>
      <c r="AG116" s="213"/>
      <c r="AH116" s="213"/>
      <c r="AI116" s="214"/>
      <c r="AJ116" s="215"/>
      <c r="AK116" s="152" t="s">
        <v>45</v>
      </c>
    </row>
    <row r="117" spans="2:102" s="3" customFormat="1" ht="13.8" x14ac:dyDescent="0.25">
      <c r="B117" s="122"/>
      <c r="C117" s="73" t="s">
        <v>116</v>
      </c>
      <c r="D117" s="15"/>
      <c r="E117" s="8" t="s">
        <v>16</v>
      </c>
      <c r="F117" s="12">
        <v>59635</v>
      </c>
      <c r="G117" s="12">
        <v>66718</v>
      </c>
      <c r="H117" s="12">
        <v>35760</v>
      </c>
      <c r="I117" s="12">
        <v>78103</v>
      </c>
      <c r="J117" s="12">
        <v>118690</v>
      </c>
      <c r="K117" s="12">
        <v>49982</v>
      </c>
      <c r="L117" s="12">
        <v>169612</v>
      </c>
      <c r="M117" s="12">
        <v>150930</v>
      </c>
      <c r="N117" s="12">
        <v>82522</v>
      </c>
      <c r="O117" s="12">
        <v>82485</v>
      </c>
      <c r="P117" s="12">
        <v>272479</v>
      </c>
      <c r="Q117" s="12">
        <v>117194</v>
      </c>
      <c r="R117" s="12">
        <v>260454</v>
      </c>
      <c r="S117" s="12">
        <v>207881</v>
      </c>
      <c r="T117" s="12">
        <v>170241</v>
      </c>
      <c r="U117" s="12">
        <v>178060</v>
      </c>
      <c r="V117" s="12">
        <v>168872</v>
      </c>
      <c r="W117" s="12">
        <v>155850</v>
      </c>
      <c r="X117" s="12">
        <v>245177</v>
      </c>
      <c r="Y117" s="12">
        <v>124444</v>
      </c>
      <c r="Z117" s="12">
        <v>58626</v>
      </c>
      <c r="AA117" s="12">
        <v>121121</v>
      </c>
      <c r="AB117" s="12">
        <v>43300</v>
      </c>
      <c r="AC117" s="12"/>
      <c r="AD117" s="12">
        <v>108172</v>
      </c>
      <c r="AE117" s="12">
        <v>61682</v>
      </c>
      <c r="AF117" s="12">
        <v>23351</v>
      </c>
      <c r="AG117" s="49">
        <v>54253</v>
      </c>
      <c r="AH117" s="49">
        <v>28561</v>
      </c>
      <c r="AI117" s="20">
        <v>61671</v>
      </c>
      <c r="AJ117" s="35"/>
      <c r="AK117" s="194">
        <f>SUM(C117:AI117)</f>
        <v>3355826</v>
      </c>
    </row>
    <row r="118" spans="2:102" s="3" customFormat="1" ht="13.8" x14ac:dyDescent="0.25">
      <c r="B118" s="122"/>
      <c r="C118" s="73" t="s">
        <v>117</v>
      </c>
      <c r="D118" s="15"/>
      <c r="E118" s="8" t="s">
        <v>16</v>
      </c>
      <c r="F118" s="58">
        <v>72192.19</v>
      </c>
      <c r="G118" s="58">
        <v>38383.379999999997</v>
      </c>
      <c r="H118" s="58">
        <v>76492.75</v>
      </c>
      <c r="I118" s="58">
        <v>76491.850000000006</v>
      </c>
      <c r="J118" s="58">
        <f>37689.89+73987.73</f>
        <v>111677.62</v>
      </c>
      <c r="K118" s="58">
        <v>72309.23</v>
      </c>
      <c r="L118" s="58">
        <v>75722.95</v>
      </c>
      <c r="M118" s="58">
        <v>167538.32</v>
      </c>
      <c r="N118" s="58">
        <f>25606.32+97553.77</f>
        <v>123160.09</v>
      </c>
      <c r="O118" s="58">
        <v>44187.42</v>
      </c>
      <c r="P118" s="58">
        <f>157536.86+70493.46</f>
        <v>228030.32</v>
      </c>
      <c r="Q118" s="58">
        <v>159958.16</v>
      </c>
      <c r="R118" s="58">
        <f>154233.85+68570.22</f>
        <v>222804.07</v>
      </c>
      <c r="S118" s="58">
        <f>153824.11+76091.78</f>
        <v>229915.88999999998</v>
      </c>
      <c r="T118" s="58">
        <v>146760.89000000001</v>
      </c>
      <c r="U118" s="58">
        <v>190679.99</v>
      </c>
      <c r="V118" s="58">
        <v>153146.99</v>
      </c>
      <c r="W118" s="58">
        <f>150955.13+74207.73</f>
        <v>225162.86</v>
      </c>
      <c r="X118" s="58">
        <v>150965.54</v>
      </c>
      <c r="Y118" s="58">
        <v>113863.21</v>
      </c>
      <c r="Z118" s="58">
        <v>113872.87</v>
      </c>
      <c r="AA118" s="58">
        <f>71314.38+165.81</f>
        <v>71480.19</v>
      </c>
      <c r="AB118" s="58">
        <v>76695.77</v>
      </c>
      <c r="AC118" s="58"/>
      <c r="AD118" s="58">
        <f>37963.98+76142.34</f>
        <v>114106.32</v>
      </c>
      <c r="AE118" s="58">
        <f>75732.79+2214.03</f>
        <v>77946.819999999992</v>
      </c>
      <c r="AF118" s="58">
        <f>73816.78+351.13</f>
        <v>74167.91</v>
      </c>
      <c r="AG118" s="65"/>
      <c r="AH118" s="65">
        <f>107686.01+302.36</f>
        <v>107988.37</v>
      </c>
      <c r="AI118" s="66">
        <v>71194.080000000002</v>
      </c>
      <c r="AJ118" s="36"/>
      <c r="AK118" s="296">
        <f>SUM(F118:AI118)</f>
        <v>3386896.05</v>
      </c>
    </row>
    <row r="119" spans="2:102" s="3" customFormat="1" x14ac:dyDescent="0.3">
      <c r="B119" s="122"/>
      <c r="C119" s="74" t="s">
        <v>44</v>
      </c>
      <c r="D119" s="15"/>
      <c r="E119" s="8" t="s">
        <v>16</v>
      </c>
      <c r="F119" s="10">
        <f>SUM(F122:F123)*9.75</f>
        <v>72169.5</v>
      </c>
      <c r="G119" s="10">
        <f t="shared" ref="G119:AH119" si="50">SUM(G122:G123)*9.75348</f>
        <v>38379.943800000001</v>
      </c>
      <c r="H119" s="10">
        <f t="shared" si="50"/>
        <v>76506.297120000003</v>
      </c>
      <c r="I119" s="10">
        <f t="shared" si="50"/>
        <v>76486.790160000004</v>
      </c>
      <c r="J119" s="10">
        <f t="shared" si="50"/>
        <v>111833.40168</v>
      </c>
      <c r="K119" s="10">
        <f t="shared" si="50"/>
        <v>72302.54724</v>
      </c>
      <c r="L119" s="10">
        <f t="shared" si="50"/>
        <v>75755.279159999991</v>
      </c>
      <c r="M119" s="10">
        <f t="shared" si="50"/>
        <v>167535.52596</v>
      </c>
      <c r="N119" s="10">
        <f t="shared" si="50"/>
        <v>123147.43848</v>
      </c>
      <c r="O119" s="10">
        <f t="shared" si="50"/>
        <v>44183.2644</v>
      </c>
      <c r="P119" s="10">
        <f t="shared" si="50"/>
        <v>228280.19939999998</v>
      </c>
      <c r="Q119" s="10">
        <f t="shared" si="50"/>
        <v>160103.37419999999</v>
      </c>
      <c r="R119" s="10">
        <f t="shared" si="50"/>
        <v>223218.14327999999</v>
      </c>
      <c r="S119" s="10">
        <f t="shared" si="50"/>
        <v>230123.60712</v>
      </c>
      <c r="T119" s="10">
        <f t="shared" si="50"/>
        <v>146789.87399999998</v>
      </c>
      <c r="U119" s="10">
        <f t="shared" si="50"/>
        <v>190778.06880000001</v>
      </c>
      <c r="V119" s="10">
        <f t="shared" si="50"/>
        <v>153149.14296</v>
      </c>
      <c r="W119" s="10">
        <f t="shared" si="50"/>
        <v>225217.60668</v>
      </c>
      <c r="X119" s="10">
        <f t="shared" si="50"/>
        <v>150993.62388</v>
      </c>
      <c r="Y119" s="10">
        <f t="shared" si="50"/>
        <v>113862.12552</v>
      </c>
      <c r="Z119" s="10">
        <f t="shared" si="50"/>
        <v>113959.66032</v>
      </c>
      <c r="AA119" s="10">
        <f t="shared" si="50"/>
        <v>71493.008399999992</v>
      </c>
      <c r="AB119" s="10">
        <f t="shared" si="50"/>
        <v>76730.627160000004</v>
      </c>
      <c r="AC119" s="10">
        <f t="shared" si="50"/>
        <v>0</v>
      </c>
      <c r="AD119" s="10">
        <f t="shared" si="50"/>
        <v>114115.716</v>
      </c>
      <c r="AE119" s="10">
        <f t="shared" si="50"/>
        <v>77949.812160000001</v>
      </c>
      <c r="AF119" s="10">
        <f t="shared" si="50"/>
        <v>74194.72236</v>
      </c>
      <c r="AG119" s="10">
        <f t="shared" si="50"/>
        <v>0</v>
      </c>
      <c r="AH119" s="10">
        <f t="shared" si="50"/>
        <v>108039.29796</v>
      </c>
      <c r="AI119" s="21">
        <f>SUM(AI122:AI123)*9.75348</f>
        <v>71278.431840000005</v>
      </c>
      <c r="AJ119" s="37"/>
      <c r="AK119" s="115">
        <f>SUM(C119:S119)</f>
        <v>1700025.3119999999</v>
      </c>
    </row>
    <row r="120" spans="2:102" s="3" customFormat="1" x14ac:dyDescent="0.3">
      <c r="B120" s="122"/>
      <c r="C120" s="74" t="s">
        <v>43</v>
      </c>
      <c r="D120" s="15"/>
      <c r="E120" s="8" t="s">
        <v>16</v>
      </c>
      <c r="F120" s="10">
        <f t="shared" ref="F120:AH120" si="51">F118-F119</f>
        <v>22.690000000002328</v>
      </c>
      <c r="G120" s="10">
        <f t="shared" si="51"/>
        <v>3.436199999996461</v>
      </c>
      <c r="H120" s="10">
        <f t="shared" si="51"/>
        <v>-13.547120000002906</v>
      </c>
      <c r="I120" s="10">
        <f t="shared" si="51"/>
        <v>5.0598400000017136</v>
      </c>
      <c r="J120" s="10">
        <f>J118-J119</f>
        <v>-155.78168000000005</v>
      </c>
      <c r="K120" s="10">
        <f t="shared" si="51"/>
        <v>6.6827599999960512</v>
      </c>
      <c r="L120" s="10">
        <f t="shared" si="51"/>
        <v>-32.329159999993863</v>
      </c>
      <c r="M120" s="10">
        <f t="shared" si="51"/>
        <v>2.7940400000079535</v>
      </c>
      <c r="N120" s="10">
        <f t="shared" si="51"/>
        <v>12.651519999999437</v>
      </c>
      <c r="O120" s="10">
        <f t="shared" si="51"/>
        <v>4.1555999999982305</v>
      </c>
      <c r="P120" s="10">
        <f t="shared" si="51"/>
        <v>-249.87939999997616</v>
      </c>
      <c r="Q120" s="10">
        <f t="shared" si="51"/>
        <v>-145.21419999998761</v>
      </c>
      <c r="R120" s="10">
        <f t="shared" si="51"/>
        <v>-414.07327999998233</v>
      </c>
      <c r="S120" s="10">
        <f t="shared" si="51"/>
        <v>-207.71712000001571</v>
      </c>
      <c r="T120" s="10">
        <f t="shared" si="51"/>
        <v>-28.983999999967637</v>
      </c>
      <c r="U120" s="10">
        <f t="shared" si="51"/>
        <v>-98.078800000017509</v>
      </c>
      <c r="V120" s="10">
        <f t="shared" si="51"/>
        <v>-2.1529600000067148</v>
      </c>
      <c r="W120" s="10">
        <f t="shared" si="51"/>
        <v>-54.746680000011111</v>
      </c>
      <c r="X120" s="10">
        <f t="shared" si="51"/>
        <v>-28.083879999991041</v>
      </c>
      <c r="Y120" s="10">
        <f t="shared" si="51"/>
        <v>1.0844800000049872</v>
      </c>
      <c r="Z120" s="10">
        <f t="shared" si="51"/>
        <v>-86.790320000000065</v>
      </c>
      <c r="AA120" s="10">
        <f t="shared" si="51"/>
        <v>-12.818399999989197</v>
      </c>
      <c r="AB120" s="10">
        <f t="shared" si="51"/>
        <v>-34.857159999999567</v>
      </c>
      <c r="AC120" s="10">
        <f t="shared" si="51"/>
        <v>0</v>
      </c>
      <c r="AD120" s="10">
        <f t="shared" si="51"/>
        <v>-9.3959999999933643</v>
      </c>
      <c r="AE120" s="10">
        <f t="shared" si="51"/>
        <v>-2.9921600000088802</v>
      </c>
      <c r="AF120" s="10">
        <f t="shared" si="51"/>
        <v>-26.812359999996261</v>
      </c>
      <c r="AG120" s="10">
        <f t="shared" si="51"/>
        <v>0</v>
      </c>
      <c r="AH120" s="10">
        <f t="shared" si="51"/>
        <v>-50.927960000000894</v>
      </c>
      <c r="AI120" s="21">
        <f>AI118-AI119</f>
        <v>-84.351840000002994</v>
      </c>
      <c r="AJ120" s="37"/>
      <c r="AK120" s="115">
        <f>SUM(C120:AI120)</f>
        <v>-1680.9800399999367</v>
      </c>
    </row>
    <row r="121" spans="2:102" s="3" customFormat="1" x14ac:dyDescent="0.3">
      <c r="B121" s="122"/>
      <c r="C121" s="74" t="s">
        <v>33</v>
      </c>
      <c r="D121" s="15"/>
      <c r="E121" s="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51"/>
      <c r="AH121" s="51"/>
      <c r="AI121" s="22"/>
      <c r="AJ121" s="38"/>
      <c r="AK121" s="121" t="s">
        <v>33</v>
      </c>
    </row>
    <row r="122" spans="2:102" s="3" customFormat="1" ht="13.8" x14ac:dyDescent="0.25">
      <c r="B122" s="122"/>
      <c r="C122" s="75" t="s">
        <v>48</v>
      </c>
      <c r="D122" s="15"/>
      <c r="E122" s="18" t="s">
        <v>36</v>
      </c>
      <c r="F122" s="7">
        <v>7402</v>
      </c>
      <c r="G122" s="7">
        <v>3935</v>
      </c>
      <c r="H122" s="7">
        <v>7844</v>
      </c>
      <c r="I122" s="7">
        <v>7842</v>
      </c>
      <c r="J122" s="7">
        <v>3865</v>
      </c>
      <c r="K122" s="7">
        <v>7413</v>
      </c>
      <c r="L122" s="7">
        <v>7767</v>
      </c>
      <c r="M122" s="7">
        <v>17177</v>
      </c>
      <c r="N122" s="7">
        <v>2625</v>
      </c>
      <c r="O122" s="7"/>
      <c r="P122" s="7">
        <v>16178</v>
      </c>
      <c r="Q122" s="7">
        <v>16415</v>
      </c>
      <c r="R122" s="7">
        <v>15816</v>
      </c>
      <c r="S122" s="7">
        <v>15774</v>
      </c>
      <c r="T122" s="7">
        <v>15050</v>
      </c>
      <c r="U122" s="7">
        <v>19560</v>
      </c>
      <c r="V122" s="7">
        <v>15702</v>
      </c>
      <c r="W122" s="7">
        <v>15483</v>
      </c>
      <c r="X122" s="7">
        <v>15481</v>
      </c>
      <c r="Y122" s="7">
        <v>11674</v>
      </c>
      <c r="Z122" s="7">
        <v>11684</v>
      </c>
      <c r="AA122" s="7">
        <v>7313</v>
      </c>
      <c r="AB122" s="7">
        <v>7867</v>
      </c>
      <c r="AC122" s="7"/>
      <c r="AD122" s="7">
        <v>3894</v>
      </c>
      <c r="AE122" s="7">
        <v>7767</v>
      </c>
      <c r="AF122" s="7">
        <v>7571</v>
      </c>
      <c r="AG122" s="52"/>
      <c r="AH122" s="52">
        <v>11046</v>
      </c>
      <c r="AI122" s="39">
        <v>7308</v>
      </c>
      <c r="AJ122" s="40"/>
      <c r="AK122" s="208">
        <f>SUM(C122:AI122)</f>
        <v>287453</v>
      </c>
    </row>
    <row r="123" spans="2:102" s="3" customFormat="1" ht="13.8" x14ac:dyDescent="0.25">
      <c r="B123" s="122"/>
      <c r="C123" s="75" t="s">
        <v>47</v>
      </c>
      <c r="D123" s="15"/>
      <c r="E123" s="18" t="s">
        <v>36</v>
      </c>
      <c r="F123" s="7"/>
      <c r="G123" s="7"/>
      <c r="H123" s="7"/>
      <c r="I123" s="7"/>
      <c r="J123" s="7">
        <v>7601</v>
      </c>
      <c r="K123" s="7"/>
      <c r="L123" s="7"/>
      <c r="M123" s="7"/>
      <c r="N123" s="7">
        <v>10001</v>
      </c>
      <c r="O123" s="7">
        <v>4530</v>
      </c>
      <c r="P123" s="7">
        <v>7227</v>
      </c>
      <c r="Q123" s="7"/>
      <c r="R123" s="7">
        <v>7070</v>
      </c>
      <c r="S123" s="7">
        <v>7820</v>
      </c>
      <c r="T123" s="7"/>
      <c r="U123" s="7"/>
      <c r="V123" s="7"/>
      <c r="W123" s="7">
        <v>7608</v>
      </c>
      <c r="X123" s="7"/>
      <c r="Y123" s="7"/>
      <c r="Z123" s="7"/>
      <c r="AA123" s="7">
        <v>17</v>
      </c>
      <c r="AB123" s="7"/>
      <c r="AC123" s="7"/>
      <c r="AD123" s="7">
        <v>7806</v>
      </c>
      <c r="AE123" s="7">
        <v>225</v>
      </c>
      <c r="AF123" s="7">
        <v>36</v>
      </c>
      <c r="AG123" s="52"/>
      <c r="AH123" s="52">
        <v>31</v>
      </c>
      <c r="AI123" s="39"/>
      <c r="AJ123" s="40"/>
      <c r="AK123" s="208">
        <f>SUM(C123:AI123)</f>
        <v>59972</v>
      </c>
    </row>
    <row r="124" spans="2:102" s="3" customFormat="1" x14ac:dyDescent="0.3">
      <c r="B124" s="122"/>
      <c r="C124" s="74" t="s">
        <v>32</v>
      </c>
      <c r="D124" s="15"/>
      <c r="E124" s="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51"/>
      <c r="AH124" s="51"/>
      <c r="AI124" s="22"/>
      <c r="AJ124" s="38"/>
      <c r="AK124" s="121" t="s">
        <v>32</v>
      </c>
    </row>
    <row r="125" spans="2:102" s="3" customFormat="1" ht="13.8" x14ac:dyDescent="0.25">
      <c r="B125" s="122"/>
      <c r="C125" s="75" t="s">
        <v>48</v>
      </c>
      <c r="D125" s="15"/>
      <c r="E125" s="8" t="s">
        <v>32</v>
      </c>
      <c r="F125" s="1">
        <f t="shared" ref="F125:AH125" si="52">F122*12</f>
        <v>88824</v>
      </c>
      <c r="G125" s="1">
        <f t="shared" si="52"/>
        <v>47220</v>
      </c>
      <c r="H125" s="1">
        <f t="shared" si="52"/>
        <v>94128</v>
      </c>
      <c r="I125" s="1">
        <f t="shared" si="52"/>
        <v>94104</v>
      </c>
      <c r="J125" s="1">
        <f t="shared" si="52"/>
        <v>46380</v>
      </c>
      <c r="K125" s="1">
        <f t="shared" si="52"/>
        <v>88956</v>
      </c>
      <c r="L125" s="1">
        <f t="shared" si="52"/>
        <v>93204</v>
      </c>
      <c r="M125" s="1">
        <f t="shared" si="52"/>
        <v>206124</v>
      </c>
      <c r="N125" s="1">
        <f t="shared" si="52"/>
        <v>31500</v>
      </c>
      <c r="O125" s="1">
        <f t="shared" si="52"/>
        <v>0</v>
      </c>
      <c r="P125" s="1">
        <f t="shared" si="52"/>
        <v>194136</v>
      </c>
      <c r="Q125" s="1">
        <f t="shared" si="52"/>
        <v>196980</v>
      </c>
      <c r="R125" s="1">
        <f t="shared" si="52"/>
        <v>189792</v>
      </c>
      <c r="S125" s="1">
        <f t="shared" si="52"/>
        <v>189288</v>
      </c>
      <c r="T125" s="1">
        <f t="shared" si="52"/>
        <v>180600</v>
      </c>
      <c r="U125" s="1">
        <f t="shared" si="52"/>
        <v>234720</v>
      </c>
      <c r="V125" s="1">
        <f t="shared" si="52"/>
        <v>188424</v>
      </c>
      <c r="W125" s="1">
        <f t="shared" si="52"/>
        <v>185796</v>
      </c>
      <c r="X125" s="1">
        <f t="shared" si="52"/>
        <v>185772</v>
      </c>
      <c r="Y125" s="1">
        <f t="shared" si="52"/>
        <v>140088</v>
      </c>
      <c r="Z125" s="1">
        <f t="shared" si="52"/>
        <v>140208</v>
      </c>
      <c r="AA125" s="1">
        <f t="shared" si="52"/>
        <v>87756</v>
      </c>
      <c r="AB125" s="1">
        <f t="shared" si="52"/>
        <v>94404</v>
      </c>
      <c r="AC125" s="1">
        <f t="shared" si="52"/>
        <v>0</v>
      </c>
      <c r="AD125" s="1">
        <f t="shared" si="52"/>
        <v>46728</v>
      </c>
      <c r="AE125" s="1">
        <f t="shared" si="52"/>
        <v>93204</v>
      </c>
      <c r="AF125" s="1">
        <f t="shared" si="52"/>
        <v>90852</v>
      </c>
      <c r="AG125" s="1">
        <f t="shared" si="52"/>
        <v>0</v>
      </c>
      <c r="AH125" s="1">
        <f t="shared" si="52"/>
        <v>132552</v>
      </c>
      <c r="AI125" s="22">
        <f>AI122*12</f>
        <v>87696</v>
      </c>
      <c r="AJ125" s="38"/>
      <c r="AK125" s="104">
        <f>AK122*12</f>
        <v>3449436</v>
      </c>
    </row>
    <row r="126" spans="2:102" s="3" customFormat="1" ht="13.8" x14ac:dyDescent="0.25">
      <c r="B126" s="122"/>
      <c r="C126" s="75" t="s">
        <v>47</v>
      </c>
      <c r="D126" s="15"/>
      <c r="E126" s="8" t="s">
        <v>32</v>
      </c>
      <c r="F126" s="1">
        <f t="shared" ref="F126:AH126" si="53">F123*6</f>
        <v>0</v>
      </c>
      <c r="G126" s="1">
        <f t="shared" si="53"/>
        <v>0</v>
      </c>
      <c r="H126" s="1">
        <f t="shared" si="53"/>
        <v>0</v>
      </c>
      <c r="I126" s="1">
        <f t="shared" si="53"/>
        <v>0</v>
      </c>
      <c r="J126" s="1">
        <f t="shared" si="53"/>
        <v>45606</v>
      </c>
      <c r="K126" s="1">
        <f t="shared" si="53"/>
        <v>0</v>
      </c>
      <c r="L126" s="1">
        <f t="shared" si="53"/>
        <v>0</v>
      </c>
      <c r="M126" s="1">
        <f t="shared" si="53"/>
        <v>0</v>
      </c>
      <c r="N126" s="1">
        <f t="shared" si="53"/>
        <v>60006</v>
      </c>
      <c r="O126" s="1">
        <f t="shared" si="53"/>
        <v>27180</v>
      </c>
      <c r="P126" s="1">
        <f t="shared" si="53"/>
        <v>43362</v>
      </c>
      <c r="Q126" s="1">
        <f t="shared" si="53"/>
        <v>0</v>
      </c>
      <c r="R126" s="1">
        <f t="shared" si="53"/>
        <v>42420</v>
      </c>
      <c r="S126" s="1">
        <f t="shared" si="53"/>
        <v>46920</v>
      </c>
      <c r="T126" s="1">
        <f t="shared" si="53"/>
        <v>0</v>
      </c>
      <c r="U126" s="1">
        <f t="shared" si="53"/>
        <v>0</v>
      </c>
      <c r="V126" s="1">
        <f t="shared" si="53"/>
        <v>0</v>
      </c>
      <c r="W126" s="1">
        <f t="shared" si="53"/>
        <v>45648</v>
      </c>
      <c r="X126" s="1">
        <f t="shared" si="53"/>
        <v>0</v>
      </c>
      <c r="Y126" s="1">
        <f t="shared" si="53"/>
        <v>0</v>
      </c>
      <c r="Z126" s="1">
        <f t="shared" si="53"/>
        <v>0</v>
      </c>
      <c r="AA126" s="1">
        <f t="shared" si="53"/>
        <v>102</v>
      </c>
      <c r="AB126" s="1">
        <f t="shared" si="53"/>
        <v>0</v>
      </c>
      <c r="AC126" s="1">
        <f t="shared" si="53"/>
        <v>0</v>
      </c>
      <c r="AD126" s="1">
        <f t="shared" si="53"/>
        <v>46836</v>
      </c>
      <c r="AE126" s="1">
        <f t="shared" si="53"/>
        <v>1350</v>
      </c>
      <c r="AF126" s="1">
        <f t="shared" si="53"/>
        <v>216</v>
      </c>
      <c r="AG126" s="1">
        <f t="shared" si="53"/>
        <v>0</v>
      </c>
      <c r="AH126" s="1">
        <f t="shared" si="53"/>
        <v>186</v>
      </c>
      <c r="AI126" s="22">
        <f>AI123*6</f>
        <v>0</v>
      </c>
      <c r="AJ126" s="38"/>
      <c r="AK126" s="104">
        <f>AK123*6</f>
        <v>359832</v>
      </c>
    </row>
    <row r="127" spans="2:102" s="3" customFormat="1" x14ac:dyDescent="0.3">
      <c r="B127" s="122"/>
      <c r="C127" s="74" t="s">
        <v>41</v>
      </c>
      <c r="D127" s="15"/>
      <c r="E127" s="8" t="s">
        <v>40</v>
      </c>
      <c r="F127" s="1">
        <f t="shared" ref="F127:AH127" si="54">F118*45/1700</f>
        <v>1910.9697352941178</v>
      </c>
      <c r="G127" s="1">
        <f t="shared" si="54"/>
        <v>1016.0306470588234</v>
      </c>
      <c r="H127" s="1">
        <f t="shared" si="54"/>
        <v>2024.808088235294</v>
      </c>
      <c r="I127" s="1">
        <f t="shared" si="54"/>
        <v>2024.7842647058826</v>
      </c>
      <c r="J127" s="1">
        <f t="shared" si="54"/>
        <v>2956.1722941176467</v>
      </c>
      <c r="K127" s="1">
        <f t="shared" si="54"/>
        <v>1914.0678529411762</v>
      </c>
      <c r="L127" s="1">
        <f t="shared" si="54"/>
        <v>2004.4310294117647</v>
      </c>
      <c r="M127" s="1">
        <f t="shared" si="54"/>
        <v>4434.8378823529411</v>
      </c>
      <c r="N127" s="1">
        <f t="shared" si="54"/>
        <v>3260.1200294117648</v>
      </c>
      <c r="O127" s="1">
        <f t="shared" si="54"/>
        <v>1169.6669999999999</v>
      </c>
      <c r="P127" s="1">
        <f t="shared" si="54"/>
        <v>6036.0967058823535</v>
      </c>
      <c r="Q127" s="1">
        <f t="shared" si="54"/>
        <v>4234.186588235294</v>
      </c>
      <c r="R127" s="1">
        <f t="shared" si="54"/>
        <v>5897.7547941176472</v>
      </c>
      <c r="S127" s="1">
        <f t="shared" si="54"/>
        <v>6086.008852941176</v>
      </c>
      <c r="T127" s="1">
        <f t="shared" si="54"/>
        <v>3884.8470882352944</v>
      </c>
      <c r="U127" s="1">
        <f t="shared" si="54"/>
        <v>5047.4114999999993</v>
      </c>
      <c r="V127" s="1">
        <f t="shared" si="54"/>
        <v>4053.8909117647058</v>
      </c>
      <c r="W127" s="1">
        <f t="shared" si="54"/>
        <v>5960.1933529411763</v>
      </c>
      <c r="X127" s="1">
        <f t="shared" si="54"/>
        <v>3996.1466470588239</v>
      </c>
      <c r="Y127" s="1">
        <f t="shared" si="54"/>
        <v>3014.0261470588234</v>
      </c>
      <c r="Z127" s="1">
        <f t="shared" si="54"/>
        <v>3014.2818529411761</v>
      </c>
      <c r="AA127" s="1">
        <f t="shared" si="54"/>
        <v>1892.1226764705884</v>
      </c>
      <c r="AB127" s="1">
        <f t="shared" si="54"/>
        <v>2030.1821470588238</v>
      </c>
      <c r="AC127" s="1">
        <f t="shared" si="54"/>
        <v>0</v>
      </c>
      <c r="AD127" s="1">
        <f t="shared" si="54"/>
        <v>3020.4614117647061</v>
      </c>
      <c r="AE127" s="1">
        <f t="shared" si="54"/>
        <v>2063.2981764705878</v>
      </c>
      <c r="AF127" s="1">
        <f t="shared" si="54"/>
        <v>1963.268205882353</v>
      </c>
      <c r="AG127" s="1">
        <f t="shared" si="54"/>
        <v>0</v>
      </c>
      <c r="AH127" s="1">
        <f t="shared" si="54"/>
        <v>2858.515676470588</v>
      </c>
      <c r="AI127" s="22">
        <f>AI118*45/1700</f>
        <v>1884.5491764705882</v>
      </c>
      <c r="AJ127" s="38"/>
      <c r="AK127" s="104">
        <f>SUM(C127:AI127)</f>
        <v>89653.130735294122</v>
      </c>
    </row>
    <row r="128" spans="2:102" s="3" customFormat="1" x14ac:dyDescent="0.3">
      <c r="B128" s="122"/>
      <c r="C128" s="74" t="s">
        <v>39</v>
      </c>
      <c r="D128" s="15"/>
      <c r="E128" s="8" t="s">
        <v>38</v>
      </c>
      <c r="F128" s="1">
        <f>SUM(F122:F123)/500</f>
        <v>14.804</v>
      </c>
      <c r="G128" s="1">
        <f t="shared" ref="G128:AH128" si="55">SUM(G122:G123)/500</f>
        <v>7.87</v>
      </c>
      <c r="H128" s="1">
        <f t="shared" si="55"/>
        <v>15.688000000000001</v>
      </c>
      <c r="I128" s="1">
        <f t="shared" si="55"/>
        <v>15.683999999999999</v>
      </c>
      <c r="J128" s="1">
        <f t="shared" si="55"/>
        <v>22.931999999999999</v>
      </c>
      <c r="K128" s="1">
        <f t="shared" si="55"/>
        <v>14.826000000000001</v>
      </c>
      <c r="L128" s="1">
        <f t="shared" si="55"/>
        <v>15.534000000000001</v>
      </c>
      <c r="M128" s="1">
        <f t="shared" si="55"/>
        <v>34.353999999999999</v>
      </c>
      <c r="N128" s="1">
        <f t="shared" si="55"/>
        <v>25.251999999999999</v>
      </c>
      <c r="O128" s="1">
        <f t="shared" si="55"/>
        <v>9.06</v>
      </c>
      <c r="P128" s="1">
        <f t="shared" si="55"/>
        <v>46.81</v>
      </c>
      <c r="Q128" s="1">
        <f t="shared" si="55"/>
        <v>32.83</v>
      </c>
      <c r="R128" s="1">
        <f t="shared" si="55"/>
        <v>45.771999999999998</v>
      </c>
      <c r="S128" s="1">
        <f t="shared" si="55"/>
        <v>47.188000000000002</v>
      </c>
      <c r="T128" s="1">
        <f t="shared" si="55"/>
        <v>30.1</v>
      </c>
      <c r="U128" s="1">
        <f t="shared" si="55"/>
        <v>39.119999999999997</v>
      </c>
      <c r="V128" s="1">
        <f t="shared" si="55"/>
        <v>31.404</v>
      </c>
      <c r="W128" s="1">
        <f t="shared" si="55"/>
        <v>46.182000000000002</v>
      </c>
      <c r="X128" s="1">
        <f t="shared" si="55"/>
        <v>30.962</v>
      </c>
      <c r="Y128" s="1">
        <f t="shared" si="55"/>
        <v>23.347999999999999</v>
      </c>
      <c r="Z128" s="1">
        <f t="shared" si="55"/>
        <v>23.367999999999999</v>
      </c>
      <c r="AA128" s="1">
        <f t="shared" si="55"/>
        <v>14.66</v>
      </c>
      <c r="AB128" s="1">
        <f t="shared" si="55"/>
        <v>15.734</v>
      </c>
      <c r="AC128" s="1">
        <f t="shared" si="55"/>
        <v>0</v>
      </c>
      <c r="AD128" s="1">
        <f t="shared" si="55"/>
        <v>23.4</v>
      </c>
      <c r="AE128" s="1">
        <f t="shared" si="55"/>
        <v>15.984</v>
      </c>
      <c r="AF128" s="1">
        <f t="shared" si="55"/>
        <v>15.214</v>
      </c>
      <c r="AG128" s="1">
        <f t="shared" si="55"/>
        <v>0</v>
      </c>
      <c r="AH128" s="1">
        <f t="shared" si="55"/>
        <v>22.154</v>
      </c>
      <c r="AI128" s="22">
        <f>SUM(AI122:AI123)/500</f>
        <v>14.616</v>
      </c>
      <c r="AJ128" s="38"/>
      <c r="AK128" s="104">
        <f>SUM(C128:AI128)</f>
        <v>694.85000000000014</v>
      </c>
    </row>
    <row r="129" spans="2:102 15068:15460" s="3" customFormat="1" ht="13.8" x14ac:dyDescent="0.25">
      <c r="B129" s="122"/>
      <c r="C129" s="72" t="s">
        <v>37</v>
      </c>
      <c r="D129" s="211"/>
      <c r="E129" s="19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53"/>
      <c r="AH129" s="53"/>
      <c r="AI129" s="61"/>
      <c r="AJ129" s="215"/>
      <c r="AK129" s="152" t="s">
        <v>34</v>
      </c>
    </row>
    <row r="130" spans="2:102 15068:15460" s="3" customFormat="1" x14ac:dyDescent="0.3">
      <c r="B130" s="122"/>
      <c r="C130" s="74" t="s">
        <v>33</v>
      </c>
      <c r="D130" s="15"/>
      <c r="E130" s="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51"/>
      <c r="AH130" s="51"/>
      <c r="AI130" s="22"/>
      <c r="AJ130" s="37"/>
      <c r="AK130" s="121" t="s">
        <v>33</v>
      </c>
    </row>
    <row r="131" spans="2:102 15068:15460" s="3" customFormat="1" ht="13.8" x14ac:dyDescent="0.25">
      <c r="B131" s="122"/>
      <c r="C131" s="75" t="s">
        <v>48</v>
      </c>
      <c r="D131" s="15"/>
      <c r="E131" s="8" t="s">
        <v>36</v>
      </c>
      <c r="F131" s="7">
        <v>1</v>
      </c>
      <c r="G131" s="7"/>
      <c r="H131" s="7">
        <v>2</v>
      </c>
      <c r="I131" s="7"/>
      <c r="J131" s="7">
        <v>1</v>
      </c>
      <c r="K131" s="7"/>
      <c r="L131" s="7">
        <v>4</v>
      </c>
      <c r="M131" s="7">
        <v>1</v>
      </c>
      <c r="N131" s="7"/>
      <c r="O131" s="7"/>
      <c r="P131" s="7">
        <v>27</v>
      </c>
      <c r="Q131" s="7">
        <v>16</v>
      </c>
      <c r="R131" s="7">
        <v>4</v>
      </c>
      <c r="S131" s="7">
        <v>4</v>
      </c>
      <c r="T131" s="7">
        <v>4</v>
      </c>
      <c r="U131" s="7">
        <v>11</v>
      </c>
      <c r="V131" s="7">
        <v>1</v>
      </c>
      <c r="W131" s="7">
        <v>7</v>
      </c>
      <c r="X131" s="7">
        <v>4</v>
      </c>
      <c r="Y131" s="7">
        <v>1</v>
      </c>
      <c r="Z131" s="7">
        <v>10</v>
      </c>
      <c r="AA131" s="7">
        <v>2</v>
      </c>
      <c r="AB131" s="7">
        <v>4</v>
      </c>
      <c r="AC131" s="7"/>
      <c r="AD131" s="7">
        <v>2</v>
      </c>
      <c r="AE131" s="7">
        <v>5</v>
      </c>
      <c r="AF131" s="7">
        <v>3</v>
      </c>
      <c r="AG131" s="52"/>
      <c r="AH131" s="52">
        <v>6</v>
      </c>
      <c r="AI131" s="39">
        <v>9</v>
      </c>
      <c r="AJ131" s="37"/>
      <c r="AK131" s="104">
        <f>SUM(C131:AI131)</f>
        <v>129</v>
      </c>
    </row>
    <row r="132" spans="2:102 15068:15460" s="3" customFormat="1" ht="13.8" x14ac:dyDescent="0.25">
      <c r="B132" s="122"/>
      <c r="C132" s="75" t="s">
        <v>47</v>
      </c>
      <c r="D132" s="15"/>
      <c r="E132" s="8" t="s">
        <v>36</v>
      </c>
      <c r="F132" s="7"/>
      <c r="G132" s="7"/>
      <c r="H132" s="7"/>
      <c r="I132" s="7"/>
      <c r="J132" s="7">
        <v>16</v>
      </c>
      <c r="K132" s="7"/>
      <c r="L132" s="7"/>
      <c r="M132" s="7"/>
      <c r="N132" s="7"/>
      <c r="O132" s="7"/>
      <c r="P132" s="7"/>
      <c r="Q132" s="7"/>
      <c r="R132" s="7">
        <v>40</v>
      </c>
      <c r="S132" s="7">
        <v>19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52"/>
      <c r="AH132" s="52"/>
      <c r="AI132" s="39"/>
      <c r="AJ132" s="37"/>
      <c r="AK132" s="104">
        <f>SUM(C132:AI132)</f>
        <v>75</v>
      </c>
    </row>
    <row r="133" spans="2:102 15068:15460" s="3" customFormat="1" x14ac:dyDescent="0.3">
      <c r="B133" s="122"/>
      <c r="C133" s="74" t="s">
        <v>32</v>
      </c>
      <c r="D133" s="15"/>
      <c r="E133" s="5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52"/>
      <c r="AH133" s="52"/>
      <c r="AI133" s="39"/>
      <c r="AJ133" s="37"/>
      <c r="AK133" s="121" t="s">
        <v>32</v>
      </c>
    </row>
    <row r="134" spans="2:102 15068:15460" s="3" customFormat="1" ht="13.8" x14ac:dyDescent="0.25">
      <c r="B134" s="122"/>
      <c r="C134" s="75" t="str">
        <f>C131</f>
        <v xml:space="preserve">INL SP 900 mL  </v>
      </c>
      <c r="D134" s="15"/>
      <c r="E134" s="8" t="s">
        <v>32</v>
      </c>
      <c r="F134" s="7">
        <f>F131*12</f>
        <v>12</v>
      </c>
      <c r="G134" s="7">
        <f t="shared" ref="G134:AI134" si="56">G131*12</f>
        <v>0</v>
      </c>
      <c r="H134" s="7">
        <f t="shared" si="56"/>
        <v>24</v>
      </c>
      <c r="I134" s="7">
        <f t="shared" si="56"/>
        <v>0</v>
      </c>
      <c r="J134" s="7">
        <f t="shared" si="56"/>
        <v>12</v>
      </c>
      <c r="K134" s="7">
        <f t="shared" si="56"/>
        <v>0</v>
      </c>
      <c r="L134" s="7">
        <f t="shared" si="56"/>
        <v>48</v>
      </c>
      <c r="M134" s="7">
        <f t="shared" si="56"/>
        <v>12</v>
      </c>
      <c r="N134" s="7">
        <f t="shared" si="56"/>
        <v>0</v>
      </c>
      <c r="O134" s="7">
        <f t="shared" si="56"/>
        <v>0</v>
      </c>
      <c r="P134" s="7">
        <f t="shared" si="56"/>
        <v>324</v>
      </c>
      <c r="Q134" s="7">
        <f t="shared" si="56"/>
        <v>192</v>
      </c>
      <c r="R134" s="7">
        <f t="shared" si="56"/>
        <v>48</v>
      </c>
      <c r="S134" s="7">
        <f t="shared" si="56"/>
        <v>48</v>
      </c>
      <c r="T134" s="7">
        <f t="shared" si="56"/>
        <v>48</v>
      </c>
      <c r="U134" s="7">
        <f t="shared" si="56"/>
        <v>132</v>
      </c>
      <c r="V134" s="7">
        <f t="shared" si="56"/>
        <v>12</v>
      </c>
      <c r="W134" s="7">
        <f t="shared" si="56"/>
        <v>84</v>
      </c>
      <c r="X134" s="7">
        <f t="shared" si="56"/>
        <v>48</v>
      </c>
      <c r="Y134" s="7">
        <f t="shared" si="56"/>
        <v>12</v>
      </c>
      <c r="Z134" s="7">
        <f t="shared" si="56"/>
        <v>120</v>
      </c>
      <c r="AA134" s="7">
        <f t="shared" si="56"/>
        <v>24</v>
      </c>
      <c r="AB134" s="7">
        <f t="shared" si="56"/>
        <v>48</v>
      </c>
      <c r="AC134" s="7">
        <f t="shared" si="56"/>
        <v>0</v>
      </c>
      <c r="AD134" s="7">
        <f t="shared" si="56"/>
        <v>24</v>
      </c>
      <c r="AE134" s="7">
        <f t="shared" si="56"/>
        <v>60</v>
      </c>
      <c r="AF134" s="7">
        <f t="shared" si="56"/>
        <v>36</v>
      </c>
      <c r="AG134" s="7">
        <f t="shared" si="56"/>
        <v>0</v>
      </c>
      <c r="AH134" s="7">
        <f t="shared" si="56"/>
        <v>72</v>
      </c>
      <c r="AI134" s="39">
        <f t="shared" si="56"/>
        <v>108</v>
      </c>
      <c r="AJ134" s="37"/>
      <c r="AK134" s="104">
        <f>SUM(C134:AI134)</f>
        <v>1548</v>
      </c>
    </row>
    <row r="135" spans="2:102 15068:15460" s="3" customFormat="1" ht="13.8" x14ac:dyDescent="0.25">
      <c r="B135" s="122"/>
      <c r="C135" s="75" t="str">
        <f>C132</f>
        <v>INL SP 1,8 L</v>
      </c>
      <c r="D135" s="15"/>
      <c r="E135" s="8" t="s">
        <v>32</v>
      </c>
      <c r="F135" s="7">
        <f>F132*6</f>
        <v>0</v>
      </c>
      <c r="G135" s="7">
        <f t="shared" ref="G135:AI135" si="57">G132*6</f>
        <v>0</v>
      </c>
      <c r="H135" s="7">
        <f t="shared" si="57"/>
        <v>0</v>
      </c>
      <c r="I135" s="7">
        <f t="shared" si="57"/>
        <v>0</v>
      </c>
      <c r="J135" s="7">
        <f t="shared" si="57"/>
        <v>96</v>
      </c>
      <c r="K135" s="7">
        <f t="shared" si="57"/>
        <v>0</v>
      </c>
      <c r="L135" s="7">
        <f t="shared" si="57"/>
        <v>0</v>
      </c>
      <c r="M135" s="7">
        <f t="shared" si="57"/>
        <v>0</v>
      </c>
      <c r="N135" s="7">
        <f t="shared" si="57"/>
        <v>0</v>
      </c>
      <c r="O135" s="7">
        <f t="shared" si="57"/>
        <v>0</v>
      </c>
      <c r="P135" s="7">
        <f t="shared" si="57"/>
        <v>0</v>
      </c>
      <c r="Q135" s="7">
        <f t="shared" si="57"/>
        <v>0</v>
      </c>
      <c r="R135" s="7">
        <f t="shared" si="57"/>
        <v>240</v>
      </c>
      <c r="S135" s="7">
        <f t="shared" si="57"/>
        <v>114</v>
      </c>
      <c r="T135" s="7">
        <f t="shared" si="57"/>
        <v>0</v>
      </c>
      <c r="U135" s="7">
        <f t="shared" si="57"/>
        <v>0</v>
      </c>
      <c r="V135" s="7">
        <f t="shared" si="57"/>
        <v>0</v>
      </c>
      <c r="W135" s="7">
        <f t="shared" si="57"/>
        <v>0</v>
      </c>
      <c r="X135" s="7">
        <f t="shared" si="57"/>
        <v>0</v>
      </c>
      <c r="Y135" s="7">
        <f t="shared" si="57"/>
        <v>0</v>
      </c>
      <c r="Z135" s="7">
        <f t="shared" si="57"/>
        <v>0</v>
      </c>
      <c r="AA135" s="7">
        <f t="shared" si="57"/>
        <v>0</v>
      </c>
      <c r="AB135" s="7">
        <f t="shared" si="57"/>
        <v>0</v>
      </c>
      <c r="AC135" s="7">
        <f t="shared" si="57"/>
        <v>0</v>
      </c>
      <c r="AD135" s="7">
        <f t="shared" si="57"/>
        <v>0</v>
      </c>
      <c r="AE135" s="7">
        <f t="shared" si="57"/>
        <v>0</v>
      </c>
      <c r="AF135" s="7">
        <f t="shared" si="57"/>
        <v>0</v>
      </c>
      <c r="AG135" s="7">
        <f t="shared" si="57"/>
        <v>0</v>
      </c>
      <c r="AH135" s="7">
        <f t="shared" si="57"/>
        <v>0</v>
      </c>
      <c r="AI135" s="83">
        <f t="shared" si="57"/>
        <v>0</v>
      </c>
      <c r="AJ135" s="37"/>
      <c r="AK135" s="104">
        <f>SUM(C135:AI135)</f>
        <v>450</v>
      </c>
    </row>
    <row r="136" spans="2:102 15068:15460" s="3" customFormat="1" ht="13.8" x14ac:dyDescent="0.25">
      <c r="B136" s="122"/>
      <c r="C136" s="72" t="s">
        <v>35</v>
      </c>
      <c r="D136" s="211"/>
      <c r="E136" s="16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54"/>
      <c r="AH136" s="54"/>
      <c r="AI136" s="62"/>
      <c r="AJ136" s="215"/>
      <c r="AK136" s="216"/>
    </row>
    <row r="137" spans="2:102 15068:15460" s="3" customFormat="1" x14ac:dyDescent="0.3">
      <c r="B137" s="122"/>
      <c r="C137" s="74" t="s">
        <v>33</v>
      </c>
      <c r="D137" s="15"/>
      <c r="E137" s="8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52"/>
      <c r="AH137" s="52"/>
      <c r="AI137" s="39"/>
      <c r="AJ137" s="37"/>
      <c r="AK137" s="104"/>
    </row>
    <row r="138" spans="2:102 15068:15460" s="3" customFormat="1" ht="13.8" x14ac:dyDescent="0.25">
      <c r="B138" s="122"/>
      <c r="C138" s="75" t="s">
        <v>48</v>
      </c>
      <c r="D138" s="15"/>
      <c r="E138" s="8" t="s">
        <v>29</v>
      </c>
      <c r="F138" s="7">
        <f>F131/F122*100</f>
        <v>1.3509862199405566E-2</v>
      </c>
      <c r="G138" s="7">
        <f t="shared" ref="G138:AH139" si="58">G131/G122*100</f>
        <v>0</v>
      </c>
      <c r="H138" s="7">
        <f t="shared" si="58"/>
        <v>2.5497195308516064E-2</v>
      </c>
      <c r="I138" s="7">
        <f t="shared" si="58"/>
        <v>0</v>
      </c>
      <c r="J138" s="7">
        <f t="shared" si="58"/>
        <v>2.5873221216041398E-2</v>
      </c>
      <c r="K138" s="7">
        <f>K131/K122*100</f>
        <v>0</v>
      </c>
      <c r="L138" s="7">
        <f t="shared" si="58"/>
        <v>5.149993562508047E-2</v>
      </c>
      <c r="M138" s="7">
        <f t="shared" si="58"/>
        <v>5.8217383710776035E-3</v>
      </c>
      <c r="N138" s="7">
        <f t="shared" si="58"/>
        <v>0</v>
      </c>
      <c r="O138" s="7" t="e">
        <f t="shared" si="58"/>
        <v>#DIV/0!</v>
      </c>
      <c r="P138" s="7">
        <f t="shared" si="58"/>
        <v>0.16689331190505624</v>
      </c>
      <c r="Q138" s="7">
        <f t="shared" si="58"/>
        <v>9.7471824550715805E-2</v>
      </c>
      <c r="R138" s="7">
        <f t="shared" si="58"/>
        <v>2.5290844714213456E-2</v>
      </c>
      <c r="S138" s="7">
        <f t="shared" si="58"/>
        <v>2.5358184354000255E-2</v>
      </c>
      <c r="T138" s="7">
        <f t="shared" si="58"/>
        <v>2.6578073089700997E-2</v>
      </c>
      <c r="U138" s="7">
        <f t="shared" si="58"/>
        <v>5.6237218813905934E-2</v>
      </c>
      <c r="V138" s="7">
        <f t="shared" si="58"/>
        <v>6.3686154629983447E-3</v>
      </c>
      <c r="W138" s="7">
        <f t="shared" si="58"/>
        <v>4.5210876445133372E-2</v>
      </c>
      <c r="X138" s="7">
        <f t="shared" si="58"/>
        <v>2.5838124152186552E-2</v>
      </c>
      <c r="Y138" s="7">
        <f t="shared" si="58"/>
        <v>8.5660442007880772E-3</v>
      </c>
      <c r="Z138" s="7">
        <f t="shared" si="58"/>
        <v>8.5587127695994525E-2</v>
      </c>
      <c r="AA138" s="7">
        <f t="shared" si="58"/>
        <v>2.7348557363599073E-2</v>
      </c>
      <c r="AB138" s="7">
        <f t="shared" si="58"/>
        <v>5.0845303165120127E-2</v>
      </c>
      <c r="AC138" s="7" t="e">
        <f t="shared" si="58"/>
        <v>#DIV/0!</v>
      </c>
      <c r="AD138" s="7">
        <f t="shared" si="58"/>
        <v>5.1361068310220852E-2</v>
      </c>
      <c r="AE138" s="7">
        <f t="shared" si="58"/>
        <v>6.4374919531350577E-2</v>
      </c>
      <c r="AF138" s="7">
        <f t="shared" si="58"/>
        <v>3.9624884427420418E-2</v>
      </c>
      <c r="AG138" s="7" t="e">
        <f t="shared" si="58"/>
        <v>#DIV/0!</v>
      </c>
      <c r="AH138" s="7">
        <f t="shared" si="58"/>
        <v>5.4318305268875607E-2</v>
      </c>
      <c r="AI138" s="39">
        <f>AI131/AI122*100</f>
        <v>0.12315270935960591</v>
      </c>
      <c r="AJ138" s="40"/>
      <c r="AK138" s="104" t="e">
        <f>SUM(C138:AI138)</f>
        <v>#DIV/0!</v>
      </c>
    </row>
    <row r="139" spans="2:102 15068:15460" s="3" customFormat="1" ht="13.8" x14ac:dyDescent="0.25">
      <c r="B139" s="122"/>
      <c r="C139" s="75" t="s">
        <v>103</v>
      </c>
      <c r="D139" s="15"/>
      <c r="E139" s="8" t="s">
        <v>29</v>
      </c>
      <c r="F139" s="7" t="e">
        <f>F132/F123*100</f>
        <v>#DIV/0!</v>
      </c>
      <c r="G139" s="7" t="e">
        <f t="shared" si="58"/>
        <v>#DIV/0!</v>
      </c>
      <c r="H139" s="7" t="e">
        <f t="shared" si="58"/>
        <v>#DIV/0!</v>
      </c>
      <c r="I139" s="7" t="e">
        <f>I132/I123*100</f>
        <v>#DIV/0!</v>
      </c>
      <c r="J139" s="7">
        <f t="shared" si="58"/>
        <v>0.21049861860281543</v>
      </c>
      <c r="K139" s="7" t="e">
        <f t="shared" si="58"/>
        <v>#DIV/0!</v>
      </c>
      <c r="L139" s="7" t="e">
        <f t="shared" si="58"/>
        <v>#DIV/0!</v>
      </c>
      <c r="M139" s="7" t="e">
        <f t="shared" si="58"/>
        <v>#DIV/0!</v>
      </c>
      <c r="N139" s="7">
        <f t="shared" si="58"/>
        <v>0</v>
      </c>
      <c r="O139" s="7">
        <f t="shared" si="58"/>
        <v>0</v>
      </c>
      <c r="P139" s="7">
        <f t="shared" si="58"/>
        <v>0</v>
      </c>
      <c r="Q139" s="7" t="e">
        <f t="shared" si="58"/>
        <v>#DIV/0!</v>
      </c>
      <c r="R139" s="7">
        <f t="shared" si="58"/>
        <v>0.56577086280056577</v>
      </c>
      <c r="S139" s="7">
        <f t="shared" si="58"/>
        <v>0.24296675191815856</v>
      </c>
      <c r="T139" s="7" t="e">
        <f t="shared" si="58"/>
        <v>#DIV/0!</v>
      </c>
      <c r="U139" s="7" t="e">
        <f t="shared" si="58"/>
        <v>#DIV/0!</v>
      </c>
      <c r="V139" s="7" t="e">
        <f t="shared" si="58"/>
        <v>#DIV/0!</v>
      </c>
      <c r="W139" s="7">
        <f t="shared" si="58"/>
        <v>0</v>
      </c>
      <c r="X139" s="7" t="e">
        <f t="shared" si="58"/>
        <v>#DIV/0!</v>
      </c>
      <c r="Y139" s="7" t="e">
        <f t="shared" si="58"/>
        <v>#DIV/0!</v>
      </c>
      <c r="Z139" s="7" t="e">
        <f t="shared" si="58"/>
        <v>#DIV/0!</v>
      </c>
      <c r="AA139" s="7">
        <f t="shared" si="58"/>
        <v>0</v>
      </c>
      <c r="AB139" s="7" t="e">
        <f t="shared" si="58"/>
        <v>#DIV/0!</v>
      </c>
      <c r="AC139" s="7" t="e">
        <f t="shared" si="58"/>
        <v>#DIV/0!</v>
      </c>
      <c r="AD139" s="7">
        <f t="shared" si="58"/>
        <v>0</v>
      </c>
      <c r="AE139" s="7">
        <f t="shared" si="58"/>
        <v>0</v>
      </c>
      <c r="AF139" s="7">
        <f t="shared" si="58"/>
        <v>0</v>
      </c>
      <c r="AG139" s="7" t="e">
        <f t="shared" si="58"/>
        <v>#DIV/0!</v>
      </c>
      <c r="AH139" s="7">
        <f t="shared" si="58"/>
        <v>0</v>
      </c>
      <c r="AI139" s="39" t="e">
        <f>AI132/AI123*100</f>
        <v>#DIV/0!</v>
      </c>
      <c r="AJ139" s="40"/>
      <c r="AK139" s="104" t="e">
        <f>SUM(C139:AI139)</f>
        <v>#DIV/0!</v>
      </c>
    </row>
    <row r="140" spans="2:102 15068:15460" s="3" customFormat="1" x14ac:dyDescent="0.3">
      <c r="B140" s="122"/>
      <c r="C140" s="74" t="s">
        <v>32</v>
      </c>
      <c r="D140" s="15"/>
      <c r="E140" s="5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39"/>
      <c r="AJ140" s="40"/>
      <c r="AK140" s="104"/>
    </row>
    <row r="141" spans="2:102 15068:15460" s="3" customFormat="1" ht="13.8" x14ac:dyDescent="0.25">
      <c r="B141" s="122"/>
      <c r="C141" s="75" t="s">
        <v>48</v>
      </c>
      <c r="D141" s="15"/>
      <c r="E141" s="8" t="s">
        <v>29</v>
      </c>
      <c r="F141" s="7">
        <f>F134/F125*100</f>
        <v>1.3509862199405566E-2</v>
      </c>
      <c r="G141" s="7">
        <f t="shared" ref="F141:AI142" si="59">G134/G125*100</f>
        <v>0</v>
      </c>
      <c r="H141" s="7">
        <f t="shared" si="59"/>
        <v>2.5497195308516064E-2</v>
      </c>
      <c r="I141" s="7">
        <f t="shared" si="59"/>
        <v>0</v>
      </c>
      <c r="J141" s="7">
        <f t="shared" si="59"/>
        <v>2.5873221216041398E-2</v>
      </c>
      <c r="K141" s="7">
        <f t="shared" si="59"/>
        <v>0</v>
      </c>
      <c r="L141" s="7">
        <f t="shared" si="59"/>
        <v>5.149993562508047E-2</v>
      </c>
      <c r="M141" s="7">
        <f t="shared" si="59"/>
        <v>5.8217383710776035E-3</v>
      </c>
      <c r="N141" s="7">
        <f t="shared" si="59"/>
        <v>0</v>
      </c>
      <c r="O141" s="7" t="e">
        <f t="shared" si="59"/>
        <v>#DIV/0!</v>
      </c>
      <c r="P141" s="7">
        <f t="shared" si="59"/>
        <v>0.16689331190505624</v>
      </c>
      <c r="Q141" s="7">
        <f t="shared" si="59"/>
        <v>9.7471824550715805E-2</v>
      </c>
      <c r="R141" s="7">
        <f t="shared" si="59"/>
        <v>2.5290844714213456E-2</v>
      </c>
      <c r="S141" s="7">
        <f t="shared" si="59"/>
        <v>2.5358184354000255E-2</v>
      </c>
      <c r="T141" s="7">
        <f t="shared" si="59"/>
        <v>2.6578073089700997E-2</v>
      </c>
      <c r="U141" s="7">
        <f t="shared" si="59"/>
        <v>5.6237218813905934E-2</v>
      </c>
      <c r="V141" s="7">
        <f t="shared" si="59"/>
        <v>6.3686154629983447E-3</v>
      </c>
      <c r="W141" s="7">
        <f t="shared" si="59"/>
        <v>4.5210876445133372E-2</v>
      </c>
      <c r="X141" s="7">
        <f t="shared" si="59"/>
        <v>2.5838124152186552E-2</v>
      </c>
      <c r="Y141" s="7">
        <f t="shared" si="59"/>
        <v>8.5660442007880772E-3</v>
      </c>
      <c r="Z141" s="7">
        <f t="shared" si="59"/>
        <v>8.5587127695994525E-2</v>
      </c>
      <c r="AA141" s="7">
        <f t="shared" si="59"/>
        <v>2.7348557363599073E-2</v>
      </c>
      <c r="AB141" s="7">
        <f t="shared" si="59"/>
        <v>5.0845303165120127E-2</v>
      </c>
      <c r="AC141" s="7" t="e">
        <f t="shared" si="59"/>
        <v>#DIV/0!</v>
      </c>
      <c r="AD141" s="7">
        <f t="shared" si="59"/>
        <v>5.1361068310220852E-2</v>
      </c>
      <c r="AE141" s="7">
        <f t="shared" si="59"/>
        <v>6.4374919531350577E-2</v>
      </c>
      <c r="AF141" s="7">
        <f t="shared" si="59"/>
        <v>3.9624884427420418E-2</v>
      </c>
      <c r="AG141" s="7" t="e">
        <f t="shared" si="59"/>
        <v>#DIV/0!</v>
      </c>
      <c r="AH141" s="7">
        <f t="shared" si="59"/>
        <v>5.4318305268875607E-2</v>
      </c>
      <c r="AI141" s="39">
        <f>AI134/AI125*100</f>
        <v>0.12315270935960591</v>
      </c>
      <c r="AJ141" s="40"/>
      <c r="AK141" s="104" t="e">
        <f>SUM(C141:AI141)</f>
        <v>#DIV/0!</v>
      </c>
    </row>
    <row r="142" spans="2:102 15068:15460" s="3" customFormat="1" thickBot="1" x14ac:dyDescent="0.3">
      <c r="B142" s="158"/>
      <c r="C142" s="75" t="s">
        <v>103</v>
      </c>
      <c r="D142" s="15"/>
      <c r="E142" s="8" t="s">
        <v>29</v>
      </c>
      <c r="F142" s="7" t="e">
        <f t="shared" si="59"/>
        <v>#DIV/0!</v>
      </c>
      <c r="G142" s="7" t="e">
        <f t="shared" si="59"/>
        <v>#DIV/0!</v>
      </c>
      <c r="H142" s="7" t="e">
        <f t="shared" si="59"/>
        <v>#DIV/0!</v>
      </c>
      <c r="I142" s="7" t="e">
        <f t="shared" si="59"/>
        <v>#DIV/0!</v>
      </c>
      <c r="J142" s="7">
        <f t="shared" si="59"/>
        <v>0.21049861860281543</v>
      </c>
      <c r="K142" s="7" t="e">
        <f t="shared" si="59"/>
        <v>#DIV/0!</v>
      </c>
      <c r="L142" s="7" t="e">
        <f t="shared" si="59"/>
        <v>#DIV/0!</v>
      </c>
      <c r="M142" s="7" t="e">
        <f t="shared" si="59"/>
        <v>#DIV/0!</v>
      </c>
      <c r="N142" s="7">
        <f t="shared" si="59"/>
        <v>0</v>
      </c>
      <c r="O142" s="7">
        <f t="shared" si="59"/>
        <v>0</v>
      </c>
      <c r="P142" s="7">
        <f t="shared" si="59"/>
        <v>0</v>
      </c>
      <c r="Q142" s="7" t="e">
        <f t="shared" si="59"/>
        <v>#DIV/0!</v>
      </c>
      <c r="R142" s="7">
        <f t="shared" si="59"/>
        <v>0.56577086280056577</v>
      </c>
      <c r="S142" s="7">
        <f t="shared" si="59"/>
        <v>0.24296675191815856</v>
      </c>
      <c r="T142" s="7" t="e">
        <f t="shared" si="59"/>
        <v>#DIV/0!</v>
      </c>
      <c r="U142" s="7" t="e">
        <f t="shared" si="59"/>
        <v>#DIV/0!</v>
      </c>
      <c r="V142" s="7" t="e">
        <f t="shared" si="59"/>
        <v>#DIV/0!</v>
      </c>
      <c r="W142" s="7">
        <f t="shared" si="59"/>
        <v>0</v>
      </c>
      <c r="X142" s="7" t="e">
        <f t="shared" si="59"/>
        <v>#DIV/0!</v>
      </c>
      <c r="Y142" s="7" t="e">
        <f t="shared" si="59"/>
        <v>#DIV/0!</v>
      </c>
      <c r="Z142" s="7" t="e">
        <f t="shared" si="59"/>
        <v>#DIV/0!</v>
      </c>
      <c r="AA142" s="7">
        <f t="shared" si="59"/>
        <v>0</v>
      </c>
      <c r="AB142" s="7" t="e">
        <f t="shared" si="59"/>
        <v>#DIV/0!</v>
      </c>
      <c r="AC142" s="7" t="e">
        <f t="shared" si="59"/>
        <v>#DIV/0!</v>
      </c>
      <c r="AD142" s="7">
        <f t="shared" si="59"/>
        <v>0</v>
      </c>
      <c r="AE142" s="7">
        <f t="shared" si="59"/>
        <v>0</v>
      </c>
      <c r="AF142" s="7">
        <f t="shared" si="59"/>
        <v>0</v>
      </c>
      <c r="AG142" s="7" t="e">
        <f t="shared" si="59"/>
        <v>#DIV/0!</v>
      </c>
      <c r="AH142" s="7">
        <f t="shared" si="59"/>
        <v>0</v>
      </c>
      <c r="AI142" s="39" t="e">
        <f>AI135/AI126*100</f>
        <v>#DIV/0!</v>
      </c>
      <c r="AJ142" s="40"/>
      <c r="AK142" s="104" t="e">
        <f>SUM(C142:AI142)</f>
        <v>#DIV/0!</v>
      </c>
    </row>
    <row r="143" spans="2:102 15068:15460" s="3" customFormat="1" x14ac:dyDescent="0.3">
      <c r="B143" s="70">
        <v>6</v>
      </c>
      <c r="C143" s="72" t="s">
        <v>46</v>
      </c>
      <c r="D143" s="88"/>
      <c r="E143" s="19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89"/>
      <c r="AD143" s="6"/>
      <c r="AE143" s="6"/>
      <c r="AF143" s="6"/>
      <c r="AG143" s="53"/>
      <c r="AH143" s="53"/>
      <c r="AI143" s="61"/>
      <c r="AJ143" s="90"/>
      <c r="AK143" s="152" t="s">
        <v>45</v>
      </c>
      <c r="CX143" s="17"/>
      <c r="VGN143" s="300"/>
      <c r="VGO143" s="300"/>
      <c r="VGP143" s="300"/>
      <c r="VGQ143" s="300"/>
      <c r="VGR143" s="300"/>
      <c r="VGS143" s="300"/>
      <c r="VGT143" s="300"/>
      <c r="VGU143" s="300"/>
      <c r="VGV143" s="300"/>
      <c r="VGW143" s="300"/>
      <c r="VGX143" s="300"/>
      <c r="VGY143" s="300"/>
      <c r="VGZ143" s="300"/>
      <c r="VHA143" s="300"/>
      <c r="VHB143" s="300"/>
      <c r="VHC143" s="300"/>
      <c r="VHD143" s="300"/>
      <c r="VHE143" s="300"/>
      <c r="VHF143" s="300"/>
      <c r="VHG143" s="300"/>
      <c r="VHH143" s="300"/>
      <c r="VHI143" s="300"/>
      <c r="VHJ143" s="300"/>
      <c r="VHK143" s="300"/>
      <c r="VHL143" s="300"/>
      <c r="VHM143" s="300"/>
      <c r="VHN143" s="300"/>
      <c r="VHO143" s="300"/>
      <c r="VHP143" s="300"/>
      <c r="VHQ143" s="300"/>
      <c r="VHR143" s="300"/>
      <c r="VHS143" s="300"/>
      <c r="VHT143" s="300"/>
      <c r="VHU143" s="300"/>
      <c r="VHV143" s="300"/>
      <c r="VHW143" s="300"/>
      <c r="VHX143" s="300"/>
      <c r="VHY143" s="300"/>
      <c r="VHZ143" s="300"/>
      <c r="VIA143" s="300"/>
      <c r="VIB143" s="300"/>
      <c r="VIC143" s="300"/>
      <c r="VID143" s="300"/>
      <c r="VIE143" s="300"/>
      <c r="VIF143" s="300"/>
      <c r="VIG143" s="300"/>
      <c r="VIH143" s="300"/>
      <c r="VII143" s="300"/>
      <c r="VIJ143" s="300"/>
      <c r="VIK143" s="300"/>
      <c r="VIL143" s="300"/>
      <c r="VIM143" s="300"/>
      <c r="VIN143" s="300"/>
      <c r="VIO143" s="300"/>
      <c r="VIP143" s="300"/>
      <c r="VIQ143" s="300"/>
      <c r="VIR143" s="300"/>
      <c r="VIS143" s="300"/>
      <c r="VIT143" s="300"/>
      <c r="VIU143" s="300"/>
      <c r="VIV143" s="300"/>
      <c r="VIW143" s="300"/>
      <c r="VIX143" s="300"/>
      <c r="VIY143" s="300"/>
      <c r="VIZ143" s="300"/>
      <c r="VJA143" s="300"/>
      <c r="VJB143" s="300"/>
      <c r="VJC143" s="300"/>
      <c r="VJD143" s="300"/>
      <c r="VJE143" s="300"/>
      <c r="VJF143" s="300"/>
      <c r="VJG143" s="300"/>
      <c r="VJH143" s="300"/>
      <c r="VJI143" s="300"/>
      <c r="VJJ143" s="300"/>
      <c r="VJK143" s="300"/>
      <c r="VJL143" s="300"/>
      <c r="VJM143" s="300"/>
      <c r="VJN143" s="300"/>
      <c r="VJO143" s="300"/>
      <c r="VJP143" s="300"/>
      <c r="VJQ143" s="300"/>
      <c r="VJR143" s="300"/>
      <c r="VJS143" s="300"/>
      <c r="VJT143" s="300"/>
      <c r="VJU143" s="300"/>
      <c r="VJV143" s="300"/>
      <c r="VJW143" s="300"/>
      <c r="VJX143" s="300"/>
      <c r="VJY143" s="300"/>
      <c r="VJZ143" s="300"/>
      <c r="VKA143" s="300"/>
      <c r="VKB143" s="300"/>
      <c r="VKC143" s="300"/>
      <c r="VKD143" s="300"/>
      <c r="VKE143" s="300"/>
      <c r="VKF143" s="300"/>
      <c r="VKG143" s="300"/>
      <c r="VKH143" s="300"/>
      <c r="VKI143" s="300"/>
      <c r="VKJ143" s="300"/>
      <c r="VKK143" s="300"/>
      <c r="VKL143" s="300"/>
      <c r="VKM143" s="300"/>
      <c r="VKN143" s="300"/>
      <c r="VKO143" s="300"/>
      <c r="VKP143" s="300"/>
      <c r="VKQ143" s="300"/>
      <c r="VKR143" s="300"/>
      <c r="VKS143" s="300"/>
      <c r="VKT143" s="300"/>
      <c r="VKU143" s="300"/>
      <c r="VKV143" s="300"/>
      <c r="VKW143" s="300"/>
      <c r="VKX143" s="300"/>
      <c r="VKY143" s="300"/>
      <c r="VKZ143" s="300"/>
      <c r="VLA143" s="300"/>
      <c r="VLB143" s="300"/>
      <c r="VLC143" s="300"/>
      <c r="VLD143" s="300"/>
      <c r="VLE143" s="300"/>
      <c r="VLF143" s="300"/>
      <c r="VLG143" s="300"/>
      <c r="VLH143" s="300"/>
      <c r="VLI143" s="300"/>
      <c r="VLJ143" s="300"/>
      <c r="VLK143" s="300"/>
      <c r="VLL143" s="300"/>
      <c r="VLM143" s="300"/>
      <c r="VLN143" s="300"/>
      <c r="VLO143" s="300"/>
      <c r="VLP143" s="300"/>
      <c r="VLQ143" s="300"/>
      <c r="VLR143" s="300"/>
      <c r="VLS143" s="300"/>
      <c r="VLT143" s="300"/>
      <c r="VLU143" s="300"/>
      <c r="VLV143" s="300"/>
      <c r="VLW143" s="300"/>
      <c r="VLX143" s="300"/>
      <c r="VLY143" s="300"/>
      <c r="VLZ143" s="300"/>
      <c r="VMA143" s="300"/>
      <c r="VMB143" s="300"/>
      <c r="VMC143" s="300"/>
      <c r="VMD143" s="300"/>
      <c r="VME143" s="300"/>
      <c r="VMF143" s="300"/>
      <c r="VMG143" s="300"/>
      <c r="VMH143" s="300"/>
      <c r="VMI143" s="300"/>
      <c r="VMJ143" s="300"/>
      <c r="VMK143" s="300"/>
      <c r="VML143" s="300"/>
      <c r="VMM143" s="300"/>
      <c r="VMN143" s="300"/>
      <c r="VMO143" s="300"/>
      <c r="VMP143" s="300"/>
      <c r="VMQ143" s="300"/>
      <c r="VMR143" s="300"/>
      <c r="VMS143" s="300"/>
      <c r="VMT143" s="300"/>
      <c r="VMU143" s="300"/>
      <c r="VMV143" s="300"/>
      <c r="VMW143" s="300"/>
      <c r="VMX143" s="300"/>
      <c r="VMY143" s="300"/>
      <c r="VMZ143" s="300"/>
      <c r="VNA143" s="300"/>
      <c r="VNB143" s="300"/>
      <c r="VNC143" s="300"/>
      <c r="VND143" s="300"/>
      <c r="VNE143" s="300"/>
      <c r="VNF143" s="300"/>
      <c r="VNG143" s="300"/>
      <c r="VNH143" s="300"/>
      <c r="VNI143" s="300"/>
      <c r="VNJ143" s="300"/>
      <c r="VNK143" s="300"/>
      <c r="VNL143" s="300"/>
      <c r="VNM143" s="300"/>
      <c r="VNN143" s="300"/>
      <c r="VNO143" s="300"/>
      <c r="VNP143" s="300"/>
      <c r="VNQ143" s="300"/>
      <c r="VNR143" s="300"/>
      <c r="VNS143" s="300"/>
      <c r="VNT143" s="300"/>
      <c r="VNU143" s="300"/>
      <c r="VNV143" s="300"/>
      <c r="VNW143" s="300"/>
      <c r="VNX143" s="300"/>
      <c r="VNY143" s="300"/>
      <c r="VNZ143" s="300"/>
      <c r="VOA143" s="300"/>
      <c r="VOB143" s="300"/>
      <c r="VOC143" s="300"/>
      <c r="VOD143" s="300"/>
      <c r="VOE143" s="300"/>
      <c r="VOF143" s="300"/>
      <c r="VOG143" s="300"/>
      <c r="VOH143" s="300"/>
      <c r="VOI143" s="300"/>
      <c r="VOJ143" s="300"/>
      <c r="VOK143" s="300"/>
      <c r="VOL143" s="300"/>
      <c r="VOM143" s="300"/>
      <c r="VON143" s="300"/>
      <c r="VOO143" s="300"/>
      <c r="VOP143" s="300"/>
      <c r="VOQ143" s="300"/>
      <c r="VOR143" s="300"/>
      <c r="VOS143" s="300"/>
      <c r="VOT143" s="300"/>
      <c r="VOU143" s="300"/>
      <c r="VOV143" s="300"/>
      <c r="VOW143" s="300"/>
      <c r="VOX143" s="300"/>
      <c r="VOY143" s="300"/>
      <c r="VOZ143" s="300"/>
      <c r="VPA143" s="300"/>
      <c r="VPB143" s="300"/>
      <c r="VPC143" s="300"/>
      <c r="VPD143" s="300"/>
      <c r="VPE143" s="300"/>
      <c r="VPF143" s="300"/>
      <c r="VPG143" s="300"/>
      <c r="VPH143" s="300"/>
      <c r="VPI143" s="300"/>
      <c r="VPJ143" s="300"/>
      <c r="VPK143" s="300"/>
      <c r="VPL143" s="300"/>
      <c r="VPM143" s="300"/>
      <c r="VPN143" s="300"/>
      <c r="VPO143" s="300"/>
      <c r="VPP143" s="300"/>
      <c r="VPQ143" s="300"/>
      <c r="VPR143" s="300"/>
      <c r="VPS143" s="300"/>
      <c r="VPT143" s="300"/>
      <c r="VPU143" s="300"/>
      <c r="VPV143" s="300"/>
      <c r="VPW143" s="300"/>
      <c r="VPX143" s="300"/>
      <c r="VPY143" s="300"/>
      <c r="VPZ143" s="300"/>
      <c r="VQA143" s="300"/>
      <c r="VQB143" s="300"/>
      <c r="VQC143" s="300"/>
      <c r="VQD143" s="300"/>
      <c r="VQE143" s="300"/>
      <c r="VQF143" s="300"/>
      <c r="VQG143" s="300"/>
      <c r="VQH143" s="300"/>
      <c r="VQI143" s="300"/>
      <c r="VQJ143" s="300"/>
      <c r="VQK143" s="300"/>
      <c r="VQL143" s="300"/>
      <c r="VQM143" s="300"/>
      <c r="VQN143" s="300"/>
      <c r="VQO143" s="300"/>
      <c r="VQP143" s="300"/>
      <c r="VQQ143" s="300"/>
      <c r="VQR143" s="300"/>
      <c r="VQS143" s="300"/>
      <c r="VQT143" s="300"/>
      <c r="VQU143" s="300"/>
      <c r="VQV143" s="300"/>
      <c r="VQW143" s="300"/>
      <c r="VQX143" s="300"/>
      <c r="VQY143" s="300"/>
      <c r="VQZ143" s="300"/>
      <c r="VRA143" s="300"/>
      <c r="VRB143" s="300"/>
      <c r="VRC143" s="300"/>
      <c r="VRD143" s="300"/>
      <c r="VRE143" s="300"/>
      <c r="VRF143" s="300"/>
      <c r="VRG143" s="300"/>
      <c r="VRH143" s="300"/>
      <c r="VRI143" s="300"/>
      <c r="VRJ143" s="300"/>
      <c r="VRK143" s="300"/>
      <c r="VRL143" s="300"/>
      <c r="VRM143" s="300"/>
      <c r="VRN143" s="300"/>
      <c r="VRO143" s="300"/>
      <c r="VRP143" s="300"/>
      <c r="VRQ143" s="300"/>
      <c r="VRR143" s="300"/>
      <c r="VRS143" s="300"/>
      <c r="VRT143" s="300"/>
      <c r="VRU143" s="300"/>
      <c r="VRV143" s="300"/>
      <c r="VRW143" s="300"/>
      <c r="VRX143" s="300"/>
      <c r="VRY143" s="300"/>
      <c r="VRZ143" s="300"/>
      <c r="VSA143" s="300"/>
      <c r="VSB143" s="300"/>
      <c r="VSC143" s="300"/>
      <c r="VSD143" s="300"/>
      <c r="VSE143" s="300"/>
      <c r="VSF143" s="300"/>
      <c r="VSG143" s="300"/>
      <c r="VSH143" s="300"/>
      <c r="VSI143" s="300"/>
      <c r="VSJ143" s="300"/>
      <c r="VSK143" s="300"/>
      <c r="VSL143" s="300"/>
      <c r="VSM143" s="300"/>
      <c r="VSN143" s="300"/>
      <c r="VSO143" s="300"/>
      <c r="VSP143" s="300"/>
      <c r="VSQ143" s="300"/>
      <c r="VSR143" s="300"/>
      <c r="VSS143" s="300"/>
      <c r="VST143" s="300"/>
      <c r="VSU143" s="300"/>
      <c r="VSV143" s="300"/>
      <c r="VSW143" s="300"/>
      <c r="VSX143" s="300"/>
      <c r="VSY143" s="300"/>
      <c r="VSZ143" s="300"/>
      <c r="VTA143" s="300"/>
      <c r="VTB143" s="300"/>
      <c r="VTC143" s="300"/>
      <c r="VTD143" s="300"/>
      <c r="VTE143" s="300"/>
      <c r="VTF143" s="300"/>
      <c r="VTG143" s="300"/>
      <c r="VTH143" s="300"/>
      <c r="VTI143" s="300"/>
      <c r="VTJ143" s="300"/>
      <c r="VTK143" s="300"/>
      <c r="VTL143" s="300"/>
      <c r="VTM143" s="300"/>
      <c r="VTN143" s="300"/>
      <c r="VTO143" s="300"/>
      <c r="VTP143" s="300"/>
      <c r="VTQ143" s="300"/>
      <c r="VTR143" s="300"/>
      <c r="VTS143" s="300"/>
      <c r="VTT143" s="300"/>
      <c r="VTU143" s="300"/>
      <c r="VTV143" s="300"/>
      <c r="VTW143" s="300"/>
      <c r="VTX143" s="300"/>
      <c r="VTY143" s="300"/>
      <c r="VTZ143" s="300"/>
      <c r="VUA143" s="300"/>
      <c r="VUB143" s="300"/>
      <c r="VUC143" s="300"/>
      <c r="VUD143" s="300"/>
      <c r="VUE143" s="300"/>
      <c r="VUF143" s="300"/>
      <c r="VUG143" s="300"/>
      <c r="VUH143" s="300"/>
      <c r="VUI143" s="300"/>
      <c r="VUJ143" s="300"/>
      <c r="VUK143" s="300"/>
      <c r="VUL143" s="300"/>
      <c r="VUM143" s="300"/>
      <c r="VUN143" s="300"/>
      <c r="VUO143" s="300"/>
      <c r="VUP143" s="300"/>
      <c r="VUQ143" s="300"/>
      <c r="VUR143" s="300"/>
      <c r="VUS143" s="300"/>
      <c r="VUT143" s="300"/>
      <c r="VUU143" s="300"/>
      <c r="VUV143" s="300"/>
      <c r="VUW143" s="300"/>
      <c r="VUX143" s="300"/>
      <c r="VUY143" s="300"/>
      <c r="VUZ143" s="300"/>
      <c r="VVA143" s="300"/>
      <c r="VVB143" s="300"/>
      <c r="VVC143" s="300"/>
      <c r="VVD143" s="300"/>
      <c r="VVE143" s="300"/>
      <c r="VVF143" s="300"/>
      <c r="VVG143" s="300"/>
      <c r="VVH143" s="300"/>
      <c r="VVI143" s="300"/>
      <c r="VVJ143" s="300"/>
      <c r="VVK143" s="300"/>
      <c r="VVL143" s="300"/>
      <c r="VVM143" s="300"/>
      <c r="VVN143" s="300"/>
      <c r="VVO143" s="300"/>
      <c r="VVP143" s="300"/>
    </row>
    <row r="144" spans="2:102 15068:15460" s="3" customFormat="1" ht="13.8" x14ac:dyDescent="0.25">
      <c r="B144" s="122"/>
      <c r="C144" s="73" t="s">
        <v>117</v>
      </c>
      <c r="D144" s="195"/>
      <c r="E144" s="8" t="s">
        <v>16</v>
      </c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>
        <v>1073.7</v>
      </c>
      <c r="AA144" s="12">
        <v>1072.8800000000001</v>
      </c>
      <c r="AB144" s="12"/>
      <c r="AC144" s="12"/>
      <c r="AD144" s="12">
        <v>1609.32</v>
      </c>
      <c r="AE144" s="12">
        <f>536.44+2730.97</f>
        <v>3267.41</v>
      </c>
      <c r="AF144" s="12">
        <v>3130.87</v>
      </c>
      <c r="AG144" s="12"/>
      <c r="AH144" s="12">
        <v>3062.59</v>
      </c>
      <c r="AI144" s="20">
        <v>1609.32</v>
      </c>
      <c r="AJ144" s="199"/>
      <c r="AK144" s="194">
        <f>SUM(AK145:AK146)</f>
        <v>14826.09</v>
      </c>
      <c r="CX144" s="306"/>
    </row>
    <row r="145" spans="2:102 15068:15460" s="3" customFormat="1" x14ac:dyDescent="0.3">
      <c r="B145" s="122"/>
      <c r="C145" s="74" t="s">
        <v>44</v>
      </c>
      <c r="D145" s="118"/>
      <c r="E145" s="8" t="s">
        <v>16</v>
      </c>
      <c r="F145" s="10">
        <f>SUM(F148:F150)*9.75348</f>
        <v>0</v>
      </c>
      <c r="G145" s="10">
        <f t="shared" ref="G145:T145" si="60">SUM(G148:G150)*9.75348</f>
        <v>0</v>
      </c>
      <c r="H145" s="10">
        <f t="shared" si="60"/>
        <v>0</v>
      </c>
      <c r="I145" s="10">
        <f t="shared" si="60"/>
        <v>0</v>
      </c>
      <c r="J145" s="10">
        <f t="shared" si="60"/>
        <v>0</v>
      </c>
      <c r="K145" s="10">
        <f t="shared" si="60"/>
        <v>0</v>
      </c>
      <c r="L145" s="10">
        <f t="shared" si="60"/>
        <v>0</v>
      </c>
      <c r="M145" s="10">
        <f t="shared" si="60"/>
        <v>0</v>
      </c>
      <c r="N145" s="10">
        <f t="shared" si="60"/>
        <v>0</v>
      </c>
      <c r="O145" s="10">
        <f t="shared" si="60"/>
        <v>0</v>
      </c>
      <c r="P145" s="10">
        <f t="shared" si="60"/>
        <v>0</v>
      </c>
      <c r="Q145" s="10">
        <f t="shared" si="60"/>
        <v>0</v>
      </c>
      <c r="R145" s="10">
        <f t="shared" si="60"/>
        <v>0</v>
      </c>
      <c r="S145" s="10">
        <f t="shared" si="60"/>
        <v>0</v>
      </c>
      <c r="T145" s="10">
        <f t="shared" si="60"/>
        <v>0</v>
      </c>
      <c r="U145" s="10">
        <f t="shared" ref="U145:AF145" si="61">SUM(U148:U150)*9.75348</f>
        <v>0</v>
      </c>
      <c r="V145" s="10">
        <f t="shared" si="61"/>
        <v>0</v>
      </c>
      <c r="W145" s="10">
        <f t="shared" si="61"/>
        <v>0</v>
      </c>
      <c r="X145" s="10">
        <f t="shared" si="61"/>
        <v>0</v>
      </c>
      <c r="Y145" s="10">
        <f t="shared" si="61"/>
        <v>0</v>
      </c>
      <c r="Z145" s="10">
        <f t="shared" si="61"/>
        <v>1072.8827999999999</v>
      </c>
      <c r="AA145" s="10">
        <f t="shared" si="61"/>
        <v>1072.8827999999999</v>
      </c>
      <c r="AB145" s="10">
        <f t="shared" si="61"/>
        <v>0</v>
      </c>
      <c r="AC145" s="10">
        <f t="shared" si="61"/>
        <v>0</v>
      </c>
      <c r="AD145" s="10">
        <f t="shared" si="61"/>
        <v>1609.3242</v>
      </c>
      <c r="AE145" s="10">
        <f t="shared" si="61"/>
        <v>3267.4157999999998</v>
      </c>
      <c r="AF145" s="10">
        <f t="shared" si="61"/>
        <v>3130.86708</v>
      </c>
      <c r="AG145" s="10">
        <f>SUM(AG148:AG150)*9.75348</f>
        <v>0</v>
      </c>
      <c r="AH145" s="10">
        <f>SUM(AH148:AH150)*9.75348</f>
        <v>3062.5927200000001</v>
      </c>
      <c r="AI145" s="21">
        <f>SUM(AI148:AI150)*9.75348</f>
        <v>1609.3242</v>
      </c>
      <c r="AK145" s="115">
        <f>SUM(F145:AI145)</f>
        <v>14825.2896</v>
      </c>
      <c r="CX145" s="306"/>
    </row>
    <row r="146" spans="2:102 15068:15460" s="3" customFormat="1" x14ac:dyDescent="0.3">
      <c r="B146" s="122"/>
      <c r="C146" s="74" t="s">
        <v>43</v>
      </c>
      <c r="D146" s="118"/>
      <c r="E146" s="8" t="s">
        <v>16</v>
      </c>
      <c r="F146" s="10">
        <f t="shared" ref="F146:AF146" si="62">F144-F145</f>
        <v>0</v>
      </c>
      <c r="G146" s="10">
        <f t="shared" si="62"/>
        <v>0</v>
      </c>
      <c r="H146" s="10">
        <f t="shared" si="62"/>
        <v>0</v>
      </c>
      <c r="I146" s="10">
        <f t="shared" si="62"/>
        <v>0</v>
      </c>
      <c r="J146" s="10">
        <f t="shared" si="62"/>
        <v>0</v>
      </c>
      <c r="K146" s="10">
        <f t="shared" si="62"/>
        <v>0</v>
      </c>
      <c r="L146" s="10">
        <f t="shared" si="62"/>
        <v>0</v>
      </c>
      <c r="M146" s="10">
        <f t="shared" si="62"/>
        <v>0</v>
      </c>
      <c r="N146" s="10">
        <f t="shared" si="62"/>
        <v>0</v>
      </c>
      <c r="O146" s="10">
        <f t="shared" si="62"/>
        <v>0</v>
      </c>
      <c r="P146" s="10">
        <f t="shared" si="62"/>
        <v>0</v>
      </c>
      <c r="Q146" s="10">
        <f t="shared" si="62"/>
        <v>0</v>
      </c>
      <c r="R146" s="1">
        <v>0</v>
      </c>
      <c r="S146" s="1">
        <v>0</v>
      </c>
      <c r="T146" s="10">
        <f t="shared" si="62"/>
        <v>0</v>
      </c>
      <c r="U146" s="10">
        <f t="shared" si="62"/>
        <v>0</v>
      </c>
      <c r="V146" s="10">
        <f t="shared" si="62"/>
        <v>0</v>
      </c>
      <c r="W146" s="10">
        <f t="shared" si="62"/>
        <v>0</v>
      </c>
      <c r="X146" s="10">
        <f t="shared" si="62"/>
        <v>0</v>
      </c>
      <c r="Y146" s="10">
        <f t="shared" si="62"/>
        <v>0</v>
      </c>
      <c r="Z146" s="10">
        <f t="shared" si="62"/>
        <v>0.81720000000018445</v>
      </c>
      <c r="AA146" s="10">
        <f t="shared" si="62"/>
        <v>-2.7999999997518898E-3</v>
      </c>
      <c r="AB146" s="10">
        <f t="shared" si="62"/>
        <v>0</v>
      </c>
      <c r="AC146" s="10">
        <f t="shared" si="62"/>
        <v>0</v>
      </c>
      <c r="AD146" s="10">
        <f t="shared" si="62"/>
        <v>-4.2000000000825821E-3</v>
      </c>
      <c r="AE146" s="10">
        <f t="shared" si="62"/>
        <v>-5.7999999999083229E-3</v>
      </c>
      <c r="AF146" s="10">
        <f t="shared" si="62"/>
        <v>2.9199999999036663E-3</v>
      </c>
      <c r="AG146" s="10">
        <f>AG144-AG145</f>
        <v>0</v>
      </c>
      <c r="AH146" s="10">
        <f>AH144-AH145</f>
        <v>-2.7199999999538704E-3</v>
      </c>
      <c r="AI146" s="21">
        <f>AI144-AI145</f>
        <v>-4.2000000000825821E-3</v>
      </c>
      <c r="AK146" s="115">
        <f>SUM(F146:AI146)</f>
        <v>0.80040000000030886</v>
      </c>
      <c r="CX146" s="306"/>
    </row>
    <row r="147" spans="2:102 15068:15460" s="3" customFormat="1" x14ac:dyDescent="0.3">
      <c r="B147" s="122"/>
      <c r="C147" s="74" t="s">
        <v>33</v>
      </c>
      <c r="D147" s="118"/>
      <c r="E147" s="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22"/>
      <c r="AK147" s="121" t="s">
        <v>33</v>
      </c>
      <c r="CX147" s="306"/>
    </row>
    <row r="148" spans="2:102 15068:15460" s="67" customFormat="1" ht="13.8" x14ac:dyDescent="0.3">
      <c r="B148" s="144"/>
      <c r="C148" s="75" t="s">
        <v>31</v>
      </c>
      <c r="D148" s="102"/>
      <c r="E148" s="18" t="s">
        <v>36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>
        <v>110</v>
      </c>
      <c r="AB148" s="7"/>
      <c r="AC148" s="7"/>
      <c r="AD148" s="7">
        <v>165</v>
      </c>
      <c r="AE148" s="7">
        <v>280</v>
      </c>
      <c r="AF148" s="7"/>
      <c r="AG148" s="7"/>
      <c r="AH148" s="7"/>
      <c r="AI148" s="39"/>
      <c r="AK148" s="208">
        <f>SUM(F148:AI148)</f>
        <v>555</v>
      </c>
      <c r="CX148" s="318"/>
    </row>
    <row r="149" spans="2:102 15068:15460" s="67" customFormat="1" ht="13.8" x14ac:dyDescent="0.3">
      <c r="B149" s="144"/>
      <c r="C149" s="75" t="s">
        <v>30</v>
      </c>
      <c r="D149" s="102"/>
      <c r="E149" s="18" t="s">
        <v>36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>
        <v>110</v>
      </c>
      <c r="AA149" s="7"/>
      <c r="AB149" s="7"/>
      <c r="AC149" s="7"/>
      <c r="AD149" s="7"/>
      <c r="AE149" s="7">
        <v>55</v>
      </c>
      <c r="AF149" s="7">
        <v>321</v>
      </c>
      <c r="AG149" s="7"/>
      <c r="AH149" s="7">
        <v>314</v>
      </c>
      <c r="AI149" s="39">
        <v>165</v>
      </c>
      <c r="AK149" s="208">
        <f>SUM(F149:AI149)</f>
        <v>965</v>
      </c>
      <c r="CX149" s="318"/>
    </row>
    <row r="150" spans="2:102 15068:15460" s="67" customFormat="1" ht="13.8" x14ac:dyDescent="0.3">
      <c r="B150" s="144"/>
      <c r="C150" s="75" t="s">
        <v>42</v>
      </c>
      <c r="D150" s="102"/>
      <c r="E150" s="18" t="s">
        <v>36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39"/>
      <c r="AK150" s="208">
        <f>SUM(F150:AI150)</f>
        <v>0</v>
      </c>
      <c r="CX150" s="318"/>
    </row>
    <row r="151" spans="2:102 15068:15460" s="3" customFormat="1" x14ac:dyDescent="0.3">
      <c r="B151" s="122"/>
      <c r="C151" s="74" t="s">
        <v>32</v>
      </c>
      <c r="D151" s="118"/>
      <c r="E151" s="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22"/>
      <c r="AK151" s="121" t="s">
        <v>32</v>
      </c>
      <c r="CX151" s="306"/>
    </row>
    <row r="152" spans="2:102 15068:15460" s="3" customFormat="1" ht="13.8" x14ac:dyDescent="0.25">
      <c r="B152" s="122"/>
      <c r="C152" s="75" t="s">
        <v>31</v>
      </c>
      <c r="D152" s="118"/>
      <c r="E152" s="8" t="s">
        <v>32</v>
      </c>
      <c r="F152" s="1">
        <f>F148*24</f>
        <v>0</v>
      </c>
      <c r="G152" s="1">
        <f t="shared" ref="G152:AF152" si="63">G148*24</f>
        <v>0</v>
      </c>
      <c r="H152" s="1">
        <f t="shared" si="63"/>
        <v>0</v>
      </c>
      <c r="I152" s="1">
        <f t="shared" si="63"/>
        <v>0</v>
      </c>
      <c r="J152" s="1">
        <f t="shared" si="63"/>
        <v>0</v>
      </c>
      <c r="K152" s="1">
        <f t="shared" si="63"/>
        <v>0</v>
      </c>
      <c r="L152" s="1">
        <f t="shared" si="63"/>
        <v>0</v>
      </c>
      <c r="M152" s="1">
        <f t="shared" si="63"/>
        <v>0</v>
      </c>
      <c r="N152" s="1">
        <f t="shared" si="63"/>
        <v>0</v>
      </c>
      <c r="O152" s="1">
        <f t="shared" si="63"/>
        <v>0</v>
      </c>
      <c r="P152" s="1">
        <f t="shared" si="63"/>
        <v>0</v>
      </c>
      <c r="Q152" s="1">
        <f t="shared" si="63"/>
        <v>0</v>
      </c>
      <c r="R152" s="1">
        <f t="shared" si="63"/>
        <v>0</v>
      </c>
      <c r="S152" s="1">
        <f t="shared" si="63"/>
        <v>0</v>
      </c>
      <c r="T152" s="1">
        <f t="shared" si="63"/>
        <v>0</v>
      </c>
      <c r="U152" s="1">
        <f t="shared" si="63"/>
        <v>0</v>
      </c>
      <c r="V152" s="1">
        <f t="shared" si="63"/>
        <v>0</v>
      </c>
      <c r="W152" s="1">
        <f t="shared" si="63"/>
        <v>0</v>
      </c>
      <c r="X152" s="1">
        <f t="shared" si="63"/>
        <v>0</v>
      </c>
      <c r="Y152" s="1">
        <f t="shared" si="63"/>
        <v>0</v>
      </c>
      <c r="Z152" s="1">
        <f t="shared" si="63"/>
        <v>0</v>
      </c>
      <c r="AA152" s="1">
        <f t="shared" si="63"/>
        <v>2640</v>
      </c>
      <c r="AB152" s="1">
        <f t="shared" si="63"/>
        <v>0</v>
      </c>
      <c r="AC152" s="1">
        <f t="shared" si="63"/>
        <v>0</v>
      </c>
      <c r="AD152" s="1">
        <f t="shared" si="63"/>
        <v>3960</v>
      </c>
      <c r="AE152" s="1">
        <f t="shared" si="63"/>
        <v>6720</v>
      </c>
      <c r="AF152" s="1">
        <f t="shared" si="63"/>
        <v>0</v>
      </c>
      <c r="AG152" s="1">
        <f>AG148*24</f>
        <v>0</v>
      </c>
      <c r="AH152" s="1">
        <f>AH148*24</f>
        <v>0</v>
      </c>
      <c r="AI152" s="22">
        <f>AI148*24</f>
        <v>0</v>
      </c>
      <c r="AK152" s="104">
        <f>AK148*24</f>
        <v>13320</v>
      </c>
      <c r="CX152" s="306"/>
    </row>
    <row r="153" spans="2:102 15068:15460" s="3" customFormat="1" ht="13.8" x14ac:dyDescent="0.25">
      <c r="B153" s="122"/>
      <c r="C153" s="75" t="s">
        <v>30</v>
      </c>
      <c r="D153" s="118"/>
      <c r="E153" s="8" t="s">
        <v>32</v>
      </c>
      <c r="F153" s="1">
        <f>F149*12</f>
        <v>0</v>
      </c>
      <c r="G153" s="1">
        <f t="shared" ref="G153:AI154" si="64">G149*12</f>
        <v>0</v>
      </c>
      <c r="H153" s="1">
        <f t="shared" si="64"/>
        <v>0</v>
      </c>
      <c r="I153" s="1">
        <f t="shared" si="64"/>
        <v>0</v>
      </c>
      <c r="J153" s="1">
        <f t="shared" si="64"/>
        <v>0</v>
      </c>
      <c r="K153" s="1">
        <f t="shared" si="64"/>
        <v>0</v>
      </c>
      <c r="L153" s="1">
        <f t="shared" si="64"/>
        <v>0</v>
      </c>
      <c r="M153" s="1">
        <f t="shared" si="64"/>
        <v>0</v>
      </c>
      <c r="N153" s="1">
        <f t="shared" si="64"/>
        <v>0</v>
      </c>
      <c r="O153" s="1">
        <f t="shared" si="64"/>
        <v>0</v>
      </c>
      <c r="P153" s="1">
        <f t="shared" si="64"/>
        <v>0</v>
      </c>
      <c r="Q153" s="1">
        <f t="shared" si="64"/>
        <v>0</v>
      </c>
      <c r="R153" s="1">
        <f t="shared" si="64"/>
        <v>0</v>
      </c>
      <c r="S153" s="1">
        <f t="shared" si="64"/>
        <v>0</v>
      </c>
      <c r="T153" s="1">
        <f t="shared" si="64"/>
        <v>0</v>
      </c>
      <c r="U153" s="1">
        <f t="shared" si="64"/>
        <v>0</v>
      </c>
      <c r="V153" s="1">
        <f t="shared" si="64"/>
        <v>0</v>
      </c>
      <c r="W153" s="1">
        <f t="shared" si="64"/>
        <v>0</v>
      </c>
      <c r="X153" s="1">
        <f t="shared" si="64"/>
        <v>0</v>
      </c>
      <c r="Y153" s="1">
        <f t="shared" si="64"/>
        <v>0</v>
      </c>
      <c r="Z153" s="1">
        <f t="shared" si="64"/>
        <v>1320</v>
      </c>
      <c r="AA153" s="1">
        <f t="shared" si="64"/>
        <v>0</v>
      </c>
      <c r="AB153" s="1">
        <f t="shared" si="64"/>
        <v>0</v>
      </c>
      <c r="AC153" s="1">
        <f t="shared" si="64"/>
        <v>0</v>
      </c>
      <c r="AD153" s="1">
        <f t="shared" si="64"/>
        <v>0</v>
      </c>
      <c r="AE153" s="1">
        <f t="shared" si="64"/>
        <v>660</v>
      </c>
      <c r="AF153" s="1">
        <f t="shared" si="64"/>
        <v>3852</v>
      </c>
      <c r="AG153" s="1">
        <f t="shared" si="64"/>
        <v>0</v>
      </c>
      <c r="AH153" s="1">
        <f t="shared" si="64"/>
        <v>3768</v>
      </c>
      <c r="AI153" s="22">
        <f t="shared" si="64"/>
        <v>1980</v>
      </c>
      <c r="AK153" s="104">
        <f>AK149*12</f>
        <v>11580</v>
      </c>
      <c r="CX153" s="306"/>
    </row>
    <row r="154" spans="2:102 15068:15460" s="3" customFormat="1" ht="13.8" x14ac:dyDescent="0.25">
      <c r="B154" s="122"/>
      <c r="C154" s="75" t="s">
        <v>42</v>
      </c>
      <c r="D154" s="118"/>
      <c r="E154" s="8" t="s">
        <v>32</v>
      </c>
      <c r="F154" s="1">
        <f>F150*6</f>
        <v>0</v>
      </c>
      <c r="G154" s="1">
        <f t="shared" ref="G154:AC154" si="65">G150*6</f>
        <v>0</v>
      </c>
      <c r="H154" s="1">
        <f t="shared" si="65"/>
        <v>0</v>
      </c>
      <c r="I154" s="1">
        <f t="shared" si="65"/>
        <v>0</v>
      </c>
      <c r="J154" s="1">
        <f t="shared" si="65"/>
        <v>0</v>
      </c>
      <c r="K154" s="1">
        <f t="shared" si="65"/>
        <v>0</v>
      </c>
      <c r="L154" s="1">
        <f t="shared" si="65"/>
        <v>0</v>
      </c>
      <c r="M154" s="1">
        <f t="shared" si="65"/>
        <v>0</v>
      </c>
      <c r="N154" s="1">
        <f t="shared" si="65"/>
        <v>0</v>
      </c>
      <c r="O154" s="1">
        <f t="shared" si="65"/>
        <v>0</v>
      </c>
      <c r="P154" s="1">
        <f t="shared" si="65"/>
        <v>0</v>
      </c>
      <c r="Q154" s="1">
        <f t="shared" si="65"/>
        <v>0</v>
      </c>
      <c r="R154" s="1">
        <f t="shared" si="65"/>
        <v>0</v>
      </c>
      <c r="S154" s="1">
        <f t="shared" si="65"/>
        <v>0</v>
      </c>
      <c r="T154" s="1">
        <f t="shared" si="65"/>
        <v>0</v>
      </c>
      <c r="U154" s="1">
        <f t="shared" si="65"/>
        <v>0</v>
      </c>
      <c r="V154" s="1">
        <f t="shared" si="65"/>
        <v>0</v>
      </c>
      <c r="W154" s="1">
        <f t="shared" si="65"/>
        <v>0</v>
      </c>
      <c r="X154" s="1">
        <f t="shared" si="65"/>
        <v>0</v>
      </c>
      <c r="Y154" s="1">
        <f t="shared" si="65"/>
        <v>0</v>
      </c>
      <c r="Z154" s="1">
        <f t="shared" si="65"/>
        <v>0</v>
      </c>
      <c r="AA154" s="1">
        <f t="shared" si="65"/>
        <v>0</v>
      </c>
      <c r="AB154" s="1">
        <f t="shared" si="65"/>
        <v>0</v>
      </c>
      <c r="AC154" s="1">
        <f t="shared" si="65"/>
        <v>0</v>
      </c>
      <c r="AD154" s="1">
        <f t="shared" si="64"/>
        <v>0</v>
      </c>
      <c r="AE154" s="1">
        <f t="shared" si="64"/>
        <v>0</v>
      </c>
      <c r="AF154" s="1">
        <f t="shared" si="64"/>
        <v>0</v>
      </c>
      <c r="AG154" s="1">
        <f t="shared" si="64"/>
        <v>0</v>
      </c>
      <c r="AH154" s="1">
        <f t="shared" si="64"/>
        <v>0</v>
      </c>
      <c r="AI154" s="22">
        <f t="shared" si="64"/>
        <v>0</v>
      </c>
      <c r="AK154" s="104">
        <f>AK150*6</f>
        <v>0</v>
      </c>
      <c r="CX154" s="306"/>
    </row>
    <row r="155" spans="2:102 15068:15460" s="3" customFormat="1" x14ac:dyDescent="0.3">
      <c r="B155" s="122"/>
      <c r="C155" s="74" t="s">
        <v>41</v>
      </c>
      <c r="D155" s="118"/>
      <c r="E155" s="8" t="s">
        <v>40</v>
      </c>
      <c r="F155" s="1">
        <f>F144*45/1700</f>
        <v>0</v>
      </c>
      <c r="G155" s="1">
        <f t="shared" ref="G155:AF155" si="66">G144*45/1700</f>
        <v>0</v>
      </c>
      <c r="H155" s="1">
        <f t="shared" si="66"/>
        <v>0</v>
      </c>
      <c r="I155" s="1">
        <f t="shared" si="66"/>
        <v>0</v>
      </c>
      <c r="J155" s="1">
        <f t="shared" si="66"/>
        <v>0</v>
      </c>
      <c r="K155" s="1">
        <f t="shared" si="66"/>
        <v>0</v>
      </c>
      <c r="L155" s="1">
        <f t="shared" si="66"/>
        <v>0</v>
      </c>
      <c r="M155" s="1">
        <f t="shared" si="66"/>
        <v>0</v>
      </c>
      <c r="N155" s="1">
        <f t="shared" si="66"/>
        <v>0</v>
      </c>
      <c r="O155" s="1">
        <f t="shared" si="66"/>
        <v>0</v>
      </c>
      <c r="P155" s="1">
        <f t="shared" si="66"/>
        <v>0</v>
      </c>
      <c r="Q155" s="1">
        <f t="shared" si="66"/>
        <v>0</v>
      </c>
      <c r="R155" s="1">
        <f t="shared" si="66"/>
        <v>0</v>
      </c>
      <c r="S155" s="1">
        <f t="shared" si="66"/>
        <v>0</v>
      </c>
      <c r="T155" s="1">
        <f t="shared" si="66"/>
        <v>0</v>
      </c>
      <c r="U155" s="1">
        <f>U144*45/1700</f>
        <v>0</v>
      </c>
      <c r="V155" s="1">
        <f t="shared" si="66"/>
        <v>0</v>
      </c>
      <c r="W155" s="1">
        <f t="shared" si="66"/>
        <v>0</v>
      </c>
      <c r="X155" s="1">
        <f t="shared" si="66"/>
        <v>0</v>
      </c>
      <c r="Y155" s="1">
        <f t="shared" si="66"/>
        <v>0</v>
      </c>
      <c r="Z155" s="1">
        <f t="shared" si="66"/>
        <v>28.421470588235294</v>
      </c>
      <c r="AA155" s="1">
        <f t="shared" si="66"/>
        <v>28.399764705882358</v>
      </c>
      <c r="AB155" s="1">
        <f t="shared" si="66"/>
        <v>0</v>
      </c>
      <c r="AC155" s="1">
        <f t="shared" si="66"/>
        <v>0</v>
      </c>
      <c r="AD155" s="1">
        <f t="shared" si="66"/>
        <v>42.599647058823528</v>
      </c>
      <c r="AE155" s="1">
        <f t="shared" si="66"/>
        <v>86.490264705882339</v>
      </c>
      <c r="AF155" s="1">
        <f t="shared" si="66"/>
        <v>82.87597058823529</v>
      </c>
      <c r="AG155" s="1">
        <f>AG144*45/1700</f>
        <v>0</v>
      </c>
      <c r="AH155" s="1">
        <f>AH144*45/1700</f>
        <v>81.068558823529429</v>
      </c>
      <c r="AI155" s="22">
        <f>AI144*45/1700</f>
        <v>42.599647058823528</v>
      </c>
      <c r="AK155" s="104">
        <f>SUM(F155:AI155)</f>
        <v>392.45532352941177</v>
      </c>
      <c r="CX155" s="306"/>
    </row>
    <row r="156" spans="2:102 15068:15460" s="3" customFormat="1" x14ac:dyDescent="0.3">
      <c r="B156" s="122"/>
      <c r="C156" s="74" t="s">
        <v>39</v>
      </c>
      <c r="D156" s="118"/>
      <c r="E156" s="8" t="s">
        <v>38</v>
      </c>
      <c r="F156" s="1">
        <f t="shared" ref="F156:AF156" si="67">SUM(F148:F150)/500</f>
        <v>0</v>
      </c>
      <c r="G156" s="1">
        <f t="shared" si="67"/>
        <v>0</v>
      </c>
      <c r="H156" s="1">
        <f t="shared" si="67"/>
        <v>0</v>
      </c>
      <c r="I156" s="1">
        <f t="shared" si="67"/>
        <v>0</v>
      </c>
      <c r="J156" s="1">
        <f t="shared" si="67"/>
        <v>0</v>
      </c>
      <c r="K156" s="1">
        <f t="shared" si="67"/>
        <v>0</v>
      </c>
      <c r="L156" s="1">
        <f t="shared" si="67"/>
        <v>0</v>
      </c>
      <c r="M156" s="1">
        <f t="shared" si="67"/>
        <v>0</v>
      </c>
      <c r="N156" s="1">
        <f t="shared" si="67"/>
        <v>0</v>
      </c>
      <c r="O156" s="1">
        <f t="shared" si="67"/>
        <v>0</v>
      </c>
      <c r="P156" s="1">
        <f t="shared" si="67"/>
        <v>0</v>
      </c>
      <c r="Q156" s="1">
        <f t="shared" si="67"/>
        <v>0</v>
      </c>
      <c r="R156" s="1">
        <f t="shared" si="67"/>
        <v>0</v>
      </c>
      <c r="S156" s="1">
        <f t="shared" si="67"/>
        <v>0</v>
      </c>
      <c r="T156" s="1">
        <f t="shared" si="67"/>
        <v>0</v>
      </c>
      <c r="U156" s="1">
        <f>SUM(U148:U150)/500</f>
        <v>0</v>
      </c>
      <c r="V156" s="1">
        <f t="shared" si="67"/>
        <v>0</v>
      </c>
      <c r="W156" s="1">
        <f t="shared" si="67"/>
        <v>0</v>
      </c>
      <c r="X156" s="1">
        <f t="shared" si="67"/>
        <v>0</v>
      </c>
      <c r="Y156" s="1">
        <f t="shared" si="67"/>
        <v>0</v>
      </c>
      <c r="Z156" s="1">
        <f t="shared" si="67"/>
        <v>0.22</v>
      </c>
      <c r="AA156" s="1">
        <f t="shared" si="67"/>
        <v>0.22</v>
      </c>
      <c r="AB156" s="1">
        <f t="shared" si="67"/>
        <v>0</v>
      </c>
      <c r="AC156" s="1">
        <f t="shared" si="67"/>
        <v>0</v>
      </c>
      <c r="AD156" s="1">
        <f t="shared" si="67"/>
        <v>0.33</v>
      </c>
      <c r="AE156" s="1">
        <f t="shared" si="67"/>
        <v>0.67</v>
      </c>
      <c r="AF156" s="1">
        <f t="shared" si="67"/>
        <v>0.64200000000000002</v>
      </c>
      <c r="AG156" s="1">
        <f>SUM(AG148:AG150)/500</f>
        <v>0</v>
      </c>
      <c r="AH156" s="1">
        <f>SUM(AH148:AH150)/500</f>
        <v>0.628</v>
      </c>
      <c r="AI156" s="22">
        <f>SUM(AI148:AI150)/500</f>
        <v>0.33</v>
      </c>
      <c r="AK156" s="104">
        <f>SUM(F156:AI156)</f>
        <v>3.04</v>
      </c>
      <c r="CX156" s="306"/>
    </row>
    <row r="157" spans="2:102 15068:15460" s="3" customFormat="1" x14ac:dyDescent="0.3">
      <c r="B157" s="70"/>
      <c r="C157" s="72" t="s">
        <v>37</v>
      </c>
      <c r="D157" s="88"/>
      <c r="E157" s="19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89"/>
      <c r="AD157" s="6"/>
      <c r="AE157" s="6"/>
      <c r="AF157" s="6"/>
      <c r="AG157" s="53"/>
      <c r="AH157" s="53"/>
      <c r="AI157" s="61"/>
      <c r="AJ157" s="90"/>
      <c r="AK157" s="152" t="s">
        <v>34</v>
      </c>
      <c r="CX157" s="17"/>
      <c r="VGN157" s="300"/>
      <c r="VGO157" s="300"/>
      <c r="VGP157" s="300"/>
      <c r="VGQ157" s="300"/>
      <c r="VGR157" s="300"/>
      <c r="VGS157" s="300"/>
      <c r="VGT157" s="300"/>
      <c r="VGU157" s="300"/>
      <c r="VGV157" s="300"/>
      <c r="VGW157" s="300"/>
      <c r="VGX157" s="300"/>
      <c r="VGY157" s="300"/>
      <c r="VGZ157" s="300"/>
      <c r="VHA157" s="300"/>
      <c r="VHB157" s="300"/>
      <c r="VHC157" s="300"/>
      <c r="VHD157" s="300"/>
      <c r="VHE157" s="300"/>
      <c r="VHF157" s="300"/>
      <c r="VHG157" s="300"/>
      <c r="VHH157" s="300"/>
      <c r="VHI157" s="300"/>
      <c r="VHJ157" s="300"/>
      <c r="VHK157" s="300"/>
      <c r="VHL157" s="300"/>
      <c r="VHM157" s="300"/>
      <c r="VHN157" s="300"/>
      <c r="VHO157" s="300"/>
      <c r="VHP157" s="300"/>
      <c r="VHQ157" s="300"/>
      <c r="VHR157" s="300"/>
      <c r="VHS157" s="300"/>
      <c r="VHT157" s="300"/>
      <c r="VHU157" s="300"/>
      <c r="VHV157" s="300"/>
      <c r="VHW157" s="300"/>
      <c r="VHX157" s="300"/>
      <c r="VHY157" s="300"/>
      <c r="VHZ157" s="300"/>
      <c r="VIA157" s="300"/>
      <c r="VIB157" s="300"/>
      <c r="VIC157" s="300"/>
      <c r="VID157" s="300"/>
      <c r="VIE157" s="300"/>
      <c r="VIF157" s="300"/>
      <c r="VIG157" s="300"/>
      <c r="VIH157" s="300"/>
      <c r="VII157" s="300"/>
      <c r="VIJ157" s="300"/>
      <c r="VIK157" s="300"/>
      <c r="VIL157" s="300"/>
      <c r="VIM157" s="300"/>
      <c r="VIN157" s="300"/>
      <c r="VIO157" s="300"/>
      <c r="VIP157" s="300"/>
      <c r="VIQ157" s="300"/>
      <c r="VIR157" s="300"/>
      <c r="VIS157" s="300"/>
      <c r="VIT157" s="300"/>
      <c r="VIU157" s="300"/>
      <c r="VIV157" s="300"/>
      <c r="VIW157" s="300"/>
      <c r="VIX157" s="300"/>
      <c r="VIY157" s="300"/>
      <c r="VIZ157" s="300"/>
      <c r="VJA157" s="300"/>
      <c r="VJB157" s="300"/>
      <c r="VJC157" s="300"/>
      <c r="VJD157" s="300"/>
      <c r="VJE157" s="300"/>
      <c r="VJF157" s="300"/>
      <c r="VJG157" s="300"/>
      <c r="VJH157" s="300"/>
      <c r="VJI157" s="300"/>
      <c r="VJJ157" s="300"/>
      <c r="VJK157" s="300"/>
      <c r="VJL157" s="300"/>
      <c r="VJM157" s="300"/>
      <c r="VJN157" s="300"/>
      <c r="VJO157" s="300"/>
      <c r="VJP157" s="300"/>
      <c r="VJQ157" s="300"/>
      <c r="VJR157" s="300"/>
      <c r="VJS157" s="300"/>
      <c r="VJT157" s="300"/>
      <c r="VJU157" s="300"/>
      <c r="VJV157" s="300"/>
      <c r="VJW157" s="300"/>
      <c r="VJX157" s="300"/>
      <c r="VJY157" s="300"/>
      <c r="VJZ157" s="300"/>
      <c r="VKA157" s="300"/>
      <c r="VKB157" s="300"/>
      <c r="VKC157" s="300"/>
      <c r="VKD157" s="300"/>
      <c r="VKE157" s="300"/>
      <c r="VKF157" s="300"/>
      <c r="VKG157" s="300"/>
      <c r="VKH157" s="300"/>
      <c r="VKI157" s="300"/>
      <c r="VKJ157" s="300"/>
      <c r="VKK157" s="300"/>
      <c r="VKL157" s="300"/>
      <c r="VKM157" s="300"/>
      <c r="VKN157" s="300"/>
      <c r="VKO157" s="300"/>
      <c r="VKP157" s="300"/>
      <c r="VKQ157" s="300"/>
      <c r="VKR157" s="300"/>
      <c r="VKS157" s="300"/>
      <c r="VKT157" s="300"/>
      <c r="VKU157" s="300"/>
      <c r="VKV157" s="300"/>
      <c r="VKW157" s="300"/>
      <c r="VKX157" s="300"/>
      <c r="VKY157" s="300"/>
      <c r="VKZ157" s="300"/>
      <c r="VLA157" s="300"/>
      <c r="VLB157" s="300"/>
      <c r="VLC157" s="300"/>
      <c r="VLD157" s="300"/>
      <c r="VLE157" s="300"/>
      <c r="VLF157" s="300"/>
      <c r="VLG157" s="300"/>
      <c r="VLH157" s="300"/>
      <c r="VLI157" s="300"/>
      <c r="VLJ157" s="300"/>
      <c r="VLK157" s="300"/>
      <c r="VLL157" s="300"/>
      <c r="VLM157" s="300"/>
      <c r="VLN157" s="300"/>
      <c r="VLO157" s="300"/>
      <c r="VLP157" s="300"/>
      <c r="VLQ157" s="300"/>
      <c r="VLR157" s="300"/>
      <c r="VLS157" s="300"/>
      <c r="VLT157" s="300"/>
      <c r="VLU157" s="300"/>
      <c r="VLV157" s="300"/>
      <c r="VLW157" s="300"/>
      <c r="VLX157" s="300"/>
      <c r="VLY157" s="300"/>
      <c r="VLZ157" s="300"/>
      <c r="VMA157" s="300"/>
      <c r="VMB157" s="300"/>
      <c r="VMC157" s="300"/>
      <c r="VMD157" s="300"/>
      <c r="VME157" s="300"/>
      <c r="VMF157" s="300"/>
      <c r="VMG157" s="300"/>
      <c r="VMH157" s="300"/>
      <c r="VMI157" s="300"/>
      <c r="VMJ157" s="300"/>
      <c r="VMK157" s="300"/>
      <c r="VML157" s="300"/>
      <c r="VMM157" s="300"/>
      <c r="VMN157" s="300"/>
      <c r="VMO157" s="300"/>
      <c r="VMP157" s="300"/>
      <c r="VMQ157" s="300"/>
      <c r="VMR157" s="300"/>
      <c r="VMS157" s="300"/>
      <c r="VMT157" s="300"/>
      <c r="VMU157" s="300"/>
      <c r="VMV157" s="300"/>
      <c r="VMW157" s="300"/>
      <c r="VMX157" s="300"/>
      <c r="VMY157" s="300"/>
      <c r="VMZ157" s="300"/>
      <c r="VNA157" s="300"/>
      <c r="VNB157" s="300"/>
      <c r="VNC157" s="300"/>
      <c r="VND157" s="300"/>
      <c r="VNE157" s="300"/>
      <c r="VNF157" s="300"/>
      <c r="VNG157" s="300"/>
      <c r="VNH157" s="300"/>
      <c r="VNI157" s="300"/>
      <c r="VNJ157" s="300"/>
      <c r="VNK157" s="300"/>
      <c r="VNL157" s="300"/>
      <c r="VNM157" s="300"/>
      <c r="VNN157" s="300"/>
      <c r="VNO157" s="300"/>
      <c r="VNP157" s="300"/>
      <c r="VNQ157" s="300"/>
      <c r="VNR157" s="300"/>
      <c r="VNS157" s="300"/>
      <c r="VNT157" s="300"/>
      <c r="VNU157" s="300"/>
      <c r="VNV157" s="300"/>
      <c r="VNW157" s="300"/>
      <c r="VNX157" s="300"/>
      <c r="VNY157" s="300"/>
      <c r="VNZ157" s="300"/>
      <c r="VOA157" s="300"/>
      <c r="VOB157" s="300"/>
      <c r="VOC157" s="300"/>
      <c r="VOD157" s="300"/>
      <c r="VOE157" s="300"/>
      <c r="VOF157" s="300"/>
      <c r="VOG157" s="300"/>
      <c r="VOH157" s="300"/>
      <c r="VOI157" s="300"/>
      <c r="VOJ157" s="300"/>
      <c r="VOK157" s="300"/>
      <c r="VOL157" s="300"/>
      <c r="VOM157" s="300"/>
      <c r="VON157" s="300"/>
      <c r="VOO157" s="300"/>
      <c r="VOP157" s="300"/>
      <c r="VOQ157" s="300"/>
      <c r="VOR157" s="300"/>
      <c r="VOS157" s="300"/>
      <c r="VOT157" s="300"/>
      <c r="VOU157" s="300"/>
      <c r="VOV157" s="300"/>
      <c r="VOW157" s="300"/>
      <c r="VOX157" s="300"/>
      <c r="VOY157" s="300"/>
      <c r="VOZ157" s="300"/>
      <c r="VPA157" s="300"/>
      <c r="VPB157" s="300"/>
      <c r="VPC157" s="300"/>
      <c r="VPD157" s="300"/>
      <c r="VPE157" s="300"/>
      <c r="VPF157" s="300"/>
      <c r="VPG157" s="300"/>
      <c r="VPH157" s="300"/>
      <c r="VPI157" s="300"/>
      <c r="VPJ157" s="300"/>
      <c r="VPK157" s="300"/>
      <c r="VPL157" s="300"/>
      <c r="VPM157" s="300"/>
      <c r="VPN157" s="300"/>
      <c r="VPO157" s="300"/>
      <c r="VPP157" s="300"/>
      <c r="VPQ157" s="300"/>
      <c r="VPR157" s="300"/>
      <c r="VPS157" s="300"/>
      <c r="VPT157" s="300"/>
      <c r="VPU157" s="300"/>
      <c r="VPV157" s="300"/>
      <c r="VPW157" s="300"/>
      <c r="VPX157" s="300"/>
      <c r="VPY157" s="300"/>
      <c r="VPZ157" s="300"/>
      <c r="VQA157" s="300"/>
      <c r="VQB157" s="300"/>
      <c r="VQC157" s="300"/>
      <c r="VQD157" s="300"/>
      <c r="VQE157" s="300"/>
      <c r="VQF157" s="300"/>
      <c r="VQG157" s="300"/>
      <c r="VQH157" s="300"/>
      <c r="VQI157" s="300"/>
      <c r="VQJ157" s="300"/>
      <c r="VQK157" s="300"/>
      <c r="VQL157" s="300"/>
      <c r="VQM157" s="300"/>
      <c r="VQN157" s="300"/>
      <c r="VQO157" s="300"/>
      <c r="VQP157" s="300"/>
      <c r="VQQ157" s="300"/>
      <c r="VQR157" s="300"/>
      <c r="VQS157" s="300"/>
      <c r="VQT157" s="300"/>
      <c r="VQU157" s="300"/>
      <c r="VQV157" s="300"/>
      <c r="VQW157" s="300"/>
      <c r="VQX157" s="300"/>
      <c r="VQY157" s="300"/>
      <c r="VQZ157" s="300"/>
      <c r="VRA157" s="300"/>
      <c r="VRB157" s="300"/>
      <c r="VRC157" s="300"/>
      <c r="VRD157" s="300"/>
      <c r="VRE157" s="300"/>
      <c r="VRF157" s="300"/>
      <c r="VRG157" s="300"/>
      <c r="VRH157" s="300"/>
      <c r="VRI157" s="300"/>
      <c r="VRJ157" s="300"/>
      <c r="VRK157" s="300"/>
      <c r="VRL157" s="300"/>
      <c r="VRM157" s="300"/>
      <c r="VRN157" s="300"/>
      <c r="VRO157" s="300"/>
      <c r="VRP157" s="300"/>
      <c r="VRQ157" s="300"/>
      <c r="VRR157" s="300"/>
      <c r="VRS157" s="300"/>
      <c r="VRT157" s="300"/>
      <c r="VRU157" s="300"/>
      <c r="VRV157" s="300"/>
      <c r="VRW157" s="300"/>
      <c r="VRX157" s="300"/>
      <c r="VRY157" s="300"/>
      <c r="VRZ157" s="300"/>
      <c r="VSA157" s="300"/>
      <c r="VSB157" s="300"/>
      <c r="VSC157" s="300"/>
      <c r="VSD157" s="300"/>
      <c r="VSE157" s="300"/>
      <c r="VSF157" s="300"/>
      <c r="VSG157" s="300"/>
      <c r="VSH157" s="300"/>
      <c r="VSI157" s="300"/>
      <c r="VSJ157" s="300"/>
      <c r="VSK157" s="300"/>
      <c r="VSL157" s="300"/>
      <c r="VSM157" s="300"/>
      <c r="VSN157" s="300"/>
      <c r="VSO157" s="300"/>
      <c r="VSP157" s="300"/>
      <c r="VSQ157" s="300"/>
      <c r="VSR157" s="300"/>
      <c r="VSS157" s="300"/>
      <c r="VST157" s="300"/>
      <c r="VSU157" s="300"/>
      <c r="VSV157" s="300"/>
      <c r="VSW157" s="300"/>
      <c r="VSX157" s="300"/>
      <c r="VSY157" s="300"/>
      <c r="VSZ157" s="300"/>
      <c r="VTA157" s="300"/>
      <c r="VTB157" s="300"/>
      <c r="VTC157" s="300"/>
      <c r="VTD157" s="300"/>
      <c r="VTE157" s="300"/>
      <c r="VTF157" s="300"/>
      <c r="VTG157" s="300"/>
      <c r="VTH157" s="300"/>
      <c r="VTI157" s="300"/>
      <c r="VTJ157" s="300"/>
      <c r="VTK157" s="300"/>
      <c r="VTL157" s="300"/>
      <c r="VTM157" s="300"/>
      <c r="VTN157" s="300"/>
      <c r="VTO157" s="300"/>
      <c r="VTP157" s="300"/>
      <c r="VTQ157" s="300"/>
      <c r="VTR157" s="300"/>
      <c r="VTS157" s="300"/>
      <c r="VTT157" s="300"/>
      <c r="VTU157" s="300"/>
      <c r="VTV157" s="300"/>
      <c r="VTW157" s="300"/>
      <c r="VTX157" s="300"/>
      <c r="VTY157" s="300"/>
      <c r="VTZ157" s="300"/>
      <c r="VUA157" s="300"/>
      <c r="VUB157" s="300"/>
      <c r="VUC157" s="300"/>
      <c r="VUD157" s="300"/>
      <c r="VUE157" s="300"/>
      <c r="VUF157" s="300"/>
      <c r="VUG157" s="300"/>
      <c r="VUH157" s="300"/>
      <c r="VUI157" s="300"/>
      <c r="VUJ157" s="300"/>
      <c r="VUK157" s="300"/>
      <c r="VUL157" s="300"/>
      <c r="VUM157" s="300"/>
      <c r="VUN157" s="300"/>
      <c r="VUO157" s="300"/>
      <c r="VUP157" s="300"/>
      <c r="VUQ157" s="300"/>
      <c r="VUR157" s="300"/>
      <c r="VUS157" s="300"/>
      <c r="VUT157" s="300"/>
      <c r="VUU157" s="300"/>
      <c r="VUV157" s="300"/>
      <c r="VUW157" s="300"/>
      <c r="VUX157" s="300"/>
      <c r="VUY157" s="300"/>
      <c r="VUZ157" s="300"/>
      <c r="VVA157" s="300"/>
      <c r="VVB157" s="300"/>
      <c r="VVC157" s="300"/>
      <c r="VVD157" s="300"/>
      <c r="VVE157" s="300"/>
      <c r="VVF157" s="300"/>
      <c r="VVG157" s="300"/>
      <c r="VVH157" s="300"/>
      <c r="VVI157" s="300"/>
      <c r="VVJ157" s="300"/>
      <c r="VVK157" s="300"/>
      <c r="VVL157" s="300"/>
      <c r="VVM157" s="300"/>
      <c r="VVN157" s="300"/>
      <c r="VVO157" s="300"/>
      <c r="VVP157" s="300"/>
    </row>
    <row r="158" spans="2:102 15068:15460" s="3" customFormat="1" x14ac:dyDescent="0.3">
      <c r="B158" s="122"/>
      <c r="C158" s="74" t="s">
        <v>33</v>
      </c>
      <c r="D158" s="118"/>
      <c r="E158" s="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51"/>
      <c r="AH158" s="51"/>
      <c r="AI158" s="22"/>
      <c r="AK158" s="121" t="s">
        <v>33</v>
      </c>
      <c r="CX158" s="306"/>
    </row>
    <row r="159" spans="2:102 15068:15460" s="3" customFormat="1" ht="13.8" x14ac:dyDescent="0.25">
      <c r="B159" s="122"/>
      <c r="C159" s="75" t="s">
        <v>31</v>
      </c>
      <c r="D159" s="118"/>
      <c r="E159" s="8" t="s">
        <v>36</v>
      </c>
      <c r="F159" s="1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51"/>
      <c r="AH159" s="51"/>
      <c r="AI159" s="22"/>
      <c r="AK159" s="104">
        <f>SUM(F159:AI159)</f>
        <v>0</v>
      </c>
      <c r="CX159" s="306"/>
    </row>
    <row r="160" spans="2:102 15068:15460" s="3" customFormat="1" ht="13.8" x14ac:dyDescent="0.25">
      <c r="B160" s="122"/>
      <c r="C160" s="75" t="s">
        <v>30</v>
      </c>
      <c r="D160" s="118"/>
      <c r="E160" s="8" t="s">
        <v>36</v>
      </c>
      <c r="F160" s="1">
        <v>0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51"/>
      <c r="AH160" s="51"/>
      <c r="AI160" s="22"/>
      <c r="AK160" s="104">
        <f>SUM(F160:AI160)</f>
        <v>0</v>
      </c>
      <c r="CX160" s="306"/>
    </row>
    <row r="161" spans="2:102 15068:15460" s="3" customFormat="1" x14ac:dyDescent="0.3">
      <c r="B161" s="122"/>
      <c r="C161" s="74" t="s">
        <v>32</v>
      </c>
      <c r="D161" s="118"/>
      <c r="E161" s="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51"/>
      <c r="AH161" s="51"/>
      <c r="AI161" s="22"/>
      <c r="AK161" s="121" t="s">
        <v>32</v>
      </c>
      <c r="CX161" s="306"/>
    </row>
    <row r="162" spans="2:102 15068:15460" s="3" customFormat="1" ht="13.8" x14ac:dyDescent="0.25">
      <c r="B162" s="122"/>
      <c r="C162" s="75" t="s">
        <v>31</v>
      </c>
      <c r="D162" s="118"/>
      <c r="E162" s="8" t="s">
        <v>32</v>
      </c>
      <c r="F162" s="7" t="e">
        <f>F155/F146*100</f>
        <v>#DIV/0!</v>
      </c>
      <c r="G162" s="7" t="e">
        <f t="shared" ref="G162:AI163" si="68">G155/G146*100</f>
        <v>#DIV/0!</v>
      </c>
      <c r="H162" s="7" t="e">
        <f t="shared" si="68"/>
        <v>#DIV/0!</v>
      </c>
      <c r="I162" s="7" t="e">
        <f t="shared" si="68"/>
        <v>#DIV/0!</v>
      </c>
      <c r="J162" s="7" t="e">
        <f t="shared" si="68"/>
        <v>#DIV/0!</v>
      </c>
      <c r="K162" s="7" t="e">
        <f t="shared" si="68"/>
        <v>#DIV/0!</v>
      </c>
      <c r="L162" s="7" t="e">
        <f t="shared" si="68"/>
        <v>#DIV/0!</v>
      </c>
      <c r="M162" s="7" t="e">
        <f t="shared" si="68"/>
        <v>#DIV/0!</v>
      </c>
      <c r="N162" s="7" t="e">
        <f t="shared" si="68"/>
        <v>#DIV/0!</v>
      </c>
      <c r="O162" s="7" t="e">
        <f t="shared" si="68"/>
        <v>#DIV/0!</v>
      </c>
      <c r="P162" s="7" t="e">
        <f t="shared" si="68"/>
        <v>#DIV/0!</v>
      </c>
      <c r="Q162" s="7" t="e">
        <f t="shared" si="68"/>
        <v>#DIV/0!</v>
      </c>
      <c r="R162" s="7" t="e">
        <f t="shared" si="68"/>
        <v>#DIV/0!</v>
      </c>
      <c r="S162" s="7" t="e">
        <f t="shared" si="68"/>
        <v>#DIV/0!</v>
      </c>
      <c r="T162" s="7" t="e">
        <f t="shared" si="68"/>
        <v>#DIV/0!</v>
      </c>
      <c r="U162" s="7" t="e">
        <f t="shared" si="68"/>
        <v>#DIV/0!</v>
      </c>
      <c r="V162" s="7" t="e">
        <f t="shared" si="68"/>
        <v>#DIV/0!</v>
      </c>
      <c r="W162" s="7" t="e">
        <f t="shared" si="68"/>
        <v>#DIV/0!</v>
      </c>
      <c r="X162" s="7" t="e">
        <f t="shared" si="68"/>
        <v>#DIV/0!</v>
      </c>
      <c r="Y162" s="7" t="e">
        <f t="shared" si="68"/>
        <v>#DIV/0!</v>
      </c>
      <c r="Z162" s="7">
        <f t="shared" si="68"/>
        <v>3477.908784658453</v>
      </c>
      <c r="AA162" s="7">
        <f t="shared" si="68"/>
        <v>-1014277.3110142457</v>
      </c>
      <c r="AB162" s="7" t="e">
        <f t="shared" si="68"/>
        <v>#DIV/0!</v>
      </c>
      <c r="AC162" s="7" t="e">
        <f t="shared" si="68"/>
        <v>#DIV/0!</v>
      </c>
      <c r="AD162" s="7">
        <f t="shared" si="68"/>
        <v>-1014277.3109044266</v>
      </c>
      <c r="AE162" s="7">
        <f t="shared" si="68"/>
        <v>-1491211.460469818</v>
      </c>
      <c r="AF162" s="7">
        <f t="shared" si="68"/>
        <v>2838218.1709236111</v>
      </c>
      <c r="AG162" s="7" t="e">
        <f t="shared" si="68"/>
        <v>#DIV/0!</v>
      </c>
      <c r="AH162" s="7">
        <f t="shared" si="68"/>
        <v>-2980461.7215038347</v>
      </c>
      <c r="AI162" s="7">
        <f t="shared" si="68"/>
        <v>-1014277.3109044266</v>
      </c>
      <c r="AK162" s="104" t="e">
        <f>SUM(F162:AI162)</f>
        <v>#DIV/0!</v>
      </c>
      <c r="CX162" s="306"/>
    </row>
    <row r="163" spans="2:102 15068:15460" s="3" customFormat="1" ht="13.8" x14ac:dyDescent="0.25">
      <c r="B163" s="122"/>
      <c r="C163" s="75" t="s">
        <v>30</v>
      </c>
      <c r="D163" s="118"/>
      <c r="E163" s="8" t="s">
        <v>32</v>
      </c>
      <c r="F163" s="7" t="e">
        <f>F156/F147*100</f>
        <v>#DIV/0!</v>
      </c>
      <c r="G163" s="7" t="e">
        <f t="shared" si="68"/>
        <v>#DIV/0!</v>
      </c>
      <c r="H163" s="7" t="e">
        <f t="shared" si="68"/>
        <v>#DIV/0!</v>
      </c>
      <c r="I163" s="7" t="e">
        <f t="shared" si="68"/>
        <v>#DIV/0!</v>
      </c>
      <c r="J163" s="7" t="e">
        <f t="shared" si="68"/>
        <v>#DIV/0!</v>
      </c>
      <c r="K163" s="7" t="e">
        <f t="shared" si="68"/>
        <v>#DIV/0!</v>
      </c>
      <c r="L163" s="7" t="e">
        <f t="shared" si="68"/>
        <v>#DIV/0!</v>
      </c>
      <c r="M163" s="7" t="e">
        <f t="shared" si="68"/>
        <v>#DIV/0!</v>
      </c>
      <c r="N163" s="7" t="e">
        <f t="shared" si="68"/>
        <v>#DIV/0!</v>
      </c>
      <c r="O163" s="7" t="e">
        <f t="shared" si="68"/>
        <v>#DIV/0!</v>
      </c>
      <c r="P163" s="7" t="e">
        <f t="shared" si="68"/>
        <v>#DIV/0!</v>
      </c>
      <c r="Q163" s="7" t="e">
        <f t="shared" si="68"/>
        <v>#DIV/0!</v>
      </c>
      <c r="R163" s="7" t="e">
        <f t="shared" si="68"/>
        <v>#DIV/0!</v>
      </c>
      <c r="S163" s="7" t="e">
        <f t="shared" si="68"/>
        <v>#DIV/0!</v>
      </c>
      <c r="T163" s="7" t="e">
        <f t="shared" si="68"/>
        <v>#DIV/0!</v>
      </c>
      <c r="U163" s="7" t="e">
        <f t="shared" si="68"/>
        <v>#DIV/0!</v>
      </c>
      <c r="V163" s="7" t="e">
        <f t="shared" si="68"/>
        <v>#DIV/0!</v>
      </c>
      <c r="W163" s="7" t="e">
        <f t="shared" si="68"/>
        <v>#DIV/0!</v>
      </c>
      <c r="X163" s="7" t="e">
        <f t="shared" si="68"/>
        <v>#DIV/0!</v>
      </c>
      <c r="Y163" s="7" t="e">
        <f t="shared" si="68"/>
        <v>#DIV/0!</v>
      </c>
      <c r="Z163" s="7" t="e">
        <f t="shared" si="68"/>
        <v>#DIV/0!</v>
      </c>
      <c r="AA163" s="7" t="e">
        <f t="shared" si="68"/>
        <v>#DIV/0!</v>
      </c>
      <c r="AB163" s="7" t="e">
        <f t="shared" si="68"/>
        <v>#DIV/0!</v>
      </c>
      <c r="AC163" s="7" t="e">
        <f t="shared" si="68"/>
        <v>#DIV/0!</v>
      </c>
      <c r="AD163" s="7" t="e">
        <f t="shared" si="68"/>
        <v>#DIV/0!</v>
      </c>
      <c r="AE163" s="7" t="e">
        <f t="shared" si="68"/>
        <v>#DIV/0!</v>
      </c>
      <c r="AF163" s="7" t="e">
        <f t="shared" si="68"/>
        <v>#DIV/0!</v>
      </c>
      <c r="AG163" s="7" t="e">
        <f t="shared" si="68"/>
        <v>#DIV/0!</v>
      </c>
      <c r="AH163" s="7" t="e">
        <f t="shared" si="68"/>
        <v>#DIV/0!</v>
      </c>
      <c r="AI163" s="7" t="e">
        <f t="shared" si="68"/>
        <v>#DIV/0!</v>
      </c>
      <c r="AK163" s="104" t="e">
        <f>SUM(F163:AI163)</f>
        <v>#DIV/0!</v>
      </c>
      <c r="CX163" s="306"/>
    </row>
    <row r="164" spans="2:102 15068:15460" s="3" customFormat="1" x14ac:dyDescent="0.3">
      <c r="B164" s="70"/>
      <c r="C164" s="72" t="s">
        <v>35</v>
      </c>
      <c r="D164" s="88"/>
      <c r="E164" s="19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89"/>
      <c r="AD164" s="6"/>
      <c r="AE164" s="6"/>
      <c r="AF164" s="6"/>
      <c r="AG164" s="53"/>
      <c r="AH164" s="53"/>
      <c r="AI164" s="61"/>
      <c r="AJ164" s="90"/>
      <c r="AK164" s="152" t="s">
        <v>34</v>
      </c>
      <c r="CX164" s="17"/>
      <c r="VGN164" s="300"/>
      <c r="VGO164" s="300"/>
      <c r="VGP164" s="300"/>
      <c r="VGQ164" s="300"/>
      <c r="VGR164" s="300"/>
      <c r="VGS164" s="300"/>
      <c r="VGT164" s="300"/>
      <c r="VGU164" s="300"/>
      <c r="VGV164" s="300"/>
      <c r="VGW164" s="300"/>
      <c r="VGX164" s="300"/>
      <c r="VGY164" s="300"/>
      <c r="VGZ164" s="300"/>
      <c r="VHA164" s="300"/>
      <c r="VHB164" s="300"/>
      <c r="VHC164" s="300"/>
      <c r="VHD164" s="300"/>
      <c r="VHE164" s="300"/>
      <c r="VHF164" s="300"/>
      <c r="VHG164" s="300"/>
      <c r="VHH164" s="300"/>
      <c r="VHI164" s="300"/>
      <c r="VHJ164" s="300"/>
      <c r="VHK164" s="300"/>
      <c r="VHL164" s="300"/>
      <c r="VHM164" s="300"/>
      <c r="VHN164" s="300"/>
      <c r="VHO164" s="300"/>
      <c r="VHP164" s="300"/>
      <c r="VHQ164" s="300"/>
      <c r="VHR164" s="300"/>
      <c r="VHS164" s="300"/>
      <c r="VHT164" s="300"/>
      <c r="VHU164" s="300"/>
      <c r="VHV164" s="300"/>
      <c r="VHW164" s="300"/>
      <c r="VHX164" s="300"/>
      <c r="VHY164" s="300"/>
      <c r="VHZ164" s="300"/>
      <c r="VIA164" s="300"/>
      <c r="VIB164" s="300"/>
      <c r="VIC164" s="300"/>
      <c r="VID164" s="300"/>
      <c r="VIE164" s="300"/>
      <c r="VIF164" s="300"/>
      <c r="VIG164" s="300"/>
      <c r="VIH164" s="300"/>
      <c r="VII164" s="300"/>
      <c r="VIJ164" s="300"/>
      <c r="VIK164" s="300"/>
      <c r="VIL164" s="300"/>
      <c r="VIM164" s="300"/>
      <c r="VIN164" s="300"/>
      <c r="VIO164" s="300"/>
      <c r="VIP164" s="300"/>
      <c r="VIQ164" s="300"/>
      <c r="VIR164" s="300"/>
      <c r="VIS164" s="300"/>
      <c r="VIT164" s="300"/>
      <c r="VIU164" s="300"/>
      <c r="VIV164" s="300"/>
      <c r="VIW164" s="300"/>
      <c r="VIX164" s="300"/>
      <c r="VIY164" s="300"/>
      <c r="VIZ164" s="300"/>
      <c r="VJA164" s="300"/>
      <c r="VJB164" s="300"/>
      <c r="VJC164" s="300"/>
      <c r="VJD164" s="300"/>
      <c r="VJE164" s="300"/>
      <c r="VJF164" s="300"/>
      <c r="VJG164" s="300"/>
      <c r="VJH164" s="300"/>
      <c r="VJI164" s="300"/>
      <c r="VJJ164" s="300"/>
      <c r="VJK164" s="300"/>
      <c r="VJL164" s="300"/>
      <c r="VJM164" s="300"/>
      <c r="VJN164" s="300"/>
      <c r="VJO164" s="300"/>
      <c r="VJP164" s="300"/>
      <c r="VJQ164" s="300"/>
      <c r="VJR164" s="300"/>
      <c r="VJS164" s="300"/>
      <c r="VJT164" s="300"/>
      <c r="VJU164" s="300"/>
      <c r="VJV164" s="300"/>
      <c r="VJW164" s="300"/>
      <c r="VJX164" s="300"/>
      <c r="VJY164" s="300"/>
      <c r="VJZ164" s="300"/>
      <c r="VKA164" s="300"/>
      <c r="VKB164" s="300"/>
      <c r="VKC164" s="300"/>
      <c r="VKD164" s="300"/>
      <c r="VKE164" s="300"/>
      <c r="VKF164" s="300"/>
      <c r="VKG164" s="300"/>
      <c r="VKH164" s="300"/>
      <c r="VKI164" s="300"/>
      <c r="VKJ164" s="300"/>
      <c r="VKK164" s="300"/>
      <c r="VKL164" s="300"/>
      <c r="VKM164" s="300"/>
      <c r="VKN164" s="300"/>
      <c r="VKO164" s="300"/>
      <c r="VKP164" s="300"/>
      <c r="VKQ164" s="300"/>
      <c r="VKR164" s="300"/>
      <c r="VKS164" s="300"/>
      <c r="VKT164" s="300"/>
      <c r="VKU164" s="300"/>
      <c r="VKV164" s="300"/>
      <c r="VKW164" s="300"/>
      <c r="VKX164" s="300"/>
      <c r="VKY164" s="300"/>
      <c r="VKZ164" s="300"/>
      <c r="VLA164" s="300"/>
      <c r="VLB164" s="300"/>
      <c r="VLC164" s="300"/>
      <c r="VLD164" s="300"/>
      <c r="VLE164" s="300"/>
      <c r="VLF164" s="300"/>
      <c r="VLG164" s="300"/>
      <c r="VLH164" s="300"/>
      <c r="VLI164" s="300"/>
      <c r="VLJ164" s="300"/>
      <c r="VLK164" s="300"/>
      <c r="VLL164" s="300"/>
      <c r="VLM164" s="300"/>
      <c r="VLN164" s="300"/>
      <c r="VLO164" s="300"/>
      <c r="VLP164" s="300"/>
      <c r="VLQ164" s="300"/>
      <c r="VLR164" s="300"/>
      <c r="VLS164" s="300"/>
      <c r="VLT164" s="300"/>
      <c r="VLU164" s="300"/>
      <c r="VLV164" s="300"/>
      <c r="VLW164" s="300"/>
      <c r="VLX164" s="300"/>
      <c r="VLY164" s="300"/>
      <c r="VLZ164" s="300"/>
      <c r="VMA164" s="300"/>
      <c r="VMB164" s="300"/>
      <c r="VMC164" s="300"/>
      <c r="VMD164" s="300"/>
      <c r="VME164" s="300"/>
      <c r="VMF164" s="300"/>
      <c r="VMG164" s="300"/>
      <c r="VMH164" s="300"/>
      <c r="VMI164" s="300"/>
      <c r="VMJ164" s="300"/>
      <c r="VMK164" s="300"/>
      <c r="VML164" s="300"/>
      <c r="VMM164" s="300"/>
      <c r="VMN164" s="300"/>
      <c r="VMO164" s="300"/>
      <c r="VMP164" s="300"/>
      <c r="VMQ164" s="300"/>
      <c r="VMR164" s="300"/>
      <c r="VMS164" s="300"/>
      <c r="VMT164" s="300"/>
      <c r="VMU164" s="300"/>
      <c r="VMV164" s="300"/>
      <c r="VMW164" s="300"/>
      <c r="VMX164" s="300"/>
      <c r="VMY164" s="300"/>
      <c r="VMZ164" s="300"/>
      <c r="VNA164" s="300"/>
      <c r="VNB164" s="300"/>
      <c r="VNC164" s="300"/>
      <c r="VND164" s="300"/>
      <c r="VNE164" s="300"/>
      <c r="VNF164" s="300"/>
      <c r="VNG164" s="300"/>
      <c r="VNH164" s="300"/>
      <c r="VNI164" s="300"/>
      <c r="VNJ164" s="300"/>
      <c r="VNK164" s="300"/>
      <c r="VNL164" s="300"/>
      <c r="VNM164" s="300"/>
      <c r="VNN164" s="300"/>
      <c r="VNO164" s="300"/>
      <c r="VNP164" s="300"/>
      <c r="VNQ164" s="300"/>
      <c r="VNR164" s="300"/>
      <c r="VNS164" s="300"/>
      <c r="VNT164" s="300"/>
      <c r="VNU164" s="300"/>
      <c r="VNV164" s="300"/>
      <c r="VNW164" s="300"/>
      <c r="VNX164" s="300"/>
      <c r="VNY164" s="300"/>
      <c r="VNZ164" s="300"/>
      <c r="VOA164" s="300"/>
      <c r="VOB164" s="300"/>
      <c r="VOC164" s="300"/>
      <c r="VOD164" s="300"/>
      <c r="VOE164" s="300"/>
      <c r="VOF164" s="300"/>
      <c r="VOG164" s="300"/>
      <c r="VOH164" s="300"/>
      <c r="VOI164" s="300"/>
      <c r="VOJ164" s="300"/>
      <c r="VOK164" s="300"/>
      <c r="VOL164" s="300"/>
      <c r="VOM164" s="300"/>
      <c r="VON164" s="300"/>
      <c r="VOO164" s="300"/>
      <c r="VOP164" s="300"/>
      <c r="VOQ164" s="300"/>
      <c r="VOR164" s="300"/>
      <c r="VOS164" s="300"/>
      <c r="VOT164" s="300"/>
      <c r="VOU164" s="300"/>
      <c r="VOV164" s="300"/>
      <c r="VOW164" s="300"/>
      <c r="VOX164" s="300"/>
      <c r="VOY164" s="300"/>
      <c r="VOZ164" s="300"/>
      <c r="VPA164" s="300"/>
      <c r="VPB164" s="300"/>
      <c r="VPC164" s="300"/>
      <c r="VPD164" s="300"/>
      <c r="VPE164" s="300"/>
      <c r="VPF164" s="300"/>
      <c r="VPG164" s="300"/>
      <c r="VPH164" s="300"/>
      <c r="VPI164" s="300"/>
      <c r="VPJ164" s="300"/>
      <c r="VPK164" s="300"/>
      <c r="VPL164" s="300"/>
      <c r="VPM164" s="300"/>
      <c r="VPN164" s="300"/>
      <c r="VPO164" s="300"/>
      <c r="VPP164" s="300"/>
      <c r="VPQ164" s="300"/>
      <c r="VPR164" s="300"/>
      <c r="VPS164" s="300"/>
      <c r="VPT164" s="300"/>
      <c r="VPU164" s="300"/>
      <c r="VPV164" s="300"/>
      <c r="VPW164" s="300"/>
      <c r="VPX164" s="300"/>
      <c r="VPY164" s="300"/>
      <c r="VPZ164" s="300"/>
      <c r="VQA164" s="300"/>
      <c r="VQB164" s="300"/>
      <c r="VQC164" s="300"/>
      <c r="VQD164" s="300"/>
      <c r="VQE164" s="300"/>
      <c r="VQF164" s="300"/>
      <c r="VQG164" s="300"/>
      <c r="VQH164" s="300"/>
      <c r="VQI164" s="300"/>
      <c r="VQJ164" s="300"/>
      <c r="VQK164" s="300"/>
      <c r="VQL164" s="300"/>
      <c r="VQM164" s="300"/>
      <c r="VQN164" s="300"/>
      <c r="VQO164" s="300"/>
      <c r="VQP164" s="300"/>
      <c r="VQQ164" s="300"/>
      <c r="VQR164" s="300"/>
      <c r="VQS164" s="300"/>
      <c r="VQT164" s="300"/>
      <c r="VQU164" s="300"/>
      <c r="VQV164" s="300"/>
      <c r="VQW164" s="300"/>
      <c r="VQX164" s="300"/>
      <c r="VQY164" s="300"/>
      <c r="VQZ164" s="300"/>
      <c r="VRA164" s="300"/>
      <c r="VRB164" s="300"/>
      <c r="VRC164" s="300"/>
      <c r="VRD164" s="300"/>
      <c r="VRE164" s="300"/>
      <c r="VRF164" s="300"/>
      <c r="VRG164" s="300"/>
      <c r="VRH164" s="300"/>
      <c r="VRI164" s="300"/>
      <c r="VRJ164" s="300"/>
      <c r="VRK164" s="300"/>
      <c r="VRL164" s="300"/>
      <c r="VRM164" s="300"/>
      <c r="VRN164" s="300"/>
      <c r="VRO164" s="300"/>
      <c r="VRP164" s="300"/>
      <c r="VRQ164" s="300"/>
      <c r="VRR164" s="300"/>
      <c r="VRS164" s="300"/>
      <c r="VRT164" s="300"/>
      <c r="VRU164" s="300"/>
      <c r="VRV164" s="300"/>
      <c r="VRW164" s="300"/>
      <c r="VRX164" s="300"/>
      <c r="VRY164" s="300"/>
      <c r="VRZ164" s="300"/>
      <c r="VSA164" s="300"/>
      <c r="VSB164" s="300"/>
      <c r="VSC164" s="300"/>
      <c r="VSD164" s="300"/>
      <c r="VSE164" s="300"/>
      <c r="VSF164" s="300"/>
      <c r="VSG164" s="300"/>
      <c r="VSH164" s="300"/>
      <c r="VSI164" s="300"/>
      <c r="VSJ164" s="300"/>
      <c r="VSK164" s="300"/>
      <c r="VSL164" s="300"/>
      <c r="VSM164" s="300"/>
      <c r="VSN164" s="300"/>
      <c r="VSO164" s="300"/>
      <c r="VSP164" s="300"/>
      <c r="VSQ164" s="300"/>
      <c r="VSR164" s="300"/>
      <c r="VSS164" s="300"/>
      <c r="VST164" s="300"/>
      <c r="VSU164" s="300"/>
      <c r="VSV164" s="300"/>
      <c r="VSW164" s="300"/>
      <c r="VSX164" s="300"/>
      <c r="VSY164" s="300"/>
      <c r="VSZ164" s="300"/>
      <c r="VTA164" s="300"/>
      <c r="VTB164" s="300"/>
      <c r="VTC164" s="300"/>
      <c r="VTD164" s="300"/>
      <c r="VTE164" s="300"/>
      <c r="VTF164" s="300"/>
      <c r="VTG164" s="300"/>
      <c r="VTH164" s="300"/>
      <c r="VTI164" s="300"/>
      <c r="VTJ164" s="300"/>
      <c r="VTK164" s="300"/>
      <c r="VTL164" s="300"/>
      <c r="VTM164" s="300"/>
      <c r="VTN164" s="300"/>
      <c r="VTO164" s="300"/>
      <c r="VTP164" s="300"/>
      <c r="VTQ164" s="300"/>
      <c r="VTR164" s="300"/>
      <c r="VTS164" s="300"/>
      <c r="VTT164" s="300"/>
      <c r="VTU164" s="300"/>
      <c r="VTV164" s="300"/>
      <c r="VTW164" s="300"/>
      <c r="VTX164" s="300"/>
      <c r="VTY164" s="300"/>
      <c r="VTZ164" s="300"/>
      <c r="VUA164" s="300"/>
      <c r="VUB164" s="300"/>
      <c r="VUC164" s="300"/>
      <c r="VUD164" s="300"/>
      <c r="VUE164" s="300"/>
      <c r="VUF164" s="300"/>
      <c r="VUG164" s="300"/>
      <c r="VUH164" s="300"/>
      <c r="VUI164" s="300"/>
      <c r="VUJ164" s="300"/>
      <c r="VUK164" s="300"/>
      <c r="VUL164" s="300"/>
      <c r="VUM164" s="300"/>
      <c r="VUN164" s="300"/>
      <c r="VUO164" s="300"/>
      <c r="VUP164" s="300"/>
      <c r="VUQ164" s="300"/>
      <c r="VUR164" s="300"/>
      <c r="VUS164" s="300"/>
      <c r="VUT164" s="300"/>
      <c r="VUU164" s="300"/>
      <c r="VUV164" s="300"/>
      <c r="VUW164" s="300"/>
      <c r="VUX164" s="300"/>
      <c r="VUY164" s="300"/>
      <c r="VUZ164" s="300"/>
      <c r="VVA164" s="300"/>
      <c r="VVB164" s="300"/>
      <c r="VVC164" s="300"/>
      <c r="VVD164" s="300"/>
      <c r="VVE164" s="300"/>
      <c r="VVF164" s="300"/>
      <c r="VVG164" s="300"/>
      <c r="VVH164" s="300"/>
      <c r="VVI164" s="300"/>
      <c r="VVJ164" s="300"/>
      <c r="VVK164" s="300"/>
      <c r="VVL164" s="300"/>
      <c r="VVM164" s="300"/>
      <c r="VVN164" s="300"/>
      <c r="VVO164" s="300"/>
      <c r="VVP164" s="300"/>
    </row>
    <row r="165" spans="2:102 15068:15460" s="3" customFormat="1" x14ac:dyDescent="0.3">
      <c r="B165" s="122"/>
      <c r="C165" s="74" t="s">
        <v>33</v>
      </c>
      <c r="D165" s="118"/>
      <c r="E165" s="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51"/>
      <c r="AH165" s="51"/>
      <c r="AI165" s="22"/>
      <c r="AK165" s="121" t="s">
        <v>33</v>
      </c>
      <c r="CX165" s="306"/>
    </row>
    <row r="166" spans="2:102 15068:15460" s="3" customFormat="1" ht="13.8" x14ac:dyDescent="0.25">
      <c r="B166" s="122"/>
      <c r="C166" s="75" t="s">
        <v>31</v>
      </c>
      <c r="D166" s="15">
        <v>0.3</v>
      </c>
      <c r="E166" s="8" t="s">
        <v>29</v>
      </c>
      <c r="F166" s="10" t="e">
        <f>F159/F148*100</f>
        <v>#DIV/0!</v>
      </c>
      <c r="G166" s="10" t="e">
        <f t="shared" ref="G166:AH166" si="69">G159/G148*100</f>
        <v>#DIV/0!</v>
      </c>
      <c r="H166" s="10" t="e">
        <f t="shared" si="69"/>
        <v>#DIV/0!</v>
      </c>
      <c r="I166" s="10" t="e">
        <f t="shared" si="69"/>
        <v>#DIV/0!</v>
      </c>
      <c r="J166" s="10" t="e">
        <f t="shared" si="69"/>
        <v>#DIV/0!</v>
      </c>
      <c r="K166" s="10" t="e">
        <f t="shared" si="69"/>
        <v>#DIV/0!</v>
      </c>
      <c r="L166" s="10" t="e">
        <f t="shared" si="69"/>
        <v>#DIV/0!</v>
      </c>
      <c r="M166" s="10" t="e">
        <f t="shared" si="69"/>
        <v>#DIV/0!</v>
      </c>
      <c r="N166" s="10" t="e">
        <f t="shared" si="69"/>
        <v>#DIV/0!</v>
      </c>
      <c r="O166" s="10" t="e">
        <f t="shared" si="69"/>
        <v>#DIV/0!</v>
      </c>
      <c r="P166" s="10" t="e">
        <f t="shared" si="69"/>
        <v>#DIV/0!</v>
      </c>
      <c r="Q166" s="10" t="e">
        <f t="shared" si="69"/>
        <v>#DIV/0!</v>
      </c>
      <c r="R166" s="10" t="e">
        <f t="shared" si="69"/>
        <v>#DIV/0!</v>
      </c>
      <c r="S166" s="10" t="e">
        <f t="shared" si="69"/>
        <v>#DIV/0!</v>
      </c>
      <c r="T166" s="10" t="e">
        <f t="shared" si="69"/>
        <v>#DIV/0!</v>
      </c>
      <c r="U166" s="10" t="e">
        <f t="shared" si="69"/>
        <v>#DIV/0!</v>
      </c>
      <c r="V166" s="10" t="e">
        <f t="shared" si="69"/>
        <v>#DIV/0!</v>
      </c>
      <c r="W166" s="10" t="e">
        <f t="shared" si="69"/>
        <v>#DIV/0!</v>
      </c>
      <c r="X166" s="10" t="e">
        <f t="shared" si="69"/>
        <v>#DIV/0!</v>
      </c>
      <c r="Y166" s="10" t="e">
        <f t="shared" si="69"/>
        <v>#DIV/0!</v>
      </c>
      <c r="Z166" s="10" t="e">
        <f t="shared" si="69"/>
        <v>#DIV/0!</v>
      </c>
      <c r="AA166" s="10">
        <f t="shared" si="69"/>
        <v>0</v>
      </c>
      <c r="AB166" s="10" t="e">
        <f t="shared" si="69"/>
        <v>#DIV/0!</v>
      </c>
      <c r="AC166" s="10" t="e">
        <f t="shared" si="69"/>
        <v>#DIV/0!</v>
      </c>
      <c r="AD166" s="10">
        <f t="shared" si="69"/>
        <v>0</v>
      </c>
      <c r="AE166" s="10">
        <f t="shared" si="69"/>
        <v>0</v>
      </c>
      <c r="AF166" s="10" t="e">
        <f t="shared" si="69"/>
        <v>#DIV/0!</v>
      </c>
      <c r="AG166" s="10" t="e">
        <f t="shared" si="69"/>
        <v>#DIV/0!</v>
      </c>
      <c r="AH166" s="10" t="e">
        <f t="shared" si="69"/>
        <v>#DIV/0!</v>
      </c>
      <c r="AI166" s="21" t="e">
        <f>AI159/AI148*100</f>
        <v>#DIV/0!</v>
      </c>
      <c r="AK166" s="115">
        <f>AK159/AK148*100</f>
        <v>0</v>
      </c>
      <c r="CX166" s="306"/>
    </row>
    <row r="167" spans="2:102 15068:15460" s="3" customFormat="1" ht="13.8" x14ac:dyDescent="0.25">
      <c r="B167" s="122"/>
      <c r="C167" s="75" t="s">
        <v>30</v>
      </c>
      <c r="D167" s="15">
        <v>0.3</v>
      </c>
      <c r="E167" s="8" t="s">
        <v>29</v>
      </c>
      <c r="F167" s="10" t="e">
        <f t="shared" ref="F167:AH167" si="70">F160/F150*100</f>
        <v>#DIV/0!</v>
      </c>
      <c r="G167" s="10" t="e">
        <f t="shared" si="70"/>
        <v>#DIV/0!</v>
      </c>
      <c r="H167" s="10" t="e">
        <f t="shared" si="70"/>
        <v>#DIV/0!</v>
      </c>
      <c r="I167" s="10" t="e">
        <f t="shared" si="70"/>
        <v>#DIV/0!</v>
      </c>
      <c r="J167" s="10" t="e">
        <f t="shared" si="70"/>
        <v>#DIV/0!</v>
      </c>
      <c r="K167" s="10" t="e">
        <f t="shared" si="70"/>
        <v>#DIV/0!</v>
      </c>
      <c r="L167" s="10" t="e">
        <f t="shared" si="70"/>
        <v>#DIV/0!</v>
      </c>
      <c r="M167" s="10" t="e">
        <f t="shared" si="70"/>
        <v>#DIV/0!</v>
      </c>
      <c r="N167" s="10" t="e">
        <f t="shared" si="70"/>
        <v>#DIV/0!</v>
      </c>
      <c r="O167" s="10" t="e">
        <f t="shared" si="70"/>
        <v>#DIV/0!</v>
      </c>
      <c r="P167" s="10" t="e">
        <f t="shared" si="70"/>
        <v>#DIV/0!</v>
      </c>
      <c r="Q167" s="10" t="e">
        <f t="shared" si="70"/>
        <v>#DIV/0!</v>
      </c>
      <c r="R167" s="10" t="e">
        <f t="shared" si="70"/>
        <v>#DIV/0!</v>
      </c>
      <c r="S167" s="10" t="e">
        <f t="shared" si="70"/>
        <v>#DIV/0!</v>
      </c>
      <c r="T167" s="10" t="e">
        <f t="shared" si="70"/>
        <v>#DIV/0!</v>
      </c>
      <c r="U167" s="10" t="e">
        <f t="shared" si="70"/>
        <v>#DIV/0!</v>
      </c>
      <c r="V167" s="10" t="e">
        <f t="shared" si="70"/>
        <v>#DIV/0!</v>
      </c>
      <c r="W167" s="10" t="e">
        <f t="shared" si="70"/>
        <v>#DIV/0!</v>
      </c>
      <c r="X167" s="10" t="e">
        <f t="shared" si="70"/>
        <v>#DIV/0!</v>
      </c>
      <c r="Y167" s="10" t="e">
        <f t="shared" si="70"/>
        <v>#DIV/0!</v>
      </c>
      <c r="Z167" s="10" t="e">
        <f t="shared" si="70"/>
        <v>#DIV/0!</v>
      </c>
      <c r="AA167" s="10" t="e">
        <f t="shared" si="70"/>
        <v>#DIV/0!</v>
      </c>
      <c r="AB167" s="10" t="e">
        <f t="shared" si="70"/>
        <v>#DIV/0!</v>
      </c>
      <c r="AC167" s="10" t="e">
        <f t="shared" si="70"/>
        <v>#DIV/0!</v>
      </c>
      <c r="AD167" s="10" t="e">
        <f t="shared" si="70"/>
        <v>#DIV/0!</v>
      </c>
      <c r="AE167" s="10" t="e">
        <f t="shared" si="70"/>
        <v>#DIV/0!</v>
      </c>
      <c r="AF167" s="10" t="e">
        <f t="shared" si="70"/>
        <v>#DIV/0!</v>
      </c>
      <c r="AG167" s="10" t="e">
        <f t="shared" si="70"/>
        <v>#DIV/0!</v>
      </c>
      <c r="AH167" s="10" t="e">
        <f t="shared" si="70"/>
        <v>#DIV/0!</v>
      </c>
      <c r="AI167" s="21" t="e">
        <f>AI160/AI150*100</f>
        <v>#DIV/0!</v>
      </c>
      <c r="AK167" s="115" t="e">
        <f>AK160/AK150*100</f>
        <v>#DIV/0!</v>
      </c>
      <c r="CX167" s="306"/>
    </row>
    <row r="168" spans="2:102 15068:15460" s="3" customFormat="1" x14ac:dyDescent="0.3">
      <c r="B168" s="122"/>
      <c r="C168" s="74" t="s">
        <v>32</v>
      </c>
      <c r="D168" s="15"/>
      <c r="E168" s="5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1"/>
      <c r="AK168" s="121" t="s">
        <v>32</v>
      </c>
      <c r="CX168" s="306"/>
    </row>
    <row r="169" spans="2:102 15068:15460" s="3" customFormat="1" ht="13.8" x14ac:dyDescent="0.25">
      <c r="B169" s="122"/>
      <c r="C169" s="75" t="s">
        <v>31</v>
      </c>
      <c r="D169" s="15">
        <v>0.5</v>
      </c>
      <c r="E169" s="8" t="s">
        <v>29</v>
      </c>
      <c r="F169" s="10" t="e">
        <f>F162/F152*100</f>
        <v>#DIV/0!</v>
      </c>
      <c r="G169" s="10" t="e">
        <f t="shared" ref="G169:AH169" si="71">G162/G152*100</f>
        <v>#DIV/0!</v>
      </c>
      <c r="H169" s="10" t="e">
        <f t="shared" si="71"/>
        <v>#DIV/0!</v>
      </c>
      <c r="I169" s="10" t="e">
        <f t="shared" si="71"/>
        <v>#DIV/0!</v>
      </c>
      <c r="J169" s="10" t="e">
        <f t="shared" si="71"/>
        <v>#DIV/0!</v>
      </c>
      <c r="K169" s="10" t="e">
        <f t="shared" si="71"/>
        <v>#DIV/0!</v>
      </c>
      <c r="L169" s="10" t="e">
        <f t="shared" si="71"/>
        <v>#DIV/0!</v>
      </c>
      <c r="M169" s="10" t="e">
        <f t="shared" si="71"/>
        <v>#DIV/0!</v>
      </c>
      <c r="N169" s="10" t="e">
        <f t="shared" si="71"/>
        <v>#DIV/0!</v>
      </c>
      <c r="O169" s="10" t="e">
        <f t="shared" si="71"/>
        <v>#DIV/0!</v>
      </c>
      <c r="P169" s="10" t="e">
        <f t="shared" si="71"/>
        <v>#DIV/0!</v>
      </c>
      <c r="Q169" s="10" t="e">
        <f t="shared" si="71"/>
        <v>#DIV/0!</v>
      </c>
      <c r="R169" s="10" t="e">
        <f t="shared" si="71"/>
        <v>#DIV/0!</v>
      </c>
      <c r="S169" s="10" t="e">
        <f t="shared" si="71"/>
        <v>#DIV/0!</v>
      </c>
      <c r="T169" s="10" t="e">
        <f t="shared" si="71"/>
        <v>#DIV/0!</v>
      </c>
      <c r="U169" s="10" t="e">
        <f t="shared" si="71"/>
        <v>#DIV/0!</v>
      </c>
      <c r="V169" s="10" t="e">
        <f t="shared" si="71"/>
        <v>#DIV/0!</v>
      </c>
      <c r="W169" s="10" t="e">
        <f t="shared" si="71"/>
        <v>#DIV/0!</v>
      </c>
      <c r="X169" s="10" t="e">
        <f t="shared" si="71"/>
        <v>#DIV/0!</v>
      </c>
      <c r="Y169" s="10" t="e">
        <f t="shared" si="71"/>
        <v>#DIV/0!</v>
      </c>
      <c r="Z169" s="10" t="e">
        <f t="shared" si="71"/>
        <v>#DIV/0!</v>
      </c>
      <c r="AA169" s="10">
        <f t="shared" si="71"/>
        <v>-38419.595114175972</v>
      </c>
      <c r="AB169" s="10" t="e">
        <f t="shared" si="71"/>
        <v>#DIV/0!</v>
      </c>
      <c r="AC169" s="10" t="e">
        <f t="shared" si="71"/>
        <v>#DIV/0!</v>
      </c>
      <c r="AD169" s="10">
        <f t="shared" si="71"/>
        <v>-25613.06340667744</v>
      </c>
      <c r="AE169" s="10">
        <f t="shared" si="71"/>
        <v>-22190.646733181817</v>
      </c>
      <c r="AF169" s="10" t="e">
        <f t="shared" si="71"/>
        <v>#DIV/0!</v>
      </c>
      <c r="AG169" s="10" t="e">
        <f t="shared" si="71"/>
        <v>#DIV/0!</v>
      </c>
      <c r="AH169" s="10" t="e">
        <f t="shared" si="71"/>
        <v>#DIV/0!</v>
      </c>
      <c r="AI169" s="21" t="e">
        <f>AI162/AI152*100</f>
        <v>#DIV/0!</v>
      </c>
      <c r="AK169" s="115" t="e">
        <f>AK162/AK152*100</f>
        <v>#DIV/0!</v>
      </c>
      <c r="CX169" s="306"/>
    </row>
    <row r="170" spans="2:102 15068:15460" s="3" customFormat="1" thickBot="1" x14ac:dyDescent="0.3">
      <c r="B170" s="158"/>
      <c r="C170" s="75" t="s">
        <v>30</v>
      </c>
      <c r="D170" s="15">
        <v>0.5</v>
      </c>
      <c r="E170" s="8" t="s">
        <v>29</v>
      </c>
      <c r="F170" s="10" t="e">
        <f t="shared" ref="F170:AH170" si="72">F163/F154*100</f>
        <v>#DIV/0!</v>
      </c>
      <c r="G170" s="10" t="e">
        <f t="shared" si="72"/>
        <v>#DIV/0!</v>
      </c>
      <c r="H170" s="10" t="e">
        <f t="shared" si="72"/>
        <v>#DIV/0!</v>
      </c>
      <c r="I170" s="10" t="e">
        <f t="shared" si="72"/>
        <v>#DIV/0!</v>
      </c>
      <c r="J170" s="10" t="e">
        <f t="shared" si="72"/>
        <v>#DIV/0!</v>
      </c>
      <c r="K170" s="10" t="e">
        <f t="shared" si="72"/>
        <v>#DIV/0!</v>
      </c>
      <c r="L170" s="10" t="e">
        <f t="shared" si="72"/>
        <v>#DIV/0!</v>
      </c>
      <c r="M170" s="10" t="e">
        <f t="shared" si="72"/>
        <v>#DIV/0!</v>
      </c>
      <c r="N170" s="10" t="e">
        <f t="shared" si="72"/>
        <v>#DIV/0!</v>
      </c>
      <c r="O170" s="10" t="e">
        <f t="shared" si="72"/>
        <v>#DIV/0!</v>
      </c>
      <c r="P170" s="10" t="e">
        <f t="shared" si="72"/>
        <v>#DIV/0!</v>
      </c>
      <c r="Q170" s="10" t="e">
        <f t="shared" si="72"/>
        <v>#DIV/0!</v>
      </c>
      <c r="R170" s="10" t="e">
        <f t="shared" si="72"/>
        <v>#DIV/0!</v>
      </c>
      <c r="S170" s="10" t="e">
        <f t="shared" si="72"/>
        <v>#DIV/0!</v>
      </c>
      <c r="T170" s="10" t="e">
        <f t="shared" si="72"/>
        <v>#DIV/0!</v>
      </c>
      <c r="U170" s="10" t="e">
        <f t="shared" si="72"/>
        <v>#DIV/0!</v>
      </c>
      <c r="V170" s="10" t="e">
        <f t="shared" si="72"/>
        <v>#DIV/0!</v>
      </c>
      <c r="W170" s="10" t="e">
        <f t="shared" si="72"/>
        <v>#DIV/0!</v>
      </c>
      <c r="X170" s="10" t="e">
        <f t="shared" si="72"/>
        <v>#DIV/0!</v>
      </c>
      <c r="Y170" s="10" t="e">
        <f t="shared" si="72"/>
        <v>#DIV/0!</v>
      </c>
      <c r="Z170" s="10" t="e">
        <f t="shared" si="72"/>
        <v>#DIV/0!</v>
      </c>
      <c r="AA170" s="10" t="e">
        <f t="shared" si="72"/>
        <v>#DIV/0!</v>
      </c>
      <c r="AB170" s="10" t="e">
        <f t="shared" si="72"/>
        <v>#DIV/0!</v>
      </c>
      <c r="AC170" s="10" t="e">
        <f t="shared" si="72"/>
        <v>#DIV/0!</v>
      </c>
      <c r="AD170" s="10" t="e">
        <f t="shared" si="72"/>
        <v>#DIV/0!</v>
      </c>
      <c r="AE170" s="10" t="e">
        <f t="shared" si="72"/>
        <v>#DIV/0!</v>
      </c>
      <c r="AF170" s="10" t="e">
        <f t="shared" si="72"/>
        <v>#DIV/0!</v>
      </c>
      <c r="AG170" s="10" t="e">
        <f t="shared" si="72"/>
        <v>#DIV/0!</v>
      </c>
      <c r="AH170" s="10" t="e">
        <f t="shared" si="72"/>
        <v>#DIV/0!</v>
      </c>
      <c r="AI170" s="21" t="e">
        <f>AI163/AI154*100</f>
        <v>#DIV/0!</v>
      </c>
      <c r="AK170" s="115" t="e">
        <f>AK163/AK154*100</f>
        <v>#DIV/0!</v>
      </c>
      <c r="CX170" s="306"/>
    </row>
    <row r="171" spans="2:102 15068:15460" s="3" customFormat="1" ht="13.8" x14ac:dyDescent="0.25">
      <c r="B171" s="70">
        <v>7</v>
      </c>
      <c r="C171" s="72" t="s">
        <v>99</v>
      </c>
      <c r="D171" s="211"/>
      <c r="E171" s="217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  <c r="Z171" s="211"/>
      <c r="AA171" s="211"/>
      <c r="AB171" s="211"/>
      <c r="AC171" s="211"/>
      <c r="AD171" s="211"/>
      <c r="AE171" s="211"/>
      <c r="AF171" s="211"/>
      <c r="AG171" s="218"/>
      <c r="AH171" s="218"/>
      <c r="AI171" s="219"/>
      <c r="AJ171" s="220"/>
      <c r="AK171" s="152" t="s">
        <v>45</v>
      </c>
    </row>
    <row r="172" spans="2:102 15068:15460" s="3" customFormat="1" ht="13.8" x14ac:dyDescent="0.25">
      <c r="B172" s="122"/>
      <c r="C172" s="76" t="s">
        <v>104</v>
      </c>
      <c r="D172" s="15"/>
      <c r="E172" s="8" t="s">
        <v>16</v>
      </c>
      <c r="F172" s="12">
        <v>100647</v>
      </c>
      <c r="G172" s="12">
        <v>168021</v>
      </c>
      <c r="H172" s="12">
        <v>177437</v>
      </c>
      <c r="I172" s="12">
        <v>69796</v>
      </c>
      <c r="J172" s="12">
        <v>143589</v>
      </c>
      <c r="K172" s="12">
        <v>136512</v>
      </c>
      <c r="L172" s="12">
        <v>83421</v>
      </c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49"/>
      <c r="AH172" s="49"/>
      <c r="AI172" s="20"/>
      <c r="AJ172" s="37"/>
      <c r="AK172" s="194">
        <f>SUM(E172:AI172)</f>
        <v>879423</v>
      </c>
    </row>
    <row r="173" spans="2:102 15068:15460" s="3" customFormat="1" ht="13.8" x14ac:dyDescent="0.25">
      <c r="B173" s="122"/>
      <c r="C173" s="75" t="s">
        <v>105</v>
      </c>
      <c r="D173" s="15"/>
      <c r="E173" s="8" t="s">
        <v>16</v>
      </c>
      <c r="F173" s="10">
        <v>122135.32</v>
      </c>
      <c r="G173" s="10">
        <v>132162.54999999999</v>
      </c>
      <c r="H173" s="10">
        <v>142887.60999999999</v>
      </c>
      <c r="I173" s="10">
        <v>110285.42</v>
      </c>
      <c r="J173" s="10">
        <v>143777.89000000001</v>
      </c>
      <c r="K173" s="10">
        <v>104591.01</v>
      </c>
      <c r="L173" s="10">
        <v>139284.44</v>
      </c>
      <c r="M173" s="10">
        <v>476.41</v>
      </c>
      <c r="N173" s="10"/>
      <c r="O173" s="10">
        <v>9151.1299999999992</v>
      </c>
      <c r="P173" s="10">
        <v>54.14</v>
      </c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50"/>
      <c r="AH173" s="50"/>
      <c r="AI173" s="21"/>
      <c r="AJ173" s="37"/>
      <c r="AK173" s="194">
        <f>SUM(F173:AI173)</f>
        <v>904805.92</v>
      </c>
    </row>
    <row r="174" spans="2:102 15068:15460" s="3" customFormat="1" ht="13.8" x14ac:dyDescent="0.25">
      <c r="B174" s="122"/>
      <c r="C174" s="75" t="s">
        <v>44</v>
      </c>
      <c r="D174" s="15"/>
      <c r="E174" s="8" t="s">
        <v>16</v>
      </c>
      <c r="F174" s="10">
        <f>SUM(F178:F179)*10.82</f>
        <v>122038.78</v>
      </c>
      <c r="G174" s="10">
        <f t="shared" ref="G174:AI174" si="73">SUM(G178:G179)*10.82</f>
        <v>131506.28</v>
      </c>
      <c r="H174" s="10">
        <f t="shared" si="73"/>
        <v>142434.48000000001</v>
      </c>
      <c r="I174" s="10">
        <f t="shared" si="73"/>
        <v>110342.36</v>
      </c>
      <c r="J174" s="10">
        <f t="shared" si="73"/>
        <v>143732.88</v>
      </c>
      <c r="K174" s="10">
        <f t="shared" si="73"/>
        <v>104521.2</v>
      </c>
      <c r="L174" s="10">
        <f t="shared" si="73"/>
        <v>139199.30000000002</v>
      </c>
      <c r="M174" s="10">
        <f t="shared" si="73"/>
        <v>476.08000000000004</v>
      </c>
      <c r="N174" s="10">
        <f t="shared" si="73"/>
        <v>0</v>
      </c>
      <c r="O174" s="10">
        <f t="shared" si="73"/>
        <v>9142.9</v>
      </c>
      <c r="P174" s="10">
        <f t="shared" si="73"/>
        <v>54.1</v>
      </c>
      <c r="Q174" s="10">
        <f t="shared" si="73"/>
        <v>0</v>
      </c>
      <c r="R174" s="10">
        <f t="shared" si="73"/>
        <v>0</v>
      </c>
      <c r="S174" s="10">
        <f t="shared" si="73"/>
        <v>0</v>
      </c>
      <c r="T174" s="10">
        <f t="shared" si="73"/>
        <v>0</v>
      </c>
      <c r="U174" s="10">
        <f t="shared" si="73"/>
        <v>0</v>
      </c>
      <c r="V174" s="10">
        <f t="shared" si="73"/>
        <v>0</v>
      </c>
      <c r="W174" s="10">
        <f t="shared" si="73"/>
        <v>0</v>
      </c>
      <c r="X174" s="10">
        <f t="shared" si="73"/>
        <v>0</v>
      </c>
      <c r="Y174" s="10">
        <f t="shared" si="73"/>
        <v>0</v>
      </c>
      <c r="Z174" s="10">
        <f t="shared" si="73"/>
        <v>0</v>
      </c>
      <c r="AA174" s="10">
        <f t="shared" si="73"/>
        <v>0</v>
      </c>
      <c r="AB174" s="10">
        <f t="shared" si="73"/>
        <v>0</v>
      </c>
      <c r="AC174" s="10">
        <f t="shared" si="73"/>
        <v>0</v>
      </c>
      <c r="AD174" s="10">
        <f t="shared" si="73"/>
        <v>0</v>
      </c>
      <c r="AE174" s="10">
        <f t="shared" si="73"/>
        <v>0</v>
      </c>
      <c r="AF174" s="10">
        <f t="shared" si="73"/>
        <v>0</v>
      </c>
      <c r="AG174" s="10">
        <f t="shared" si="73"/>
        <v>0</v>
      </c>
      <c r="AH174" s="10">
        <f t="shared" si="73"/>
        <v>0</v>
      </c>
      <c r="AI174" s="10">
        <f t="shared" si="73"/>
        <v>0</v>
      </c>
      <c r="AJ174" s="37"/>
      <c r="AK174" s="194">
        <f>SUM(C174:AI174)</f>
        <v>903448.36</v>
      </c>
    </row>
    <row r="175" spans="2:102 15068:15460" s="3" customFormat="1" ht="13.8" x14ac:dyDescent="0.25">
      <c r="B175" s="122"/>
      <c r="C175" s="75" t="s">
        <v>43</v>
      </c>
      <c r="D175" s="15"/>
      <c r="E175" s="8" t="s">
        <v>16</v>
      </c>
      <c r="F175" s="10">
        <f>F173-F174</f>
        <v>96.540000000008149</v>
      </c>
      <c r="G175" s="10">
        <f t="shared" ref="G175:AH175" si="74">G173-G174</f>
        <v>656.26999999998952</v>
      </c>
      <c r="H175" s="10">
        <f>H173-H174</f>
        <v>453.12999999997555</v>
      </c>
      <c r="I175" s="10">
        <f t="shared" si="74"/>
        <v>-56.940000000002328</v>
      </c>
      <c r="J175" s="10">
        <f t="shared" si="74"/>
        <v>45.010000000009313</v>
      </c>
      <c r="K175" s="10">
        <f t="shared" si="74"/>
        <v>69.809999999997672</v>
      </c>
      <c r="L175" s="10">
        <f t="shared" si="74"/>
        <v>85.139999999984866</v>
      </c>
      <c r="M175" s="10">
        <f t="shared" si="74"/>
        <v>0.32999999999998408</v>
      </c>
      <c r="N175" s="10">
        <f t="shared" si="74"/>
        <v>0</v>
      </c>
      <c r="O175" s="10">
        <f t="shared" si="74"/>
        <v>8.2299999999995634</v>
      </c>
      <c r="P175" s="10">
        <f t="shared" si="74"/>
        <v>3.9999999999999147E-2</v>
      </c>
      <c r="Q175" s="10">
        <f t="shared" si="74"/>
        <v>0</v>
      </c>
      <c r="R175" s="10">
        <f t="shared" si="74"/>
        <v>0</v>
      </c>
      <c r="S175" s="10">
        <f t="shared" si="74"/>
        <v>0</v>
      </c>
      <c r="T175" s="10">
        <f t="shared" si="74"/>
        <v>0</v>
      </c>
      <c r="U175" s="10">
        <f t="shared" si="74"/>
        <v>0</v>
      </c>
      <c r="V175" s="10">
        <f t="shared" si="74"/>
        <v>0</v>
      </c>
      <c r="W175" s="10">
        <f t="shared" si="74"/>
        <v>0</v>
      </c>
      <c r="X175" s="10">
        <f t="shared" si="74"/>
        <v>0</v>
      </c>
      <c r="Y175" s="10">
        <f t="shared" si="74"/>
        <v>0</v>
      </c>
      <c r="Z175" s="10">
        <f t="shared" si="74"/>
        <v>0</v>
      </c>
      <c r="AA175" s="10">
        <f t="shared" si="74"/>
        <v>0</v>
      </c>
      <c r="AB175" s="10">
        <f t="shared" si="74"/>
        <v>0</v>
      </c>
      <c r="AC175" s="10">
        <f t="shared" si="74"/>
        <v>0</v>
      </c>
      <c r="AD175" s="10">
        <f t="shared" si="74"/>
        <v>0</v>
      </c>
      <c r="AE175" s="10">
        <f t="shared" si="74"/>
        <v>0</v>
      </c>
      <c r="AF175" s="10">
        <f t="shared" si="74"/>
        <v>0</v>
      </c>
      <c r="AG175" s="10">
        <f t="shared" si="74"/>
        <v>0</v>
      </c>
      <c r="AH175" s="10">
        <f t="shared" si="74"/>
        <v>0</v>
      </c>
      <c r="AI175" s="21">
        <f>AI173-AI174</f>
        <v>0</v>
      </c>
      <c r="AJ175" s="37"/>
      <c r="AK175" s="194">
        <f>SUM(C175:AI175)</f>
        <v>1357.5599999999622</v>
      </c>
    </row>
    <row r="176" spans="2:102 15068:15460" s="3" customFormat="1" x14ac:dyDescent="0.3">
      <c r="B176" s="122"/>
      <c r="C176" s="74" t="s">
        <v>56</v>
      </c>
      <c r="D176" s="15"/>
      <c r="E176" s="5" t="s">
        <v>16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/>
      <c r="AH176" s="10"/>
      <c r="AI176" s="21"/>
      <c r="AJ176" s="37"/>
      <c r="AK176" s="115">
        <f>SUM(C176:AI176)</f>
        <v>0</v>
      </c>
    </row>
    <row r="177" spans="2:37" s="3" customFormat="1" ht="13.8" x14ac:dyDescent="0.25">
      <c r="B177" s="122"/>
      <c r="C177" s="75" t="s">
        <v>33</v>
      </c>
      <c r="D177" s="15"/>
      <c r="E177" s="8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50"/>
      <c r="AH177" s="50"/>
      <c r="AI177" s="21"/>
      <c r="AJ177" s="37"/>
      <c r="AK177" s="115" t="s">
        <v>33</v>
      </c>
    </row>
    <row r="178" spans="2:37" s="3" customFormat="1" ht="13.8" x14ac:dyDescent="0.25">
      <c r="B178" s="122"/>
      <c r="C178" s="75" t="s">
        <v>100</v>
      </c>
      <c r="D178" s="15"/>
      <c r="E178" s="8" t="s">
        <v>36</v>
      </c>
      <c r="F178" s="1">
        <v>11279</v>
      </c>
      <c r="G178" s="1">
        <v>12154</v>
      </c>
      <c r="H178" s="1">
        <v>13164</v>
      </c>
      <c r="I178" s="1">
        <v>10198</v>
      </c>
      <c r="J178" s="1">
        <v>13284</v>
      </c>
      <c r="K178" s="1">
        <v>9660</v>
      </c>
      <c r="L178" s="1">
        <v>12865</v>
      </c>
      <c r="M178" s="1">
        <v>44</v>
      </c>
      <c r="N178" s="1"/>
      <c r="O178" s="1">
        <v>845</v>
      </c>
      <c r="P178" s="1">
        <v>5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51"/>
      <c r="AH178" s="51"/>
      <c r="AI178" s="22"/>
      <c r="AJ178" s="37"/>
      <c r="AK178" s="208">
        <f>SUM(E178:AI178)</f>
        <v>83498</v>
      </c>
    </row>
    <row r="179" spans="2:37" s="3" customFormat="1" ht="13.8" x14ac:dyDescent="0.25">
      <c r="B179" s="122"/>
      <c r="C179" s="75" t="s">
        <v>125</v>
      </c>
      <c r="D179" s="15"/>
      <c r="E179" s="8" t="s">
        <v>36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51"/>
      <c r="AH179" s="51"/>
      <c r="AI179" s="22"/>
      <c r="AJ179" s="37"/>
      <c r="AK179" s="208">
        <f>SUM(E179:AI179)</f>
        <v>0</v>
      </c>
    </row>
    <row r="180" spans="2:37" s="3" customFormat="1" x14ac:dyDescent="0.25">
      <c r="B180" s="122"/>
      <c r="C180" s="77" t="s">
        <v>32</v>
      </c>
      <c r="D180" s="15"/>
      <c r="E180" s="8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50"/>
      <c r="AH180" s="50"/>
      <c r="AI180" s="21"/>
      <c r="AJ180" s="37"/>
      <c r="AK180" s="115" t="s">
        <v>32</v>
      </c>
    </row>
    <row r="181" spans="2:37" s="3" customFormat="1" ht="13.8" x14ac:dyDescent="0.25">
      <c r="B181" s="122"/>
      <c r="C181" s="75" t="s">
        <v>100</v>
      </c>
      <c r="D181" s="15"/>
      <c r="E181" s="8" t="s">
        <v>32</v>
      </c>
      <c r="F181" s="1">
        <f>F178*12</f>
        <v>135348</v>
      </c>
      <c r="G181" s="1">
        <f t="shared" ref="G181:AH181" si="75">G178*12</f>
        <v>145848</v>
      </c>
      <c r="H181" s="1">
        <f t="shared" si="75"/>
        <v>157968</v>
      </c>
      <c r="I181" s="1">
        <f t="shared" si="75"/>
        <v>122376</v>
      </c>
      <c r="J181" s="1">
        <f t="shared" si="75"/>
        <v>159408</v>
      </c>
      <c r="K181" s="1">
        <f t="shared" si="75"/>
        <v>115920</v>
      </c>
      <c r="L181" s="1">
        <f t="shared" si="75"/>
        <v>154380</v>
      </c>
      <c r="M181" s="1">
        <f t="shared" si="75"/>
        <v>528</v>
      </c>
      <c r="N181" s="1">
        <f t="shared" si="75"/>
        <v>0</v>
      </c>
      <c r="O181" s="1">
        <f t="shared" si="75"/>
        <v>10140</v>
      </c>
      <c r="P181" s="1">
        <f t="shared" si="75"/>
        <v>60</v>
      </c>
      <c r="Q181" s="1">
        <f t="shared" si="75"/>
        <v>0</v>
      </c>
      <c r="R181" s="1">
        <f t="shared" si="75"/>
        <v>0</v>
      </c>
      <c r="S181" s="1">
        <f t="shared" si="75"/>
        <v>0</v>
      </c>
      <c r="T181" s="1">
        <f t="shared" si="75"/>
        <v>0</v>
      </c>
      <c r="U181" s="1">
        <f t="shared" si="75"/>
        <v>0</v>
      </c>
      <c r="V181" s="1">
        <f t="shared" si="75"/>
        <v>0</v>
      </c>
      <c r="W181" s="1">
        <f t="shared" si="75"/>
        <v>0</v>
      </c>
      <c r="X181" s="1">
        <f t="shared" si="75"/>
        <v>0</v>
      </c>
      <c r="Y181" s="1">
        <f t="shared" si="75"/>
        <v>0</v>
      </c>
      <c r="Z181" s="1">
        <f t="shared" si="75"/>
        <v>0</v>
      </c>
      <c r="AA181" s="1">
        <f t="shared" si="75"/>
        <v>0</v>
      </c>
      <c r="AB181" s="1">
        <f t="shared" si="75"/>
        <v>0</v>
      </c>
      <c r="AC181" s="1">
        <f t="shared" si="75"/>
        <v>0</v>
      </c>
      <c r="AD181" s="1">
        <f t="shared" si="75"/>
        <v>0</v>
      </c>
      <c r="AE181" s="1">
        <f t="shared" si="75"/>
        <v>0</v>
      </c>
      <c r="AF181" s="1">
        <f t="shared" si="75"/>
        <v>0</v>
      </c>
      <c r="AG181" s="1">
        <f t="shared" si="75"/>
        <v>0</v>
      </c>
      <c r="AH181" s="1">
        <f t="shared" si="75"/>
        <v>0</v>
      </c>
      <c r="AI181" s="22">
        <f>AI178*12</f>
        <v>0</v>
      </c>
      <c r="AJ181" s="38"/>
      <c r="AK181" s="104">
        <f>AK178*24</f>
        <v>2003952</v>
      </c>
    </row>
    <row r="182" spans="2:37" s="3" customFormat="1" ht="13.8" x14ac:dyDescent="0.25">
      <c r="B182" s="122"/>
      <c r="C182" s="75" t="s">
        <v>125</v>
      </c>
      <c r="D182" s="15"/>
      <c r="E182" s="8" t="s">
        <v>32</v>
      </c>
      <c r="F182" s="1">
        <f>F179*6</f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22"/>
      <c r="AJ182" s="38"/>
      <c r="AK182" s="104"/>
    </row>
    <row r="183" spans="2:37" s="3" customFormat="1" ht="13.8" x14ac:dyDescent="0.25">
      <c r="B183" s="122"/>
      <c r="C183" s="75" t="s">
        <v>41</v>
      </c>
      <c r="D183" s="15"/>
      <c r="E183" s="8" t="s">
        <v>40</v>
      </c>
      <c r="F183" s="1">
        <f>F178*45/1700</f>
        <v>298.56176470588235</v>
      </c>
      <c r="G183" s="1">
        <f t="shared" ref="G183:AH183" si="76">G178*45/1700</f>
        <v>321.72352941176473</v>
      </c>
      <c r="H183" s="1">
        <f t="shared" si="76"/>
        <v>348.45882352941175</v>
      </c>
      <c r="I183" s="1">
        <f t="shared" si="76"/>
        <v>269.9470588235294</v>
      </c>
      <c r="J183" s="1">
        <f t="shared" si="76"/>
        <v>351.63529411764705</v>
      </c>
      <c r="K183" s="1">
        <f t="shared" si="76"/>
        <v>255.70588235294119</v>
      </c>
      <c r="L183" s="1">
        <f t="shared" si="76"/>
        <v>340.54411764705884</v>
      </c>
      <c r="M183" s="1">
        <f t="shared" si="76"/>
        <v>1.1647058823529413</v>
      </c>
      <c r="N183" s="1">
        <f t="shared" si="76"/>
        <v>0</v>
      </c>
      <c r="O183" s="1">
        <f t="shared" si="76"/>
        <v>22.367647058823529</v>
      </c>
      <c r="P183" s="1">
        <f t="shared" si="76"/>
        <v>0.13235294117647059</v>
      </c>
      <c r="Q183" s="1">
        <f t="shared" si="76"/>
        <v>0</v>
      </c>
      <c r="R183" s="1">
        <f t="shared" si="76"/>
        <v>0</v>
      </c>
      <c r="S183" s="1">
        <f t="shared" si="76"/>
        <v>0</v>
      </c>
      <c r="T183" s="1">
        <f t="shared" si="76"/>
        <v>0</v>
      </c>
      <c r="U183" s="1">
        <f t="shared" si="76"/>
        <v>0</v>
      </c>
      <c r="V183" s="1">
        <f t="shared" si="76"/>
        <v>0</v>
      </c>
      <c r="W183" s="1">
        <f t="shared" si="76"/>
        <v>0</v>
      </c>
      <c r="X183" s="1">
        <f t="shared" si="76"/>
        <v>0</v>
      </c>
      <c r="Y183" s="1">
        <f t="shared" si="76"/>
        <v>0</v>
      </c>
      <c r="Z183" s="1">
        <f t="shared" si="76"/>
        <v>0</v>
      </c>
      <c r="AA183" s="1">
        <f t="shared" si="76"/>
        <v>0</v>
      </c>
      <c r="AB183" s="1">
        <f t="shared" si="76"/>
        <v>0</v>
      </c>
      <c r="AC183" s="1">
        <f t="shared" si="76"/>
        <v>0</v>
      </c>
      <c r="AD183" s="1">
        <f t="shared" si="76"/>
        <v>0</v>
      </c>
      <c r="AE183" s="1">
        <f t="shared" si="76"/>
        <v>0</v>
      </c>
      <c r="AF183" s="1">
        <f t="shared" si="76"/>
        <v>0</v>
      </c>
      <c r="AG183" s="1">
        <f t="shared" si="76"/>
        <v>0</v>
      </c>
      <c r="AH183" s="1">
        <f t="shared" si="76"/>
        <v>0</v>
      </c>
      <c r="AI183" s="22">
        <f>AI178*45/1700</f>
        <v>0</v>
      </c>
      <c r="AJ183" s="38"/>
      <c r="AK183" s="104">
        <f>SUM(C183:AI183)</f>
        <v>2210.241176470588</v>
      </c>
    </row>
    <row r="184" spans="2:37" s="3" customFormat="1" ht="13.8" x14ac:dyDescent="0.25">
      <c r="B184" s="122"/>
      <c r="C184" s="75" t="s">
        <v>39</v>
      </c>
      <c r="D184" s="15"/>
      <c r="E184" s="8" t="s">
        <v>38</v>
      </c>
      <c r="F184" s="1">
        <f>SUM(F178)/500</f>
        <v>22.558</v>
      </c>
      <c r="G184" s="1">
        <f t="shared" ref="G184:AH184" si="77">SUM(G178)/500</f>
        <v>24.308</v>
      </c>
      <c r="H184" s="1">
        <f t="shared" si="77"/>
        <v>26.327999999999999</v>
      </c>
      <c r="I184" s="1">
        <f t="shared" si="77"/>
        <v>20.396000000000001</v>
      </c>
      <c r="J184" s="1">
        <f t="shared" si="77"/>
        <v>26.568000000000001</v>
      </c>
      <c r="K184" s="1">
        <f t="shared" si="77"/>
        <v>19.32</v>
      </c>
      <c r="L184" s="1">
        <f t="shared" si="77"/>
        <v>25.73</v>
      </c>
      <c r="M184" s="1">
        <f t="shared" si="77"/>
        <v>8.7999999999999995E-2</v>
      </c>
      <c r="N184" s="1">
        <f t="shared" si="77"/>
        <v>0</v>
      </c>
      <c r="O184" s="1">
        <f t="shared" si="77"/>
        <v>1.69</v>
      </c>
      <c r="P184" s="1">
        <f t="shared" si="77"/>
        <v>0.01</v>
      </c>
      <c r="Q184" s="1">
        <f t="shared" si="77"/>
        <v>0</v>
      </c>
      <c r="R184" s="1">
        <f t="shared" si="77"/>
        <v>0</v>
      </c>
      <c r="S184" s="1">
        <f t="shared" si="77"/>
        <v>0</v>
      </c>
      <c r="T184" s="1">
        <f t="shared" si="77"/>
        <v>0</v>
      </c>
      <c r="U184" s="1">
        <f>SUM(U178:U179)/500</f>
        <v>0</v>
      </c>
      <c r="V184" s="1">
        <f>SUM(V178:V179)/500</f>
        <v>0</v>
      </c>
      <c r="W184" s="1">
        <f>SUM(W178:W179)/500</f>
        <v>0</v>
      </c>
      <c r="X184" s="1">
        <f>SUM(X178:X179)/500</f>
        <v>0</v>
      </c>
      <c r="Y184" s="1">
        <f t="shared" si="77"/>
        <v>0</v>
      </c>
      <c r="Z184" s="1">
        <f t="shared" si="77"/>
        <v>0</v>
      </c>
      <c r="AA184" s="1">
        <f t="shared" si="77"/>
        <v>0</v>
      </c>
      <c r="AB184" s="1">
        <f t="shared" si="77"/>
        <v>0</v>
      </c>
      <c r="AC184" s="1">
        <f t="shared" si="77"/>
        <v>0</v>
      </c>
      <c r="AD184" s="1">
        <f t="shared" si="77"/>
        <v>0</v>
      </c>
      <c r="AE184" s="1">
        <f t="shared" si="77"/>
        <v>0</v>
      </c>
      <c r="AF184" s="1">
        <f t="shared" si="77"/>
        <v>0</v>
      </c>
      <c r="AG184" s="1">
        <f t="shared" si="77"/>
        <v>0</v>
      </c>
      <c r="AH184" s="1">
        <f t="shared" si="77"/>
        <v>0</v>
      </c>
      <c r="AI184" s="22">
        <f>SUM(AI178)/500</f>
        <v>0</v>
      </c>
      <c r="AJ184" s="38"/>
      <c r="AK184" s="221">
        <f>SUM(C184:AI184)</f>
        <v>166.99599999999998</v>
      </c>
    </row>
    <row r="185" spans="2:37" s="3" customFormat="1" ht="13.8" x14ac:dyDescent="0.25">
      <c r="B185" s="122"/>
      <c r="C185" s="72" t="s">
        <v>37</v>
      </c>
      <c r="D185" s="211"/>
      <c r="E185" s="16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55"/>
      <c r="AH185" s="55"/>
      <c r="AI185" s="23"/>
      <c r="AJ185" s="41"/>
      <c r="AK185" s="222" t="s">
        <v>34</v>
      </c>
    </row>
    <row r="186" spans="2:37" s="3" customFormat="1" ht="13.8" x14ac:dyDescent="0.25">
      <c r="B186" s="122"/>
      <c r="C186" s="75" t="s">
        <v>33</v>
      </c>
      <c r="D186" s="15"/>
      <c r="E186" s="8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50"/>
      <c r="AH186" s="50"/>
      <c r="AI186" s="21"/>
      <c r="AJ186" s="37"/>
      <c r="AK186" s="115"/>
    </row>
    <row r="187" spans="2:37" s="3" customFormat="1" ht="13.8" x14ac:dyDescent="0.25">
      <c r="B187" s="122"/>
      <c r="C187" s="75" t="s">
        <v>100</v>
      </c>
      <c r="D187" s="15"/>
      <c r="E187" s="8" t="s">
        <v>36</v>
      </c>
      <c r="F187" s="1"/>
      <c r="G187" s="1">
        <v>4</v>
      </c>
      <c r="H187" s="1">
        <v>5</v>
      </c>
      <c r="I187" s="1">
        <v>13</v>
      </c>
      <c r="J187" s="1">
        <v>6</v>
      </c>
      <c r="K187" s="1">
        <v>1</v>
      </c>
      <c r="L187" s="1">
        <v>2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51"/>
      <c r="AH187" s="51"/>
      <c r="AI187" s="22"/>
      <c r="AJ187" s="37"/>
      <c r="AK187" s="208">
        <f>SUM(C187:AI187)</f>
        <v>31</v>
      </c>
    </row>
    <row r="188" spans="2:37" s="3" customFormat="1" ht="13.8" x14ac:dyDescent="0.25">
      <c r="B188" s="122"/>
      <c r="C188" s="75" t="s">
        <v>125</v>
      </c>
      <c r="D188" s="15"/>
      <c r="E188" s="8" t="s">
        <v>36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51"/>
      <c r="AH188" s="51"/>
      <c r="AI188" s="22"/>
      <c r="AJ188" s="37"/>
      <c r="AK188" s="208">
        <f>SUM(C188:AI188)</f>
        <v>0</v>
      </c>
    </row>
    <row r="189" spans="2:37" s="3" customFormat="1" ht="13.8" x14ac:dyDescent="0.25">
      <c r="B189" s="122"/>
      <c r="C189" s="75" t="s">
        <v>32</v>
      </c>
      <c r="D189" s="15"/>
      <c r="E189" s="8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50"/>
      <c r="AH189" s="50"/>
      <c r="AI189" s="21"/>
      <c r="AJ189" s="37"/>
      <c r="AK189" s="115"/>
    </row>
    <row r="190" spans="2:37" s="3" customFormat="1" ht="13.8" x14ac:dyDescent="0.25">
      <c r="B190" s="122"/>
      <c r="C190" s="75" t="s">
        <v>100</v>
      </c>
      <c r="D190" s="15"/>
      <c r="E190" s="8" t="s">
        <v>32</v>
      </c>
      <c r="F190" s="1">
        <f>F187*12</f>
        <v>0</v>
      </c>
      <c r="G190" s="1">
        <f>G187*12</f>
        <v>48</v>
      </c>
      <c r="H190" s="1">
        <f>H187*12</f>
        <v>60</v>
      </c>
      <c r="I190" s="1"/>
      <c r="J190" s="1">
        <f>J187*12</f>
        <v>72</v>
      </c>
      <c r="K190" s="1"/>
      <c r="L190" s="1"/>
      <c r="M190" s="1"/>
      <c r="N190" s="1">
        <f t="shared" ref="N190:AI190" si="78">N187*12</f>
        <v>0</v>
      </c>
      <c r="O190" s="1">
        <f t="shared" si="78"/>
        <v>0</v>
      </c>
      <c r="P190" s="1">
        <f t="shared" si="78"/>
        <v>0</v>
      </c>
      <c r="Q190" s="1">
        <f t="shared" si="78"/>
        <v>0</v>
      </c>
      <c r="R190" s="1">
        <f t="shared" si="78"/>
        <v>0</v>
      </c>
      <c r="S190" s="1">
        <f t="shared" si="78"/>
        <v>0</v>
      </c>
      <c r="T190" s="1">
        <f t="shared" si="78"/>
        <v>0</v>
      </c>
      <c r="U190" s="1">
        <f t="shared" si="78"/>
        <v>0</v>
      </c>
      <c r="V190" s="1">
        <f t="shared" si="78"/>
        <v>0</v>
      </c>
      <c r="W190" s="1">
        <f t="shared" si="78"/>
        <v>0</v>
      </c>
      <c r="X190" s="1">
        <f t="shared" si="78"/>
        <v>0</v>
      </c>
      <c r="Y190" s="1">
        <f t="shared" si="78"/>
        <v>0</v>
      </c>
      <c r="Z190" s="1">
        <f t="shared" si="78"/>
        <v>0</v>
      </c>
      <c r="AA190" s="1">
        <f t="shared" si="78"/>
        <v>0</v>
      </c>
      <c r="AB190" s="1">
        <f t="shared" si="78"/>
        <v>0</v>
      </c>
      <c r="AC190" s="1">
        <f t="shared" si="78"/>
        <v>0</v>
      </c>
      <c r="AD190" s="1">
        <f t="shared" si="78"/>
        <v>0</v>
      </c>
      <c r="AE190" s="1">
        <f t="shared" si="78"/>
        <v>0</v>
      </c>
      <c r="AF190" s="1">
        <f t="shared" si="78"/>
        <v>0</v>
      </c>
      <c r="AG190" s="1">
        <f t="shared" si="78"/>
        <v>0</v>
      </c>
      <c r="AH190" s="1">
        <f t="shared" si="78"/>
        <v>0</v>
      </c>
      <c r="AI190" s="22">
        <f t="shared" si="78"/>
        <v>0</v>
      </c>
      <c r="AJ190" s="37"/>
      <c r="AK190" s="208">
        <f>SUM(C190:AI190)</f>
        <v>180</v>
      </c>
    </row>
    <row r="191" spans="2:37" s="3" customFormat="1" ht="13.8" x14ac:dyDescent="0.25">
      <c r="B191" s="122"/>
      <c r="C191" s="75" t="s">
        <v>125</v>
      </c>
      <c r="D191" s="15"/>
      <c r="E191" s="8" t="s">
        <v>32</v>
      </c>
      <c r="F191" s="1">
        <f>F188*6</f>
        <v>0</v>
      </c>
      <c r="G191" s="1">
        <f t="shared" ref="G191:AI191" si="79">G188*6</f>
        <v>0</v>
      </c>
      <c r="H191" s="1">
        <f t="shared" si="79"/>
        <v>0</v>
      </c>
      <c r="I191" s="1">
        <f t="shared" si="79"/>
        <v>0</v>
      </c>
      <c r="J191" s="1">
        <f t="shared" si="79"/>
        <v>0</v>
      </c>
      <c r="K191" s="1">
        <f t="shared" si="79"/>
        <v>0</v>
      </c>
      <c r="L191" s="1">
        <f t="shared" si="79"/>
        <v>0</v>
      </c>
      <c r="M191" s="1">
        <f t="shared" si="79"/>
        <v>0</v>
      </c>
      <c r="N191" s="1">
        <f t="shared" si="79"/>
        <v>0</v>
      </c>
      <c r="O191" s="1">
        <f t="shared" si="79"/>
        <v>0</v>
      </c>
      <c r="P191" s="1">
        <f t="shared" si="79"/>
        <v>0</v>
      </c>
      <c r="Q191" s="1">
        <f t="shared" si="79"/>
        <v>0</v>
      </c>
      <c r="R191" s="1">
        <f t="shared" si="79"/>
        <v>0</v>
      </c>
      <c r="S191" s="1">
        <f t="shared" si="79"/>
        <v>0</v>
      </c>
      <c r="T191" s="1">
        <f t="shared" si="79"/>
        <v>0</v>
      </c>
      <c r="U191" s="1">
        <f t="shared" si="79"/>
        <v>0</v>
      </c>
      <c r="V191" s="1">
        <f t="shared" si="79"/>
        <v>0</v>
      </c>
      <c r="W191" s="1">
        <f t="shared" si="79"/>
        <v>0</v>
      </c>
      <c r="X191" s="1">
        <f t="shared" si="79"/>
        <v>0</v>
      </c>
      <c r="Y191" s="1">
        <f t="shared" si="79"/>
        <v>0</v>
      </c>
      <c r="Z191" s="1">
        <f t="shared" si="79"/>
        <v>0</v>
      </c>
      <c r="AA191" s="1">
        <f t="shared" si="79"/>
        <v>0</v>
      </c>
      <c r="AB191" s="1">
        <f t="shared" si="79"/>
        <v>0</v>
      </c>
      <c r="AC191" s="1">
        <f t="shared" si="79"/>
        <v>0</v>
      </c>
      <c r="AD191" s="1">
        <f t="shared" si="79"/>
        <v>0</v>
      </c>
      <c r="AE191" s="1">
        <f t="shared" si="79"/>
        <v>0</v>
      </c>
      <c r="AF191" s="1">
        <f t="shared" si="79"/>
        <v>0</v>
      </c>
      <c r="AG191" s="1">
        <f t="shared" si="79"/>
        <v>0</v>
      </c>
      <c r="AH191" s="1">
        <f t="shared" si="79"/>
        <v>0</v>
      </c>
      <c r="AI191" s="22">
        <f t="shared" si="79"/>
        <v>0</v>
      </c>
      <c r="AJ191" s="37"/>
      <c r="AK191" s="208">
        <f>SUM(C191:AI191)</f>
        <v>0</v>
      </c>
    </row>
    <row r="192" spans="2:37" s="3" customFormat="1" ht="13.8" x14ac:dyDescent="0.25">
      <c r="B192" s="122"/>
      <c r="C192" s="72" t="s">
        <v>35</v>
      </c>
      <c r="D192" s="223"/>
      <c r="E192" s="34"/>
      <c r="F192" s="224"/>
      <c r="G192" s="224"/>
      <c r="H192" s="224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  <c r="Z192" s="224"/>
      <c r="AA192" s="224"/>
      <c r="AB192" s="224"/>
      <c r="AC192" s="224"/>
      <c r="AD192" s="224"/>
      <c r="AE192" s="224"/>
      <c r="AF192" s="224"/>
      <c r="AG192" s="225"/>
      <c r="AH192" s="225"/>
      <c r="AI192" s="226"/>
      <c r="AJ192" s="37"/>
      <c r="AK192" s="152" t="s">
        <v>34</v>
      </c>
    </row>
    <row r="193" spans="2:102 15068:15460" s="3" customFormat="1" x14ac:dyDescent="0.3">
      <c r="B193" s="122"/>
      <c r="C193" s="74" t="s">
        <v>33</v>
      </c>
      <c r="D193" s="15"/>
      <c r="E193" s="8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51"/>
      <c r="AH193" s="51"/>
      <c r="AI193" s="22"/>
      <c r="AJ193" s="37"/>
      <c r="AK193" s="208"/>
    </row>
    <row r="194" spans="2:102 15068:15460" s="3" customFormat="1" ht="13.8" x14ac:dyDescent="0.25">
      <c r="B194" s="122"/>
      <c r="C194" s="75" t="s">
        <v>100</v>
      </c>
      <c r="D194" s="15">
        <v>0.3</v>
      </c>
      <c r="E194" s="8" t="s">
        <v>29</v>
      </c>
      <c r="F194" s="1">
        <f t="shared" ref="F194:AI195" si="80">F187/F178*100</f>
        <v>0</v>
      </c>
      <c r="G194" s="1">
        <f t="shared" si="80"/>
        <v>3.2910975810432778E-2</v>
      </c>
      <c r="H194" s="1">
        <f t="shared" si="80"/>
        <v>3.7982376177453661E-2</v>
      </c>
      <c r="I194" s="1">
        <f t="shared" si="80"/>
        <v>0.12747597568150618</v>
      </c>
      <c r="J194" s="1">
        <f t="shared" si="80"/>
        <v>4.5167118337850046E-2</v>
      </c>
      <c r="K194" s="1">
        <f t="shared" si="80"/>
        <v>1.0351966873706004E-2</v>
      </c>
      <c r="L194" s="1">
        <f t="shared" si="80"/>
        <v>1.5546055188495918E-2</v>
      </c>
      <c r="M194" s="1">
        <f t="shared" si="80"/>
        <v>0</v>
      </c>
      <c r="N194" s="1" t="e">
        <f t="shared" si="80"/>
        <v>#DIV/0!</v>
      </c>
      <c r="O194" s="1">
        <f t="shared" si="80"/>
        <v>0</v>
      </c>
      <c r="P194" s="1">
        <f t="shared" si="80"/>
        <v>0</v>
      </c>
      <c r="Q194" s="1" t="e">
        <f t="shared" si="80"/>
        <v>#DIV/0!</v>
      </c>
      <c r="R194" s="1" t="e">
        <f t="shared" si="80"/>
        <v>#DIV/0!</v>
      </c>
      <c r="S194" s="1" t="e">
        <f t="shared" si="80"/>
        <v>#DIV/0!</v>
      </c>
      <c r="T194" s="1" t="e">
        <f t="shared" si="80"/>
        <v>#DIV/0!</v>
      </c>
      <c r="U194" s="1" t="e">
        <f t="shared" si="80"/>
        <v>#DIV/0!</v>
      </c>
      <c r="V194" s="1" t="e">
        <f t="shared" si="80"/>
        <v>#DIV/0!</v>
      </c>
      <c r="W194" s="1" t="e">
        <f t="shared" si="80"/>
        <v>#DIV/0!</v>
      </c>
      <c r="X194" s="1" t="e">
        <f t="shared" si="80"/>
        <v>#DIV/0!</v>
      </c>
      <c r="Y194" s="1" t="e">
        <f t="shared" si="80"/>
        <v>#DIV/0!</v>
      </c>
      <c r="Z194" s="1" t="e">
        <f t="shared" si="80"/>
        <v>#DIV/0!</v>
      </c>
      <c r="AA194" s="1" t="e">
        <f t="shared" si="80"/>
        <v>#DIV/0!</v>
      </c>
      <c r="AB194" s="1" t="e">
        <f t="shared" si="80"/>
        <v>#DIV/0!</v>
      </c>
      <c r="AC194" s="1" t="e">
        <f t="shared" si="80"/>
        <v>#DIV/0!</v>
      </c>
      <c r="AD194" s="1" t="e">
        <f t="shared" si="80"/>
        <v>#DIV/0!</v>
      </c>
      <c r="AE194" s="1" t="e">
        <f t="shared" si="80"/>
        <v>#DIV/0!</v>
      </c>
      <c r="AF194" s="1" t="e">
        <f t="shared" si="80"/>
        <v>#DIV/0!</v>
      </c>
      <c r="AG194" s="1" t="e">
        <f t="shared" si="80"/>
        <v>#DIV/0!</v>
      </c>
      <c r="AH194" s="1" t="e">
        <f t="shared" si="80"/>
        <v>#DIV/0!</v>
      </c>
      <c r="AI194" s="22" t="e">
        <f t="shared" si="80"/>
        <v>#DIV/0!</v>
      </c>
      <c r="AJ194" s="37"/>
      <c r="AK194" s="227">
        <f>AK187/AK178*100</f>
        <v>3.7126637763778773E-2</v>
      </c>
    </row>
    <row r="195" spans="2:102 15068:15460" s="3" customFormat="1" ht="13.8" x14ac:dyDescent="0.25">
      <c r="B195" s="122"/>
      <c r="C195" s="75" t="s">
        <v>125</v>
      </c>
      <c r="D195" s="15">
        <v>0.3</v>
      </c>
      <c r="E195" s="8" t="s">
        <v>29</v>
      </c>
      <c r="F195" s="1" t="e">
        <f t="shared" si="80"/>
        <v>#DIV/0!</v>
      </c>
      <c r="G195" s="1" t="e">
        <f t="shared" si="80"/>
        <v>#DIV/0!</v>
      </c>
      <c r="H195" s="1" t="e">
        <f t="shared" si="80"/>
        <v>#DIV/0!</v>
      </c>
      <c r="I195" s="1" t="e">
        <f t="shared" si="80"/>
        <v>#DIV/0!</v>
      </c>
      <c r="J195" s="1" t="e">
        <f t="shared" si="80"/>
        <v>#DIV/0!</v>
      </c>
      <c r="K195" s="1" t="e">
        <f t="shared" si="80"/>
        <v>#DIV/0!</v>
      </c>
      <c r="L195" s="1" t="e">
        <f t="shared" si="80"/>
        <v>#DIV/0!</v>
      </c>
      <c r="M195" s="1" t="e">
        <f t="shared" si="80"/>
        <v>#DIV/0!</v>
      </c>
      <c r="N195" s="1" t="e">
        <f t="shared" si="80"/>
        <v>#DIV/0!</v>
      </c>
      <c r="O195" s="1" t="e">
        <f t="shared" si="80"/>
        <v>#DIV/0!</v>
      </c>
      <c r="P195" s="1" t="e">
        <f t="shared" si="80"/>
        <v>#DIV/0!</v>
      </c>
      <c r="Q195" s="1" t="e">
        <f t="shared" si="80"/>
        <v>#DIV/0!</v>
      </c>
      <c r="R195" s="1" t="e">
        <f t="shared" si="80"/>
        <v>#DIV/0!</v>
      </c>
      <c r="S195" s="1" t="e">
        <f t="shared" si="80"/>
        <v>#DIV/0!</v>
      </c>
      <c r="T195" s="1" t="e">
        <f t="shared" si="80"/>
        <v>#DIV/0!</v>
      </c>
      <c r="U195" s="1" t="e">
        <f t="shared" si="80"/>
        <v>#DIV/0!</v>
      </c>
      <c r="V195" s="1" t="e">
        <f t="shared" si="80"/>
        <v>#DIV/0!</v>
      </c>
      <c r="W195" s="1" t="e">
        <f t="shared" si="80"/>
        <v>#DIV/0!</v>
      </c>
      <c r="X195" s="1" t="e">
        <f t="shared" si="80"/>
        <v>#DIV/0!</v>
      </c>
      <c r="Y195" s="1" t="e">
        <f t="shared" si="80"/>
        <v>#DIV/0!</v>
      </c>
      <c r="Z195" s="1" t="e">
        <f t="shared" si="80"/>
        <v>#DIV/0!</v>
      </c>
      <c r="AA195" s="1" t="e">
        <f t="shared" si="80"/>
        <v>#DIV/0!</v>
      </c>
      <c r="AB195" s="1" t="e">
        <f t="shared" si="80"/>
        <v>#DIV/0!</v>
      </c>
      <c r="AC195" s="1" t="e">
        <f t="shared" si="80"/>
        <v>#DIV/0!</v>
      </c>
      <c r="AD195" s="1" t="e">
        <f t="shared" si="80"/>
        <v>#DIV/0!</v>
      </c>
      <c r="AE195" s="1" t="e">
        <f t="shared" si="80"/>
        <v>#DIV/0!</v>
      </c>
      <c r="AF195" s="1" t="e">
        <f t="shared" si="80"/>
        <v>#DIV/0!</v>
      </c>
      <c r="AG195" s="1" t="e">
        <f t="shared" si="80"/>
        <v>#DIV/0!</v>
      </c>
      <c r="AH195" s="1" t="e">
        <f t="shared" si="80"/>
        <v>#DIV/0!</v>
      </c>
      <c r="AI195" s="22" t="e">
        <f t="shared" si="80"/>
        <v>#DIV/0!</v>
      </c>
      <c r="AJ195" s="37"/>
      <c r="AK195" s="227" t="e">
        <f>AK188/AK179*100</f>
        <v>#DIV/0!</v>
      </c>
    </row>
    <row r="196" spans="2:102 15068:15460" s="3" customFormat="1" x14ac:dyDescent="0.3">
      <c r="B196" s="122"/>
      <c r="C196" s="74" t="s">
        <v>32</v>
      </c>
      <c r="D196" s="15"/>
      <c r="E196" s="8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51"/>
      <c r="AH196" s="51"/>
      <c r="AI196" s="22"/>
      <c r="AJ196" s="37"/>
      <c r="AK196" s="208"/>
    </row>
    <row r="197" spans="2:102 15068:15460" s="3" customFormat="1" ht="13.8" x14ac:dyDescent="0.25">
      <c r="B197" s="122"/>
      <c r="C197" s="75" t="s">
        <v>100</v>
      </c>
      <c r="D197" s="15">
        <v>0.5</v>
      </c>
      <c r="E197" s="8" t="s">
        <v>29</v>
      </c>
      <c r="F197" s="1">
        <f t="shared" ref="F197:AI198" si="81">F190/F178*100</f>
        <v>0</v>
      </c>
      <c r="G197" s="1">
        <f t="shared" si="81"/>
        <v>0.39493170972519337</v>
      </c>
      <c r="H197" s="1">
        <f t="shared" si="81"/>
        <v>0.45578851412944388</v>
      </c>
      <c r="I197" s="1">
        <f t="shared" si="81"/>
        <v>0</v>
      </c>
      <c r="J197" s="1">
        <f t="shared" si="81"/>
        <v>0.54200542005420049</v>
      </c>
      <c r="K197" s="1">
        <f t="shared" si="81"/>
        <v>0</v>
      </c>
      <c r="L197" s="1">
        <f t="shared" si="81"/>
        <v>0</v>
      </c>
      <c r="M197" s="1">
        <f t="shared" si="81"/>
        <v>0</v>
      </c>
      <c r="N197" s="1" t="e">
        <f t="shared" si="81"/>
        <v>#DIV/0!</v>
      </c>
      <c r="O197" s="1">
        <f t="shared" si="81"/>
        <v>0</v>
      </c>
      <c r="P197" s="1">
        <f t="shared" si="81"/>
        <v>0</v>
      </c>
      <c r="Q197" s="1" t="e">
        <f t="shared" si="81"/>
        <v>#DIV/0!</v>
      </c>
      <c r="R197" s="1" t="e">
        <f t="shared" si="81"/>
        <v>#DIV/0!</v>
      </c>
      <c r="S197" s="1" t="e">
        <f t="shared" si="81"/>
        <v>#DIV/0!</v>
      </c>
      <c r="T197" s="1" t="e">
        <f t="shared" si="81"/>
        <v>#DIV/0!</v>
      </c>
      <c r="U197" s="1" t="e">
        <f t="shared" si="81"/>
        <v>#DIV/0!</v>
      </c>
      <c r="V197" s="1" t="e">
        <f t="shared" si="81"/>
        <v>#DIV/0!</v>
      </c>
      <c r="W197" s="1" t="e">
        <f t="shared" si="81"/>
        <v>#DIV/0!</v>
      </c>
      <c r="X197" s="1" t="e">
        <f t="shared" si="81"/>
        <v>#DIV/0!</v>
      </c>
      <c r="Y197" s="1" t="e">
        <f t="shared" si="81"/>
        <v>#DIV/0!</v>
      </c>
      <c r="Z197" s="1" t="e">
        <f t="shared" si="81"/>
        <v>#DIV/0!</v>
      </c>
      <c r="AA197" s="1" t="e">
        <f t="shared" si="81"/>
        <v>#DIV/0!</v>
      </c>
      <c r="AB197" s="1" t="e">
        <f t="shared" si="81"/>
        <v>#DIV/0!</v>
      </c>
      <c r="AC197" s="1" t="e">
        <f t="shared" si="81"/>
        <v>#DIV/0!</v>
      </c>
      <c r="AD197" s="1" t="e">
        <f t="shared" si="81"/>
        <v>#DIV/0!</v>
      </c>
      <c r="AE197" s="1" t="e">
        <f t="shared" si="81"/>
        <v>#DIV/0!</v>
      </c>
      <c r="AF197" s="1" t="e">
        <f t="shared" si="81"/>
        <v>#DIV/0!</v>
      </c>
      <c r="AG197" s="1" t="e">
        <f t="shared" si="81"/>
        <v>#DIV/0!</v>
      </c>
      <c r="AH197" s="1" t="e">
        <f t="shared" si="81"/>
        <v>#DIV/0!</v>
      </c>
      <c r="AI197" s="22" t="e">
        <f t="shared" si="81"/>
        <v>#DIV/0!</v>
      </c>
      <c r="AJ197" s="37"/>
      <c r="AK197" s="115">
        <f>AK187/AK175*100</f>
        <v>2.2835086478682975</v>
      </c>
    </row>
    <row r="198" spans="2:102 15068:15460" s="3" customFormat="1" ht="13.8" x14ac:dyDescent="0.25">
      <c r="B198" s="122"/>
      <c r="C198" s="75" t="s">
        <v>125</v>
      </c>
      <c r="D198" s="15">
        <v>0.5</v>
      </c>
      <c r="E198" s="8" t="s">
        <v>29</v>
      </c>
      <c r="F198" s="1" t="e">
        <f t="shared" si="81"/>
        <v>#DIV/0!</v>
      </c>
      <c r="G198" s="1" t="e">
        <f t="shared" si="81"/>
        <v>#DIV/0!</v>
      </c>
      <c r="H198" s="1" t="e">
        <f t="shared" si="81"/>
        <v>#DIV/0!</v>
      </c>
      <c r="I198" s="1" t="e">
        <f t="shared" si="81"/>
        <v>#DIV/0!</v>
      </c>
      <c r="J198" s="1" t="e">
        <f t="shared" si="81"/>
        <v>#DIV/0!</v>
      </c>
      <c r="K198" s="1" t="e">
        <f t="shared" si="81"/>
        <v>#DIV/0!</v>
      </c>
      <c r="L198" s="1" t="e">
        <f t="shared" si="81"/>
        <v>#DIV/0!</v>
      </c>
      <c r="M198" s="1" t="e">
        <f t="shared" si="81"/>
        <v>#DIV/0!</v>
      </c>
      <c r="N198" s="1" t="e">
        <f t="shared" si="81"/>
        <v>#DIV/0!</v>
      </c>
      <c r="O198" s="1" t="e">
        <f t="shared" si="81"/>
        <v>#DIV/0!</v>
      </c>
      <c r="P198" s="1" t="e">
        <f t="shared" si="81"/>
        <v>#DIV/0!</v>
      </c>
      <c r="Q198" s="1" t="e">
        <f t="shared" si="81"/>
        <v>#DIV/0!</v>
      </c>
      <c r="R198" s="1" t="e">
        <f t="shared" si="81"/>
        <v>#DIV/0!</v>
      </c>
      <c r="S198" s="1" t="e">
        <f t="shared" si="81"/>
        <v>#DIV/0!</v>
      </c>
      <c r="T198" s="1" t="e">
        <f t="shared" si="81"/>
        <v>#DIV/0!</v>
      </c>
      <c r="U198" s="1" t="e">
        <f t="shared" si="81"/>
        <v>#DIV/0!</v>
      </c>
      <c r="V198" s="1" t="e">
        <f t="shared" si="81"/>
        <v>#DIV/0!</v>
      </c>
      <c r="W198" s="1" t="e">
        <f t="shared" si="81"/>
        <v>#DIV/0!</v>
      </c>
      <c r="X198" s="1" t="e">
        <f t="shared" si="81"/>
        <v>#DIV/0!</v>
      </c>
      <c r="Y198" s="1" t="e">
        <f t="shared" si="81"/>
        <v>#DIV/0!</v>
      </c>
      <c r="Z198" s="1" t="e">
        <f t="shared" si="81"/>
        <v>#DIV/0!</v>
      </c>
      <c r="AA198" s="1" t="e">
        <f t="shared" si="81"/>
        <v>#DIV/0!</v>
      </c>
      <c r="AB198" s="1" t="e">
        <f t="shared" si="81"/>
        <v>#DIV/0!</v>
      </c>
      <c r="AC198" s="1" t="e">
        <f t="shared" si="81"/>
        <v>#DIV/0!</v>
      </c>
      <c r="AD198" s="1" t="e">
        <f t="shared" si="81"/>
        <v>#DIV/0!</v>
      </c>
      <c r="AE198" s="1" t="e">
        <f t="shared" si="81"/>
        <v>#DIV/0!</v>
      </c>
      <c r="AF198" s="1" t="e">
        <f t="shared" si="81"/>
        <v>#DIV/0!</v>
      </c>
      <c r="AG198" s="1" t="e">
        <f t="shared" si="81"/>
        <v>#DIV/0!</v>
      </c>
      <c r="AH198" s="1" t="e">
        <f t="shared" si="81"/>
        <v>#DIV/0!</v>
      </c>
      <c r="AI198" s="22" t="e">
        <f t="shared" si="81"/>
        <v>#DIV/0!</v>
      </c>
      <c r="AJ198" s="37"/>
      <c r="AK198" s="115" t="e">
        <f>AK188/AK176*100</f>
        <v>#DIV/0!</v>
      </c>
    </row>
    <row r="199" spans="2:102 15068:15460" s="3" customFormat="1" ht="13.8" x14ac:dyDescent="0.25">
      <c r="B199" s="122"/>
      <c r="C199" s="78" t="s">
        <v>106</v>
      </c>
      <c r="D199" s="228"/>
      <c r="E199" s="24" t="s">
        <v>16</v>
      </c>
      <c r="F199" s="25">
        <f t="shared" ref="F199:AI199" si="82">F172</f>
        <v>100647</v>
      </c>
      <c r="G199" s="25">
        <f t="shared" si="82"/>
        <v>168021</v>
      </c>
      <c r="H199" s="25">
        <f t="shared" si="82"/>
        <v>177437</v>
      </c>
      <c r="I199" s="25">
        <f t="shared" si="82"/>
        <v>69796</v>
      </c>
      <c r="J199" s="25">
        <f t="shared" si="82"/>
        <v>143589</v>
      </c>
      <c r="K199" s="25">
        <f t="shared" si="82"/>
        <v>136512</v>
      </c>
      <c r="L199" s="25">
        <f t="shared" si="82"/>
        <v>83421</v>
      </c>
      <c r="M199" s="25">
        <f t="shared" si="82"/>
        <v>0</v>
      </c>
      <c r="N199" s="25">
        <f t="shared" si="82"/>
        <v>0</v>
      </c>
      <c r="O199" s="25">
        <f t="shared" si="82"/>
        <v>0</v>
      </c>
      <c r="P199" s="25">
        <f t="shared" si="82"/>
        <v>0</v>
      </c>
      <c r="Q199" s="25">
        <f t="shared" si="82"/>
        <v>0</v>
      </c>
      <c r="R199" s="25">
        <f t="shared" si="82"/>
        <v>0</v>
      </c>
      <c r="S199" s="25">
        <f t="shared" si="82"/>
        <v>0</v>
      </c>
      <c r="T199" s="25">
        <f t="shared" si="82"/>
        <v>0</v>
      </c>
      <c r="U199" s="25">
        <f t="shared" si="82"/>
        <v>0</v>
      </c>
      <c r="V199" s="25">
        <f t="shared" si="82"/>
        <v>0</v>
      </c>
      <c r="W199" s="25">
        <f t="shared" si="82"/>
        <v>0</v>
      </c>
      <c r="X199" s="25">
        <f t="shared" si="82"/>
        <v>0</v>
      </c>
      <c r="Y199" s="25">
        <f t="shared" si="82"/>
        <v>0</v>
      </c>
      <c r="Z199" s="25">
        <f t="shared" si="82"/>
        <v>0</v>
      </c>
      <c r="AA199" s="25">
        <f t="shared" si="82"/>
        <v>0</v>
      </c>
      <c r="AB199" s="25">
        <f t="shared" si="82"/>
        <v>0</v>
      </c>
      <c r="AC199" s="25">
        <f t="shared" si="82"/>
        <v>0</v>
      </c>
      <c r="AD199" s="25">
        <f t="shared" si="82"/>
        <v>0</v>
      </c>
      <c r="AE199" s="25">
        <f t="shared" si="82"/>
        <v>0</v>
      </c>
      <c r="AF199" s="25">
        <f t="shared" si="82"/>
        <v>0</v>
      </c>
      <c r="AG199" s="25">
        <f t="shared" si="82"/>
        <v>0</v>
      </c>
      <c r="AH199" s="25">
        <f t="shared" si="82"/>
        <v>0</v>
      </c>
      <c r="AI199" s="63">
        <f t="shared" si="82"/>
        <v>0</v>
      </c>
      <c r="AJ199" s="43"/>
      <c r="AK199" s="229">
        <f>SUM(E199:AI199)</f>
        <v>879423</v>
      </c>
    </row>
    <row r="200" spans="2:102 15068:15460" s="3" customFormat="1" ht="13.8" x14ac:dyDescent="0.25">
      <c r="B200" s="122"/>
      <c r="C200" s="79" t="s">
        <v>118</v>
      </c>
      <c r="D200" s="230"/>
      <c r="E200" s="26" t="s">
        <v>16</v>
      </c>
      <c r="F200" s="27">
        <f>F117</f>
        <v>59635</v>
      </c>
      <c r="G200" s="27">
        <f t="shared" ref="G200:AI200" si="83">G117</f>
        <v>66718</v>
      </c>
      <c r="H200" s="27">
        <f t="shared" si="83"/>
        <v>35760</v>
      </c>
      <c r="I200" s="27">
        <f t="shared" si="83"/>
        <v>78103</v>
      </c>
      <c r="J200" s="27">
        <f t="shared" si="83"/>
        <v>118690</v>
      </c>
      <c r="K200" s="27">
        <f t="shared" si="83"/>
        <v>49982</v>
      </c>
      <c r="L200" s="27">
        <f t="shared" si="83"/>
        <v>169612</v>
      </c>
      <c r="M200" s="27">
        <f t="shared" si="83"/>
        <v>150930</v>
      </c>
      <c r="N200" s="27">
        <f t="shared" si="83"/>
        <v>82522</v>
      </c>
      <c r="O200" s="27">
        <f t="shared" si="83"/>
        <v>82485</v>
      </c>
      <c r="P200" s="27">
        <f t="shared" si="83"/>
        <v>272479</v>
      </c>
      <c r="Q200" s="27">
        <f t="shared" si="83"/>
        <v>117194</v>
      </c>
      <c r="R200" s="27">
        <f t="shared" si="83"/>
        <v>260454</v>
      </c>
      <c r="S200" s="27">
        <f t="shared" si="83"/>
        <v>207881</v>
      </c>
      <c r="T200" s="27">
        <f t="shared" si="83"/>
        <v>170241</v>
      </c>
      <c r="U200" s="27">
        <f t="shared" si="83"/>
        <v>178060</v>
      </c>
      <c r="V200" s="27">
        <f t="shared" si="83"/>
        <v>168872</v>
      </c>
      <c r="W200" s="27">
        <f t="shared" si="83"/>
        <v>155850</v>
      </c>
      <c r="X200" s="27">
        <f t="shared" si="83"/>
        <v>245177</v>
      </c>
      <c r="Y200" s="27">
        <f t="shared" si="83"/>
        <v>124444</v>
      </c>
      <c r="Z200" s="27">
        <f t="shared" si="83"/>
        <v>58626</v>
      </c>
      <c r="AA200" s="27">
        <f t="shared" si="83"/>
        <v>121121</v>
      </c>
      <c r="AB200" s="27">
        <f t="shared" si="83"/>
        <v>43300</v>
      </c>
      <c r="AC200" s="27">
        <f t="shared" si="83"/>
        <v>0</v>
      </c>
      <c r="AD200" s="27">
        <f t="shared" si="83"/>
        <v>108172</v>
      </c>
      <c r="AE200" s="27">
        <f t="shared" si="83"/>
        <v>61682</v>
      </c>
      <c r="AF200" s="27">
        <f t="shared" si="83"/>
        <v>23351</v>
      </c>
      <c r="AG200" s="27">
        <f t="shared" si="83"/>
        <v>54253</v>
      </c>
      <c r="AH200" s="27">
        <f t="shared" si="83"/>
        <v>28561</v>
      </c>
      <c r="AI200" s="42">
        <f t="shared" si="83"/>
        <v>61671</v>
      </c>
      <c r="AJ200" s="43"/>
      <c r="AK200" s="111">
        <f>SUM(F200:AI200)</f>
        <v>3355826</v>
      </c>
    </row>
    <row r="201" spans="2:102 15068:15460" s="3" customFormat="1" ht="13.8" x14ac:dyDescent="0.25">
      <c r="B201" s="122"/>
      <c r="C201" s="80" t="s">
        <v>101</v>
      </c>
      <c r="D201" s="231"/>
      <c r="E201" s="28" t="s">
        <v>16</v>
      </c>
      <c r="F201" s="29">
        <f t="shared" ref="F201:AI201" si="84">F62</f>
        <v>0</v>
      </c>
      <c r="G201" s="29">
        <f t="shared" si="84"/>
        <v>0</v>
      </c>
      <c r="H201" s="29">
        <f t="shared" si="84"/>
        <v>0</v>
      </c>
      <c r="I201" s="29">
        <f t="shared" si="84"/>
        <v>0</v>
      </c>
      <c r="J201" s="29">
        <f t="shared" si="84"/>
        <v>0</v>
      </c>
      <c r="K201" s="29">
        <f t="shared" si="84"/>
        <v>0</v>
      </c>
      <c r="L201" s="29">
        <f t="shared" si="84"/>
        <v>0</v>
      </c>
      <c r="M201" s="29">
        <f t="shared" si="84"/>
        <v>0</v>
      </c>
      <c r="N201" s="29">
        <f t="shared" si="84"/>
        <v>0</v>
      </c>
      <c r="O201" s="29">
        <f t="shared" si="84"/>
        <v>0</v>
      </c>
      <c r="P201" s="29">
        <f t="shared" si="84"/>
        <v>0</v>
      </c>
      <c r="Q201" s="29">
        <f t="shared" si="84"/>
        <v>201600</v>
      </c>
      <c r="R201" s="29">
        <f t="shared" si="84"/>
        <v>0</v>
      </c>
      <c r="S201" s="29">
        <f t="shared" si="84"/>
        <v>0</v>
      </c>
      <c r="T201" s="29">
        <f t="shared" si="84"/>
        <v>0</v>
      </c>
      <c r="U201" s="29">
        <f t="shared" si="84"/>
        <v>0</v>
      </c>
      <c r="V201" s="29">
        <f t="shared" si="84"/>
        <v>0</v>
      </c>
      <c r="W201" s="29">
        <f t="shared" si="84"/>
        <v>0</v>
      </c>
      <c r="X201" s="29">
        <f t="shared" si="84"/>
        <v>0</v>
      </c>
      <c r="Y201" s="29">
        <f t="shared" si="84"/>
        <v>0</v>
      </c>
      <c r="Z201" s="29">
        <f t="shared" si="84"/>
        <v>0</v>
      </c>
      <c r="AA201" s="29">
        <f t="shared" si="84"/>
        <v>173300</v>
      </c>
      <c r="AB201" s="29">
        <f t="shared" si="84"/>
        <v>0</v>
      </c>
      <c r="AC201" s="29">
        <f t="shared" si="84"/>
        <v>0</v>
      </c>
      <c r="AD201" s="29">
        <f t="shared" si="84"/>
        <v>0</v>
      </c>
      <c r="AE201" s="29">
        <f t="shared" si="84"/>
        <v>205558</v>
      </c>
      <c r="AF201" s="29">
        <f t="shared" si="84"/>
        <v>19026</v>
      </c>
      <c r="AG201" s="29">
        <f t="shared" si="84"/>
        <v>150159</v>
      </c>
      <c r="AH201" s="29">
        <f t="shared" si="84"/>
        <v>223323</v>
      </c>
      <c r="AI201" s="44">
        <f t="shared" si="84"/>
        <v>0</v>
      </c>
      <c r="AJ201" s="43"/>
      <c r="AK201" s="232">
        <f>SUM(E201:AI201)</f>
        <v>972966</v>
      </c>
    </row>
    <row r="202" spans="2:102 15068:15460" s="3" customFormat="1" ht="13.8" x14ac:dyDescent="0.25">
      <c r="B202" s="122"/>
      <c r="C202" s="81" t="s">
        <v>102</v>
      </c>
      <c r="D202" s="233"/>
      <c r="E202" s="30" t="s">
        <v>98</v>
      </c>
      <c r="F202" s="31">
        <f>F199+F200+F201</f>
        <v>160282</v>
      </c>
      <c r="G202" s="31">
        <f t="shared" ref="G202:AH202" si="85">G199+G200+G201</f>
        <v>234739</v>
      </c>
      <c r="H202" s="31">
        <f t="shared" si="85"/>
        <v>213197</v>
      </c>
      <c r="I202" s="31">
        <f t="shared" si="85"/>
        <v>147899</v>
      </c>
      <c r="J202" s="31">
        <f t="shared" si="85"/>
        <v>262279</v>
      </c>
      <c r="K202" s="31">
        <f t="shared" si="85"/>
        <v>186494</v>
      </c>
      <c r="L202" s="31">
        <f t="shared" si="85"/>
        <v>253033</v>
      </c>
      <c r="M202" s="31">
        <f t="shared" si="85"/>
        <v>150930</v>
      </c>
      <c r="N202" s="31">
        <f t="shared" si="85"/>
        <v>82522</v>
      </c>
      <c r="O202" s="31">
        <f t="shared" si="85"/>
        <v>82485</v>
      </c>
      <c r="P202" s="31">
        <f t="shared" si="85"/>
        <v>272479</v>
      </c>
      <c r="Q202" s="31">
        <f t="shared" si="85"/>
        <v>318794</v>
      </c>
      <c r="R202" s="31">
        <f t="shared" si="85"/>
        <v>260454</v>
      </c>
      <c r="S202" s="31">
        <f t="shared" si="85"/>
        <v>207881</v>
      </c>
      <c r="T202" s="31">
        <f t="shared" si="85"/>
        <v>170241</v>
      </c>
      <c r="U202" s="31">
        <f t="shared" si="85"/>
        <v>178060</v>
      </c>
      <c r="V202" s="31">
        <f t="shared" si="85"/>
        <v>168872</v>
      </c>
      <c r="W202" s="31">
        <f t="shared" si="85"/>
        <v>155850</v>
      </c>
      <c r="X202" s="31">
        <f t="shared" si="85"/>
        <v>245177</v>
      </c>
      <c r="Y202" s="31">
        <f t="shared" si="85"/>
        <v>124444</v>
      </c>
      <c r="Z202" s="31">
        <f t="shared" si="85"/>
        <v>58626</v>
      </c>
      <c r="AA202" s="31">
        <f>AA199+AA200+AA201</f>
        <v>294421</v>
      </c>
      <c r="AB202" s="31">
        <f t="shared" si="85"/>
        <v>43300</v>
      </c>
      <c r="AC202" s="31">
        <f t="shared" si="85"/>
        <v>0</v>
      </c>
      <c r="AD202" s="31">
        <f t="shared" si="85"/>
        <v>108172</v>
      </c>
      <c r="AE202" s="31">
        <f t="shared" si="85"/>
        <v>267240</v>
      </c>
      <c r="AF202" s="31">
        <f t="shared" si="85"/>
        <v>42377</v>
      </c>
      <c r="AG202" s="31">
        <f t="shared" si="85"/>
        <v>204412</v>
      </c>
      <c r="AH202" s="31">
        <f t="shared" si="85"/>
        <v>251884</v>
      </c>
      <c r="AI202" s="45">
        <f>AI199+AI200+AI201</f>
        <v>61671</v>
      </c>
      <c r="AJ202" s="43"/>
      <c r="AK202" s="46">
        <f>AK199+AK200+AK201</f>
        <v>5208215</v>
      </c>
    </row>
    <row r="203" spans="2:102 15068:15460" s="3" customFormat="1" ht="13.8" x14ac:dyDescent="0.25">
      <c r="B203" s="122"/>
      <c r="C203" s="82" t="s">
        <v>107</v>
      </c>
      <c r="D203" s="233"/>
      <c r="E203" s="32" t="s">
        <v>16</v>
      </c>
      <c r="F203" s="33">
        <f t="shared" ref="F203:AI203" si="86">SUM(F173+F144+F118+F90+F63)</f>
        <v>194327.51</v>
      </c>
      <c r="G203" s="33">
        <f t="shared" si="86"/>
        <v>212523.44999999998</v>
      </c>
      <c r="H203" s="33">
        <f t="shared" si="86"/>
        <v>219380.36</v>
      </c>
      <c r="I203" s="33">
        <f t="shared" si="86"/>
        <v>229222.68000000002</v>
      </c>
      <c r="J203" s="33">
        <f t="shared" si="86"/>
        <v>297727.16000000003</v>
      </c>
      <c r="K203" s="33">
        <f t="shared" si="86"/>
        <v>176900.24</v>
      </c>
      <c r="L203" s="33">
        <f t="shared" si="86"/>
        <v>215007.39</v>
      </c>
      <c r="M203" s="33">
        <f t="shared" si="86"/>
        <v>168014.73</v>
      </c>
      <c r="N203" s="33">
        <f t="shared" si="86"/>
        <v>158220.70000000001</v>
      </c>
      <c r="O203" s="33">
        <f t="shared" si="86"/>
        <v>69348.91</v>
      </c>
      <c r="P203" s="33">
        <f t="shared" si="86"/>
        <v>228084.46000000002</v>
      </c>
      <c r="Q203" s="33">
        <f t="shared" si="86"/>
        <v>187785.1</v>
      </c>
      <c r="R203" s="33">
        <f t="shared" si="86"/>
        <v>222804.07</v>
      </c>
      <c r="S203" s="33">
        <f t="shared" si="86"/>
        <v>229915.88999999998</v>
      </c>
      <c r="T203" s="33">
        <f t="shared" si="86"/>
        <v>188186.36000000002</v>
      </c>
      <c r="U203" s="33">
        <f t="shared" si="86"/>
        <v>193320.78</v>
      </c>
      <c r="V203" s="33">
        <f t="shared" si="86"/>
        <v>198136.35</v>
      </c>
      <c r="W203" s="33">
        <f t="shared" si="86"/>
        <v>227467.9</v>
      </c>
      <c r="X203" s="33">
        <f t="shared" si="86"/>
        <v>195280.68</v>
      </c>
      <c r="Y203" s="33">
        <f t="shared" si="86"/>
        <v>115559.18000000001</v>
      </c>
      <c r="Z203" s="33">
        <f t="shared" si="86"/>
        <v>122964.87</v>
      </c>
      <c r="AA203" s="33">
        <f t="shared" si="86"/>
        <v>146639.09000000003</v>
      </c>
      <c r="AB203" s="33">
        <f t="shared" si="86"/>
        <v>122671.58</v>
      </c>
      <c r="AC203" s="33">
        <f t="shared" si="86"/>
        <v>10571.31</v>
      </c>
      <c r="AD203" s="33">
        <f>SUM(AD173+AD144+AD118+AD90+AD63)</f>
        <v>164678.86000000002</v>
      </c>
      <c r="AE203" s="33">
        <f t="shared" si="86"/>
        <v>118089.36</v>
      </c>
      <c r="AF203" s="33">
        <f t="shared" si="86"/>
        <v>263518.83</v>
      </c>
      <c r="AG203" s="33">
        <f t="shared" si="86"/>
        <v>0</v>
      </c>
      <c r="AH203" s="33">
        <f t="shared" si="86"/>
        <v>269020.53999999998</v>
      </c>
      <c r="AI203" s="47">
        <f t="shared" si="86"/>
        <v>289656.77999999997</v>
      </c>
      <c r="AJ203" s="48"/>
      <c r="AK203" s="234">
        <f>SUM(F203:AI203)</f>
        <v>5435025.120000001</v>
      </c>
    </row>
    <row r="204" spans="2:102 15068:15460" s="3" customFormat="1" x14ac:dyDescent="0.3">
      <c r="B204" s="70">
        <v>8</v>
      </c>
      <c r="C204" s="149" t="s">
        <v>28</v>
      </c>
      <c r="D204" s="88"/>
      <c r="E204" s="151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53"/>
      <c r="AH204" s="53"/>
      <c r="AI204" s="61"/>
      <c r="AK204" s="160" t="s">
        <v>27</v>
      </c>
      <c r="CX204" s="17"/>
      <c r="VGN204" s="300"/>
      <c r="VGO204" s="300"/>
      <c r="VGP204" s="300"/>
      <c r="VGQ204" s="300"/>
      <c r="VGR204" s="300"/>
      <c r="VGS204" s="300"/>
      <c r="VGT204" s="300"/>
      <c r="VGU204" s="300"/>
      <c r="VGV204" s="300"/>
      <c r="VGW204" s="300"/>
      <c r="VGX204" s="300"/>
      <c r="VGY204" s="300"/>
      <c r="VGZ204" s="300"/>
      <c r="VHA204" s="300"/>
      <c r="VHB204" s="300"/>
      <c r="VHC204" s="300"/>
      <c r="VHD204" s="300"/>
      <c r="VHE204" s="300"/>
      <c r="VHF204" s="300"/>
      <c r="VHG204" s="300"/>
      <c r="VHH204" s="300"/>
      <c r="VHI204" s="300"/>
      <c r="VHJ204" s="300"/>
      <c r="VHK204" s="300"/>
      <c r="VHL204" s="300"/>
      <c r="VHM204" s="300"/>
      <c r="VHN204" s="300"/>
      <c r="VHO204" s="300"/>
      <c r="VHP204" s="300"/>
      <c r="VHQ204" s="300"/>
      <c r="VHR204" s="300"/>
      <c r="VHS204" s="300"/>
      <c r="VHT204" s="300"/>
      <c r="VHU204" s="300"/>
      <c r="VHV204" s="300"/>
      <c r="VHW204" s="300"/>
      <c r="VHX204" s="300"/>
      <c r="VHY204" s="300"/>
      <c r="VHZ204" s="300"/>
      <c r="VIA204" s="300"/>
      <c r="VIB204" s="300"/>
      <c r="VIC204" s="300"/>
      <c r="VID204" s="300"/>
      <c r="VIE204" s="300"/>
      <c r="VIF204" s="300"/>
      <c r="VIG204" s="300"/>
      <c r="VIH204" s="300"/>
      <c r="VII204" s="300"/>
      <c r="VIJ204" s="300"/>
      <c r="VIK204" s="300"/>
      <c r="VIL204" s="300"/>
      <c r="VIM204" s="300"/>
      <c r="VIN204" s="300"/>
      <c r="VIO204" s="300"/>
      <c r="VIP204" s="300"/>
      <c r="VIQ204" s="300"/>
      <c r="VIR204" s="300"/>
      <c r="VIS204" s="300"/>
      <c r="VIT204" s="300"/>
      <c r="VIU204" s="300"/>
      <c r="VIV204" s="300"/>
      <c r="VIW204" s="300"/>
      <c r="VIX204" s="300"/>
      <c r="VIY204" s="300"/>
      <c r="VIZ204" s="300"/>
      <c r="VJA204" s="300"/>
      <c r="VJB204" s="300"/>
      <c r="VJC204" s="300"/>
      <c r="VJD204" s="300"/>
      <c r="VJE204" s="300"/>
      <c r="VJF204" s="300"/>
      <c r="VJG204" s="300"/>
      <c r="VJH204" s="300"/>
      <c r="VJI204" s="300"/>
      <c r="VJJ204" s="300"/>
      <c r="VJK204" s="300"/>
      <c r="VJL204" s="300"/>
      <c r="VJM204" s="300"/>
      <c r="VJN204" s="300"/>
      <c r="VJO204" s="300"/>
      <c r="VJP204" s="300"/>
      <c r="VJQ204" s="300"/>
      <c r="VJR204" s="300"/>
      <c r="VJS204" s="300"/>
      <c r="VJT204" s="300"/>
      <c r="VJU204" s="300"/>
      <c r="VJV204" s="300"/>
      <c r="VJW204" s="300"/>
      <c r="VJX204" s="300"/>
      <c r="VJY204" s="300"/>
      <c r="VJZ204" s="300"/>
      <c r="VKA204" s="300"/>
      <c r="VKB204" s="300"/>
      <c r="VKC204" s="300"/>
      <c r="VKD204" s="300"/>
      <c r="VKE204" s="300"/>
      <c r="VKF204" s="300"/>
      <c r="VKG204" s="300"/>
      <c r="VKH204" s="300"/>
      <c r="VKI204" s="300"/>
      <c r="VKJ204" s="300"/>
      <c r="VKK204" s="300"/>
      <c r="VKL204" s="300"/>
      <c r="VKM204" s="300"/>
      <c r="VKN204" s="300"/>
      <c r="VKO204" s="300"/>
      <c r="VKP204" s="300"/>
      <c r="VKQ204" s="300"/>
      <c r="VKR204" s="300"/>
      <c r="VKS204" s="300"/>
      <c r="VKT204" s="300"/>
      <c r="VKU204" s="300"/>
      <c r="VKV204" s="300"/>
      <c r="VKW204" s="300"/>
      <c r="VKX204" s="300"/>
      <c r="VKY204" s="300"/>
      <c r="VKZ204" s="300"/>
      <c r="VLA204" s="300"/>
      <c r="VLB204" s="300"/>
      <c r="VLC204" s="300"/>
      <c r="VLD204" s="300"/>
      <c r="VLE204" s="300"/>
      <c r="VLF204" s="300"/>
      <c r="VLG204" s="300"/>
      <c r="VLH204" s="300"/>
      <c r="VLI204" s="300"/>
      <c r="VLJ204" s="300"/>
      <c r="VLK204" s="300"/>
      <c r="VLL204" s="300"/>
      <c r="VLM204" s="300"/>
      <c r="VLN204" s="300"/>
      <c r="VLO204" s="300"/>
      <c r="VLP204" s="300"/>
      <c r="VLQ204" s="300"/>
      <c r="VLR204" s="300"/>
      <c r="VLS204" s="300"/>
      <c r="VLT204" s="300"/>
      <c r="VLU204" s="300"/>
      <c r="VLV204" s="300"/>
      <c r="VLW204" s="300"/>
      <c r="VLX204" s="300"/>
      <c r="VLY204" s="300"/>
      <c r="VLZ204" s="300"/>
      <c r="VMA204" s="300"/>
      <c r="VMB204" s="300"/>
      <c r="VMC204" s="300"/>
      <c r="VMD204" s="300"/>
      <c r="VME204" s="300"/>
      <c r="VMF204" s="300"/>
      <c r="VMG204" s="300"/>
      <c r="VMH204" s="300"/>
      <c r="VMI204" s="300"/>
      <c r="VMJ204" s="300"/>
      <c r="VMK204" s="300"/>
      <c r="VML204" s="300"/>
      <c r="VMM204" s="300"/>
      <c r="VMN204" s="300"/>
      <c r="VMO204" s="300"/>
      <c r="VMP204" s="300"/>
      <c r="VMQ204" s="300"/>
      <c r="VMR204" s="300"/>
      <c r="VMS204" s="300"/>
      <c r="VMT204" s="300"/>
      <c r="VMU204" s="300"/>
      <c r="VMV204" s="300"/>
      <c r="VMW204" s="300"/>
      <c r="VMX204" s="300"/>
      <c r="VMY204" s="300"/>
      <c r="VMZ204" s="300"/>
      <c r="VNA204" s="300"/>
      <c r="VNB204" s="300"/>
      <c r="VNC204" s="300"/>
      <c r="VND204" s="300"/>
      <c r="VNE204" s="300"/>
      <c r="VNF204" s="300"/>
      <c r="VNG204" s="300"/>
      <c r="VNH204" s="300"/>
      <c r="VNI204" s="300"/>
      <c r="VNJ204" s="300"/>
      <c r="VNK204" s="300"/>
      <c r="VNL204" s="300"/>
      <c r="VNM204" s="300"/>
      <c r="VNN204" s="300"/>
      <c r="VNO204" s="300"/>
      <c r="VNP204" s="300"/>
      <c r="VNQ204" s="300"/>
      <c r="VNR204" s="300"/>
      <c r="VNS204" s="300"/>
      <c r="VNT204" s="300"/>
      <c r="VNU204" s="300"/>
      <c r="VNV204" s="300"/>
      <c r="VNW204" s="300"/>
      <c r="VNX204" s="300"/>
      <c r="VNY204" s="300"/>
      <c r="VNZ204" s="300"/>
      <c r="VOA204" s="300"/>
      <c r="VOB204" s="300"/>
      <c r="VOC204" s="300"/>
      <c r="VOD204" s="300"/>
      <c r="VOE204" s="300"/>
      <c r="VOF204" s="300"/>
      <c r="VOG204" s="300"/>
      <c r="VOH204" s="300"/>
      <c r="VOI204" s="300"/>
      <c r="VOJ204" s="300"/>
      <c r="VOK204" s="300"/>
      <c r="VOL204" s="300"/>
      <c r="VOM204" s="300"/>
      <c r="VON204" s="300"/>
      <c r="VOO204" s="300"/>
      <c r="VOP204" s="300"/>
      <c r="VOQ204" s="300"/>
      <c r="VOR204" s="300"/>
      <c r="VOS204" s="300"/>
      <c r="VOT204" s="300"/>
      <c r="VOU204" s="300"/>
      <c r="VOV204" s="300"/>
      <c r="VOW204" s="300"/>
      <c r="VOX204" s="300"/>
      <c r="VOY204" s="300"/>
      <c r="VOZ204" s="300"/>
      <c r="VPA204" s="300"/>
      <c r="VPB204" s="300"/>
      <c r="VPC204" s="300"/>
      <c r="VPD204" s="300"/>
      <c r="VPE204" s="300"/>
      <c r="VPF204" s="300"/>
      <c r="VPG204" s="300"/>
      <c r="VPH204" s="300"/>
      <c r="VPI204" s="300"/>
      <c r="VPJ204" s="300"/>
      <c r="VPK204" s="300"/>
      <c r="VPL204" s="300"/>
      <c r="VPM204" s="300"/>
      <c r="VPN204" s="300"/>
      <c r="VPO204" s="300"/>
      <c r="VPP204" s="300"/>
      <c r="VPQ204" s="300"/>
      <c r="VPR204" s="300"/>
      <c r="VPS204" s="300"/>
      <c r="VPT204" s="300"/>
      <c r="VPU204" s="300"/>
      <c r="VPV204" s="300"/>
      <c r="VPW204" s="300"/>
      <c r="VPX204" s="300"/>
      <c r="VPY204" s="300"/>
      <c r="VPZ204" s="300"/>
      <c r="VQA204" s="300"/>
      <c r="VQB204" s="300"/>
      <c r="VQC204" s="300"/>
      <c r="VQD204" s="300"/>
      <c r="VQE204" s="300"/>
      <c r="VQF204" s="300"/>
      <c r="VQG204" s="300"/>
      <c r="VQH204" s="300"/>
      <c r="VQI204" s="300"/>
      <c r="VQJ204" s="300"/>
      <c r="VQK204" s="300"/>
      <c r="VQL204" s="300"/>
      <c r="VQM204" s="300"/>
      <c r="VQN204" s="300"/>
      <c r="VQO204" s="300"/>
      <c r="VQP204" s="300"/>
      <c r="VQQ204" s="300"/>
      <c r="VQR204" s="300"/>
      <c r="VQS204" s="300"/>
      <c r="VQT204" s="300"/>
      <c r="VQU204" s="300"/>
      <c r="VQV204" s="300"/>
      <c r="VQW204" s="300"/>
      <c r="VQX204" s="300"/>
      <c r="VQY204" s="300"/>
      <c r="VQZ204" s="300"/>
      <c r="VRA204" s="300"/>
      <c r="VRB204" s="300"/>
      <c r="VRC204" s="300"/>
      <c r="VRD204" s="300"/>
      <c r="VRE204" s="300"/>
      <c r="VRF204" s="300"/>
      <c r="VRG204" s="300"/>
      <c r="VRH204" s="300"/>
      <c r="VRI204" s="300"/>
      <c r="VRJ204" s="300"/>
      <c r="VRK204" s="300"/>
      <c r="VRL204" s="300"/>
      <c r="VRM204" s="300"/>
      <c r="VRN204" s="300"/>
      <c r="VRO204" s="300"/>
      <c r="VRP204" s="300"/>
      <c r="VRQ204" s="300"/>
      <c r="VRR204" s="300"/>
      <c r="VRS204" s="300"/>
      <c r="VRT204" s="300"/>
      <c r="VRU204" s="300"/>
      <c r="VRV204" s="300"/>
      <c r="VRW204" s="300"/>
      <c r="VRX204" s="300"/>
      <c r="VRY204" s="300"/>
      <c r="VRZ204" s="300"/>
      <c r="VSA204" s="300"/>
      <c r="VSB204" s="300"/>
      <c r="VSC204" s="300"/>
      <c r="VSD204" s="300"/>
      <c r="VSE204" s="300"/>
      <c r="VSF204" s="300"/>
      <c r="VSG204" s="300"/>
      <c r="VSH204" s="300"/>
      <c r="VSI204" s="300"/>
      <c r="VSJ204" s="300"/>
      <c r="VSK204" s="300"/>
      <c r="VSL204" s="300"/>
      <c r="VSM204" s="300"/>
      <c r="VSN204" s="300"/>
      <c r="VSO204" s="300"/>
      <c r="VSP204" s="300"/>
      <c r="VSQ204" s="300"/>
      <c r="VSR204" s="300"/>
      <c r="VSS204" s="300"/>
      <c r="VST204" s="300"/>
      <c r="VSU204" s="300"/>
      <c r="VSV204" s="300"/>
      <c r="VSW204" s="300"/>
      <c r="VSX204" s="300"/>
      <c r="VSY204" s="300"/>
      <c r="VSZ204" s="300"/>
      <c r="VTA204" s="300"/>
      <c r="VTB204" s="300"/>
      <c r="VTC204" s="300"/>
      <c r="VTD204" s="300"/>
      <c r="VTE204" s="300"/>
      <c r="VTF204" s="300"/>
      <c r="VTG204" s="300"/>
      <c r="VTH204" s="300"/>
      <c r="VTI204" s="300"/>
      <c r="VTJ204" s="300"/>
      <c r="VTK204" s="300"/>
      <c r="VTL204" s="300"/>
      <c r="VTM204" s="300"/>
      <c r="VTN204" s="300"/>
      <c r="VTO204" s="300"/>
      <c r="VTP204" s="300"/>
      <c r="VTQ204" s="300"/>
      <c r="VTR204" s="300"/>
      <c r="VTS204" s="300"/>
      <c r="VTT204" s="300"/>
      <c r="VTU204" s="300"/>
      <c r="VTV204" s="300"/>
      <c r="VTW204" s="300"/>
      <c r="VTX204" s="300"/>
      <c r="VTY204" s="300"/>
      <c r="VTZ204" s="300"/>
      <c r="VUA204" s="300"/>
      <c r="VUB204" s="300"/>
      <c r="VUC204" s="300"/>
      <c r="VUD204" s="300"/>
      <c r="VUE204" s="300"/>
      <c r="VUF204" s="300"/>
      <c r="VUG204" s="300"/>
      <c r="VUH204" s="300"/>
      <c r="VUI204" s="300"/>
      <c r="VUJ204" s="300"/>
      <c r="VUK204" s="300"/>
      <c r="VUL204" s="300"/>
      <c r="VUM204" s="300"/>
      <c r="VUN204" s="300"/>
      <c r="VUO204" s="300"/>
      <c r="VUP204" s="300"/>
      <c r="VUQ204" s="300"/>
      <c r="VUR204" s="300"/>
      <c r="VUS204" s="300"/>
      <c r="VUT204" s="300"/>
      <c r="VUU204" s="300"/>
      <c r="VUV204" s="300"/>
      <c r="VUW204" s="300"/>
      <c r="VUX204" s="300"/>
      <c r="VUY204" s="300"/>
      <c r="VUZ204" s="300"/>
      <c r="VVA204" s="300"/>
      <c r="VVB204" s="300"/>
      <c r="VVC204" s="300"/>
      <c r="VVD204" s="300"/>
      <c r="VVE204" s="300"/>
      <c r="VVF204" s="300"/>
      <c r="VVG204" s="300"/>
      <c r="VVH204" s="300"/>
      <c r="VVI204" s="300"/>
      <c r="VVJ204" s="300"/>
      <c r="VVK204" s="300"/>
      <c r="VVL204" s="300"/>
      <c r="VVM204" s="300"/>
      <c r="VVN204" s="300"/>
      <c r="VVO204" s="300"/>
      <c r="VVP204" s="300"/>
    </row>
    <row r="205" spans="2:102 15068:15460" s="3" customFormat="1" ht="13.8" x14ac:dyDescent="0.25">
      <c r="B205" s="70"/>
      <c r="C205" s="71" t="s">
        <v>26</v>
      </c>
      <c r="D205" s="118"/>
      <c r="E205" s="8" t="s">
        <v>22</v>
      </c>
      <c r="F205" s="287">
        <v>1499.9706000000001</v>
      </c>
      <c r="G205" s="321">
        <v>1568.5458000000001</v>
      </c>
      <c r="H205" s="321">
        <v>1563.0392999999999</v>
      </c>
      <c r="I205" s="2">
        <v>1416.9646</v>
      </c>
      <c r="J205" s="2">
        <v>1287.8698999999999</v>
      </c>
      <c r="K205" s="2">
        <v>1328.5344</v>
      </c>
      <c r="L205" s="2">
        <v>1393.1116999999999</v>
      </c>
      <c r="M205" s="2">
        <v>1380.3205</v>
      </c>
      <c r="N205" s="2">
        <v>1376.1315999999999</v>
      </c>
      <c r="O205" s="2">
        <v>1282.1837</v>
      </c>
      <c r="P205" s="2">
        <v>1197.2872</v>
      </c>
      <c r="Q205" s="2">
        <v>1334.7559000000001</v>
      </c>
      <c r="R205" s="2">
        <v>1342.2913000000001</v>
      </c>
      <c r="S205" s="2">
        <v>1330.5708</v>
      </c>
      <c r="T205" s="2">
        <v>1289.2765999999999</v>
      </c>
      <c r="U205" s="2">
        <v>1356.913</v>
      </c>
      <c r="V205" s="2">
        <v>1355.6913999999999</v>
      </c>
      <c r="W205" s="2">
        <v>1459.6636000000001</v>
      </c>
      <c r="X205" s="287">
        <v>1529.7143000000001</v>
      </c>
      <c r="Y205" s="2">
        <v>1457.3036999999999</v>
      </c>
      <c r="Z205" s="2">
        <v>1443.7673</v>
      </c>
      <c r="AA205" s="2">
        <v>1267.1624999999999</v>
      </c>
      <c r="AB205" s="2">
        <v>1266.0945999999999</v>
      </c>
      <c r="AC205" s="2">
        <v>1346.6075000000001</v>
      </c>
      <c r="AD205" s="2">
        <v>1395.9041999999999</v>
      </c>
      <c r="AE205" s="2">
        <v>1187.7080000000001</v>
      </c>
      <c r="AF205" s="2">
        <v>1205.0159000000001</v>
      </c>
      <c r="AG205" s="56">
        <v>1204.1676</v>
      </c>
      <c r="AH205" s="56">
        <v>1335.2238</v>
      </c>
      <c r="AI205" s="64">
        <v>1335.2238</v>
      </c>
      <c r="AK205" s="235">
        <f>SUM(F205:AI205)</f>
        <v>40737.015099999997</v>
      </c>
      <c r="CX205" s="306"/>
    </row>
    <row r="206" spans="2:102 15068:15460" s="120" customFormat="1" ht="13.8" x14ac:dyDescent="0.25">
      <c r="B206" s="132"/>
      <c r="C206" s="153" t="s">
        <v>25</v>
      </c>
      <c r="D206" s="236">
        <f>D210</f>
        <v>1460.001</v>
      </c>
      <c r="E206" s="134" t="s">
        <v>22</v>
      </c>
      <c r="F206" s="287">
        <v>1533.7299</v>
      </c>
      <c r="G206" s="68">
        <v>1459.9801</v>
      </c>
      <c r="H206" s="68">
        <v>1455.3163999999999</v>
      </c>
      <c r="I206" s="2">
        <v>1247.7655999999999</v>
      </c>
      <c r="J206" s="68">
        <v>1279.1303</v>
      </c>
      <c r="K206" s="69">
        <v>1347.4766999999999</v>
      </c>
      <c r="L206" s="69">
        <v>1342.6481000000001</v>
      </c>
      <c r="M206" s="2">
        <v>1348.8297</v>
      </c>
      <c r="N206" s="2">
        <v>1256.2234000000001</v>
      </c>
      <c r="O206" s="2">
        <v>1159.4884999999999</v>
      </c>
      <c r="P206" s="2">
        <v>1288.7454</v>
      </c>
      <c r="Q206" s="2">
        <v>1318.3661</v>
      </c>
      <c r="R206" s="2">
        <v>1297.4960000000001</v>
      </c>
      <c r="S206" s="2">
        <v>1240.4944</v>
      </c>
      <c r="T206" s="2">
        <v>1280.6938</v>
      </c>
      <c r="U206" s="2">
        <v>1317.2367999999999</v>
      </c>
      <c r="V206" s="2">
        <v>1363.3030000000001</v>
      </c>
      <c r="W206" s="2">
        <v>1361.8431</v>
      </c>
      <c r="X206" s="2">
        <v>1459.7103999999999</v>
      </c>
      <c r="Y206" s="287">
        <v>1517.5795000000001</v>
      </c>
      <c r="Z206" s="2">
        <v>1374.2080000000001</v>
      </c>
      <c r="AA206" s="2">
        <v>1362.9286999999999</v>
      </c>
      <c r="AB206" s="2">
        <v>1351.2552000000001</v>
      </c>
      <c r="AC206" s="2">
        <v>1384.1563000000001</v>
      </c>
      <c r="AD206" s="2">
        <v>1329.4992</v>
      </c>
      <c r="AE206" s="2">
        <v>1327.1980000000001</v>
      </c>
      <c r="AF206" s="2">
        <v>1187.9437</v>
      </c>
      <c r="AG206" s="56">
        <v>1339.3975</v>
      </c>
      <c r="AH206" s="56">
        <v>1287.1217999999999</v>
      </c>
      <c r="AI206" s="64">
        <v>1244.2488000000001</v>
      </c>
      <c r="AK206" s="237">
        <f>SUM(F206:AI206)</f>
        <v>40064.0144</v>
      </c>
      <c r="CX206" s="307"/>
    </row>
    <row r="207" spans="2:102 15068:15460" s="3" customFormat="1" x14ac:dyDescent="0.3">
      <c r="B207" s="122"/>
      <c r="C207" s="73" t="s">
        <v>12</v>
      </c>
      <c r="D207" s="118"/>
      <c r="E207" s="5"/>
      <c r="F207" s="2"/>
      <c r="G207" s="68"/>
      <c r="H207" s="68"/>
      <c r="I207" s="1"/>
      <c r="J207" s="68"/>
      <c r="K207" s="69"/>
      <c r="L207" s="69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0"/>
      <c r="AD207" s="10"/>
      <c r="AE207" s="10"/>
      <c r="AF207" s="10"/>
      <c r="AG207" s="50"/>
      <c r="AH207" s="50"/>
      <c r="AI207" s="21"/>
      <c r="AK207" s="238" t="s">
        <v>12</v>
      </c>
      <c r="CX207" s="17"/>
      <c r="VGN207" s="300"/>
      <c r="VGO207" s="300"/>
      <c r="VGP207" s="300"/>
      <c r="VGQ207" s="300"/>
      <c r="VGR207" s="300"/>
      <c r="VGS207" s="300"/>
      <c r="VGT207" s="300"/>
      <c r="VGU207" s="300"/>
      <c r="VGV207" s="300"/>
      <c r="VGW207" s="300"/>
      <c r="VGX207" s="300"/>
      <c r="VGY207" s="300"/>
      <c r="VGZ207" s="300"/>
      <c r="VHA207" s="300"/>
      <c r="VHB207" s="300"/>
      <c r="VHC207" s="300"/>
      <c r="VHD207" s="300"/>
      <c r="VHE207" s="300"/>
      <c r="VHF207" s="300"/>
      <c r="VHG207" s="300"/>
      <c r="VHH207" s="300"/>
      <c r="VHI207" s="300"/>
      <c r="VHJ207" s="300"/>
      <c r="VHK207" s="300"/>
      <c r="VHL207" s="300"/>
      <c r="VHM207" s="300"/>
      <c r="VHN207" s="300"/>
      <c r="VHO207" s="300"/>
      <c r="VHP207" s="300"/>
      <c r="VHQ207" s="300"/>
      <c r="VHR207" s="300"/>
      <c r="VHS207" s="300"/>
      <c r="VHT207" s="300"/>
      <c r="VHU207" s="300"/>
      <c r="VHV207" s="300"/>
      <c r="VHW207" s="300"/>
      <c r="VHX207" s="300"/>
      <c r="VHY207" s="300"/>
      <c r="VHZ207" s="300"/>
      <c r="VIA207" s="300"/>
      <c r="VIB207" s="300"/>
      <c r="VIC207" s="300"/>
      <c r="VID207" s="300"/>
      <c r="VIE207" s="300"/>
      <c r="VIF207" s="300"/>
      <c r="VIG207" s="300"/>
      <c r="VIH207" s="300"/>
      <c r="VII207" s="300"/>
      <c r="VIJ207" s="300"/>
      <c r="VIK207" s="300"/>
      <c r="VIL207" s="300"/>
      <c r="VIM207" s="300"/>
      <c r="VIN207" s="300"/>
      <c r="VIO207" s="300"/>
      <c r="VIP207" s="300"/>
      <c r="VIQ207" s="300"/>
      <c r="VIR207" s="300"/>
      <c r="VIS207" s="300"/>
      <c r="VIT207" s="300"/>
      <c r="VIU207" s="300"/>
      <c r="VIV207" s="300"/>
      <c r="VIW207" s="300"/>
      <c r="VIX207" s="300"/>
      <c r="VIY207" s="300"/>
      <c r="VIZ207" s="300"/>
      <c r="VJA207" s="300"/>
      <c r="VJB207" s="300"/>
      <c r="VJC207" s="300"/>
      <c r="VJD207" s="300"/>
      <c r="VJE207" s="300"/>
      <c r="VJF207" s="300"/>
      <c r="VJG207" s="300"/>
      <c r="VJH207" s="300"/>
      <c r="VJI207" s="300"/>
      <c r="VJJ207" s="300"/>
      <c r="VJK207" s="300"/>
      <c r="VJL207" s="300"/>
      <c r="VJM207" s="300"/>
      <c r="VJN207" s="300"/>
      <c r="VJO207" s="300"/>
      <c r="VJP207" s="300"/>
      <c r="VJQ207" s="300"/>
      <c r="VJR207" s="300"/>
      <c r="VJS207" s="300"/>
      <c r="VJT207" s="300"/>
      <c r="VJU207" s="300"/>
      <c r="VJV207" s="300"/>
      <c r="VJW207" s="300"/>
      <c r="VJX207" s="300"/>
      <c r="VJY207" s="300"/>
      <c r="VJZ207" s="300"/>
      <c r="VKA207" s="300"/>
      <c r="VKB207" s="300"/>
      <c r="VKC207" s="300"/>
      <c r="VKD207" s="300"/>
      <c r="VKE207" s="300"/>
      <c r="VKF207" s="300"/>
      <c r="VKG207" s="300"/>
      <c r="VKH207" s="300"/>
      <c r="VKI207" s="300"/>
      <c r="VKJ207" s="300"/>
      <c r="VKK207" s="300"/>
      <c r="VKL207" s="300"/>
      <c r="VKM207" s="300"/>
      <c r="VKN207" s="300"/>
      <c r="VKO207" s="300"/>
      <c r="VKP207" s="300"/>
      <c r="VKQ207" s="300"/>
      <c r="VKR207" s="300"/>
      <c r="VKS207" s="300"/>
      <c r="VKT207" s="300"/>
      <c r="VKU207" s="300"/>
      <c r="VKV207" s="300"/>
      <c r="VKW207" s="300"/>
      <c r="VKX207" s="300"/>
      <c r="VKY207" s="300"/>
      <c r="VKZ207" s="300"/>
      <c r="VLA207" s="300"/>
      <c r="VLB207" s="300"/>
      <c r="VLC207" s="300"/>
      <c r="VLD207" s="300"/>
      <c r="VLE207" s="300"/>
      <c r="VLF207" s="300"/>
      <c r="VLG207" s="300"/>
      <c r="VLH207" s="300"/>
      <c r="VLI207" s="300"/>
      <c r="VLJ207" s="300"/>
      <c r="VLK207" s="300"/>
      <c r="VLL207" s="300"/>
      <c r="VLM207" s="300"/>
      <c r="VLN207" s="300"/>
      <c r="VLO207" s="300"/>
      <c r="VLP207" s="300"/>
      <c r="VLQ207" s="300"/>
      <c r="VLR207" s="300"/>
      <c r="VLS207" s="300"/>
      <c r="VLT207" s="300"/>
      <c r="VLU207" s="300"/>
      <c r="VLV207" s="300"/>
      <c r="VLW207" s="300"/>
      <c r="VLX207" s="300"/>
      <c r="VLY207" s="300"/>
      <c r="VLZ207" s="300"/>
      <c r="VMA207" s="300"/>
      <c r="VMB207" s="300"/>
      <c r="VMC207" s="300"/>
      <c r="VMD207" s="300"/>
      <c r="VME207" s="300"/>
      <c r="VMF207" s="300"/>
      <c r="VMG207" s="300"/>
      <c r="VMH207" s="300"/>
      <c r="VMI207" s="300"/>
      <c r="VMJ207" s="300"/>
      <c r="VMK207" s="300"/>
      <c r="VML207" s="300"/>
      <c r="VMM207" s="300"/>
      <c r="VMN207" s="300"/>
      <c r="VMO207" s="300"/>
      <c r="VMP207" s="300"/>
      <c r="VMQ207" s="300"/>
      <c r="VMR207" s="300"/>
      <c r="VMS207" s="300"/>
      <c r="VMT207" s="300"/>
      <c r="VMU207" s="300"/>
      <c r="VMV207" s="300"/>
      <c r="VMW207" s="300"/>
      <c r="VMX207" s="300"/>
      <c r="VMY207" s="300"/>
      <c r="VMZ207" s="300"/>
      <c r="VNA207" s="300"/>
      <c r="VNB207" s="300"/>
      <c r="VNC207" s="300"/>
      <c r="VND207" s="300"/>
      <c r="VNE207" s="300"/>
      <c r="VNF207" s="300"/>
      <c r="VNG207" s="300"/>
      <c r="VNH207" s="300"/>
      <c r="VNI207" s="300"/>
      <c r="VNJ207" s="300"/>
      <c r="VNK207" s="300"/>
      <c r="VNL207" s="300"/>
      <c r="VNM207" s="300"/>
      <c r="VNN207" s="300"/>
      <c r="VNO207" s="300"/>
      <c r="VNP207" s="300"/>
      <c r="VNQ207" s="300"/>
      <c r="VNR207" s="300"/>
      <c r="VNS207" s="300"/>
      <c r="VNT207" s="300"/>
      <c r="VNU207" s="300"/>
      <c r="VNV207" s="300"/>
      <c r="VNW207" s="300"/>
      <c r="VNX207" s="300"/>
      <c r="VNY207" s="300"/>
      <c r="VNZ207" s="300"/>
      <c r="VOA207" s="300"/>
      <c r="VOB207" s="300"/>
      <c r="VOC207" s="300"/>
      <c r="VOD207" s="300"/>
      <c r="VOE207" s="300"/>
      <c r="VOF207" s="300"/>
      <c r="VOG207" s="300"/>
      <c r="VOH207" s="300"/>
      <c r="VOI207" s="300"/>
      <c r="VOJ207" s="300"/>
      <c r="VOK207" s="300"/>
      <c r="VOL207" s="300"/>
      <c r="VOM207" s="300"/>
      <c r="VON207" s="300"/>
      <c r="VOO207" s="300"/>
      <c r="VOP207" s="300"/>
      <c r="VOQ207" s="300"/>
      <c r="VOR207" s="300"/>
      <c r="VOS207" s="300"/>
      <c r="VOT207" s="300"/>
      <c r="VOU207" s="300"/>
      <c r="VOV207" s="300"/>
      <c r="VOW207" s="300"/>
      <c r="VOX207" s="300"/>
      <c r="VOY207" s="300"/>
      <c r="VOZ207" s="300"/>
      <c r="VPA207" s="300"/>
      <c r="VPB207" s="300"/>
      <c r="VPC207" s="300"/>
      <c r="VPD207" s="300"/>
      <c r="VPE207" s="300"/>
      <c r="VPF207" s="300"/>
      <c r="VPG207" s="300"/>
      <c r="VPH207" s="300"/>
      <c r="VPI207" s="300"/>
      <c r="VPJ207" s="300"/>
      <c r="VPK207" s="300"/>
      <c r="VPL207" s="300"/>
      <c r="VPM207" s="300"/>
      <c r="VPN207" s="300"/>
      <c r="VPO207" s="300"/>
      <c r="VPP207" s="300"/>
      <c r="VPQ207" s="300"/>
      <c r="VPR207" s="300"/>
      <c r="VPS207" s="300"/>
      <c r="VPT207" s="300"/>
      <c r="VPU207" s="300"/>
      <c r="VPV207" s="300"/>
      <c r="VPW207" s="300"/>
      <c r="VPX207" s="300"/>
      <c r="VPY207" s="300"/>
      <c r="VPZ207" s="300"/>
      <c r="VQA207" s="300"/>
      <c r="VQB207" s="300"/>
      <c r="VQC207" s="300"/>
      <c r="VQD207" s="300"/>
      <c r="VQE207" s="300"/>
      <c r="VQF207" s="300"/>
      <c r="VQG207" s="300"/>
      <c r="VQH207" s="300"/>
      <c r="VQI207" s="300"/>
      <c r="VQJ207" s="300"/>
      <c r="VQK207" s="300"/>
      <c r="VQL207" s="300"/>
      <c r="VQM207" s="300"/>
      <c r="VQN207" s="300"/>
      <c r="VQO207" s="300"/>
      <c r="VQP207" s="300"/>
      <c r="VQQ207" s="300"/>
      <c r="VQR207" s="300"/>
      <c r="VQS207" s="300"/>
      <c r="VQT207" s="300"/>
      <c r="VQU207" s="300"/>
      <c r="VQV207" s="300"/>
      <c r="VQW207" s="300"/>
      <c r="VQX207" s="300"/>
      <c r="VQY207" s="300"/>
      <c r="VQZ207" s="300"/>
      <c r="VRA207" s="300"/>
      <c r="VRB207" s="300"/>
      <c r="VRC207" s="300"/>
      <c r="VRD207" s="300"/>
      <c r="VRE207" s="300"/>
      <c r="VRF207" s="300"/>
      <c r="VRG207" s="300"/>
      <c r="VRH207" s="300"/>
      <c r="VRI207" s="300"/>
      <c r="VRJ207" s="300"/>
      <c r="VRK207" s="300"/>
      <c r="VRL207" s="300"/>
      <c r="VRM207" s="300"/>
      <c r="VRN207" s="300"/>
      <c r="VRO207" s="300"/>
      <c r="VRP207" s="300"/>
      <c r="VRQ207" s="300"/>
      <c r="VRR207" s="300"/>
      <c r="VRS207" s="300"/>
      <c r="VRT207" s="300"/>
      <c r="VRU207" s="300"/>
      <c r="VRV207" s="300"/>
      <c r="VRW207" s="300"/>
      <c r="VRX207" s="300"/>
      <c r="VRY207" s="300"/>
      <c r="VRZ207" s="300"/>
      <c r="VSA207" s="300"/>
      <c r="VSB207" s="300"/>
      <c r="VSC207" s="300"/>
      <c r="VSD207" s="300"/>
      <c r="VSE207" s="300"/>
      <c r="VSF207" s="300"/>
      <c r="VSG207" s="300"/>
      <c r="VSH207" s="300"/>
      <c r="VSI207" s="300"/>
      <c r="VSJ207" s="300"/>
      <c r="VSK207" s="300"/>
      <c r="VSL207" s="300"/>
      <c r="VSM207" s="300"/>
      <c r="VSN207" s="300"/>
      <c r="VSO207" s="300"/>
      <c r="VSP207" s="300"/>
      <c r="VSQ207" s="300"/>
      <c r="VSR207" s="300"/>
      <c r="VSS207" s="300"/>
      <c r="VST207" s="300"/>
      <c r="VSU207" s="300"/>
      <c r="VSV207" s="300"/>
      <c r="VSW207" s="300"/>
      <c r="VSX207" s="300"/>
      <c r="VSY207" s="300"/>
      <c r="VSZ207" s="300"/>
      <c r="VTA207" s="300"/>
      <c r="VTB207" s="300"/>
      <c r="VTC207" s="300"/>
      <c r="VTD207" s="300"/>
      <c r="VTE207" s="300"/>
      <c r="VTF207" s="300"/>
      <c r="VTG207" s="300"/>
      <c r="VTH207" s="300"/>
      <c r="VTI207" s="300"/>
      <c r="VTJ207" s="300"/>
      <c r="VTK207" s="300"/>
      <c r="VTL207" s="300"/>
      <c r="VTM207" s="300"/>
      <c r="VTN207" s="300"/>
      <c r="VTO207" s="300"/>
      <c r="VTP207" s="300"/>
      <c r="VTQ207" s="300"/>
      <c r="VTR207" s="300"/>
      <c r="VTS207" s="300"/>
      <c r="VTT207" s="300"/>
      <c r="VTU207" s="300"/>
      <c r="VTV207" s="300"/>
      <c r="VTW207" s="300"/>
      <c r="VTX207" s="300"/>
      <c r="VTY207" s="300"/>
      <c r="VTZ207" s="300"/>
      <c r="VUA207" s="300"/>
      <c r="VUB207" s="300"/>
      <c r="VUC207" s="300"/>
      <c r="VUD207" s="300"/>
      <c r="VUE207" s="300"/>
      <c r="VUF207" s="300"/>
      <c r="VUG207" s="300"/>
      <c r="VUH207" s="300"/>
      <c r="VUI207" s="300"/>
      <c r="VUJ207" s="300"/>
      <c r="VUK207" s="300"/>
      <c r="VUL207" s="300"/>
      <c r="VUM207" s="300"/>
      <c r="VUN207" s="300"/>
      <c r="VUO207" s="300"/>
      <c r="VUP207" s="300"/>
      <c r="VUQ207" s="300"/>
      <c r="VUR207" s="300"/>
      <c r="VUS207" s="300"/>
      <c r="VUT207" s="300"/>
      <c r="VUU207" s="300"/>
      <c r="VUV207" s="300"/>
      <c r="VUW207" s="300"/>
      <c r="VUX207" s="300"/>
      <c r="VUY207" s="300"/>
      <c r="VUZ207" s="300"/>
      <c r="VVA207" s="300"/>
      <c r="VVB207" s="300"/>
      <c r="VVC207" s="300"/>
      <c r="VVD207" s="300"/>
      <c r="VVE207" s="300"/>
      <c r="VVF207" s="300"/>
      <c r="VVG207" s="300"/>
      <c r="VVH207" s="300"/>
      <c r="VVI207" s="300"/>
      <c r="VVJ207" s="300"/>
      <c r="VVK207" s="300"/>
      <c r="VVL207" s="300"/>
      <c r="VVM207" s="300"/>
      <c r="VVN207" s="300"/>
      <c r="VVO207" s="300"/>
      <c r="VVP207" s="300"/>
    </row>
    <row r="208" spans="2:102 15068:15460" s="3" customFormat="1" x14ac:dyDescent="0.3">
      <c r="B208" s="122"/>
      <c r="C208" s="71" t="s">
        <v>24</v>
      </c>
      <c r="D208" s="15">
        <v>292</v>
      </c>
      <c r="E208" s="8" t="s">
        <v>22</v>
      </c>
      <c r="F208" s="2">
        <v>253.04807328142778</v>
      </c>
      <c r="G208" s="2">
        <v>253.49191031173712</v>
      </c>
      <c r="H208" s="68">
        <v>260.83764022783708</v>
      </c>
      <c r="I208" s="2">
        <v>222.40438737437563</v>
      </c>
      <c r="J208" s="68">
        <v>201.62144958399455</v>
      </c>
      <c r="K208" s="69">
        <v>211.399846775367</v>
      </c>
      <c r="L208" s="69">
        <v>217.09593872006943</v>
      </c>
      <c r="M208" s="2">
        <v>197.10900000000001</v>
      </c>
      <c r="N208" s="2">
        <v>182.4614</v>
      </c>
      <c r="O208" s="2">
        <v>180.54730000000001</v>
      </c>
      <c r="P208" s="2">
        <v>169.517</v>
      </c>
      <c r="Q208" s="2">
        <v>155.8595</v>
      </c>
      <c r="R208" s="2">
        <v>199.93950000000001</v>
      </c>
      <c r="S208" s="2">
        <v>117.3</v>
      </c>
      <c r="T208" s="2">
        <v>187.37700000000001</v>
      </c>
      <c r="U208" s="2">
        <v>195.73599999999999</v>
      </c>
      <c r="V208" s="2">
        <v>206.45949999999999</v>
      </c>
      <c r="W208" s="2">
        <v>227.35830000000001</v>
      </c>
      <c r="X208" s="2">
        <v>225.37989999999999</v>
      </c>
      <c r="Y208" s="2">
        <v>178.90960000000001</v>
      </c>
      <c r="Z208" s="2">
        <v>210.0694</v>
      </c>
      <c r="AA208" s="2">
        <v>204.97749999999999</v>
      </c>
      <c r="AB208" s="56">
        <v>248.85679999999999</v>
      </c>
      <c r="AC208" s="239">
        <v>259.5018</v>
      </c>
      <c r="AD208" s="240">
        <v>211.82339999999999</v>
      </c>
      <c r="AE208" s="2">
        <v>180.69139999999999</v>
      </c>
      <c r="AF208" s="2">
        <v>173.43860000000001</v>
      </c>
      <c r="AG208" s="56">
        <v>186.30199999999999</v>
      </c>
      <c r="AH208" s="56">
        <v>139.18790000000001</v>
      </c>
      <c r="AI208" s="297">
        <v>167.09899999999999</v>
      </c>
      <c r="AK208" s="241">
        <f>SUM(F208:AI208)</f>
        <v>6025.801046274808</v>
      </c>
      <c r="CW208" s="322"/>
      <c r="CX208" s="17"/>
      <c r="VGN208" s="300"/>
      <c r="VGO208" s="300"/>
      <c r="VGP208" s="300"/>
      <c r="VGQ208" s="300"/>
      <c r="VGR208" s="300"/>
      <c r="VGS208" s="300"/>
      <c r="VGT208" s="300"/>
      <c r="VGU208" s="300"/>
      <c r="VGV208" s="300"/>
      <c r="VGW208" s="300"/>
      <c r="VGX208" s="300"/>
      <c r="VGY208" s="300"/>
      <c r="VGZ208" s="300"/>
      <c r="VHA208" s="300"/>
      <c r="VHB208" s="300"/>
      <c r="VHC208" s="300"/>
      <c r="VHD208" s="300"/>
      <c r="VHE208" s="300"/>
      <c r="VHF208" s="300"/>
      <c r="VHG208" s="300"/>
      <c r="VHH208" s="300"/>
      <c r="VHI208" s="300"/>
      <c r="VHJ208" s="300"/>
      <c r="VHK208" s="300"/>
      <c r="VHL208" s="300"/>
      <c r="VHM208" s="300"/>
      <c r="VHN208" s="300"/>
      <c r="VHO208" s="300"/>
      <c r="VHP208" s="300"/>
      <c r="VHQ208" s="300"/>
      <c r="VHR208" s="300"/>
      <c r="VHS208" s="300"/>
      <c r="VHT208" s="300"/>
      <c r="VHU208" s="300"/>
      <c r="VHV208" s="300"/>
      <c r="VHW208" s="300"/>
      <c r="VHX208" s="300"/>
      <c r="VHY208" s="300"/>
      <c r="VHZ208" s="300"/>
      <c r="VIA208" s="300"/>
      <c r="VIB208" s="300"/>
      <c r="VIC208" s="300"/>
      <c r="VID208" s="300"/>
      <c r="VIE208" s="300"/>
      <c r="VIF208" s="300"/>
      <c r="VIG208" s="300"/>
      <c r="VIH208" s="300"/>
      <c r="VII208" s="300"/>
      <c r="VIJ208" s="300"/>
      <c r="VIK208" s="300"/>
      <c r="VIL208" s="300"/>
      <c r="VIM208" s="300"/>
      <c r="VIN208" s="300"/>
      <c r="VIO208" s="300"/>
      <c r="VIP208" s="300"/>
      <c r="VIQ208" s="300"/>
      <c r="VIR208" s="300"/>
      <c r="VIS208" s="300"/>
      <c r="VIT208" s="300"/>
      <c r="VIU208" s="300"/>
      <c r="VIV208" s="300"/>
      <c r="VIW208" s="300"/>
      <c r="VIX208" s="300"/>
      <c r="VIY208" s="300"/>
      <c r="VIZ208" s="300"/>
      <c r="VJA208" s="300"/>
      <c r="VJB208" s="300"/>
      <c r="VJC208" s="300"/>
      <c r="VJD208" s="300"/>
      <c r="VJE208" s="300"/>
      <c r="VJF208" s="300"/>
      <c r="VJG208" s="300"/>
      <c r="VJH208" s="300"/>
      <c r="VJI208" s="300"/>
      <c r="VJJ208" s="300"/>
      <c r="VJK208" s="300"/>
      <c r="VJL208" s="300"/>
      <c r="VJM208" s="300"/>
      <c r="VJN208" s="300"/>
      <c r="VJO208" s="300"/>
      <c r="VJP208" s="300"/>
      <c r="VJQ208" s="300"/>
      <c r="VJR208" s="300"/>
      <c r="VJS208" s="300"/>
      <c r="VJT208" s="300"/>
      <c r="VJU208" s="300"/>
      <c r="VJV208" s="300"/>
      <c r="VJW208" s="300"/>
      <c r="VJX208" s="300"/>
      <c r="VJY208" s="300"/>
      <c r="VJZ208" s="300"/>
      <c r="VKA208" s="300"/>
      <c r="VKB208" s="300"/>
      <c r="VKC208" s="300"/>
      <c r="VKD208" s="300"/>
      <c r="VKE208" s="300"/>
      <c r="VKF208" s="300"/>
      <c r="VKG208" s="300"/>
      <c r="VKH208" s="300"/>
      <c r="VKI208" s="300"/>
      <c r="VKJ208" s="300"/>
      <c r="VKK208" s="300"/>
      <c r="VKL208" s="300"/>
      <c r="VKM208" s="300"/>
      <c r="VKN208" s="300"/>
      <c r="VKO208" s="300"/>
      <c r="VKP208" s="300"/>
      <c r="VKQ208" s="300"/>
      <c r="VKR208" s="300"/>
      <c r="VKS208" s="300"/>
      <c r="VKT208" s="300"/>
      <c r="VKU208" s="300"/>
      <c r="VKV208" s="300"/>
      <c r="VKW208" s="300"/>
      <c r="VKX208" s="300"/>
      <c r="VKY208" s="300"/>
      <c r="VKZ208" s="300"/>
      <c r="VLA208" s="300"/>
      <c r="VLB208" s="300"/>
      <c r="VLC208" s="300"/>
      <c r="VLD208" s="300"/>
      <c r="VLE208" s="300"/>
      <c r="VLF208" s="300"/>
      <c r="VLG208" s="300"/>
      <c r="VLH208" s="300"/>
      <c r="VLI208" s="300"/>
      <c r="VLJ208" s="300"/>
      <c r="VLK208" s="300"/>
      <c r="VLL208" s="300"/>
      <c r="VLM208" s="300"/>
      <c r="VLN208" s="300"/>
      <c r="VLO208" s="300"/>
      <c r="VLP208" s="300"/>
      <c r="VLQ208" s="300"/>
      <c r="VLR208" s="300"/>
      <c r="VLS208" s="300"/>
      <c r="VLT208" s="300"/>
      <c r="VLU208" s="300"/>
      <c r="VLV208" s="300"/>
      <c r="VLW208" s="300"/>
      <c r="VLX208" s="300"/>
      <c r="VLY208" s="300"/>
      <c r="VLZ208" s="300"/>
      <c r="VMA208" s="300"/>
      <c r="VMB208" s="300"/>
      <c r="VMC208" s="300"/>
      <c r="VMD208" s="300"/>
      <c r="VME208" s="300"/>
      <c r="VMF208" s="300"/>
      <c r="VMG208" s="300"/>
      <c r="VMH208" s="300"/>
      <c r="VMI208" s="300"/>
      <c r="VMJ208" s="300"/>
      <c r="VMK208" s="300"/>
      <c r="VML208" s="300"/>
      <c r="VMM208" s="300"/>
      <c r="VMN208" s="300"/>
      <c r="VMO208" s="300"/>
      <c r="VMP208" s="300"/>
      <c r="VMQ208" s="300"/>
      <c r="VMR208" s="300"/>
      <c r="VMS208" s="300"/>
      <c r="VMT208" s="300"/>
      <c r="VMU208" s="300"/>
      <c r="VMV208" s="300"/>
      <c r="VMW208" s="300"/>
      <c r="VMX208" s="300"/>
      <c r="VMY208" s="300"/>
      <c r="VMZ208" s="300"/>
      <c r="VNA208" s="300"/>
      <c r="VNB208" s="300"/>
      <c r="VNC208" s="300"/>
      <c r="VND208" s="300"/>
      <c r="VNE208" s="300"/>
      <c r="VNF208" s="300"/>
      <c r="VNG208" s="300"/>
      <c r="VNH208" s="300"/>
      <c r="VNI208" s="300"/>
      <c r="VNJ208" s="300"/>
      <c r="VNK208" s="300"/>
      <c r="VNL208" s="300"/>
      <c r="VNM208" s="300"/>
      <c r="VNN208" s="300"/>
      <c r="VNO208" s="300"/>
      <c r="VNP208" s="300"/>
      <c r="VNQ208" s="300"/>
      <c r="VNR208" s="300"/>
      <c r="VNS208" s="300"/>
      <c r="VNT208" s="300"/>
      <c r="VNU208" s="300"/>
      <c r="VNV208" s="300"/>
      <c r="VNW208" s="300"/>
      <c r="VNX208" s="300"/>
      <c r="VNY208" s="300"/>
      <c r="VNZ208" s="300"/>
      <c r="VOA208" s="300"/>
      <c r="VOB208" s="300"/>
      <c r="VOC208" s="300"/>
      <c r="VOD208" s="300"/>
      <c r="VOE208" s="300"/>
      <c r="VOF208" s="300"/>
      <c r="VOG208" s="300"/>
      <c r="VOH208" s="300"/>
      <c r="VOI208" s="300"/>
      <c r="VOJ208" s="300"/>
      <c r="VOK208" s="300"/>
      <c r="VOL208" s="300"/>
      <c r="VOM208" s="300"/>
      <c r="VON208" s="300"/>
      <c r="VOO208" s="300"/>
      <c r="VOP208" s="300"/>
      <c r="VOQ208" s="300"/>
      <c r="VOR208" s="300"/>
      <c r="VOS208" s="300"/>
      <c r="VOT208" s="300"/>
      <c r="VOU208" s="300"/>
      <c r="VOV208" s="300"/>
      <c r="VOW208" s="300"/>
      <c r="VOX208" s="300"/>
      <c r="VOY208" s="300"/>
      <c r="VOZ208" s="300"/>
      <c r="VPA208" s="300"/>
      <c r="VPB208" s="300"/>
      <c r="VPC208" s="300"/>
      <c r="VPD208" s="300"/>
      <c r="VPE208" s="300"/>
      <c r="VPF208" s="300"/>
      <c r="VPG208" s="300"/>
      <c r="VPH208" s="300"/>
      <c r="VPI208" s="300"/>
      <c r="VPJ208" s="300"/>
      <c r="VPK208" s="300"/>
      <c r="VPL208" s="300"/>
      <c r="VPM208" s="300"/>
      <c r="VPN208" s="300"/>
      <c r="VPO208" s="300"/>
      <c r="VPP208" s="300"/>
      <c r="VPQ208" s="300"/>
      <c r="VPR208" s="300"/>
      <c r="VPS208" s="300"/>
      <c r="VPT208" s="300"/>
      <c r="VPU208" s="300"/>
      <c r="VPV208" s="300"/>
      <c r="VPW208" s="300"/>
      <c r="VPX208" s="300"/>
      <c r="VPY208" s="300"/>
      <c r="VPZ208" s="300"/>
      <c r="VQA208" s="300"/>
      <c r="VQB208" s="300"/>
      <c r="VQC208" s="300"/>
      <c r="VQD208" s="300"/>
      <c r="VQE208" s="300"/>
      <c r="VQF208" s="300"/>
      <c r="VQG208" s="300"/>
      <c r="VQH208" s="300"/>
      <c r="VQI208" s="300"/>
      <c r="VQJ208" s="300"/>
      <c r="VQK208" s="300"/>
      <c r="VQL208" s="300"/>
      <c r="VQM208" s="300"/>
      <c r="VQN208" s="300"/>
      <c r="VQO208" s="300"/>
      <c r="VQP208" s="300"/>
      <c r="VQQ208" s="300"/>
      <c r="VQR208" s="300"/>
      <c r="VQS208" s="300"/>
      <c r="VQT208" s="300"/>
      <c r="VQU208" s="300"/>
      <c r="VQV208" s="300"/>
      <c r="VQW208" s="300"/>
      <c r="VQX208" s="300"/>
      <c r="VQY208" s="300"/>
      <c r="VQZ208" s="300"/>
      <c r="VRA208" s="300"/>
      <c r="VRB208" s="300"/>
      <c r="VRC208" s="300"/>
      <c r="VRD208" s="300"/>
      <c r="VRE208" s="300"/>
      <c r="VRF208" s="300"/>
      <c r="VRG208" s="300"/>
      <c r="VRH208" s="300"/>
      <c r="VRI208" s="300"/>
      <c r="VRJ208" s="300"/>
      <c r="VRK208" s="300"/>
      <c r="VRL208" s="300"/>
      <c r="VRM208" s="300"/>
      <c r="VRN208" s="300"/>
      <c r="VRO208" s="300"/>
      <c r="VRP208" s="300"/>
      <c r="VRQ208" s="300"/>
      <c r="VRR208" s="300"/>
      <c r="VRS208" s="300"/>
      <c r="VRT208" s="300"/>
      <c r="VRU208" s="300"/>
      <c r="VRV208" s="300"/>
      <c r="VRW208" s="300"/>
      <c r="VRX208" s="300"/>
      <c r="VRY208" s="300"/>
      <c r="VRZ208" s="300"/>
      <c r="VSA208" s="300"/>
      <c r="VSB208" s="300"/>
      <c r="VSC208" s="300"/>
      <c r="VSD208" s="300"/>
      <c r="VSE208" s="300"/>
      <c r="VSF208" s="300"/>
      <c r="VSG208" s="300"/>
      <c r="VSH208" s="300"/>
      <c r="VSI208" s="300"/>
      <c r="VSJ208" s="300"/>
      <c r="VSK208" s="300"/>
      <c r="VSL208" s="300"/>
      <c r="VSM208" s="300"/>
      <c r="VSN208" s="300"/>
      <c r="VSO208" s="300"/>
      <c r="VSP208" s="300"/>
      <c r="VSQ208" s="300"/>
      <c r="VSR208" s="300"/>
      <c r="VSS208" s="300"/>
      <c r="VST208" s="300"/>
      <c r="VSU208" s="300"/>
      <c r="VSV208" s="300"/>
      <c r="VSW208" s="300"/>
      <c r="VSX208" s="300"/>
      <c r="VSY208" s="300"/>
      <c r="VSZ208" s="300"/>
      <c r="VTA208" s="300"/>
      <c r="VTB208" s="300"/>
      <c r="VTC208" s="300"/>
      <c r="VTD208" s="300"/>
      <c r="VTE208" s="300"/>
      <c r="VTF208" s="300"/>
      <c r="VTG208" s="300"/>
      <c r="VTH208" s="300"/>
      <c r="VTI208" s="300"/>
      <c r="VTJ208" s="300"/>
      <c r="VTK208" s="300"/>
      <c r="VTL208" s="300"/>
      <c r="VTM208" s="300"/>
      <c r="VTN208" s="300"/>
      <c r="VTO208" s="300"/>
      <c r="VTP208" s="300"/>
      <c r="VTQ208" s="300"/>
      <c r="VTR208" s="300"/>
      <c r="VTS208" s="300"/>
      <c r="VTT208" s="300"/>
      <c r="VTU208" s="300"/>
      <c r="VTV208" s="300"/>
      <c r="VTW208" s="300"/>
      <c r="VTX208" s="300"/>
      <c r="VTY208" s="300"/>
      <c r="VTZ208" s="300"/>
      <c r="VUA208" s="300"/>
      <c r="VUB208" s="300"/>
      <c r="VUC208" s="300"/>
      <c r="VUD208" s="300"/>
      <c r="VUE208" s="300"/>
      <c r="VUF208" s="300"/>
      <c r="VUG208" s="300"/>
      <c r="VUH208" s="300"/>
      <c r="VUI208" s="300"/>
      <c r="VUJ208" s="300"/>
      <c r="VUK208" s="300"/>
      <c r="VUL208" s="300"/>
      <c r="VUM208" s="300"/>
      <c r="VUN208" s="300"/>
      <c r="VUO208" s="300"/>
      <c r="VUP208" s="300"/>
      <c r="VUQ208" s="300"/>
      <c r="VUR208" s="300"/>
      <c r="VUS208" s="300"/>
      <c r="VUT208" s="300"/>
      <c r="VUU208" s="300"/>
      <c r="VUV208" s="300"/>
      <c r="VUW208" s="300"/>
      <c r="VUX208" s="300"/>
      <c r="VUY208" s="300"/>
      <c r="VUZ208" s="300"/>
      <c r="VVA208" s="300"/>
      <c r="VVB208" s="300"/>
      <c r="VVC208" s="300"/>
      <c r="VVD208" s="300"/>
      <c r="VVE208" s="300"/>
      <c r="VVF208" s="300"/>
      <c r="VVG208" s="300"/>
      <c r="VVH208" s="300"/>
      <c r="VVI208" s="300"/>
      <c r="VVJ208" s="300"/>
      <c r="VVK208" s="300"/>
      <c r="VVL208" s="300"/>
      <c r="VVM208" s="300"/>
      <c r="VVN208" s="300"/>
      <c r="VVO208" s="300"/>
      <c r="VVP208" s="300"/>
    </row>
    <row r="209" spans="2:102 15068:15460" s="3" customFormat="1" x14ac:dyDescent="0.3">
      <c r="B209" s="122"/>
      <c r="C209" s="71" t="s">
        <v>23</v>
      </c>
      <c r="D209" s="15">
        <v>1168.001</v>
      </c>
      <c r="E209" s="8" t="s">
        <v>22</v>
      </c>
      <c r="F209" s="287">
        <f t="shared" ref="F209:AH209" si="87">F210-F208</f>
        <v>1280.6818267185722</v>
      </c>
      <c r="G209" s="321">
        <f t="shared" si="87"/>
        <v>1206.488189688263</v>
      </c>
      <c r="H209" s="321">
        <f t="shared" si="87"/>
        <v>1194.4787597721629</v>
      </c>
      <c r="I209" s="2">
        <f t="shared" si="87"/>
        <v>1025.3612126256244</v>
      </c>
      <c r="J209" s="68">
        <f t="shared" si="87"/>
        <v>1077.5088504160055</v>
      </c>
      <c r="K209" s="69">
        <f t="shared" si="87"/>
        <v>1136.0768532246329</v>
      </c>
      <c r="L209" s="69">
        <f t="shared" si="87"/>
        <v>1125.5521612799307</v>
      </c>
      <c r="M209" s="2">
        <f t="shared" si="87"/>
        <v>1151.7207000000001</v>
      </c>
      <c r="N209" s="2">
        <f t="shared" si="87"/>
        <v>1073.7620000000002</v>
      </c>
      <c r="O209" s="2">
        <f t="shared" si="87"/>
        <v>978.94119999999998</v>
      </c>
      <c r="P209" s="2">
        <f t="shared" si="87"/>
        <v>1119.2284</v>
      </c>
      <c r="Q209" s="2">
        <f>Q210-Q208</f>
        <v>1162.5065999999999</v>
      </c>
      <c r="R209" s="2">
        <f>R210-R208</f>
        <v>1097.5565000000001</v>
      </c>
      <c r="S209" s="2">
        <f t="shared" si="87"/>
        <v>1123.1944000000001</v>
      </c>
      <c r="T209" s="2">
        <f t="shared" si="87"/>
        <v>1093.3168000000001</v>
      </c>
      <c r="U209" s="2">
        <f t="shared" si="87"/>
        <v>1121.5007999999998</v>
      </c>
      <c r="V209" s="2">
        <f t="shared" si="87"/>
        <v>1156.8435000000002</v>
      </c>
      <c r="W209" s="2">
        <f t="shared" si="87"/>
        <v>1134.4848</v>
      </c>
      <c r="X209" s="2">
        <f t="shared" si="87"/>
        <v>1234.3305</v>
      </c>
      <c r="Y209" s="2">
        <f t="shared" si="87"/>
        <v>1338.6699000000001</v>
      </c>
      <c r="Z209" s="2">
        <f t="shared" si="87"/>
        <v>1164.1386</v>
      </c>
      <c r="AA209" s="2">
        <f t="shared" si="87"/>
        <v>1157.9512</v>
      </c>
      <c r="AB209" s="2">
        <f t="shared" si="87"/>
        <v>1102.3984</v>
      </c>
      <c r="AC209" s="2">
        <f t="shared" si="87"/>
        <v>1124.6545000000001</v>
      </c>
      <c r="AD209" s="2">
        <f t="shared" si="87"/>
        <v>1117.6758</v>
      </c>
      <c r="AE209" s="2">
        <f t="shared" si="87"/>
        <v>1146.5066000000002</v>
      </c>
      <c r="AF209" s="2">
        <f t="shared" si="87"/>
        <v>1014.5051000000001</v>
      </c>
      <c r="AG209" s="2">
        <f t="shared" si="87"/>
        <v>1153.0955000000001</v>
      </c>
      <c r="AH209" s="2">
        <f t="shared" si="87"/>
        <v>1147.9339</v>
      </c>
      <c r="AI209" s="64">
        <f>AI210-AI208</f>
        <v>1077.1498000000001</v>
      </c>
      <c r="AK209" s="241">
        <f>SUM(F209:AI209)</f>
        <v>34038.213353725194</v>
      </c>
      <c r="CX209" s="17"/>
      <c r="VGN209" s="300"/>
      <c r="VGO209" s="300"/>
      <c r="VGP209" s="300"/>
      <c r="VGQ209" s="300"/>
      <c r="VGR209" s="300"/>
      <c r="VGS209" s="300"/>
      <c r="VGT209" s="300"/>
      <c r="VGU209" s="300"/>
      <c r="VGV209" s="300"/>
      <c r="VGW209" s="300"/>
      <c r="VGX209" s="300"/>
      <c r="VGY209" s="300"/>
      <c r="VGZ209" s="300"/>
      <c r="VHA209" s="300"/>
      <c r="VHB209" s="300"/>
      <c r="VHC209" s="300"/>
      <c r="VHD209" s="300"/>
      <c r="VHE209" s="300"/>
      <c r="VHF209" s="300"/>
      <c r="VHG209" s="300"/>
      <c r="VHH209" s="300"/>
      <c r="VHI209" s="300"/>
      <c r="VHJ209" s="300"/>
      <c r="VHK209" s="300"/>
      <c r="VHL209" s="300"/>
      <c r="VHM209" s="300"/>
      <c r="VHN209" s="300"/>
      <c r="VHO209" s="300"/>
      <c r="VHP209" s="300"/>
      <c r="VHQ209" s="300"/>
      <c r="VHR209" s="300"/>
      <c r="VHS209" s="300"/>
      <c r="VHT209" s="300"/>
      <c r="VHU209" s="300"/>
      <c r="VHV209" s="300"/>
      <c r="VHW209" s="300"/>
      <c r="VHX209" s="300"/>
      <c r="VHY209" s="300"/>
      <c r="VHZ209" s="300"/>
      <c r="VIA209" s="300"/>
      <c r="VIB209" s="300"/>
      <c r="VIC209" s="300"/>
      <c r="VID209" s="300"/>
      <c r="VIE209" s="300"/>
      <c r="VIF209" s="300"/>
      <c r="VIG209" s="300"/>
      <c r="VIH209" s="300"/>
      <c r="VII209" s="300"/>
      <c r="VIJ209" s="300"/>
      <c r="VIK209" s="300"/>
      <c r="VIL209" s="300"/>
      <c r="VIM209" s="300"/>
      <c r="VIN209" s="300"/>
      <c r="VIO209" s="300"/>
      <c r="VIP209" s="300"/>
      <c r="VIQ209" s="300"/>
      <c r="VIR209" s="300"/>
      <c r="VIS209" s="300"/>
      <c r="VIT209" s="300"/>
      <c r="VIU209" s="300"/>
      <c r="VIV209" s="300"/>
      <c r="VIW209" s="300"/>
      <c r="VIX209" s="300"/>
      <c r="VIY209" s="300"/>
      <c r="VIZ209" s="300"/>
      <c r="VJA209" s="300"/>
      <c r="VJB209" s="300"/>
      <c r="VJC209" s="300"/>
      <c r="VJD209" s="300"/>
      <c r="VJE209" s="300"/>
      <c r="VJF209" s="300"/>
      <c r="VJG209" s="300"/>
      <c r="VJH209" s="300"/>
      <c r="VJI209" s="300"/>
      <c r="VJJ209" s="300"/>
      <c r="VJK209" s="300"/>
      <c r="VJL209" s="300"/>
      <c r="VJM209" s="300"/>
      <c r="VJN209" s="300"/>
      <c r="VJO209" s="300"/>
      <c r="VJP209" s="300"/>
      <c r="VJQ209" s="300"/>
      <c r="VJR209" s="300"/>
      <c r="VJS209" s="300"/>
      <c r="VJT209" s="300"/>
      <c r="VJU209" s="300"/>
      <c r="VJV209" s="300"/>
      <c r="VJW209" s="300"/>
      <c r="VJX209" s="300"/>
      <c r="VJY209" s="300"/>
      <c r="VJZ209" s="300"/>
      <c r="VKA209" s="300"/>
      <c r="VKB209" s="300"/>
      <c r="VKC209" s="300"/>
      <c r="VKD209" s="300"/>
      <c r="VKE209" s="300"/>
      <c r="VKF209" s="300"/>
      <c r="VKG209" s="300"/>
      <c r="VKH209" s="300"/>
      <c r="VKI209" s="300"/>
      <c r="VKJ209" s="300"/>
      <c r="VKK209" s="300"/>
      <c r="VKL209" s="300"/>
      <c r="VKM209" s="300"/>
      <c r="VKN209" s="300"/>
      <c r="VKO209" s="300"/>
      <c r="VKP209" s="300"/>
      <c r="VKQ209" s="300"/>
      <c r="VKR209" s="300"/>
      <c r="VKS209" s="300"/>
      <c r="VKT209" s="300"/>
      <c r="VKU209" s="300"/>
      <c r="VKV209" s="300"/>
      <c r="VKW209" s="300"/>
      <c r="VKX209" s="300"/>
      <c r="VKY209" s="300"/>
      <c r="VKZ209" s="300"/>
      <c r="VLA209" s="300"/>
      <c r="VLB209" s="300"/>
      <c r="VLC209" s="300"/>
      <c r="VLD209" s="300"/>
      <c r="VLE209" s="300"/>
      <c r="VLF209" s="300"/>
      <c r="VLG209" s="300"/>
      <c r="VLH209" s="300"/>
      <c r="VLI209" s="300"/>
      <c r="VLJ209" s="300"/>
      <c r="VLK209" s="300"/>
      <c r="VLL209" s="300"/>
      <c r="VLM209" s="300"/>
      <c r="VLN209" s="300"/>
      <c r="VLO209" s="300"/>
      <c r="VLP209" s="300"/>
      <c r="VLQ209" s="300"/>
      <c r="VLR209" s="300"/>
      <c r="VLS209" s="300"/>
      <c r="VLT209" s="300"/>
      <c r="VLU209" s="300"/>
      <c r="VLV209" s="300"/>
      <c r="VLW209" s="300"/>
      <c r="VLX209" s="300"/>
      <c r="VLY209" s="300"/>
      <c r="VLZ209" s="300"/>
      <c r="VMA209" s="300"/>
      <c r="VMB209" s="300"/>
      <c r="VMC209" s="300"/>
      <c r="VMD209" s="300"/>
      <c r="VME209" s="300"/>
      <c r="VMF209" s="300"/>
      <c r="VMG209" s="300"/>
      <c r="VMH209" s="300"/>
      <c r="VMI209" s="300"/>
      <c r="VMJ209" s="300"/>
      <c r="VMK209" s="300"/>
      <c r="VML209" s="300"/>
      <c r="VMM209" s="300"/>
      <c r="VMN209" s="300"/>
      <c r="VMO209" s="300"/>
      <c r="VMP209" s="300"/>
      <c r="VMQ209" s="300"/>
      <c r="VMR209" s="300"/>
      <c r="VMS209" s="300"/>
      <c r="VMT209" s="300"/>
      <c r="VMU209" s="300"/>
      <c r="VMV209" s="300"/>
      <c r="VMW209" s="300"/>
      <c r="VMX209" s="300"/>
      <c r="VMY209" s="300"/>
      <c r="VMZ209" s="300"/>
      <c r="VNA209" s="300"/>
      <c r="VNB209" s="300"/>
      <c r="VNC209" s="300"/>
      <c r="VND209" s="300"/>
      <c r="VNE209" s="300"/>
      <c r="VNF209" s="300"/>
      <c r="VNG209" s="300"/>
      <c r="VNH209" s="300"/>
      <c r="VNI209" s="300"/>
      <c r="VNJ209" s="300"/>
      <c r="VNK209" s="300"/>
      <c r="VNL209" s="300"/>
      <c r="VNM209" s="300"/>
      <c r="VNN209" s="300"/>
      <c r="VNO209" s="300"/>
      <c r="VNP209" s="300"/>
      <c r="VNQ209" s="300"/>
      <c r="VNR209" s="300"/>
      <c r="VNS209" s="300"/>
      <c r="VNT209" s="300"/>
      <c r="VNU209" s="300"/>
      <c r="VNV209" s="300"/>
      <c r="VNW209" s="300"/>
      <c r="VNX209" s="300"/>
      <c r="VNY209" s="300"/>
      <c r="VNZ209" s="300"/>
      <c r="VOA209" s="300"/>
      <c r="VOB209" s="300"/>
      <c r="VOC209" s="300"/>
      <c r="VOD209" s="300"/>
      <c r="VOE209" s="300"/>
      <c r="VOF209" s="300"/>
      <c r="VOG209" s="300"/>
      <c r="VOH209" s="300"/>
      <c r="VOI209" s="300"/>
      <c r="VOJ209" s="300"/>
      <c r="VOK209" s="300"/>
      <c r="VOL209" s="300"/>
      <c r="VOM209" s="300"/>
      <c r="VON209" s="300"/>
      <c r="VOO209" s="300"/>
      <c r="VOP209" s="300"/>
      <c r="VOQ209" s="300"/>
      <c r="VOR209" s="300"/>
      <c r="VOS209" s="300"/>
      <c r="VOT209" s="300"/>
      <c r="VOU209" s="300"/>
      <c r="VOV209" s="300"/>
      <c r="VOW209" s="300"/>
      <c r="VOX209" s="300"/>
      <c r="VOY209" s="300"/>
      <c r="VOZ209" s="300"/>
      <c r="VPA209" s="300"/>
      <c r="VPB209" s="300"/>
      <c r="VPC209" s="300"/>
      <c r="VPD209" s="300"/>
      <c r="VPE209" s="300"/>
      <c r="VPF209" s="300"/>
      <c r="VPG209" s="300"/>
      <c r="VPH209" s="300"/>
      <c r="VPI209" s="300"/>
      <c r="VPJ209" s="300"/>
      <c r="VPK209" s="300"/>
      <c r="VPL209" s="300"/>
      <c r="VPM209" s="300"/>
      <c r="VPN209" s="300"/>
      <c r="VPO209" s="300"/>
      <c r="VPP209" s="300"/>
      <c r="VPQ209" s="300"/>
      <c r="VPR209" s="300"/>
      <c r="VPS209" s="300"/>
      <c r="VPT209" s="300"/>
      <c r="VPU209" s="300"/>
      <c r="VPV209" s="300"/>
      <c r="VPW209" s="300"/>
      <c r="VPX209" s="300"/>
      <c r="VPY209" s="300"/>
      <c r="VPZ209" s="300"/>
      <c r="VQA209" s="300"/>
      <c r="VQB209" s="300"/>
      <c r="VQC209" s="300"/>
      <c r="VQD209" s="300"/>
      <c r="VQE209" s="300"/>
      <c r="VQF209" s="300"/>
      <c r="VQG209" s="300"/>
      <c r="VQH209" s="300"/>
      <c r="VQI209" s="300"/>
      <c r="VQJ209" s="300"/>
      <c r="VQK209" s="300"/>
      <c r="VQL209" s="300"/>
      <c r="VQM209" s="300"/>
      <c r="VQN209" s="300"/>
      <c r="VQO209" s="300"/>
      <c r="VQP209" s="300"/>
      <c r="VQQ209" s="300"/>
      <c r="VQR209" s="300"/>
      <c r="VQS209" s="300"/>
      <c r="VQT209" s="300"/>
      <c r="VQU209" s="300"/>
      <c r="VQV209" s="300"/>
      <c r="VQW209" s="300"/>
      <c r="VQX209" s="300"/>
      <c r="VQY209" s="300"/>
      <c r="VQZ209" s="300"/>
      <c r="VRA209" s="300"/>
      <c r="VRB209" s="300"/>
      <c r="VRC209" s="300"/>
      <c r="VRD209" s="300"/>
      <c r="VRE209" s="300"/>
      <c r="VRF209" s="300"/>
      <c r="VRG209" s="300"/>
      <c r="VRH209" s="300"/>
      <c r="VRI209" s="300"/>
      <c r="VRJ209" s="300"/>
      <c r="VRK209" s="300"/>
      <c r="VRL209" s="300"/>
      <c r="VRM209" s="300"/>
      <c r="VRN209" s="300"/>
      <c r="VRO209" s="300"/>
      <c r="VRP209" s="300"/>
      <c r="VRQ209" s="300"/>
      <c r="VRR209" s="300"/>
      <c r="VRS209" s="300"/>
      <c r="VRT209" s="300"/>
      <c r="VRU209" s="300"/>
      <c r="VRV209" s="300"/>
      <c r="VRW209" s="300"/>
      <c r="VRX209" s="300"/>
      <c r="VRY209" s="300"/>
      <c r="VRZ209" s="300"/>
      <c r="VSA209" s="300"/>
      <c r="VSB209" s="300"/>
      <c r="VSC209" s="300"/>
      <c r="VSD209" s="300"/>
      <c r="VSE209" s="300"/>
      <c r="VSF209" s="300"/>
      <c r="VSG209" s="300"/>
      <c r="VSH209" s="300"/>
      <c r="VSI209" s="300"/>
      <c r="VSJ209" s="300"/>
      <c r="VSK209" s="300"/>
      <c r="VSL209" s="300"/>
      <c r="VSM209" s="300"/>
      <c r="VSN209" s="300"/>
      <c r="VSO209" s="300"/>
      <c r="VSP209" s="300"/>
      <c r="VSQ209" s="300"/>
      <c r="VSR209" s="300"/>
      <c r="VSS209" s="300"/>
      <c r="VST209" s="300"/>
      <c r="VSU209" s="300"/>
      <c r="VSV209" s="300"/>
      <c r="VSW209" s="300"/>
      <c r="VSX209" s="300"/>
      <c r="VSY209" s="300"/>
      <c r="VSZ209" s="300"/>
      <c r="VTA209" s="300"/>
      <c r="VTB209" s="300"/>
      <c r="VTC209" s="300"/>
      <c r="VTD209" s="300"/>
      <c r="VTE209" s="300"/>
      <c r="VTF209" s="300"/>
      <c r="VTG209" s="300"/>
      <c r="VTH209" s="300"/>
      <c r="VTI209" s="300"/>
      <c r="VTJ209" s="300"/>
      <c r="VTK209" s="300"/>
      <c r="VTL209" s="300"/>
      <c r="VTM209" s="300"/>
      <c r="VTN209" s="300"/>
      <c r="VTO209" s="300"/>
      <c r="VTP209" s="300"/>
      <c r="VTQ209" s="300"/>
      <c r="VTR209" s="300"/>
      <c r="VTS209" s="300"/>
      <c r="VTT209" s="300"/>
      <c r="VTU209" s="300"/>
      <c r="VTV209" s="300"/>
      <c r="VTW209" s="300"/>
      <c r="VTX209" s="300"/>
      <c r="VTY209" s="300"/>
      <c r="VTZ209" s="300"/>
      <c r="VUA209" s="300"/>
      <c r="VUB209" s="300"/>
      <c r="VUC209" s="300"/>
      <c r="VUD209" s="300"/>
      <c r="VUE209" s="300"/>
      <c r="VUF209" s="300"/>
      <c r="VUG209" s="300"/>
      <c r="VUH209" s="300"/>
      <c r="VUI209" s="300"/>
      <c r="VUJ209" s="300"/>
      <c r="VUK209" s="300"/>
      <c r="VUL209" s="300"/>
      <c r="VUM209" s="300"/>
      <c r="VUN209" s="300"/>
      <c r="VUO209" s="300"/>
      <c r="VUP209" s="300"/>
      <c r="VUQ209" s="300"/>
      <c r="VUR209" s="300"/>
      <c r="VUS209" s="300"/>
      <c r="VUT209" s="300"/>
      <c r="VUU209" s="300"/>
      <c r="VUV209" s="300"/>
      <c r="VUW209" s="300"/>
      <c r="VUX209" s="300"/>
      <c r="VUY209" s="300"/>
      <c r="VUZ209" s="300"/>
      <c r="VVA209" s="300"/>
      <c r="VVB209" s="300"/>
      <c r="VVC209" s="300"/>
      <c r="VVD209" s="300"/>
      <c r="VVE209" s="300"/>
      <c r="VVF209" s="300"/>
      <c r="VVG209" s="300"/>
      <c r="VVH209" s="300"/>
      <c r="VVI209" s="300"/>
      <c r="VVJ209" s="300"/>
      <c r="VVK209" s="300"/>
      <c r="VVL209" s="300"/>
      <c r="VVM209" s="300"/>
      <c r="VVN209" s="300"/>
      <c r="VVO209" s="300"/>
      <c r="VVP209" s="300"/>
    </row>
    <row r="210" spans="2:102 15068:15460" s="199" customFormat="1" thickBot="1" x14ac:dyDescent="0.3">
      <c r="B210" s="242"/>
      <c r="C210" s="243" t="s">
        <v>1</v>
      </c>
      <c r="D210" s="244">
        <f>SUM(D208:D209)</f>
        <v>1460.001</v>
      </c>
      <c r="E210" s="178" t="s">
        <v>22</v>
      </c>
      <c r="F210" s="245">
        <f t="shared" ref="F210:AH210" si="88">F206</f>
        <v>1533.7299</v>
      </c>
      <c r="G210" s="246">
        <f t="shared" si="88"/>
        <v>1459.9801</v>
      </c>
      <c r="H210" s="246">
        <f t="shared" si="88"/>
        <v>1455.3163999999999</v>
      </c>
      <c r="I210" s="245">
        <f t="shared" si="88"/>
        <v>1247.7655999999999</v>
      </c>
      <c r="J210" s="245">
        <f>J206</f>
        <v>1279.1303</v>
      </c>
      <c r="K210" s="245">
        <f t="shared" si="88"/>
        <v>1347.4766999999999</v>
      </c>
      <c r="L210" s="245">
        <f t="shared" si="88"/>
        <v>1342.6481000000001</v>
      </c>
      <c r="M210" s="245">
        <f t="shared" si="88"/>
        <v>1348.8297</v>
      </c>
      <c r="N210" s="245">
        <f t="shared" si="88"/>
        <v>1256.2234000000001</v>
      </c>
      <c r="O210" s="245">
        <f t="shared" si="88"/>
        <v>1159.4884999999999</v>
      </c>
      <c r="P210" s="245">
        <f t="shared" si="88"/>
        <v>1288.7454</v>
      </c>
      <c r="Q210" s="245">
        <f>Q206</f>
        <v>1318.3661</v>
      </c>
      <c r="R210" s="245">
        <f>R206</f>
        <v>1297.4960000000001</v>
      </c>
      <c r="S210" s="245">
        <f t="shared" si="88"/>
        <v>1240.4944</v>
      </c>
      <c r="T210" s="245">
        <f t="shared" si="88"/>
        <v>1280.6938</v>
      </c>
      <c r="U210" s="245">
        <f t="shared" si="88"/>
        <v>1317.2367999999999</v>
      </c>
      <c r="V210" s="245">
        <f t="shared" si="88"/>
        <v>1363.3030000000001</v>
      </c>
      <c r="W210" s="245">
        <f t="shared" si="88"/>
        <v>1361.8431</v>
      </c>
      <c r="X210" s="245">
        <f t="shared" si="88"/>
        <v>1459.7103999999999</v>
      </c>
      <c r="Y210" s="245">
        <f t="shared" si="88"/>
        <v>1517.5795000000001</v>
      </c>
      <c r="Z210" s="245">
        <f t="shared" si="88"/>
        <v>1374.2080000000001</v>
      </c>
      <c r="AA210" s="245">
        <f t="shared" si="88"/>
        <v>1362.9286999999999</v>
      </c>
      <c r="AB210" s="245">
        <f t="shared" si="88"/>
        <v>1351.2552000000001</v>
      </c>
      <c r="AC210" s="245">
        <f t="shared" si="88"/>
        <v>1384.1563000000001</v>
      </c>
      <c r="AD210" s="245">
        <f t="shared" si="88"/>
        <v>1329.4992</v>
      </c>
      <c r="AE210" s="245">
        <f t="shared" si="88"/>
        <v>1327.1980000000001</v>
      </c>
      <c r="AF210" s="245">
        <f t="shared" si="88"/>
        <v>1187.9437</v>
      </c>
      <c r="AG210" s="245">
        <f t="shared" si="88"/>
        <v>1339.3975</v>
      </c>
      <c r="AH210" s="245">
        <f t="shared" si="88"/>
        <v>1287.1217999999999</v>
      </c>
      <c r="AI210" s="247">
        <f>AI206</f>
        <v>1244.2488000000001</v>
      </c>
      <c r="AK210" s="248">
        <f>SUM(AK208:AK209)</f>
        <v>40064.0144</v>
      </c>
      <c r="CX210" s="323"/>
    </row>
    <row r="211" spans="2:102 15068:15460" s="199" customFormat="1" ht="13.8" x14ac:dyDescent="0.25">
      <c r="B211" s="70">
        <v>9</v>
      </c>
      <c r="C211" s="249" t="s">
        <v>21</v>
      </c>
      <c r="D211" s="250"/>
      <c r="E211" s="250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1"/>
      <c r="AB211" s="251"/>
      <c r="AC211" s="251"/>
      <c r="AD211" s="251"/>
      <c r="AE211" s="251"/>
      <c r="AF211" s="251"/>
      <c r="AG211" s="252"/>
      <c r="AH211" s="252"/>
      <c r="AI211" s="253"/>
      <c r="AK211" s="254" t="s">
        <v>20</v>
      </c>
      <c r="CX211" s="323"/>
    </row>
    <row r="212" spans="2:102 15068:15460" s="199" customFormat="1" ht="13.8" x14ac:dyDescent="0.25">
      <c r="B212" s="70"/>
      <c r="C212" s="71" t="s">
        <v>4</v>
      </c>
      <c r="D212" s="106">
        <f>17000*24</f>
        <v>408000</v>
      </c>
      <c r="E212" s="8" t="s">
        <v>16</v>
      </c>
      <c r="F212" s="190">
        <v>355970</v>
      </c>
      <c r="G212" s="190">
        <v>366045</v>
      </c>
      <c r="H212" s="190">
        <v>308076</v>
      </c>
      <c r="I212" s="190">
        <v>270588</v>
      </c>
      <c r="J212" s="190">
        <v>287433</v>
      </c>
      <c r="K212" s="190">
        <v>305309</v>
      </c>
      <c r="L212" s="190">
        <v>305539</v>
      </c>
      <c r="M212" s="190">
        <v>317130</v>
      </c>
      <c r="N212" s="190">
        <v>289120</v>
      </c>
      <c r="O212" s="190">
        <v>256890</v>
      </c>
      <c r="P212" s="190">
        <v>307070</v>
      </c>
      <c r="Q212" s="190">
        <v>322533</v>
      </c>
      <c r="R212" s="190">
        <v>303149</v>
      </c>
      <c r="S212" s="190">
        <v>287308</v>
      </c>
      <c r="T212" s="190">
        <v>301837</v>
      </c>
      <c r="U212" s="190">
        <v>312066</v>
      </c>
      <c r="V212" s="190">
        <v>315599</v>
      </c>
      <c r="W212" s="190">
        <v>344868</v>
      </c>
      <c r="X212" s="190">
        <v>366949</v>
      </c>
      <c r="Y212" s="190">
        <v>362360</v>
      </c>
      <c r="Z212" s="190">
        <v>329830</v>
      </c>
      <c r="AA212" s="190">
        <v>276469</v>
      </c>
      <c r="AB212" s="190">
        <v>307193</v>
      </c>
      <c r="AC212" s="190">
        <v>312794</v>
      </c>
      <c r="AD212" s="190">
        <v>297338</v>
      </c>
      <c r="AE212" s="190">
        <v>260988</v>
      </c>
      <c r="AF212" s="190">
        <v>272396</v>
      </c>
      <c r="AG212" s="191">
        <v>209589</v>
      </c>
      <c r="AH212" s="191">
        <v>414702</v>
      </c>
      <c r="AI212" s="192">
        <v>286415</v>
      </c>
      <c r="AK212" s="207">
        <f>SUM(F212:AI212)</f>
        <v>9253553</v>
      </c>
      <c r="CX212" s="323"/>
    </row>
    <row r="213" spans="2:102 15068:15460" s="199" customFormat="1" x14ac:dyDescent="0.3">
      <c r="B213" s="70"/>
      <c r="C213" s="74" t="s">
        <v>19</v>
      </c>
      <c r="D213" s="195"/>
      <c r="E213" s="5"/>
      <c r="F213" s="190"/>
      <c r="G213" s="190"/>
      <c r="H213" s="190"/>
      <c r="I213" s="190"/>
      <c r="J213" s="190"/>
      <c r="K213" s="190"/>
      <c r="L213" s="190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  <c r="AA213" s="190"/>
      <c r="AB213" s="190"/>
      <c r="AC213" s="190"/>
      <c r="AD213" s="190"/>
      <c r="AE213" s="190"/>
      <c r="AF213" s="190"/>
      <c r="AG213" s="191"/>
      <c r="AH213" s="191"/>
      <c r="AI213" s="192"/>
      <c r="AK213" s="255" t="s">
        <v>19</v>
      </c>
      <c r="CX213" s="323"/>
    </row>
    <row r="214" spans="2:102 15068:15460" s="3" customFormat="1" x14ac:dyDescent="0.3">
      <c r="B214" s="122"/>
      <c r="C214" s="71" t="s">
        <v>18</v>
      </c>
      <c r="D214" s="106">
        <v>180000</v>
      </c>
      <c r="E214" s="8" t="s">
        <v>16</v>
      </c>
      <c r="F214" s="1">
        <v>175500</v>
      </c>
      <c r="G214" s="1">
        <v>179300</v>
      </c>
      <c r="H214" s="14">
        <v>182200</v>
      </c>
      <c r="I214" s="1">
        <v>174000</v>
      </c>
      <c r="J214" s="1">
        <v>170600</v>
      </c>
      <c r="K214" s="1">
        <v>171600</v>
      </c>
      <c r="L214" s="1">
        <v>164000</v>
      </c>
      <c r="M214" s="1">
        <v>164000</v>
      </c>
      <c r="N214" s="1">
        <v>165000</v>
      </c>
      <c r="O214" s="1">
        <v>158000</v>
      </c>
      <c r="P214" s="1">
        <v>155320</v>
      </c>
      <c r="Q214" s="1">
        <v>158000</v>
      </c>
      <c r="R214" s="1">
        <v>172000</v>
      </c>
      <c r="S214" s="1">
        <v>161000</v>
      </c>
      <c r="T214" s="1">
        <v>168000</v>
      </c>
      <c r="U214" s="1">
        <v>166000</v>
      </c>
      <c r="V214" s="1">
        <v>169000</v>
      </c>
      <c r="W214" s="1">
        <v>176800</v>
      </c>
      <c r="X214" s="1">
        <v>172320</v>
      </c>
      <c r="Y214" s="1">
        <v>168100</v>
      </c>
      <c r="Z214" s="1">
        <v>179100</v>
      </c>
      <c r="AA214" s="1">
        <v>181100</v>
      </c>
      <c r="AB214" s="1">
        <v>184100</v>
      </c>
      <c r="AC214" s="1">
        <v>105500</v>
      </c>
      <c r="AD214" s="1">
        <v>170500</v>
      </c>
      <c r="AE214" s="1">
        <v>162300</v>
      </c>
      <c r="AF214" s="1">
        <v>160500</v>
      </c>
      <c r="AG214" s="51">
        <v>157600</v>
      </c>
      <c r="AH214" s="51">
        <v>147200</v>
      </c>
      <c r="AI214" s="22">
        <v>156800</v>
      </c>
      <c r="AK214" s="104">
        <f>SUM(F214:AI214)</f>
        <v>4975440</v>
      </c>
      <c r="CX214" s="17"/>
      <c r="VGN214" s="300"/>
      <c r="VGO214" s="300"/>
      <c r="VGP214" s="300"/>
      <c r="VGQ214" s="300"/>
      <c r="VGR214" s="300"/>
      <c r="VGS214" s="300"/>
      <c r="VGT214" s="300"/>
      <c r="VGU214" s="300"/>
      <c r="VGV214" s="300"/>
      <c r="VGW214" s="300"/>
      <c r="VGX214" s="300"/>
      <c r="VGY214" s="300"/>
      <c r="VGZ214" s="300"/>
      <c r="VHA214" s="300"/>
      <c r="VHB214" s="300"/>
      <c r="VHC214" s="300"/>
      <c r="VHD214" s="300"/>
      <c r="VHE214" s="300"/>
      <c r="VHF214" s="300"/>
      <c r="VHG214" s="300"/>
      <c r="VHH214" s="300"/>
      <c r="VHI214" s="300"/>
      <c r="VHJ214" s="300"/>
      <c r="VHK214" s="300"/>
      <c r="VHL214" s="300"/>
      <c r="VHM214" s="300"/>
      <c r="VHN214" s="300"/>
      <c r="VHO214" s="300"/>
      <c r="VHP214" s="300"/>
      <c r="VHQ214" s="300"/>
      <c r="VHR214" s="300"/>
      <c r="VHS214" s="300"/>
      <c r="VHT214" s="300"/>
      <c r="VHU214" s="300"/>
      <c r="VHV214" s="300"/>
      <c r="VHW214" s="300"/>
      <c r="VHX214" s="300"/>
      <c r="VHY214" s="300"/>
      <c r="VHZ214" s="300"/>
      <c r="VIA214" s="300"/>
      <c r="VIB214" s="300"/>
      <c r="VIC214" s="300"/>
      <c r="VID214" s="300"/>
      <c r="VIE214" s="300"/>
      <c r="VIF214" s="300"/>
      <c r="VIG214" s="300"/>
      <c r="VIH214" s="300"/>
      <c r="VII214" s="300"/>
      <c r="VIJ214" s="300"/>
      <c r="VIK214" s="300"/>
      <c r="VIL214" s="300"/>
      <c r="VIM214" s="300"/>
      <c r="VIN214" s="300"/>
      <c r="VIO214" s="300"/>
      <c r="VIP214" s="300"/>
      <c r="VIQ214" s="300"/>
      <c r="VIR214" s="300"/>
      <c r="VIS214" s="300"/>
      <c r="VIT214" s="300"/>
      <c r="VIU214" s="300"/>
      <c r="VIV214" s="300"/>
      <c r="VIW214" s="300"/>
      <c r="VIX214" s="300"/>
      <c r="VIY214" s="300"/>
      <c r="VIZ214" s="300"/>
      <c r="VJA214" s="300"/>
      <c r="VJB214" s="300"/>
      <c r="VJC214" s="300"/>
      <c r="VJD214" s="300"/>
      <c r="VJE214" s="300"/>
      <c r="VJF214" s="300"/>
      <c r="VJG214" s="300"/>
      <c r="VJH214" s="300"/>
      <c r="VJI214" s="300"/>
      <c r="VJJ214" s="300"/>
      <c r="VJK214" s="300"/>
      <c r="VJL214" s="300"/>
      <c r="VJM214" s="300"/>
      <c r="VJN214" s="300"/>
      <c r="VJO214" s="300"/>
      <c r="VJP214" s="300"/>
      <c r="VJQ214" s="300"/>
      <c r="VJR214" s="300"/>
      <c r="VJS214" s="300"/>
      <c r="VJT214" s="300"/>
      <c r="VJU214" s="300"/>
      <c r="VJV214" s="300"/>
      <c r="VJW214" s="300"/>
      <c r="VJX214" s="300"/>
      <c r="VJY214" s="300"/>
      <c r="VJZ214" s="300"/>
      <c r="VKA214" s="300"/>
      <c r="VKB214" s="300"/>
      <c r="VKC214" s="300"/>
      <c r="VKD214" s="300"/>
      <c r="VKE214" s="300"/>
      <c r="VKF214" s="300"/>
      <c r="VKG214" s="300"/>
      <c r="VKH214" s="300"/>
      <c r="VKI214" s="300"/>
      <c r="VKJ214" s="300"/>
      <c r="VKK214" s="300"/>
      <c r="VKL214" s="300"/>
      <c r="VKM214" s="300"/>
      <c r="VKN214" s="300"/>
      <c r="VKO214" s="300"/>
      <c r="VKP214" s="300"/>
      <c r="VKQ214" s="300"/>
      <c r="VKR214" s="300"/>
      <c r="VKS214" s="300"/>
      <c r="VKT214" s="300"/>
      <c r="VKU214" s="300"/>
      <c r="VKV214" s="300"/>
      <c r="VKW214" s="300"/>
      <c r="VKX214" s="300"/>
      <c r="VKY214" s="300"/>
      <c r="VKZ214" s="300"/>
      <c r="VLA214" s="300"/>
      <c r="VLB214" s="300"/>
      <c r="VLC214" s="300"/>
      <c r="VLD214" s="300"/>
      <c r="VLE214" s="300"/>
      <c r="VLF214" s="300"/>
      <c r="VLG214" s="300"/>
      <c r="VLH214" s="300"/>
      <c r="VLI214" s="300"/>
      <c r="VLJ214" s="300"/>
      <c r="VLK214" s="300"/>
      <c r="VLL214" s="300"/>
      <c r="VLM214" s="300"/>
      <c r="VLN214" s="300"/>
      <c r="VLO214" s="300"/>
      <c r="VLP214" s="300"/>
      <c r="VLQ214" s="300"/>
      <c r="VLR214" s="300"/>
      <c r="VLS214" s="300"/>
      <c r="VLT214" s="300"/>
      <c r="VLU214" s="300"/>
      <c r="VLV214" s="300"/>
      <c r="VLW214" s="300"/>
      <c r="VLX214" s="300"/>
      <c r="VLY214" s="300"/>
      <c r="VLZ214" s="300"/>
      <c r="VMA214" s="300"/>
      <c r="VMB214" s="300"/>
      <c r="VMC214" s="300"/>
      <c r="VMD214" s="300"/>
      <c r="VME214" s="300"/>
      <c r="VMF214" s="300"/>
      <c r="VMG214" s="300"/>
      <c r="VMH214" s="300"/>
      <c r="VMI214" s="300"/>
      <c r="VMJ214" s="300"/>
      <c r="VMK214" s="300"/>
      <c r="VML214" s="300"/>
      <c r="VMM214" s="300"/>
      <c r="VMN214" s="300"/>
      <c r="VMO214" s="300"/>
      <c r="VMP214" s="300"/>
      <c r="VMQ214" s="300"/>
      <c r="VMR214" s="300"/>
      <c r="VMS214" s="300"/>
      <c r="VMT214" s="300"/>
      <c r="VMU214" s="300"/>
      <c r="VMV214" s="300"/>
      <c r="VMW214" s="300"/>
      <c r="VMX214" s="300"/>
      <c r="VMY214" s="300"/>
      <c r="VMZ214" s="300"/>
      <c r="VNA214" s="300"/>
      <c r="VNB214" s="300"/>
      <c r="VNC214" s="300"/>
      <c r="VND214" s="300"/>
      <c r="VNE214" s="300"/>
      <c r="VNF214" s="300"/>
      <c r="VNG214" s="300"/>
      <c r="VNH214" s="300"/>
      <c r="VNI214" s="300"/>
      <c r="VNJ214" s="300"/>
      <c r="VNK214" s="300"/>
      <c r="VNL214" s="300"/>
      <c r="VNM214" s="300"/>
      <c r="VNN214" s="300"/>
      <c r="VNO214" s="300"/>
      <c r="VNP214" s="300"/>
      <c r="VNQ214" s="300"/>
      <c r="VNR214" s="300"/>
      <c r="VNS214" s="300"/>
      <c r="VNT214" s="300"/>
      <c r="VNU214" s="300"/>
      <c r="VNV214" s="300"/>
      <c r="VNW214" s="300"/>
      <c r="VNX214" s="300"/>
      <c r="VNY214" s="300"/>
      <c r="VNZ214" s="300"/>
      <c r="VOA214" s="300"/>
      <c r="VOB214" s="300"/>
      <c r="VOC214" s="300"/>
      <c r="VOD214" s="300"/>
      <c r="VOE214" s="300"/>
      <c r="VOF214" s="300"/>
      <c r="VOG214" s="300"/>
      <c r="VOH214" s="300"/>
      <c r="VOI214" s="300"/>
      <c r="VOJ214" s="300"/>
      <c r="VOK214" s="300"/>
      <c r="VOL214" s="300"/>
      <c r="VOM214" s="300"/>
      <c r="VON214" s="300"/>
      <c r="VOO214" s="300"/>
      <c r="VOP214" s="300"/>
      <c r="VOQ214" s="300"/>
      <c r="VOR214" s="300"/>
      <c r="VOS214" s="300"/>
      <c r="VOT214" s="300"/>
      <c r="VOU214" s="300"/>
      <c r="VOV214" s="300"/>
      <c r="VOW214" s="300"/>
      <c r="VOX214" s="300"/>
      <c r="VOY214" s="300"/>
      <c r="VOZ214" s="300"/>
      <c r="VPA214" s="300"/>
      <c r="VPB214" s="300"/>
      <c r="VPC214" s="300"/>
      <c r="VPD214" s="300"/>
      <c r="VPE214" s="300"/>
      <c r="VPF214" s="300"/>
      <c r="VPG214" s="300"/>
      <c r="VPH214" s="300"/>
      <c r="VPI214" s="300"/>
      <c r="VPJ214" s="300"/>
      <c r="VPK214" s="300"/>
      <c r="VPL214" s="300"/>
      <c r="VPM214" s="300"/>
      <c r="VPN214" s="300"/>
      <c r="VPO214" s="300"/>
      <c r="VPP214" s="300"/>
      <c r="VPQ214" s="300"/>
      <c r="VPR214" s="300"/>
      <c r="VPS214" s="300"/>
      <c r="VPT214" s="300"/>
      <c r="VPU214" s="300"/>
      <c r="VPV214" s="300"/>
      <c r="VPW214" s="300"/>
      <c r="VPX214" s="300"/>
      <c r="VPY214" s="300"/>
      <c r="VPZ214" s="300"/>
      <c r="VQA214" s="300"/>
      <c r="VQB214" s="300"/>
      <c r="VQC214" s="300"/>
      <c r="VQD214" s="300"/>
      <c r="VQE214" s="300"/>
      <c r="VQF214" s="300"/>
      <c r="VQG214" s="300"/>
      <c r="VQH214" s="300"/>
      <c r="VQI214" s="300"/>
      <c r="VQJ214" s="300"/>
      <c r="VQK214" s="300"/>
      <c r="VQL214" s="300"/>
      <c r="VQM214" s="300"/>
      <c r="VQN214" s="300"/>
      <c r="VQO214" s="300"/>
      <c r="VQP214" s="300"/>
      <c r="VQQ214" s="300"/>
      <c r="VQR214" s="300"/>
      <c r="VQS214" s="300"/>
      <c r="VQT214" s="300"/>
      <c r="VQU214" s="300"/>
      <c r="VQV214" s="300"/>
      <c r="VQW214" s="300"/>
      <c r="VQX214" s="300"/>
      <c r="VQY214" s="300"/>
      <c r="VQZ214" s="300"/>
      <c r="VRA214" s="300"/>
      <c r="VRB214" s="300"/>
      <c r="VRC214" s="300"/>
      <c r="VRD214" s="300"/>
      <c r="VRE214" s="300"/>
      <c r="VRF214" s="300"/>
      <c r="VRG214" s="300"/>
      <c r="VRH214" s="300"/>
      <c r="VRI214" s="300"/>
      <c r="VRJ214" s="300"/>
      <c r="VRK214" s="300"/>
      <c r="VRL214" s="300"/>
      <c r="VRM214" s="300"/>
      <c r="VRN214" s="300"/>
      <c r="VRO214" s="300"/>
      <c r="VRP214" s="300"/>
      <c r="VRQ214" s="300"/>
      <c r="VRR214" s="300"/>
      <c r="VRS214" s="300"/>
      <c r="VRT214" s="300"/>
      <c r="VRU214" s="300"/>
      <c r="VRV214" s="300"/>
      <c r="VRW214" s="300"/>
      <c r="VRX214" s="300"/>
      <c r="VRY214" s="300"/>
      <c r="VRZ214" s="300"/>
      <c r="VSA214" s="300"/>
      <c r="VSB214" s="300"/>
      <c r="VSC214" s="300"/>
      <c r="VSD214" s="300"/>
      <c r="VSE214" s="300"/>
      <c r="VSF214" s="300"/>
      <c r="VSG214" s="300"/>
      <c r="VSH214" s="300"/>
      <c r="VSI214" s="300"/>
      <c r="VSJ214" s="300"/>
      <c r="VSK214" s="300"/>
      <c r="VSL214" s="300"/>
      <c r="VSM214" s="300"/>
      <c r="VSN214" s="300"/>
      <c r="VSO214" s="300"/>
      <c r="VSP214" s="300"/>
      <c r="VSQ214" s="300"/>
      <c r="VSR214" s="300"/>
      <c r="VSS214" s="300"/>
      <c r="VST214" s="300"/>
      <c r="VSU214" s="300"/>
      <c r="VSV214" s="300"/>
      <c r="VSW214" s="300"/>
      <c r="VSX214" s="300"/>
      <c r="VSY214" s="300"/>
      <c r="VSZ214" s="300"/>
      <c r="VTA214" s="300"/>
      <c r="VTB214" s="300"/>
      <c r="VTC214" s="300"/>
      <c r="VTD214" s="300"/>
      <c r="VTE214" s="300"/>
      <c r="VTF214" s="300"/>
      <c r="VTG214" s="300"/>
      <c r="VTH214" s="300"/>
      <c r="VTI214" s="300"/>
      <c r="VTJ214" s="300"/>
      <c r="VTK214" s="300"/>
      <c r="VTL214" s="300"/>
      <c r="VTM214" s="300"/>
      <c r="VTN214" s="300"/>
      <c r="VTO214" s="300"/>
      <c r="VTP214" s="300"/>
      <c r="VTQ214" s="300"/>
      <c r="VTR214" s="300"/>
      <c r="VTS214" s="300"/>
      <c r="VTT214" s="300"/>
      <c r="VTU214" s="300"/>
      <c r="VTV214" s="300"/>
      <c r="VTW214" s="300"/>
      <c r="VTX214" s="300"/>
      <c r="VTY214" s="300"/>
      <c r="VTZ214" s="300"/>
      <c r="VUA214" s="300"/>
      <c r="VUB214" s="300"/>
      <c r="VUC214" s="300"/>
      <c r="VUD214" s="300"/>
      <c r="VUE214" s="300"/>
      <c r="VUF214" s="300"/>
      <c r="VUG214" s="300"/>
      <c r="VUH214" s="300"/>
      <c r="VUI214" s="300"/>
      <c r="VUJ214" s="300"/>
      <c r="VUK214" s="300"/>
      <c r="VUL214" s="300"/>
      <c r="VUM214" s="300"/>
      <c r="VUN214" s="300"/>
      <c r="VUO214" s="300"/>
      <c r="VUP214" s="300"/>
      <c r="VUQ214" s="300"/>
      <c r="VUR214" s="300"/>
      <c r="VUS214" s="300"/>
      <c r="VUT214" s="300"/>
      <c r="VUU214" s="300"/>
      <c r="VUV214" s="300"/>
      <c r="VUW214" s="300"/>
      <c r="VUX214" s="300"/>
      <c r="VUY214" s="300"/>
      <c r="VUZ214" s="300"/>
      <c r="VVA214" s="300"/>
      <c r="VVB214" s="300"/>
      <c r="VVC214" s="300"/>
      <c r="VVD214" s="300"/>
      <c r="VVE214" s="300"/>
      <c r="VVF214" s="300"/>
      <c r="VVG214" s="300"/>
      <c r="VVH214" s="300"/>
      <c r="VVI214" s="300"/>
      <c r="VVJ214" s="300"/>
      <c r="VVK214" s="300"/>
      <c r="VVL214" s="300"/>
      <c r="VVM214" s="300"/>
      <c r="VVN214" s="300"/>
      <c r="VVO214" s="300"/>
      <c r="VVP214" s="300"/>
    </row>
    <row r="215" spans="2:102 15068:15460" s="3" customFormat="1" x14ac:dyDescent="0.3">
      <c r="B215" s="122"/>
      <c r="C215" s="71" t="s">
        <v>17</v>
      </c>
      <c r="D215" s="106">
        <v>122000</v>
      </c>
      <c r="E215" s="8" t="s">
        <v>16</v>
      </c>
      <c r="F215" s="1">
        <v>88900</v>
      </c>
      <c r="G215" s="1">
        <v>85900</v>
      </c>
      <c r="H215" s="1">
        <v>91000</v>
      </c>
      <c r="I215" s="1">
        <v>87400</v>
      </c>
      <c r="J215" s="1">
        <v>83600</v>
      </c>
      <c r="K215" s="1">
        <v>84800</v>
      </c>
      <c r="L215" s="1">
        <v>80700</v>
      </c>
      <c r="M215" s="1">
        <v>92400</v>
      </c>
      <c r="N215" s="1">
        <v>80300</v>
      </c>
      <c r="O215" s="1">
        <v>78700</v>
      </c>
      <c r="P215" s="1">
        <v>94100</v>
      </c>
      <c r="Q215" s="1">
        <v>96600</v>
      </c>
      <c r="R215" s="1">
        <v>100000</v>
      </c>
      <c r="S215" s="1">
        <v>105600</v>
      </c>
      <c r="T215" s="1">
        <v>122000</v>
      </c>
      <c r="U215" s="1">
        <v>120000</v>
      </c>
      <c r="V215" s="1">
        <v>117000</v>
      </c>
      <c r="W215" s="1">
        <v>107800</v>
      </c>
      <c r="X215" s="1">
        <v>120400</v>
      </c>
      <c r="Y215" s="1">
        <v>109400</v>
      </c>
      <c r="Z215" s="1">
        <v>100900</v>
      </c>
      <c r="AA215" s="1">
        <v>76000</v>
      </c>
      <c r="AB215" s="1">
        <v>98000</v>
      </c>
      <c r="AC215" s="1">
        <v>98000</v>
      </c>
      <c r="AD215" s="1">
        <v>101400</v>
      </c>
      <c r="AE215" s="10">
        <v>73.5</v>
      </c>
      <c r="AF215" s="1">
        <v>74100</v>
      </c>
      <c r="AG215" s="51">
        <v>71300</v>
      </c>
      <c r="AH215" s="51">
        <v>80400</v>
      </c>
      <c r="AI215" s="22">
        <v>84100</v>
      </c>
      <c r="AK215" s="104">
        <f>SUM(F215:AI215)</f>
        <v>2730873.5</v>
      </c>
      <c r="CX215" s="17"/>
      <c r="VGN215" s="300"/>
      <c r="VGO215" s="300"/>
      <c r="VGP215" s="300"/>
      <c r="VGQ215" s="300"/>
      <c r="VGR215" s="300"/>
      <c r="VGS215" s="300"/>
      <c r="VGT215" s="300"/>
      <c r="VGU215" s="300"/>
      <c r="VGV215" s="300"/>
      <c r="VGW215" s="300"/>
      <c r="VGX215" s="300"/>
      <c r="VGY215" s="300"/>
      <c r="VGZ215" s="300"/>
      <c r="VHA215" s="300"/>
      <c r="VHB215" s="300"/>
      <c r="VHC215" s="300"/>
      <c r="VHD215" s="300"/>
      <c r="VHE215" s="300"/>
      <c r="VHF215" s="300"/>
      <c r="VHG215" s="300"/>
      <c r="VHH215" s="300"/>
      <c r="VHI215" s="300"/>
      <c r="VHJ215" s="300"/>
      <c r="VHK215" s="300"/>
      <c r="VHL215" s="300"/>
      <c r="VHM215" s="300"/>
      <c r="VHN215" s="300"/>
      <c r="VHO215" s="300"/>
      <c r="VHP215" s="300"/>
      <c r="VHQ215" s="300"/>
      <c r="VHR215" s="300"/>
      <c r="VHS215" s="300"/>
      <c r="VHT215" s="300"/>
      <c r="VHU215" s="300"/>
      <c r="VHV215" s="300"/>
      <c r="VHW215" s="300"/>
      <c r="VHX215" s="300"/>
      <c r="VHY215" s="300"/>
      <c r="VHZ215" s="300"/>
      <c r="VIA215" s="300"/>
      <c r="VIB215" s="300"/>
      <c r="VIC215" s="300"/>
      <c r="VID215" s="300"/>
      <c r="VIE215" s="300"/>
      <c r="VIF215" s="300"/>
      <c r="VIG215" s="300"/>
      <c r="VIH215" s="300"/>
      <c r="VII215" s="300"/>
      <c r="VIJ215" s="300"/>
      <c r="VIK215" s="300"/>
      <c r="VIL215" s="300"/>
      <c r="VIM215" s="300"/>
      <c r="VIN215" s="300"/>
      <c r="VIO215" s="300"/>
      <c r="VIP215" s="300"/>
      <c r="VIQ215" s="300"/>
      <c r="VIR215" s="300"/>
      <c r="VIS215" s="300"/>
      <c r="VIT215" s="300"/>
      <c r="VIU215" s="300"/>
      <c r="VIV215" s="300"/>
      <c r="VIW215" s="300"/>
      <c r="VIX215" s="300"/>
      <c r="VIY215" s="300"/>
      <c r="VIZ215" s="300"/>
      <c r="VJA215" s="300"/>
      <c r="VJB215" s="300"/>
      <c r="VJC215" s="300"/>
      <c r="VJD215" s="300"/>
      <c r="VJE215" s="300"/>
      <c r="VJF215" s="300"/>
      <c r="VJG215" s="300"/>
      <c r="VJH215" s="300"/>
      <c r="VJI215" s="300"/>
      <c r="VJJ215" s="300"/>
      <c r="VJK215" s="300"/>
      <c r="VJL215" s="300"/>
      <c r="VJM215" s="300"/>
      <c r="VJN215" s="300"/>
      <c r="VJO215" s="300"/>
      <c r="VJP215" s="300"/>
      <c r="VJQ215" s="300"/>
      <c r="VJR215" s="300"/>
      <c r="VJS215" s="300"/>
      <c r="VJT215" s="300"/>
      <c r="VJU215" s="300"/>
      <c r="VJV215" s="300"/>
      <c r="VJW215" s="300"/>
      <c r="VJX215" s="300"/>
      <c r="VJY215" s="300"/>
      <c r="VJZ215" s="300"/>
      <c r="VKA215" s="300"/>
      <c r="VKB215" s="300"/>
      <c r="VKC215" s="300"/>
      <c r="VKD215" s="300"/>
      <c r="VKE215" s="300"/>
      <c r="VKF215" s="300"/>
      <c r="VKG215" s="300"/>
      <c r="VKH215" s="300"/>
      <c r="VKI215" s="300"/>
      <c r="VKJ215" s="300"/>
      <c r="VKK215" s="300"/>
      <c r="VKL215" s="300"/>
      <c r="VKM215" s="300"/>
      <c r="VKN215" s="300"/>
      <c r="VKO215" s="300"/>
      <c r="VKP215" s="300"/>
      <c r="VKQ215" s="300"/>
      <c r="VKR215" s="300"/>
      <c r="VKS215" s="300"/>
      <c r="VKT215" s="300"/>
      <c r="VKU215" s="300"/>
      <c r="VKV215" s="300"/>
      <c r="VKW215" s="300"/>
      <c r="VKX215" s="300"/>
      <c r="VKY215" s="300"/>
      <c r="VKZ215" s="300"/>
      <c r="VLA215" s="300"/>
      <c r="VLB215" s="300"/>
      <c r="VLC215" s="300"/>
      <c r="VLD215" s="300"/>
      <c r="VLE215" s="300"/>
      <c r="VLF215" s="300"/>
      <c r="VLG215" s="300"/>
      <c r="VLH215" s="300"/>
      <c r="VLI215" s="300"/>
      <c r="VLJ215" s="300"/>
      <c r="VLK215" s="300"/>
      <c r="VLL215" s="300"/>
      <c r="VLM215" s="300"/>
      <c r="VLN215" s="300"/>
      <c r="VLO215" s="300"/>
      <c r="VLP215" s="300"/>
      <c r="VLQ215" s="300"/>
      <c r="VLR215" s="300"/>
      <c r="VLS215" s="300"/>
      <c r="VLT215" s="300"/>
      <c r="VLU215" s="300"/>
      <c r="VLV215" s="300"/>
      <c r="VLW215" s="300"/>
      <c r="VLX215" s="300"/>
      <c r="VLY215" s="300"/>
      <c r="VLZ215" s="300"/>
      <c r="VMA215" s="300"/>
      <c r="VMB215" s="300"/>
      <c r="VMC215" s="300"/>
      <c r="VMD215" s="300"/>
      <c r="VME215" s="300"/>
      <c r="VMF215" s="300"/>
      <c r="VMG215" s="300"/>
      <c r="VMH215" s="300"/>
      <c r="VMI215" s="300"/>
      <c r="VMJ215" s="300"/>
      <c r="VMK215" s="300"/>
      <c r="VML215" s="300"/>
      <c r="VMM215" s="300"/>
      <c r="VMN215" s="300"/>
      <c r="VMO215" s="300"/>
      <c r="VMP215" s="300"/>
      <c r="VMQ215" s="300"/>
      <c r="VMR215" s="300"/>
      <c r="VMS215" s="300"/>
      <c r="VMT215" s="300"/>
      <c r="VMU215" s="300"/>
      <c r="VMV215" s="300"/>
      <c r="VMW215" s="300"/>
      <c r="VMX215" s="300"/>
      <c r="VMY215" s="300"/>
      <c r="VMZ215" s="300"/>
      <c r="VNA215" s="300"/>
      <c r="VNB215" s="300"/>
      <c r="VNC215" s="300"/>
      <c r="VND215" s="300"/>
      <c r="VNE215" s="300"/>
      <c r="VNF215" s="300"/>
      <c r="VNG215" s="300"/>
      <c r="VNH215" s="300"/>
      <c r="VNI215" s="300"/>
      <c r="VNJ215" s="300"/>
      <c r="VNK215" s="300"/>
      <c r="VNL215" s="300"/>
      <c r="VNM215" s="300"/>
      <c r="VNN215" s="300"/>
      <c r="VNO215" s="300"/>
      <c r="VNP215" s="300"/>
      <c r="VNQ215" s="300"/>
      <c r="VNR215" s="300"/>
      <c r="VNS215" s="300"/>
      <c r="VNT215" s="300"/>
      <c r="VNU215" s="300"/>
      <c r="VNV215" s="300"/>
      <c r="VNW215" s="300"/>
      <c r="VNX215" s="300"/>
      <c r="VNY215" s="300"/>
      <c r="VNZ215" s="300"/>
      <c r="VOA215" s="300"/>
      <c r="VOB215" s="300"/>
      <c r="VOC215" s="300"/>
      <c r="VOD215" s="300"/>
      <c r="VOE215" s="300"/>
      <c r="VOF215" s="300"/>
      <c r="VOG215" s="300"/>
      <c r="VOH215" s="300"/>
      <c r="VOI215" s="300"/>
      <c r="VOJ215" s="300"/>
      <c r="VOK215" s="300"/>
      <c r="VOL215" s="300"/>
      <c r="VOM215" s="300"/>
      <c r="VON215" s="300"/>
      <c r="VOO215" s="300"/>
      <c r="VOP215" s="300"/>
      <c r="VOQ215" s="300"/>
      <c r="VOR215" s="300"/>
      <c r="VOS215" s="300"/>
      <c r="VOT215" s="300"/>
      <c r="VOU215" s="300"/>
      <c r="VOV215" s="300"/>
      <c r="VOW215" s="300"/>
      <c r="VOX215" s="300"/>
      <c r="VOY215" s="300"/>
      <c r="VOZ215" s="300"/>
      <c r="VPA215" s="300"/>
      <c r="VPB215" s="300"/>
      <c r="VPC215" s="300"/>
      <c r="VPD215" s="300"/>
      <c r="VPE215" s="300"/>
      <c r="VPF215" s="300"/>
      <c r="VPG215" s="300"/>
      <c r="VPH215" s="300"/>
      <c r="VPI215" s="300"/>
      <c r="VPJ215" s="300"/>
      <c r="VPK215" s="300"/>
      <c r="VPL215" s="300"/>
      <c r="VPM215" s="300"/>
      <c r="VPN215" s="300"/>
      <c r="VPO215" s="300"/>
      <c r="VPP215" s="300"/>
      <c r="VPQ215" s="300"/>
      <c r="VPR215" s="300"/>
      <c r="VPS215" s="300"/>
      <c r="VPT215" s="300"/>
      <c r="VPU215" s="300"/>
      <c r="VPV215" s="300"/>
      <c r="VPW215" s="300"/>
      <c r="VPX215" s="300"/>
      <c r="VPY215" s="300"/>
      <c r="VPZ215" s="300"/>
      <c r="VQA215" s="300"/>
      <c r="VQB215" s="300"/>
      <c r="VQC215" s="300"/>
      <c r="VQD215" s="300"/>
      <c r="VQE215" s="300"/>
      <c r="VQF215" s="300"/>
      <c r="VQG215" s="300"/>
      <c r="VQH215" s="300"/>
      <c r="VQI215" s="300"/>
      <c r="VQJ215" s="300"/>
      <c r="VQK215" s="300"/>
      <c r="VQL215" s="300"/>
      <c r="VQM215" s="300"/>
      <c r="VQN215" s="300"/>
      <c r="VQO215" s="300"/>
      <c r="VQP215" s="300"/>
      <c r="VQQ215" s="300"/>
      <c r="VQR215" s="300"/>
      <c r="VQS215" s="300"/>
      <c r="VQT215" s="300"/>
      <c r="VQU215" s="300"/>
      <c r="VQV215" s="300"/>
      <c r="VQW215" s="300"/>
      <c r="VQX215" s="300"/>
      <c r="VQY215" s="300"/>
      <c r="VQZ215" s="300"/>
      <c r="VRA215" s="300"/>
      <c r="VRB215" s="300"/>
      <c r="VRC215" s="300"/>
      <c r="VRD215" s="300"/>
      <c r="VRE215" s="300"/>
      <c r="VRF215" s="300"/>
      <c r="VRG215" s="300"/>
      <c r="VRH215" s="300"/>
      <c r="VRI215" s="300"/>
      <c r="VRJ215" s="300"/>
      <c r="VRK215" s="300"/>
      <c r="VRL215" s="300"/>
      <c r="VRM215" s="300"/>
      <c r="VRN215" s="300"/>
      <c r="VRO215" s="300"/>
      <c r="VRP215" s="300"/>
      <c r="VRQ215" s="300"/>
      <c r="VRR215" s="300"/>
      <c r="VRS215" s="300"/>
      <c r="VRT215" s="300"/>
      <c r="VRU215" s="300"/>
      <c r="VRV215" s="300"/>
      <c r="VRW215" s="300"/>
      <c r="VRX215" s="300"/>
      <c r="VRY215" s="300"/>
      <c r="VRZ215" s="300"/>
      <c r="VSA215" s="300"/>
      <c r="VSB215" s="300"/>
      <c r="VSC215" s="300"/>
      <c r="VSD215" s="300"/>
      <c r="VSE215" s="300"/>
      <c r="VSF215" s="300"/>
      <c r="VSG215" s="300"/>
      <c r="VSH215" s="300"/>
      <c r="VSI215" s="300"/>
      <c r="VSJ215" s="300"/>
      <c r="VSK215" s="300"/>
      <c r="VSL215" s="300"/>
      <c r="VSM215" s="300"/>
      <c r="VSN215" s="300"/>
      <c r="VSO215" s="300"/>
      <c r="VSP215" s="300"/>
      <c r="VSQ215" s="300"/>
      <c r="VSR215" s="300"/>
      <c r="VSS215" s="300"/>
      <c r="VST215" s="300"/>
      <c r="VSU215" s="300"/>
      <c r="VSV215" s="300"/>
      <c r="VSW215" s="300"/>
      <c r="VSX215" s="300"/>
      <c r="VSY215" s="300"/>
      <c r="VSZ215" s="300"/>
      <c r="VTA215" s="300"/>
      <c r="VTB215" s="300"/>
      <c r="VTC215" s="300"/>
      <c r="VTD215" s="300"/>
      <c r="VTE215" s="300"/>
      <c r="VTF215" s="300"/>
      <c r="VTG215" s="300"/>
      <c r="VTH215" s="300"/>
      <c r="VTI215" s="300"/>
      <c r="VTJ215" s="300"/>
      <c r="VTK215" s="300"/>
      <c r="VTL215" s="300"/>
      <c r="VTM215" s="300"/>
      <c r="VTN215" s="300"/>
      <c r="VTO215" s="300"/>
      <c r="VTP215" s="300"/>
      <c r="VTQ215" s="300"/>
      <c r="VTR215" s="300"/>
      <c r="VTS215" s="300"/>
      <c r="VTT215" s="300"/>
      <c r="VTU215" s="300"/>
      <c r="VTV215" s="300"/>
      <c r="VTW215" s="300"/>
      <c r="VTX215" s="300"/>
      <c r="VTY215" s="300"/>
      <c r="VTZ215" s="300"/>
      <c r="VUA215" s="300"/>
      <c r="VUB215" s="300"/>
      <c r="VUC215" s="300"/>
      <c r="VUD215" s="300"/>
      <c r="VUE215" s="300"/>
      <c r="VUF215" s="300"/>
      <c r="VUG215" s="300"/>
      <c r="VUH215" s="300"/>
      <c r="VUI215" s="300"/>
      <c r="VUJ215" s="300"/>
      <c r="VUK215" s="300"/>
      <c r="VUL215" s="300"/>
      <c r="VUM215" s="300"/>
      <c r="VUN215" s="300"/>
      <c r="VUO215" s="300"/>
      <c r="VUP215" s="300"/>
      <c r="VUQ215" s="300"/>
      <c r="VUR215" s="300"/>
      <c r="VUS215" s="300"/>
      <c r="VUT215" s="300"/>
      <c r="VUU215" s="300"/>
      <c r="VUV215" s="300"/>
      <c r="VUW215" s="300"/>
      <c r="VUX215" s="300"/>
      <c r="VUY215" s="300"/>
      <c r="VUZ215" s="300"/>
      <c r="VVA215" s="300"/>
      <c r="VVB215" s="300"/>
      <c r="VVC215" s="300"/>
      <c r="VVD215" s="300"/>
      <c r="VVE215" s="300"/>
      <c r="VVF215" s="300"/>
      <c r="VVG215" s="300"/>
      <c r="VVH215" s="300"/>
      <c r="VVI215" s="300"/>
      <c r="VVJ215" s="300"/>
      <c r="VVK215" s="300"/>
      <c r="VVL215" s="300"/>
      <c r="VVM215" s="300"/>
      <c r="VVN215" s="300"/>
      <c r="VVO215" s="300"/>
      <c r="VVP215" s="300"/>
    </row>
    <row r="216" spans="2:102 15068:15460" s="3" customFormat="1" x14ac:dyDescent="0.3">
      <c r="B216" s="122"/>
      <c r="C216" s="71" t="s">
        <v>8</v>
      </c>
      <c r="D216" s="106">
        <f>D212-D214-D215</f>
        <v>106000</v>
      </c>
      <c r="E216" s="8" t="s">
        <v>16</v>
      </c>
      <c r="F216" s="1">
        <f t="shared" ref="F216:AH216" si="89">F212-F214-F215</f>
        <v>91570</v>
      </c>
      <c r="G216" s="1">
        <f t="shared" si="89"/>
        <v>100845</v>
      </c>
      <c r="H216" s="1">
        <f t="shared" si="89"/>
        <v>34876</v>
      </c>
      <c r="I216" s="1">
        <f t="shared" si="89"/>
        <v>9188</v>
      </c>
      <c r="J216" s="1">
        <f t="shared" si="89"/>
        <v>33233</v>
      </c>
      <c r="K216" s="1">
        <f t="shared" si="89"/>
        <v>48909</v>
      </c>
      <c r="L216" s="1">
        <f t="shared" si="89"/>
        <v>60839</v>
      </c>
      <c r="M216" s="1">
        <f t="shared" si="89"/>
        <v>60730</v>
      </c>
      <c r="N216" s="1">
        <f t="shared" si="89"/>
        <v>43820</v>
      </c>
      <c r="O216" s="1">
        <f t="shared" si="89"/>
        <v>20190</v>
      </c>
      <c r="P216" s="1">
        <f t="shared" si="89"/>
        <v>57650</v>
      </c>
      <c r="Q216" s="1">
        <f t="shared" si="89"/>
        <v>67933</v>
      </c>
      <c r="R216" s="1">
        <f t="shared" si="89"/>
        <v>31149</v>
      </c>
      <c r="S216" s="1">
        <f t="shared" si="89"/>
        <v>20708</v>
      </c>
      <c r="T216" s="1">
        <f t="shared" si="89"/>
        <v>11837</v>
      </c>
      <c r="U216" s="1">
        <f t="shared" si="89"/>
        <v>26066</v>
      </c>
      <c r="V216" s="1">
        <f t="shared" si="89"/>
        <v>29599</v>
      </c>
      <c r="W216" s="1">
        <f t="shared" si="89"/>
        <v>60268</v>
      </c>
      <c r="X216" s="1">
        <f t="shared" si="89"/>
        <v>74229</v>
      </c>
      <c r="Y216" s="1">
        <f t="shared" si="89"/>
        <v>84860</v>
      </c>
      <c r="Z216" s="1">
        <f t="shared" si="89"/>
        <v>49830</v>
      </c>
      <c r="AA216" s="1">
        <f t="shared" si="89"/>
        <v>19369</v>
      </c>
      <c r="AB216" s="1">
        <f t="shared" si="89"/>
        <v>25093</v>
      </c>
      <c r="AC216" s="1">
        <f t="shared" si="89"/>
        <v>109294</v>
      </c>
      <c r="AD216" s="1">
        <f t="shared" si="89"/>
        <v>25438</v>
      </c>
      <c r="AE216" s="1">
        <f t="shared" si="89"/>
        <v>98614.5</v>
      </c>
      <c r="AF216" s="1">
        <f t="shared" si="89"/>
        <v>37796</v>
      </c>
      <c r="AG216" s="1">
        <f t="shared" si="89"/>
        <v>-19311</v>
      </c>
      <c r="AH216" s="1">
        <f t="shared" si="89"/>
        <v>187102</v>
      </c>
      <c r="AI216" s="22">
        <f>AI212-AI214-AI215</f>
        <v>45515</v>
      </c>
      <c r="AK216" s="104">
        <f>SUM(F216:AI216)</f>
        <v>1547239.5</v>
      </c>
      <c r="CX216" s="17"/>
      <c r="VGN216" s="300"/>
      <c r="VGO216" s="300"/>
      <c r="VGP216" s="300"/>
      <c r="VGQ216" s="300"/>
      <c r="VGR216" s="300"/>
      <c r="VGS216" s="300"/>
      <c r="VGT216" s="300"/>
      <c r="VGU216" s="300"/>
      <c r="VGV216" s="300"/>
      <c r="VGW216" s="300"/>
      <c r="VGX216" s="300"/>
      <c r="VGY216" s="300"/>
      <c r="VGZ216" s="300"/>
      <c r="VHA216" s="300"/>
      <c r="VHB216" s="300"/>
      <c r="VHC216" s="300"/>
      <c r="VHD216" s="300"/>
      <c r="VHE216" s="300"/>
      <c r="VHF216" s="300"/>
      <c r="VHG216" s="300"/>
      <c r="VHH216" s="300"/>
      <c r="VHI216" s="300"/>
      <c r="VHJ216" s="300"/>
      <c r="VHK216" s="300"/>
      <c r="VHL216" s="300"/>
      <c r="VHM216" s="300"/>
      <c r="VHN216" s="300"/>
      <c r="VHO216" s="300"/>
      <c r="VHP216" s="300"/>
      <c r="VHQ216" s="300"/>
      <c r="VHR216" s="300"/>
      <c r="VHS216" s="300"/>
      <c r="VHT216" s="300"/>
      <c r="VHU216" s="300"/>
      <c r="VHV216" s="300"/>
      <c r="VHW216" s="300"/>
      <c r="VHX216" s="300"/>
      <c r="VHY216" s="300"/>
      <c r="VHZ216" s="300"/>
      <c r="VIA216" s="300"/>
      <c r="VIB216" s="300"/>
      <c r="VIC216" s="300"/>
      <c r="VID216" s="300"/>
      <c r="VIE216" s="300"/>
      <c r="VIF216" s="300"/>
      <c r="VIG216" s="300"/>
      <c r="VIH216" s="300"/>
      <c r="VII216" s="300"/>
      <c r="VIJ216" s="300"/>
      <c r="VIK216" s="300"/>
      <c r="VIL216" s="300"/>
      <c r="VIM216" s="300"/>
      <c r="VIN216" s="300"/>
      <c r="VIO216" s="300"/>
      <c r="VIP216" s="300"/>
      <c r="VIQ216" s="300"/>
      <c r="VIR216" s="300"/>
      <c r="VIS216" s="300"/>
      <c r="VIT216" s="300"/>
      <c r="VIU216" s="300"/>
      <c r="VIV216" s="300"/>
      <c r="VIW216" s="300"/>
      <c r="VIX216" s="300"/>
      <c r="VIY216" s="300"/>
      <c r="VIZ216" s="300"/>
      <c r="VJA216" s="300"/>
      <c r="VJB216" s="300"/>
      <c r="VJC216" s="300"/>
      <c r="VJD216" s="300"/>
      <c r="VJE216" s="300"/>
      <c r="VJF216" s="300"/>
      <c r="VJG216" s="300"/>
      <c r="VJH216" s="300"/>
      <c r="VJI216" s="300"/>
      <c r="VJJ216" s="300"/>
      <c r="VJK216" s="300"/>
      <c r="VJL216" s="300"/>
      <c r="VJM216" s="300"/>
      <c r="VJN216" s="300"/>
      <c r="VJO216" s="300"/>
      <c r="VJP216" s="300"/>
      <c r="VJQ216" s="300"/>
      <c r="VJR216" s="300"/>
      <c r="VJS216" s="300"/>
      <c r="VJT216" s="300"/>
      <c r="VJU216" s="300"/>
      <c r="VJV216" s="300"/>
      <c r="VJW216" s="300"/>
      <c r="VJX216" s="300"/>
      <c r="VJY216" s="300"/>
      <c r="VJZ216" s="300"/>
      <c r="VKA216" s="300"/>
      <c r="VKB216" s="300"/>
      <c r="VKC216" s="300"/>
      <c r="VKD216" s="300"/>
      <c r="VKE216" s="300"/>
      <c r="VKF216" s="300"/>
      <c r="VKG216" s="300"/>
      <c r="VKH216" s="300"/>
      <c r="VKI216" s="300"/>
      <c r="VKJ216" s="300"/>
      <c r="VKK216" s="300"/>
      <c r="VKL216" s="300"/>
      <c r="VKM216" s="300"/>
      <c r="VKN216" s="300"/>
      <c r="VKO216" s="300"/>
      <c r="VKP216" s="300"/>
      <c r="VKQ216" s="300"/>
      <c r="VKR216" s="300"/>
      <c r="VKS216" s="300"/>
      <c r="VKT216" s="300"/>
      <c r="VKU216" s="300"/>
      <c r="VKV216" s="300"/>
      <c r="VKW216" s="300"/>
      <c r="VKX216" s="300"/>
      <c r="VKY216" s="300"/>
      <c r="VKZ216" s="300"/>
      <c r="VLA216" s="300"/>
      <c r="VLB216" s="300"/>
      <c r="VLC216" s="300"/>
      <c r="VLD216" s="300"/>
      <c r="VLE216" s="300"/>
      <c r="VLF216" s="300"/>
      <c r="VLG216" s="300"/>
      <c r="VLH216" s="300"/>
      <c r="VLI216" s="300"/>
      <c r="VLJ216" s="300"/>
      <c r="VLK216" s="300"/>
      <c r="VLL216" s="300"/>
      <c r="VLM216" s="300"/>
      <c r="VLN216" s="300"/>
      <c r="VLO216" s="300"/>
      <c r="VLP216" s="300"/>
      <c r="VLQ216" s="300"/>
      <c r="VLR216" s="300"/>
      <c r="VLS216" s="300"/>
      <c r="VLT216" s="300"/>
      <c r="VLU216" s="300"/>
      <c r="VLV216" s="300"/>
      <c r="VLW216" s="300"/>
      <c r="VLX216" s="300"/>
      <c r="VLY216" s="300"/>
      <c r="VLZ216" s="300"/>
      <c r="VMA216" s="300"/>
      <c r="VMB216" s="300"/>
      <c r="VMC216" s="300"/>
      <c r="VMD216" s="300"/>
      <c r="VME216" s="300"/>
      <c r="VMF216" s="300"/>
      <c r="VMG216" s="300"/>
      <c r="VMH216" s="300"/>
      <c r="VMI216" s="300"/>
      <c r="VMJ216" s="300"/>
      <c r="VMK216" s="300"/>
      <c r="VML216" s="300"/>
      <c r="VMM216" s="300"/>
      <c r="VMN216" s="300"/>
      <c r="VMO216" s="300"/>
      <c r="VMP216" s="300"/>
      <c r="VMQ216" s="300"/>
      <c r="VMR216" s="300"/>
      <c r="VMS216" s="300"/>
      <c r="VMT216" s="300"/>
      <c r="VMU216" s="300"/>
      <c r="VMV216" s="300"/>
      <c r="VMW216" s="300"/>
      <c r="VMX216" s="300"/>
      <c r="VMY216" s="300"/>
      <c r="VMZ216" s="300"/>
      <c r="VNA216" s="300"/>
      <c r="VNB216" s="300"/>
      <c r="VNC216" s="300"/>
      <c r="VND216" s="300"/>
      <c r="VNE216" s="300"/>
      <c r="VNF216" s="300"/>
      <c r="VNG216" s="300"/>
      <c r="VNH216" s="300"/>
      <c r="VNI216" s="300"/>
      <c r="VNJ216" s="300"/>
      <c r="VNK216" s="300"/>
      <c r="VNL216" s="300"/>
      <c r="VNM216" s="300"/>
      <c r="VNN216" s="300"/>
      <c r="VNO216" s="300"/>
      <c r="VNP216" s="300"/>
      <c r="VNQ216" s="300"/>
      <c r="VNR216" s="300"/>
      <c r="VNS216" s="300"/>
      <c r="VNT216" s="300"/>
      <c r="VNU216" s="300"/>
      <c r="VNV216" s="300"/>
      <c r="VNW216" s="300"/>
      <c r="VNX216" s="300"/>
      <c r="VNY216" s="300"/>
      <c r="VNZ216" s="300"/>
      <c r="VOA216" s="300"/>
      <c r="VOB216" s="300"/>
      <c r="VOC216" s="300"/>
      <c r="VOD216" s="300"/>
      <c r="VOE216" s="300"/>
      <c r="VOF216" s="300"/>
      <c r="VOG216" s="300"/>
      <c r="VOH216" s="300"/>
      <c r="VOI216" s="300"/>
      <c r="VOJ216" s="300"/>
      <c r="VOK216" s="300"/>
      <c r="VOL216" s="300"/>
      <c r="VOM216" s="300"/>
      <c r="VON216" s="300"/>
      <c r="VOO216" s="300"/>
      <c r="VOP216" s="300"/>
      <c r="VOQ216" s="300"/>
      <c r="VOR216" s="300"/>
      <c r="VOS216" s="300"/>
      <c r="VOT216" s="300"/>
      <c r="VOU216" s="300"/>
      <c r="VOV216" s="300"/>
      <c r="VOW216" s="300"/>
      <c r="VOX216" s="300"/>
      <c r="VOY216" s="300"/>
      <c r="VOZ216" s="300"/>
      <c r="VPA216" s="300"/>
      <c r="VPB216" s="300"/>
      <c r="VPC216" s="300"/>
      <c r="VPD216" s="300"/>
      <c r="VPE216" s="300"/>
      <c r="VPF216" s="300"/>
      <c r="VPG216" s="300"/>
      <c r="VPH216" s="300"/>
      <c r="VPI216" s="300"/>
      <c r="VPJ216" s="300"/>
      <c r="VPK216" s="300"/>
      <c r="VPL216" s="300"/>
      <c r="VPM216" s="300"/>
      <c r="VPN216" s="300"/>
      <c r="VPO216" s="300"/>
      <c r="VPP216" s="300"/>
      <c r="VPQ216" s="300"/>
      <c r="VPR216" s="300"/>
      <c r="VPS216" s="300"/>
      <c r="VPT216" s="300"/>
      <c r="VPU216" s="300"/>
      <c r="VPV216" s="300"/>
      <c r="VPW216" s="300"/>
      <c r="VPX216" s="300"/>
      <c r="VPY216" s="300"/>
      <c r="VPZ216" s="300"/>
      <c r="VQA216" s="300"/>
      <c r="VQB216" s="300"/>
      <c r="VQC216" s="300"/>
      <c r="VQD216" s="300"/>
      <c r="VQE216" s="300"/>
      <c r="VQF216" s="300"/>
      <c r="VQG216" s="300"/>
      <c r="VQH216" s="300"/>
      <c r="VQI216" s="300"/>
      <c r="VQJ216" s="300"/>
      <c r="VQK216" s="300"/>
      <c r="VQL216" s="300"/>
      <c r="VQM216" s="300"/>
      <c r="VQN216" s="300"/>
      <c r="VQO216" s="300"/>
      <c r="VQP216" s="300"/>
      <c r="VQQ216" s="300"/>
      <c r="VQR216" s="300"/>
      <c r="VQS216" s="300"/>
      <c r="VQT216" s="300"/>
      <c r="VQU216" s="300"/>
      <c r="VQV216" s="300"/>
      <c r="VQW216" s="300"/>
      <c r="VQX216" s="300"/>
      <c r="VQY216" s="300"/>
      <c r="VQZ216" s="300"/>
      <c r="VRA216" s="300"/>
      <c r="VRB216" s="300"/>
      <c r="VRC216" s="300"/>
      <c r="VRD216" s="300"/>
      <c r="VRE216" s="300"/>
      <c r="VRF216" s="300"/>
      <c r="VRG216" s="300"/>
      <c r="VRH216" s="300"/>
      <c r="VRI216" s="300"/>
      <c r="VRJ216" s="300"/>
      <c r="VRK216" s="300"/>
      <c r="VRL216" s="300"/>
      <c r="VRM216" s="300"/>
      <c r="VRN216" s="300"/>
      <c r="VRO216" s="300"/>
      <c r="VRP216" s="300"/>
      <c r="VRQ216" s="300"/>
      <c r="VRR216" s="300"/>
      <c r="VRS216" s="300"/>
      <c r="VRT216" s="300"/>
      <c r="VRU216" s="300"/>
      <c r="VRV216" s="300"/>
      <c r="VRW216" s="300"/>
      <c r="VRX216" s="300"/>
      <c r="VRY216" s="300"/>
      <c r="VRZ216" s="300"/>
      <c r="VSA216" s="300"/>
      <c r="VSB216" s="300"/>
      <c r="VSC216" s="300"/>
      <c r="VSD216" s="300"/>
      <c r="VSE216" s="300"/>
      <c r="VSF216" s="300"/>
      <c r="VSG216" s="300"/>
      <c r="VSH216" s="300"/>
      <c r="VSI216" s="300"/>
      <c r="VSJ216" s="300"/>
      <c r="VSK216" s="300"/>
      <c r="VSL216" s="300"/>
      <c r="VSM216" s="300"/>
      <c r="VSN216" s="300"/>
      <c r="VSO216" s="300"/>
      <c r="VSP216" s="300"/>
      <c r="VSQ216" s="300"/>
      <c r="VSR216" s="300"/>
      <c r="VSS216" s="300"/>
      <c r="VST216" s="300"/>
      <c r="VSU216" s="300"/>
      <c r="VSV216" s="300"/>
      <c r="VSW216" s="300"/>
      <c r="VSX216" s="300"/>
      <c r="VSY216" s="300"/>
      <c r="VSZ216" s="300"/>
      <c r="VTA216" s="300"/>
      <c r="VTB216" s="300"/>
      <c r="VTC216" s="300"/>
      <c r="VTD216" s="300"/>
      <c r="VTE216" s="300"/>
      <c r="VTF216" s="300"/>
      <c r="VTG216" s="300"/>
      <c r="VTH216" s="300"/>
      <c r="VTI216" s="300"/>
      <c r="VTJ216" s="300"/>
      <c r="VTK216" s="300"/>
      <c r="VTL216" s="300"/>
      <c r="VTM216" s="300"/>
      <c r="VTN216" s="300"/>
      <c r="VTO216" s="300"/>
      <c r="VTP216" s="300"/>
      <c r="VTQ216" s="300"/>
      <c r="VTR216" s="300"/>
      <c r="VTS216" s="300"/>
      <c r="VTT216" s="300"/>
      <c r="VTU216" s="300"/>
      <c r="VTV216" s="300"/>
      <c r="VTW216" s="300"/>
      <c r="VTX216" s="300"/>
      <c r="VTY216" s="300"/>
      <c r="VTZ216" s="300"/>
      <c r="VUA216" s="300"/>
      <c r="VUB216" s="300"/>
      <c r="VUC216" s="300"/>
      <c r="VUD216" s="300"/>
      <c r="VUE216" s="300"/>
      <c r="VUF216" s="300"/>
      <c r="VUG216" s="300"/>
      <c r="VUH216" s="300"/>
      <c r="VUI216" s="300"/>
      <c r="VUJ216" s="300"/>
      <c r="VUK216" s="300"/>
      <c r="VUL216" s="300"/>
      <c r="VUM216" s="300"/>
      <c r="VUN216" s="300"/>
      <c r="VUO216" s="300"/>
      <c r="VUP216" s="300"/>
      <c r="VUQ216" s="300"/>
      <c r="VUR216" s="300"/>
      <c r="VUS216" s="300"/>
      <c r="VUT216" s="300"/>
      <c r="VUU216" s="300"/>
      <c r="VUV216" s="300"/>
      <c r="VUW216" s="300"/>
      <c r="VUX216" s="300"/>
      <c r="VUY216" s="300"/>
      <c r="VUZ216" s="300"/>
      <c r="VVA216" s="300"/>
      <c r="VVB216" s="300"/>
      <c r="VVC216" s="300"/>
      <c r="VVD216" s="300"/>
      <c r="VVE216" s="300"/>
      <c r="VVF216" s="300"/>
      <c r="VVG216" s="300"/>
      <c r="VVH216" s="300"/>
      <c r="VVI216" s="300"/>
      <c r="VVJ216" s="300"/>
      <c r="VVK216" s="300"/>
      <c r="VVL216" s="300"/>
      <c r="VVM216" s="300"/>
      <c r="VVN216" s="300"/>
      <c r="VVO216" s="300"/>
      <c r="VVP216" s="300"/>
    </row>
    <row r="217" spans="2:102 15068:15460" s="199" customFormat="1" thickBot="1" x14ac:dyDescent="0.3">
      <c r="B217" s="242"/>
      <c r="C217" s="73" t="s">
        <v>1</v>
      </c>
      <c r="D217" s="256">
        <f>SUM(D214:D216)</f>
        <v>408000</v>
      </c>
      <c r="E217" s="8" t="s">
        <v>16</v>
      </c>
      <c r="F217" s="190">
        <f t="shared" ref="F217:AH217" si="90">SUM(F214:F216)</f>
        <v>355970</v>
      </c>
      <c r="G217" s="190">
        <f t="shared" si="90"/>
        <v>366045</v>
      </c>
      <c r="H217" s="190">
        <f t="shared" si="90"/>
        <v>308076</v>
      </c>
      <c r="I217" s="190">
        <f>SUM(I214:I216)</f>
        <v>270588</v>
      </c>
      <c r="J217" s="190">
        <f t="shared" si="90"/>
        <v>287433</v>
      </c>
      <c r="K217" s="190">
        <f t="shared" si="90"/>
        <v>305309</v>
      </c>
      <c r="L217" s="190">
        <f t="shared" si="90"/>
        <v>305539</v>
      </c>
      <c r="M217" s="190">
        <f t="shared" si="90"/>
        <v>317130</v>
      </c>
      <c r="N217" s="190">
        <f t="shared" si="90"/>
        <v>289120</v>
      </c>
      <c r="O217" s="190">
        <f t="shared" si="90"/>
        <v>256890</v>
      </c>
      <c r="P217" s="190">
        <f t="shared" si="90"/>
        <v>307070</v>
      </c>
      <c r="Q217" s="190">
        <f t="shared" si="90"/>
        <v>322533</v>
      </c>
      <c r="R217" s="190">
        <f t="shared" si="90"/>
        <v>303149</v>
      </c>
      <c r="S217" s="190">
        <f t="shared" si="90"/>
        <v>287308</v>
      </c>
      <c r="T217" s="190">
        <f t="shared" si="90"/>
        <v>301837</v>
      </c>
      <c r="U217" s="190">
        <f t="shared" si="90"/>
        <v>312066</v>
      </c>
      <c r="V217" s="190">
        <f t="shared" si="90"/>
        <v>315599</v>
      </c>
      <c r="W217" s="190">
        <f t="shared" si="90"/>
        <v>344868</v>
      </c>
      <c r="X217" s="190">
        <f t="shared" si="90"/>
        <v>366949</v>
      </c>
      <c r="Y217" s="190">
        <f t="shared" si="90"/>
        <v>362360</v>
      </c>
      <c r="Z217" s="190">
        <f t="shared" si="90"/>
        <v>329830</v>
      </c>
      <c r="AA217" s="190">
        <f t="shared" si="90"/>
        <v>276469</v>
      </c>
      <c r="AB217" s="190">
        <f t="shared" si="90"/>
        <v>307193</v>
      </c>
      <c r="AC217" s="190">
        <f t="shared" si="90"/>
        <v>312794</v>
      </c>
      <c r="AD217" s="190">
        <f t="shared" si="90"/>
        <v>297338</v>
      </c>
      <c r="AE217" s="190">
        <f t="shared" si="90"/>
        <v>260988</v>
      </c>
      <c r="AF217" s="190">
        <f t="shared" si="90"/>
        <v>272396</v>
      </c>
      <c r="AG217" s="190">
        <f t="shared" si="90"/>
        <v>209589</v>
      </c>
      <c r="AH217" s="190">
        <f t="shared" si="90"/>
        <v>414702</v>
      </c>
      <c r="AI217" s="192">
        <f>SUM(AI214:AI216)</f>
        <v>286415</v>
      </c>
      <c r="AK217" s="207">
        <f>SUM(AK214:AK216)</f>
        <v>9253553</v>
      </c>
      <c r="CX217" s="323"/>
    </row>
    <row r="218" spans="2:102 15068:15460" s="3" customFormat="1" x14ac:dyDescent="0.3">
      <c r="B218" s="70">
        <v>10</v>
      </c>
      <c r="C218" s="149" t="s">
        <v>15</v>
      </c>
      <c r="D218" s="150"/>
      <c r="E218" s="151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212"/>
      <c r="AD218" s="212"/>
      <c r="AE218" s="212"/>
      <c r="AF218" s="212"/>
      <c r="AG218" s="213"/>
      <c r="AH218" s="213"/>
      <c r="AI218" s="214"/>
      <c r="AK218" s="254" t="s">
        <v>14</v>
      </c>
      <c r="CX218" s="17"/>
      <c r="VGN218" s="300"/>
      <c r="VGO218" s="300"/>
      <c r="VGP218" s="300"/>
      <c r="VGQ218" s="300"/>
      <c r="VGR218" s="300"/>
      <c r="VGS218" s="300"/>
      <c r="VGT218" s="300"/>
      <c r="VGU218" s="300"/>
      <c r="VGV218" s="300"/>
      <c r="VGW218" s="300"/>
      <c r="VGX218" s="300"/>
      <c r="VGY218" s="300"/>
      <c r="VGZ218" s="300"/>
      <c r="VHA218" s="300"/>
      <c r="VHB218" s="300"/>
      <c r="VHC218" s="300"/>
      <c r="VHD218" s="300"/>
      <c r="VHE218" s="300"/>
      <c r="VHF218" s="300"/>
      <c r="VHG218" s="300"/>
      <c r="VHH218" s="300"/>
      <c r="VHI218" s="300"/>
      <c r="VHJ218" s="300"/>
      <c r="VHK218" s="300"/>
      <c r="VHL218" s="300"/>
      <c r="VHM218" s="300"/>
      <c r="VHN218" s="300"/>
      <c r="VHO218" s="300"/>
      <c r="VHP218" s="300"/>
      <c r="VHQ218" s="300"/>
      <c r="VHR218" s="300"/>
      <c r="VHS218" s="300"/>
      <c r="VHT218" s="300"/>
      <c r="VHU218" s="300"/>
      <c r="VHV218" s="300"/>
      <c r="VHW218" s="300"/>
      <c r="VHX218" s="300"/>
      <c r="VHY218" s="300"/>
      <c r="VHZ218" s="300"/>
      <c r="VIA218" s="300"/>
      <c r="VIB218" s="300"/>
      <c r="VIC218" s="300"/>
      <c r="VID218" s="300"/>
      <c r="VIE218" s="300"/>
      <c r="VIF218" s="300"/>
      <c r="VIG218" s="300"/>
      <c r="VIH218" s="300"/>
      <c r="VII218" s="300"/>
      <c r="VIJ218" s="300"/>
      <c r="VIK218" s="300"/>
      <c r="VIL218" s="300"/>
      <c r="VIM218" s="300"/>
      <c r="VIN218" s="300"/>
      <c r="VIO218" s="300"/>
      <c r="VIP218" s="300"/>
      <c r="VIQ218" s="300"/>
      <c r="VIR218" s="300"/>
      <c r="VIS218" s="300"/>
      <c r="VIT218" s="300"/>
      <c r="VIU218" s="300"/>
      <c r="VIV218" s="300"/>
      <c r="VIW218" s="300"/>
      <c r="VIX218" s="300"/>
      <c r="VIY218" s="300"/>
      <c r="VIZ218" s="300"/>
      <c r="VJA218" s="300"/>
      <c r="VJB218" s="300"/>
      <c r="VJC218" s="300"/>
      <c r="VJD218" s="300"/>
      <c r="VJE218" s="300"/>
      <c r="VJF218" s="300"/>
      <c r="VJG218" s="300"/>
      <c r="VJH218" s="300"/>
      <c r="VJI218" s="300"/>
      <c r="VJJ218" s="300"/>
      <c r="VJK218" s="300"/>
      <c r="VJL218" s="300"/>
      <c r="VJM218" s="300"/>
      <c r="VJN218" s="300"/>
      <c r="VJO218" s="300"/>
      <c r="VJP218" s="300"/>
      <c r="VJQ218" s="300"/>
      <c r="VJR218" s="300"/>
      <c r="VJS218" s="300"/>
      <c r="VJT218" s="300"/>
      <c r="VJU218" s="300"/>
      <c r="VJV218" s="300"/>
      <c r="VJW218" s="300"/>
      <c r="VJX218" s="300"/>
      <c r="VJY218" s="300"/>
      <c r="VJZ218" s="300"/>
      <c r="VKA218" s="300"/>
      <c r="VKB218" s="300"/>
      <c r="VKC218" s="300"/>
      <c r="VKD218" s="300"/>
      <c r="VKE218" s="300"/>
      <c r="VKF218" s="300"/>
      <c r="VKG218" s="300"/>
      <c r="VKH218" s="300"/>
      <c r="VKI218" s="300"/>
      <c r="VKJ218" s="300"/>
      <c r="VKK218" s="300"/>
      <c r="VKL218" s="300"/>
      <c r="VKM218" s="300"/>
      <c r="VKN218" s="300"/>
      <c r="VKO218" s="300"/>
      <c r="VKP218" s="300"/>
      <c r="VKQ218" s="300"/>
      <c r="VKR218" s="300"/>
      <c r="VKS218" s="300"/>
      <c r="VKT218" s="300"/>
      <c r="VKU218" s="300"/>
      <c r="VKV218" s="300"/>
      <c r="VKW218" s="300"/>
      <c r="VKX218" s="300"/>
      <c r="VKY218" s="300"/>
      <c r="VKZ218" s="300"/>
      <c r="VLA218" s="300"/>
      <c r="VLB218" s="300"/>
      <c r="VLC218" s="300"/>
      <c r="VLD218" s="300"/>
      <c r="VLE218" s="300"/>
      <c r="VLF218" s="300"/>
      <c r="VLG218" s="300"/>
      <c r="VLH218" s="300"/>
      <c r="VLI218" s="300"/>
      <c r="VLJ218" s="300"/>
      <c r="VLK218" s="300"/>
      <c r="VLL218" s="300"/>
      <c r="VLM218" s="300"/>
      <c r="VLN218" s="300"/>
      <c r="VLO218" s="300"/>
      <c r="VLP218" s="300"/>
      <c r="VLQ218" s="300"/>
      <c r="VLR218" s="300"/>
      <c r="VLS218" s="300"/>
      <c r="VLT218" s="300"/>
      <c r="VLU218" s="300"/>
      <c r="VLV218" s="300"/>
      <c r="VLW218" s="300"/>
      <c r="VLX218" s="300"/>
      <c r="VLY218" s="300"/>
      <c r="VLZ218" s="300"/>
      <c r="VMA218" s="300"/>
      <c r="VMB218" s="300"/>
      <c r="VMC218" s="300"/>
      <c r="VMD218" s="300"/>
      <c r="VME218" s="300"/>
      <c r="VMF218" s="300"/>
      <c r="VMG218" s="300"/>
      <c r="VMH218" s="300"/>
      <c r="VMI218" s="300"/>
      <c r="VMJ218" s="300"/>
      <c r="VMK218" s="300"/>
      <c r="VML218" s="300"/>
      <c r="VMM218" s="300"/>
      <c r="VMN218" s="300"/>
      <c r="VMO218" s="300"/>
      <c r="VMP218" s="300"/>
      <c r="VMQ218" s="300"/>
      <c r="VMR218" s="300"/>
      <c r="VMS218" s="300"/>
      <c r="VMT218" s="300"/>
      <c r="VMU218" s="300"/>
      <c r="VMV218" s="300"/>
      <c r="VMW218" s="300"/>
      <c r="VMX218" s="300"/>
      <c r="VMY218" s="300"/>
      <c r="VMZ218" s="300"/>
      <c r="VNA218" s="300"/>
      <c r="VNB218" s="300"/>
      <c r="VNC218" s="300"/>
      <c r="VND218" s="300"/>
      <c r="VNE218" s="300"/>
      <c r="VNF218" s="300"/>
      <c r="VNG218" s="300"/>
      <c r="VNH218" s="300"/>
      <c r="VNI218" s="300"/>
      <c r="VNJ218" s="300"/>
      <c r="VNK218" s="300"/>
      <c r="VNL218" s="300"/>
      <c r="VNM218" s="300"/>
      <c r="VNN218" s="300"/>
      <c r="VNO218" s="300"/>
      <c r="VNP218" s="300"/>
      <c r="VNQ218" s="300"/>
      <c r="VNR218" s="300"/>
      <c r="VNS218" s="300"/>
      <c r="VNT218" s="300"/>
      <c r="VNU218" s="300"/>
      <c r="VNV218" s="300"/>
      <c r="VNW218" s="300"/>
      <c r="VNX218" s="300"/>
      <c r="VNY218" s="300"/>
      <c r="VNZ218" s="300"/>
      <c r="VOA218" s="300"/>
      <c r="VOB218" s="300"/>
      <c r="VOC218" s="300"/>
      <c r="VOD218" s="300"/>
      <c r="VOE218" s="300"/>
      <c r="VOF218" s="300"/>
      <c r="VOG218" s="300"/>
      <c r="VOH218" s="300"/>
      <c r="VOI218" s="300"/>
      <c r="VOJ218" s="300"/>
      <c r="VOK218" s="300"/>
      <c r="VOL218" s="300"/>
      <c r="VOM218" s="300"/>
      <c r="VON218" s="300"/>
      <c r="VOO218" s="300"/>
      <c r="VOP218" s="300"/>
      <c r="VOQ218" s="300"/>
      <c r="VOR218" s="300"/>
      <c r="VOS218" s="300"/>
      <c r="VOT218" s="300"/>
      <c r="VOU218" s="300"/>
      <c r="VOV218" s="300"/>
      <c r="VOW218" s="300"/>
      <c r="VOX218" s="300"/>
      <c r="VOY218" s="300"/>
      <c r="VOZ218" s="300"/>
      <c r="VPA218" s="300"/>
      <c r="VPB218" s="300"/>
      <c r="VPC218" s="300"/>
      <c r="VPD218" s="300"/>
      <c r="VPE218" s="300"/>
      <c r="VPF218" s="300"/>
      <c r="VPG218" s="300"/>
      <c r="VPH218" s="300"/>
      <c r="VPI218" s="300"/>
      <c r="VPJ218" s="300"/>
      <c r="VPK218" s="300"/>
      <c r="VPL218" s="300"/>
      <c r="VPM218" s="300"/>
      <c r="VPN218" s="300"/>
      <c r="VPO218" s="300"/>
      <c r="VPP218" s="300"/>
      <c r="VPQ218" s="300"/>
      <c r="VPR218" s="300"/>
      <c r="VPS218" s="300"/>
      <c r="VPT218" s="300"/>
      <c r="VPU218" s="300"/>
      <c r="VPV218" s="300"/>
      <c r="VPW218" s="300"/>
      <c r="VPX218" s="300"/>
      <c r="VPY218" s="300"/>
      <c r="VPZ218" s="300"/>
      <c r="VQA218" s="300"/>
      <c r="VQB218" s="300"/>
      <c r="VQC218" s="300"/>
      <c r="VQD218" s="300"/>
      <c r="VQE218" s="300"/>
      <c r="VQF218" s="300"/>
      <c r="VQG218" s="300"/>
      <c r="VQH218" s="300"/>
      <c r="VQI218" s="300"/>
      <c r="VQJ218" s="300"/>
      <c r="VQK218" s="300"/>
      <c r="VQL218" s="300"/>
      <c r="VQM218" s="300"/>
      <c r="VQN218" s="300"/>
      <c r="VQO218" s="300"/>
      <c r="VQP218" s="300"/>
      <c r="VQQ218" s="300"/>
      <c r="VQR218" s="300"/>
      <c r="VQS218" s="300"/>
      <c r="VQT218" s="300"/>
      <c r="VQU218" s="300"/>
      <c r="VQV218" s="300"/>
      <c r="VQW218" s="300"/>
      <c r="VQX218" s="300"/>
      <c r="VQY218" s="300"/>
      <c r="VQZ218" s="300"/>
      <c r="VRA218" s="300"/>
      <c r="VRB218" s="300"/>
      <c r="VRC218" s="300"/>
      <c r="VRD218" s="300"/>
      <c r="VRE218" s="300"/>
      <c r="VRF218" s="300"/>
      <c r="VRG218" s="300"/>
      <c r="VRH218" s="300"/>
      <c r="VRI218" s="300"/>
      <c r="VRJ218" s="300"/>
      <c r="VRK218" s="300"/>
      <c r="VRL218" s="300"/>
      <c r="VRM218" s="300"/>
      <c r="VRN218" s="300"/>
      <c r="VRO218" s="300"/>
      <c r="VRP218" s="300"/>
      <c r="VRQ218" s="300"/>
      <c r="VRR218" s="300"/>
      <c r="VRS218" s="300"/>
      <c r="VRT218" s="300"/>
      <c r="VRU218" s="300"/>
      <c r="VRV218" s="300"/>
      <c r="VRW218" s="300"/>
      <c r="VRX218" s="300"/>
      <c r="VRY218" s="300"/>
      <c r="VRZ218" s="300"/>
      <c r="VSA218" s="300"/>
      <c r="VSB218" s="300"/>
      <c r="VSC218" s="300"/>
      <c r="VSD218" s="300"/>
      <c r="VSE218" s="300"/>
      <c r="VSF218" s="300"/>
      <c r="VSG218" s="300"/>
      <c r="VSH218" s="300"/>
      <c r="VSI218" s="300"/>
      <c r="VSJ218" s="300"/>
      <c r="VSK218" s="300"/>
      <c r="VSL218" s="300"/>
      <c r="VSM218" s="300"/>
      <c r="VSN218" s="300"/>
      <c r="VSO218" s="300"/>
      <c r="VSP218" s="300"/>
      <c r="VSQ218" s="300"/>
      <c r="VSR218" s="300"/>
      <c r="VSS218" s="300"/>
      <c r="VST218" s="300"/>
      <c r="VSU218" s="300"/>
      <c r="VSV218" s="300"/>
      <c r="VSW218" s="300"/>
      <c r="VSX218" s="300"/>
      <c r="VSY218" s="300"/>
      <c r="VSZ218" s="300"/>
      <c r="VTA218" s="300"/>
      <c r="VTB218" s="300"/>
      <c r="VTC218" s="300"/>
      <c r="VTD218" s="300"/>
      <c r="VTE218" s="300"/>
      <c r="VTF218" s="300"/>
      <c r="VTG218" s="300"/>
      <c r="VTH218" s="300"/>
      <c r="VTI218" s="300"/>
      <c r="VTJ218" s="300"/>
      <c r="VTK218" s="300"/>
      <c r="VTL218" s="300"/>
      <c r="VTM218" s="300"/>
      <c r="VTN218" s="300"/>
      <c r="VTO218" s="300"/>
      <c r="VTP218" s="300"/>
      <c r="VTQ218" s="300"/>
      <c r="VTR218" s="300"/>
      <c r="VTS218" s="300"/>
      <c r="VTT218" s="300"/>
      <c r="VTU218" s="300"/>
      <c r="VTV218" s="300"/>
      <c r="VTW218" s="300"/>
      <c r="VTX218" s="300"/>
      <c r="VTY218" s="300"/>
      <c r="VTZ218" s="300"/>
      <c r="VUA218" s="300"/>
      <c r="VUB218" s="300"/>
      <c r="VUC218" s="300"/>
      <c r="VUD218" s="300"/>
      <c r="VUE218" s="300"/>
      <c r="VUF218" s="300"/>
      <c r="VUG218" s="300"/>
      <c r="VUH218" s="300"/>
      <c r="VUI218" s="300"/>
      <c r="VUJ218" s="300"/>
      <c r="VUK218" s="300"/>
      <c r="VUL218" s="300"/>
      <c r="VUM218" s="300"/>
      <c r="VUN218" s="300"/>
      <c r="VUO218" s="300"/>
      <c r="VUP218" s="300"/>
      <c r="VUQ218" s="300"/>
      <c r="VUR218" s="300"/>
      <c r="VUS218" s="300"/>
      <c r="VUT218" s="300"/>
      <c r="VUU218" s="300"/>
      <c r="VUV218" s="300"/>
      <c r="VUW218" s="300"/>
      <c r="VUX218" s="300"/>
      <c r="VUY218" s="300"/>
      <c r="VUZ218" s="300"/>
      <c r="VVA218" s="300"/>
      <c r="VVB218" s="300"/>
      <c r="VVC218" s="300"/>
      <c r="VVD218" s="300"/>
      <c r="VVE218" s="300"/>
      <c r="VVF218" s="300"/>
      <c r="VVG218" s="300"/>
      <c r="VVH218" s="300"/>
      <c r="VVI218" s="300"/>
      <c r="VVJ218" s="300"/>
      <c r="VVK218" s="300"/>
      <c r="VVL218" s="300"/>
      <c r="VVM218" s="300"/>
      <c r="VVN218" s="300"/>
      <c r="VVO218" s="300"/>
      <c r="VVP218" s="300"/>
    </row>
    <row r="219" spans="2:102 15068:15460" s="67" customFormat="1" ht="16.2" x14ac:dyDescent="0.3">
      <c r="B219" s="144"/>
      <c r="C219" s="202" t="s">
        <v>13</v>
      </c>
      <c r="D219" s="257">
        <v>750</v>
      </c>
      <c r="E219" s="18" t="s">
        <v>126</v>
      </c>
      <c r="F219" s="11">
        <v>743</v>
      </c>
      <c r="G219" s="11">
        <v>626</v>
      </c>
      <c r="H219" s="11">
        <v>737</v>
      </c>
      <c r="I219" s="11">
        <v>632</v>
      </c>
      <c r="J219" s="11">
        <v>472</v>
      </c>
      <c r="K219" s="11">
        <v>750</v>
      </c>
      <c r="L219" s="11">
        <v>573</v>
      </c>
      <c r="M219" s="11">
        <v>723</v>
      </c>
      <c r="N219" s="11">
        <v>545</v>
      </c>
      <c r="O219" s="11">
        <v>611</v>
      </c>
      <c r="P219" s="11">
        <v>749</v>
      </c>
      <c r="Q219" s="11">
        <v>745</v>
      </c>
      <c r="R219" s="11">
        <v>623</v>
      </c>
      <c r="S219" s="11">
        <v>723</v>
      </c>
      <c r="T219" s="11">
        <v>553</v>
      </c>
      <c r="U219" s="11">
        <v>750</v>
      </c>
      <c r="V219" s="11">
        <v>675</v>
      </c>
      <c r="W219" s="11">
        <v>648</v>
      </c>
      <c r="X219" s="11">
        <v>674</v>
      </c>
      <c r="Y219" s="11">
        <v>762</v>
      </c>
      <c r="Z219" s="11">
        <v>579</v>
      </c>
      <c r="AA219" s="11">
        <v>617</v>
      </c>
      <c r="AB219" s="11">
        <v>697</v>
      </c>
      <c r="AC219" s="11">
        <v>750</v>
      </c>
      <c r="AD219" s="11">
        <v>676</v>
      </c>
      <c r="AE219" s="11">
        <v>608</v>
      </c>
      <c r="AF219" s="11">
        <v>574</v>
      </c>
      <c r="AG219" s="325">
        <v>674.9</v>
      </c>
      <c r="AH219" s="325">
        <v>687</v>
      </c>
      <c r="AI219" s="326">
        <v>611</v>
      </c>
      <c r="AK219" s="258">
        <f>SUM(F219:AI219)</f>
        <v>19787.900000000001</v>
      </c>
      <c r="CX219" s="309"/>
    </row>
    <row r="220" spans="2:102 15068:15460" s="67" customFormat="1" x14ac:dyDescent="0.3">
      <c r="B220" s="144"/>
      <c r="C220" s="259" t="s">
        <v>12</v>
      </c>
      <c r="D220" s="102"/>
      <c r="E220" s="103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65"/>
      <c r="AH220" s="65"/>
      <c r="AI220" s="66"/>
      <c r="AK220" s="260" t="s">
        <v>12</v>
      </c>
      <c r="CX220" s="309"/>
    </row>
    <row r="221" spans="2:102 15068:15460" s="67" customFormat="1" ht="16.2" x14ac:dyDescent="0.3">
      <c r="B221" s="144"/>
      <c r="C221" s="202" t="s">
        <v>11</v>
      </c>
      <c r="D221" s="261">
        <v>91.5</v>
      </c>
      <c r="E221" s="18" t="s">
        <v>126</v>
      </c>
      <c r="F221" s="286">
        <v>95</v>
      </c>
      <c r="G221" s="58">
        <v>73</v>
      </c>
      <c r="H221" s="286">
        <v>154</v>
      </c>
      <c r="I221" s="58">
        <v>52</v>
      </c>
      <c r="J221" s="58">
        <v>80</v>
      </c>
      <c r="K221" s="58">
        <v>72</v>
      </c>
      <c r="L221" s="58">
        <v>67</v>
      </c>
      <c r="M221" s="58">
        <v>128</v>
      </c>
      <c r="N221" s="58">
        <v>51</v>
      </c>
      <c r="O221" s="58">
        <v>106</v>
      </c>
      <c r="P221" s="58">
        <v>91</v>
      </c>
      <c r="Q221" s="58">
        <v>77</v>
      </c>
      <c r="R221" s="58">
        <v>71</v>
      </c>
      <c r="S221" s="58">
        <v>79</v>
      </c>
      <c r="T221" s="58">
        <v>62</v>
      </c>
      <c r="U221" s="58">
        <v>50</v>
      </c>
      <c r="V221" s="58">
        <v>45</v>
      </c>
      <c r="W221" s="58">
        <v>60</v>
      </c>
      <c r="X221" s="58">
        <v>61</v>
      </c>
      <c r="Y221" s="58">
        <v>92</v>
      </c>
      <c r="Z221" s="58">
        <v>76</v>
      </c>
      <c r="AA221" s="58">
        <v>95</v>
      </c>
      <c r="AB221" s="58">
        <v>112</v>
      </c>
      <c r="AC221" s="58">
        <v>143</v>
      </c>
      <c r="AD221" s="58">
        <v>54</v>
      </c>
      <c r="AE221" s="58">
        <v>59</v>
      </c>
      <c r="AF221" s="58">
        <v>86</v>
      </c>
      <c r="AG221" s="65">
        <v>85</v>
      </c>
      <c r="AH221" s="65">
        <v>84</v>
      </c>
      <c r="AI221" s="66">
        <v>67</v>
      </c>
      <c r="AK221" s="262">
        <f>SUM(F221:AI221)</f>
        <v>2427</v>
      </c>
      <c r="CX221" s="309"/>
    </row>
    <row r="222" spans="2:102 15068:15460" s="67" customFormat="1" ht="16.2" x14ac:dyDescent="0.3">
      <c r="B222" s="144"/>
      <c r="C222" s="202" t="s">
        <v>10</v>
      </c>
      <c r="D222" s="261">
        <v>179.63</v>
      </c>
      <c r="E222" s="18" t="s">
        <v>126</v>
      </c>
      <c r="F222" s="58">
        <v>51</v>
      </c>
      <c r="G222" s="58">
        <v>109</v>
      </c>
      <c r="H222" s="58">
        <v>132</v>
      </c>
      <c r="I222" s="58">
        <v>113</v>
      </c>
      <c r="J222" s="58">
        <v>67</v>
      </c>
      <c r="K222" s="58">
        <v>120</v>
      </c>
      <c r="L222" s="58">
        <v>100</v>
      </c>
      <c r="M222" s="58">
        <v>104</v>
      </c>
      <c r="N222" s="58">
        <v>112</v>
      </c>
      <c r="O222" s="58">
        <v>89</v>
      </c>
      <c r="P222" s="58">
        <v>116</v>
      </c>
      <c r="Q222" s="58">
        <v>118</v>
      </c>
      <c r="R222" s="58">
        <v>132</v>
      </c>
      <c r="S222" s="58">
        <v>136</v>
      </c>
      <c r="T222" s="58">
        <v>127</v>
      </c>
      <c r="U222" s="58">
        <v>132</v>
      </c>
      <c r="V222" s="58">
        <v>132</v>
      </c>
      <c r="W222" s="58">
        <v>131</v>
      </c>
      <c r="X222" s="58">
        <v>153</v>
      </c>
      <c r="Y222" s="58">
        <v>125</v>
      </c>
      <c r="Z222" s="58">
        <v>120</v>
      </c>
      <c r="AA222" s="58">
        <v>72</v>
      </c>
      <c r="AB222" s="58">
        <v>112</v>
      </c>
      <c r="AC222" s="58">
        <v>123</v>
      </c>
      <c r="AD222" s="58">
        <v>121</v>
      </c>
      <c r="AE222" s="58">
        <v>89</v>
      </c>
      <c r="AF222" s="58">
        <v>88</v>
      </c>
      <c r="AG222" s="65">
        <v>77</v>
      </c>
      <c r="AH222" s="65">
        <v>94</v>
      </c>
      <c r="AI222" s="66">
        <v>119</v>
      </c>
      <c r="AK222" s="262">
        <f>SUM(F222:AI222)</f>
        <v>3314</v>
      </c>
      <c r="CX222" s="309"/>
    </row>
    <row r="223" spans="2:102 15068:15460" s="67" customFormat="1" ht="16.2" x14ac:dyDescent="0.3">
      <c r="B223" s="144"/>
      <c r="C223" s="202" t="s">
        <v>9</v>
      </c>
      <c r="D223" s="257">
        <f>44.69%*D219</f>
        <v>335.17499999999995</v>
      </c>
      <c r="E223" s="18" t="s">
        <v>126</v>
      </c>
      <c r="F223" s="286">
        <v>376.8</v>
      </c>
      <c r="G223" s="286">
        <v>356.1</v>
      </c>
      <c r="H223" s="58">
        <v>317.10000000000002</v>
      </c>
      <c r="I223" s="58">
        <v>296.2</v>
      </c>
      <c r="J223" s="58">
        <v>324.89999999999998</v>
      </c>
      <c r="K223" s="286">
        <v>376.7</v>
      </c>
      <c r="L223" s="58">
        <v>322.39999999999998</v>
      </c>
      <c r="M223" s="58">
        <v>336.4</v>
      </c>
      <c r="N223" s="58">
        <v>329.8</v>
      </c>
      <c r="O223" s="58">
        <v>303.5</v>
      </c>
      <c r="P223" s="58">
        <v>359.6</v>
      </c>
      <c r="Q223" s="58">
        <v>385</v>
      </c>
      <c r="R223" s="58">
        <v>328.5</v>
      </c>
      <c r="S223" s="58">
        <v>350.8</v>
      </c>
      <c r="T223" s="58">
        <v>301</v>
      </c>
      <c r="U223" s="58">
        <v>352.2</v>
      </c>
      <c r="V223" s="58">
        <v>340</v>
      </c>
      <c r="W223" s="58">
        <v>363</v>
      </c>
      <c r="X223" s="58">
        <v>361.1</v>
      </c>
      <c r="Y223" s="58">
        <v>354</v>
      </c>
      <c r="Z223" s="58">
        <v>339.5</v>
      </c>
      <c r="AA223" s="58">
        <v>338</v>
      </c>
      <c r="AB223" s="58">
        <v>329.5</v>
      </c>
      <c r="AC223" s="58">
        <v>300.39999999999998</v>
      </c>
      <c r="AD223" s="58">
        <v>291.2</v>
      </c>
      <c r="AE223" s="58">
        <v>336.8</v>
      </c>
      <c r="AF223" s="58">
        <v>317.60000000000002</v>
      </c>
      <c r="AG223" s="65">
        <v>404.5</v>
      </c>
      <c r="AH223" s="65">
        <v>361.1</v>
      </c>
      <c r="AI223" s="66">
        <v>388.8</v>
      </c>
      <c r="AK223" s="262">
        <f>SUM(F223:AI223)</f>
        <v>10242.5</v>
      </c>
      <c r="CX223" s="309"/>
    </row>
    <row r="224" spans="2:102 15068:15460" s="67" customFormat="1" ht="16.2" x14ac:dyDescent="0.3">
      <c r="B224" s="144"/>
      <c r="C224" s="202" t="s">
        <v>8</v>
      </c>
      <c r="D224" s="257">
        <f>D219-SUM(D221:D223)</f>
        <v>143.69500000000005</v>
      </c>
      <c r="E224" s="18" t="s">
        <v>126</v>
      </c>
      <c r="F224" s="286">
        <f t="shared" ref="F224:K224" si="91">F219-(SUM(F221:F223))</f>
        <v>220.20000000000005</v>
      </c>
      <c r="G224" s="58">
        <f t="shared" si="91"/>
        <v>87.899999999999977</v>
      </c>
      <c r="H224" s="58">
        <f t="shared" si="91"/>
        <v>133.89999999999998</v>
      </c>
      <c r="I224" s="58">
        <f t="shared" si="91"/>
        <v>170.8</v>
      </c>
      <c r="J224" s="58">
        <f t="shared" si="91"/>
        <v>0.10000000000002274</v>
      </c>
      <c r="K224" s="58">
        <f t="shared" si="91"/>
        <v>181.29999999999995</v>
      </c>
      <c r="L224" s="58">
        <f t="shared" ref="L224:AH224" si="92">L219-(SUM(L221:L223))</f>
        <v>83.600000000000023</v>
      </c>
      <c r="M224" s="58">
        <f t="shared" si="92"/>
        <v>154.60000000000002</v>
      </c>
      <c r="N224" s="58">
        <f t="shared" si="92"/>
        <v>52.199999999999989</v>
      </c>
      <c r="O224" s="58">
        <f t="shared" si="92"/>
        <v>112.5</v>
      </c>
      <c r="P224" s="58">
        <f t="shared" si="92"/>
        <v>182.39999999999998</v>
      </c>
      <c r="Q224" s="58">
        <f t="shared" si="92"/>
        <v>165</v>
      </c>
      <c r="R224" s="58">
        <f t="shared" si="92"/>
        <v>91.5</v>
      </c>
      <c r="S224" s="58">
        <f t="shared" si="92"/>
        <v>157.20000000000005</v>
      </c>
      <c r="T224" s="58">
        <f t="shared" si="92"/>
        <v>63</v>
      </c>
      <c r="U224" s="58">
        <f t="shared" si="92"/>
        <v>215.79999999999995</v>
      </c>
      <c r="V224" s="58">
        <f t="shared" si="92"/>
        <v>158</v>
      </c>
      <c r="W224" s="58">
        <f t="shared" si="92"/>
        <v>94</v>
      </c>
      <c r="X224" s="58">
        <f t="shared" si="92"/>
        <v>98.899999999999977</v>
      </c>
      <c r="Y224" s="58">
        <f t="shared" si="92"/>
        <v>191</v>
      </c>
      <c r="Z224" s="58">
        <f t="shared" si="92"/>
        <v>43.5</v>
      </c>
      <c r="AA224" s="58">
        <f t="shared" si="92"/>
        <v>112</v>
      </c>
      <c r="AB224" s="58">
        <f t="shared" si="92"/>
        <v>143.5</v>
      </c>
      <c r="AC224" s="58">
        <f>AC219-(SUM(AC221:AC223))</f>
        <v>183.60000000000002</v>
      </c>
      <c r="AD224" s="58">
        <f t="shared" si="92"/>
        <v>209.8</v>
      </c>
      <c r="AE224" s="58">
        <f t="shared" si="92"/>
        <v>123.19999999999999</v>
      </c>
      <c r="AF224" s="58">
        <f t="shared" si="92"/>
        <v>82.399999999999977</v>
      </c>
      <c r="AG224" s="58">
        <f t="shared" si="92"/>
        <v>108.39999999999998</v>
      </c>
      <c r="AH224" s="58">
        <f t="shared" si="92"/>
        <v>147.89999999999998</v>
      </c>
      <c r="AI224" s="66">
        <f>AI219-(SUM(AI221:AI223))</f>
        <v>36.200000000000045</v>
      </c>
      <c r="AK224" s="262">
        <f>SUM(F224:AI224)</f>
        <v>3804.4000000000005</v>
      </c>
      <c r="CX224" s="309"/>
    </row>
    <row r="225" spans="2:102 15068:15460" s="67" customFormat="1" ht="16.8" thickBot="1" x14ac:dyDescent="0.35">
      <c r="B225" s="263"/>
      <c r="C225" s="202" t="s">
        <v>7</v>
      </c>
      <c r="D225" s="257">
        <f>30%*D219</f>
        <v>225</v>
      </c>
      <c r="E225" s="18" t="s">
        <v>126</v>
      </c>
      <c r="F225" s="286">
        <v>224</v>
      </c>
      <c r="G225" s="58">
        <v>223</v>
      </c>
      <c r="H225" s="58">
        <v>224</v>
      </c>
      <c r="I225" s="58">
        <v>98</v>
      </c>
      <c r="J225" s="58">
        <v>129</v>
      </c>
      <c r="K225" s="58">
        <v>143</v>
      </c>
      <c r="L225" s="286">
        <v>299</v>
      </c>
      <c r="M225" s="58">
        <v>124</v>
      </c>
      <c r="N225" s="58">
        <v>177</v>
      </c>
      <c r="O225" s="58">
        <v>179</v>
      </c>
      <c r="P225" s="58">
        <v>166</v>
      </c>
      <c r="Q225" s="58">
        <v>225</v>
      </c>
      <c r="R225" s="58">
        <v>243</v>
      </c>
      <c r="S225" s="58">
        <v>134</v>
      </c>
      <c r="T225" s="58">
        <v>161</v>
      </c>
      <c r="U225" s="58">
        <v>225</v>
      </c>
      <c r="V225" s="58">
        <v>179</v>
      </c>
      <c r="W225" s="58">
        <v>195</v>
      </c>
      <c r="X225" s="58">
        <v>190</v>
      </c>
      <c r="Y225" s="58">
        <v>134</v>
      </c>
      <c r="Z225" s="58">
        <v>257</v>
      </c>
      <c r="AA225" s="58">
        <v>138</v>
      </c>
      <c r="AB225" s="58">
        <v>159</v>
      </c>
      <c r="AC225" s="58">
        <v>221</v>
      </c>
      <c r="AD225" s="58">
        <v>252</v>
      </c>
      <c r="AE225" s="58">
        <v>142</v>
      </c>
      <c r="AF225" s="58">
        <v>191</v>
      </c>
      <c r="AG225" s="65">
        <v>238</v>
      </c>
      <c r="AH225" s="65">
        <v>235</v>
      </c>
      <c r="AI225" s="66">
        <v>192</v>
      </c>
      <c r="AK225" s="262">
        <f>SUM(F225:AI225)</f>
        <v>5697</v>
      </c>
      <c r="CX225" s="309"/>
    </row>
    <row r="226" spans="2:102 15068:15460" s="3" customFormat="1" x14ac:dyDescent="0.3">
      <c r="B226" s="182">
        <v>11</v>
      </c>
      <c r="C226" s="149" t="s">
        <v>6</v>
      </c>
      <c r="D226" s="150"/>
      <c r="E226" s="151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53"/>
      <c r="AH226" s="53"/>
      <c r="AI226" s="61"/>
      <c r="AK226" s="264" t="s">
        <v>5</v>
      </c>
      <c r="CX226" s="17"/>
      <c r="VGN226" s="300"/>
      <c r="VGO226" s="300"/>
      <c r="VGP226" s="300"/>
      <c r="VGQ226" s="300"/>
      <c r="VGR226" s="300"/>
      <c r="VGS226" s="300"/>
      <c r="VGT226" s="300"/>
      <c r="VGU226" s="300"/>
      <c r="VGV226" s="300"/>
      <c r="VGW226" s="300"/>
      <c r="VGX226" s="300"/>
      <c r="VGY226" s="300"/>
      <c r="VGZ226" s="300"/>
      <c r="VHA226" s="300"/>
      <c r="VHB226" s="300"/>
      <c r="VHC226" s="300"/>
      <c r="VHD226" s="300"/>
      <c r="VHE226" s="300"/>
      <c r="VHF226" s="300"/>
      <c r="VHG226" s="300"/>
      <c r="VHH226" s="300"/>
      <c r="VHI226" s="300"/>
      <c r="VHJ226" s="300"/>
      <c r="VHK226" s="300"/>
      <c r="VHL226" s="300"/>
      <c r="VHM226" s="300"/>
      <c r="VHN226" s="300"/>
      <c r="VHO226" s="300"/>
      <c r="VHP226" s="300"/>
      <c r="VHQ226" s="300"/>
      <c r="VHR226" s="300"/>
      <c r="VHS226" s="300"/>
      <c r="VHT226" s="300"/>
      <c r="VHU226" s="300"/>
      <c r="VHV226" s="300"/>
      <c r="VHW226" s="300"/>
      <c r="VHX226" s="300"/>
      <c r="VHY226" s="300"/>
      <c r="VHZ226" s="300"/>
      <c r="VIA226" s="300"/>
      <c r="VIB226" s="300"/>
      <c r="VIC226" s="300"/>
      <c r="VID226" s="300"/>
      <c r="VIE226" s="300"/>
      <c r="VIF226" s="300"/>
      <c r="VIG226" s="300"/>
      <c r="VIH226" s="300"/>
      <c r="VII226" s="300"/>
      <c r="VIJ226" s="300"/>
      <c r="VIK226" s="300"/>
      <c r="VIL226" s="300"/>
      <c r="VIM226" s="300"/>
      <c r="VIN226" s="300"/>
      <c r="VIO226" s="300"/>
      <c r="VIP226" s="300"/>
      <c r="VIQ226" s="300"/>
      <c r="VIR226" s="300"/>
      <c r="VIS226" s="300"/>
      <c r="VIT226" s="300"/>
      <c r="VIU226" s="300"/>
      <c r="VIV226" s="300"/>
      <c r="VIW226" s="300"/>
      <c r="VIX226" s="300"/>
      <c r="VIY226" s="300"/>
      <c r="VIZ226" s="300"/>
      <c r="VJA226" s="300"/>
      <c r="VJB226" s="300"/>
      <c r="VJC226" s="300"/>
      <c r="VJD226" s="300"/>
      <c r="VJE226" s="300"/>
      <c r="VJF226" s="300"/>
      <c r="VJG226" s="300"/>
      <c r="VJH226" s="300"/>
      <c r="VJI226" s="300"/>
      <c r="VJJ226" s="300"/>
      <c r="VJK226" s="300"/>
      <c r="VJL226" s="300"/>
      <c r="VJM226" s="300"/>
      <c r="VJN226" s="300"/>
      <c r="VJO226" s="300"/>
      <c r="VJP226" s="300"/>
      <c r="VJQ226" s="300"/>
      <c r="VJR226" s="300"/>
      <c r="VJS226" s="300"/>
      <c r="VJT226" s="300"/>
      <c r="VJU226" s="300"/>
      <c r="VJV226" s="300"/>
      <c r="VJW226" s="300"/>
      <c r="VJX226" s="300"/>
      <c r="VJY226" s="300"/>
      <c r="VJZ226" s="300"/>
      <c r="VKA226" s="300"/>
      <c r="VKB226" s="300"/>
      <c r="VKC226" s="300"/>
      <c r="VKD226" s="300"/>
      <c r="VKE226" s="300"/>
      <c r="VKF226" s="300"/>
      <c r="VKG226" s="300"/>
      <c r="VKH226" s="300"/>
      <c r="VKI226" s="300"/>
      <c r="VKJ226" s="300"/>
      <c r="VKK226" s="300"/>
      <c r="VKL226" s="300"/>
      <c r="VKM226" s="300"/>
      <c r="VKN226" s="300"/>
      <c r="VKO226" s="300"/>
      <c r="VKP226" s="300"/>
      <c r="VKQ226" s="300"/>
      <c r="VKR226" s="300"/>
      <c r="VKS226" s="300"/>
      <c r="VKT226" s="300"/>
      <c r="VKU226" s="300"/>
      <c r="VKV226" s="300"/>
      <c r="VKW226" s="300"/>
      <c r="VKX226" s="300"/>
      <c r="VKY226" s="300"/>
      <c r="VKZ226" s="300"/>
      <c r="VLA226" s="300"/>
      <c r="VLB226" s="300"/>
      <c r="VLC226" s="300"/>
      <c r="VLD226" s="300"/>
      <c r="VLE226" s="300"/>
      <c r="VLF226" s="300"/>
      <c r="VLG226" s="300"/>
      <c r="VLH226" s="300"/>
      <c r="VLI226" s="300"/>
      <c r="VLJ226" s="300"/>
      <c r="VLK226" s="300"/>
      <c r="VLL226" s="300"/>
      <c r="VLM226" s="300"/>
      <c r="VLN226" s="300"/>
      <c r="VLO226" s="300"/>
      <c r="VLP226" s="300"/>
      <c r="VLQ226" s="300"/>
      <c r="VLR226" s="300"/>
      <c r="VLS226" s="300"/>
      <c r="VLT226" s="300"/>
      <c r="VLU226" s="300"/>
      <c r="VLV226" s="300"/>
      <c r="VLW226" s="300"/>
      <c r="VLX226" s="300"/>
      <c r="VLY226" s="300"/>
      <c r="VLZ226" s="300"/>
      <c r="VMA226" s="300"/>
      <c r="VMB226" s="300"/>
      <c r="VMC226" s="300"/>
      <c r="VMD226" s="300"/>
      <c r="VME226" s="300"/>
      <c r="VMF226" s="300"/>
      <c r="VMG226" s="300"/>
      <c r="VMH226" s="300"/>
      <c r="VMI226" s="300"/>
      <c r="VMJ226" s="300"/>
      <c r="VMK226" s="300"/>
      <c r="VML226" s="300"/>
      <c r="VMM226" s="300"/>
      <c r="VMN226" s="300"/>
      <c r="VMO226" s="300"/>
      <c r="VMP226" s="300"/>
      <c r="VMQ226" s="300"/>
      <c r="VMR226" s="300"/>
      <c r="VMS226" s="300"/>
      <c r="VMT226" s="300"/>
      <c r="VMU226" s="300"/>
      <c r="VMV226" s="300"/>
      <c r="VMW226" s="300"/>
      <c r="VMX226" s="300"/>
      <c r="VMY226" s="300"/>
      <c r="VMZ226" s="300"/>
      <c r="VNA226" s="300"/>
      <c r="VNB226" s="300"/>
      <c r="VNC226" s="300"/>
      <c r="VND226" s="300"/>
      <c r="VNE226" s="300"/>
      <c r="VNF226" s="300"/>
      <c r="VNG226" s="300"/>
      <c r="VNH226" s="300"/>
      <c r="VNI226" s="300"/>
      <c r="VNJ226" s="300"/>
      <c r="VNK226" s="300"/>
      <c r="VNL226" s="300"/>
      <c r="VNM226" s="300"/>
      <c r="VNN226" s="300"/>
      <c r="VNO226" s="300"/>
      <c r="VNP226" s="300"/>
      <c r="VNQ226" s="300"/>
      <c r="VNR226" s="300"/>
      <c r="VNS226" s="300"/>
      <c r="VNT226" s="300"/>
      <c r="VNU226" s="300"/>
      <c r="VNV226" s="300"/>
      <c r="VNW226" s="300"/>
      <c r="VNX226" s="300"/>
      <c r="VNY226" s="300"/>
      <c r="VNZ226" s="300"/>
      <c r="VOA226" s="300"/>
      <c r="VOB226" s="300"/>
      <c r="VOC226" s="300"/>
      <c r="VOD226" s="300"/>
      <c r="VOE226" s="300"/>
      <c r="VOF226" s="300"/>
      <c r="VOG226" s="300"/>
      <c r="VOH226" s="300"/>
      <c r="VOI226" s="300"/>
      <c r="VOJ226" s="300"/>
      <c r="VOK226" s="300"/>
      <c r="VOL226" s="300"/>
      <c r="VOM226" s="300"/>
      <c r="VON226" s="300"/>
      <c r="VOO226" s="300"/>
      <c r="VOP226" s="300"/>
      <c r="VOQ226" s="300"/>
      <c r="VOR226" s="300"/>
      <c r="VOS226" s="300"/>
      <c r="VOT226" s="300"/>
      <c r="VOU226" s="300"/>
      <c r="VOV226" s="300"/>
      <c r="VOW226" s="300"/>
      <c r="VOX226" s="300"/>
      <c r="VOY226" s="300"/>
      <c r="VOZ226" s="300"/>
      <c r="VPA226" s="300"/>
      <c r="VPB226" s="300"/>
      <c r="VPC226" s="300"/>
      <c r="VPD226" s="300"/>
      <c r="VPE226" s="300"/>
      <c r="VPF226" s="300"/>
      <c r="VPG226" s="300"/>
      <c r="VPH226" s="300"/>
      <c r="VPI226" s="300"/>
      <c r="VPJ226" s="300"/>
      <c r="VPK226" s="300"/>
      <c r="VPL226" s="300"/>
      <c r="VPM226" s="300"/>
      <c r="VPN226" s="300"/>
      <c r="VPO226" s="300"/>
      <c r="VPP226" s="300"/>
      <c r="VPQ226" s="300"/>
      <c r="VPR226" s="300"/>
      <c r="VPS226" s="300"/>
      <c r="VPT226" s="300"/>
      <c r="VPU226" s="300"/>
      <c r="VPV226" s="300"/>
      <c r="VPW226" s="300"/>
      <c r="VPX226" s="300"/>
      <c r="VPY226" s="300"/>
      <c r="VPZ226" s="300"/>
      <c r="VQA226" s="300"/>
      <c r="VQB226" s="300"/>
      <c r="VQC226" s="300"/>
      <c r="VQD226" s="300"/>
      <c r="VQE226" s="300"/>
      <c r="VQF226" s="300"/>
      <c r="VQG226" s="300"/>
      <c r="VQH226" s="300"/>
      <c r="VQI226" s="300"/>
      <c r="VQJ226" s="300"/>
      <c r="VQK226" s="300"/>
      <c r="VQL226" s="300"/>
      <c r="VQM226" s="300"/>
      <c r="VQN226" s="300"/>
      <c r="VQO226" s="300"/>
      <c r="VQP226" s="300"/>
      <c r="VQQ226" s="300"/>
      <c r="VQR226" s="300"/>
      <c r="VQS226" s="300"/>
      <c r="VQT226" s="300"/>
      <c r="VQU226" s="300"/>
      <c r="VQV226" s="300"/>
      <c r="VQW226" s="300"/>
      <c r="VQX226" s="300"/>
      <c r="VQY226" s="300"/>
      <c r="VQZ226" s="300"/>
      <c r="VRA226" s="300"/>
      <c r="VRB226" s="300"/>
      <c r="VRC226" s="300"/>
      <c r="VRD226" s="300"/>
      <c r="VRE226" s="300"/>
      <c r="VRF226" s="300"/>
      <c r="VRG226" s="300"/>
      <c r="VRH226" s="300"/>
      <c r="VRI226" s="300"/>
      <c r="VRJ226" s="300"/>
      <c r="VRK226" s="300"/>
      <c r="VRL226" s="300"/>
      <c r="VRM226" s="300"/>
      <c r="VRN226" s="300"/>
      <c r="VRO226" s="300"/>
      <c r="VRP226" s="300"/>
      <c r="VRQ226" s="300"/>
      <c r="VRR226" s="300"/>
      <c r="VRS226" s="300"/>
      <c r="VRT226" s="300"/>
      <c r="VRU226" s="300"/>
      <c r="VRV226" s="300"/>
      <c r="VRW226" s="300"/>
      <c r="VRX226" s="300"/>
      <c r="VRY226" s="300"/>
      <c r="VRZ226" s="300"/>
      <c r="VSA226" s="300"/>
      <c r="VSB226" s="300"/>
      <c r="VSC226" s="300"/>
      <c r="VSD226" s="300"/>
      <c r="VSE226" s="300"/>
      <c r="VSF226" s="300"/>
      <c r="VSG226" s="300"/>
      <c r="VSH226" s="300"/>
      <c r="VSI226" s="300"/>
      <c r="VSJ226" s="300"/>
      <c r="VSK226" s="300"/>
      <c r="VSL226" s="300"/>
      <c r="VSM226" s="300"/>
      <c r="VSN226" s="300"/>
      <c r="VSO226" s="300"/>
      <c r="VSP226" s="300"/>
      <c r="VSQ226" s="300"/>
      <c r="VSR226" s="300"/>
      <c r="VSS226" s="300"/>
      <c r="VST226" s="300"/>
      <c r="VSU226" s="300"/>
      <c r="VSV226" s="300"/>
      <c r="VSW226" s="300"/>
      <c r="VSX226" s="300"/>
      <c r="VSY226" s="300"/>
      <c r="VSZ226" s="300"/>
      <c r="VTA226" s="300"/>
      <c r="VTB226" s="300"/>
      <c r="VTC226" s="300"/>
      <c r="VTD226" s="300"/>
      <c r="VTE226" s="300"/>
      <c r="VTF226" s="300"/>
      <c r="VTG226" s="300"/>
      <c r="VTH226" s="300"/>
      <c r="VTI226" s="300"/>
      <c r="VTJ226" s="300"/>
      <c r="VTK226" s="300"/>
      <c r="VTL226" s="300"/>
      <c r="VTM226" s="300"/>
      <c r="VTN226" s="300"/>
      <c r="VTO226" s="300"/>
      <c r="VTP226" s="300"/>
      <c r="VTQ226" s="300"/>
      <c r="VTR226" s="300"/>
      <c r="VTS226" s="300"/>
      <c r="VTT226" s="300"/>
      <c r="VTU226" s="300"/>
      <c r="VTV226" s="300"/>
      <c r="VTW226" s="300"/>
      <c r="VTX226" s="300"/>
      <c r="VTY226" s="300"/>
      <c r="VTZ226" s="300"/>
      <c r="VUA226" s="300"/>
      <c r="VUB226" s="300"/>
      <c r="VUC226" s="300"/>
      <c r="VUD226" s="300"/>
      <c r="VUE226" s="300"/>
      <c r="VUF226" s="300"/>
      <c r="VUG226" s="300"/>
      <c r="VUH226" s="300"/>
      <c r="VUI226" s="300"/>
      <c r="VUJ226" s="300"/>
      <c r="VUK226" s="300"/>
      <c r="VUL226" s="300"/>
      <c r="VUM226" s="300"/>
      <c r="VUN226" s="300"/>
      <c r="VUO226" s="300"/>
      <c r="VUP226" s="300"/>
      <c r="VUQ226" s="300"/>
      <c r="VUR226" s="300"/>
      <c r="VUS226" s="300"/>
      <c r="VUT226" s="300"/>
      <c r="VUU226" s="300"/>
      <c r="VUV226" s="300"/>
      <c r="VUW226" s="300"/>
      <c r="VUX226" s="300"/>
      <c r="VUY226" s="300"/>
      <c r="VUZ226" s="300"/>
      <c r="VVA226" s="300"/>
      <c r="VVB226" s="300"/>
      <c r="VVC226" s="300"/>
      <c r="VVD226" s="300"/>
      <c r="VVE226" s="300"/>
      <c r="VVF226" s="300"/>
      <c r="VVG226" s="300"/>
      <c r="VVH226" s="300"/>
      <c r="VVI226" s="300"/>
      <c r="VVJ226" s="300"/>
      <c r="VVK226" s="300"/>
      <c r="VVL226" s="300"/>
      <c r="VVM226" s="300"/>
      <c r="VVN226" s="300"/>
      <c r="VVO226" s="300"/>
      <c r="VVP226" s="300"/>
    </row>
    <row r="227" spans="2:102 15068:15460" s="3" customFormat="1" x14ac:dyDescent="0.3">
      <c r="B227" s="182"/>
      <c r="C227" s="265" t="s">
        <v>4</v>
      </c>
      <c r="D227" s="266"/>
      <c r="E227" s="26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51"/>
      <c r="AH227" s="51"/>
      <c r="AI227" s="22"/>
      <c r="AK227" s="238" t="s">
        <v>4</v>
      </c>
      <c r="CX227" s="17"/>
      <c r="VGN227" s="300"/>
      <c r="VGO227" s="300"/>
      <c r="VGP227" s="300"/>
      <c r="VGQ227" s="300"/>
      <c r="VGR227" s="300"/>
      <c r="VGS227" s="300"/>
      <c r="VGT227" s="300"/>
      <c r="VGU227" s="300"/>
      <c r="VGV227" s="300"/>
      <c r="VGW227" s="300"/>
      <c r="VGX227" s="300"/>
      <c r="VGY227" s="300"/>
      <c r="VGZ227" s="300"/>
      <c r="VHA227" s="300"/>
      <c r="VHB227" s="300"/>
      <c r="VHC227" s="300"/>
      <c r="VHD227" s="300"/>
      <c r="VHE227" s="300"/>
      <c r="VHF227" s="300"/>
      <c r="VHG227" s="300"/>
      <c r="VHH227" s="300"/>
      <c r="VHI227" s="300"/>
      <c r="VHJ227" s="300"/>
      <c r="VHK227" s="300"/>
      <c r="VHL227" s="300"/>
      <c r="VHM227" s="300"/>
      <c r="VHN227" s="300"/>
      <c r="VHO227" s="300"/>
      <c r="VHP227" s="300"/>
      <c r="VHQ227" s="300"/>
      <c r="VHR227" s="300"/>
      <c r="VHS227" s="300"/>
      <c r="VHT227" s="300"/>
      <c r="VHU227" s="300"/>
      <c r="VHV227" s="300"/>
      <c r="VHW227" s="300"/>
      <c r="VHX227" s="300"/>
      <c r="VHY227" s="300"/>
      <c r="VHZ227" s="300"/>
      <c r="VIA227" s="300"/>
      <c r="VIB227" s="300"/>
      <c r="VIC227" s="300"/>
      <c r="VID227" s="300"/>
      <c r="VIE227" s="300"/>
      <c r="VIF227" s="300"/>
      <c r="VIG227" s="300"/>
      <c r="VIH227" s="300"/>
      <c r="VII227" s="300"/>
      <c r="VIJ227" s="300"/>
      <c r="VIK227" s="300"/>
      <c r="VIL227" s="300"/>
      <c r="VIM227" s="300"/>
      <c r="VIN227" s="300"/>
      <c r="VIO227" s="300"/>
      <c r="VIP227" s="300"/>
      <c r="VIQ227" s="300"/>
      <c r="VIR227" s="300"/>
      <c r="VIS227" s="300"/>
      <c r="VIT227" s="300"/>
      <c r="VIU227" s="300"/>
      <c r="VIV227" s="300"/>
      <c r="VIW227" s="300"/>
      <c r="VIX227" s="300"/>
      <c r="VIY227" s="300"/>
      <c r="VIZ227" s="300"/>
      <c r="VJA227" s="300"/>
      <c r="VJB227" s="300"/>
      <c r="VJC227" s="300"/>
      <c r="VJD227" s="300"/>
      <c r="VJE227" s="300"/>
      <c r="VJF227" s="300"/>
      <c r="VJG227" s="300"/>
      <c r="VJH227" s="300"/>
      <c r="VJI227" s="300"/>
      <c r="VJJ227" s="300"/>
      <c r="VJK227" s="300"/>
      <c r="VJL227" s="300"/>
      <c r="VJM227" s="300"/>
      <c r="VJN227" s="300"/>
      <c r="VJO227" s="300"/>
      <c r="VJP227" s="300"/>
      <c r="VJQ227" s="300"/>
      <c r="VJR227" s="300"/>
      <c r="VJS227" s="300"/>
      <c r="VJT227" s="300"/>
      <c r="VJU227" s="300"/>
      <c r="VJV227" s="300"/>
      <c r="VJW227" s="300"/>
      <c r="VJX227" s="300"/>
      <c r="VJY227" s="300"/>
      <c r="VJZ227" s="300"/>
      <c r="VKA227" s="300"/>
      <c r="VKB227" s="300"/>
      <c r="VKC227" s="300"/>
      <c r="VKD227" s="300"/>
      <c r="VKE227" s="300"/>
      <c r="VKF227" s="300"/>
      <c r="VKG227" s="300"/>
      <c r="VKH227" s="300"/>
      <c r="VKI227" s="300"/>
      <c r="VKJ227" s="300"/>
      <c r="VKK227" s="300"/>
      <c r="VKL227" s="300"/>
      <c r="VKM227" s="300"/>
      <c r="VKN227" s="300"/>
      <c r="VKO227" s="300"/>
      <c r="VKP227" s="300"/>
      <c r="VKQ227" s="300"/>
      <c r="VKR227" s="300"/>
      <c r="VKS227" s="300"/>
      <c r="VKT227" s="300"/>
      <c r="VKU227" s="300"/>
      <c r="VKV227" s="300"/>
      <c r="VKW227" s="300"/>
      <c r="VKX227" s="300"/>
      <c r="VKY227" s="300"/>
      <c r="VKZ227" s="300"/>
      <c r="VLA227" s="300"/>
      <c r="VLB227" s="300"/>
      <c r="VLC227" s="300"/>
      <c r="VLD227" s="300"/>
      <c r="VLE227" s="300"/>
      <c r="VLF227" s="300"/>
      <c r="VLG227" s="300"/>
      <c r="VLH227" s="300"/>
      <c r="VLI227" s="300"/>
      <c r="VLJ227" s="300"/>
      <c r="VLK227" s="300"/>
      <c r="VLL227" s="300"/>
      <c r="VLM227" s="300"/>
      <c r="VLN227" s="300"/>
      <c r="VLO227" s="300"/>
      <c r="VLP227" s="300"/>
      <c r="VLQ227" s="300"/>
      <c r="VLR227" s="300"/>
      <c r="VLS227" s="300"/>
      <c r="VLT227" s="300"/>
      <c r="VLU227" s="300"/>
      <c r="VLV227" s="300"/>
      <c r="VLW227" s="300"/>
      <c r="VLX227" s="300"/>
      <c r="VLY227" s="300"/>
      <c r="VLZ227" s="300"/>
      <c r="VMA227" s="300"/>
      <c r="VMB227" s="300"/>
      <c r="VMC227" s="300"/>
      <c r="VMD227" s="300"/>
      <c r="VME227" s="300"/>
      <c r="VMF227" s="300"/>
      <c r="VMG227" s="300"/>
      <c r="VMH227" s="300"/>
      <c r="VMI227" s="300"/>
      <c r="VMJ227" s="300"/>
      <c r="VMK227" s="300"/>
      <c r="VML227" s="300"/>
      <c r="VMM227" s="300"/>
      <c r="VMN227" s="300"/>
      <c r="VMO227" s="300"/>
      <c r="VMP227" s="300"/>
      <c r="VMQ227" s="300"/>
      <c r="VMR227" s="300"/>
      <c r="VMS227" s="300"/>
      <c r="VMT227" s="300"/>
      <c r="VMU227" s="300"/>
      <c r="VMV227" s="300"/>
      <c r="VMW227" s="300"/>
      <c r="VMX227" s="300"/>
      <c r="VMY227" s="300"/>
      <c r="VMZ227" s="300"/>
      <c r="VNA227" s="300"/>
      <c r="VNB227" s="300"/>
      <c r="VNC227" s="300"/>
      <c r="VND227" s="300"/>
      <c r="VNE227" s="300"/>
      <c r="VNF227" s="300"/>
      <c r="VNG227" s="300"/>
      <c r="VNH227" s="300"/>
      <c r="VNI227" s="300"/>
      <c r="VNJ227" s="300"/>
      <c r="VNK227" s="300"/>
      <c r="VNL227" s="300"/>
      <c r="VNM227" s="300"/>
      <c r="VNN227" s="300"/>
      <c r="VNO227" s="300"/>
      <c r="VNP227" s="300"/>
      <c r="VNQ227" s="300"/>
      <c r="VNR227" s="300"/>
      <c r="VNS227" s="300"/>
      <c r="VNT227" s="300"/>
      <c r="VNU227" s="300"/>
      <c r="VNV227" s="300"/>
      <c r="VNW227" s="300"/>
      <c r="VNX227" s="300"/>
      <c r="VNY227" s="300"/>
      <c r="VNZ227" s="300"/>
      <c r="VOA227" s="300"/>
      <c r="VOB227" s="300"/>
      <c r="VOC227" s="300"/>
      <c r="VOD227" s="300"/>
      <c r="VOE227" s="300"/>
      <c r="VOF227" s="300"/>
      <c r="VOG227" s="300"/>
      <c r="VOH227" s="300"/>
      <c r="VOI227" s="300"/>
      <c r="VOJ227" s="300"/>
      <c r="VOK227" s="300"/>
      <c r="VOL227" s="300"/>
      <c r="VOM227" s="300"/>
      <c r="VON227" s="300"/>
      <c r="VOO227" s="300"/>
      <c r="VOP227" s="300"/>
      <c r="VOQ227" s="300"/>
      <c r="VOR227" s="300"/>
      <c r="VOS227" s="300"/>
      <c r="VOT227" s="300"/>
      <c r="VOU227" s="300"/>
      <c r="VOV227" s="300"/>
      <c r="VOW227" s="300"/>
      <c r="VOX227" s="300"/>
      <c r="VOY227" s="300"/>
      <c r="VOZ227" s="300"/>
      <c r="VPA227" s="300"/>
      <c r="VPB227" s="300"/>
      <c r="VPC227" s="300"/>
      <c r="VPD227" s="300"/>
      <c r="VPE227" s="300"/>
      <c r="VPF227" s="300"/>
      <c r="VPG227" s="300"/>
      <c r="VPH227" s="300"/>
      <c r="VPI227" s="300"/>
      <c r="VPJ227" s="300"/>
      <c r="VPK227" s="300"/>
      <c r="VPL227" s="300"/>
      <c r="VPM227" s="300"/>
      <c r="VPN227" s="300"/>
      <c r="VPO227" s="300"/>
      <c r="VPP227" s="300"/>
      <c r="VPQ227" s="300"/>
      <c r="VPR227" s="300"/>
      <c r="VPS227" s="300"/>
      <c r="VPT227" s="300"/>
      <c r="VPU227" s="300"/>
      <c r="VPV227" s="300"/>
      <c r="VPW227" s="300"/>
      <c r="VPX227" s="300"/>
      <c r="VPY227" s="300"/>
      <c r="VPZ227" s="300"/>
      <c r="VQA227" s="300"/>
      <c r="VQB227" s="300"/>
      <c r="VQC227" s="300"/>
      <c r="VQD227" s="300"/>
      <c r="VQE227" s="300"/>
      <c r="VQF227" s="300"/>
      <c r="VQG227" s="300"/>
      <c r="VQH227" s="300"/>
      <c r="VQI227" s="300"/>
      <c r="VQJ227" s="300"/>
      <c r="VQK227" s="300"/>
      <c r="VQL227" s="300"/>
      <c r="VQM227" s="300"/>
      <c r="VQN227" s="300"/>
      <c r="VQO227" s="300"/>
      <c r="VQP227" s="300"/>
      <c r="VQQ227" s="300"/>
      <c r="VQR227" s="300"/>
      <c r="VQS227" s="300"/>
      <c r="VQT227" s="300"/>
      <c r="VQU227" s="300"/>
      <c r="VQV227" s="300"/>
      <c r="VQW227" s="300"/>
      <c r="VQX227" s="300"/>
      <c r="VQY227" s="300"/>
      <c r="VQZ227" s="300"/>
      <c r="VRA227" s="300"/>
      <c r="VRB227" s="300"/>
      <c r="VRC227" s="300"/>
      <c r="VRD227" s="300"/>
      <c r="VRE227" s="300"/>
      <c r="VRF227" s="300"/>
      <c r="VRG227" s="300"/>
      <c r="VRH227" s="300"/>
      <c r="VRI227" s="300"/>
      <c r="VRJ227" s="300"/>
      <c r="VRK227" s="300"/>
      <c r="VRL227" s="300"/>
      <c r="VRM227" s="300"/>
      <c r="VRN227" s="300"/>
      <c r="VRO227" s="300"/>
      <c r="VRP227" s="300"/>
      <c r="VRQ227" s="300"/>
      <c r="VRR227" s="300"/>
      <c r="VRS227" s="300"/>
      <c r="VRT227" s="300"/>
      <c r="VRU227" s="300"/>
      <c r="VRV227" s="300"/>
      <c r="VRW227" s="300"/>
      <c r="VRX227" s="300"/>
      <c r="VRY227" s="300"/>
      <c r="VRZ227" s="300"/>
      <c r="VSA227" s="300"/>
      <c r="VSB227" s="300"/>
      <c r="VSC227" s="300"/>
      <c r="VSD227" s="300"/>
      <c r="VSE227" s="300"/>
      <c r="VSF227" s="300"/>
      <c r="VSG227" s="300"/>
      <c r="VSH227" s="300"/>
      <c r="VSI227" s="300"/>
      <c r="VSJ227" s="300"/>
      <c r="VSK227" s="300"/>
      <c r="VSL227" s="300"/>
      <c r="VSM227" s="300"/>
      <c r="VSN227" s="300"/>
      <c r="VSO227" s="300"/>
      <c r="VSP227" s="300"/>
      <c r="VSQ227" s="300"/>
      <c r="VSR227" s="300"/>
      <c r="VSS227" s="300"/>
      <c r="VST227" s="300"/>
      <c r="VSU227" s="300"/>
      <c r="VSV227" s="300"/>
      <c r="VSW227" s="300"/>
      <c r="VSX227" s="300"/>
      <c r="VSY227" s="300"/>
      <c r="VSZ227" s="300"/>
      <c r="VTA227" s="300"/>
      <c r="VTB227" s="300"/>
      <c r="VTC227" s="300"/>
      <c r="VTD227" s="300"/>
      <c r="VTE227" s="300"/>
      <c r="VTF227" s="300"/>
      <c r="VTG227" s="300"/>
      <c r="VTH227" s="300"/>
      <c r="VTI227" s="300"/>
      <c r="VTJ227" s="300"/>
      <c r="VTK227" s="300"/>
      <c r="VTL227" s="300"/>
      <c r="VTM227" s="300"/>
      <c r="VTN227" s="300"/>
      <c r="VTO227" s="300"/>
      <c r="VTP227" s="300"/>
      <c r="VTQ227" s="300"/>
      <c r="VTR227" s="300"/>
      <c r="VTS227" s="300"/>
      <c r="VTT227" s="300"/>
      <c r="VTU227" s="300"/>
      <c r="VTV227" s="300"/>
      <c r="VTW227" s="300"/>
      <c r="VTX227" s="300"/>
      <c r="VTY227" s="300"/>
      <c r="VTZ227" s="300"/>
      <c r="VUA227" s="300"/>
      <c r="VUB227" s="300"/>
      <c r="VUC227" s="300"/>
      <c r="VUD227" s="300"/>
      <c r="VUE227" s="300"/>
      <c r="VUF227" s="300"/>
      <c r="VUG227" s="300"/>
      <c r="VUH227" s="300"/>
      <c r="VUI227" s="300"/>
      <c r="VUJ227" s="300"/>
      <c r="VUK227" s="300"/>
      <c r="VUL227" s="300"/>
      <c r="VUM227" s="300"/>
      <c r="VUN227" s="300"/>
      <c r="VUO227" s="300"/>
      <c r="VUP227" s="300"/>
      <c r="VUQ227" s="300"/>
      <c r="VUR227" s="300"/>
      <c r="VUS227" s="300"/>
      <c r="VUT227" s="300"/>
      <c r="VUU227" s="300"/>
      <c r="VUV227" s="300"/>
      <c r="VUW227" s="300"/>
      <c r="VUX227" s="300"/>
      <c r="VUY227" s="300"/>
      <c r="VUZ227" s="300"/>
      <c r="VVA227" s="300"/>
      <c r="VVB227" s="300"/>
      <c r="VVC227" s="300"/>
      <c r="VVD227" s="300"/>
      <c r="VVE227" s="300"/>
      <c r="VVF227" s="300"/>
      <c r="VVG227" s="300"/>
      <c r="VVH227" s="300"/>
      <c r="VVI227" s="300"/>
      <c r="VVJ227" s="300"/>
      <c r="VVK227" s="300"/>
      <c r="VVL227" s="300"/>
      <c r="VVM227" s="300"/>
      <c r="VVN227" s="300"/>
      <c r="VVO227" s="300"/>
      <c r="VVP227" s="300"/>
    </row>
    <row r="228" spans="2:102 15068:15460" s="3" customFormat="1" x14ac:dyDescent="0.3">
      <c r="B228" s="182"/>
      <c r="C228" s="153" t="s">
        <v>3</v>
      </c>
      <c r="D228" s="106">
        <v>28770</v>
      </c>
      <c r="E228" s="119" t="s">
        <v>2</v>
      </c>
      <c r="F228" s="1">
        <v>28600</v>
      </c>
      <c r="G228" s="1">
        <v>28600</v>
      </c>
      <c r="H228" s="1">
        <v>28600</v>
      </c>
      <c r="I228" s="1">
        <v>28700</v>
      </c>
      <c r="J228" s="1">
        <v>27900</v>
      </c>
      <c r="K228" s="1">
        <v>27400</v>
      </c>
      <c r="L228" s="1">
        <v>27500</v>
      </c>
      <c r="M228" s="1">
        <v>27600</v>
      </c>
      <c r="N228" s="1">
        <v>24800</v>
      </c>
      <c r="O228" s="1">
        <v>23400</v>
      </c>
      <c r="P228" s="1">
        <v>27700</v>
      </c>
      <c r="Q228" s="1">
        <v>28600</v>
      </c>
      <c r="R228" s="1">
        <v>28700</v>
      </c>
      <c r="S228" s="1">
        <v>28700</v>
      </c>
      <c r="T228" s="1">
        <v>28700</v>
      </c>
      <c r="U228" s="14">
        <v>32000</v>
      </c>
      <c r="V228" s="14">
        <v>29800</v>
      </c>
      <c r="W228" s="1">
        <v>28700</v>
      </c>
      <c r="X228" s="14">
        <v>33100</v>
      </c>
      <c r="Y228" s="14">
        <v>29300</v>
      </c>
      <c r="Z228" s="1">
        <v>27900</v>
      </c>
      <c r="AA228" s="1">
        <v>25800</v>
      </c>
      <c r="AB228" s="1">
        <v>27600</v>
      </c>
      <c r="AC228" s="1">
        <v>27000</v>
      </c>
      <c r="AD228" s="1">
        <v>27800</v>
      </c>
      <c r="AE228" s="1">
        <v>25600</v>
      </c>
      <c r="AF228" s="1">
        <v>26900</v>
      </c>
      <c r="AG228" s="51">
        <v>24100</v>
      </c>
      <c r="AH228" s="51">
        <v>26500</v>
      </c>
      <c r="AI228" s="22">
        <v>27200</v>
      </c>
      <c r="AK228" s="161">
        <f>SUM(F228:AI228)</f>
        <v>834800</v>
      </c>
      <c r="CX228" s="17"/>
      <c r="VGN228" s="300"/>
      <c r="VGO228" s="300"/>
      <c r="VGP228" s="300"/>
      <c r="VGQ228" s="300"/>
      <c r="VGR228" s="300"/>
      <c r="VGS228" s="300"/>
      <c r="VGT228" s="300"/>
      <c r="VGU228" s="300"/>
      <c r="VGV228" s="300"/>
      <c r="VGW228" s="300"/>
      <c r="VGX228" s="300"/>
      <c r="VGY228" s="300"/>
      <c r="VGZ228" s="300"/>
      <c r="VHA228" s="300"/>
      <c r="VHB228" s="300"/>
      <c r="VHC228" s="300"/>
      <c r="VHD228" s="300"/>
      <c r="VHE228" s="300"/>
      <c r="VHF228" s="300"/>
      <c r="VHG228" s="300"/>
      <c r="VHH228" s="300"/>
      <c r="VHI228" s="300"/>
      <c r="VHJ228" s="300"/>
      <c r="VHK228" s="300"/>
      <c r="VHL228" s="300"/>
      <c r="VHM228" s="300"/>
      <c r="VHN228" s="300"/>
      <c r="VHO228" s="300"/>
      <c r="VHP228" s="300"/>
      <c r="VHQ228" s="300"/>
      <c r="VHR228" s="300"/>
      <c r="VHS228" s="300"/>
      <c r="VHT228" s="300"/>
      <c r="VHU228" s="300"/>
      <c r="VHV228" s="300"/>
      <c r="VHW228" s="300"/>
      <c r="VHX228" s="300"/>
      <c r="VHY228" s="300"/>
      <c r="VHZ228" s="300"/>
      <c r="VIA228" s="300"/>
      <c r="VIB228" s="300"/>
      <c r="VIC228" s="300"/>
      <c r="VID228" s="300"/>
      <c r="VIE228" s="300"/>
      <c r="VIF228" s="300"/>
      <c r="VIG228" s="300"/>
      <c r="VIH228" s="300"/>
      <c r="VII228" s="300"/>
      <c r="VIJ228" s="300"/>
      <c r="VIK228" s="300"/>
      <c r="VIL228" s="300"/>
      <c r="VIM228" s="300"/>
      <c r="VIN228" s="300"/>
      <c r="VIO228" s="300"/>
      <c r="VIP228" s="300"/>
      <c r="VIQ228" s="300"/>
      <c r="VIR228" s="300"/>
      <c r="VIS228" s="300"/>
      <c r="VIT228" s="300"/>
      <c r="VIU228" s="300"/>
      <c r="VIV228" s="300"/>
      <c r="VIW228" s="300"/>
      <c r="VIX228" s="300"/>
      <c r="VIY228" s="300"/>
      <c r="VIZ228" s="300"/>
      <c r="VJA228" s="300"/>
      <c r="VJB228" s="300"/>
      <c r="VJC228" s="300"/>
      <c r="VJD228" s="300"/>
      <c r="VJE228" s="300"/>
      <c r="VJF228" s="300"/>
      <c r="VJG228" s="300"/>
      <c r="VJH228" s="300"/>
      <c r="VJI228" s="300"/>
      <c r="VJJ228" s="300"/>
      <c r="VJK228" s="300"/>
      <c r="VJL228" s="300"/>
      <c r="VJM228" s="300"/>
      <c r="VJN228" s="300"/>
      <c r="VJO228" s="300"/>
      <c r="VJP228" s="300"/>
      <c r="VJQ228" s="300"/>
      <c r="VJR228" s="300"/>
      <c r="VJS228" s="300"/>
      <c r="VJT228" s="300"/>
      <c r="VJU228" s="300"/>
      <c r="VJV228" s="300"/>
      <c r="VJW228" s="300"/>
      <c r="VJX228" s="300"/>
      <c r="VJY228" s="300"/>
      <c r="VJZ228" s="300"/>
      <c r="VKA228" s="300"/>
      <c r="VKB228" s="300"/>
      <c r="VKC228" s="300"/>
      <c r="VKD228" s="300"/>
      <c r="VKE228" s="300"/>
      <c r="VKF228" s="300"/>
      <c r="VKG228" s="300"/>
      <c r="VKH228" s="300"/>
      <c r="VKI228" s="300"/>
      <c r="VKJ228" s="300"/>
      <c r="VKK228" s="300"/>
      <c r="VKL228" s="300"/>
      <c r="VKM228" s="300"/>
      <c r="VKN228" s="300"/>
      <c r="VKO228" s="300"/>
      <c r="VKP228" s="300"/>
      <c r="VKQ228" s="300"/>
      <c r="VKR228" s="300"/>
      <c r="VKS228" s="300"/>
      <c r="VKT228" s="300"/>
      <c r="VKU228" s="300"/>
      <c r="VKV228" s="300"/>
      <c r="VKW228" s="300"/>
      <c r="VKX228" s="300"/>
      <c r="VKY228" s="300"/>
      <c r="VKZ228" s="300"/>
      <c r="VLA228" s="300"/>
      <c r="VLB228" s="300"/>
      <c r="VLC228" s="300"/>
      <c r="VLD228" s="300"/>
      <c r="VLE228" s="300"/>
      <c r="VLF228" s="300"/>
      <c r="VLG228" s="300"/>
      <c r="VLH228" s="300"/>
      <c r="VLI228" s="300"/>
      <c r="VLJ228" s="300"/>
      <c r="VLK228" s="300"/>
      <c r="VLL228" s="300"/>
      <c r="VLM228" s="300"/>
      <c r="VLN228" s="300"/>
      <c r="VLO228" s="300"/>
      <c r="VLP228" s="300"/>
      <c r="VLQ228" s="300"/>
      <c r="VLR228" s="300"/>
      <c r="VLS228" s="300"/>
      <c r="VLT228" s="300"/>
      <c r="VLU228" s="300"/>
      <c r="VLV228" s="300"/>
      <c r="VLW228" s="300"/>
      <c r="VLX228" s="300"/>
      <c r="VLY228" s="300"/>
      <c r="VLZ228" s="300"/>
      <c r="VMA228" s="300"/>
      <c r="VMB228" s="300"/>
      <c r="VMC228" s="300"/>
      <c r="VMD228" s="300"/>
      <c r="VME228" s="300"/>
      <c r="VMF228" s="300"/>
      <c r="VMG228" s="300"/>
      <c r="VMH228" s="300"/>
      <c r="VMI228" s="300"/>
      <c r="VMJ228" s="300"/>
      <c r="VMK228" s="300"/>
      <c r="VML228" s="300"/>
      <c r="VMM228" s="300"/>
      <c r="VMN228" s="300"/>
      <c r="VMO228" s="300"/>
      <c r="VMP228" s="300"/>
      <c r="VMQ228" s="300"/>
      <c r="VMR228" s="300"/>
      <c r="VMS228" s="300"/>
      <c r="VMT228" s="300"/>
      <c r="VMU228" s="300"/>
      <c r="VMV228" s="300"/>
      <c r="VMW228" s="300"/>
      <c r="VMX228" s="300"/>
      <c r="VMY228" s="300"/>
      <c r="VMZ228" s="300"/>
      <c r="VNA228" s="300"/>
      <c r="VNB228" s="300"/>
      <c r="VNC228" s="300"/>
      <c r="VND228" s="300"/>
      <c r="VNE228" s="300"/>
      <c r="VNF228" s="300"/>
      <c r="VNG228" s="300"/>
      <c r="VNH228" s="300"/>
      <c r="VNI228" s="300"/>
      <c r="VNJ228" s="300"/>
      <c r="VNK228" s="300"/>
      <c r="VNL228" s="300"/>
      <c r="VNM228" s="300"/>
      <c r="VNN228" s="300"/>
      <c r="VNO228" s="300"/>
      <c r="VNP228" s="300"/>
      <c r="VNQ228" s="300"/>
      <c r="VNR228" s="300"/>
      <c r="VNS228" s="300"/>
      <c r="VNT228" s="300"/>
      <c r="VNU228" s="300"/>
      <c r="VNV228" s="300"/>
      <c r="VNW228" s="300"/>
      <c r="VNX228" s="300"/>
      <c r="VNY228" s="300"/>
      <c r="VNZ228" s="300"/>
      <c r="VOA228" s="300"/>
      <c r="VOB228" s="300"/>
      <c r="VOC228" s="300"/>
      <c r="VOD228" s="300"/>
      <c r="VOE228" s="300"/>
      <c r="VOF228" s="300"/>
      <c r="VOG228" s="300"/>
      <c r="VOH228" s="300"/>
      <c r="VOI228" s="300"/>
      <c r="VOJ228" s="300"/>
      <c r="VOK228" s="300"/>
      <c r="VOL228" s="300"/>
      <c r="VOM228" s="300"/>
      <c r="VON228" s="300"/>
      <c r="VOO228" s="300"/>
      <c r="VOP228" s="300"/>
      <c r="VOQ228" s="300"/>
      <c r="VOR228" s="300"/>
      <c r="VOS228" s="300"/>
      <c r="VOT228" s="300"/>
      <c r="VOU228" s="300"/>
      <c r="VOV228" s="300"/>
      <c r="VOW228" s="300"/>
      <c r="VOX228" s="300"/>
      <c r="VOY228" s="300"/>
      <c r="VOZ228" s="300"/>
      <c r="VPA228" s="300"/>
      <c r="VPB228" s="300"/>
      <c r="VPC228" s="300"/>
      <c r="VPD228" s="300"/>
      <c r="VPE228" s="300"/>
      <c r="VPF228" s="300"/>
      <c r="VPG228" s="300"/>
      <c r="VPH228" s="300"/>
      <c r="VPI228" s="300"/>
      <c r="VPJ228" s="300"/>
      <c r="VPK228" s="300"/>
      <c r="VPL228" s="300"/>
      <c r="VPM228" s="300"/>
      <c r="VPN228" s="300"/>
      <c r="VPO228" s="300"/>
      <c r="VPP228" s="300"/>
      <c r="VPQ228" s="300"/>
      <c r="VPR228" s="300"/>
      <c r="VPS228" s="300"/>
      <c r="VPT228" s="300"/>
      <c r="VPU228" s="300"/>
      <c r="VPV228" s="300"/>
      <c r="VPW228" s="300"/>
      <c r="VPX228" s="300"/>
      <c r="VPY228" s="300"/>
      <c r="VPZ228" s="300"/>
      <c r="VQA228" s="300"/>
      <c r="VQB228" s="300"/>
      <c r="VQC228" s="300"/>
      <c r="VQD228" s="300"/>
      <c r="VQE228" s="300"/>
      <c r="VQF228" s="300"/>
      <c r="VQG228" s="300"/>
      <c r="VQH228" s="300"/>
      <c r="VQI228" s="300"/>
      <c r="VQJ228" s="300"/>
      <c r="VQK228" s="300"/>
      <c r="VQL228" s="300"/>
      <c r="VQM228" s="300"/>
      <c r="VQN228" s="300"/>
      <c r="VQO228" s="300"/>
      <c r="VQP228" s="300"/>
      <c r="VQQ228" s="300"/>
      <c r="VQR228" s="300"/>
      <c r="VQS228" s="300"/>
      <c r="VQT228" s="300"/>
      <c r="VQU228" s="300"/>
      <c r="VQV228" s="300"/>
      <c r="VQW228" s="300"/>
      <c r="VQX228" s="300"/>
      <c r="VQY228" s="300"/>
      <c r="VQZ228" s="300"/>
      <c r="VRA228" s="300"/>
      <c r="VRB228" s="300"/>
      <c r="VRC228" s="300"/>
      <c r="VRD228" s="300"/>
      <c r="VRE228" s="300"/>
      <c r="VRF228" s="300"/>
      <c r="VRG228" s="300"/>
      <c r="VRH228" s="300"/>
      <c r="VRI228" s="300"/>
      <c r="VRJ228" s="300"/>
      <c r="VRK228" s="300"/>
      <c r="VRL228" s="300"/>
      <c r="VRM228" s="300"/>
      <c r="VRN228" s="300"/>
      <c r="VRO228" s="300"/>
      <c r="VRP228" s="300"/>
      <c r="VRQ228" s="300"/>
      <c r="VRR228" s="300"/>
      <c r="VRS228" s="300"/>
      <c r="VRT228" s="300"/>
      <c r="VRU228" s="300"/>
      <c r="VRV228" s="300"/>
      <c r="VRW228" s="300"/>
      <c r="VRX228" s="300"/>
      <c r="VRY228" s="300"/>
      <c r="VRZ228" s="300"/>
      <c r="VSA228" s="300"/>
      <c r="VSB228" s="300"/>
      <c r="VSC228" s="300"/>
      <c r="VSD228" s="300"/>
      <c r="VSE228" s="300"/>
      <c r="VSF228" s="300"/>
      <c r="VSG228" s="300"/>
      <c r="VSH228" s="300"/>
      <c r="VSI228" s="300"/>
      <c r="VSJ228" s="300"/>
      <c r="VSK228" s="300"/>
      <c r="VSL228" s="300"/>
      <c r="VSM228" s="300"/>
      <c r="VSN228" s="300"/>
      <c r="VSO228" s="300"/>
      <c r="VSP228" s="300"/>
      <c r="VSQ228" s="300"/>
      <c r="VSR228" s="300"/>
      <c r="VSS228" s="300"/>
      <c r="VST228" s="300"/>
      <c r="VSU228" s="300"/>
      <c r="VSV228" s="300"/>
      <c r="VSW228" s="300"/>
      <c r="VSX228" s="300"/>
      <c r="VSY228" s="300"/>
      <c r="VSZ228" s="300"/>
      <c r="VTA228" s="300"/>
      <c r="VTB228" s="300"/>
      <c r="VTC228" s="300"/>
      <c r="VTD228" s="300"/>
      <c r="VTE228" s="300"/>
      <c r="VTF228" s="300"/>
      <c r="VTG228" s="300"/>
      <c r="VTH228" s="300"/>
      <c r="VTI228" s="300"/>
      <c r="VTJ228" s="300"/>
      <c r="VTK228" s="300"/>
      <c r="VTL228" s="300"/>
      <c r="VTM228" s="300"/>
      <c r="VTN228" s="300"/>
      <c r="VTO228" s="300"/>
      <c r="VTP228" s="300"/>
      <c r="VTQ228" s="300"/>
      <c r="VTR228" s="300"/>
      <c r="VTS228" s="300"/>
      <c r="VTT228" s="300"/>
      <c r="VTU228" s="300"/>
      <c r="VTV228" s="300"/>
      <c r="VTW228" s="300"/>
      <c r="VTX228" s="300"/>
      <c r="VTY228" s="300"/>
      <c r="VTZ228" s="300"/>
      <c r="VUA228" s="300"/>
      <c r="VUB228" s="300"/>
      <c r="VUC228" s="300"/>
      <c r="VUD228" s="300"/>
      <c r="VUE228" s="300"/>
      <c r="VUF228" s="300"/>
      <c r="VUG228" s="300"/>
      <c r="VUH228" s="300"/>
      <c r="VUI228" s="300"/>
      <c r="VUJ228" s="300"/>
      <c r="VUK228" s="300"/>
      <c r="VUL228" s="300"/>
      <c r="VUM228" s="300"/>
      <c r="VUN228" s="300"/>
      <c r="VUO228" s="300"/>
      <c r="VUP228" s="300"/>
      <c r="VUQ228" s="300"/>
      <c r="VUR228" s="300"/>
      <c r="VUS228" s="300"/>
      <c r="VUT228" s="300"/>
      <c r="VUU228" s="300"/>
      <c r="VUV228" s="300"/>
      <c r="VUW228" s="300"/>
      <c r="VUX228" s="300"/>
      <c r="VUY228" s="300"/>
      <c r="VUZ228" s="300"/>
      <c r="VVA228" s="300"/>
      <c r="VVB228" s="300"/>
      <c r="VVC228" s="300"/>
      <c r="VVD228" s="300"/>
      <c r="VVE228" s="300"/>
      <c r="VVF228" s="300"/>
      <c r="VVG228" s="300"/>
      <c r="VVH228" s="300"/>
      <c r="VVI228" s="300"/>
      <c r="VVJ228" s="300"/>
      <c r="VVK228" s="300"/>
      <c r="VVL228" s="300"/>
      <c r="VVM228" s="300"/>
      <c r="VVN228" s="300"/>
      <c r="VVO228" s="300"/>
      <c r="VVP228" s="300"/>
    </row>
    <row r="229" spans="2:102 15068:15460" s="3" customFormat="1" ht="15" thickBot="1" x14ac:dyDescent="0.35">
      <c r="B229" s="268"/>
      <c r="C229" s="269" t="s">
        <v>1</v>
      </c>
      <c r="D229" s="270"/>
      <c r="E229" s="271" t="s">
        <v>0</v>
      </c>
      <c r="F229" s="60">
        <f t="shared" ref="F229:AH229" si="93">SUM(F228:F228)</f>
        <v>28600</v>
      </c>
      <c r="G229" s="60">
        <f t="shared" si="93"/>
        <v>28600</v>
      </c>
      <c r="H229" s="60">
        <f t="shared" si="93"/>
        <v>28600</v>
      </c>
      <c r="I229" s="60">
        <f t="shared" si="93"/>
        <v>28700</v>
      </c>
      <c r="J229" s="60">
        <f t="shared" si="93"/>
        <v>27900</v>
      </c>
      <c r="K229" s="60">
        <f t="shared" si="93"/>
        <v>27400</v>
      </c>
      <c r="L229" s="60">
        <f t="shared" si="93"/>
        <v>27500</v>
      </c>
      <c r="M229" s="60">
        <f t="shared" si="93"/>
        <v>27600</v>
      </c>
      <c r="N229" s="60">
        <f t="shared" si="93"/>
        <v>24800</v>
      </c>
      <c r="O229" s="60">
        <f t="shared" si="93"/>
        <v>23400</v>
      </c>
      <c r="P229" s="60">
        <f t="shared" si="93"/>
        <v>27700</v>
      </c>
      <c r="Q229" s="60">
        <f t="shared" si="93"/>
        <v>28600</v>
      </c>
      <c r="R229" s="60">
        <f t="shared" si="93"/>
        <v>28700</v>
      </c>
      <c r="S229" s="60">
        <f t="shared" si="93"/>
        <v>28700</v>
      </c>
      <c r="T229" s="60">
        <f t="shared" si="93"/>
        <v>28700</v>
      </c>
      <c r="U229" s="60">
        <f t="shared" si="93"/>
        <v>32000</v>
      </c>
      <c r="V229" s="60">
        <f t="shared" si="93"/>
        <v>29800</v>
      </c>
      <c r="W229" s="60">
        <f t="shared" si="93"/>
        <v>28700</v>
      </c>
      <c r="X229" s="60">
        <f t="shared" si="93"/>
        <v>33100</v>
      </c>
      <c r="Y229" s="60">
        <f t="shared" si="93"/>
        <v>29300</v>
      </c>
      <c r="Z229" s="60">
        <f>SUM(Z228:Z228)</f>
        <v>27900</v>
      </c>
      <c r="AA229" s="60">
        <f t="shared" si="93"/>
        <v>25800</v>
      </c>
      <c r="AB229" s="60">
        <f t="shared" si="93"/>
        <v>27600</v>
      </c>
      <c r="AC229" s="60">
        <f t="shared" si="93"/>
        <v>27000</v>
      </c>
      <c r="AD229" s="60">
        <f t="shared" si="93"/>
        <v>27800</v>
      </c>
      <c r="AE229" s="60">
        <f t="shared" si="93"/>
        <v>25600</v>
      </c>
      <c r="AF229" s="60">
        <f t="shared" si="93"/>
        <v>26900</v>
      </c>
      <c r="AG229" s="60">
        <f t="shared" si="93"/>
        <v>24100</v>
      </c>
      <c r="AH229" s="60">
        <f t="shared" si="93"/>
        <v>26500</v>
      </c>
      <c r="AI229" s="324">
        <f>SUM(AI228:AI228)</f>
        <v>27200</v>
      </c>
      <c r="AJ229" s="120"/>
      <c r="AK229" s="272">
        <f>SUM(F229:AI229)</f>
        <v>834800</v>
      </c>
      <c r="CX229" s="17"/>
      <c r="VGN229" s="300"/>
      <c r="VGO229" s="300"/>
      <c r="VGP229" s="300"/>
      <c r="VGQ229" s="300"/>
      <c r="VGR229" s="300"/>
      <c r="VGS229" s="300"/>
      <c r="VGT229" s="300"/>
      <c r="VGU229" s="300"/>
      <c r="VGV229" s="300"/>
      <c r="VGW229" s="300"/>
      <c r="VGX229" s="300"/>
      <c r="VGY229" s="300"/>
      <c r="VGZ229" s="300"/>
      <c r="VHA229" s="300"/>
      <c r="VHB229" s="300"/>
      <c r="VHC229" s="300"/>
      <c r="VHD229" s="300"/>
      <c r="VHE229" s="300"/>
      <c r="VHF229" s="300"/>
      <c r="VHG229" s="300"/>
      <c r="VHH229" s="300"/>
      <c r="VHI229" s="300"/>
      <c r="VHJ229" s="300"/>
      <c r="VHK229" s="300"/>
      <c r="VHL229" s="300"/>
      <c r="VHM229" s="300"/>
      <c r="VHN229" s="300"/>
      <c r="VHO229" s="300"/>
      <c r="VHP229" s="300"/>
      <c r="VHQ229" s="300"/>
      <c r="VHR229" s="300"/>
      <c r="VHS229" s="300"/>
      <c r="VHT229" s="300"/>
      <c r="VHU229" s="300"/>
      <c r="VHV229" s="300"/>
      <c r="VHW229" s="300"/>
      <c r="VHX229" s="300"/>
      <c r="VHY229" s="300"/>
      <c r="VHZ229" s="300"/>
      <c r="VIA229" s="300"/>
      <c r="VIB229" s="300"/>
      <c r="VIC229" s="300"/>
      <c r="VID229" s="300"/>
      <c r="VIE229" s="300"/>
      <c r="VIF229" s="300"/>
      <c r="VIG229" s="300"/>
      <c r="VIH229" s="300"/>
      <c r="VII229" s="300"/>
      <c r="VIJ229" s="300"/>
      <c r="VIK229" s="300"/>
      <c r="VIL229" s="300"/>
      <c r="VIM229" s="300"/>
      <c r="VIN229" s="300"/>
      <c r="VIO229" s="300"/>
      <c r="VIP229" s="300"/>
      <c r="VIQ229" s="300"/>
      <c r="VIR229" s="300"/>
      <c r="VIS229" s="300"/>
      <c r="VIT229" s="300"/>
      <c r="VIU229" s="300"/>
      <c r="VIV229" s="300"/>
      <c r="VIW229" s="300"/>
      <c r="VIX229" s="300"/>
      <c r="VIY229" s="300"/>
      <c r="VIZ229" s="300"/>
      <c r="VJA229" s="300"/>
      <c r="VJB229" s="300"/>
      <c r="VJC229" s="300"/>
      <c r="VJD229" s="300"/>
      <c r="VJE229" s="300"/>
      <c r="VJF229" s="300"/>
      <c r="VJG229" s="300"/>
      <c r="VJH229" s="300"/>
      <c r="VJI229" s="300"/>
      <c r="VJJ229" s="300"/>
      <c r="VJK229" s="300"/>
      <c r="VJL229" s="300"/>
      <c r="VJM229" s="300"/>
      <c r="VJN229" s="300"/>
      <c r="VJO229" s="300"/>
      <c r="VJP229" s="300"/>
      <c r="VJQ229" s="300"/>
      <c r="VJR229" s="300"/>
      <c r="VJS229" s="300"/>
      <c r="VJT229" s="300"/>
      <c r="VJU229" s="300"/>
      <c r="VJV229" s="300"/>
      <c r="VJW229" s="300"/>
      <c r="VJX229" s="300"/>
      <c r="VJY229" s="300"/>
      <c r="VJZ229" s="300"/>
      <c r="VKA229" s="300"/>
      <c r="VKB229" s="300"/>
      <c r="VKC229" s="300"/>
      <c r="VKD229" s="300"/>
      <c r="VKE229" s="300"/>
      <c r="VKF229" s="300"/>
      <c r="VKG229" s="300"/>
      <c r="VKH229" s="300"/>
      <c r="VKI229" s="300"/>
      <c r="VKJ229" s="300"/>
      <c r="VKK229" s="300"/>
      <c r="VKL229" s="300"/>
      <c r="VKM229" s="300"/>
      <c r="VKN229" s="300"/>
      <c r="VKO229" s="300"/>
      <c r="VKP229" s="300"/>
      <c r="VKQ229" s="300"/>
      <c r="VKR229" s="300"/>
      <c r="VKS229" s="300"/>
      <c r="VKT229" s="300"/>
      <c r="VKU229" s="300"/>
      <c r="VKV229" s="300"/>
      <c r="VKW229" s="300"/>
      <c r="VKX229" s="300"/>
      <c r="VKY229" s="300"/>
      <c r="VKZ229" s="300"/>
      <c r="VLA229" s="300"/>
      <c r="VLB229" s="300"/>
      <c r="VLC229" s="300"/>
      <c r="VLD229" s="300"/>
      <c r="VLE229" s="300"/>
      <c r="VLF229" s="300"/>
      <c r="VLG229" s="300"/>
      <c r="VLH229" s="300"/>
      <c r="VLI229" s="300"/>
      <c r="VLJ229" s="300"/>
      <c r="VLK229" s="300"/>
      <c r="VLL229" s="300"/>
      <c r="VLM229" s="300"/>
      <c r="VLN229" s="300"/>
      <c r="VLO229" s="300"/>
      <c r="VLP229" s="300"/>
      <c r="VLQ229" s="300"/>
      <c r="VLR229" s="300"/>
      <c r="VLS229" s="300"/>
      <c r="VLT229" s="300"/>
      <c r="VLU229" s="300"/>
      <c r="VLV229" s="300"/>
      <c r="VLW229" s="300"/>
      <c r="VLX229" s="300"/>
      <c r="VLY229" s="300"/>
      <c r="VLZ229" s="300"/>
      <c r="VMA229" s="300"/>
      <c r="VMB229" s="300"/>
      <c r="VMC229" s="300"/>
      <c r="VMD229" s="300"/>
      <c r="VME229" s="300"/>
      <c r="VMF229" s="300"/>
      <c r="VMG229" s="300"/>
      <c r="VMH229" s="300"/>
      <c r="VMI229" s="300"/>
      <c r="VMJ229" s="300"/>
      <c r="VMK229" s="300"/>
      <c r="VML229" s="300"/>
      <c r="VMM229" s="300"/>
      <c r="VMN229" s="300"/>
      <c r="VMO229" s="300"/>
      <c r="VMP229" s="300"/>
      <c r="VMQ229" s="300"/>
      <c r="VMR229" s="300"/>
      <c r="VMS229" s="300"/>
      <c r="VMT229" s="300"/>
      <c r="VMU229" s="300"/>
      <c r="VMV229" s="300"/>
      <c r="VMW229" s="300"/>
      <c r="VMX229" s="300"/>
      <c r="VMY229" s="300"/>
      <c r="VMZ229" s="300"/>
      <c r="VNA229" s="300"/>
      <c r="VNB229" s="300"/>
      <c r="VNC229" s="300"/>
      <c r="VND229" s="300"/>
      <c r="VNE229" s="300"/>
      <c r="VNF229" s="300"/>
      <c r="VNG229" s="300"/>
      <c r="VNH229" s="300"/>
      <c r="VNI229" s="300"/>
      <c r="VNJ229" s="300"/>
      <c r="VNK229" s="300"/>
      <c r="VNL229" s="300"/>
      <c r="VNM229" s="300"/>
      <c r="VNN229" s="300"/>
      <c r="VNO229" s="300"/>
      <c r="VNP229" s="300"/>
      <c r="VNQ229" s="300"/>
      <c r="VNR229" s="300"/>
      <c r="VNS229" s="300"/>
      <c r="VNT229" s="300"/>
      <c r="VNU229" s="300"/>
      <c r="VNV229" s="300"/>
      <c r="VNW229" s="300"/>
      <c r="VNX229" s="300"/>
      <c r="VNY229" s="300"/>
      <c r="VNZ229" s="300"/>
      <c r="VOA229" s="300"/>
      <c r="VOB229" s="300"/>
      <c r="VOC229" s="300"/>
      <c r="VOD229" s="300"/>
      <c r="VOE229" s="300"/>
      <c r="VOF229" s="300"/>
      <c r="VOG229" s="300"/>
      <c r="VOH229" s="300"/>
      <c r="VOI229" s="300"/>
      <c r="VOJ229" s="300"/>
      <c r="VOK229" s="300"/>
      <c r="VOL229" s="300"/>
      <c r="VOM229" s="300"/>
      <c r="VON229" s="300"/>
      <c r="VOO229" s="300"/>
      <c r="VOP229" s="300"/>
      <c r="VOQ229" s="300"/>
      <c r="VOR229" s="300"/>
      <c r="VOS229" s="300"/>
      <c r="VOT229" s="300"/>
      <c r="VOU229" s="300"/>
      <c r="VOV229" s="300"/>
      <c r="VOW229" s="300"/>
      <c r="VOX229" s="300"/>
      <c r="VOY229" s="300"/>
      <c r="VOZ229" s="300"/>
      <c r="VPA229" s="300"/>
      <c r="VPB229" s="300"/>
      <c r="VPC229" s="300"/>
      <c r="VPD229" s="300"/>
      <c r="VPE229" s="300"/>
      <c r="VPF229" s="300"/>
      <c r="VPG229" s="300"/>
      <c r="VPH229" s="300"/>
      <c r="VPI229" s="300"/>
      <c r="VPJ229" s="300"/>
      <c r="VPK229" s="300"/>
      <c r="VPL229" s="300"/>
      <c r="VPM229" s="300"/>
      <c r="VPN229" s="300"/>
      <c r="VPO229" s="300"/>
      <c r="VPP229" s="300"/>
      <c r="VPQ229" s="300"/>
      <c r="VPR229" s="300"/>
      <c r="VPS229" s="300"/>
      <c r="VPT229" s="300"/>
      <c r="VPU229" s="300"/>
      <c r="VPV229" s="300"/>
      <c r="VPW229" s="300"/>
      <c r="VPX229" s="300"/>
      <c r="VPY229" s="300"/>
      <c r="VPZ229" s="300"/>
      <c r="VQA229" s="300"/>
      <c r="VQB229" s="300"/>
      <c r="VQC229" s="300"/>
      <c r="VQD229" s="300"/>
      <c r="VQE229" s="300"/>
      <c r="VQF229" s="300"/>
      <c r="VQG229" s="300"/>
      <c r="VQH229" s="300"/>
      <c r="VQI229" s="300"/>
      <c r="VQJ229" s="300"/>
      <c r="VQK229" s="300"/>
      <c r="VQL229" s="300"/>
      <c r="VQM229" s="300"/>
      <c r="VQN229" s="300"/>
      <c r="VQO229" s="300"/>
      <c r="VQP229" s="300"/>
      <c r="VQQ229" s="300"/>
      <c r="VQR229" s="300"/>
      <c r="VQS229" s="300"/>
      <c r="VQT229" s="300"/>
      <c r="VQU229" s="300"/>
      <c r="VQV229" s="300"/>
      <c r="VQW229" s="300"/>
      <c r="VQX229" s="300"/>
      <c r="VQY229" s="300"/>
      <c r="VQZ229" s="300"/>
      <c r="VRA229" s="300"/>
      <c r="VRB229" s="300"/>
      <c r="VRC229" s="300"/>
      <c r="VRD229" s="300"/>
      <c r="VRE229" s="300"/>
      <c r="VRF229" s="300"/>
      <c r="VRG229" s="300"/>
      <c r="VRH229" s="300"/>
      <c r="VRI229" s="300"/>
      <c r="VRJ229" s="300"/>
      <c r="VRK229" s="300"/>
      <c r="VRL229" s="300"/>
      <c r="VRM229" s="300"/>
      <c r="VRN229" s="300"/>
      <c r="VRO229" s="300"/>
      <c r="VRP229" s="300"/>
      <c r="VRQ229" s="300"/>
      <c r="VRR229" s="300"/>
      <c r="VRS229" s="300"/>
      <c r="VRT229" s="300"/>
      <c r="VRU229" s="300"/>
      <c r="VRV229" s="300"/>
      <c r="VRW229" s="300"/>
      <c r="VRX229" s="300"/>
      <c r="VRY229" s="300"/>
      <c r="VRZ229" s="300"/>
      <c r="VSA229" s="300"/>
      <c r="VSB229" s="300"/>
      <c r="VSC229" s="300"/>
      <c r="VSD229" s="300"/>
      <c r="VSE229" s="300"/>
      <c r="VSF229" s="300"/>
      <c r="VSG229" s="300"/>
      <c r="VSH229" s="300"/>
      <c r="VSI229" s="300"/>
      <c r="VSJ229" s="300"/>
      <c r="VSK229" s="300"/>
      <c r="VSL229" s="300"/>
      <c r="VSM229" s="300"/>
      <c r="VSN229" s="300"/>
      <c r="VSO229" s="300"/>
      <c r="VSP229" s="300"/>
      <c r="VSQ229" s="300"/>
      <c r="VSR229" s="300"/>
      <c r="VSS229" s="300"/>
      <c r="VST229" s="300"/>
      <c r="VSU229" s="300"/>
      <c r="VSV229" s="300"/>
      <c r="VSW229" s="300"/>
      <c r="VSX229" s="300"/>
      <c r="VSY229" s="300"/>
      <c r="VSZ229" s="300"/>
      <c r="VTA229" s="300"/>
      <c r="VTB229" s="300"/>
      <c r="VTC229" s="300"/>
      <c r="VTD229" s="300"/>
      <c r="VTE229" s="300"/>
      <c r="VTF229" s="300"/>
      <c r="VTG229" s="300"/>
      <c r="VTH229" s="300"/>
      <c r="VTI229" s="300"/>
      <c r="VTJ229" s="300"/>
      <c r="VTK229" s="300"/>
      <c r="VTL229" s="300"/>
      <c r="VTM229" s="300"/>
      <c r="VTN229" s="300"/>
      <c r="VTO229" s="300"/>
      <c r="VTP229" s="300"/>
      <c r="VTQ229" s="300"/>
      <c r="VTR229" s="300"/>
      <c r="VTS229" s="300"/>
      <c r="VTT229" s="300"/>
      <c r="VTU229" s="300"/>
      <c r="VTV229" s="300"/>
      <c r="VTW229" s="300"/>
      <c r="VTX229" s="300"/>
      <c r="VTY229" s="300"/>
      <c r="VTZ229" s="300"/>
      <c r="VUA229" s="300"/>
      <c r="VUB229" s="300"/>
      <c r="VUC229" s="300"/>
      <c r="VUD229" s="300"/>
      <c r="VUE229" s="300"/>
      <c r="VUF229" s="300"/>
      <c r="VUG229" s="300"/>
      <c r="VUH229" s="300"/>
      <c r="VUI229" s="300"/>
      <c r="VUJ229" s="300"/>
      <c r="VUK229" s="300"/>
      <c r="VUL229" s="300"/>
      <c r="VUM229" s="300"/>
      <c r="VUN229" s="300"/>
      <c r="VUO229" s="300"/>
      <c r="VUP229" s="300"/>
      <c r="VUQ229" s="300"/>
      <c r="VUR229" s="300"/>
      <c r="VUS229" s="300"/>
      <c r="VUT229" s="300"/>
      <c r="VUU229" s="300"/>
      <c r="VUV229" s="300"/>
      <c r="VUW229" s="300"/>
      <c r="VUX229" s="300"/>
      <c r="VUY229" s="300"/>
      <c r="VUZ229" s="300"/>
      <c r="VVA229" s="300"/>
      <c r="VVB229" s="300"/>
      <c r="VVC229" s="300"/>
      <c r="VVD229" s="300"/>
      <c r="VVE229" s="300"/>
      <c r="VVF229" s="300"/>
      <c r="VVG229" s="300"/>
      <c r="VVH229" s="300"/>
      <c r="VVI229" s="300"/>
      <c r="VVJ229" s="300"/>
      <c r="VVK229" s="300"/>
      <c r="VVL229" s="300"/>
      <c r="VVM229" s="300"/>
      <c r="VVN229" s="300"/>
      <c r="VVO229" s="300"/>
      <c r="VVP229" s="300"/>
    </row>
    <row r="230" spans="2:102 15068:15460" s="3" customFormat="1" ht="15" hidden="1" customHeight="1" x14ac:dyDescent="0.3">
      <c r="B230" s="70">
        <v>12</v>
      </c>
      <c r="C230" s="273" t="s">
        <v>108</v>
      </c>
      <c r="D230" s="274"/>
      <c r="E230" s="275"/>
      <c r="F230" s="274"/>
      <c r="G230" s="274"/>
      <c r="H230" s="274"/>
      <c r="I230" s="274"/>
      <c r="J230" s="274"/>
      <c r="K230" s="274"/>
      <c r="L230" s="274"/>
      <c r="M230" s="274"/>
      <c r="N230" s="274"/>
      <c r="O230" s="274"/>
      <c r="P230" s="274"/>
      <c r="Q230" s="274"/>
      <c r="R230" s="274"/>
      <c r="S230" s="274"/>
      <c r="T230" s="274"/>
      <c r="U230" s="274"/>
      <c r="V230" s="274"/>
      <c r="W230" s="274"/>
      <c r="X230" s="274"/>
      <c r="Y230" s="274"/>
      <c r="Z230" s="274"/>
      <c r="AA230" s="274"/>
      <c r="AB230" s="274"/>
      <c r="AC230" s="274"/>
      <c r="AD230" s="274"/>
      <c r="AE230" s="274"/>
      <c r="AF230" s="274"/>
      <c r="AG230" s="274"/>
      <c r="AH230" s="274"/>
      <c r="AI230" s="274"/>
      <c r="AK230" s="276" t="s">
        <v>109</v>
      </c>
      <c r="CX230" s="17"/>
      <c r="VGN230" s="300"/>
      <c r="VGO230" s="300"/>
      <c r="VGP230" s="300"/>
      <c r="VGQ230" s="300"/>
      <c r="VGR230" s="300"/>
      <c r="VGS230" s="300"/>
      <c r="VGT230" s="300"/>
      <c r="VGU230" s="300"/>
      <c r="VGV230" s="300"/>
      <c r="VGW230" s="300"/>
      <c r="VGX230" s="300"/>
      <c r="VGY230" s="300"/>
      <c r="VGZ230" s="300"/>
      <c r="VHA230" s="300"/>
      <c r="VHB230" s="300"/>
      <c r="VHC230" s="300"/>
      <c r="VHD230" s="300"/>
      <c r="VHE230" s="300"/>
      <c r="VHF230" s="300"/>
      <c r="VHG230" s="300"/>
      <c r="VHH230" s="300"/>
      <c r="VHI230" s="300"/>
      <c r="VHJ230" s="300"/>
      <c r="VHK230" s="300"/>
      <c r="VHL230" s="300"/>
      <c r="VHM230" s="300"/>
      <c r="VHN230" s="300"/>
      <c r="VHO230" s="300"/>
      <c r="VHP230" s="300"/>
      <c r="VHQ230" s="300"/>
      <c r="VHR230" s="300"/>
      <c r="VHS230" s="300"/>
      <c r="VHT230" s="300"/>
      <c r="VHU230" s="300"/>
      <c r="VHV230" s="300"/>
      <c r="VHW230" s="300"/>
      <c r="VHX230" s="300"/>
      <c r="VHY230" s="300"/>
      <c r="VHZ230" s="300"/>
      <c r="VIA230" s="300"/>
      <c r="VIB230" s="300"/>
      <c r="VIC230" s="300"/>
      <c r="VID230" s="300"/>
      <c r="VIE230" s="300"/>
      <c r="VIF230" s="300"/>
      <c r="VIG230" s="300"/>
      <c r="VIH230" s="300"/>
      <c r="VII230" s="300"/>
      <c r="VIJ230" s="300"/>
      <c r="VIK230" s="300"/>
      <c r="VIL230" s="300"/>
      <c r="VIM230" s="300"/>
      <c r="VIN230" s="300"/>
      <c r="VIO230" s="300"/>
      <c r="VIP230" s="300"/>
      <c r="VIQ230" s="300"/>
      <c r="VIR230" s="300"/>
      <c r="VIS230" s="300"/>
      <c r="VIT230" s="300"/>
      <c r="VIU230" s="300"/>
      <c r="VIV230" s="300"/>
      <c r="VIW230" s="300"/>
      <c r="VIX230" s="300"/>
      <c r="VIY230" s="300"/>
      <c r="VIZ230" s="300"/>
      <c r="VJA230" s="300"/>
      <c r="VJB230" s="300"/>
      <c r="VJC230" s="300"/>
      <c r="VJD230" s="300"/>
      <c r="VJE230" s="300"/>
      <c r="VJF230" s="300"/>
      <c r="VJG230" s="300"/>
      <c r="VJH230" s="300"/>
      <c r="VJI230" s="300"/>
      <c r="VJJ230" s="300"/>
      <c r="VJK230" s="300"/>
      <c r="VJL230" s="300"/>
      <c r="VJM230" s="300"/>
      <c r="VJN230" s="300"/>
      <c r="VJO230" s="300"/>
      <c r="VJP230" s="300"/>
      <c r="VJQ230" s="300"/>
      <c r="VJR230" s="300"/>
      <c r="VJS230" s="300"/>
      <c r="VJT230" s="300"/>
      <c r="VJU230" s="300"/>
      <c r="VJV230" s="300"/>
      <c r="VJW230" s="300"/>
      <c r="VJX230" s="300"/>
      <c r="VJY230" s="300"/>
      <c r="VJZ230" s="300"/>
      <c r="VKA230" s="300"/>
      <c r="VKB230" s="300"/>
      <c r="VKC230" s="300"/>
      <c r="VKD230" s="300"/>
      <c r="VKE230" s="300"/>
      <c r="VKF230" s="300"/>
      <c r="VKG230" s="300"/>
      <c r="VKH230" s="300"/>
      <c r="VKI230" s="300"/>
      <c r="VKJ230" s="300"/>
      <c r="VKK230" s="300"/>
      <c r="VKL230" s="300"/>
      <c r="VKM230" s="300"/>
      <c r="VKN230" s="300"/>
      <c r="VKO230" s="300"/>
      <c r="VKP230" s="300"/>
      <c r="VKQ230" s="300"/>
      <c r="VKR230" s="300"/>
      <c r="VKS230" s="300"/>
      <c r="VKT230" s="300"/>
      <c r="VKU230" s="300"/>
      <c r="VKV230" s="300"/>
      <c r="VKW230" s="300"/>
      <c r="VKX230" s="300"/>
      <c r="VKY230" s="300"/>
      <c r="VKZ230" s="300"/>
      <c r="VLA230" s="300"/>
      <c r="VLB230" s="300"/>
      <c r="VLC230" s="300"/>
      <c r="VLD230" s="300"/>
      <c r="VLE230" s="300"/>
      <c r="VLF230" s="300"/>
      <c r="VLG230" s="300"/>
      <c r="VLH230" s="300"/>
      <c r="VLI230" s="300"/>
      <c r="VLJ230" s="300"/>
      <c r="VLK230" s="300"/>
      <c r="VLL230" s="300"/>
      <c r="VLM230" s="300"/>
      <c r="VLN230" s="300"/>
      <c r="VLO230" s="300"/>
      <c r="VLP230" s="300"/>
      <c r="VLQ230" s="300"/>
      <c r="VLR230" s="300"/>
      <c r="VLS230" s="300"/>
      <c r="VLT230" s="300"/>
      <c r="VLU230" s="300"/>
      <c r="VLV230" s="300"/>
      <c r="VLW230" s="300"/>
      <c r="VLX230" s="300"/>
      <c r="VLY230" s="300"/>
      <c r="VLZ230" s="300"/>
      <c r="VMA230" s="300"/>
      <c r="VMB230" s="300"/>
      <c r="VMC230" s="300"/>
      <c r="VMD230" s="300"/>
      <c r="VME230" s="300"/>
      <c r="VMF230" s="300"/>
      <c r="VMG230" s="300"/>
      <c r="VMH230" s="300"/>
      <c r="VMI230" s="300"/>
      <c r="VMJ230" s="300"/>
      <c r="VMK230" s="300"/>
      <c r="VML230" s="300"/>
      <c r="VMM230" s="300"/>
      <c r="VMN230" s="300"/>
      <c r="VMO230" s="300"/>
      <c r="VMP230" s="300"/>
      <c r="VMQ230" s="300"/>
      <c r="VMR230" s="300"/>
      <c r="VMS230" s="300"/>
      <c r="VMT230" s="300"/>
      <c r="VMU230" s="300"/>
      <c r="VMV230" s="300"/>
      <c r="VMW230" s="300"/>
      <c r="VMX230" s="300"/>
      <c r="VMY230" s="300"/>
      <c r="VMZ230" s="300"/>
      <c r="VNA230" s="300"/>
      <c r="VNB230" s="300"/>
      <c r="VNC230" s="300"/>
      <c r="VND230" s="300"/>
      <c r="VNE230" s="300"/>
      <c r="VNF230" s="300"/>
      <c r="VNG230" s="300"/>
      <c r="VNH230" s="300"/>
      <c r="VNI230" s="300"/>
      <c r="VNJ230" s="300"/>
      <c r="VNK230" s="300"/>
      <c r="VNL230" s="300"/>
      <c r="VNM230" s="300"/>
      <c r="VNN230" s="300"/>
      <c r="VNO230" s="300"/>
      <c r="VNP230" s="300"/>
      <c r="VNQ230" s="300"/>
      <c r="VNR230" s="300"/>
      <c r="VNS230" s="300"/>
      <c r="VNT230" s="300"/>
      <c r="VNU230" s="300"/>
      <c r="VNV230" s="300"/>
      <c r="VNW230" s="300"/>
      <c r="VNX230" s="300"/>
      <c r="VNY230" s="300"/>
      <c r="VNZ230" s="300"/>
      <c r="VOA230" s="300"/>
      <c r="VOB230" s="300"/>
      <c r="VOC230" s="300"/>
      <c r="VOD230" s="300"/>
      <c r="VOE230" s="300"/>
      <c r="VOF230" s="300"/>
      <c r="VOG230" s="300"/>
      <c r="VOH230" s="300"/>
      <c r="VOI230" s="300"/>
      <c r="VOJ230" s="300"/>
      <c r="VOK230" s="300"/>
      <c r="VOL230" s="300"/>
      <c r="VOM230" s="300"/>
      <c r="VON230" s="300"/>
      <c r="VOO230" s="300"/>
      <c r="VOP230" s="300"/>
      <c r="VOQ230" s="300"/>
      <c r="VOR230" s="300"/>
      <c r="VOS230" s="300"/>
      <c r="VOT230" s="300"/>
      <c r="VOU230" s="300"/>
      <c r="VOV230" s="300"/>
      <c r="VOW230" s="300"/>
      <c r="VOX230" s="300"/>
      <c r="VOY230" s="300"/>
      <c r="VOZ230" s="300"/>
      <c r="VPA230" s="300"/>
      <c r="VPB230" s="300"/>
      <c r="VPC230" s="300"/>
      <c r="VPD230" s="300"/>
      <c r="VPE230" s="300"/>
      <c r="VPF230" s="300"/>
      <c r="VPG230" s="300"/>
      <c r="VPH230" s="300"/>
      <c r="VPI230" s="300"/>
      <c r="VPJ230" s="300"/>
      <c r="VPK230" s="300"/>
      <c r="VPL230" s="300"/>
      <c r="VPM230" s="300"/>
      <c r="VPN230" s="300"/>
      <c r="VPO230" s="300"/>
      <c r="VPP230" s="300"/>
      <c r="VPQ230" s="300"/>
      <c r="VPR230" s="300"/>
      <c r="VPS230" s="300"/>
      <c r="VPT230" s="300"/>
      <c r="VPU230" s="300"/>
      <c r="VPV230" s="300"/>
      <c r="VPW230" s="300"/>
      <c r="VPX230" s="300"/>
      <c r="VPY230" s="300"/>
      <c r="VPZ230" s="300"/>
      <c r="VQA230" s="300"/>
      <c r="VQB230" s="300"/>
      <c r="VQC230" s="300"/>
      <c r="VQD230" s="300"/>
      <c r="VQE230" s="300"/>
      <c r="VQF230" s="300"/>
      <c r="VQG230" s="300"/>
      <c r="VQH230" s="300"/>
      <c r="VQI230" s="300"/>
      <c r="VQJ230" s="300"/>
      <c r="VQK230" s="300"/>
      <c r="VQL230" s="300"/>
      <c r="VQM230" s="300"/>
      <c r="VQN230" s="300"/>
      <c r="VQO230" s="300"/>
      <c r="VQP230" s="300"/>
      <c r="VQQ230" s="300"/>
      <c r="VQR230" s="300"/>
      <c r="VQS230" s="300"/>
      <c r="VQT230" s="300"/>
      <c r="VQU230" s="300"/>
      <c r="VQV230" s="300"/>
      <c r="VQW230" s="300"/>
      <c r="VQX230" s="300"/>
      <c r="VQY230" s="300"/>
      <c r="VQZ230" s="300"/>
      <c r="VRA230" s="300"/>
      <c r="VRB230" s="300"/>
      <c r="VRC230" s="300"/>
      <c r="VRD230" s="300"/>
      <c r="VRE230" s="300"/>
      <c r="VRF230" s="300"/>
      <c r="VRG230" s="300"/>
      <c r="VRH230" s="300"/>
      <c r="VRI230" s="300"/>
      <c r="VRJ230" s="300"/>
      <c r="VRK230" s="300"/>
      <c r="VRL230" s="300"/>
      <c r="VRM230" s="300"/>
      <c r="VRN230" s="300"/>
      <c r="VRO230" s="300"/>
      <c r="VRP230" s="300"/>
      <c r="VRQ230" s="300"/>
      <c r="VRR230" s="300"/>
      <c r="VRS230" s="300"/>
      <c r="VRT230" s="300"/>
      <c r="VRU230" s="300"/>
      <c r="VRV230" s="300"/>
      <c r="VRW230" s="300"/>
      <c r="VRX230" s="300"/>
      <c r="VRY230" s="300"/>
      <c r="VRZ230" s="300"/>
      <c r="VSA230" s="300"/>
      <c r="VSB230" s="300"/>
      <c r="VSC230" s="300"/>
      <c r="VSD230" s="300"/>
      <c r="VSE230" s="300"/>
      <c r="VSF230" s="300"/>
      <c r="VSG230" s="300"/>
      <c r="VSH230" s="300"/>
      <c r="VSI230" s="300"/>
      <c r="VSJ230" s="300"/>
      <c r="VSK230" s="300"/>
      <c r="VSL230" s="300"/>
      <c r="VSM230" s="300"/>
      <c r="VSN230" s="300"/>
      <c r="VSO230" s="300"/>
      <c r="VSP230" s="300"/>
      <c r="VSQ230" s="300"/>
      <c r="VSR230" s="300"/>
      <c r="VSS230" s="300"/>
      <c r="VST230" s="300"/>
      <c r="VSU230" s="300"/>
      <c r="VSV230" s="300"/>
      <c r="VSW230" s="300"/>
      <c r="VSX230" s="300"/>
      <c r="VSY230" s="300"/>
      <c r="VSZ230" s="300"/>
      <c r="VTA230" s="300"/>
      <c r="VTB230" s="300"/>
      <c r="VTC230" s="300"/>
      <c r="VTD230" s="300"/>
      <c r="VTE230" s="300"/>
      <c r="VTF230" s="300"/>
      <c r="VTG230" s="300"/>
      <c r="VTH230" s="300"/>
      <c r="VTI230" s="300"/>
      <c r="VTJ230" s="300"/>
      <c r="VTK230" s="300"/>
      <c r="VTL230" s="300"/>
      <c r="VTM230" s="300"/>
      <c r="VTN230" s="300"/>
      <c r="VTO230" s="300"/>
      <c r="VTP230" s="300"/>
      <c r="VTQ230" s="300"/>
      <c r="VTR230" s="300"/>
      <c r="VTS230" s="300"/>
      <c r="VTT230" s="300"/>
      <c r="VTU230" s="300"/>
      <c r="VTV230" s="300"/>
      <c r="VTW230" s="300"/>
      <c r="VTX230" s="300"/>
      <c r="VTY230" s="300"/>
      <c r="VTZ230" s="300"/>
      <c r="VUA230" s="300"/>
      <c r="VUB230" s="300"/>
      <c r="VUC230" s="300"/>
      <c r="VUD230" s="300"/>
      <c r="VUE230" s="300"/>
      <c r="VUF230" s="300"/>
      <c r="VUG230" s="300"/>
      <c r="VUH230" s="300"/>
      <c r="VUI230" s="300"/>
      <c r="VUJ230" s="300"/>
      <c r="VUK230" s="300"/>
      <c r="VUL230" s="300"/>
      <c r="VUM230" s="300"/>
      <c r="VUN230" s="300"/>
      <c r="VUO230" s="300"/>
      <c r="VUP230" s="300"/>
      <c r="VUQ230" s="300"/>
      <c r="VUR230" s="300"/>
      <c r="VUS230" s="300"/>
      <c r="VUT230" s="300"/>
      <c r="VUU230" s="300"/>
      <c r="VUV230" s="300"/>
      <c r="VUW230" s="300"/>
      <c r="VUX230" s="300"/>
      <c r="VUY230" s="300"/>
      <c r="VUZ230" s="300"/>
      <c r="VVA230" s="300"/>
      <c r="VVB230" s="300"/>
      <c r="VVC230" s="300"/>
      <c r="VVD230" s="300"/>
      <c r="VVE230" s="300"/>
      <c r="VVF230" s="300"/>
      <c r="VVG230" s="300"/>
      <c r="VVH230" s="300"/>
      <c r="VVI230" s="300"/>
      <c r="VVJ230" s="300"/>
      <c r="VVK230" s="300"/>
      <c r="VVL230" s="300"/>
      <c r="VVM230" s="300"/>
      <c r="VVN230" s="300"/>
      <c r="VVO230" s="300"/>
      <c r="VVP230" s="300"/>
    </row>
    <row r="231" spans="2:102 15068:15460" s="3" customFormat="1" ht="15" hidden="1" customHeight="1" x14ac:dyDescent="0.3">
      <c r="B231" s="122"/>
      <c r="C231" s="277" t="s">
        <v>110</v>
      </c>
      <c r="D231" s="118"/>
      <c r="E231" s="119" t="s">
        <v>16</v>
      </c>
      <c r="F231" s="278"/>
      <c r="G231" s="278"/>
      <c r="H231" s="278"/>
      <c r="I231" s="278"/>
      <c r="J231" s="278"/>
      <c r="K231" s="278"/>
      <c r="L231" s="278">
        <v>193420</v>
      </c>
      <c r="M231" s="278">
        <v>21750</v>
      </c>
      <c r="N231" s="278">
        <v>106020</v>
      </c>
      <c r="O231" s="278">
        <v>0</v>
      </c>
      <c r="P231" s="278">
        <v>0</v>
      </c>
      <c r="Q231" s="278">
        <v>0</v>
      </c>
      <c r="R231" s="278">
        <v>0</v>
      </c>
      <c r="S231" s="278">
        <v>0</v>
      </c>
      <c r="T231" s="278">
        <v>0</v>
      </c>
      <c r="U231" s="278">
        <v>0</v>
      </c>
      <c r="V231" s="278">
        <v>0</v>
      </c>
      <c r="W231" s="278">
        <v>147620</v>
      </c>
      <c r="X231" s="278">
        <v>0</v>
      </c>
      <c r="Y231" s="278">
        <v>0</v>
      </c>
      <c r="Z231" s="278">
        <v>257700</v>
      </c>
      <c r="AA231" s="278">
        <v>281570</v>
      </c>
      <c r="AB231" s="278">
        <v>262580</v>
      </c>
      <c r="AC231" s="278">
        <v>359130</v>
      </c>
      <c r="AD231" s="278">
        <v>28340</v>
      </c>
      <c r="AE231" s="278">
        <v>0</v>
      </c>
      <c r="AF231" s="278">
        <v>0</v>
      </c>
      <c r="AG231" s="278"/>
      <c r="AH231" s="278"/>
      <c r="AI231" s="278"/>
      <c r="AK231" s="161">
        <f>SUM(F231:AI231)</f>
        <v>1658130</v>
      </c>
      <c r="CX231" s="17"/>
      <c r="VGN231" s="300"/>
      <c r="VGO231" s="300"/>
      <c r="VGP231" s="300"/>
      <c r="VGQ231" s="300"/>
      <c r="VGR231" s="300"/>
      <c r="VGS231" s="300"/>
      <c r="VGT231" s="300"/>
      <c r="VGU231" s="300"/>
      <c r="VGV231" s="300"/>
      <c r="VGW231" s="300"/>
      <c r="VGX231" s="300"/>
      <c r="VGY231" s="300"/>
      <c r="VGZ231" s="300"/>
      <c r="VHA231" s="300"/>
      <c r="VHB231" s="300"/>
      <c r="VHC231" s="300"/>
      <c r="VHD231" s="300"/>
      <c r="VHE231" s="300"/>
      <c r="VHF231" s="300"/>
      <c r="VHG231" s="300"/>
      <c r="VHH231" s="300"/>
      <c r="VHI231" s="300"/>
      <c r="VHJ231" s="300"/>
      <c r="VHK231" s="300"/>
      <c r="VHL231" s="300"/>
      <c r="VHM231" s="300"/>
      <c r="VHN231" s="300"/>
      <c r="VHO231" s="300"/>
      <c r="VHP231" s="300"/>
      <c r="VHQ231" s="300"/>
      <c r="VHR231" s="300"/>
      <c r="VHS231" s="300"/>
      <c r="VHT231" s="300"/>
      <c r="VHU231" s="300"/>
      <c r="VHV231" s="300"/>
      <c r="VHW231" s="300"/>
      <c r="VHX231" s="300"/>
      <c r="VHY231" s="300"/>
      <c r="VHZ231" s="300"/>
      <c r="VIA231" s="300"/>
      <c r="VIB231" s="300"/>
      <c r="VIC231" s="300"/>
      <c r="VID231" s="300"/>
      <c r="VIE231" s="300"/>
      <c r="VIF231" s="300"/>
      <c r="VIG231" s="300"/>
      <c r="VIH231" s="300"/>
      <c r="VII231" s="300"/>
      <c r="VIJ231" s="300"/>
      <c r="VIK231" s="300"/>
      <c r="VIL231" s="300"/>
      <c r="VIM231" s="300"/>
      <c r="VIN231" s="300"/>
      <c r="VIO231" s="300"/>
      <c r="VIP231" s="300"/>
      <c r="VIQ231" s="300"/>
      <c r="VIR231" s="300"/>
      <c r="VIS231" s="300"/>
      <c r="VIT231" s="300"/>
      <c r="VIU231" s="300"/>
      <c r="VIV231" s="300"/>
      <c r="VIW231" s="300"/>
      <c r="VIX231" s="300"/>
      <c r="VIY231" s="300"/>
      <c r="VIZ231" s="300"/>
      <c r="VJA231" s="300"/>
      <c r="VJB231" s="300"/>
      <c r="VJC231" s="300"/>
      <c r="VJD231" s="300"/>
      <c r="VJE231" s="300"/>
      <c r="VJF231" s="300"/>
      <c r="VJG231" s="300"/>
      <c r="VJH231" s="300"/>
      <c r="VJI231" s="300"/>
      <c r="VJJ231" s="300"/>
      <c r="VJK231" s="300"/>
      <c r="VJL231" s="300"/>
      <c r="VJM231" s="300"/>
      <c r="VJN231" s="300"/>
      <c r="VJO231" s="300"/>
      <c r="VJP231" s="300"/>
      <c r="VJQ231" s="300"/>
      <c r="VJR231" s="300"/>
      <c r="VJS231" s="300"/>
      <c r="VJT231" s="300"/>
      <c r="VJU231" s="300"/>
      <c r="VJV231" s="300"/>
      <c r="VJW231" s="300"/>
      <c r="VJX231" s="300"/>
      <c r="VJY231" s="300"/>
      <c r="VJZ231" s="300"/>
      <c r="VKA231" s="300"/>
      <c r="VKB231" s="300"/>
      <c r="VKC231" s="300"/>
      <c r="VKD231" s="300"/>
      <c r="VKE231" s="300"/>
      <c r="VKF231" s="300"/>
      <c r="VKG231" s="300"/>
      <c r="VKH231" s="300"/>
      <c r="VKI231" s="300"/>
      <c r="VKJ231" s="300"/>
      <c r="VKK231" s="300"/>
      <c r="VKL231" s="300"/>
      <c r="VKM231" s="300"/>
      <c r="VKN231" s="300"/>
      <c r="VKO231" s="300"/>
      <c r="VKP231" s="300"/>
      <c r="VKQ231" s="300"/>
      <c r="VKR231" s="300"/>
      <c r="VKS231" s="300"/>
      <c r="VKT231" s="300"/>
      <c r="VKU231" s="300"/>
      <c r="VKV231" s="300"/>
      <c r="VKW231" s="300"/>
      <c r="VKX231" s="300"/>
      <c r="VKY231" s="300"/>
      <c r="VKZ231" s="300"/>
      <c r="VLA231" s="300"/>
      <c r="VLB231" s="300"/>
      <c r="VLC231" s="300"/>
      <c r="VLD231" s="300"/>
      <c r="VLE231" s="300"/>
      <c r="VLF231" s="300"/>
      <c r="VLG231" s="300"/>
      <c r="VLH231" s="300"/>
      <c r="VLI231" s="300"/>
      <c r="VLJ231" s="300"/>
      <c r="VLK231" s="300"/>
      <c r="VLL231" s="300"/>
      <c r="VLM231" s="300"/>
      <c r="VLN231" s="300"/>
      <c r="VLO231" s="300"/>
      <c r="VLP231" s="300"/>
      <c r="VLQ231" s="300"/>
      <c r="VLR231" s="300"/>
      <c r="VLS231" s="300"/>
      <c r="VLT231" s="300"/>
      <c r="VLU231" s="300"/>
      <c r="VLV231" s="300"/>
      <c r="VLW231" s="300"/>
      <c r="VLX231" s="300"/>
      <c r="VLY231" s="300"/>
      <c r="VLZ231" s="300"/>
      <c r="VMA231" s="300"/>
      <c r="VMB231" s="300"/>
      <c r="VMC231" s="300"/>
      <c r="VMD231" s="300"/>
      <c r="VME231" s="300"/>
      <c r="VMF231" s="300"/>
      <c r="VMG231" s="300"/>
      <c r="VMH231" s="300"/>
      <c r="VMI231" s="300"/>
      <c r="VMJ231" s="300"/>
      <c r="VMK231" s="300"/>
      <c r="VML231" s="300"/>
      <c r="VMM231" s="300"/>
      <c r="VMN231" s="300"/>
      <c r="VMO231" s="300"/>
      <c r="VMP231" s="300"/>
      <c r="VMQ231" s="300"/>
      <c r="VMR231" s="300"/>
      <c r="VMS231" s="300"/>
      <c r="VMT231" s="300"/>
      <c r="VMU231" s="300"/>
      <c r="VMV231" s="300"/>
      <c r="VMW231" s="300"/>
      <c r="VMX231" s="300"/>
      <c r="VMY231" s="300"/>
      <c r="VMZ231" s="300"/>
      <c r="VNA231" s="300"/>
      <c r="VNB231" s="300"/>
      <c r="VNC231" s="300"/>
      <c r="VND231" s="300"/>
      <c r="VNE231" s="300"/>
      <c r="VNF231" s="300"/>
      <c r="VNG231" s="300"/>
      <c r="VNH231" s="300"/>
      <c r="VNI231" s="300"/>
      <c r="VNJ231" s="300"/>
      <c r="VNK231" s="300"/>
      <c r="VNL231" s="300"/>
      <c r="VNM231" s="300"/>
      <c r="VNN231" s="300"/>
      <c r="VNO231" s="300"/>
      <c r="VNP231" s="300"/>
      <c r="VNQ231" s="300"/>
      <c r="VNR231" s="300"/>
      <c r="VNS231" s="300"/>
      <c r="VNT231" s="300"/>
      <c r="VNU231" s="300"/>
      <c r="VNV231" s="300"/>
      <c r="VNW231" s="300"/>
      <c r="VNX231" s="300"/>
      <c r="VNY231" s="300"/>
      <c r="VNZ231" s="300"/>
      <c r="VOA231" s="300"/>
      <c r="VOB231" s="300"/>
      <c r="VOC231" s="300"/>
      <c r="VOD231" s="300"/>
      <c r="VOE231" s="300"/>
      <c r="VOF231" s="300"/>
      <c r="VOG231" s="300"/>
      <c r="VOH231" s="300"/>
      <c r="VOI231" s="300"/>
      <c r="VOJ231" s="300"/>
      <c r="VOK231" s="300"/>
      <c r="VOL231" s="300"/>
      <c r="VOM231" s="300"/>
      <c r="VON231" s="300"/>
      <c r="VOO231" s="300"/>
      <c r="VOP231" s="300"/>
      <c r="VOQ231" s="300"/>
      <c r="VOR231" s="300"/>
      <c r="VOS231" s="300"/>
      <c r="VOT231" s="300"/>
      <c r="VOU231" s="300"/>
      <c r="VOV231" s="300"/>
      <c r="VOW231" s="300"/>
      <c r="VOX231" s="300"/>
      <c r="VOY231" s="300"/>
      <c r="VOZ231" s="300"/>
      <c r="VPA231" s="300"/>
      <c r="VPB231" s="300"/>
      <c r="VPC231" s="300"/>
      <c r="VPD231" s="300"/>
      <c r="VPE231" s="300"/>
      <c r="VPF231" s="300"/>
      <c r="VPG231" s="300"/>
      <c r="VPH231" s="300"/>
      <c r="VPI231" s="300"/>
      <c r="VPJ231" s="300"/>
      <c r="VPK231" s="300"/>
      <c r="VPL231" s="300"/>
      <c r="VPM231" s="300"/>
      <c r="VPN231" s="300"/>
      <c r="VPO231" s="300"/>
      <c r="VPP231" s="300"/>
      <c r="VPQ231" s="300"/>
      <c r="VPR231" s="300"/>
      <c r="VPS231" s="300"/>
      <c r="VPT231" s="300"/>
      <c r="VPU231" s="300"/>
      <c r="VPV231" s="300"/>
      <c r="VPW231" s="300"/>
      <c r="VPX231" s="300"/>
      <c r="VPY231" s="300"/>
      <c r="VPZ231" s="300"/>
      <c r="VQA231" s="300"/>
      <c r="VQB231" s="300"/>
      <c r="VQC231" s="300"/>
      <c r="VQD231" s="300"/>
      <c r="VQE231" s="300"/>
      <c r="VQF231" s="300"/>
      <c r="VQG231" s="300"/>
      <c r="VQH231" s="300"/>
      <c r="VQI231" s="300"/>
      <c r="VQJ231" s="300"/>
      <c r="VQK231" s="300"/>
      <c r="VQL231" s="300"/>
      <c r="VQM231" s="300"/>
      <c r="VQN231" s="300"/>
      <c r="VQO231" s="300"/>
      <c r="VQP231" s="300"/>
      <c r="VQQ231" s="300"/>
      <c r="VQR231" s="300"/>
      <c r="VQS231" s="300"/>
      <c r="VQT231" s="300"/>
      <c r="VQU231" s="300"/>
      <c r="VQV231" s="300"/>
      <c r="VQW231" s="300"/>
      <c r="VQX231" s="300"/>
      <c r="VQY231" s="300"/>
      <c r="VQZ231" s="300"/>
      <c r="VRA231" s="300"/>
      <c r="VRB231" s="300"/>
      <c r="VRC231" s="300"/>
      <c r="VRD231" s="300"/>
      <c r="VRE231" s="300"/>
      <c r="VRF231" s="300"/>
      <c r="VRG231" s="300"/>
      <c r="VRH231" s="300"/>
      <c r="VRI231" s="300"/>
      <c r="VRJ231" s="300"/>
      <c r="VRK231" s="300"/>
      <c r="VRL231" s="300"/>
      <c r="VRM231" s="300"/>
      <c r="VRN231" s="300"/>
      <c r="VRO231" s="300"/>
      <c r="VRP231" s="300"/>
      <c r="VRQ231" s="300"/>
      <c r="VRR231" s="300"/>
      <c r="VRS231" s="300"/>
      <c r="VRT231" s="300"/>
      <c r="VRU231" s="300"/>
      <c r="VRV231" s="300"/>
      <c r="VRW231" s="300"/>
      <c r="VRX231" s="300"/>
      <c r="VRY231" s="300"/>
      <c r="VRZ231" s="300"/>
      <c r="VSA231" s="300"/>
      <c r="VSB231" s="300"/>
      <c r="VSC231" s="300"/>
      <c r="VSD231" s="300"/>
      <c r="VSE231" s="300"/>
      <c r="VSF231" s="300"/>
      <c r="VSG231" s="300"/>
      <c r="VSH231" s="300"/>
      <c r="VSI231" s="300"/>
      <c r="VSJ231" s="300"/>
      <c r="VSK231" s="300"/>
      <c r="VSL231" s="300"/>
      <c r="VSM231" s="300"/>
      <c r="VSN231" s="300"/>
      <c r="VSO231" s="300"/>
      <c r="VSP231" s="300"/>
      <c r="VSQ231" s="300"/>
      <c r="VSR231" s="300"/>
      <c r="VSS231" s="300"/>
      <c r="VST231" s="300"/>
      <c r="VSU231" s="300"/>
      <c r="VSV231" s="300"/>
      <c r="VSW231" s="300"/>
      <c r="VSX231" s="300"/>
      <c r="VSY231" s="300"/>
      <c r="VSZ231" s="300"/>
      <c r="VTA231" s="300"/>
      <c r="VTB231" s="300"/>
      <c r="VTC231" s="300"/>
      <c r="VTD231" s="300"/>
      <c r="VTE231" s="300"/>
      <c r="VTF231" s="300"/>
      <c r="VTG231" s="300"/>
      <c r="VTH231" s="300"/>
      <c r="VTI231" s="300"/>
      <c r="VTJ231" s="300"/>
      <c r="VTK231" s="300"/>
      <c r="VTL231" s="300"/>
      <c r="VTM231" s="300"/>
      <c r="VTN231" s="300"/>
      <c r="VTO231" s="300"/>
      <c r="VTP231" s="300"/>
      <c r="VTQ231" s="300"/>
      <c r="VTR231" s="300"/>
      <c r="VTS231" s="300"/>
      <c r="VTT231" s="300"/>
      <c r="VTU231" s="300"/>
      <c r="VTV231" s="300"/>
      <c r="VTW231" s="300"/>
      <c r="VTX231" s="300"/>
      <c r="VTY231" s="300"/>
      <c r="VTZ231" s="300"/>
      <c r="VUA231" s="300"/>
      <c r="VUB231" s="300"/>
      <c r="VUC231" s="300"/>
      <c r="VUD231" s="300"/>
      <c r="VUE231" s="300"/>
      <c r="VUF231" s="300"/>
      <c r="VUG231" s="300"/>
      <c r="VUH231" s="300"/>
      <c r="VUI231" s="300"/>
      <c r="VUJ231" s="300"/>
      <c r="VUK231" s="300"/>
      <c r="VUL231" s="300"/>
      <c r="VUM231" s="300"/>
      <c r="VUN231" s="300"/>
      <c r="VUO231" s="300"/>
      <c r="VUP231" s="300"/>
      <c r="VUQ231" s="300"/>
      <c r="VUR231" s="300"/>
      <c r="VUS231" s="300"/>
      <c r="VUT231" s="300"/>
      <c r="VUU231" s="300"/>
      <c r="VUV231" s="300"/>
      <c r="VUW231" s="300"/>
      <c r="VUX231" s="300"/>
      <c r="VUY231" s="300"/>
      <c r="VUZ231" s="300"/>
      <c r="VVA231" s="300"/>
      <c r="VVB231" s="300"/>
      <c r="VVC231" s="300"/>
      <c r="VVD231" s="300"/>
      <c r="VVE231" s="300"/>
      <c r="VVF231" s="300"/>
      <c r="VVG231" s="300"/>
      <c r="VVH231" s="300"/>
      <c r="VVI231" s="300"/>
      <c r="VVJ231" s="300"/>
      <c r="VVK231" s="300"/>
      <c r="VVL231" s="300"/>
      <c r="VVM231" s="300"/>
      <c r="VVN231" s="300"/>
      <c r="VVO231" s="300"/>
      <c r="VVP231" s="300"/>
    </row>
    <row r="232" spans="2:102 15068:15460" s="3" customFormat="1" ht="15" hidden="1" customHeight="1" x14ac:dyDescent="0.3">
      <c r="B232" s="122"/>
      <c r="C232" s="277" t="s">
        <v>73</v>
      </c>
      <c r="D232" s="118"/>
      <c r="E232" s="119" t="s">
        <v>16</v>
      </c>
      <c r="F232" s="278"/>
      <c r="G232" s="278"/>
      <c r="H232" s="278"/>
      <c r="I232" s="278"/>
      <c r="J232" s="278"/>
      <c r="K232" s="278"/>
      <c r="L232" s="278">
        <v>0</v>
      </c>
      <c r="M232" s="278">
        <v>0</v>
      </c>
      <c r="N232" s="278">
        <v>0</v>
      </c>
      <c r="O232" s="278">
        <v>0</v>
      </c>
      <c r="P232" s="278">
        <v>0</v>
      </c>
      <c r="Q232" s="278">
        <v>0</v>
      </c>
      <c r="R232" s="278">
        <v>0</v>
      </c>
      <c r="S232" s="278">
        <v>0</v>
      </c>
      <c r="T232" s="278">
        <v>0</v>
      </c>
      <c r="U232" s="278">
        <v>0</v>
      </c>
      <c r="V232" s="278">
        <v>0</v>
      </c>
      <c r="W232" s="278">
        <v>121900</v>
      </c>
      <c r="X232" s="278">
        <v>0</v>
      </c>
      <c r="Y232" s="278">
        <v>0</v>
      </c>
      <c r="Z232" s="278">
        <v>288510</v>
      </c>
      <c r="AA232" s="278">
        <v>0</v>
      </c>
      <c r="AB232" s="278">
        <v>0</v>
      </c>
      <c r="AC232" s="278">
        <v>0</v>
      </c>
      <c r="AD232" s="278">
        <v>0</v>
      </c>
      <c r="AE232" s="278">
        <v>0</v>
      </c>
      <c r="AF232" s="278">
        <v>0</v>
      </c>
      <c r="AG232" s="278"/>
      <c r="AH232" s="278"/>
      <c r="AI232" s="278"/>
      <c r="AK232" s="161">
        <f>SUM(F232:AI232)</f>
        <v>410410</v>
      </c>
      <c r="CX232" s="17"/>
      <c r="VGN232" s="300"/>
      <c r="VGO232" s="300"/>
      <c r="VGP232" s="300"/>
      <c r="VGQ232" s="300"/>
      <c r="VGR232" s="300"/>
      <c r="VGS232" s="300"/>
      <c r="VGT232" s="300"/>
      <c r="VGU232" s="300"/>
      <c r="VGV232" s="300"/>
      <c r="VGW232" s="300"/>
      <c r="VGX232" s="300"/>
      <c r="VGY232" s="300"/>
      <c r="VGZ232" s="300"/>
      <c r="VHA232" s="300"/>
      <c r="VHB232" s="300"/>
      <c r="VHC232" s="300"/>
      <c r="VHD232" s="300"/>
      <c r="VHE232" s="300"/>
      <c r="VHF232" s="300"/>
      <c r="VHG232" s="300"/>
      <c r="VHH232" s="300"/>
      <c r="VHI232" s="300"/>
      <c r="VHJ232" s="300"/>
      <c r="VHK232" s="300"/>
      <c r="VHL232" s="300"/>
      <c r="VHM232" s="300"/>
      <c r="VHN232" s="300"/>
      <c r="VHO232" s="300"/>
      <c r="VHP232" s="300"/>
      <c r="VHQ232" s="300"/>
      <c r="VHR232" s="300"/>
      <c r="VHS232" s="300"/>
      <c r="VHT232" s="300"/>
      <c r="VHU232" s="300"/>
      <c r="VHV232" s="300"/>
      <c r="VHW232" s="300"/>
      <c r="VHX232" s="300"/>
      <c r="VHY232" s="300"/>
      <c r="VHZ232" s="300"/>
      <c r="VIA232" s="300"/>
      <c r="VIB232" s="300"/>
      <c r="VIC232" s="300"/>
      <c r="VID232" s="300"/>
      <c r="VIE232" s="300"/>
      <c r="VIF232" s="300"/>
      <c r="VIG232" s="300"/>
      <c r="VIH232" s="300"/>
      <c r="VII232" s="300"/>
      <c r="VIJ232" s="300"/>
      <c r="VIK232" s="300"/>
      <c r="VIL232" s="300"/>
      <c r="VIM232" s="300"/>
      <c r="VIN232" s="300"/>
      <c r="VIO232" s="300"/>
      <c r="VIP232" s="300"/>
      <c r="VIQ232" s="300"/>
      <c r="VIR232" s="300"/>
      <c r="VIS232" s="300"/>
      <c r="VIT232" s="300"/>
      <c r="VIU232" s="300"/>
      <c r="VIV232" s="300"/>
      <c r="VIW232" s="300"/>
      <c r="VIX232" s="300"/>
      <c r="VIY232" s="300"/>
      <c r="VIZ232" s="300"/>
      <c r="VJA232" s="300"/>
      <c r="VJB232" s="300"/>
      <c r="VJC232" s="300"/>
      <c r="VJD232" s="300"/>
      <c r="VJE232" s="300"/>
      <c r="VJF232" s="300"/>
      <c r="VJG232" s="300"/>
      <c r="VJH232" s="300"/>
      <c r="VJI232" s="300"/>
      <c r="VJJ232" s="300"/>
      <c r="VJK232" s="300"/>
      <c r="VJL232" s="300"/>
      <c r="VJM232" s="300"/>
      <c r="VJN232" s="300"/>
      <c r="VJO232" s="300"/>
      <c r="VJP232" s="300"/>
      <c r="VJQ232" s="300"/>
      <c r="VJR232" s="300"/>
      <c r="VJS232" s="300"/>
      <c r="VJT232" s="300"/>
      <c r="VJU232" s="300"/>
      <c r="VJV232" s="300"/>
      <c r="VJW232" s="300"/>
      <c r="VJX232" s="300"/>
      <c r="VJY232" s="300"/>
      <c r="VJZ232" s="300"/>
      <c r="VKA232" s="300"/>
      <c r="VKB232" s="300"/>
      <c r="VKC232" s="300"/>
      <c r="VKD232" s="300"/>
      <c r="VKE232" s="300"/>
      <c r="VKF232" s="300"/>
      <c r="VKG232" s="300"/>
      <c r="VKH232" s="300"/>
      <c r="VKI232" s="300"/>
      <c r="VKJ232" s="300"/>
      <c r="VKK232" s="300"/>
      <c r="VKL232" s="300"/>
      <c r="VKM232" s="300"/>
      <c r="VKN232" s="300"/>
      <c r="VKO232" s="300"/>
      <c r="VKP232" s="300"/>
      <c r="VKQ232" s="300"/>
      <c r="VKR232" s="300"/>
      <c r="VKS232" s="300"/>
      <c r="VKT232" s="300"/>
      <c r="VKU232" s="300"/>
      <c r="VKV232" s="300"/>
      <c r="VKW232" s="300"/>
      <c r="VKX232" s="300"/>
      <c r="VKY232" s="300"/>
      <c r="VKZ232" s="300"/>
      <c r="VLA232" s="300"/>
      <c r="VLB232" s="300"/>
      <c r="VLC232" s="300"/>
      <c r="VLD232" s="300"/>
      <c r="VLE232" s="300"/>
      <c r="VLF232" s="300"/>
      <c r="VLG232" s="300"/>
      <c r="VLH232" s="300"/>
      <c r="VLI232" s="300"/>
      <c r="VLJ232" s="300"/>
      <c r="VLK232" s="300"/>
      <c r="VLL232" s="300"/>
      <c r="VLM232" s="300"/>
      <c r="VLN232" s="300"/>
      <c r="VLO232" s="300"/>
      <c r="VLP232" s="300"/>
      <c r="VLQ232" s="300"/>
      <c r="VLR232" s="300"/>
      <c r="VLS232" s="300"/>
      <c r="VLT232" s="300"/>
      <c r="VLU232" s="300"/>
      <c r="VLV232" s="300"/>
      <c r="VLW232" s="300"/>
      <c r="VLX232" s="300"/>
      <c r="VLY232" s="300"/>
      <c r="VLZ232" s="300"/>
      <c r="VMA232" s="300"/>
      <c r="VMB232" s="300"/>
      <c r="VMC232" s="300"/>
      <c r="VMD232" s="300"/>
      <c r="VME232" s="300"/>
      <c r="VMF232" s="300"/>
      <c r="VMG232" s="300"/>
      <c r="VMH232" s="300"/>
      <c r="VMI232" s="300"/>
      <c r="VMJ232" s="300"/>
      <c r="VMK232" s="300"/>
      <c r="VML232" s="300"/>
      <c r="VMM232" s="300"/>
      <c r="VMN232" s="300"/>
      <c r="VMO232" s="300"/>
      <c r="VMP232" s="300"/>
      <c r="VMQ232" s="300"/>
      <c r="VMR232" s="300"/>
      <c r="VMS232" s="300"/>
      <c r="VMT232" s="300"/>
      <c r="VMU232" s="300"/>
      <c r="VMV232" s="300"/>
      <c r="VMW232" s="300"/>
      <c r="VMX232" s="300"/>
      <c r="VMY232" s="300"/>
      <c r="VMZ232" s="300"/>
      <c r="VNA232" s="300"/>
      <c r="VNB232" s="300"/>
      <c r="VNC232" s="300"/>
      <c r="VND232" s="300"/>
      <c r="VNE232" s="300"/>
      <c r="VNF232" s="300"/>
      <c r="VNG232" s="300"/>
      <c r="VNH232" s="300"/>
      <c r="VNI232" s="300"/>
      <c r="VNJ232" s="300"/>
      <c r="VNK232" s="300"/>
      <c r="VNL232" s="300"/>
      <c r="VNM232" s="300"/>
      <c r="VNN232" s="300"/>
      <c r="VNO232" s="300"/>
      <c r="VNP232" s="300"/>
      <c r="VNQ232" s="300"/>
      <c r="VNR232" s="300"/>
      <c r="VNS232" s="300"/>
      <c r="VNT232" s="300"/>
      <c r="VNU232" s="300"/>
      <c r="VNV232" s="300"/>
      <c r="VNW232" s="300"/>
      <c r="VNX232" s="300"/>
      <c r="VNY232" s="300"/>
      <c r="VNZ232" s="300"/>
      <c r="VOA232" s="300"/>
      <c r="VOB232" s="300"/>
      <c r="VOC232" s="300"/>
      <c r="VOD232" s="300"/>
      <c r="VOE232" s="300"/>
      <c r="VOF232" s="300"/>
      <c r="VOG232" s="300"/>
      <c r="VOH232" s="300"/>
      <c r="VOI232" s="300"/>
      <c r="VOJ232" s="300"/>
      <c r="VOK232" s="300"/>
      <c r="VOL232" s="300"/>
      <c r="VOM232" s="300"/>
      <c r="VON232" s="300"/>
      <c r="VOO232" s="300"/>
      <c r="VOP232" s="300"/>
      <c r="VOQ232" s="300"/>
      <c r="VOR232" s="300"/>
      <c r="VOS232" s="300"/>
      <c r="VOT232" s="300"/>
      <c r="VOU232" s="300"/>
      <c r="VOV232" s="300"/>
      <c r="VOW232" s="300"/>
      <c r="VOX232" s="300"/>
      <c r="VOY232" s="300"/>
      <c r="VOZ232" s="300"/>
      <c r="VPA232" s="300"/>
      <c r="VPB232" s="300"/>
      <c r="VPC232" s="300"/>
      <c r="VPD232" s="300"/>
      <c r="VPE232" s="300"/>
      <c r="VPF232" s="300"/>
      <c r="VPG232" s="300"/>
      <c r="VPH232" s="300"/>
      <c r="VPI232" s="300"/>
      <c r="VPJ232" s="300"/>
      <c r="VPK232" s="300"/>
      <c r="VPL232" s="300"/>
      <c r="VPM232" s="300"/>
      <c r="VPN232" s="300"/>
      <c r="VPO232" s="300"/>
      <c r="VPP232" s="300"/>
      <c r="VPQ232" s="300"/>
      <c r="VPR232" s="300"/>
      <c r="VPS232" s="300"/>
      <c r="VPT232" s="300"/>
      <c r="VPU232" s="300"/>
      <c r="VPV232" s="300"/>
      <c r="VPW232" s="300"/>
      <c r="VPX232" s="300"/>
      <c r="VPY232" s="300"/>
      <c r="VPZ232" s="300"/>
      <c r="VQA232" s="300"/>
      <c r="VQB232" s="300"/>
      <c r="VQC232" s="300"/>
      <c r="VQD232" s="300"/>
      <c r="VQE232" s="300"/>
      <c r="VQF232" s="300"/>
      <c r="VQG232" s="300"/>
      <c r="VQH232" s="300"/>
      <c r="VQI232" s="300"/>
      <c r="VQJ232" s="300"/>
      <c r="VQK232" s="300"/>
      <c r="VQL232" s="300"/>
      <c r="VQM232" s="300"/>
      <c r="VQN232" s="300"/>
      <c r="VQO232" s="300"/>
      <c r="VQP232" s="300"/>
      <c r="VQQ232" s="300"/>
      <c r="VQR232" s="300"/>
      <c r="VQS232" s="300"/>
      <c r="VQT232" s="300"/>
      <c r="VQU232" s="300"/>
      <c r="VQV232" s="300"/>
      <c r="VQW232" s="300"/>
      <c r="VQX232" s="300"/>
      <c r="VQY232" s="300"/>
      <c r="VQZ232" s="300"/>
      <c r="VRA232" s="300"/>
      <c r="VRB232" s="300"/>
      <c r="VRC232" s="300"/>
      <c r="VRD232" s="300"/>
      <c r="VRE232" s="300"/>
      <c r="VRF232" s="300"/>
      <c r="VRG232" s="300"/>
      <c r="VRH232" s="300"/>
      <c r="VRI232" s="300"/>
      <c r="VRJ232" s="300"/>
      <c r="VRK232" s="300"/>
      <c r="VRL232" s="300"/>
      <c r="VRM232" s="300"/>
      <c r="VRN232" s="300"/>
      <c r="VRO232" s="300"/>
      <c r="VRP232" s="300"/>
      <c r="VRQ232" s="300"/>
      <c r="VRR232" s="300"/>
      <c r="VRS232" s="300"/>
      <c r="VRT232" s="300"/>
      <c r="VRU232" s="300"/>
      <c r="VRV232" s="300"/>
      <c r="VRW232" s="300"/>
      <c r="VRX232" s="300"/>
      <c r="VRY232" s="300"/>
      <c r="VRZ232" s="300"/>
      <c r="VSA232" s="300"/>
      <c r="VSB232" s="300"/>
      <c r="VSC232" s="300"/>
      <c r="VSD232" s="300"/>
      <c r="VSE232" s="300"/>
      <c r="VSF232" s="300"/>
      <c r="VSG232" s="300"/>
      <c r="VSH232" s="300"/>
      <c r="VSI232" s="300"/>
      <c r="VSJ232" s="300"/>
      <c r="VSK232" s="300"/>
      <c r="VSL232" s="300"/>
      <c r="VSM232" s="300"/>
      <c r="VSN232" s="300"/>
      <c r="VSO232" s="300"/>
      <c r="VSP232" s="300"/>
      <c r="VSQ232" s="300"/>
      <c r="VSR232" s="300"/>
      <c r="VSS232" s="300"/>
      <c r="VST232" s="300"/>
      <c r="VSU232" s="300"/>
      <c r="VSV232" s="300"/>
      <c r="VSW232" s="300"/>
      <c r="VSX232" s="300"/>
      <c r="VSY232" s="300"/>
      <c r="VSZ232" s="300"/>
      <c r="VTA232" s="300"/>
      <c r="VTB232" s="300"/>
      <c r="VTC232" s="300"/>
      <c r="VTD232" s="300"/>
      <c r="VTE232" s="300"/>
      <c r="VTF232" s="300"/>
      <c r="VTG232" s="300"/>
      <c r="VTH232" s="300"/>
      <c r="VTI232" s="300"/>
      <c r="VTJ232" s="300"/>
      <c r="VTK232" s="300"/>
      <c r="VTL232" s="300"/>
      <c r="VTM232" s="300"/>
      <c r="VTN232" s="300"/>
      <c r="VTO232" s="300"/>
      <c r="VTP232" s="300"/>
      <c r="VTQ232" s="300"/>
      <c r="VTR232" s="300"/>
      <c r="VTS232" s="300"/>
      <c r="VTT232" s="300"/>
      <c r="VTU232" s="300"/>
      <c r="VTV232" s="300"/>
      <c r="VTW232" s="300"/>
      <c r="VTX232" s="300"/>
      <c r="VTY232" s="300"/>
      <c r="VTZ232" s="300"/>
      <c r="VUA232" s="300"/>
      <c r="VUB232" s="300"/>
      <c r="VUC232" s="300"/>
      <c r="VUD232" s="300"/>
      <c r="VUE232" s="300"/>
      <c r="VUF232" s="300"/>
      <c r="VUG232" s="300"/>
      <c r="VUH232" s="300"/>
      <c r="VUI232" s="300"/>
      <c r="VUJ232" s="300"/>
      <c r="VUK232" s="300"/>
      <c r="VUL232" s="300"/>
      <c r="VUM232" s="300"/>
      <c r="VUN232" s="300"/>
      <c r="VUO232" s="300"/>
      <c r="VUP232" s="300"/>
      <c r="VUQ232" s="300"/>
      <c r="VUR232" s="300"/>
      <c r="VUS232" s="300"/>
      <c r="VUT232" s="300"/>
      <c r="VUU232" s="300"/>
      <c r="VUV232" s="300"/>
      <c r="VUW232" s="300"/>
      <c r="VUX232" s="300"/>
      <c r="VUY232" s="300"/>
      <c r="VUZ232" s="300"/>
      <c r="VVA232" s="300"/>
      <c r="VVB232" s="300"/>
      <c r="VVC232" s="300"/>
      <c r="VVD232" s="300"/>
      <c r="VVE232" s="300"/>
      <c r="VVF232" s="300"/>
      <c r="VVG232" s="300"/>
      <c r="VVH232" s="300"/>
      <c r="VVI232" s="300"/>
      <c r="VVJ232" s="300"/>
      <c r="VVK232" s="300"/>
      <c r="VVL232" s="300"/>
      <c r="VVM232" s="300"/>
      <c r="VVN232" s="300"/>
      <c r="VVO232" s="300"/>
      <c r="VVP232" s="300"/>
    </row>
    <row r="233" spans="2:102 15068:15460" s="3" customFormat="1" ht="15" hidden="1" customHeight="1" x14ac:dyDescent="0.3">
      <c r="B233" s="122"/>
      <c r="C233" s="277" t="s">
        <v>72</v>
      </c>
      <c r="D233" s="118"/>
      <c r="E233" s="119" t="s">
        <v>16</v>
      </c>
      <c r="F233" s="278"/>
      <c r="G233" s="278"/>
      <c r="H233" s="278"/>
      <c r="I233" s="278"/>
      <c r="J233" s="278"/>
      <c r="K233" s="278"/>
      <c r="L233" s="278">
        <v>470520</v>
      </c>
      <c r="M233" s="278">
        <v>520450</v>
      </c>
      <c r="N233" s="278">
        <v>228880</v>
      </c>
      <c r="O233" s="278">
        <v>100560</v>
      </c>
      <c r="P233" s="278">
        <v>256770</v>
      </c>
      <c r="Q233" s="278">
        <v>196900</v>
      </c>
      <c r="R233" s="278">
        <v>0</v>
      </c>
      <c r="S233" s="278">
        <v>243410</v>
      </c>
      <c r="T233" s="278">
        <v>29090</v>
      </c>
      <c r="U233" s="278">
        <v>152940</v>
      </c>
      <c r="V233" s="278">
        <v>121590</v>
      </c>
      <c r="W233" s="278">
        <v>562580</v>
      </c>
      <c r="X233" s="278">
        <v>228760</v>
      </c>
      <c r="Y233" s="278">
        <v>128390</v>
      </c>
      <c r="Z233" s="278">
        <v>92910</v>
      </c>
      <c r="AA233" s="278">
        <v>81690</v>
      </c>
      <c r="AB233" s="278">
        <v>94960</v>
      </c>
      <c r="AC233" s="278">
        <v>59460</v>
      </c>
      <c r="AD233" s="278">
        <v>26450</v>
      </c>
      <c r="AE233" s="278">
        <v>44460</v>
      </c>
      <c r="AF233" s="278">
        <v>28000</v>
      </c>
      <c r="AG233" s="278"/>
      <c r="AH233" s="278"/>
      <c r="AI233" s="278"/>
      <c r="AK233" s="161">
        <f>SUM(F233:AI233)</f>
        <v>3668770</v>
      </c>
      <c r="CX233" s="17"/>
      <c r="VGN233" s="300"/>
      <c r="VGO233" s="300"/>
      <c r="VGP233" s="300"/>
      <c r="VGQ233" s="300"/>
      <c r="VGR233" s="300"/>
      <c r="VGS233" s="300"/>
      <c r="VGT233" s="300"/>
      <c r="VGU233" s="300"/>
      <c r="VGV233" s="300"/>
      <c r="VGW233" s="300"/>
      <c r="VGX233" s="300"/>
      <c r="VGY233" s="300"/>
      <c r="VGZ233" s="300"/>
      <c r="VHA233" s="300"/>
      <c r="VHB233" s="300"/>
      <c r="VHC233" s="300"/>
      <c r="VHD233" s="300"/>
      <c r="VHE233" s="300"/>
      <c r="VHF233" s="300"/>
      <c r="VHG233" s="300"/>
      <c r="VHH233" s="300"/>
      <c r="VHI233" s="300"/>
      <c r="VHJ233" s="300"/>
      <c r="VHK233" s="300"/>
      <c r="VHL233" s="300"/>
      <c r="VHM233" s="300"/>
      <c r="VHN233" s="300"/>
      <c r="VHO233" s="300"/>
      <c r="VHP233" s="300"/>
      <c r="VHQ233" s="300"/>
      <c r="VHR233" s="300"/>
      <c r="VHS233" s="300"/>
      <c r="VHT233" s="300"/>
      <c r="VHU233" s="300"/>
      <c r="VHV233" s="300"/>
      <c r="VHW233" s="300"/>
      <c r="VHX233" s="300"/>
      <c r="VHY233" s="300"/>
      <c r="VHZ233" s="300"/>
      <c r="VIA233" s="300"/>
      <c r="VIB233" s="300"/>
      <c r="VIC233" s="300"/>
      <c r="VID233" s="300"/>
      <c r="VIE233" s="300"/>
      <c r="VIF233" s="300"/>
      <c r="VIG233" s="300"/>
      <c r="VIH233" s="300"/>
      <c r="VII233" s="300"/>
      <c r="VIJ233" s="300"/>
      <c r="VIK233" s="300"/>
      <c r="VIL233" s="300"/>
      <c r="VIM233" s="300"/>
      <c r="VIN233" s="300"/>
      <c r="VIO233" s="300"/>
      <c r="VIP233" s="300"/>
      <c r="VIQ233" s="300"/>
      <c r="VIR233" s="300"/>
      <c r="VIS233" s="300"/>
      <c r="VIT233" s="300"/>
      <c r="VIU233" s="300"/>
      <c r="VIV233" s="300"/>
      <c r="VIW233" s="300"/>
      <c r="VIX233" s="300"/>
      <c r="VIY233" s="300"/>
      <c r="VIZ233" s="300"/>
      <c r="VJA233" s="300"/>
      <c r="VJB233" s="300"/>
      <c r="VJC233" s="300"/>
      <c r="VJD233" s="300"/>
      <c r="VJE233" s="300"/>
      <c r="VJF233" s="300"/>
      <c r="VJG233" s="300"/>
      <c r="VJH233" s="300"/>
      <c r="VJI233" s="300"/>
      <c r="VJJ233" s="300"/>
      <c r="VJK233" s="300"/>
      <c r="VJL233" s="300"/>
      <c r="VJM233" s="300"/>
      <c r="VJN233" s="300"/>
      <c r="VJO233" s="300"/>
      <c r="VJP233" s="300"/>
      <c r="VJQ233" s="300"/>
      <c r="VJR233" s="300"/>
      <c r="VJS233" s="300"/>
      <c r="VJT233" s="300"/>
      <c r="VJU233" s="300"/>
      <c r="VJV233" s="300"/>
      <c r="VJW233" s="300"/>
      <c r="VJX233" s="300"/>
      <c r="VJY233" s="300"/>
      <c r="VJZ233" s="300"/>
      <c r="VKA233" s="300"/>
      <c r="VKB233" s="300"/>
      <c r="VKC233" s="300"/>
      <c r="VKD233" s="300"/>
      <c r="VKE233" s="300"/>
      <c r="VKF233" s="300"/>
      <c r="VKG233" s="300"/>
      <c r="VKH233" s="300"/>
      <c r="VKI233" s="300"/>
      <c r="VKJ233" s="300"/>
      <c r="VKK233" s="300"/>
      <c r="VKL233" s="300"/>
      <c r="VKM233" s="300"/>
      <c r="VKN233" s="300"/>
      <c r="VKO233" s="300"/>
      <c r="VKP233" s="300"/>
      <c r="VKQ233" s="300"/>
      <c r="VKR233" s="300"/>
      <c r="VKS233" s="300"/>
      <c r="VKT233" s="300"/>
      <c r="VKU233" s="300"/>
      <c r="VKV233" s="300"/>
      <c r="VKW233" s="300"/>
      <c r="VKX233" s="300"/>
      <c r="VKY233" s="300"/>
      <c r="VKZ233" s="300"/>
      <c r="VLA233" s="300"/>
      <c r="VLB233" s="300"/>
      <c r="VLC233" s="300"/>
      <c r="VLD233" s="300"/>
      <c r="VLE233" s="300"/>
      <c r="VLF233" s="300"/>
      <c r="VLG233" s="300"/>
      <c r="VLH233" s="300"/>
      <c r="VLI233" s="300"/>
      <c r="VLJ233" s="300"/>
      <c r="VLK233" s="300"/>
      <c r="VLL233" s="300"/>
      <c r="VLM233" s="300"/>
      <c r="VLN233" s="300"/>
      <c r="VLO233" s="300"/>
      <c r="VLP233" s="300"/>
      <c r="VLQ233" s="300"/>
      <c r="VLR233" s="300"/>
      <c r="VLS233" s="300"/>
      <c r="VLT233" s="300"/>
      <c r="VLU233" s="300"/>
      <c r="VLV233" s="300"/>
      <c r="VLW233" s="300"/>
      <c r="VLX233" s="300"/>
      <c r="VLY233" s="300"/>
      <c r="VLZ233" s="300"/>
      <c r="VMA233" s="300"/>
      <c r="VMB233" s="300"/>
      <c r="VMC233" s="300"/>
      <c r="VMD233" s="300"/>
      <c r="VME233" s="300"/>
      <c r="VMF233" s="300"/>
      <c r="VMG233" s="300"/>
      <c r="VMH233" s="300"/>
      <c r="VMI233" s="300"/>
      <c r="VMJ233" s="300"/>
      <c r="VMK233" s="300"/>
      <c r="VML233" s="300"/>
      <c r="VMM233" s="300"/>
      <c r="VMN233" s="300"/>
      <c r="VMO233" s="300"/>
      <c r="VMP233" s="300"/>
      <c r="VMQ233" s="300"/>
      <c r="VMR233" s="300"/>
      <c r="VMS233" s="300"/>
      <c r="VMT233" s="300"/>
      <c r="VMU233" s="300"/>
      <c r="VMV233" s="300"/>
      <c r="VMW233" s="300"/>
      <c r="VMX233" s="300"/>
      <c r="VMY233" s="300"/>
      <c r="VMZ233" s="300"/>
      <c r="VNA233" s="300"/>
      <c r="VNB233" s="300"/>
      <c r="VNC233" s="300"/>
      <c r="VND233" s="300"/>
      <c r="VNE233" s="300"/>
      <c r="VNF233" s="300"/>
      <c r="VNG233" s="300"/>
      <c r="VNH233" s="300"/>
      <c r="VNI233" s="300"/>
      <c r="VNJ233" s="300"/>
      <c r="VNK233" s="300"/>
      <c r="VNL233" s="300"/>
      <c r="VNM233" s="300"/>
      <c r="VNN233" s="300"/>
      <c r="VNO233" s="300"/>
      <c r="VNP233" s="300"/>
      <c r="VNQ233" s="300"/>
      <c r="VNR233" s="300"/>
      <c r="VNS233" s="300"/>
      <c r="VNT233" s="300"/>
      <c r="VNU233" s="300"/>
      <c r="VNV233" s="300"/>
      <c r="VNW233" s="300"/>
      <c r="VNX233" s="300"/>
      <c r="VNY233" s="300"/>
      <c r="VNZ233" s="300"/>
      <c r="VOA233" s="300"/>
      <c r="VOB233" s="300"/>
      <c r="VOC233" s="300"/>
      <c r="VOD233" s="300"/>
      <c r="VOE233" s="300"/>
      <c r="VOF233" s="300"/>
      <c r="VOG233" s="300"/>
      <c r="VOH233" s="300"/>
      <c r="VOI233" s="300"/>
      <c r="VOJ233" s="300"/>
      <c r="VOK233" s="300"/>
      <c r="VOL233" s="300"/>
      <c r="VOM233" s="300"/>
      <c r="VON233" s="300"/>
      <c r="VOO233" s="300"/>
      <c r="VOP233" s="300"/>
      <c r="VOQ233" s="300"/>
      <c r="VOR233" s="300"/>
      <c r="VOS233" s="300"/>
      <c r="VOT233" s="300"/>
      <c r="VOU233" s="300"/>
      <c r="VOV233" s="300"/>
      <c r="VOW233" s="300"/>
      <c r="VOX233" s="300"/>
      <c r="VOY233" s="300"/>
      <c r="VOZ233" s="300"/>
      <c r="VPA233" s="300"/>
      <c r="VPB233" s="300"/>
      <c r="VPC233" s="300"/>
      <c r="VPD233" s="300"/>
      <c r="VPE233" s="300"/>
      <c r="VPF233" s="300"/>
      <c r="VPG233" s="300"/>
      <c r="VPH233" s="300"/>
      <c r="VPI233" s="300"/>
      <c r="VPJ233" s="300"/>
      <c r="VPK233" s="300"/>
      <c r="VPL233" s="300"/>
      <c r="VPM233" s="300"/>
      <c r="VPN233" s="300"/>
      <c r="VPO233" s="300"/>
      <c r="VPP233" s="300"/>
      <c r="VPQ233" s="300"/>
      <c r="VPR233" s="300"/>
      <c r="VPS233" s="300"/>
      <c r="VPT233" s="300"/>
      <c r="VPU233" s="300"/>
      <c r="VPV233" s="300"/>
      <c r="VPW233" s="300"/>
      <c r="VPX233" s="300"/>
      <c r="VPY233" s="300"/>
      <c r="VPZ233" s="300"/>
      <c r="VQA233" s="300"/>
      <c r="VQB233" s="300"/>
      <c r="VQC233" s="300"/>
      <c r="VQD233" s="300"/>
      <c r="VQE233" s="300"/>
      <c r="VQF233" s="300"/>
      <c r="VQG233" s="300"/>
      <c r="VQH233" s="300"/>
      <c r="VQI233" s="300"/>
      <c r="VQJ233" s="300"/>
      <c r="VQK233" s="300"/>
      <c r="VQL233" s="300"/>
      <c r="VQM233" s="300"/>
      <c r="VQN233" s="300"/>
      <c r="VQO233" s="300"/>
      <c r="VQP233" s="300"/>
      <c r="VQQ233" s="300"/>
      <c r="VQR233" s="300"/>
      <c r="VQS233" s="300"/>
      <c r="VQT233" s="300"/>
      <c r="VQU233" s="300"/>
      <c r="VQV233" s="300"/>
      <c r="VQW233" s="300"/>
      <c r="VQX233" s="300"/>
      <c r="VQY233" s="300"/>
      <c r="VQZ233" s="300"/>
      <c r="VRA233" s="300"/>
      <c r="VRB233" s="300"/>
      <c r="VRC233" s="300"/>
      <c r="VRD233" s="300"/>
      <c r="VRE233" s="300"/>
      <c r="VRF233" s="300"/>
      <c r="VRG233" s="300"/>
      <c r="VRH233" s="300"/>
      <c r="VRI233" s="300"/>
      <c r="VRJ233" s="300"/>
      <c r="VRK233" s="300"/>
      <c r="VRL233" s="300"/>
      <c r="VRM233" s="300"/>
      <c r="VRN233" s="300"/>
      <c r="VRO233" s="300"/>
      <c r="VRP233" s="300"/>
      <c r="VRQ233" s="300"/>
      <c r="VRR233" s="300"/>
      <c r="VRS233" s="300"/>
      <c r="VRT233" s="300"/>
      <c r="VRU233" s="300"/>
      <c r="VRV233" s="300"/>
      <c r="VRW233" s="300"/>
      <c r="VRX233" s="300"/>
      <c r="VRY233" s="300"/>
      <c r="VRZ233" s="300"/>
      <c r="VSA233" s="300"/>
      <c r="VSB233" s="300"/>
      <c r="VSC233" s="300"/>
      <c r="VSD233" s="300"/>
      <c r="VSE233" s="300"/>
      <c r="VSF233" s="300"/>
      <c r="VSG233" s="300"/>
      <c r="VSH233" s="300"/>
      <c r="VSI233" s="300"/>
      <c r="VSJ233" s="300"/>
      <c r="VSK233" s="300"/>
      <c r="VSL233" s="300"/>
      <c r="VSM233" s="300"/>
      <c r="VSN233" s="300"/>
      <c r="VSO233" s="300"/>
      <c r="VSP233" s="300"/>
      <c r="VSQ233" s="300"/>
      <c r="VSR233" s="300"/>
      <c r="VSS233" s="300"/>
      <c r="VST233" s="300"/>
      <c r="VSU233" s="300"/>
      <c r="VSV233" s="300"/>
      <c r="VSW233" s="300"/>
      <c r="VSX233" s="300"/>
      <c r="VSY233" s="300"/>
      <c r="VSZ233" s="300"/>
      <c r="VTA233" s="300"/>
      <c r="VTB233" s="300"/>
      <c r="VTC233" s="300"/>
      <c r="VTD233" s="300"/>
      <c r="VTE233" s="300"/>
      <c r="VTF233" s="300"/>
      <c r="VTG233" s="300"/>
      <c r="VTH233" s="300"/>
      <c r="VTI233" s="300"/>
      <c r="VTJ233" s="300"/>
      <c r="VTK233" s="300"/>
      <c r="VTL233" s="300"/>
      <c r="VTM233" s="300"/>
      <c r="VTN233" s="300"/>
      <c r="VTO233" s="300"/>
      <c r="VTP233" s="300"/>
      <c r="VTQ233" s="300"/>
      <c r="VTR233" s="300"/>
      <c r="VTS233" s="300"/>
      <c r="VTT233" s="300"/>
      <c r="VTU233" s="300"/>
      <c r="VTV233" s="300"/>
      <c r="VTW233" s="300"/>
      <c r="VTX233" s="300"/>
      <c r="VTY233" s="300"/>
      <c r="VTZ233" s="300"/>
      <c r="VUA233" s="300"/>
      <c r="VUB233" s="300"/>
      <c r="VUC233" s="300"/>
      <c r="VUD233" s="300"/>
      <c r="VUE233" s="300"/>
      <c r="VUF233" s="300"/>
      <c r="VUG233" s="300"/>
      <c r="VUH233" s="300"/>
      <c r="VUI233" s="300"/>
      <c r="VUJ233" s="300"/>
      <c r="VUK233" s="300"/>
      <c r="VUL233" s="300"/>
      <c r="VUM233" s="300"/>
      <c r="VUN233" s="300"/>
      <c r="VUO233" s="300"/>
      <c r="VUP233" s="300"/>
      <c r="VUQ233" s="300"/>
      <c r="VUR233" s="300"/>
      <c r="VUS233" s="300"/>
      <c r="VUT233" s="300"/>
      <c r="VUU233" s="300"/>
      <c r="VUV233" s="300"/>
      <c r="VUW233" s="300"/>
      <c r="VUX233" s="300"/>
      <c r="VUY233" s="300"/>
      <c r="VUZ233" s="300"/>
      <c r="VVA233" s="300"/>
      <c r="VVB233" s="300"/>
      <c r="VVC233" s="300"/>
      <c r="VVD233" s="300"/>
      <c r="VVE233" s="300"/>
      <c r="VVF233" s="300"/>
      <c r="VVG233" s="300"/>
      <c r="VVH233" s="300"/>
      <c r="VVI233" s="300"/>
      <c r="VVJ233" s="300"/>
      <c r="VVK233" s="300"/>
      <c r="VVL233" s="300"/>
      <c r="VVM233" s="300"/>
      <c r="VVN233" s="300"/>
      <c r="VVO233" s="300"/>
      <c r="VVP233" s="300"/>
    </row>
    <row r="234" spans="2:102 15068:15460" s="3" customFormat="1" ht="15" hidden="1" customHeight="1" thickBot="1" x14ac:dyDescent="0.3">
      <c r="B234" s="122"/>
      <c r="C234" s="277" t="s">
        <v>71</v>
      </c>
      <c r="D234" s="118"/>
      <c r="E234" s="119" t="s">
        <v>16</v>
      </c>
      <c r="F234" s="278"/>
      <c r="G234" s="278"/>
      <c r="H234" s="278"/>
      <c r="I234" s="278"/>
      <c r="J234" s="278"/>
      <c r="K234" s="278"/>
      <c r="L234" s="278"/>
      <c r="M234" s="278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  <c r="Y234" s="278"/>
      <c r="Z234" s="278"/>
      <c r="AA234" s="278"/>
      <c r="AB234" s="278"/>
      <c r="AC234" s="278"/>
      <c r="AD234" s="278"/>
      <c r="AE234" s="278"/>
      <c r="AF234" s="1"/>
      <c r="AG234" s="1"/>
      <c r="AH234" s="1"/>
      <c r="AI234" s="1"/>
      <c r="AK234" s="161">
        <f>SUM(F234:AI234)</f>
        <v>0</v>
      </c>
      <c r="CX234" s="17"/>
      <c r="VGN234" s="300"/>
      <c r="VGO234" s="300"/>
      <c r="VGP234" s="300"/>
      <c r="VGQ234" s="300"/>
      <c r="VGR234" s="300"/>
      <c r="VGS234" s="300"/>
      <c r="VGT234" s="300"/>
      <c r="VGU234" s="300"/>
      <c r="VGV234" s="300"/>
      <c r="VGW234" s="300"/>
      <c r="VGX234" s="300"/>
      <c r="VGY234" s="300"/>
      <c r="VGZ234" s="300"/>
      <c r="VHA234" s="300"/>
      <c r="VHB234" s="300"/>
      <c r="VHC234" s="300"/>
      <c r="VHD234" s="300"/>
      <c r="VHE234" s="300"/>
      <c r="VHF234" s="300"/>
      <c r="VHG234" s="300"/>
      <c r="VHH234" s="300"/>
      <c r="VHI234" s="300"/>
      <c r="VHJ234" s="300"/>
      <c r="VHK234" s="300"/>
      <c r="VHL234" s="300"/>
      <c r="VHM234" s="300"/>
      <c r="VHN234" s="300"/>
      <c r="VHO234" s="300"/>
      <c r="VHP234" s="300"/>
      <c r="VHQ234" s="300"/>
      <c r="VHR234" s="300"/>
      <c r="VHS234" s="300"/>
      <c r="VHT234" s="300"/>
      <c r="VHU234" s="300"/>
      <c r="VHV234" s="300"/>
      <c r="VHW234" s="300"/>
      <c r="VHX234" s="300"/>
      <c r="VHY234" s="300"/>
      <c r="VHZ234" s="300"/>
      <c r="VIA234" s="300"/>
      <c r="VIB234" s="300"/>
      <c r="VIC234" s="300"/>
      <c r="VID234" s="300"/>
      <c r="VIE234" s="300"/>
      <c r="VIF234" s="300"/>
      <c r="VIG234" s="300"/>
      <c r="VIH234" s="300"/>
      <c r="VII234" s="300"/>
      <c r="VIJ234" s="300"/>
      <c r="VIK234" s="300"/>
      <c r="VIL234" s="300"/>
      <c r="VIM234" s="300"/>
      <c r="VIN234" s="300"/>
      <c r="VIO234" s="300"/>
      <c r="VIP234" s="300"/>
      <c r="VIQ234" s="300"/>
      <c r="VIR234" s="300"/>
      <c r="VIS234" s="300"/>
      <c r="VIT234" s="300"/>
      <c r="VIU234" s="300"/>
      <c r="VIV234" s="300"/>
      <c r="VIW234" s="300"/>
      <c r="VIX234" s="300"/>
      <c r="VIY234" s="300"/>
      <c r="VIZ234" s="300"/>
      <c r="VJA234" s="300"/>
      <c r="VJB234" s="300"/>
      <c r="VJC234" s="300"/>
      <c r="VJD234" s="300"/>
      <c r="VJE234" s="300"/>
      <c r="VJF234" s="300"/>
      <c r="VJG234" s="300"/>
      <c r="VJH234" s="300"/>
      <c r="VJI234" s="300"/>
      <c r="VJJ234" s="300"/>
      <c r="VJK234" s="300"/>
      <c r="VJL234" s="300"/>
      <c r="VJM234" s="300"/>
      <c r="VJN234" s="300"/>
      <c r="VJO234" s="300"/>
      <c r="VJP234" s="300"/>
      <c r="VJQ234" s="300"/>
      <c r="VJR234" s="300"/>
      <c r="VJS234" s="300"/>
      <c r="VJT234" s="300"/>
      <c r="VJU234" s="300"/>
      <c r="VJV234" s="300"/>
      <c r="VJW234" s="300"/>
      <c r="VJX234" s="300"/>
      <c r="VJY234" s="300"/>
      <c r="VJZ234" s="300"/>
      <c r="VKA234" s="300"/>
      <c r="VKB234" s="300"/>
      <c r="VKC234" s="300"/>
      <c r="VKD234" s="300"/>
      <c r="VKE234" s="300"/>
      <c r="VKF234" s="300"/>
      <c r="VKG234" s="300"/>
      <c r="VKH234" s="300"/>
      <c r="VKI234" s="300"/>
      <c r="VKJ234" s="300"/>
      <c r="VKK234" s="300"/>
      <c r="VKL234" s="300"/>
      <c r="VKM234" s="300"/>
      <c r="VKN234" s="300"/>
      <c r="VKO234" s="300"/>
      <c r="VKP234" s="300"/>
      <c r="VKQ234" s="300"/>
      <c r="VKR234" s="300"/>
      <c r="VKS234" s="300"/>
      <c r="VKT234" s="300"/>
      <c r="VKU234" s="300"/>
      <c r="VKV234" s="300"/>
      <c r="VKW234" s="300"/>
      <c r="VKX234" s="300"/>
      <c r="VKY234" s="300"/>
      <c r="VKZ234" s="300"/>
      <c r="VLA234" s="300"/>
      <c r="VLB234" s="300"/>
      <c r="VLC234" s="300"/>
      <c r="VLD234" s="300"/>
      <c r="VLE234" s="300"/>
      <c r="VLF234" s="300"/>
      <c r="VLG234" s="300"/>
      <c r="VLH234" s="300"/>
      <c r="VLI234" s="300"/>
      <c r="VLJ234" s="300"/>
      <c r="VLK234" s="300"/>
      <c r="VLL234" s="300"/>
      <c r="VLM234" s="300"/>
      <c r="VLN234" s="300"/>
      <c r="VLO234" s="300"/>
      <c r="VLP234" s="300"/>
      <c r="VLQ234" s="300"/>
      <c r="VLR234" s="300"/>
      <c r="VLS234" s="300"/>
      <c r="VLT234" s="300"/>
      <c r="VLU234" s="300"/>
      <c r="VLV234" s="300"/>
      <c r="VLW234" s="300"/>
      <c r="VLX234" s="300"/>
      <c r="VLY234" s="300"/>
      <c r="VLZ234" s="300"/>
      <c r="VMA234" s="300"/>
      <c r="VMB234" s="300"/>
      <c r="VMC234" s="300"/>
      <c r="VMD234" s="300"/>
      <c r="VME234" s="300"/>
      <c r="VMF234" s="300"/>
      <c r="VMG234" s="300"/>
      <c r="VMH234" s="300"/>
      <c r="VMI234" s="300"/>
      <c r="VMJ234" s="300"/>
      <c r="VMK234" s="300"/>
      <c r="VML234" s="300"/>
      <c r="VMM234" s="300"/>
      <c r="VMN234" s="300"/>
      <c r="VMO234" s="300"/>
      <c r="VMP234" s="300"/>
      <c r="VMQ234" s="300"/>
      <c r="VMR234" s="300"/>
      <c r="VMS234" s="300"/>
      <c r="VMT234" s="300"/>
      <c r="VMU234" s="300"/>
      <c r="VMV234" s="300"/>
      <c r="VMW234" s="300"/>
      <c r="VMX234" s="300"/>
      <c r="VMY234" s="300"/>
      <c r="VMZ234" s="300"/>
      <c r="VNA234" s="300"/>
      <c r="VNB234" s="300"/>
      <c r="VNC234" s="300"/>
      <c r="VND234" s="300"/>
      <c r="VNE234" s="300"/>
      <c r="VNF234" s="300"/>
      <c r="VNG234" s="300"/>
      <c r="VNH234" s="300"/>
      <c r="VNI234" s="300"/>
      <c r="VNJ234" s="300"/>
      <c r="VNK234" s="300"/>
      <c r="VNL234" s="300"/>
      <c r="VNM234" s="300"/>
      <c r="VNN234" s="300"/>
      <c r="VNO234" s="300"/>
      <c r="VNP234" s="300"/>
      <c r="VNQ234" s="300"/>
      <c r="VNR234" s="300"/>
      <c r="VNS234" s="300"/>
      <c r="VNT234" s="300"/>
      <c r="VNU234" s="300"/>
      <c r="VNV234" s="300"/>
      <c r="VNW234" s="300"/>
      <c r="VNX234" s="300"/>
      <c r="VNY234" s="300"/>
      <c r="VNZ234" s="300"/>
      <c r="VOA234" s="300"/>
      <c r="VOB234" s="300"/>
      <c r="VOC234" s="300"/>
      <c r="VOD234" s="300"/>
      <c r="VOE234" s="300"/>
      <c r="VOF234" s="300"/>
      <c r="VOG234" s="300"/>
      <c r="VOH234" s="300"/>
      <c r="VOI234" s="300"/>
      <c r="VOJ234" s="300"/>
      <c r="VOK234" s="300"/>
      <c r="VOL234" s="300"/>
      <c r="VOM234" s="300"/>
      <c r="VON234" s="300"/>
      <c r="VOO234" s="300"/>
      <c r="VOP234" s="300"/>
      <c r="VOQ234" s="300"/>
      <c r="VOR234" s="300"/>
      <c r="VOS234" s="300"/>
      <c r="VOT234" s="300"/>
      <c r="VOU234" s="300"/>
      <c r="VOV234" s="300"/>
      <c r="VOW234" s="300"/>
      <c r="VOX234" s="300"/>
      <c r="VOY234" s="300"/>
      <c r="VOZ234" s="300"/>
      <c r="VPA234" s="300"/>
      <c r="VPB234" s="300"/>
      <c r="VPC234" s="300"/>
      <c r="VPD234" s="300"/>
      <c r="VPE234" s="300"/>
      <c r="VPF234" s="300"/>
      <c r="VPG234" s="300"/>
      <c r="VPH234" s="300"/>
      <c r="VPI234" s="300"/>
      <c r="VPJ234" s="300"/>
      <c r="VPK234" s="300"/>
      <c r="VPL234" s="300"/>
      <c r="VPM234" s="300"/>
      <c r="VPN234" s="300"/>
      <c r="VPO234" s="300"/>
      <c r="VPP234" s="300"/>
      <c r="VPQ234" s="300"/>
      <c r="VPR234" s="300"/>
      <c r="VPS234" s="300"/>
      <c r="VPT234" s="300"/>
      <c r="VPU234" s="300"/>
      <c r="VPV234" s="300"/>
      <c r="VPW234" s="300"/>
      <c r="VPX234" s="300"/>
      <c r="VPY234" s="300"/>
      <c r="VPZ234" s="300"/>
      <c r="VQA234" s="300"/>
      <c r="VQB234" s="300"/>
      <c r="VQC234" s="300"/>
      <c r="VQD234" s="300"/>
      <c r="VQE234" s="300"/>
      <c r="VQF234" s="300"/>
      <c r="VQG234" s="300"/>
      <c r="VQH234" s="300"/>
      <c r="VQI234" s="300"/>
      <c r="VQJ234" s="300"/>
      <c r="VQK234" s="300"/>
      <c r="VQL234" s="300"/>
      <c r="VQM234" s="300"/>
      <c r="VQN234" s="300"/>
      <c r="VQO234" s="300"/>
      <c r="VQP234" s="300"/>
      <c r="VQQ234" s="300"/>
      <c r="VQR234" s="300"/>
      <c r="VQS234" s="300"/>
      <c r="VQT234" s="300"/>
      <c r="VQU234" s="300"/>
      <c r="VQV234" s="300"/>
      <c r="VQW234" s="300"/>
      <c r="VQX234" s="300"/>
      <c r="VQY234" s="300"/>
      <c r="VQZ234" s="300"/>
      <c r="VRA234" s="300"/>
      <c r="VRB234" s="300"/>
      <c r="VRC234" s="300"/>
      <c r="VRD234" s="300"/>
      <c r="VRE234" s="300"/>
      <c r="VRF234" s="300"/>
      <c r="VRG234" s="300"/>
      <c r="VRH234" s="300"/>
      <c r="VRI234" s="300"/>
      <c r="VRJ234" s="300"/>
      <c r="VRK234" s="300"/>
      <c r="VRL234" s="300"/>
      <c r="VRM234" s="300"/>
      <c r="VRN234" s="300"/>
      <c r="VRO234" s="300"/>
      <c r="VRP234" s="300"/>
      <c r="VRQ234" s="300"/>
      <c r="VRR234" s="300"/>
      <c r="VRS234" s="300"/>
      <c r="VRT234" s="300"/>
      <c r="VRU234" s="300"/>
      <c r="VRV234" s="300"/>
      <c r="VRW234" s="300"/>
      <c r="VRX234" s="300"/>
      <c r="VRY234" s="300"/>
      <c r="VRZ234" s="300"/>
      <c r="VSA234" s="300"/>
      <c r="VSB234" s="300"/>
      <c r="VSC234" s="300"/>
      <c r="VSD234" s="300"/>
      <c r="VSE234" s="300"/>
      <c r="VSF234" s="300"/>
      <c r="VSG234" s="300"/>
      <c r="VSH234" s="300"/>
      <c r="VSI234" s="300"/>
      <c r="VSJ234" s="300"/>
      <c r="VSK234" s="300"/>
      <c r="VSL234" s="300"/>
      <c r="VSM234" s="300"/>
      <c r="VSN234" s="300"/>
      <c r="VSO234" s="300"/>
      <c r="VSP234" s="300"/>
      <c r="VSQ234" s="300"/>
      <c r="VSR234" s="300"/>
      <c r="VSS234" s="300"/>
      <c r="VST234" s="300"/>
      <c r="VSU234" s="300"/>
      <c r="VSV234" s="300"/>
      <c r="VSW234" s="300"/>
      <c r="VSX234" s="300"/>
      <c r="VSY234" s="300"/>
      <c r="VSZ234" s="300"/>
      <c r="VTA234" s="300"/>
      <c r="VTB234" s="300"/>
      <c r="VTC234" s="300"/>
      <c r="VTD234" s="300"/>
      <c r="VTE234" s="300"/>
      <c r="VTF234" s="300"/>
      <c r="VTG234" s="300"/>
      <c r="VTH234" s="300"/>
      <c r="VTI234" s="300"/>
      <c r="VTJ234" s="300"/>
      <c r="VTK234" s="300"/>
      <c r="VTL234" s="300"/>
      <c r="VTM234" s="300"/>
      <c r="VTN234" s="300"/>
      <c r="VTO234" s="300"/>
      <c r="VTP234" s="300"/>
      <c r="VTQ234" s="300"/>
      <c r="VTR234" s="300"/>
      <c r="VTS234" s="300"/>
      <c r="VTT234" s="300"/>
      <c r="VTU234" s="300"/>
      <c r="VTV234" s="300"/>
      <c r="VTW234" s="300"/>
      <c r="VTX234" s="300"/>
      <c r="VTY234" s="300"/>
      <c r="VTZ234" s="300"/>
      <c r="VUA234" s="300"/>
      <c r="VUB234" s="300"/>
      <c r="VUC234" s="300"/>
      <c r="VUD234" s="300"/>
      <c r="VUE234" s="300"/>
      <c r="VUF234" s="300"/>
      <c r="VUG234" s="300"/>
      <c r="VUH234" s="300"/>
      <c r="VUI234" s="300"/>
      <c r="VUJ234" s="300"/>
      <c r="VUK234" s="300"/>
      <c r="VUL234" s="300"/>
      <c r="VUM234" s="300"/>
      <c r="VUN234" s="300"/>
      <c r="VUO234" s="300"/>
      <c r="VUP234" s="300"/>
      <c r="VUQ234" s="300"/>
      <c r="VUR234" s="300"/>
      <c r="VUS234" s="300"/>
      <c r="VUT234" s="300"/>
      <c r="VUU234" s="300"/>
      <c r="VUV234" s="300"/>
      <c r="VUW234" s="300"/>
      <c r="VUX234" s="300"/>
      <c r="VUY234" s="300"/>
      <c r="VUZ234" s="300"/>
      <c r="VVA234" s="300"/>
      <c r="VVB234" s="300"/>
      <c r="VVC234" s="300"/>
      <c r="VVD234" s="300"/>
      <c r="VVE234" s="300"/>
      <c r="VVF234" s="300"/>
      <c r="VVG234" s="300"/>
      <c r="VVH234" s="300"/>
      <c r="VVI234" s="300"/>
      <c r="VVJ234" s="300"/>
      <c r="VVK234" s="300"/>
      <c r="VVL234" s="300"/>
      <c r="VVM234" s="300"/>
      <c r="VVN234" s="300"/>
      <c r="VVO234" s="300"/>
      <c r="VVP234" s="300"/>
    </row>
    <row r="235" spans="2:102 15068:15460" s="3" customFormat="1" ht="15" hidden="1" customHeight="1" x14ac:dyDescent="0.3">
      <c r="B235" s="122"/>
      <c r="C235" s="277" t="s">
        <v>70</v>
      </c>
      <c r="D235" s="118"/>
      <c r="E235" s="119" t="s">
        <v>16</v>
      </c>
      <c r="F235" s="278"/>
      <c r="G235" s="278"/>
      <c r="H235" s="278"/>
      <c r="I235" s="278"/>
      <c r="J235" s="278"/>
      <c r="K235" s="278"/>
      <c r="L235" s="278">
        <v>170500</v>
      </c>
      <c r="M235" s="278">
        <v>170640</v>
      </c>
      <c r="N235" s="278">
        <v>169440</v>
      </c>
      <c r="O235" s="278">
        <v>494640</v>
      </c>
      <c r="P235" s="278">
        <v>325840</v>
      </c>
      <c r="Q235" s="278">
        <v>57350</v>
      </c>
      <c r="R235" s="278">
        <v>242960</v>
      </c>
      <c r="S235" s="278">
        <v>497990</v>
      </c>
      <c r="T235" s="278">
        <v>262530</v>
      </c>
      <c r="U235" s="278">
        <v>135150</v>
      </c>
      <c r="V235" s="278">
        <v>191470</v>
      </c>
      <c r="W235" s="278">
        <v>41600</v>
      </c>
      <c r="X235" s="278">
        <v>0</v>
      </c>
      <c r="Y235" s="278">
        <v>0</v>
      </c>
      <c r="Z235" s="278">
        <v>105590</v>
      </c>
      <c r="AA235" s="278">
        <v>106070</v>
      </c>
      <c r="AB235" s="278">
        <v>104870</v>
      </c>
      <c r="AC235" s="278">
        <v>84760</v>
      </c>
      <c r="AD235" s="278">
        <v>588420</v>
      </c>
      <c r="AE235" s="278">
        <v>0</v>
      </c>
      <c r="AF235" s="278">
        <v>0</v>
      </c>
      <c r="AG235" s="278"/>
      <c r="AH235" s="278"/>
      <c r="AI235" s="278"/>
      <c r="AK235" s="161">
        <f>SUM(F235:AI235)</f>
        <v>3749820</v>
      </c>
      <c r="CX235" s="17"/>
      <c r="VGN235" s="300"/>
      <c r="VGO235" s="300"/>
      <c r="VGP235" s="300"/>
      <c r="VGQ235" s="300"/>
      <c r="VGR235" s="300"/>
      <c r="VGS235" s="300"/>
      <c r="VGT235" s="300"/>
      <c r="VGU235" s="300"/>
      <c r="VGV235" s="300"/>
      <c r="VGW235" s="300"/>
      <c r="VGX235" s="300"/>
      <c r="VGY235" s="300"/>
      <c r="VGZ235" s="300"/>
      <c r="VHA235" s="300"/>
      <c r="VHB235" s="300"/>
      <c r="VHC235" s="300"/>
      <c r="VHD235" s="300"/>
      <c r="VHE235" s="300"/>
      <c r="VHF235" s="300"/>
      <c r="VHG235" s="300"/>
      <c r="VHH235" s="300"/>
      <c r="VHI235" s="300"/>
      <c r="VHJ235" s="300"/>
      <c r="VHK235" s="300"/>
      <c r="VHL235" s="300"/>
      <c r="VHM235" s="300"/>
      <c r="VHN235" s="300"/>
      <c r="VHO235" s="300"/>
      <c r="VHP235" s="300"/>
      <c r="VHQ235" s="300"/>
      <c r="VHR235" s="300"/>
      <c r="VHS235" s="300"/>
      <c r="VHT235" s="300"/>
      <c r="VHU235" s="300"/>
      <c r="VHV235" s="300"/>
      <c r="VHW235" s="300"/>
      <c r="VHX235" s="300"/>
      <c r="VHY235" s="300"/>
      <c r="VHZ235" s="300"/>
      <c r="VIA235" s="300"/>
      <c r="VIB235" s="300"/>
      <c r="VIC235" s="300"/>
      <c r="VID235" s="300"/>
      <c r="VIE235" s="300"/>
      <c r="VIF235" s="300"/>
      <c r="VIG235" s="300"/>
      <c r="VIH235" s="300"/>
      <c r="VII235" s="300"/>
      <c r="VIJ235" s="300"/>
      <c r="VIK235" s="300"/>
      <c r="VIL235" s="300"/>
      <c r="VIM235" s="300"/>
      <c r="VIN235" s="300"/>
      <c r="VIO235" s="300"/>
      <c r="VIP235" s="300"/>
      <c r="VIQ235" s="300"/>
      <c r="VIR235" s="300"/>
      <c r="VIS235" s="300"/>
      <c r="VIT235" s="300"/>
      <c r="VIU235" s="300"/>
      <c r="VIV235" s="300"/>
      <c r="VIW235" s="300"/>
      <c r="VIX235" s="300"/>
      <c r="VIY235" s="300"/>
      <c r="VIZ235" s="300"/>
      <c r="VJA235" s="300"/>
      <c r="VJB235" s="300"/>
      <c r="VJC235" s="300"/>
      <c r="VJD235" s="300"/>
      <c r="VJE235" s="300"/>
      <c r="VJF235" s="300"/>
      <c r="VJG235" s="300"/>
      <c r="VJH235" s="300"/>
      <c r="VJI235" s="300"/>
      <c r="VJJ235" s="300"/>
      <c r="VJK235" s="300"/>
      <c r="VJL235" s="300"/>
      <c r="VJM235" s="300"/>
      <c r="VJN235" s="300"/>
      <c r="VJO235" s="300"/>
      <c r="VJP235" s="300"/>
      <c r="VJQ235" s="300"/>
      <c r="VJR235" s="300"/>
      <c r="VJS235" s="300"/>
      <c r="VJT235" s="300"/>
      <c r="VJU235" s="300"/>
      <c r="VJV235" s="300"/>
      <c r="VJW235" s="300"/>
      <c r="VJX235" s="300"/>
      <c r="VJY235" s="300"/>
      <c r="VJZ235" s="300"/>
      <c r="VKA235" s="300"/>
      <c r="VKB235" s="300"/>
      <c r="VKC235" s="300"/>
      <c r="VKD235" s="300"/>
      <c r="VKE235" s="300"/>
      <c r="VKF235" s="300"/>
      <c r="VKG235" s="300"/>
      <c r="VKH235" s="300"/>
      <c r="VKI235" s="300"/>
      <c r="VKJ235" s="300"/>
      <c r="VKK235" s="300"/>
      <c r="VKL235" s="300"/>
      <c r="VKM235" s="300"/>
      <c r="VKN235" s="300"/>
      <c r="VKO235" s="300"/>
      <c r="VKP235" s="300"/>
      <c r="VKQ235" s="300"/>
      <c r="VKR235" s="300"/>
      <c r="VKS235" s="300"/>
      <c r="VKT235" s="300"/>
      <c r="VKU235" s="300"/>
      <c r="VKV235" s="300"/>
      <c r="VKW235" s="300"/>
      <c r="VKX235" s="300"/>
      <c r="VKY235" s="300"/>
      <c r="VKZ235" s="300"/>
      <c r="VLA235" s="300"/>
      <c r="VLB235" s="300"/>
      <c r="VLC235" s="300"/>
      <c r="VLD235" s="300"/>
      <c r="VLE235" s="300"/>
      <c r="VLF235" s="300"/>
      <c r="VLG235" s="300"/>
      <c r="VLH235" s="300"/>
      <c r="VLI235" s="300"/>
      <c r="VLJ235" s="300"/>
      <c r="VLK235" s="300"/>
      <c r="VLL235" s="300"/>
      <c r="VLM235" s="300"/>
      <c r="VLN235" s="300"/>
      <c r="VLO235" s="300"/>
      <c r="VLP235" s="300"/>
      <c r="VLQ235" s="300"/>
      <c r="VLR235" s="300"/>
      <c r="VLS235" s="300"/>
      <c r="VLT235" s="300"/>
      <c r="VLU235" s="300"/>
      <c r="VLV235" s="300"/>
      <c r="VLW235" s="300"/>
      <c r="VLX235" s="300"/>
      <c r="VLY235" s="300"/>
      <c r="VLZ235" s="300"/>
      <c r="VMA235" s="300"/>
      <c r="VMB235" s="300"/>
      <c r="VMC235" s="300"/>
      <c r="VMD235" s="300"/>
      <c r="VME235" s="300"/>
      <c r="VMF235" s="300"/>
      <c r="VMG235" s="300"/>
      <c r="VMH235" s="300"/>
      <c r="VMI235" s="300"/>
      <c r="VMJ235" s="300"/>
      <c r="VMK235" s="300"/>
      <c r="VML235" s="300"/>
      <c r="VMM235" s="300"/>
      <c r="VMN235" s="300"/>
      <c r="VMO235" s="300"/>
      <c r="VMP235" s="300"/>
      <c r="VMQ235" s="300"/>
      <c r="VMR235" s="300"/>
      <c r="VMS235" s="300"/>
      <c r="VMT235" s="300"/>
      <c r="VMU235" s="300"/>
      <c r="VMV235" s="300"/>
      <c r="VMW235" s="300"/>
      <c r="VMX235" s="300"/>
      <c r="VMY235" s="300"/>
      <c r="VMZ235" s="300"/>
      <c r="VNA235" s="300"/>
      <c r="VNB235" s="300"/>
      <c r="VNC235" s="300"/>
      <c r="VND235" s="300"/>
      <c r="VNE235" s="300"/>
      <c r="VNF235" s="300"/>
      <c r="VNG235" s="300"/>
      <c r="VNH235" s="300"/>
      <c r="VNI235" s="300"/>
      <c r="VNJ235" s="300"/>
      <c r="VNK235" s="300"/>
      <c r="VNL235" s="300"/>
      <c r="VNM235" s="300"/>
      <c r="VNN235" s="300"/>
      <c r="VNO235" s="300"/>
      <c r="VNP235" s="300"/>
      <c r="VNQ235" s="300"/>
      <c r="VNR235" s="300"/>
      <c r="VNS235" s="300"/>
      <c r="VNT235" s="300"/>
      <c r="VNU235" s="300"/>
      <c r="VNV235" s="300"/>
      <c r="VNW235" s="300"/>
      <c r="VNX235" s="300"/>
      <c r="VNY235" s="300"/>
      <c r="VNZ235" s="300"/>
      <c r="VOA235" s="300"/>
      <c r="VOB235" s="300"/>
      <c r="VOC235" s="300"/>
      <c r="VOD235" s="300"/>
      <c r="VOE235" s="300"/>
      <c r="VOF235" s="300"/>
      <c r="VOG235" s="300"/>
      <c r="VOH235" s="300"/>
      <c r="VOI235" s="300"/>
      <c r="VOJ235" s="300"/>
      <c r="VOK235" s="300"/>
      <c r="VOL235" s="300"/>
      <c r="VOM235" s="300"/>
      <c r="VON235" s="300"/>
      <c r="VOO235" s="300"/>
      <c r="VOP235" s="300"/>
      <c r="VOQ235" s="300"/>
      <c r="VOR235" s="300"/>
      <c r="VOS235" s="300"/>
      <c r="VOT235" s="300"/>
      <c r="VOU235" s="300"/>
      <c r="VOV235" s="300"/>
      <c r="VOW235" s="300"/>
      <c r="VOX235" s="300"/>
      <c r="VOY235" s="300"/>
      <c r="VOZ235" s="300"/>
      <c r="VPA235" s="300"/>
      <c r="VPB235" s="300"/>
      <c r="VPC235" s="300"/>
      <c r="VPD235" s="300"/>
      <c r="VPE235" s="300"/>
      <c r="VPF235" s="300"/>
      <c r="VPG235" s="300"/>
      <c r="VPH235" s="300"/>
      <c r="VPI235" s="300"/>
      <c r="VPJ235" s="300"/>
      <c r="VPK235" s="300"/>
      <c r="VPL235" s="300"/>
      <c r="VPM235" s="300"/>
      <c r="VPN235" s="300"/>
      <c r="VPO235" s="300"/>
      <c r="VPP235" s="300"/>
      <c r="VPQ235" s="300"/>
      <c r="VPR235" s="300"/>
      <c r="VPS235" s="300"/>
      <c r="VPT235" s="300"/>
      <c r="VPU235" s="300"/>
      <c r="VPV235" s="300"/>
      <c r="VPW235" s="300"/>
      <c r="VPX235" s="300"/>
      <c r="VPY235" s="300"/>
      <c r="VPZ235" s="300"/>
      <c r="VQA235" s="300"/>
      <c r="VQB235" s="300"/>
      <c r="VQC235" s="300"/>
      <c r="VQD235" s="300"/>
      <c r="VQE235" s="300"/>
      <c r="VQF235" s="300"/>
      <c r="VQG235" s="300"/>
      <c r="VQH235" s="300"/>
      <c r="VQI235" s="300"/>
      <c r="VQJ235" s="300"/>
      <c r="VQK235" s="300"/>
      <c r="VQL235" s="300"/>
      <c r="VQM235" s="300"/>
      <c r="VQN235" s="300"/>
      <c r="VQO235" s="300"/>
      <c r="VQP235" s="300"/>
      <c r="VQQ235" s="300"/>
      <c r="VQR235" s="300"/>
      <c r="VQS235" s="300"/>
      <c r="VQT235" s="300"/>
      <c r="VQU235" s="300"/>
      <c r="VQV235" s="300"/>
      <c r="VQW235" s="300"/>
      <c r="VQX235" s="300"/>
      <c r="VQY235" s="300"/>
      <c r="VQZ235" s="300"/>
      <c r="VRA235" s="300"/>
      <c r="VRB235" s="300"/>
      <c r="VRC235" s="300"/>
      <c r="VRD235" s="300"/>
      <c r="VRE235" s="300"/>
      <c r="VRF235" s="300"/>
      <c r="VRG235" s="300"/>
      <c r="VRH235" s="300"/>
      <c r="VRI235" s="300"/>
      <c r="VRJ235" s="300"/>
      <c r="VRK235" s="300"/>
      <c r="VRL235" s="300"/>
      <c r="VRM235" s="300"/>
      <c r="VRN235" s="300"/>
      <c r="VRO235" s="300"/>
      <c r="VRP235" s="300"/>
      <c r="VRQ235" s="300"/>
      <c r="VRR235" s="300"/>
      <c r="VRS235" s="300"/>
      <c r="VRT235" s="300"/>
      <c r="VRU235" s="300"/>
      <c r="VRV235" s="300"/>
      <c r="VRW235" s="300"/>
      <c r="VRX235" s="300"/>
      <c r="VRY235" s="300"/>
      <c r="VRZ235" s="300"/>
      <c r="VSA235" s="300"/>
      <c r="VSB235" s="300"/>
      <c r="VSC235" s="300"/>
      <c r="VSD235" s="300"/>
      <c r="VSE235" s="300"/>
      <c r="VSF235" s="300"/>
      <c r="VSG235" s="300"/>
      <c r="VSH235" s="300"/>
      <c r="VSI235" s="300"/>
      <c r="VSJ235" s="300"/>
      <c r="VSK235" s="300"/>
      <c r="VSL235" s="300"/>
      <c r="VSM235" s="300"/>
      <c r="VSN235" s="300"/>
      <c r="VSO235" s="300"/>
      <c r="VSP235" s="300"/>
      <c r="VSQ235" s="300"/>
      <c r="VSR235" s="300"/>
      <c r="VSS235" s="300"/>
      <c r="VST235" s="300"/>
      <c r="VSU235" s="300"/>
      <c r="VSV235" s="300"/>
      <c r="VSW235" s="300"/>
      <c r="VSX235" s="300"/>
      <c r="VSY235" s="300"/>
      <c r="VSZ235" s="300"/>
      <c r="VTA235" s="300"/>
      <c r="VTB235" s="300"/>
      <c r="VTC235" s="300"/>
      <c r="VTD235" s="300"/>
      <c r="VTE235" s="300"/>
      <c r="VTF235" s="300"/>
      <c r="VTG235" s="300"/>
      <c r="VTH235" s="300"/>
      <c r="VTI235" s="300"/>
      <c r="VTJ235" s="300"/>
      <c r="VTK235" s="300"/>
      <c r="VTL235" s="300"/>
      <c r="VTM235" s="300"/>
      <c r="VTN235" s="300"/>
      <c r="VTO235" s="300"/>
      <c r="VTP235" s="300"/>
      <c r="VTQ235" s="300"/>
      <c r="VTR235" s="300"/>
      <c r="VTS235" s="300"/>
      <c r="VTT235" s="300"/>
      <c r="VTU235" s="300"/>
      <c r="VTV235" s="300"/>
      <c r="VTW235" s="300"/>
      <c r="VTX235" s="300"/>
      <c r="VTY235" s="300"/>
      <c r="VTZ235" s="300"/>
      <c r="VUA235" s="300"/>
      <c r="VUB235" s="300"/>
      <c r="VUC235" s="300"/>
      <c r="VUD235" s="300"/>
      <c r="VUE235" s="300"/>
      <c r="VUF235" s="300"/>
      <c r="VUG235" s="300"/>
      <c r="VUH235" s="300"/>
      <c r="VUI235" s="300"/>
      <c r="VUJ235" s="300"/>
      <c r="VUK235" s="300"/>
      <c r="VUL235" s="300"/>
      <c r="VUM235" s="300"/>
      <c r="VUN235" s="300"/>
      <c r="VUO235" s="300"/>
      <c r="VUP235" s="300"/>
      <c r="VUQ235" s="300"/>
      <c r="VUR235" s="300"/>
      <c r="VUS235" s="300"/>
      <c r="VUT235" s="300"/>
      <c r="VUU235" s="300"/>
      <c r="VUV235" s="300"/>
      <c r="VUW235" s="300"/>
      <c r="VUX235" s="300"/>
      <c r="VUY235" s="300"/>
      <c r="VUZ235" s="300"/>
      <c r="VVA235" s="300"/>
      <c r="VVB235" s="300"/>
      <c r="VVC235" s="300"/>
      <c r="VVD235" s="300"/>
      <c r="VVE235" s="300"/>
      <c r="VVF235" s="300"/>
      <c r="VVG235" s="300"/>
      <c r="VVH235" s="300"/>
      <c r="VVI235" s="300"/>
      <c r="VVJ235" s="300"/>
      <c r="VVK235" s="300"/>
      <c r="VVL235" s="300"/>
      <c r="VVM235" s="300"/>
      <c r="VVN235" s="300"/>
      <c r="VVO235" s="300"/>
      <c r="VVP235" s="300"/>
    </row>
    <row r="236" spans="2:102 15068:15460" s="199" customFormat="1" ht="15" hidden="1" customHeight="1" x14ac:dyDescent="0.3">
      <c r="B236" s="242"/>
      <c r="C236" s="279" t="s">
        <v>1</v>
      </c>
      <c r="D236" s="280"/>
      <c r="E236" s="281" t="s">
        <v>16</v>
      </c>
      <c r="F236" s="282"/>
      <c r="G236" s="282"/>
      <c r="H236" s="282"/>
      <c r="I236" s="282"/>
      <c r="J236" s="282"/>
      <c r="K236" s="282"/>
      <c r="L236" s="282">
        <f t="shared" ref="L236:AF236" si="94">SUM(L231:L235)</f>
        <v>834440</v>
      </c>
      <c r="M236" s="282">
        <f t="shared" si="94"/>
        <v>712840</v>
      </c>
      <c r="N236" s="282">
        <f t="shared" si="94"/>
        <v>504340</v>
      </c>
      <c r="O236" s="282">
        <f t="shared" si="94"/>
        <v>595200</v>
      </c>
      <c r="P236" s="282">
        <f t="shared" si="94"/>
        <v>582610</v>
      </c>
      <c r="Q236" s="282">
        <f t="shared" si="94"/>
        <v>254250</v>
      </c>
      <c r="R236" s="282">
        <f t="shared" si="94"/>
        <v>242960</v>
      </c>
      <c r="S236" s="282">
        <f t="shared" si="94"/>
        <v>741400</v>
      </c>
      <c r="T236" s="282">
        <f t="shared" si="94"/>
        <v>291620</v>
      </c>
      <c r="U236" s="282">
        <f t="shared" si="94"/>
        <v>288090</v>
      </c>
      <c r="V236" s="282">
        <f t="shared" si="94"/>
        <v>313060</v>
      </c>
      <c r="W236" s="282">
        <f t="shared" si="94"/>
        <v>873700</v>
      </c>
      <c r="X236" s="282">
        <f t="shared" si="94"/>
        <v>228760</v>
      </c>
      <c r="Y236" s="282">
        <f t="shared" si="94"/>
        <v>128390</v>
      </c>
      <c r="Z236" s="282">
        <f t="shared" si="94"/>
        <v>744710</v>
      </c>
      <c r="AA236" s="282">
        <f t="shared" si="94"/>
        <v>469330</v>
      </c>
      <c r="AB236" s="282">
        <f t="shared" si="94"/>
        <v>462410</v>
      </c>
      <c r="AC236" s="282">
        <f t="shared" si="94"/>
        <v>503350</v>
      </c>
      <c r="AD236" s="282">
        <f t="shared" si="94"/>
        <v>643210</v>
      </c>
      <c r="AE236" s="282">
        <f t="shared" si="94"/>
        <v>44460</v>
      </c>
      <c r="AF236" s="282">
        <f t="shared" si="94"/>
        <v>28000</v>
      </c>
      <c r="AG236" s="282"/>
      <c r="AH236" s="282"/>
      <c r="AI236" s="282"/>
      <c r="AK236" s="283">
        <f>SUM(AK231:AK235)</f>
        <v>9487130</v>
      </c>
      <c r="CX236" s="323"/>
    </row>
    <row r="237" spans="2:102 15068:15460" s="3" customFormat="1" ht="15" hidden="1" customHeight="1" x14ac:dyDescent="0.3">
      <c r="B237" s="70">
        <v>13</v>
      </c>
      <c r="C237" s="159" t="s">
        <v>111</v>
      </c>
      <c r="D237" s="284"/>
      <c r="E237" s="285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K237" s="276" t="s">
        <v>112</v>
      </c>
      <c r="CX237" s="17"/>
      <c r="VGN237" s="300"/>
      <c r="VGO237" s="300"/>
      <c r="VGP237" s="300"/>
      <c r="VGQ237" s="300"/>
      <c r="VGR237" s="300"/>
      <c r="VGS237" s="300"/>
      <c r="VGT237" s="300"/>
      <c r="VGU237" s="300"/>
      <c r="VGV237" s="300"/>
      <c r="VGW237" s="300"/>
      <c r="VGX237" s="300"/>
      <c r="VGY237" s="300"/>
      <c r="VGZ237" s="300"/>
      <c r="VHA237" s="300"/>
      <c r="VHB237" s="300"/>
      <c r="VHC237" s="300"/>
      <c r="VHD237" s="300"/>
      <c r="VHE237" s="300"/>
      <c r="VHF237" s="300"/>
      <c r="VHG237" s="300"/>
      <c r="VHH237" s="300"/>
      <c r="VHI237" s="300"/>
      <c r="VHJ237" s="300"/>
      <c r="VHK237" s="300"/>
      <c r="VHL237" s="300"/>
      <c r="VHM237" s="300"/>
      <c r="VHN237" s="300"/>
      <c r="VHO237" s="300"/>
      <c r="VHP237" s="300"/>
      <c r="VHQ237" s="300"/>
      <c r="VHR237" s="300"/>
      <c r="VHS237" s="300"/>
      <c r="VHT237" s="300"/>
      <c r="VHU237" s="300"/>
      <c r="VHV237" s="300"/>
      <c r="VHW237" s="300"/>
      <c r="VHX237" s="300"/>
      <c r="VHY237" s="300"/>
      <c r="VHZ237" s="300"/>
      <c r="VIA237" s="300"/>
      <c r="VIB237" s="300"/>
      <c r="VIC237" s="300"/>
      <c r="VID237" s="300"/>
      <c r="VIE237" s="300"/>
      <c r="VIF237" s="300"/>
      <c r="VIG237" s="300"/>
      <c r="VIH237" s="300"/>
      <c r="VII237" s="300"/>
      <c r="VIJ237" s="300"/>
      <c r="VIK237" s="300"/>
      <c r="VIL237" s="300"/>
      <c r="VIM237" s="300"/>
      <c r="VIN237" s="300"/>
      <c r="VIO237" s="300"/>
      <c r="VIP237" s="300"/>
      <c r="VIQ237" s="300"/>
      <c r="VIR237" s="300"/>
      <c r="VIS237" s="300"/>
      <c r="VIT237" s="300"/>
      <c r="VIU237" s="300"/>
      <c r="VIV237" s="300"/>
      <c r="VIW237" s="300"/>
      <c r="VIX237" s="300"/>
      <c r="VIY237" s="300"/>
      <c r="VIZ237" s="300"/>
      <c r="VJA237" s="300"/>
      <c r="VJB237" s="300"/>
      <c r="VJC237" s="300"/>
      <c r="VJD237" s="300"/>
      <c r="VJE237" s="300"/>
      <c r="VJF237" s="300"/>
      <c r="VJG237" s="300"/>
      <c r="VJH237" s="300"/>
      <c r="VJI237" s="300"/>
      <c r="VJJ237" s="300"/>
      <c r="VJK237" s="300"/>
      <c r="VJL237" s="300"/>
      <c r="VJM237" s="300"/>
      <c r="VJN237" s="300"/>
      <c r="VJO237" s="300"/>
      <c r="VJP237" s="300"/>
      <c r="VJQ237" s="300"/>
      <c r="VJR237" s="300"/>
      <c r="VJS237" s="300"/>
      <c r="VJT237" s="300"/>
      <c r="VJU237" s="300"/>
      <c r="VJV237" s="300"/>
      <c r="VJW237" s="300"/>
      <c r="VJX237" s="300"/>
      <c r="VJY237" s="300"/>
      <c r="VJZ237" s="300"/>
      <c r="VKA237" s="300"/>
      <c r="VKB237" s="300"/>
      <c r="VKC237" s="300"/>
      <c r="VKD237" s="300"/>
      <c r="VKE237" s="300"/>
      <c r="VKF237" s="300"/>
      <c r="VKG237" s="300"/>
      <c r="VKH237" s="300"/>
      <c r="VKI237" s="300"/>
      <c r="VKJ237" s="300"/>
      <c r="VKK237" s="300"/>
      <c r="VKL237" s="300"/>
      <c r="VKM237" s="300"/>
      <c r="VKN237" s="300"/>
      <c r="VKO237" s="300"/>
      <c r="VKP237" s="300"/>
      <c r="VKQ237" s="300"/>
      <c r="VKR237" s="300"/>
      <c r="VKS237" s="300"/>
      <c r="VKT237" s="300"/>
      <c r="VKU237" s="300"/>
      <c r="VKV237" s="300"/>
      <c r="VKW237" s="300"/>
      <c r="VKX237" s="300"/>
      <c r="VKY237" s="300"/>
      <c r="VKZ237" s="300"/>
      <c r="VLA237" s="300"/>
      <c r="VLB237" s="300"/>
      <c r="VLC237" s="300"/>
      <c r="VLD237" s="300"/>
      <c r="VLE237" s="300"/>
      <c r="VLF237" s="300"/>
      <c r="VLG237" s="300"/>
      <c r="VLH237" s="300"/>
      <c r="VLI237" s="300"/>
      <c r="VLJ237" s="300"/>
      <c r="VLK237" s="300"/>
      <c r="VLL237" s="300"/>
      <c r="VLM237" s="300"/>
      <c r="VLN237" s="300"/>
      <c r="VLO237" s="300"/>
      <c r="VLP237" s="300"/>
      <c r="VLQ237" s="300"/>
      <c r="VLR237" s="300"/>
      <c r="VLS237" s="300"/>
      <c r="VLT237" s="300"/>
      <c r="VLU237" s="300"/>
      <c r="VLV237" s="300"/>
      <c r="VLW237" s="300"/>
      <c r="VLX237" s="300"/>
      <c r="VLY237" s="300"/>
      <c r="VLZ237" s="300"/>
      <c r="VMA237" s="300"/>
      <c r="VMB237" s="300"/>
      <c r="VMC237" s="300"/>
      <c r="VMD237" s="300"/>
      <c r="VME237" s="300"/>
      <c r="VMF237" s="300"/>
      <c r="VMG237" s="300"/>
      <c r="VMH237" s="300"/>
      <c r="VMI237" s="300"/>
      <c r="VMJ237" s="300"/>
      <c r="VMK237" s="300"/>
      <c r="VML237" s="300"/>
      <c r="VMM237" s="300"/>
      <c r="VMN237" s="300"/>
      <c r="VMO237" s="300"/>
      <c r="VMP237" s="300"/>
      <c r="VMQ237" s="300"/>
      <c r="VMR237" s="300"/>
      <c r="VMS237" s="300"/>
      <c r="VMT237" s="300"/>
      <c r="VMU237" s="300"/>
      <c r="VMV237" s="300"/>
      <c r="VMW237" s="300"/>
      <c r="VMX237" s="300"/>
      <c r="VMY237" s="300"/>
      <c r="VMZ237" s="300"/>
      <c r="VNA237" s="300"/>
      <c r="VNB237" s="300"/>
      <c r="VNC237" s="300"/>
      <c r="VND237" s="300"/>
      <c r="VNE237" s="300"/>
      <c r="VNF237" s="300"/>
      <c r="VNG237" s="300"/>
      <c r="VNH237" s="300"/>
      <c r="VNI237" s="300"/>
      <c r="VNJ237" s="300"/>
      <c r="VNK237" s="300"/>
      <c r="VNL237" s="300"/>
      <c r="VNM237" s="300"/>
      <c r="VNN237" s="300"/>
      <c r="VNO237" s="300"/>
      <c r="VNP237" s="300"/>
      <c r="VNQ237" s="300"/>
      <c r="VNR237" s="300"/>
      <c r="VNS237" s="300"/>
      <c r="VNT237" s="300"/>
      <c r="VNU237" s="300"/>
      <c r="VNV237" s="300"/>
      <c r="VNW237" s="300"/>
      <c r="VNX237" s="300"/>
      <c r="VNY237" s="300"/>
      <c r="VNZ237" s="300"/>
      <c r="VOA237" s="300"/>
      <c r="VOB237" s="300"/>
      <c r="VOC237" s="300"/>
      <c r="VOD237" s="300"/>
      <c r="VOE237" s="300"/>
      <c r="VOF237" s="300"/>
      <c r="VOG237" s="300"/>
      <c r="VOH237" s="300"/>
      <c r="VOI237" s="300"/>
      <c r="VOJ237" s="300"/>
      <c r="VOK237" s="300"/>
      <c r="VOL237" s="300"/>
      <c r="VOM237" s="300"/>
      <c r="VON237" s="300"/>
      <c r="VOO237" s="300"/>
      <c r="VOP237" s="300"/>
      <c r="VOQ237" s="300"/>
      <c r="VOR237" s="300"/>
      <c r="VOS237" s="300"/>
      <c r="VOT237" s="300"/>
      <c r="VOU237" s="300"/>
      <c r="VOV237" s="300"/>
      <c r="VOW237" s="300"/>
      <c r="VOX237" s="300"/>
      <c r="VOY237" s="300"/>
      <c r="VOZ237" s="300"/>
      <c r="VPA237" s="300"/>
      <c r="VPB237" s="300"/>
      <c r="VPC237" s="300"/>
      <c r="VPD237" s="300"/>
      <c r="VPE237" s="300"/>
      <c r="VPF237" s="300"/>
      <c r="VPG237" s="300"/>
      <c r="VPH237" s="300"/>
      <c r="VPI237" s="300"/>
      <c r="VPJ237" s="300"/>
      <c r="VPK237" s="300"/>
      <c r="VPL237" s="300"/>
      <c r="VPM237" s="300"/>
      <c r="VPN237" s="300"/>
      <c r="VPO237" s="300"/>
      <c r="VPP237" s="300"/>
      <c r="VPQ237" s="300"/>
      <c r="VPR237" s="300"/>
      <c r="VPS237" s="300"/>
      <c r="VPT237" s="300"/>
      <c r="VPU237" s="300"/>
      <c r="VPV237" s="300"/>
      <c r="VPW237" s="300"/>
      <c r="VPX237" s="300"/>
      <c r="VPY237" s="300"/>
      <c r="VPZ237" s="300"/>
      <c r="VQA237" s="300"/>
      <c r="VQB237" s="300"/>
      <c r="VQC237" s="300"/>
      <c r="VQD237" s="300"/>
      <c r="VQE237" s="300"/>
      <c r="VQF237" s="300"/>
      <c r="VQG237" s="300"/>
      <c r="VQH237" s="300"/>
      <c r="VQI237" s="300"/>
      <c r="VQJ237" s="300"/>
      <c r="VQK237" s="300"/>
      <c r="VQL237" s="300"/>
      <c r="VQM237" s="300"/>
      <c r="VQN237" s="300"/>
      <c r="VQO237" s="300"/>
      <c r="VQP237" s="300"/>
      <c r="VQQ237" s="300"/>
      <c r="VQR237" s="300"/>
      <c r="VQS237" s="300"/>
      <c r="VQT237" s="300"/>
      <c r="VQU237" s="300"/>
      <c r="VQV237" s="300"/>
      <c r="VQW237" s="300"/>
      <c r="VQX237" s="300"/>
      <c r="VQY237" s="300"/>
      <c r="VQZ237" s="300"/>
      <c r="VRA237" s="300"/>
      <c r="VRB237" s="300"/>
      <c r="VRC237" s="300"/>
      <c r="VRD237" s="300"/>
      <c r="VRE237" s="300"/>
      <c r="VRF237" s="300"/>
      <c r="VRG237" s="300"/>
      <c r="VRH237" s="300"/>
      <c r="VRI237" s="300"/>
      <c r="VRJ237" s="300"/>
      <c r="VRK237" s="300"/>
      <c r="VRL237" s="300"/>
      <c r="VRM237" s="300"/>
      <c r="VRN237" s="300"/>
      <c r="VRO237" s="300"/>
      <c r="VRP237" s="300"/>
      <c r="VRQ237" s="300"/>
      <c r="VRR237" s="300"/>
      <c r="VRS237" s="300"/>
      <c r="VRT237" s="300"/>
      <c r="VRU237" s="300"/>
      <c r="VRV237" s="300"/>
      <c r="VRW237" s="300"/>
      <c r="VRX237" s="300"/>
      <c r="VRY237" s="300"/>
      <c r="VRZ237" s="300"/>
      <c r="VSA237" s="300"/>
      <c r="VSB237" s="300"/>
      <c r="VSC237" s="300"/>
      <c r="VSD237" s="300"/>
      <c r="VSE237" s="300"/>
      <c r="VSF237" s="300"/>
      <c r="VSG237" s="300"/>
      <c r="VSH237" s="300"/>
      <c r="VSI237" s="300"/>
      <c r="VSJ237" s="300"/>
      <c r="VSK237" s="300"/>
      <c r="VSL237" s="300"/>
      <c r="VSM237" s="300"/>
      <c r="VSN237" s="300"/>
      <c r="VSO237" s="300"/>
      <c r="VSP237" s="300"/>
      <c r="VSQ237" s="300"/>
      <c r="VSR237" s="300"/>
      <c r="VSS237" s="300"/>
      <c r="VST237" s="300"/>
      <c r="VSU237" s="300"/>
      <c r="VSV237" s="300"/>
      <c r="VSW237" s="300"/>
      <c r="VSX237" s="300"/>
      <c r="VSY237" s="300"/>
      <c r="VSZ237" s="300"/>
      <c r="VTA237" s="300"/>
      <c r="VTB237" s="300"/>
      <c r="VTC237" s="300"/>
      <c r="VTD237" s="300"/>
      <c r="VTE237" s="300"/>
      <c r="VTF237" s="300"/>
      <c r="VTG237" s="300"/>
      <c r="VTH237" s="300"/>
      <c r="VTI237" s="300"/>
      <c r="VTJ237" s="300"/>
      <c r="VTK237" s="300"/>
      <c r="VTL237" s="300"/>
      <c r="VTM237" s="300"/>
      <c r="VTN237" s="300"/>
      <c r="VTO237" s="300"/>
      <c r="VTP237" s="300"/>
      <c r="VTQ237" s="300"/>
      <c r="VTR237" s="300"/>
      <c r="VTS237" s="300"/>
      <c r="VTT237" s="300"/>
      <c r="VTU237" s="300"/>
      <c r="VTV237" s="300"/>
      <c r="VTW237" s="300"/>
      <c r="VTX237" s="300"/>
      <c r="VTY237" s="300"/>
      <c r="VTZ237" s="300"/>
      <c r="VUA237" s="300"/>
      <c r="VUB237" s="300"/>
      <c r="VUC237" s="300"/>
      <c r="VUD237" s="300"/>
      <c r="VUE237" s="300"/>
      <c r="VUF237" s="300"/>
      <c r="VUG237" s="300"/>
      <c r="VUH237" s="300"/>
      <c r="VUI237" s="300"/>
      <c r="VUJ237" s="300"/>
      <c r="VUK237" s="300"/>
      <c r="VUL237" s="300"/>
      <c r="VUM237" s="300"/>
      <c r="VUN237" s="300"/>
      <c r="VUO237" s="300"/>
      <c r="VUP237" s="300"/>
      <c r="VUQ237" s="300"/>
      <c r="VUR237" s="300"/>
      <c r="VUS237" s="300"/>
      <c r="VUT237" s="300"/>
      <c r="VUU237" s="300"/>
      <c r="VUV237" s="300"/>
      <c r="VUW237" s="300"/>
      <c r="VUX237" s="300"/>
      <c r="VUY237" s="300"/>
      <c r="VUZ237" s="300"/>
      <c r="VVA237" s="300"/>
      <c r="VVB237" s="300"/>
      <c r="VVC237" s="300"/>
      <c r="VVD237" s="300"/>
      <c r="VVE237" s="300"/>
      <c r="VVF237" s="300"/>
      <c r="VVG237" s="300"/>
      <c r="VVH237" s="300"/>
      <c r="VVI237" s="300"/>
      <c r="VVJ237" s="300"/>
      <c r="VVK237" s="300"/>
      <c r="VVL237" s="300"/>
      <c r="VVM237" s="300"/>
      <c r="VVN237" s="300"/>
      <c r="VVO237" s="300"/>
      <c r="VVP237" s="300"/>
    </row>
    <row r="238" spans="2:102 15068:15460" s="3" customFormat="1" ht="15" hidden="1" customHeight="1" x14ac:dyDescent="0.3">
      <c r="B238" s="122"/>
      <c r="C238" s="277" t="s">
        <v>110</v>
      </c>
      <c r="D238" s="118"/>
      <c r="E238" s="119" t="s">
        <v>16</v>
      </c>
      <c r="F238" s="278"/>
      <c r="G238" s="278"/>
      <c r="H238" s="278"/>
      <c r="I238" s="278"/>
      <c r="J238" s="278"/>
      <c r="K238" s="278"/>
      <c r="L238" s="278">
        <v>1345050</v>
      </c>
      <c r="M238" s="278">
        <v>1279250</v>
      </c>
      <c r="N238" s="278">
        <v>1540660</v>
      </c>
      <c r="O238" s="278">
        <v>1221250</v>
      </c>
      <c r="P238" s="278">
        <v>1804530</v>
      </c>
      <c r="Q238" s="278">
        <v>1816620</v>
      </c>
      <c r="R238" s="278">
        <v>1766630</v>
      </c>
      <c r="S238" s="278">
        <v>52950</v>
      </c>
      <c r="T238" s="278">
        <v>0</v>
      </c>
      <c r="U238" s="278">
        <v>0</v>
      </c>
      <c r="V238" s="278">
        <v>0</v>
      </c>
      <c r="W238" s="278">
        <v>0</v>
      </c>
      <c r="X238" s="278">
        <v>0</v>
      </c>
      <c r="Y238" s="278">
        <v>0</v>
      </c>
      <c r="Z238" s="278">
        <v>0</v>
      </c>
      <c r="AA238" s="278">
        <v>0</v>
      </c>
      <c r="AB238" s="278">
        <v>0</v>
      </c>
      <c r="AC238" s="278">
        <v>0</v>
      </c>
      <c r="AD238" s="278">
        <v>0</v>
      </c>
      <c r="AE238" s="278">
        <v>0</v>
      </c>
      <c r="AF238" s="278">
        <v>0</v>
      </c>
      <c r="AG238" s="278"/>
      <c r="AH238" s="278"/>
      <c r="AI238" s="278"/>
      <c r="AK238" s="161">
        <f>SUM(F238:AI238)</f>
        <v>10826940</v>
      </c>
      <c r="CX238" s="17"/>
      <c r="VGN238" s="300"/>
      <c r="VGO238" s="300"/>
      <c r="VGP238" s="300"/>
      <c r="VGQ238" s="300"/>
      <c r="VGR238" s="300"/>
      <c r="VGS238" s="300"/>
      <c r="VGT238" s="300"/>
      <c r="VGU238" s="300"/>
      <c r="VGV238" s="300"/>
      <c r="VGW238" s="300"/>
      <c r="VGX238" s="300"/>
      <c r="VGY238" s="300"/>
      <c r="VGZ238" s="300"/>
      <c r="VHA238" s="300"/>
      <c r="VHB238" s="300"/>
      <c r="VHC238" s="300"/>
      <c r="VHD238" s="300"/>
      <c r="VHE238" s="300"/>
      <c r="VHF238" s="300"/>
      <c r="VHG238" s="300"/>
      <c r="VHH238" s="300"/>
      <c r="VHI238" s="300"/>
      <c r="VHJ238" s="300"/>
      <c r="VHK238" s="300"/>
      <c r="VHL238" s="300"/>
      <c r="VHM238" s="300"/>
      <c r="VHN238" s="300"/>
      <c r="VHO238" s="300"/>
      <c r="VHP238" s="300"/>
      <c r="VHQ238" s="300"/>
      <c r="VHR238" s="300"/>
      <c r="VHS238" s="300"/>
      <c r="VHT238" s="300"/>
      <c r="VHU238" s="300"/>
      <c r="VHV238" s="300"/>
      <c r="VHW238" s="300"/>
      <c r="VHX238" s="300"/>
      <c r="VHY238" s="300"/>
      <c r="VHZ238" s="300"/>
      <c r="VIA238" s="300"/>
      <c r="VIB238" s="300"/>
      <c r="VIC238" s="300"/>
      <c r="VID238" s="300"/>
      <c r="VIE238" s="300"/>
      <c r="VIF238" s="300"/>
      <c r="VIG238" s="300"/>
      <c r="VIH238" s="300"/>
      <c r="VII238" s="300"/>
      <c r="VIJ238" s="300"/>
      <c r="VIK238" s="300"/>
      <c r="VIL238" s="300"/>
      <c r="VIM238" s="300"/>
      <c r="VIN238" s="300"/>
      <c r="VIO238" s="300"/>
      <c r="VIP238" s="300"/>
      <c r="VIQ238" s="300"/>
      <c r="VIR238" s="300"/>
      <c r="VIS238" s="300"/>
      <c r="VIT238" s="300"/>
      <c r="VIU238" s="300"/>
      <c r="VIV238" s="300"/>
      <c r="VIW238" s="300"/>
      <c r="VIX238" s="300"/>
      <c r="VIY238" s="300"/>
      <c r="VIZ238" s="300"/>
      <c r="VJA238" s="300"/>
      <c r="VJB238" s="300"/>
      <c r="VJC238" s="300"/>
      <c r="VJD238" s="300"/>
      <c r="VJE238" s="300"/>
      <c r="VJF238" s="300"/>
      <c r="VJG238" s="300"/>
      <c r="VJH238" s="300"/>
      <c r="VJI238" s="300"/>
      <c r="VJJ238" s="300"/>
      <c r="VJK238" s="300"/>
      <c r="VJL238" s="300"/>
      <c r="VJM238" s="300"/>
      <c r="VJN238" s="300"/>
      <c r="VJO238" s="300"/>
      <c r="VJP238" s="300"/>
      <c r="VJQ238" s="300"/>
      <c r="VJR238" s="300"/>
      <c r="VJS238" s="300"/>
      <c r="VJT238" s="300"/>
      <c r="VJU238" s="300"/>
      <c r="VJV238" s="300"/>
      <c r="VJW238" s="300"/>
      <c r="VJX238" s="300"/>
      <c r="VJY238" s="300"/>
      <c r="VJZ238" s="300"/>
      <c r="VKA238" s="300"/>
      <c r="VKB238" s="300"/>
      <c r="VKC238" s="300"/>
      <c r="VKD238" s="300"/>
      <c r="VKE238" s="300"/>
      <c r="VKF238" s="300"/>
      <c r="VKG238" s="300"/>
      <c r="VKH238" s="300"/>
      <c r="VKI238" s="300"/>
      <c r="VKJ238" s="300"/>
      <c r="VKK238" s="300"/>
      <c r="VKL238" s="300"/>
      <c r="VKM238" s="300"/>
      <c r="VKN238" s="300"/>
      <c r="VKO238" s="300"/>
      <c r="VKP238" s="300"/>
      <c r="VKQ238" s="300"/>
      <c r="VKR238" s="300"/>
      <c r="VKS238" s="300"/>
      <c r="VKT238" s="300"/>
      <c r="VKU238" s="300"/>
      <c r="VKV238" s="300"/>
      <c r="VKW238" s="300"/>
      <c r="VKX238" s="300"/>
      <c r="VKY238" s="300"/>
      <c r="VKZ238" s="300"/>
      <c r="VLA238" s="300"/>
      <c r="VLB238" s="300"/>
      <c r="VLC238" s="300"/>
      <c r="VLD238" s="300"/>
      <c r="VLE238" s="300"/>
      <c r="VLF238" s="300"/>
      <c r="VLG238" s="300"/>
      <c r="VLH238" s="300"/>
      <c r="VLI238" s="300"/>
      <c r="VLJ238" s="300"/>
      <c r="VLK238" s="300"/>
      <c r="VLL238" s="300"/>
      <c r="VLM238" s="300"/>
      <c r="VLN238" s="300"/>
      <c r="VLO238" s="300"/>
      <c r="VLP238" s="300"/>
      <c r="VLQ238" s="300"/>
      <c r="VLR238" s="300"/>
      <c r="VLS238" s="300"/>
      <c r="VLT238" s="300"/>
      <c r="VLU238" s="300"/>
      <c r="VLV238" s="300"/>
      <c r="VLW238" s="300"/>
      <c r="VLX238" s="300"/>
      <c r="VLY238" s="300"/>
      <c r="VLZ238" s="300"/>
      <c r="VMA238" s="300"/>
      <c r="VMB238" s="300"/>
      <c r="VMC238" s="300"/>
      <c r="VMD238" s="300"/>
      <c r="VME238" s="300"/>
      <c r="VMF238" s="300"/>
      <c r="VMG238" s="300"/>
      <c r="VMH238" s="300"/>
      <c r="VMI238" s="300"/>
      <c r="VMJ238" s="300"/>
      <c r="VMK238" s="300"/>
      <c r="VML238" s="300"/>
      <c r="VMM238" s="300"/>
      <c r="VMN238" s="300"/>
      <c r="VMO238" s="300"/>
      <c r="VMP238" s="300"/>
      <c r="VMQ238" s="300"/>
      <c r="VMR238" s="300"/>
      <c r="VMS238" s="300"/>
      <c r="VMT238" s="300"/>
      <c r="VMU238" s="300"/>
      <c r="VMV238" s="300"/>
      <c r="VMW238" s="300"/>
      <c r="VMX238" s="300"/>
      <c r="VMY238" s="300"/>
      <c r="VMZ238" s="300"/>
      <c r="VNA238" s="300"/>
      <c r="VNB238" s="300"/>
      <c r="VNC238" s="300"/>
      <c r="VND238" s="300"/>
      <c r="VNE238" s="300"/>
      <c r="VNF238" s="300"/>
      <c r="VNG238" s="300"/>
      <c r="VNH238" s="300"/>
      <c r="VNI238" s="300"/>
      <c r="VNJ238" s="300"/>
      <c r="VNK238" s="300"/>
      <c r="VNL238" s="300"/>
      <c r="VNM238" s="300"/>
      <c r="VNN238" s="300"/>
      <c r="VNO238" s="300"/>
      <c r="VNP238" s="300"/>
      <c r="VNQ238" s="300"/>
      <c r="VNR238" s="300"/>
      <c r="VNS238" s="300"/>
      <c r="VNT238" s="300"/>
      <c r="VNU238" s="300"/>
      <c r="VNV238" s="300"/>
      <c r="VNW238" s="300"/>
      <c r="VNX238" s="300"/>
      <c r="VNY238" s="300"/>
      <c r="VNZ238" s="300"/>
      <c r="VOA238" s="300"/>
      <c r="VOB238" s="300"/>
      <c r="VOC238" s="300"/>
      <c r="VOD238" s="300"/>
      <c r="VOE238" s="300"/>
      <c r="VOF238" s="300"/>
      <c r="VOG238" s="300"/>
      <c r="VOH238" s="300"/>
      <c r="VOI238" s="300"/>
      <c r="VOJ238" s="300"/>
      <c r="VOK238" s="300"/>
      <c r="VOL238" s="300"/>
      <c r="VOM238" s="300"/>
      <c r="VON238" s="300"/>
      <c r="VOO238" s="300"/>
      <c r="VOP238" s="300"/>
      <c r="VOQ238" s="300"/>
      <c r="VOR238" s="300"/>
      <c r="VOS238" s="300"/>
      <c r="VOT238" s="300"/>
      <c r="VOU238" s="300"/>
      <c r="VOV238" s="300"/>
      <c r="VOW238" s="300"/>
      <c r="VOX238" s="300"/>
      <c r="VOY238" s="300"/>
      <c r="VOZ238" s="300"/>
      <c r="VPA238" s="300"/>
      <c r="VPB238" s="300"/>
      <c r="VPC238" s="300"/>
      <c r="VPD238" s="300"/>
      <c r="VPE238" s="300"/>
      <c r="VPF238" s="300"/>
      <c r="VPG238" s="300"/>
      <c r="VPH238" s="300"/>
      <c r="VPI238" s="300"/>
      <c r="VPJ238" s="300"/>
      <c r="VPK238" s="300"/>
      <c r="VPL238" s="300"/>
      <c r="VPM238" s="300"/>
      <c r="VPN238" s="300"/>
      <c r="VPO238" s="300"/>
      <c r="VPP238" s="300"/>
      <c r="VPQ238" s="300"/>
      <c r="VPR238" s="300"/>
      <c r="VPS238" s="300"/>
      <c r="VPT238" s="300"/>
      <c r="VPU238" s="300"/>
      <c r="VPV238" s="300"/>
      <c r="VPW238" s="300"/>
      <c r="VPX238" s="300"/>
      <c r="VPY238" s="300"/>
      <c r="VPZ238" s="300"/>
      <c r="VQA238" s="300"/>
      <c r="VQB238" s="300"/>
      <c r="VQC238" s="300"/>
      <c r="VQD238" s="300"/>
      <c r="VQE238" s="300"/>
      <c r="VQF238" s="300"/>
      <c r="VQG238" s="300"/>
      <c r="VQH238" s="300"/>
      <c r="VQI238" s="300"/>
      <c r="VQJ238" s="300"/>
      <c r="VQK238" s="300"/>
      <c r="VQL238" s="300"/>
      <c r="VQM238" s="300"/>
      <c r="VQN238" s="300"/>
      <c r="VQO238" s="300"/>
      <c r="VQP238" s="300"/>
      <c r="VQQ238" s="300"/>
      <c r="VQR238" s="300"/>
      <c r="VQS238" s="300"/>
      <c r="VQT238" s="300"/>
      <c r="VQU238" s="300"/>
      <c r="VQV238" s="300"/>
      <c r="VQW238" s="300"/>
      <c r="VQX238" s="300"/>
      <c r="VQY238" s="300"/>
      <c r="VQZ238" s="300"/>
      <c r="VRA238" s="300"/>
      <c r="VRB238" s="300"/>
      <c r="VRC238" s="300"/>
      <c r="VRD238" s="300"/>
      <c r="VRE238" s="300"/>
      <c r="VRF238" s="300"/>
      <c r="VRG238" s="300"/>
      <c r="VRH238" s="300"/>
      <c r="VRI238" s="300"/>
      <c r="VRJ238" s="300"/>
      <c r="VRK238" s="300"/>
      <c r="VRL238" s="300"/>
      <c r="VRM238" s="300"/>
      <c r="VRN238" s="300"/>
      <c r="VRO238" s="300"/>
      <c r="VRP238" s="300"/>
      <c r="VRQ238" s="300"/>
      <c r="VRR238" s="300"/>
      <c r="VRS238" s="300"/>
      <c r="VRT238" s="300"/>
      <c r="VRU238" s="300"/>
      <c r="VRV238" s="300"/>
      <c r="VRW238" s="300"/>
      <c r="VRX238" s="300"/>
      <c r="VRY238" s="300"/>
      <c r="VRZ238" s="300"/>
      <c r="VSA238" s="300"/>
      <c r="VSB238" s="300"/>
      <c r="VSC238" s="300"/>
      <c r="VSD238" s="300"/>
      <c r="VSE238" s="300"/>
      <c r="VSF238" s="300"/>
      <c r="VSG238" s="300"/>
      <c r="VSH238" s="300"/>
      <c r="VSI238" s="300"/>
      <c r="VSJ238" s="300"/>
      <c r="VSK238" s="300"/>
      <c r="VSL238" s="300"/>
      <c r="VSM238" s="300"/>
      <c r="VSN238" s="300"/>
      <c r="VSO238" s="300"/>
      <c r="VSP238" s="300"/>
      <c r="VSQ238" s="300"/>
      <c r="VSR238" s="300"/>
      <c r="VSS238" s="300"/>
      <c r="VST238" s="300"/>
      <c r="VSU238" s="300"/>
      <c r="VSV238" s="300"/>
      <c r="VSW238" s="300"/>
      <c r="VSX238" s="300"/>
      <c r="VSY238" s="300"/>
      <c r="VSZ238" s="300"/>
      <c r="VTA238" s="300"/>
      <c r="VTB238" s="300"/>
      <c r="VTC238" s="300"/>
      <c r="VTD238" s="300"/>
      <c r="VTE238" s="300"/>
      <c r="VTF238" s="300"/>
      <c r="VTG238" s="300"/>
      <c r="VTH238" s="300"/>
      <c r="VTI238" s="300"/>
      <c r="VTJ238" s="300"/>
      <c r="VTK238" s="300"/>
      <c r="VTL238" s="300"/>
      <c r="VTM238" s="300"/>
      <c r="VTN238" s="300"/>
      <c r="VTO238" s="300"/>
      <c r="VTP238" s="300"/>
      <c r="VTQ238" s="300"/>
      <c r="VTR238" s="300"/>
      <c r="VTS238" s="300"/>
      <c r="VTT238" s="300"/>
      <c r="VTU238" s="300"/>
      <c r="VTV238" s="300"/>
      <c r="VTW238" s="300"/>
      <c r="VTX238" s="300"/>
      <c r="VTY238" s="300"/>
      <c r="VTZ238" s="300"/>
      <c r="VUA238" s="300"/>
      <c r="VUB238" s="300"/>
      <c r="VUC238" s="300"/>
      <c r="VUD238" s="300"/>
      <c r="VUE238" s="300"/>
      <c r="VUF238" s="300"/>
      <c r="VUG238" s="300"/>
      <c r="VUH238" s="300"/>
      <c r="VUI238" s="300"/>
      <c r="VUJ238" s="300"/>
      <c r="VUK238" s="300"/>
      <c r="VUL238" s="300"/>
      <c r="VUM238" s="300"/>
      <c r="VUN238" s="300"/>
      <c r="VUO238" s="300"/>
      <c r="VUP238" s="300"/>
      <c r="VUQ238" s="300"/>
      <c r="VUR238" s="300"/>
      <c r="VUS238" s="300"/>
      <c r="VUT238" s="300"/>
      <c r="VUU238" s="300"/>
      <c r="VUV238" s="300"/>
      <c r="VUW238" s="300"/>
      <c r="VUX238" s="300"/>
      <c r="VUY238" s="300"/>
      <c r="VUZ238" s="300"/>
      <c r="VVA238" s="300"/>
      <c r="VVB238" s="300"/>
      <c r="VVC238" s="300"/>
      <c r="VVD238" s="300"/>
      <c r="VVE238" s="300"/>
      <c r="VVF238" s="300"/>
      <c r="VVG238" s="300"/>
      <c r="VVH238" s="300"/>
      <c r="VVI238" s="300"/>
      <c r="VVJ238" s="300"/>
      <c r="VVK238" s="300"/>
      <c r="VVL238" s="300"/>
      <c r="VVM238" s="300"/>
      <c r="VVN238" s="300"/>
      <c r="VVO238" s="300"/>
      <c r="VVP238" s="300"/>
    </row>
    <row r="239" spans="2:102 15068:15460" s="3" customFormat="1" ht="15" hidden="1" customHeight="1" x14ac:dyDescent="0.3">
      <c r="B239" s="122"/>
      <c r="C239" s="277" t="s">
        <v>73</v>
      </c>
      <c r="D239" s="118"/>
      <c r="E239" s="119" t="s">
        <v>16</v>
      </c>
      <c r="F239" s="278"/>
      <c r="G239" s="278"/>
      <c r="H239" s="278"/>
      <c r="I239" s="278"/>
      <c r="J239" s="278"/>
      <c r="K239" s="278"/>
      <c r="L239" s="278">
        <v>0</v>
      </c>
      <c r="M239" s="278">
        <v>338170</v>
      </c>
      <c r="N239" s="278">
        <v>252970</v>
      </c>
      <c r="O239" s="278">
        <v>111150</v>
      </c>
      <c r="P239" s="278">
        <v>0</v>
      </c>
      <c r="Q239" s="278">
        <v>0</v>
      </c>
      <c r="R239" s="278">
        <v>0</v>
      </c>
      <c r="S239" s="278">
        <v>0</v>
      </c>
      <c r="T239" s="278">
        <v>0</v>
      </c>
      <c r="U239" s="278">
        <v>0</v>
      </c>
      <c r="V239" s="278">
        <v>0</v>
      </c>
      <c r="W239" s="278">
        <v>0</v>
      </c>
      <c r="X239" s="278">
        <v>0</v>
      </c>
      <c r="Y239" s="278">
        <v>0</v>
      </c>
      <c r="Z239" s="278">
        <v>0</v>
      </c>
      <c r="AA239" s="278">
        <v>0</v>
      </c>
      <c r="AB239" s="278">
        <v>0</v>
      </c>
      <c r="AC239" s="278">
        <v>0</v>
      </c>
      <c r="AD239" s="278">
        <v>299440</v>
      </c>
      <c r="AE239" s="278">
        <v>108510</v>
      </c>
      <c r="AF239" s="278">
        <v>0</v>
      </c>
      <c r="AG239" s="278"/>
      <c r="AH239" s="278"/>
      <c r="AI239" s="278"/>
      <c r="AK239" s="161">
        <f>SUM(F239:AI239)</f>
        <v>1110240</v>
      </c>
      <c r="CX239" s="17"/>
      <c r="VGN239" s="300"/>
      <c r="VGO239" s="300"/>
      <c r="VGP239" s="300"/>
      <c r="VGQ239" s="300"/>
      <c r="VGR239" s="300"/>
      <c r="VGS239" s="300"/>
      <c r="VGT239" s="300"/>
      <c r="VGU239" s="300"/>
      <c r="VGV239" s="300"/>
      <c r="VGW239" s="300"/>
      <c r="VGX239" s="300"/>
      <c r="VGY239" s="300"/>
      <c r="VGZ239" s="300"/>
      <c r="VHA239" s="300"/>
      <c r="VHB239" s="300"/>
      <c r="VHC239" s="300"/>
      <c r="VHD239" s="300"/>
      <c r="VHE239" s="300"/>
      <c r="VHF239" s="300"/>
      <c r="VHG239" s="300"/>
      <c r="VHH239" s="300"/>
      <c r="VHI239" s="300"/>
      <c r="VHJ239" s="300"/>
      <c r="VHK239" s="300"/>
      <c r="VHL239" s="300"/>
      <c r="VHM239" s="300"/>
      <c r="VHN239" s="300"/>
      <c r="VHO239" s="300"/>
      <c r="VHP239" s="300"/>
      <c r="VHQ239" s="300"/>
      <c r="VHR239" s="300"/>
      <c r="VHS239" s="300"/>
      <c r="VHT239" s="300"/>
      <c r="VHU239" s="300"/>
      <c r="VHV239" s="300"/>
      <c r="VHW239" s="300"/>
      <c r="VHX239" s="300"/>
      <c r="VHY239" s="300"/>
      <c r="VHZ239" s="300"/>
      <c r="VIA239" s="300"/>
      <c r="VIB239" s="300"/>
      <c r="VIC239" s="300"/>
      <c r="VID239" s="300"/>
      <c r="VIE239" s="300"/>
      <c r="VIF239" s="300"/>
      <c r="VIG239" s="300"/>
      <c r="VIH239" s="300"/>
      <c r="VII239" s="300"/>
      <c r="VIJ239" s="300"/>
      <c r="VIK239" s="300"/>
      <c r="VIL239" s="300"/>
      <c r="VIM239" s="300"/>
      <c r="VIN239" s="300"/>
      <c r="VIO239" s="300"/>
      <c r="VIP239" s="300"/>
      <c r="VIQ239" s="300"/>
      <c r="VIR239" s="300"/>
      <c r="VIS239" s="300"/>
      <c r="VIT239" s="300"/>
      <c r="VIU239" s="300"/>
      <c r="VIV239" s="300"/>
      <c r="VIW239" s="300"/>
      <c r="VIX239" s="300"/>
      <c r="VIY239" s="300"/>
      <c r="VIZ239" s="300"/>
      <c r="VJA239" s="300"/>
      <c r="VJB239" s="300"/>
      <c r="VJC239" s="300"/>
      <c r="VJD239" s="300"/>
      <c r="VJE239" s="300"/>
      <c r="VJF239" s="300"/>
      <c r="VJG239" s="300"/>
      <c r="VJH239" s="300"/>
      <c r="VJI239" s="300"/>
      <c r="VJJ239" s="300"/>
      <c r="VJK239" s="300"/>
      <c r="VJL239" s="300"/>
      <c r="VJM239" s="300"/>
      <c r="VJN239" s="300"/>
      <c r="VJO239" s="300"/>
      <c r="VJP239" s="300"/>
      <c r="VJQ239" s="300"/>
      <c r="VJR239" s="300"/>
      <c r="VJS239" s="300"/>
      <c r="VJT239" s="300"/>
      <c r="VJU239" s="300"/>
      <c r="VJV239" s="300"/>
      <c r="VJW239" s="300"/>
      <c r="VJX239" s="300"/>
      <c r="VJY239" s="300"/>
      <c r="VJZ239" s="300"/>
      <c r="VKA239" s="300"/>
      <c r="VKB239" s="300"/>
      <c r="VKC239" s="300"/>
      <c r="VKD239" s="300"/>
      <c r="VKE239" s="300"/>
      <c r="VKF239" s="300"/>
      <c r="VKG239" s="300"/>
      <c r="VKH239" s="300"/>
      <c r="VKI239" s="300"/>
      <c r="VKJ239" s="300"/>
      <c r="VKK239" s="300"/>
      <c r="VKL239" s="300"/>
      <c r="VKM239" s="300"/>
      <c r="VKN239" s="300"/>
      <c r="VKO239" s="300"/>
      <c r="VKP239" s="300"/>
      <c r="VKQ239" s="300"/>
      <c r="VKR239" s="300"/>
      <c r="VKS239" s="300"/>
      <c r="VKT239" s="300"/>
      <c r="VKU239" s="300"/>
      <c r="VKV239" s="300"/>
      <c r="VKW239" s="300"/>
      <c r="VKX239" s="300"/>
      <c r="VKY239" s="300"/>
      <c r="VKZ239" s="300"/>
      <c r="VLA239" s="300"/>
      <c r="VLB239" s="300"/>
      <c r="VLC239" s="300"/>
      <c r="VLD239" s="300"/>
      <c r="VLE239" s="300"/>
      <c r="VLF239" s="300"/>
      <c r="VLG239" s="300"/>
      <c r="VLH239" s="300"/>
      <c r="VLI239" s="300"/>
      <c r="VLJ239" s="300"/>
      <c r="VLK239" s="300"/>
      <c r="VLL239" s="300"/>
      <c r="VLM239" s="300"/>
      <c r="VLN239" s="300"/>
      <c r="VLO239" s="300"/>
      <c r="VLP239" s="300"/>
      <c r="VLQ239" s="300"/>
      <c r="VLR239" s="300"/>
      <c r="VLS239" s="300"/>
      <c r="VLT239" s="300"/>
      <c r="VLU239" s="300"/>
      <c r="VLV239" s="300"/>
      <c r="VLW239" s="300"/>
      <c r="VLX239" s="300"/>
      <c r="VLY239" s="300"/>
      <c r="VLZ239" s="300"/>
      <c r="VMA239" s="300"/>
      <c r="VMB239" s="300"/>
      <c r="VMC239" s="300"/>
      <c r="VMD239" s="300"/>
      <c r="VME239" s="300"/>
      <c r="VMF239" s="300"/>
      <c r="VMG239" s="300"/>
      <c r="VMH239" s="300"/>
      <c r="VMI239" s="300"/>
      <c r="VMJ239" s="300"/>
      <c r="VMK239" s="300"/>
      <c r="VML239" s="300"/>
      <c r="VMM239" s="300"/>
      <c r="VMN239" s="300"/>
      <c r="VMO239" s="300"/>
      <c r="VMP239" s="300"/>
      <c r="VMQ239" s="300"/>
      <c r="VMR239" s="300"/>
      <c r="VMS239" s="300"/>
      <c r="VMT239" s="300"/>
      <c r="VMU239" s="300"/>
      <c r="VMV239" s="300"/>
      <c r="VMW239" s="300"/>
      <c r="VMX239" s="300"/>
      <c r="VMY239" s="300"/>
      <c r="VMZ239" s="300"/>
      <c r="VNA239" s="300"/>
      <c r="VNB239" s="300"/>
      <c r="VNC239" s="300"/>
      <c r="VND239" s="300"/>
      <c r="VNE239" s="300"/>
      <c r="VNF239" s="300"/>
      <c r="VNG239" s="300"/>
      <c r="VNH239" s="300"/>
      <c r="VNI239" s="300"/>
      <c r="VNJ239" s="300"/>
      <c r="VNK239" s="300"/>
      <c r="VNL239" s="300"/>
      <c r="VNM239" s="300"/>
      <c r="VNN239" s="300"/>
      <c r="VNO239" s="300"/>
      <c r="VNP239" s="300"/>
      <c r="VNQ239" s="300"/>
      <c r="VNR239" s="300"/>
      <c r="VNS239" s="300"/>
      <c r="VNT239" s="300"/>
      <c r="VNU239" s="300"/>
      <c r="VNV239" s="300"/>
      <c r="VNW239" s="300"/>
      <c r="VNX239" s="300"/>
      <c r="VNY239" s="300"/>
      <c r="VNZ239" s="300"/>
      <c r="VOA239" s="300"/>
      <c r="VOB239" s="300"/>
      <c r="VOC239" s="300"/>
      <c r="VOD239" s="300"/>
      <c r="VOE239" s="300"/>
      <c r="VOF239" s="300"/>
      <c r="VOG239" s="300"/>
      <c r="VOH239" s="300"/>
      <c r="VOI239" s="300"/>
      <c r="VOJ239" s="300"/>
      <c r="VOK239" s="300"/>
      <c r="VOL239" s="300"/>
      <c r="VOM239" s="300"/>
      <c r="VON239" s="300"/>
      <c r="VOO239" s="300"/>
      <c r="VOP239" s="300"/>
      <c r="VOQ239" s="300"/>
      <c r="VOR239" s="300"/>
      <c r="VOS239" s="300"/>
      <c r="VOT239" s="300"/>
      <c r="VOU239" s="300"/>
      <c r="VOV239" s="300"/>
      <c r="VOW239" s="300"/>
      <c r="VOX239" s="300"/>
      <c r="VOY239" s="300"/>
      <c r="VOZ239" s="300"/>
      <c r="VPA239" s="300"/>
      <c r="VPB239" s="300"/>
      <c r="VPC239" s="300"/>
      <c r="VPD239" s="300"/>
      <c r="VPE239" s="300"/>
      <c r="VPF239" s="300"/>
      <c r="VPG239" s="300"/>
      <c r="VPH239" s="300"/>
      <c r="VPI239" s="300"/>
      <c r="VPJ239" s="300"/>
      <c r="VPK239" s="300"/>
      <c r="VPL239" s="300"/>
      <c r="VPM239" s="300"/>
      <c r="VPN239" s="300"/>
      <c r="VPO239" s="300"/>
      <c r="VPP239" s="300"/>
      <c r="VPQ239" s="300"/>
      <c r="VPR239" s="300"/>
      <c r="VPS239" s="300"/>
      <c r="VPT239" s="300"/>
      <c r="VPU239" s="300"/>
      <c r="VPV239" s="300"/>
      <c r="VPW239" s="300"/>
      <c r="VPX239" s="300"/>
      <c r="VPY239" s="300"/>
      <c r="VPZ239" s="300"/>
      <c r="VQA239" s="300"/>
      <c r="VQB239" s="300"/>
      <c r="VQC239" s="300"/>
      <c r="VQD239" s="300"/>
      <c r="VQE239" s="300"/>
      <c r="VQF239" s="300"/>
      <c r="VQG239" s="300"/>
      <c r="VQH239" s="300"/>
      <c r="VQI239" s="300"/>
      <c r="VQJ239" s="300"/>
      <c r="VQK239" s="300"/>
      <c r="VQL239" s="300"/>
      <c r="VQM239" s="300"/>
      <c r="VQN239" s="300"/>
      <c r="VQO239" s="300"/>
      <c r="VQP239" s="300"/>
      <c r="VQQ239" s="300"/>
      <c r="VQR239" s="300"/>
      <c r="VQS239" s="300"/>
      <c r="VQT239" s="300"/>
      <c r="VQU239" s="300"/>
      <c r="VQV239" s="300"/>
      <c r="VQW239" s="300"/>
      <c r="VQX239" s="300"/>
      <c r="VQY239" s="300"/>
      <c r="VQZ239" s="300"/>
      <c r="VRA239" s="300"/>
      <c r="VRB239" s="300"/>
      <c r="VRC239" s="300"/>
      <c r="VRD239" s="300"/>
      <c r="VRE239" s="300"/>
      <c r="VRF239" s="300"/>
      <c r="VRG239" s="300"/>
      <c r="VRH239" s="300"/>
      <c r="VRI239" s="300"/>
      <c r="VRJ239" s="300"/>
      <c r="VRK239" s="300"/>
      <c r="VRL239" s="300"/>
      <c r="VRM239" s="300"/>
      <c r="VRN239" s="300"/>
      <c r="VRO239" s="300"/>
      <c r="VRP239" s="300"/>
      <c r="VRQ239" s="300"/>
      <c r="VRR239" s="300"/>
      <c r="VRS239" s="300"/>
      <c r="VRT239" s="300"/>
      <c r="VRU239" s="300"/>
      <c r="VRV239" s="300"/>
      <c r="VRW239" s="300"/>
      <c r="VRX239" s="300"/>
      <c r="VRY239" s="300"/>
      <c r="VRZ239" s="300"/>
      <c r="VSA239" s="300"/>
      <c r="VSB239" s="300"/>
      <c r="VSC239" s="300"/>
      <c r="VSD239" s="300"/>
      <c r="VSE239" s="300"/>
      <c r="VSF239" s="300"/>
      <c r="VSG239" s="300"/>
      <c r="VSH239" s="300"/>
      <c r="VSI239" s="300"/>
      <c r="VSJ239" s="300"/>
      <c r="VSK239" s="300"/>
      <c r="VSL239" s="300"/>
      <c r="VSM239" s="300"/>
      <c r="VSN239" s="300"/>
      <c r="VSO239" s="300"/>
      <c r="VSP239" s="300"/>
      <c r="VSQ239" s="300"/>
      <c r="VSR239" s="300"/>
      <c r="VSS239" s="300"/>
      <c r="VST239" s="300"/>
      <c r="VSU239" s="300"/>
      <c r="VSV239" s="300"/>
      <c r="VSW239" s="300"/>
      <c r="VSX239" s="300"/>
      <c r="VSY239" s="300"/>
      <c r="VSZ239" s="300"/>
      <c r="VTA239" s="300"/>
      <c r="VTB239" s="300"/>
      <c r="VTC239" s="300"/>
      <c r="VTD239" s="300"/>
      <c r="VTE239" s="300"/>
      <c r="VTF239" s="300"/>
      <c r="VTG239" s="300"/>
      <c r="VTH239" s="300"/>
      <c r="VTI239" s="300"/>
      <c r="VTJ239" s="300"/>
      <c r="VTK239" s="300"/>
      <c r="VTL239" s="300"/>
      <c r="VTM239" s="300"/>
      <c r="VTN239" s="300"/>
      <c r="VTO239" s="300"/>
      <c r="VTP239" s="300"/>
      <c r="VTQ239" s="300"/>
      <c r="VTR239" s="300"/>
      <c r="VTS239" s="300"/>
      <c r="VTT239" s="300"/>
      <c r="VTU239" s="300"/>
      <c r="VTV239" s="300"/>
      <c r="VTW239" s="300"/>
      <c r="VTX239" s="300"/>
      <c r="VTY239" s="300"/>
      <c r="VTZ239" s="300"/>
      <c r="VUA239" s="300"/>
      <c r="VUB239" s="300"/>
      <c r="VUC239" s="300"/>
      <c r="VUD239" s="300"/>
      <c r="VUE239" s="300"/>
      <c r="VUF239" s="300"/>
      <c r="VUG239" s="300"/>
      <c r="VUH239" s="300"/>
      <c r="VUI239" s="300"/>
      <c r="VUJ239" s="300"/>
      <c r="VUK239" s="300"/>
      <c r="VUL239" s="300"/>
      <c r="VUM239" s="300"/>
      <c r="VUN239" s="300"/>
      <c r="VUO239" s="300"/>
      <c r="VUP239" s="300"/>
      <c r="VUQ239" s="300"/>
      <c r="VUR239" s="300"/>
      <c r="VUS239" s="300"/>
      <c r="VUT239" s="300"/>
      <c r="VUU239" s="300"/>
      <c r="VUV239" s="300"/>
      <c r="VUW239" s="300"/>
      <c r="VUX239" s="300"/>
      <c r="VUY239" s="300"/>
      <c r="VUZ239" s="300"/>
      <c r="VVA239" s="300"/>
      <c r="VVB239" s="300"/>
      <c r="VVC239" s="300"/>
      <c r="VVD239" s="300"/>
      <c r="VVE239" s="300"/>
      <c r="VVF239" s="300"/>
      <c r="VVG239" s="300"/>
      <c r="VVH239" s="300"/>
      <c r="VVI239" s="300"/>
      <c r="VVJ239" s="300"/>
      <c r="VVK239" s="300"/>
      <c r="VVL239" s="300"/>
      <c r="VVM239" s="300"/>
      <c r="VVN239" s="300"/>
      <c r="VVO239" s="300"/>
      <c r="VVP239" s="300"/>
    </row>
    <row r="240" spans="2:102 15068:15460" s="3" customFormat="1" ht="15" hidden="1" customHeight="1" x14ac:dyDescent="0.3">
      <c r="B240" s="122"/>
      <c r="C240" s="277" t="s">
        <v>72</v>
      </c>
      <c r="D240" s="118"/>
      <c r="E240" s="119" t="s">
        <v>16</v>
      </c>
      <c r="F240" s="278"/>
      <c r="G240" s="278"/>
      <c r="H240" s="278"/>
      <c r="I240" s="278"/>
      <c r="J240" s="278"/>
      <c r="K240" s="278"/>
      <c r="L240" s="278">
        <v>0</v>
      </c>
      <c r="M240" s="278">
        <v>0</v>
      </c>
      <c r="N240" s="278">
        <v>0</v>
      </c>
      <c r="O240" s="278">
        <v>0</v>
      </c>
      <c r="P240" s="278">
        <v>0</v>
      </c>
      <c r="Q240" s="278">
        <v>0</v>
      </c>
      <c r="R240" s="278">
        <v>0</v>
      </c>
      <c r="S240" s="278">
        <v>1180660</v>
      </c>
      <c r="T240" s="278">
        <v>1013340</v>
      </c>
      <c r="U240" s="278">
        <v>1009220</v>
      </c>
      <c r="V240" s="278">
        <v>1288830</v>
      </c>
      <c r="W240" s="278">
        <v>0</v>
      </c>
      <c r="X240" s="278">
        <v>0</v>
      </c>
      <c r="Y240" s="278">
        <v>0</v>
      </c>
      <c r="Z240" s="278">
        <v>0</v>
      </c>
      <c r="AA240" s="278">
        <v>0</v>
      </c>
      <c r="AB240" s="278">
        <v>0</v>
      </c>
      <c r="AC240" s="278">
        <v>0</v>
      </c>
      <c r="AD240" s="278">
        <v>0</v>
      </c>
      <c r="AE240" s="278">
        <v>0</v>
      </c>
      <c r="AF240" s="278">
        <v>0</v>
      </c>
      <c r="AG240" s="278"/>
      <c r="AH240" s="278"/>
      <c r="AI240" s="278"/>
      <c r="AK240" s="161">
        <f>SUM(F240:AI240)</f>
        <v>4492050</v>
      </c>
      <c r="CX240" s="17"/>
      <c r="VGN240" s="300"/>
      <c r="VGO240" s="300"/>
      <c r="VGP240" s="300"/>
      <c r="VGQ240" s="300"/>
      <c r="VGR240" s="300"/>
      <c r="VGS240" s="300"/>
      <c r="VGT240" s="300"/>
      <c r="VGU240" s="300"/>
      <c r="VGV240" s="300"/>
      <c r="VGW240" s="300"/>
      <c r="VGX240" s="300"/>
      <c r="VGY240" s="300"/>
      <c r="VGZ240" s="300"/>
      <c r="VHA240" s="300"/>
      <c r="VHB240" s="300"/>
      <c r="VHC240" s="300"/>
      <c r="VHD240" s="300"/>
      <c r="VHE240" s="300"/>
      <c r="VHF240" s="300"/>
      <c r="VHG240" s="300"/>
      <c r="VHH240" s="300"/>
      <c r="VHI240" s="300"/>
      <c r="VHJ240" s="300"/>
      <c r="VHK240" s="300"/>
      <c r="VHL240" s="300"/>
      <c r="VHM240" s="300"/>
      <c r="VHN240" s="300"/>
      <c r="VHO240" s="300"/>
      <c r="VHP240" s="300"/>
      <c r="VHQ240" s="300"/>
      <c r="VHR240" s="300"/>
      <c r="VHS240" s="300"/>
      <c r="VHT240" s="300"/>
      <c r="VHU240" s="300"/>
      <c r="VHV240" s="300"/>
      <c r="VHW240" s="300"/>
      <c r="VHX240" s="300"/>
      <c r="VHY240" s="300"/>
      <c r="VHZ240" s="300"/>
      <c r="VIA240" s="300"/>
      <c r="VIB240" s="300"/>
      <c r="VIC240" s="300"/>
      <c r="VID240" s="300"/>
      <c r="VIE240" s="300"/>
      <c r="VIF240" s="300"/>
      <c r="VIG240" s="300"/>
      <c r="VIH240" s="300"/>
      <c r="VII240" s="300"/>
      <c r="VIJ240" s="300"/>
      <c r="VIK240" s="300"/>
      <c r="VIL240" s="300"/>
      <c r="VIM240" s="300"/>
      <c r="VIN240" s="300"/>
      <c r="VIO240" s="300"/>
      <c r="VIP240" s="300"/>
      <c r="VIQ240" s="300"/>
      <c r="VIR240" s="300"/>
      <c r="VIS240" s="300"/>
      <c r="VIT240" s="300"/>
      <c r="VIU240" s="300"/>
      <c r="VIV240" s="300"/>
      <c r="VIW240" s="300"/>
      <c r="VIX240" s="300"/>
      <c r="VIY240" s="300"/>
      <c r="VIZ240" s="300"/>
      <c r="VJA240" s="300"/>
      <c r="VJB240" s="300"/>
      <c r="VJC240" s="300"/>
      <c r="VJD240" s="300"/>
      <c r="VJE240" s="300"/>
      <c r="VJF240" s="300"/>
      <c r="VJG240" s="300"/>
      <c r="VJH240" s="300"/>
      <c r="VJI240" s="300"/>
      <c r="VJJ240" s="300"/>
      <c r="VJK240" s="300"/>
      <c r="VJL240" s="300"/>
      <c r="VJM240" s="300"/>
      <c r="VJN240" s="300"/>
      <c r="VJO240" s="300"/>
      <c r="VJP240" s="300"/>
      <c r="VJQ240" s="300"/>
      <c r="VJR240" s="300"/>
      <c r="VJS240" s="300"/>
      <c r="VJT240" s="300"/>
      <c r="VJU240" s="300"/>
      <c r="VJV240" s="300"/>
      <c r="VJW240" s="300"/>
      <c r="VJX240" s="300"/>
      <c r="VJY240" s="300"/>
      <c r="VJZ240" s="300"/>
      <c r="VKA240" s="300"/>
      <c r="VKB240" s="300"/>
      <c r="VKC240" s="300"/>
      <c r="VKD240" s="300"/>
      <c r="VKE240" s="300"/>
      <c r="VKF240" s="300"/>
      <c r="VKG240" s="300"/>
      <c r="VKH240" s="300"/>
      <c r="VKI240" s="300"/>
      <c r="VKJ240" s="300"/>
      <c r="VKK240" s="300"/>
      <c r="VKL240" s="300"/>
      <c r="VKM240" s="300"/>
      <c r="VKN240" s="300"/>
      <c r="VKO240" s="300"/>
      <c r="VKP240" s="300"/>
      <c r="VKQ240" s="300"/>
      <c r="VKR240" s="300"/>
      <c r="VKS240" s="300"/>
      <c r="VKT240" s="300"/>
      <c r="VKU240" s="300"/>
      <c r="VKV240" s="300"/>
      <c r="VKW240" s="300"/>
      <c r="VKX240" s="300"/>
      <c r="VKY240" s="300"/>
      <c r="VKZ240" s="300"/>
      <c r="VLA240" s="300"/>
      <c r="VLB240" s="300"/>
      <c r="VLC240" s="300"/>
      <c r="VLD240" s="300"/>
      <c r="VLE240" s="300"/>
      <c r="VLF240" s="300"/>
      <c r="VLG240" s="300"/>
      <c r="VLH240" s="300"/>
      <c r="VLI240" s="300"/>
      <c r="VLJ240" s="300"/>
      <c r="VLK240" s="300"/>
      <c r="VLL240" s="300"/>
      <c r="VLM240" s="300"/>
      <c r="VLN240" s="300"/>
      <c r="VLO240" s="300"/>
      <c r="VLP240" s="300"/>
      <c r="VLQ240" s="300"/>
      <c r="VLR240" s="300"/>
      <c r="VLS240" s="300"/>
      <c r="VLT240" s="300"/>
      <c r="VLU240" s="300"/>
      <c r="VLV240" s="300"/>
      <c r="VLW240" s="300"/>
      <c r="VLX240" s="300"/>
      <c r="VLY240" s="300"/>
      <c r="VLZ240" s="300"/>
      <c r="VMA240" s="300"/>
      <c r="VMB240" s="300"/>
      <c r="VMC240" s="300"/>
      <c r="VMD240" s="300"/>
      <c r="VME240" s="300"/>
      <c r="VMF240" s="300"/>
      <c r="VMG240" s="300"/>
      <c r="VMH240" s="300"/>
      <c r="VMI240" s="300"/>
      <c r="VMJ240" s="300"/>
      <c r="VMK240" s="300"/>
      <c r="VML240" s="300"/>
      <c r="VMM240" s="300"/>
      <c r="VMN240" s="300"/>
      <c r="VMO240" s="300"/>
      <c r="VMP240" s="300"/>
      <c r="VMQ240" s="300"/>
      <c r="VMR240" s="300"/>
      <c r="VMS240" s="300"/>
      <c r="VMT240" s="300"/>
      <c r="VMU240" s="300"/>
      <c r="VMV240" s="300"/>
      <c r="VMW240" s="300"/>
      <c r="VMX240" s="300"/>
      <c r="VMY240" s="300"/>
      <c r="VMZ240" s="300"/>
      <c r="VNA240" s="300"/>
      <c r="VNB240" s="300"/>
      <c r="VNC240" s="300"/>
      <c r="VND240" s="300"/>
      <c r="VNE240" s="300"/>
      <c r="VNF240" s="300"/>
      <c r="VNG240" s="300"/>
      <c r="VNH240" s="300"/>
      <c r="VNI240" s="300"/>
      <c r="VNJ240" s="300"/>
      <c r="VNK240" s="300"/>
      <c r="VNL240" s="300"/>
      <c r="VNM240" s="300"/>
      <c r="VNN240" s="300"/>
      <c r="VNO240" s="300"/>
      <c r="VNP240" s="300"/>
      <c r="VNQ240" s="300"/>
      <c r="VNR240" s="300"/>
      <c r="VNS240" s="300"/>
      <c r="VNT240" s="300"/>
      <c r="VNU240" s="300"/>
      <c r="VNV240" s="300"/>
      <c r="VNW240" s="300"/>
      <c r="VNX240" s="300"/>
      <c r="VNY240" s="300"/>
      <c r="VNZ240" s="300"/>
      <c r="VOA240" s="300"/>
      <c r="VOB240" s="300"/>
      <c r="VOC240" s="300"/>
      <c r="VOD240" s="300"/>
      <c r="VOE240" s="300"/>
      <c r="VOF240" s="300"/>
      <c r="VOG240" s="300"/>
      <c r="VOH240" s="300"/>
      <c r="VOI240" s="300"/>
      <c r="VOJ240" s="300"/>
      <c r="VOK240" s="300"/>
      <c r="VOL240" s="300"/>
      <c r="VOM240" s="300"/>
      <c r="VON240" s="300"/>
      <c r="VOO240" s="300"/>
      <c r="VOP240" s="300"/>
      <c r="VOQ240" s="300"/>
      <c r="VOR240" s="300"/>
      <c r="VOS240" s="300"/>
      <c r="VOT240" s="300"/>
      <c r="VOU240" s="300"/>
      <c r="VOV240" s="300"/>
      <c r="VOW240" s="300"/>
      <c r="VOX240" s="300"/>
      <c r="VOY240" s="300"/>
      <c r="VOZ240" s="300"/>
      <c r="VPA240" s="300"/>
      <c r="VPB240" s="300"/>
      <c r="VPC240" s="300"/>
      <c r="VPD240" s="300"/>
      <c r="VPE240" s="300"/>
      <c r="VPF240" s="300"/>
      <c r="VPG240" s="300"/>
      <c r="VPH240" s="300"/>
      <c r="VPI240" s="300"/>
      <c r="VPJ240" s="300"/>
      <c r="VPK240" s="300"/>
      <c r="VPL240" s="300"/>
      <c r="VPM240" s="300"/>
      <c r="VPN240" s="300"/>
      <c r="VPO240" s="300"/>
      <c r="VPP240" s="300"/>
      <c r="VPQ240" s="300"/>
      <c r="VPR240" s="300"/>
      <c r="VPS240" s="300"/>
      <c r="VPT240" s="300"/>
      <c r="VPU240" s="300"/>
      <c r="VPV240" s="300"/>
      <c r="VPW240" s="300"/>
      <c r="VPX240" s="300"/>
      <c r="VPY240" s="300"/>
      <c r="VPZ240" s="300"/>
      <c r="VQA240" s="300"/>
      <c r="VQB240" s="300"/>
      <c r="VQC240" s="300"/>
      <c r="VQD240" s="300"/>
      <c r="VQE240" s="300"/>
      <c r="VQF240" s="300"/>
      <c r="VQG240" s="300"/>
      <c r="VQH240" s="300"/>
      <c r="VQI240" s="300"/>
      <c r="VQJ240" s="300"/>
      <c r="VQK240" s="300"/>
      <c r="VQL240" s="300"/>
      <c r="VQM240" s="300"/>
      <c r="VQN240" s="300"/>
      <c r="VQO240" s="300"/>
      <c r="VQP240" s="300"/>
      <c r="VQQ240" s="300"/>
      <c r="VQR240" s="300"/>
      <c r="VQS240" s="300"/>
      <c r="VQT240" s="300"/>
      <c r="VQU240" s="300"/>
      <c r="VQV240" s="300"/>
      <c r="VQW240" s="300"/>
      <c r="VQX240" s="300"/>
      <c r="VQY240" s="300"/>
      <c r="VQZ240" s="300"/>
      <c r="VRA240" s="300"/>
      <c r="VRB240" s="300"/>
      <c r="VRC240" s="300"/>
      <c r="VRD240" s="300"/>
      <c r="VRE240" s="300"/>
      <c r="VRF240" s="300"/>
      <c r="VRG240" s="300"/>
      <c r="VRH240" s="300"/>
      <c r="VRI240" s="300"/>
      <c r="VRJ240" s="300"/>
      <c r="VRK240" s="300"/>
      <c r="VRL240" s="300"/>
      <c r="VRM240" s="300"/>
      <c r="VRN240" s="300"/>
      <c r="VRO240" s="300"/>
      <c r="VRP240" s="300"/>
      <c r="VRQ240" s="300"/>
      <c r="VRR240" s="300"/>
      <c r="VRS240" s="300"/>
      <c r="VRT240" s="300"/>
      <c r="VRU240" s="300"/>
      <c r="VRV240" s="300"/>
      <c r="VRW240" s="300"/>
      <c r="VRX240" s="300"/>
      <c r="VRY240" s="300"/>
      <c r="VRZ240" s="300"/>
      <c r="VSA240" s="300"/>
      <c r="VSB240" s="300"/>
      <c r="VSC240" s="300"/>
      <c r="VSD240" s="300"/>
      <c r="VSE240" s="300"/>
      <c r="VSF240" s="300"/>
      <c r="VSG240" s="300"/>
      <c r="VSH240" s="300"/>
      <c r="VSI240" s="300"/>
      <c r="VSJ240" s="300"/>
      <c r="VSK240" s="300"/>
      <c r="VSL240" s="300"/>
      <c r="VSM240" s="300"/>
      <c r="VSN240" s="300"/>
      <c r="VSO240" s="300"/>
      <c r="VSP240" s="300"/>
      <c r="VSQ240" s="300"/>
      <c r="VSR240" s="300"/>
      <c r="VSS240" s="300"/>
      <c r="VST240" s="300"/>
      <c r="VSU240" s="300"/>
      <c r="VSV240" s="300"/>
      <c r="VSW240" s="300"/>
      <c r="VSX240" s="300"/>
      <c r="VSY240" s="300"/>
      <c r="VSZ240" s="300"/>
      <c r="VTA240" s="300"/>
      <c r="VTB240" s="300"/>
      <c r="VTC240" s="300"/>
      <c r="VTD240" s="300"/>
      <c r="VTE240" s="300"/>
      <c r="VTF240" s="300"/>
      <c r="VTG240" s="300"/>
      <c r="VTH240" s="300"/>
      <c r="VTI240" s="300"/>
      <c r="VTJ240" s="300"/>
      <c r="VTK240" s="300"/>
      <c r="VTL240" s="300"/>
      <c r="VTM240" s="300"/>
      <c r="VTN240" s="300"/>
      <c r="VTO240" s="300"/>
      <c r="VTP240" s="300"/>
      <c r="VTQ240" s="300"/>
      <c r="VTR240" s="300"/>
      <c r="VTS240" s="300"/>
      <c r="VTT240" s="300"/>
      <c r="VTU240" s="300"/>
      <c r="VTV240" s="300"/>
      <c r="VTW240" s="300"/>
      <c r="VTX240" s="300"/>
      <c r="VTY240" s="300"/>
      <c r="VTZ240" s="300"/>
      <c r="VUA240" s="300"/>
      <c r="VUB240" s="300"/>
      <c r="VUC240" s="300"/>
      <c r="VUD240" s="300"/>
      <c r="VUE240" s="300"/>
      <c r="VUF240" s="300"/>
      <c r="VUG240" s="300"/>
      <c r="VUH240" s="300"/>
      <c r="VUI240" s="300"/>
      <c r="VUJ240" s="300"/>
      <c r="VUK240" s="300"/>
      <c r="VUL240" s="300"/>
      <c r="VUM240" s="300"/>
      <c r="VUN240" s="300"/>
      <c r="VUO240" s="300"/>
      <c r="VUP240" s="300"/>
      <c r="VUQ240" s="300"/>
      <c r="VUR240" s="300"/>
      <c r="VUS240" s="300"/>
      <c r="VUT240" s="300"/>
      <c r="VUU240" s="300"/>
      <c r="VUV240" s="300"/>
      <c r="VUW240" s="300"/>
      <c r="VUX240" s="300"/>
      <c r="VUY240" s="300"/>
      <c r="VUZ240" s="300"/>
      <c r="VVA240" s="300"/>
      <c r="VVB240" s="300"/>
      <c r="VVC240" s="300"/>
      <c r="VVD240" s="300"/>
      <c r="VVE240" s="300"/>
      <c r="VVF240" s="300"/>
      <c r="VVG240" s="300"/>
      <c r="VVH240" s="300"/>
      <c r="VVI240" s="300"/>
      <c r="VVJ240" s="300"/>
      <c r="VVK240" s="300"/>
      <c r="VVL240" s="300"/>
      <c r="VVM240" s="300"/>
      <c r="VVN240" s="300"/>
      <c r="VVO240" s="300"/>
      <c r="VVP240" s="300"/>
    </row>
    <row r="241" spans="2:102 15068:15460" s="3" customFormat="1" ht="15" hidden="1" customHeight="1" thickBot="1" x14ac:dyDescent="0.3">
      <c r="B241" s="122"/>
      <c r="C241" s="277" t="s">
        <v>69</v>
      </c>
      <c r="D241" s="118"/>
      <c r="E241" s="119" t="s">
        <v>16</v>
      </c>
      <c r="F241" s="278"/>
      <c r="G241" s="278"/>
      <c r="H241" s="278"/>
      <c r="I241" s="278"/>
      <c r="J241" s="278"/>
      <c r="K241" s="278"/>
      <c r="L241" s="278">
        <v>0</v>
      </c>
      <c r="M241" s="278">
        <v>0</v>
      </c>
      <c r="N241" s="278"/>
      <c r="O241" s="278">
        <v>0</v>
      </c>
      <c r="P241" s="278">
        <v>0</v>
      </c>
      <c r="Q241" s="278">
        <v>0</v>
      </c>
      <c r="R241" s="278">
        <v>0</v>
      </c>
      <c r="S241" s="278"/>
      <c r="T241" s="278"/>
      <c r="U241" s="278"/>
      <c r="V241" s="278"/>
      <c r="W241" s="278">
        <v>0</v>
      </c>
      <c r="X241" s="278">
        <v>0</v>
      </c>
      <c r="Y241" s="278">
        <v>0</v>
      </c>
      <c r="Z241" s="278">
        <v>0</v>
      </c>
      <c r="AA241" s="278">
        <v>0</v>
      </c>
      <c r="AB241" s="278">
        <v>0</v>
      </c>
      <c r="AC241" s="278">
        <v>0</v>
      </c>
      <c r="AD241" s="278">
        <v>0</v>
      </c>
      <c r="AE241" s="278">
        <v>0</v>
      </c>
      <c r="AF241" s="278">
        <v>0</v>
      </c>
      <c r="AG241" s="278"/>
      <c r="AH241" s="278"/>
      <c r="AI241" s="278"/>
      <c r="AK241" s="161">
        <f>SUM(F241:AI241)</f>
        <v>0</v>
      </c>
      <c r="CX241" s="17"/>
      <c r="VGN241" s="300"/>
      <c r="VGO241" s="300"/>
      <c r="VGP241" s="300"/>
      <c r="VGQ241" s="300"/>
      <c r="VGR241" s="300"/>
      <c r="VGS241" s="300"/>
      <c r="VGT241" s="300"/>
      <c r="VGU241" s="300"/>
      <c r="VGV241" s="300"/>
      <c r="VGW241" s="300"/>
      <c r="VGX241" s="300"/>
      <c r="VGY241" s="300"/>
      <c r="VGZ241" s="300"/>
      <c r="VHA241" s="300"/>
      <c r="VHB241" s="300"/>
      <c r="VHC241" s="300"/>
      <c r="VHD241" s="300"/>
      <c r="VHE241" s="300"/>
      <c r="VHF241" s="300"/>
      <c r="VHG241" s="300"/>
      <c r="VHH241" s="300"/>
      <c r="VHI241" s="300"/>
      <c r="VHJ241" s="300"/>
      <c r="VHK241" s="300"/>
      <c r="VHL241" s="300"/>
      <c r="VHM241" s="300"/>
      <c r="VHN241" s="300"/>
      <c r="VHO241" s="300"/>
      <c r="VHP241" s="300"/>
      <c r="VHQ241" s="300"/>
      <c r="VHR241" s="300"/>
      <c r="VHS241" s="300"/>
      <c r="VHT241" s="300"/>
      <c r="VHU241" s="300"/>
      <c r="VHV241" s="300"/>
      <c r="VHW241" s="300"/>
      <c r="VHX241" s="300"/>
      <c r="VHY241" s="300"/>
      <c r="VHZ241" s="300"/>
      <c r="VIA241" s="300"/>
      <c r="VIB241" s="300"/>
      <c r="VIC241" s="300"/>
      <c r="VID241" s="300"/>
      <c r="VIE241" s="300"/>
      <c r="VIF241" s="300"/>
      <c r="VIG241" s="300"/>
      <c r="VIH241" s="300"/>
      <c r="VII241" s="300"/>
      <c r="VIJ241" s="300"/>
      <c r="VIK241" s="300"/>
      <c r="VIL241" s="300"/>
      <c r="VIM241" s="300"/>
      <c r="VIN241" s="300"/>
      <c r="VIO241" s="300"/>
      <c r="VIP241" s="300"/>
      <c r="VIQ241" s="300"/>
      <c r="VIR241" s="300"/>
      <c r="VIS241" s="300"/>
      <c r="VIT241" s="300"/>
      <c r="VIU241" s="300"/>
      <c r="VIV241" s="300"/>
      <c r="VIW241" s="300"/>
      <c r="VIX241" s="300"/>
      <c r="VIY241" s="300"/>
      <c r="VIZ241" s="300"/>
      <c r="VJA241" s="300"/>
      <c r="VJB241" s="300"/>
      <c r="VJC241" s="300"/>
      <c r="VJD241" s="300"/>
      <c r="VJE241" s="300"/>
      <c r="VJF241" s="300"/>
      <c r="VJG241" s="300"/>
      <c r="VJH241" s="300"/>
      <c r="VJI241" s="300"/>
      <c r="VJJ241" s="300"/>
      <c r="VJK241" s="300"/>
      <c r="VJL241" s="300"/>
      <c r="VJM241" s="300"/>
      <c r="VJN241" s="300"/>
      <c r="VJO241" s="300"/>
      <c r="VJP241" s="300"/>
      <c r="VJQ241" s="300"/>
      <c r="VJR241" s="300"/>
      <c r="VJS241" s="300"/>
      <c r="VJT241" s="300"/>
      <c r="VJU241" s="300"/>
      <c r="VJV241" s="300"/>
      <c r="VJW241" s="300"/>
      <c r="VJX241" s="300"/>
      <c r="VJY241" s="300"/>
      <c r="VJZ241" s="300"/>
      <c r="VKA241" s="300"/>
      <c r="VKB241" s="300"/>
      <c r="VKC241" s="300"/>
      <c r="VKD241" s="300"/>
      <c r="VKE241" s="300"/>
      <c r="VKF241" s="300"/>
      <c r="VKG241" s="300"/>
      <c r="VKH241" s="300"/>
      <c r="VKI241" s="300"/>
      <c r="VKJ241" s="300"/>
      <c r="VKK241" s="300"/>
      <c r="VKL241" s="300"/>
      <c r="VKM241" s="300"/>
      <c r="VKN241" s="300"/>
      <c r="VKO241" s="300"/>
      <c r="VKP241" s="300"/>
      <c r="VKQ241" s="300"/>
      <c r="VKR241" s="300"/>
      <c r="VKS241" s="300"/>
      <c r="VKT241" s="300"/>
      <c r="VKU241" s="300"/>
      <c r="VKV241" s="300"/>
      <c r="VKW241" s="300"/>
      <c r="VKX241" s="300"/>
      <c r="VKY241" s="300"/>
      <c r="VKZ241" s="300"/>
      <c r="VLA241" s="300"/>
      <c r="VLB241" s="300"/>
      <c r="VLC241" s="300"/>
      <c r="VLD241" s="300"/>
      <c r="VLE241" s="300"/>
      <c r="VLF241" s="300"/>
      <c r="VLG241" s="300"/>
      <c r="VLH241" s="300"/>
      <c r="VLI241" s="300"/>
      <c r="VLJ241" s="300"/>
      <c r="VLK241" s="300"/>
      <c r="VLL241" s="300"/>
      <c r="VLM241" s="300"/>
      <c r="VLN241" s="300"/>
      <c r="VLO241" s="300"/>
      <c r="VLP241" s="300"/>
      <c r="VLQ241" s="300"/>
      <c r="VLR241" s="300"/>
      <c r="VLS241" s="300"/>
      <c r="VLT241" s="300"/>
      <c r="VLU241" s="300"/>
      <c r="VLV241" s="300"/>
      <c r="VLW241" s="300"/>
      <c r="VLX241" s="300"/>
      <c r="VLY241" s="300"/>
      <c r="VLZ241" s="300"/>
      <c r="VMA241" s="300"/>
      <c r="VMB241" s="300"/>
      <c r="VMC241" s="300"/>
      <c r="VMD241" s="300"/>
      <c r="VME241" s="300"/>
      <c r="VMF241" s="300"/>
      <c r="VMG241" s="300"/>
      <c r="VMH241" s="300"/>
      <c r="VMI241" s="300"/>
      <c r="VMJ241" s="300"/>
      <c r="VMK241" s="300"/>
      <c r="VML241" s="300"/>
      <c r="VMM241" s="300"/>
      <c r="VMN241" s="300"/>
      <c r="VMO241" s="300"/>
      <c r="VMP241" s="300"/>
      <c r="VMQ241" s="300"/>
      <c r="VMR241" s="300"/>
      <c r="VMS241" s="300"/>
      <c r="VMT241" s="300"/>
      <c r="VMU241" s="300"/>
      <c r="VMV241" s="300"/>
      <c r="VMW241" s="300"/>
      <c r="VMX241" s="300"/>
      <c r="VMY241" s="300"/>
      <c r="VMZ241" s="300"/>
      <c r="VNA241" s="300"/>
      <c r="VNB241" s="300"/>
      <c r="VNC241" s="300"/>
      <c r="VND241" s="300"/>
      <c r="VNE241" s="300"/>
      <c r="VNF241" s="300"/>
      <c r="VNG241" s="300"/>
      <c r="VNH241" s="300"/>
      <c r="VNI241" s="300"/>
      <c r="VNJ241" s="300"/>
      <c r="VNK241" s="300"/>
      <c r="VNL241" s="300"/>
      <c r="VNM241" s="300"/>
      <c r="VNN241" s="300"/>
      <c r="VNO241" s="300"/>
      <c r="VNP241" s="300"/>
      <c r="VNQ241" s="300"/>
      <c r="VNR241" s="300"/>
      <c r="VNS241" s="300"/>
      <c r="VNT241" s="300"/>
      <c r="VNU241" s="300"/>
      <c r="VNV241" s="300"/>
      <c r="VNW241" s="300"/>
      <c r="VNX241" s="300"/>
      <c r="VNY241" s="300"/>
      <c r="VNZ241" s="300"/>
      <c r="VOA241" s="300"/>
      <c r="VOB241" s="300"/>
      <c r="VOC241" s="300"/>
      <c r="VOD241" s="300"/>
      <c r="VOE241" s="300"/>
      <c r="VOF241" s="300"/>
      <c r="VOG241" s="300"/>
      <c r="VOH241" s="300"/>
      <c r="VOI241" s="300"/>
      <c r="VOJ241" s="300"/>
      <c r="VOK241" s="300"/>
      <c r="VOL241" s="300"/>
      <c r="VOM241" s="300"/>
      <c r="VON241" s="300"/>
      <c r="VOO241" s="300"/>
      <c r="VOP241" s="300"/>
      <c r="VOQ241" s="300"/>
      <c r="VOR241" s="300"/>
      <c r="VOS241" s="300"/>
      <c r="VOT241" s="300"/>
      <c r="VOU241" s="300"/>
      <c r="VOV241" s="300"/>
      <c r="VOW241" s="300"/>
      <c r="VOX241" s="300"/>
      <c r="VOY241" s="300"/>
      <c r="VOZ241" s="300"/>
      <c r="VPA241" s="300"/>
      <c r="VPB241" s="300"/>
      <c r="VPC241" s="300"/>
      <c r="VPD241" s="300"/>
      <c r="VPE241" s="300"/>
      <c r="VPF241" s="300"/>
      <c r="VPG241" s="300"/>
      <c r="VPH241" s="300"/>
      <c r="VPI241" s="300"/>
      <c r="VPJ241" s="300"/>
      <c r="VPK241" s="300"/>
      <c r="VPL241" s="300"/>
      <c r="VPM241" s="300"/>
      <c r="VPN241" s="300"/>
      <c r="VPO241" s="300"/>
      <c r="VPP241" s="300"/>
      <c r="VPQ241" s="300"/>
      <c r="VPR241" s="300"/>
      <c r="VPS241" s="300"/>
      <c r="VPT241" s="300"/>
      <c r="VPU241" s="300"/>
      <c r="VPV241" s="300"/>
      <c r="VPW241" s="300"/>
      <c r="VPX241" s="300"/>
      <c r="VPY241" s="300"/>
      <c r="VPZ241" s="300"/>
      <c r="VQA241" s="300"/>
      <c r="VQB241" s="300"/>
      <c r="VQC241" s="300"/>
      <c r="VQD241" s="300"/>
      <c r="VQE241" s="300"/>
      <c r="VQF241" s="300"/>
      <c r="VQG241" s="300"/>
      <c r="VQH241" s="300"/>
      <c r="VQI241" s="300"/>
      <c r="VQJ241" s="300"/>
      <c r="VQK241" s="300"/>
      <c r="VQL241" s="300"/>
      <c r="VQM241" s="300"/>
      <c r="VQN241" s="300"/>
      <c r="VQO241" s="300"/>
      <c r="VQP241" s="300"/>
      <c r="VQQ241" s="300"/>
      <c r="VQR241" s="300"/>
      <c r="VQS241" s="300"/>
      <c r="VQT241" s="300"/>
      <c r="VQU241" s="300"/>
      <c r="VQV241" s="300"/>
      <c r="VQW241" s="300"/>
      <c r="VQX241" s="300"/>
      <c r="VQY241" s="300"/>
      <c r="VQZ241" s="300"/>
      <c r="VRA241" s="300"/>
      <c r="VRB241" s="300"/>
      <c r="VRC241" s="300"/>
      <c r="VRD241" s="300"/>
      <c r="VRE241" s="300"/>
      <c r="VRF241" s="300"/>
      <c r="VRG241" s="300"/>
      <c r="VRH241" s="300"/>
      <c r="VRI241" s="300"/>
      <c r="VRJ241" s="300"/>
      <c r="VRK241" s="300"/>
      <c r="VRL241" s="300"/>
      <c r="VRM241" s="300"/>
      <c r="VRN241" s="300"/>
      <c r="VRO241" s="300"/>
      <c r="VRP241" s="300"/>
      <c r="VRQ241" s="300"/>
      <c r="VRR241" s="300"/>
      <c r="VRS241" s="300"/>
      <c r="VRT241" s="300"/>
      <c r="VRU241" s="300"/>
      <c r="VRV241" s="300"/>
      <c r="VRW241" s="300"/>
      <c r="VRX241" s="300"/>
      <c r="VRY241" s="300"/>
      <c r="VRZ241" s="300"/>
      <c r="VSA241" s="300"/>
      <c r="VSB241" s="300"/>
      <c r="VSC241" s="300"/>
      <c r="VSD241" s="300"/>
      <c r="VSE241" s="300"/>
      <c r="VSF241" s="300"/>
      <c r="VSG241" s="300"/>
      <c r="VSH241" s="300"/>
      <c r="VSI241" s="300"/>
      <c r="VSJ241" s="300"/>
      <c r="VSK241" s="300"/>
      <c r="VSL241" s="300"/>
      <c r="VSM241" s="300"/>
      <c r="VSN241" s="300"/>
      <c r="VSO241" s="300"/>
      <c r="VSP241" s="300"/>
      <c r="VSQ241" s="300"/>
      <c r="VSR241" s="300"/>
      <c r="VSS241" s="300"/>
      <c r="VST241" s="300"/>
      <c r="VSU241" s="300"/>
      <c r="VSV241" s="300"/>
      <c r="VSW241" s="300"/>
      <c r="VSX241" s="300"/>
      <c r="VSY241" s="300"/>
      <c r="VSZ241" s="300"/>
      <c r="VTA241" s="300"/>
      <c r="VTB241" s="300"/>
      <c r="VTC241" s="300"/>
      <c r="VTD241" s="300"/>
      <c r="VTE241" s="300"/>
      <c r="VTF241" s="300"/>
      <c r="VTG241" s="300"/>
      <c r="VTH241" s="300"/>
      <c r="VTI241" s="300"/>
      <c r="VTJ241" s="300"/>
      <c r="VTK241" s="300"/>
      <c r="VTL241" s="300"/>
      <c r="VTM241" s="300"/>
      <c r="VTN241" s="300"/>
      <c r="VTO241" s="300"/>
      <c r="VTP241" s="300"/>
      <c r="VTQ241" s="300"/>
      <c r="VTR241" s="300"/>
      <c r="VTS241" s="300"/>
      <c r="VTT241" s="300"/>
      <c r="VTU241" s="300"/>
      <c r="VTV241" s="300"/>
      <c r="VTW241" s="300"/>
      <c r="VTX241" s="300"/>
      <c r="VTY241" s="300"/>
      <c r="VTZ241" s="300"/>
      <c r="VUA241" s="300"/>
      <c r="VUB241" s="300"/>
      <c r="VUC241" s="300"/>
      <c r="VUD241" s="300"/>
      <c r="VUE241" s="300"/>
      <c r="VUF241" s="300"/>
      <c r="VUG241" s="300"/>
      <c r="VUH241" s="300"/>
      <c r="VUI241" s="300"/>
      <c r="VUJ241" s="300"/>
      <c r="VUK241" s="300"/>
      <c r="VUL241" s="300"/>
      <c r="VUM241" s="300"/>
      <c r="VUN241" s="300"/>
      <c r="VUO241" s="300"/>
      <c r="VUP241" s="300"/>
      <c r="VUQ241" s="300"/>
      <c r="VUR241" s="300"/>
      <c r="VUS241" s="300"/>
      <c r="VUT241" s="300"/>
      <c r="VUU241" s="300"/>
      <c r="VUV241" s="300"/>
      <c r="VUW241" s="300"/>
      <c r="VUX241" s="300"/>
      <c r="VUY241" s="300"/>
      <c r="VUZ241" s="300"/>
      <c r="VVA241" s="300"/>
      <c r="VVB241" s="300"/>
      <c r="VVC241" s="300"/>
      <c r="VVD241" s="300"/>
      <c r="VVE241" s="300"/>
      <c r="VVF241" s="300"/>
      <c r="VVG241" s="300"/>
      <c r="VVH241" s="300"/>
      <c r="VVI241" s="300"/>
      <c r="VVJ241" s="300"/>
      <c r="VVK241" s="300"/>
      <c r="VVL241" s="300"/>
      <c r="VVM241" s="300"/>
      <c r="VVN241" s="300"/>
      <c r="VVO241" s="300"/>
      <c r="VVP241" s="300"/>
    </row>
    <row r="242" spans="2:102 15068:15460" s="3" customFormat="1" ht="15" hidden="1" customHeight="1" x14ac:dyDescent="0.3">
      <c r="B242" s="122"/>
      <c r="C242" s="277" t="s">
        <v>70</v>
      </c>
      <c r="D242" s="118"/>
      <c r="E242" s="119" t="s">
        <v>16</v>
      </c>
      <c r="F242" s="278"/>
      <c r="G242" s="278"/>
      <c r="H242" s="278"/>
      <c r="I242" s="278"/>
      <c r="J242" s="278"/>
      <c r="K242" s="278"/>
      <c r="L242" s="278">
        <v>0</v>
      </c>
      <c r="M242" s="278">
        <v>0</v>
      </c>
      <c r="N242" s="278">
        <v>0</v>
      </c>
      <c r="O242" s="278">
        <v>0</v>
      </c>
      <c r="P242" s="278">
        <v>0</v>
      </c>
      <c r="Q242" s="278">
        <v>0</v>
      </c>
      <c r="R242" s="278">
        <v>0</v>
      </c>
      <c r="S242" s="278">
        <v>0</v>
      </c>
      <c r="T242" s="278">
        <v>0</v>
      </c>
      <c r="U242" s="278">
        <v>0</v>
      </c>
      <c r="V242" s="278">
        <v>0</v>
      </c>
      <c r="W242" s="278">
        <v>0</v>
      </c>
      <c r="X242" s="278">
        <v>0</v>
      </c>
      <c r="Y242" s="278">
        <v>0</v>
      </c>
      <c r="Z242" s="278">
        <v>0</v>
      </c>
      <c r="AA242" s="278">
        <v>0</v>
      </c>
      <c r="AB242" s="278">
        <v>0</v>
      </c>
      <c r="AC242" s="278">
        <v>0</v>
      </c>
      <c r="AD242" s="278">
        <v>0</v>
      </c>
      <c r="AE242" s="278">
        <v>0</v>
      </c>
      <c r="AF242" s="278">
        <v>0</v>
      </c>
      <c r="AG242" s="278"/>
      <c r="AH242" s="278"/>
      <c r="AI242" s="278"/>
      <c r="AK242" s="161">
        <f>SUM(F242:AI242)</f>
        <v>0</v>
      </c>
      <c r="CX242" s="17"/>
      <c r="VGN242" s="300"/>
      <c r="VGO242" s="300"/>
      <c r="VGP242" s="300"/>
      <c r="VGQ242" s="300"/>
      <c r="VGR242" s="300"/>
      <c r="VGS242" s="300"/>
      <c r="VGT242" s="300"/>
      <c r="VGU242" s="300"/>
      <c r="VGV242" s="300"/>
      <c r="VGW242" s="300"/>
      <c r="VGX242" s="300"/>
      <c r="VGY242" s="300"/>
      <c r="VGZ242" s="300"/>
      <c r="VHA242" s="300"/>
      <c r="VHB242" s="300"/>
      <c r="VHC242" s="300"/>
      <c r="VHD242" s="300"/>
      <c r="VHE242" s="300"/>
      <c r="VHF242" s="300"/>
      <c r="VHG242" s="300"/>
      <c r="VHH242" s="300"/>
      <c r="VHI242" s="300"/>
      <c r="VHJ242" s="300"/>
      <c r="VHK242" s="300"/>
      <c r="VHL242" s="300"/>
      <c r="VHM242" s="300"/>
      <c r="VHN242" s="300"/>
      <c r="VHO242" s="300"/>
      <c r="VHP242" s="300"/>
      <c r="VHQ242" s="300"/>
      <c r="VHR242" s="300"/>
      <c r="VHS242" s="300"/>
      <c r="VHT242" s="300"/>
      <c r="VHU242" s="300"/>
      <c r="VHV242" s="300"/>
      <c r="VHW242" s="300"/>
      <c r="VHX242" s="300"/>
      <c r="VHY242" s="300"/>
      <c r="VHZ242" s="300"/>
      <c r="VIA242" s="300"/>
      <c r="VIB242" s="300"/>
      <c r="VIC242" s="300"/>
      <c r="VID242" s="300"/>
      <c r="VIE242" s="300"/>
      <c r="VIF242" s="300"/>
      <c r="VIG242" s="300"/>
      <c r="VIH242" s="300"/>
      <c r="VII242" s="300"/>
      <c r="VIJ242" s="300"/>
      <c r="VIK242" s="300"/>
      <c r="VIL242" s="300"/>
      <c r="VIM242" s="300"/>
      <c r="VIN242" s="300"/>
      <c r="VIO242" s="300"/>
      <c r="VIP242" s="300"/>
      <c r="VIQ242" s="300"/>
      <c r="VIR242" s="300"/>
      <c r="VIS242" s="300"/>
      <c r="VIT242" s="300"/>
      <c r="VIU242" s="300"/>
      <c r="VIV242" s="300"/>
      <c r="VIW242" s="300"/>
      <c r="VIX242" s="300"/>
      <c r="VIY242" s="300"/>
      <c r="VIZ242" s="300"/>
      <c r="VJA242" s="300"/>
      <c r="VJB242" s="300"/>
      <c r="VJC242" s="300"/>
      <c r="VJD242" s="300"/>
      <c r="VJE242" s="300"/>
      <c r="VJF242" s="300"/>
      <c r="VJG242" s="300"/>
      <c r="VJH242" s="300"/>
      <c r="VJI242" s="300"/>
      <c r="VJJ242" s="300"/>
      <c r="VJK242" s="300"/>
      <c r="VJL242" s="300"/>
      <c r="VJM242" s="300"/>
      <c r="VJN242" s="300"/>
      <c r="VJO242" s="300"/>
      <c r="VJP242" s="300"/>
      <c r="VJQ242" s="300"/>
      <c r="VJR242" s="300"/>
      <c r="VJS242" s="300"/>
      <c r="VJT242" s="300"/>
      <c r="VJU242" s="300"/>
      <c r="VJV242" s="300"/>
      <c r="VJW242" s="300"/>
      <c r="VJX242" s="300"/>
      <c r="VJY242" s="300"/>
      <c r="VJZ242" s="300"/>
      <c r="VKA242" s="300"/>
      <c r="VKB242" s="300"/>
      <c r="VKC242" s="300"/>
      <c r="VKD242" s="300"/>
      <c r="VKE242" s="300"/>
      <c r="VKF242" s="300"/>
      <c r="VKG242" s="300"/>
      <c r="VKH242" s="300"/>
      <c r="VKI242" s="300"/>
      <c r="VKJ242" s="300"/>
      <c r="VKK242" s="300"/>
      <c r="VKL242" s="300"/>
      <c r="VKM242" s="300"/>
      <c r="VKN242" s="300"/>
      <c r="VKO242" s="300"/>
      <c r="VKP242" s="300"/>
      <c r="VKQ242" s="300"/>
      <c r="VKR242" s="300"/>
      <c r="VKS242" s="300"/>
      <c r="VKT242" s="300"/>
      <c r="VKU242" s="300"/>
      <c r="VKV242" s="300"/>
      <c r="VKW242" s="300"/>
      <c r="VKX242" s="300"/>
      <c r="VKY242" s="300"/>
      <c r="VKZ242" s="300"/>
      <c r="VLA242" s="300"/>
      <c r="VLB242" s="300"/>
      <c r="VLC242" s="300"/>
      <c r="VLD242" s="300"/>
      <c r="VLE242" s="300"/>
      <c r="VLF242" s="300"/>
      <c r="VLG242" s="300"/>
      <c r="VLH242" s="300"/>
      <c r="VLI242" s="300"/>
      <c r="VLJ242" s="300"/>
      <c r="VLK242" s="300"/>
      <c r="VLL242" s="300"/>
      <c r="VLM242" s="300"/>
      <c r="VLN242" s="300"/>
      <c r="VLO242" s="300"/>
      <c r="VLP242" s="300"/>
      <c r="VLQ242" s="300"/>
      <c r="VLR242" s="300"/>
      <c r="VLS242" s="300"/>
      <c r="VLT242" s="300"/>
      <c r="VLU242" s="300"/>
      <c r="VLV242" s="300"/>
      <c r="VLW242" s="300"/>
      <c r="VLX242" s="300"/>
      <c r="VLY242" s="300"/>
      <c r="VLZ242" s="300"/>
      <c r="VMA242" s="300"/>
      <c r="VMB242" s="300"/>
      <c r="VMC242" s="300"/>
      <c r="VMD242" s="300"/>
      <c r="VME242" s="300"/>
      <c r="VMF242" s="300"/>
      <c r="VMG242" s="300"/>
      <c r="VMH242" s="300"/>
      <c r="VMI242" s="300"/>
      <c r="VMJ242" s="300"/>
      <c r="VMK242" s="300"/>
      <c r="VML242" s="300"/>
      <c r="VMM242" s="300"/>
      <c r="VMN242" s="300"/>
      <c r="VMO242" s="300"/>
      <c r="VMP242" s="300"/>
      <c r="VMQ242" s="300"/>
      <c r="VMR242" s="300"/>
      <c r="VMS242" s="300"/>
      <c r="VMT242" s="300"/>
      <c r="VMU242" s="300"/>
      <c r="VMV242" s="300"/>
      <c r="VMW242" s="300"/>
      <c r="VMX242" s="300"/>
      <c r="VMY242" s="300"/>
      <c r="VMZ242" s="300"/>
      <c r="VNA242" s="300"/>
      <c r="VNB242" s="300"/>
      <c r="VNC242" s="300"/>
      <c r="VND242" s="300"/>
      <c r="VNE242" s="300"/>
      <c r="VNF242" s="300"/>
      <c r="VNG242" s="300"/>
      <c r="VNH242" s="300"/>
      <c r="VNI242" s="300"/>
      <c r="VNJ242" s="300"/>
      <c r="VNK242" s="300"/>
      <c r="VNL242" s="300"/>
      <c r="VNM242" s="300"/>
      <c r="VNN242" s="300"/>
      <c r="VNO242" s="300"/>
      <c r="VNP242" s="300"/>
      <c r="VNQ242" s="300"/>
      <c r="VNR242" s="300"/>
      <c r="VNS242" s="300"/>
      <c r="VNT242" s="300"/>
      <c r="VNU242" s="300"/>
      <c r="VNV242" s="300"/>
      <c r="VNW242" s="300"/>
      <c r="VNX242" s="300"/>
      <c r="VNY242" s="300"/>
      <c r="VNZ242" s="300"/>
      <c r="VOA242" s="300"/>
      <c r="VOB242" s="300"/>
      <c r="VOC242" s="300"/>
      <c r="VOD242" s="300"/>
      <c r="VOE242" s="300"/>
      <c r="VOF242" s="300"/>
      <c r="VOG242" s="300"/>
      <c r="VOH242" s="300"/>
      <c r="VOI242" s="300"/>
      <c r="VOJ242" s="300"/>
      <c r="VOK242" s="300"/>
      <c r="VOL242" s="300"/>
      <c r="VOM242" s="300"/>
      <c r="VON242" s="300"/>
      <c r="VOO242" s="300"/>
      <c r="VOP242" s="300"/>
      <c r="VOQ242" s="300"/>
      <c r="VOR242" s="300"/>
      <c r="VOS242" s="300"/>
      <c r="VOT242" s="300"/>
      <c r="VOU242" s="300"/>
      <c r="VOV242" s="300"/>
      <c r="VOW242" s="300"/>
      <c r="VOX242" s="300"/>
      <c r="VOY242" s="300"/>
      <c r="VOZ242" s="300"/>
      <c r="VPA242" s="300"/>
      <c r="VPB242" s="300"/>
      <c r="VPC242" s="300"/>
      <c r="VPD242" s="300"/>
      <c r="VPE242" s="300"/>
      <c r="VPF242" s="300"/>
      <c r="VPG242" s="300"/>
      <c r="VPH242" s="300"/>
      <c r="VPI242" s="300"/>
      <c r="VPJ242" s="300"/>
      <c r="VPK242" s="300"/>
      <c r="VPL242" s="300"/>
      <c r="VPM242" s="300"/>
      <c r="VPN242" s="300"/>
      <c r="VPO242" s="300"/>
      <c r="VPP242" s="300"/>
      <c r="VPQ242" s="300"/>
      <c r="VPR242" s="300"/>
      <c r="VPS242" s="300"/>
      <c r="VPT242" s="300"/>
      <c r="VPU242" s="300"/>
      <c r="VPV242" s="300"/>
      <c r="VPW242" s="300"/>
      <c r="VPX242" s="300"/>
      <c r="VPY242" s="300"/>
      <c r="VPZ242" s="300"/>
      <c r="VQA242" s="300"/>
      <c r="VQB242" s="300"/>
      <c r="VQC242" s="300"/>
      <c r="VQD242" s="300"/>
      <c r="VQE242" s="300"/>
      <c r="VQF242" s="300"/>
      <c r="VQG242" s="300"/>
      <c r="VQH242" s="300"/>
      <c r="VQI242" s="300"/>
      <c r="VQJ242" s="300"/>
      <c r="VQK242" s="300"/>
      <c r="VQL242" s="300"/>
      <c r="VQM242" s="300"/>
      <c r="VQN242" s="300"/>
      <c r="VQO242" s="300"/>
      <c r="VQP242" s="300"/>
      <c r="VQQ242" s="300"/>
      <c r="VQR242" s="300"/>
      <c r="VQS242" s="300"/>
      <c r="VQT242" s="300"/>
      <c r="VQU242" s="300"/>
      <c r="VQV242" s="300"/>
      <c r="VQW242" s="300"/>
      <c r="VQX242" s="300"/>
      <c r="VQY242" s="300"/>
      <c r="VQZ242" s="300"/>
      <c r="VRA242" s="300"/>
      <c r="VRB242" s="300"/>
      <c r="VRC242" s="300"/>
      <c r="VRD242" s="300"/>
      <c r="VRE242" s="300"/>
      <c r="VRF242" s="300"/>
      <c r="VRG242" s="300"/>
      <c r="VRH242" s="300"/>
      <c r="VRI242" s="300"/>
      <c r="VRJ242" s="300"/>
      <c r="VRK242" s="300"/>
      <c r="VRL242" s="300"/>
      <c r="VRM242" s="300"/>
      <c r="VRN242" s="300"/>
      <c r="VRO242" s="300"/>
      <c r="VRP242" s="300"/>
      <c r="VRQ242" s="300"/>
      <c r="VRR242" s="300"/>
      <c r="VRS242" s="300"/>
      <c r="VRT242" s="300"/>
      <c r="VRU242" s="300"/>
      <c r="VRV242" s="300"/>
      <c r="VRW242" s="300"/>
      <c r="VRX242" s="300"/>
      <c r="VRY242" s="300"/>
      <c r="VRZ242" s="300"/>
      <c r="VSA242" s="300"/>
      <c r="VSB242" s="300"/>
      <c r="VSC242" s="300"/>
      <c r="VSD242" s="300"/>
      <c r="VSE242" s="300"/>
      <c r="VSF242" s="300"/>
      <c r="VSG242" s="300"/>
      <c r="VSH242" s="300"/>
      <c r="VSI242" s="300"/>
      <c r="VSJ242" s="300"/>
      <c r="VSK242" s="300"/>
      <c r="VSL242" s="300"/>
      <c r="VSM242" s="300"/>
      <c r="VSN242" s="300"/>
      <c r="VSO242" s="300"/>
      <c r="VSP242" s="300"/>
      <c r="VSQ242" s="300"/>
      <c r="VSR242" s="300"/>
      <c r="VSS242" s="300"/>
      <c r="VST242" s="300"/>
      <c r="VSU242" s="300"/>
      <c r="VSV242" s="300"/>
      <c r="VSW242" s="300"/>
      <c r="VSX242" s="300"/>
      <c r="VSY242" s="300"/>
      <c r="VSZ242" s="300"/>
      <c r="VTA242" s="300"/>
      <c r="VTB242" s="300"/>
      <c r="VTC242" s="300"/>
      <c r="VTD242" s="300"/>
      <c r="VTE242" s="300"/>
      <c r="VTF242" s="300"/>
      <c r="VTG242" s="300"/>
      <c r="VTH242" s="300"/>
      <c r="VTI242" s="300"/>
      <c r="VTJ242" s="300"/>
      <c r="VTK242" s="300"/>
      <c r="VTL242" s="300"/>
      <c r="VTM242" s="300"/>
      <c r="VTN242" s="300"/>
      <c r="VTO242" s="300"/>
      <c r="VTP242" s="300"/>
      <c r="VTQ242" s="300"/>
      <c r="VTR242" s="300"/>
      <c r="VTS242" s="300"/>
      <c r="VTT242" s="300"/>
      <c r="VTU242" s="300"/>
      <c r="VTV242" s="300"/>
      <c r="VTW242" s="300"/>
      <c r="VTX242" s="300"/>
      <c r="VTY242" s="300"/>
      <c r="VTZ242" s="300"/>
      <c r="VUA242" s="300"/>
      <c r="VUB242" s="300"/>
      <c r="VUC242" s="300"/>
      <c r="VUD242" s="300"/>
      <c r="VUE242" s="300"/>
      <c r="VUF242" s="300"/>
      <c r="VUG242" s="300"/>
      <c r="VUH242" s="300"/>
      <c r="VUI242" s="300"/>
      <c r="VUJ242" s="300"/>
      <c r="VUK242" s="300"/>
      <c r="VUL242" s="300"/>
      <c r="VUM242" s="300"/>
      <c r="VUN242" s="300"/>
      <c r="VUO242" s="300"/>
      <c r="VUP242" s="300"/>
      <c r="VUQ242" s="300"/>
      <c r="VUR242" s="300"/>
      <c r="VUS242" s="300"/>
      <c r="VUT242" s="300"/>
      <c r="VUU242" s="300"/>
      <c r="VUV242" s="300"/>
      <c r="VUW242" s="300"/>
      <c r="VUX242" s="300"/>
      <c r="VUY242" s="300"/>
      <c r="VUZ242" s="300"/>
      <c r="VVA242" s="300"/>
      <c r="VVB242" s="300"/>
      <c r="VVC242" s="300"/>
      <c r="VVD242" s="300"/>
      <c r="VVE242" s="300"/>
      <c r="VVF242" s="300"/>
      <c r="VVG242" s="300"/>
      <c r="VVH242" s="300"/>
      <c r="VVI242" s="300"/>
      <c r="VVJ242" s="300"/>
      <c r="VVK242" s="300"/>
      <c r="VVL242" s="300"/>
      <c r="VVM242" s="300"/>
      <c r="VVN242" s="300"/>
      <c r="VVO242" s="300"/>
      <c r="VVP242" s="300"/>
    </row>
    <row r="243" spans="2:102 15068:15460" s="199" customFormat="1" ht="15.75" hidden="1" customHeight="1" x14ac:dyDescent="0.3">
      <c r="B243" s="242"/>
      <c r="C243" s="279" t="s">
        <v>1</v>
      </c>
      <c r="D243" s="280"/>
      <c r="E243" s="281" t="s">
        <v>16</v>
      </c>
      <c r="F243" s="282"/>
      <c r="G243" s="282"/>
      <c r="H243" s="282"/>
      <c r="I243" s="282"/>
      <c r="J243" s="282"/>
      <c r="K243" s="282"/>
      <c r="L243" s="282">
        <f t="shared" ref="L243:AF243" si="95">SUM(L238:L242)</f>
        <v>1345050</v>
      </c>
      <c r="M243" s="282">
        <f t="shared" si="95"/>
        <v>1617420</v>
      </c>
      <c r="N243" s="282">
        <f t="shared" si="95"/>
        <v>1793630</v>
      </c>
      <c r="O243" s="282">
        <f t="shared" si="95"/>
        <v>1332400</v>
      </c>
      <c r="P243" s="282">
        <f t="shared" si="95"/>
        <v>1804530</v>
      </c>
      <c r="Q243" s="282">
        <f t="shared" si="95"/>
        <v>1816620</v>
      </c>
      <c r="R243" s="282">
        <f t="shared" si="95"/>
        <v>1766630</v>
      </c>
      <c r="S243" s="282">
        <f t="shared" si="95"/>
        <v>1233610</v>
      </c>
      <c r="T243" s="282">
        <f t="shared" si="95"/>
        <v>1013340</v>
      </c>
      <c r="U243" s="282">
        <f t="shared" si="95"/>
        <v>1009220</v>
      </c>
      <c r="V243" s="282">
        <f t="shared" si="95"/>
        <v>1288830</v>
      </c>
      <c r="W243" s="282">
        <f t="shared" si="95"/>
        <v>0</v>
      </c>
      <c r="X243" s="282">
        <f t="shared" si="95"/>
        <v>0</v>
      </c>
      <c r="Y243" s="282">
        <f t="shared" si="95"/>
        <v>0</v>
      </c>
      <c r="Z243" s="282">
        <f t="shared" si="95"/>
        <v>0</v>
      </c>
      <c r="AA243" s="282">
        <f t="shared" si="95"/>
        <v>0</v>
      </c>
      <c r="AB243" s="282">
        <f t="shared" si="95"/>
        <v>0</v>
      </c>
      <c r="AC243" s="282">
        <f t="shared" si="95"/>
        <v>0</v>
      </c>
      <c r="AD243" s="282">
        <f t="shared" si="95"/>
        <v>299440</v>
      </c>
      <c r="AE243" s="282">
        <f t="shared" si="95"/>
        <v>108510</v>
      </c>
      <c r="AF243" s="282">
        <f t="shared" si="95"/>
        <v>0</v>
      </c>
      <c r="AG243" s="282"/>
      <c r="AH243" s="282"/>
      <c r="AI243" s="282"/>
      <c r="AK243" s="272">
        <f>SUM(AK238:AK242)</f>
        <v>16429230</v>
      </c>
      <c r="CX243" s="323"/>
    </row>
    <row r="273" spans="2:102 15068:15460" s="3" customFormat="1" x14ac:dyDescent="0.3">
      <c r="B273" s="303"/>
      <c r="E273" s="199"/>
      <c r="Y273" s="299"/>
      <c r="CX273" s="17"/>
      <c r="VGN273" s="300"/>
      <c r="VGO273" s="300"/>
      <c r="VGP273" s="300"/>
      <c r="VGQ273" s="300"/>
      <c r="VGR273" s="300"/>
      <c r="VGS273" s="300"/>
      <c r="VGT273" s="300"/>
      <c r="VGU273" s="300"/>
      <c r="VGV273" s="300"/>
      <c r="VGW273" s="300"/>
      <c r="VGX273" s="300"/>
      <c r="VGY273" s="300"/>
      <c r="VGZ273" s="300"/>
      <c r="VHA273" s="300"/>
      <c r="VHB273" s="300"/>
      <c r="VHC273" s="300"/>
      <c r="VHD273" s="300"/>
      <c r="VHE273" s="300"/>
      <c r="VHF273" s="300"/>
      <c r="VHG273" s="300"/>
      <c r="VHH273" s="300"/>
      <c r="VHI273" s="300"/>
      <c r="VHJ273" s="300"/>
      <c r="VHK273" s="300"/>
      <c r="VHL273" s="300"/>
      <c r="VHM273" s="300"/>
      <c r="VHN273" s="300"/>
      <c r="VHO273" s="300"/>
      <c r="VHP273" s="300"/>
      <c r="VHQ273" s="300"/>
      <c r="VHR273" s="300"/>
      <c r="VHS273" s="300"/>
      <c r="VHT273" s="300"/>
      <c r="VHU273" s="300"/>
      <c r="VHV273" s="300"/>
      <c r="VHW273" s="300"/>
      <c r="VHX273" s="300"/>
      <c r="VHY273" s="300"/>
      <c r="VHZ273" s="300"/>
      <c r="VIA273" s="300"/>
      <c r="VIB273" s="300"/>
      <c r="VIC273" s="300"/>
      <c r="VID273" s="300"/>
      <c r="VIE273" s="300"/>
      <c r="VIF273" s="300"/>
      <c r="VIG273" s="300"/>
      <c r="VIH273" s="300"/>
      <c r="VII273" s="300"/>
      <c r="VIJ273" s="300"/>
      <c r="VIK273" s="300"/>
      <c r="VIL273" s="300"/>
      <c r="VIM273" s="300"/>
      <c r="VIN273" s="300"/>
      <c r="VIO273" s="300"/>
      <c r="VIP273" s="300"/>
      <c r="VIQ273" s="300"/>
      <c r="VIR273" s="300"/>
      <c r="VIS273" s="300"/>
      <c r="VIT273" s="300"/>
      <c r="VIU273" s="300"/>
      <c r="VIV273" s="300"/>
      <c r="VIW273" s="300"/>
      <c r="VIX273" s="300"/>
      <c r="VIY273" s="300"/>
      <c r="VIZ273" s="300"/>
      <c r="VJA273" s="300"/>
      <c r="VJB273" s="300"/>
      <c r="VJC273" s="300"/>
      <c r="VJD273" s="300"/>
      <c r="VJE273" s="300"/>
      <c r="VJF273" s="300"/>
      <c r="VJG273" s="300"/>
      <c r="VJH273" s="300"/>
      <c r="VJI273" s="300"/>
      <c r="VJJ273" s="300"/>
      <c r="VJK273" s="300"/>
      <c r="VJL273" s="300"/>
      <c r="VJM273" s="300"/>
      <c r="VJN273" s="300"/>
      <c r="VJO273" s="300"/>
      <c r="VJP273" s="300"/>
      <c r="VJQ273" s="300"/>
      <c r="VJR273" s="300"/>
      <c r="VJS273" s="300"/>
      <c r="VJT273" s="300"/>
      <c r="VJU273" s="300"/>
      <c r="VJV273" s="300"/>
      <c r="VJW273" s="300"/>
      <c r="VJX273" s="300"/>
      <c r="VJY273" s="300"/>
      <c r="VJZ273" s="300"/>
      <c r="VKA273" s="300"/>
      <c r="VKB273" s="300"/>
      <c r="VKC273" s="300"/>
      <c r="VKD273" s="300"/>
      <c r="VKE273" s="300"/>
      <c r="VKF273" s="300"/>
      <c r="VKG273" s="300"/>
      <c r="VKH273" s="300"/>
      <c r="VKI273" s="300"/>
      <c r="VKJ273" s="300"/>
      <c r="VKK273" s="300"/>
      <c r="VKL273" s="300"/>
      <c r="VKM273" s="300"/>
      <c r="VKN273" s="300"/>
      <c r="VKO273" s="300"/>
      <c r="VKP273" s="300"/>
      <c r="VKQ273" s="300"/>
      <c r="VKR273" s="300"/>
      <c r="VKS273" s="300"/>
      <c r="VKT273" s="300"/>
      <c r="VKU273" s="300"/>
      <c r="VKV273" s="300"/>
      <c r="VKW273" s="300"/>
      <c r="VKX273" s="300"/>
      <c r="VKY273" s="300"/>
      <c r="VKZ273" s="300"/>
      <c r="VLA273" s="300"/>
      <c r="VLB273" s="300"/>
      <c r="VLC273" s="300"/>
      <c r="VLD273" s="300"/>
      <c r="VLE273" s="300"/>
      <c r="VLF273" s="300"/>
      <c r="VLG273" s="300"/>
      <c r="VLH273" s="300"/>
      <c r="VLI273" s="300"/>
      <c r="VLJ273" s="300"/>
      <c r="VLK273" s="300"/>
      <c r="VLL273" s="300"/>
      <c r="VLM273" s="300"/>
      <c r="VLN273" s="300"/>
      <c r="VLO273" s="300"/>
      <c r="VLP273" s="300"/>
      <c r="VLQ273" s="300"/>
      <c r="VLR273" s="300"/>
      <c r="VLS273" s="300"/>
      <c r="VLT273" s="300"/>
      <c r="VLU273" s="300"/>
      <c r="VLV273" s="300"/>
      <c r="VLW273" s="300"/>
      <c r="VLX273" s="300"/>
      <c r="VLY273" s="300"/>
      <c r="VLZ273" s="300"/>
      <c r="VMA273" s="300"/>
      <c r="VMB273" s="300"/>
      <c r="VMC273" s="300"/>
      <c r="VMD273" s="300"/>
      <c r="VME273" s="300"/>
      <c r="VMF273" s="300"/>
      <c r="VMG273" s="300"/>
      <c r="VMH273" s="300"/>
      <c r="VMI273" s="300"/>
      <c r="VMJ273" s="300"/>
      <c r="VMK273" s="300"/>
      <c r="VML273" s="300"/>
      <c r="VMM273" s="300"/>
      <c r="VMN273" s="300"/>
      <c r="VMO273" s="300"/>
      <c r="VMP273" s="300"/>
      <c r="VMQ273" s="300"/>
      <c r="VMR273" s="300"/>
      <c r="VMS273" s="300"/>
      <c r="VMT273" s="300"/>
      <c r="VMU273" s="300"/>
      <c r="VMV273" s="300"/>
      <c r="VMW273" s="300"/>
      <c r="VMX273" s="300"/>
      <c r="VMY273" s="300"/>
      <c r="VMZ273" s="300"/>
      <c r="VNA273" s="300"/>
      <c r="VNB273" s="300"/>
      <c r="VNC273" s="300"/>
      <c r="VND273" s="300"/>
      <c r="VNE273" s="300"/>
      <c r="VNF273" s="300"/>
      <c r="VNG273" s="300"/>
      <c r="VNH273" s="300"/>
      <c r="VNI273" s="300"/>
      <c r="VNJ273" s="300"/>
      <c r="VNK273" s="300"/>
      <c r="VNL273" s="300"/>
      <c r="VNM273" s="300"/>
      <c r="VNN273" s="300"/>
      <c r="VNO273" s="300"/>
      <c r="VNP273" s="300"/>
      <c r="VNQ273" s="300"/>
      <c r="VNR273" s="300"/>
      <c r="VNS273" s="300"/>
      <c r="VNT273" s="300"/>
      <c r="VNU273" s="300"/>
      <c r="VNV273" s="300"/>
      <c r="VNW273" s="300"/>
      <c r="VNX273" s="300"/>
      <c r="VNY273" s="300"/>
      <c r="VNZ273" s="300"/>
      <c r="VOA273" s="300"/>
      <c r="VOB273" s="300"/>
      <c r="VOC273" s="300"/>
      <c r="VOD273" s="300"/>
      <c r="VOE273" s="300"/>
      <c r="VOF273" s="300"/>
      <c r="VOG273" s="300"/>
      <c r="VOH273" s="300"/>
      <c r="VOI273" s="300"/>
      <c r="VOJ273" s="300"/>
      <c r="VOK273" s="300"/>
      <c r="VOL273" s="300"/>
      <c r="VOM273" s="300"/>
      <c r="VON273" s="300"/>
      <c r="VOO273" s="300"/>
      <c r="VOP273" s="300"/>
      <c r="VOQ273" s="300"/>
      <c r="VOR273" s="300"/>
      <c r="VOS273" s="300"/>
      <c r="VOT273" s="300"/>
      <c r="VOU273" s="300"/>
      <c r="VOV273" s="300"/>
      <c r="VOW273" s="300"/>
      <c r="VOX273" s="300"/>
      <c r="VOY273" s="300"/>
      <c r="VOZ273" s="300"/>
      <c r="VPA273" s="300"/>
      <c r="VPB273" s="300"/>
      <c r="VPC273" s="300"/>
      <c r="VPD273" s="300"/>
      <c r="VPE273" s="300"/>
      <c r="VPF273" s="300"/>
      <c r="VPG273" s="300"/>
      <c r="VPH273" s="300"/>
      <c r="VPI273" s="300"/>
      <c r="VPJ273" s="300"/>
      <c r="VPK273" s="300"/>
      <c r="VPL273" s="300"/>
      <c r="VPM273" s="300"/>
      <c r="VPN273" s="300"/>
      <c r="VPO273" s="300"/>
      <c r="VPP273" s="300"/>
      <c r="VPQ273" s="300"/>
      <c r="VPR273" s="300"/>
      <c r="VPS273" s="300"/>
      <c r="VPT273" s="300"/>
      <c r="VPU273" s="300"/>
      <c r="VPV273" s="300"/>
      <c r="VPW273" s="300"/>
      <c r="VPX273" s="300"/>
      <c r="VPY273" s="300"/>
      <c r="VPZ273" s="300"/>
      <c r="VQA273" s="300"/>
      <c r="VQB273" s="300"/>
      <c r="VQC273" s="300"/>
      <c r="VQD273" s="300"/>
      <c r="VQE273" s="300"/>
      <c r="VQF273" s="300"/>
      <c r="VQG273" s="300"/>
      <c r="VQH273" s="300"/>
      <c r="VQI273" s="300"/>
      <c r="VQJ273" s="300"/>
      <c r="VQK273" s="300"/>
      <c r="VQL273" s="300"/>
      <c r="VQM273" s="300"/>
      <c r="VQN273" s="300"/>
      <c r="VQO273" s="300"/>
      <c r="VQP273" s="300"/>
      <c r="VQQ273" s="300"/>
      <c r="VQR273" s="300"/>
      <c r="VQS273" s="300"/>
      <c r="VQT273" s="300"/>
      <c r="VQU273" s="300"/>
      <c r="VQV273" s="300"/>
      <c r="VQW273" s="300"/>
      <c r="VQX273" s="300"/>
      <c r="VQY273" s="300"/>
      <c r="VQZ273" s="300"/>
      <c r="VRA273" s="300"/>
      <c r="VRB273" s="300"/>
      <c r="VRC273" s="300"/>
      <c r="VRD273" s="300"/>
      <c r="VRE273" s="300"/>
      <c r="VRF273" s="300"/>
      <c r="VRG273" s="300"/>
      <c r="VRH273" s="300"/>
      <c r="VRI273" s="300"/>
      <c r="VRJ273" s="300"/>
      <c r="VRK273" s="300"/>
      <c r="VRL273" s="300"/>
      <c r="VRM273" s="300"/>
      <c r="VRN273" s="300"/>
      <c r="VRO273" s="300"/>
      <c r="VRP273" s="300"/>
      <c r="VRQ273" s="300"/>
      <c r="VRR273" s="300"/>
      <c r="VRS273" s="300"/>
      <c r="VRT273" s="300"/>
      <c r="VRU273" s="300"/>
      <c r="VRV273" s="300"/>
      <c r="VRW273" s="300"/>
      <c r="VRX273" s="300"/>
      <c r="VRY273" s="300"/>
      <c r="VRZ273" s="300"/>
      <c r="VSA273" s="300"/>
      <c r="VSB273" s="300"/>
      <c r="VSC273" s="300"/>
      <c r="VSD273" s="300"/>
      <c r="VSE273" s="300"/>
      <c r="VSF273" s="300"/>
      <c r="VSG273" s="300"/>
      <c r="VSH273" s="300"/>
      <c r="VSI273" s="300"/>
      <c r="VSJ273" s="300"/>
      <c r="VSK273" s="300"/>
      <c r="VSL273" s="300"/>
      <c r="VSM273" s="300"/>
      <c r="VSN273" s="300"/>
      <c r="VSO273" s="300"/>
      <c r="VSP273" s="300"/>
      <c r="VSQ273" s="300"/>
      <c r="VSR273" s="300"/>
      <c r="VSS273" s="300"/>
      <c r="VST273" s="300"/>
      <c r="VSU273" s="300"/>
      <c r="VSV273" s="300"/>
      <c r="VSW273" s="300"/>
      <c r="VSX273" s="300"/>
      <c r="VSY273" s="300"/>
      <c r="VSZ273" s="300"/>
      <c r="VTA273" s="300"/>
      <c r="VTB273" s="300"/>
      <c r="VTC273" s="300"/>
      <c r="VTD273" s="300"/>
      <c r="VTE273" s="300"/>
      <c r="VTF273" s="300"/>
      <c r="VTG273" s="300"/>
      <c r="VTH273" s="300"/>
      <c r="VTI273" s="300"/>
      <c r="VTJ273" s="300"/>
      <c r="VTK273" s="300"/>
      <c r="VTL273" s="300"/>
      <c r="VTM273" s="300"/>
      <c r="VTN273" s="300"/>
      <c r="VTO273" s="300"/>
      <c r="VTP273" s="300"/>
      <c r="VTQ273" s="300"/>
      <c r="VTR273" s="300"/>
      <c r="VTS273" s="300"/>
      <c r="VTT273" s="300"/>
      <c r="VTU273" s="300"/>
      <c r="VTV273" s="300"/>
      <c r="VTW273" s="300"/>
      <c r="VTX273" s="300"/>
      <c r="VTY273" s="300"/>
      <c r="VTZ273" s="300"/>
      <c r="VUA273" s="300"/>
      <c r="VUB273" s="300"/>
      <c r="VUC273" s="300"/>
      <c r="VUD273" s="300"/>
      <c r="VUE273" s="300"/>
      <c r="VUF273" s="300"/>
      <c r="VUG273" s="300"/>
      <c r="VUH273" s="300"/>
      <c r="VUI273" s="300"/>
      <c r="VUJ273" s="300"/>
      <c r="VUK273" s="300"/>
      <c r="VUL273" s="300"/>
      <c r="VUM273" s="300"/>
      <c r="VUN273" s="300"/>
      <c r="VUO273" s="300"/>
      <c r="VUP273" s="300"/>
      <c r="VUQ273" s="300"/>
      <c r="VUR273" s="300"/>
      <c r="VUS273" s="300"/>
      <c r="VUT273" s="300"/>
      <c r="VUU273" s="300"/>
      <c r="VUV273" s="300"/>
      <c r="VUW273" s="300"/>
      <c r="VUX273" s="300"/>
      <c r="VUY273" s="300"/>
      <c r="VUZ273" s="300"/>
      <c r="VVA273" s="300"/>
      <c r="VVB273" s="300"/>
      <c r="VVC273" s="300"/>
      <c r="VVD273" s="300"/>
      <c r="VVE273" s="300"/>
      <c r="VVF273" s="300"/>
      <c r="VVG273" s="300"/>
      <c r="VVH273" s="300"/>
      <c r="VVI273" s="300"/>
      <c r="VVJ273" s="300"/>
      <c r="VVK273" s="300"/>
      <c r="VVL273" s="300"/>
      <c r="VVM273" s="300"/>
      <c r="VVN273" s="300"/>
      <c r="VVO273" s="300"/>
      <c r="VVP273" s="300"/>
    </row>
  </sheetData>
  <mergeCells count="7">
    <mergeCell ref="B2:AI2"/>
    <mergeCell ref="F5:AI5"/>
    <mergeCell ref="AK5:AK6"/>
    <mergeCell ref="B5:B6"/>
    <mergeCell ref="C5:C6"/>
    <mergeCell ref="D5:D6"/>
    <mergeCell ref="E5:E6"/>
  </mergeCells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- 23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Triana Bayu Pramoedito</cp:lastModifiedBy>
  <dcterms:created xsi:type="dcterms:W3CDTF">2022-09-06T08:59:53Z</dcterms:created>
  <dcterms:modified xsi:type="dcterms:W3CDTF">2023-12-04T15:30:08Z</dcterms:modified>
</cp:coreProperties>
</file>