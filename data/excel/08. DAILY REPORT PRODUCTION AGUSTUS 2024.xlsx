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8BD85E50-33FD-401A-A458-88C5415E2AE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Agustus - 2024" sheetId="6" r:id="rId1"/>
    <sheet name="HPP REF " sheetId="11" state="hidden" r:id="rId2"/>
    <sheet name="HPP FRACT " sheetId="12" state="hidden" r:id="rId3"/>
    <sheet name="SUMARY HPP" sheetId="14" state="hidden" r:id="rId4"/>
    <sheet name="Convert Gas" sheetId="3" r:id="rId5"/>
    <sheet name="OIP Refinery" sheetId="10" r:id="rId6"/>
    <sheet name="OIP Fract" sheetId="4" r:id="rId7"/>
    <sheet name="Detail Agustus OIP Akhir Plant" sheetId="16" r:id="rId8"/>
    <sheet name="Juli - 2024xx" sheetId="1" state="hidden" r:id="rId9"/>
    <sheet name="2024" sheetId="15" state="hidden" r:id="rId10"/>
    <sheet name="Flow Meter" sheetId="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Print_Area" localSheetId="0">'Agustus - 2024'!$V$61:$AN$259</definedName>
    <definedName name="_xlnm.Print_Area" localSheetId="7">'Detail Agustus OIP Akhir Plant'!$B$1:$P$45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6" i="6" l="1"/>
  <c r="AK16" i="6"/>
  <c r="AK9" i="6"/>
  <c r="AK40" i="6"/>
  <c r="AK39" i="6"/>
  <c r="AK21" i="6"/>
  <c r="AK243" i="6" s="1"/>
  <c r="AK17" i="6"/>
  <c r="AK7" i="6"/>
  <c r="U234" i="6"/>
  <c r="AN36" i="6"/>
  <c r="AN35" i="6"/>
  <c r="AN34" i="6"/>
  <c r="AN33" i="6"/>
  <c r="AN31" i="6"/>
  <c r="AN30" i="6"/>
  <c r="AN29" i="6"/>
  <c r="AN20" i="6"/>
  <c r="G23" i="10"/>
  <c r="AB33" i="16"/>
  <c r="H32" i="16"/>
  <c r="H31" i="16"/>
  <c r="H30" i="16"/>
  <c r="N29" i="16"/>
  <c r="H29" i="16"/>
  <c r="N28" i="16"/>
  <c r="L32" i="16" s="1"/>
  <c r="H28" i="16"/>
  <c r="N27" i="16"/>
  <c r="H27" i="16"/>
  <c r="N26" i="16"/>
  <c r="L33" i="16" s="1"/>
  <c r="H26" i="16"/>
  <c r="N25" i="16"/>
  <c r="H25" i="16"/>
  <c r="N24" i="16"/>
  <c r="H24" i="16"/>
  <c r="N23" i="16"/>
  <c r="H23" i="16"/>
  <c r="N22" i="16"/>
  <c r="H22" i="16"/>
  <c r="N21" i="16"/>
  <c r="H21" i="16"/>
  <c r="N20" i="16"/>
  <c r="H20" i="16"/>
  <c r="N19" i="16"/>
  <c r="H19" i="16"/>
  <c r="N18" i="16"/>
  <c r="H18" i="16"/>
  <c r="N17" i="16"/>
  <c r="H17" i="16"/>
  <c r="N16" i="16"/>
  <c r="H16" i="16"/>
  <c r="N15" i="16"/>
  <c r="H15" i="16"/>
  <c r="N14" i="16"/>
  <c r="H14" i="16"/>
  <c r="N13" i="16"/>
  <c r="H13" i="16"/>
  <c r="N12" i="16"/>
  <c r="H12" i="16"/>
  <c r="E35" i="16" s="1"/>
  <c r="N11" i="16"/>
  <c r="N30" i="16" s="1"/>
  <c r="H11" i="16"/>
  <c r="H33" i="16" s="1"/>
  <c r="E36" i="16" s="1"/>
  <c r="AN6" i="6" l="1"/>
  <c r="F37" i="3"/>
  <c r="H37" i="3" s="1"/>
  <c r="J37" i="3" s="1"/>
  <c r="E37" i="3"/>
  <c r="M37" i="3" l="1"/>
  <c r="K37" i="3"/>
  <c r="N37" i="3" s="1"/>
  <c r="AK241" i="6" l="1"/>
  <c r="AK234" i="6"/>
  <c r="AK232" i="6"/>
  <c r="AK236" i="6" s="1"/>
  <c r="AL232" i="6"/>
  <c r="AK62" i="6"/>
  <c r="AK13" i="6"/>
  <c r="AN12" i="6"/>
  <c r="AK12" i="6"/>
  <c r="AJ250" i="6"/>
  <c r="AJ245" i="6"/>
  <c r="AJ235" i="6"/>
  <c r="AJ233" i="6"/>
  <c r="AJ227" i="6"/>
  <c r="AJ226" i="6"/>
  <c r="AJ71" i="6"/>
  <c r="AJ54" i="6"/>
  <c r="AJ53" i="6"/>
  <c r="AJ52" i="6"/>
  <c r="AJ51" i="6"/>
  <c r="AJ43" i="6"/>
  <c r="AJ60" i="6" s="1"/>
  <c r="AJ40" i="6"/>
  <c r="AJ39" i="6"/>
  <c r="AJ38" i="6" s="1"/>
  <c r="AJ34" i="6"/>
  <c r="AJ29" i="6"/>
  <c r="AJ25" i="6"/>
  <c r="AJ21" i="6"/>
  <c r="AJ243" i="6" s="1"/>
  <c r="AJ17" i="6"/>
  <c r="AJ50" i="6" s="1"/>
  <c r="AJ11" i="6"/>
  <c r="AJ65" i="6" s="1"/>
  <c r="AJ9" i="6"/>
  <c r="AJ232" i="6" s="1"/>
  <c r="AJ7" i="6"/>
  <c r="AJ49" i="6" l="1"/>
  <c r="AJ8" i="6"/>
  <c r="AJ234" i="6"/>
  <c r="AJ236" i="6" s="1"/>
  <c r="AJ22" i="6"/>
  <c r="AJ23" i="6" s="1"/>
  <c r="AJ58" i="6"/>
  <c r="AJ55" i="6"/>
  <c r="AJ67" i="6"/>
  <c r="AJ68" i="6"/>
  <c r="AJ69" i="6" s="1"/>
  <c r="AJ57" i="6"/>
  <c r="AJ56" i="6"/>
  <c r="AJ241" i="6"/>
  <c r="AJ10" i="6"/>
  <c r="AJ63" i="6" s="1"/>
  <c r="AJ59" i="6"/>
  <c r="AI17" i="6" l="1"/>
  <c r="AF243" i="6"/>
  <c r="I241" i="6"/>
  <c r="O241" i="6"/>
  <c r="P241" i="6"/>
  <c r="Q241" i="6"/>
  <c r="R241" i="6"/>
  <c r="U241" i="6"/>
  <c r="AF241" i="6"/>
  <c r="E225" i="6"/>
  <c r="AF234" i="6"/>
  <c r="I232" i="6"/>
  <c r="O232" i="6"/>
  <c r="P232" i="6"/>
  <c r="Q232" i="6"/>
  <c r="R232" i="6"/>
  <c r="U232" i="6"/>
  <c r="AF232" i="6"/>
  <c r="E231" i="6"/>
  <c r="E232" i="6" s="1"/>
  <c r="D22" i="15"/>
  <c r="AI16" i="6"/>
  <c r="AI43" i="6"/>
  <c r="AI21" i="6"/>
  <c r="AI234" i="6" s="1"/>
  <c r="AI231" i="6"/>
  <c r="AI7" i="6"/>
  <c r="AI40" i="6"/>
  <c r="AI39" i="6"/>
  <c r="AI38" i="6" l="1"/>
  <c r="AI243" i="6"/>
  <c r="AI71" i="6"/>
  <c r="AI13" i="6" l="1"/>
  <c r="AI12" i="6"/>
  <c r="AI9" i="6"/>
  <c r="AI232" i="6" l="1"/>
  <c r="AI241" i="6"/>
  <c r="AH64" i="6"/>
  <c r="AH13" i="6"/>
  <c r="AH12" i="6"/>
  <c r="AH21" i="6"/>
  <c r="AH40" i="6"/>
  <c r="AH39" i="6"/>
  <c r="AH17" i="6"/>
  <c r="AH7" i="6"/>
  <c r="AH9" i="6"/>
  <c r="AF16" i="6"/>
  <c r="AH234" i="6" l="1"/>
  <c r="AH243" i="6"/>
  <c r="AH232" i="6"/>
  <c r="AH241" i="6"/>
  <c r="AH10" i="6"/>
  <c r="AH63" i="6" s="1"/>
  <c r="AN19" i="6"/>
  <c r="AG40" i="6"/>
  <c r="AG39" i="6"/>
  <c r="AG21" i="6"/>
  <c r="AG17" i="6"/>
  <c r="AG16" i="6"/>
  <c r="AG9" i="6"/>
  <c r="AG7" i="6"/>
  <c r="AG234" i="6" l="1"/>
  <c r="AG243" i="6"/>
  <c r="AG232" i="6"/>
  <c r="AG241" i="6"/>
  <c r="AN14" i="6"/>
  <c r="AN62" i="6" l="1"/>
  <c r="AN238" i="6"/>
  <c r="AO238" i="6" s="1"/>
  <c r="AE225" i="6"/>
  <c r="AD225" i="6"/>
  <c r="AC40" i="6"/>
  <c r="K40" i="6"/>
  <c r="AD233" i="6"/>
  <c r="AD231" i="6"/>
  <c r="AC231" i="6"/>
  <c r="AE16" i="6"/>
  <c r="F29" i="10"/>
  <c r="AD16" i="6"/>
  <c r="AC16" i="6"/>
  <c r="AB21" i="6"/>
  <c r="AC21" i="6"/>
  <c r="AE40" i="6"/>
  <c r="AE39" i="6"/>
  <c r="AE21" i="6"/>
  <c r="AE17" i="6"/>
  <c r="AE9" i="6"/>
  <c r="AE7" i="6"/>
  <c r="AD40" i="6"/>
  <c r="AD39" i="6"/>
  <c r="AD21" i="6"/>
  <c r="AD243" i="6" s="1"/>
  <c r="AD17" i="6"/>
  <c r="AD9" i="6"/>
  <c r="AD241" i="6" s="1"/>
  <c r="AD7" i="6"/>
  <c r="AC39" i="6"/>
  <c r="AC26" i="6"/>
  <c r="AC17" i="6"/>
  <c r="AC9" i="6"/>
  <c r="AC241" i="6" s="1"/>
  <c r="AC7" i="6"/>
  <c r="AN40" i="6" l="1"/>
  <c r="AC234" i="6"/>
  <c r="AC243" i="6"/>
  <c r="AE232" i="6"/>
  <c r="AE241" i="6"/>
  <c r="AB234" i="6"/>
  <c r="AB243" i="6"/>
  <c r="AE234" i="6"/>
  <c r="AE243" i="6"/>
  <c r="AD234" i="6"/>
  <c r="AC38" i="6"/>
  <c r="AD232" i="6"/>
  <c r="AC232" i="6"/>
  <c r="AE13" i="6"/>
  <c r="AE12" i="6"/>
  <c r="AD13" i="6"/>
  <c r="AD12" i="6"/>
  <c r="AC13" i="6"/>
  <c r="AC12" i="6"/>
  <c r="G25" i="10"/>
  <c r="G26" i="10"/>
  <c r="G24" i="10"/>
  <c r="F26" i="10"/>
  <c r="F25" i="10"/>
  <c r="F24" i="10"/>
  <c r="F19" i="10"/>
  <c r="F18" i="10"/>
  <c r="AB27" i="6"/>
  <c r="AB26" i="6"/>
  <c r="AB16" i="6"/>
  <c r="AB17" i="6"/>
  <c r="AB9" i="6"/>
  <c r="AB7" i="6"/>
  <c r="AB232" i="6" l="1"/>
  <c r="AB241" i="6"/>
  <c r="T16" i="6"/>
  <c r="T9" i="6"/>
  <c r="T232" i="6" l="1"/>
  <c r="T241" i="6"/>
  <c r="AA27" i="6"/>
  <c r="AA26" i="6"/>
  <c r="AA21" i="6" l="1"/>
  <c r="AA234" i="6" l="1"/>
  <c r="AA243" i="6"/>
  <c r="AA17" i="6"/>
  <c r="AA9" i="6"/>
  <c r="AA7" i="6"/>
  <c r="AA232" i="6" l="1"/>
  <c r="AA241" i="6"/>
  <c r="AA245" i="6"/>
  <c r="AA13" i="6"/>
  <c r="AA12" i="6"/>
  <c r="Z21" i="6"/>
  <c r="Z234" i="6" l="1"/>
  <c r="Z243" i="6"/>
  <c r="Q51" i="6"/>
  <c r="W26" i="6"/>
  <c r="Z231" i="6"/>
  <c r="Z27" i="6"/>
  <c r="Z26" i="6"/>
  <c r="Z17" i="6" l="1"/>
  <c r="Z9" i="6"/>
  <c r="Z7" i="6"/>
  <c r="Z232" i="6" l="1"/>
  <c r="Z241" i="6"/>
  <c r="Z71" i="6"/>
  <c r="Z13" i="6"/>
  <c r="Z12" i="6"/>
  <c r="Y231" i="6"/>
  <c r="Y232" i="6" s="1"/>
  <c r="U25" i="6"/>
  <c r="W225" i="6"/>
  <c r="V225" i="6"/>
  <c r="X231" i="6"/>
  <c r="X232" i="6" s="1"/>
  <c r="W245" i="6"/>
  <c r="X245" i="6"/>
  <c r="V245" i="6"/>
  <c r="V233" i="6"/>
  <c r="X7" i="6"/>
  <c r="W7" i="6"/>
  <c r="V7" i="6"/>
  <c r="V13" i="6"/>
  <c r="V12" i="6"/>
  <c r="V16" i="6"/>
  <c r="U16" i="6"/>
  <c r="W27" i="6"/>
  <c r="W21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K25" i="6"/>
  <c r="V27" i="6"/>
  <c r="V26" i="6"/>
  <c r="V17" i="6"/>
  <c r="V21" i="6"/>
  <c r="V243" i="6" s="1"/>
  <c r="V9" i="6"/>
  <c r="V232" i="6" l="1"/>
  <c r="V241" i="6"/>
  <c r="W234" i="6"/>
  <c r="W236" i="6" s="1"/>
  <c r="W243" i="6"/>
  <c r="V234" i="6"/>
  <c r="AN231" i="6"/>
  <c r="V25" i="6"/>
  <c r="W25" i="6"/>
  <c r="X21" i="6" l="1"/>
  <c r="Y21" i="6"/>
  <c r="G39" i="6"/>
  <c r="U21" i="6"/>
  <c r="T21" i="6"/>
  <c r="S21" i="6"/>
  <c r="S243" i="6" s="1"/>
  <c r="R21" i="6"/>
  <c r="Q21" i="6"/>
  <c r="P21" i="6"/>
  <c r="O21" i="6"/>
  <c r="N21" i="6"/>
  <c r="M21" i="6"/>
  <c r="M243" i="6" s="1"/>
  <c r="L21" i="6"/>
  <c r="L243" i="6" s="1"/>
  <c r="K21" i="6"/>
  <c r="K243" i="6" s="1"/>
  <c r="J21" i="6"/>
  <c r="J243" i="6" s="1"/>
  <c r="I21" i="6"/>
  <c r="I243" i="6" s="1"/>
  <c r="H21" i="6"/>
  <c r="G21" i="6"/>
  <c r="G243" i="6" s="1"/>
  <c r="R234" i="6" l="1"/>
  <c r="R243" i="6"/>
  <c r="Y234" i="6"/>
  <c r="Y243" i="6"/>
  <c r="T234" i="6"/>
  <c r="T243" i="6"/>
  <c r="U243" i="6"/>
  <c r="N234" i="6"/>
  <c r="N243" i="6"/>
  <c r="P234" i="6"/>
  <c r="P243" i="6"/>
  <c r="X234" i="6"/>
  <c r="X243" i="6"/>
  <c r="O234" i="6"/>
  <c r="O243" i="6"/>
  <c r="H234" i="6"/>
  <c r="H243" i="6"/>
  <c r="Q234" i="6"/>
  <c r="Q243" i="6"/>
  <c r="AN21" i="6"/>
  <c r="AN243" i="6" s="1"/>
  <c r="L38" i="6"/>
  <c r="M38" i="6"/>
  <c r="N38" i="6"/>
  <c r="O38" i="6"/>
  <c r="P38" i="6"/>
  <c r="Q38" i="6"/>
  <c r="R38" i="6"/>
  <c r="S38" i="6"/>
  <c r="T38" i="6"/>
  <c r="U38" i="6"/>
  <c r="T25" i="6"/>
  <c r="I25" i="6"/>
  <c r="J25" i="6"/>
  <c r="L25" i="6"/>
  <c r="N25" i="6"/>
  <c r="O25" i="6"/>
  <c r="P25" i="6"/>
  <c r="Q25" i="6"/>
  <c r="R25" i="6"/>
  <c r="S25" i="6"/>
  <c r="K38" i="15"/>
  <c r="L38" i="15"/>
  <c r="AO21" i="6" l="1"/>
  <c r="M22" i="15"/>
  <c r="L256" i="15"/>
  <c r="L255" i="15"/>
  <c r="L253" i="15"/>
  <c r="L252" i="15"/>
  <c r="L250" i="15"/>
  <c r="L249" i="15"/>
  <c r="L246" i="15"/>
  <c r="L243" i="15"/>
  <c r="L242" i="15"/>
  <c r="L241" i="15"/>
  <c r="L240" i="15"/>
  <c r="L239" i="15"/>
  <c r="L237" i="15"/>
  <c r="L234" i="15"/>
  <c r="L233" i="15"/>
  <c r="L232" i="15"/>
  <c r="L230" i="15"/>
  <c r="L227" i="15"/>
  <c r="L226" i="15"/>
  <c r="L224" i="15"/>
  <c r="L223" i="15"/>
  <c r="L71" i="15"/>
  <c r="L68" i="15"/>
  <c r="L66" i="15"/>
  <c r="L64" i="15"/>
  <c r="L60" i="15"/>
  <c r="L59" i="15"/>
  <c r="L40" i="15"/>
  <c r="L39" i="15"/>
  <c r="L25" i="15"/>
  <c r="L26" i="15"/>
  <c r="L27" i="15"/>
  <c r="L20" i="15"/>
  <c r="L19" i="15"/>
  <c r="L16" i="15"/>
  <c r="L15" i="15"/>
  <c r="L13" i="15"/>
  <c r="L12" i="15"/>
  <c r="L11" i="15"/>
  <c r="L9" i="15"/>
  <c r="L8" i="15"/>
  <c r="U51" i="6" l="1"/>
  <c r="H247" i="15" l="1"/>
  <c r="AX246" i="15"/>
  <c r="Q246" i="15"/>
  <c r="Q247" i="15" s="1"/>
  <c r="P246" i="15"/>
  <c r="P247" i="15" s="1"/>
  <c r="O246" i="15"/>
  <c r="O247" i="15" s="1"/>
  <c r="N246" i="15"/>
  <c r="N247" i="15" s="1"/>
  <c r="L247" i="15"/>
  <c r="K246" i="15"/>
  <c r="K247" i="15" s="1"/>
  <c r="J246" i="15"/>
  <c r="J247" i="15" s="1"/>
  <c r="I246" i="15"/>
  <c r="I247" i="15" s="1"/>
  <c r="G246" i="15"/>
  <c r="G247" i="15" s="1"/>
  <c r="F246" i="15"/>
  <c r="Q243" i="15"/>
  <c r="P243" i="15"/>
  <c r="O243" i="15"/>
  <c r="N243" i="15"/>
  <c r="K243" i="15"/>
  <c r="J243" i="15"/>
  <c r="I243" i="15"/>
  <c r="H243" i="15"/>
  <c r="G243" i="15"/>
  <c r="F243" i="15"/>
  <c r="D243" i="15"/>
  <c r="T242" i="15"/>
  <c r="O242" i="15"/>
  <c r="N242" i="15"/>
  <c r="J242" i="15"/>
  <c r="H242" i="15"/>
  <c r="G242" i="15"/>
  <c r="Q241" i="15"/>
  <c r="P241" i="15"/>
  <c r="O241" i="15"/>
  <c r="N241" i="15"/>
  <c r="K241" i="15"/>
  <c r="J241" i="15"/>
  <c r="I241" i="15"/>
  <c r="H241" i="15"/>
  <c r="G241" i="15"/>
  <c r="F241" i="15"/>
  <c r="D241" i="15"/>
  <c r="D242" i="15" s="1"/>
  <c r="Q240" i="15"/>
  <c r="P240" i="15"/>
  <c r="O240" i="15"/>
  <c r="N240" i="15"/>
  <c r="K240" i="15"/>
  <c r="J240" i="15"/>
  <c r="I240" i="15"/>
  <c r="H240" i="15"/>
  <c r="G240" i="15"/>
  <c r="F240" i="15"/>
  <c r="Q239" i="15"/>
  <c r="P239" i="15"/>
  <c r="O239" i="15"/>
  <c r="N239" i="15"/>
  <c r="K239" i="15"/>
  <c r="J239" i="15"/>
  <c r="I239" i="15"/>
  <c r="H239" i="15"/>
  <c r="G239" i="15"/>
  <c r="F239" i="15"/>
  <c r="AX237" i="15"/>
  <c r="Q237" i="15"/>
  <c r="P237" i="15"/>
  <c r="O237" i="15"/>
  <c r="N237" i="15"/>
  <c r="K237" i="15"/>
  <c r="J237" i="15"/>
  <c r="I237" i="15"/>
  <c r="H237" i="15"/>
  <c r="G237" i="15"/>
  <c r="F237" i="15"/>
  <c r="T235" i="15"/>
  <c r="J235" i="15"/>
  <c r="I235" i="15"/>
  <c r="H235" i="15"/>
  <c r="Q234" i="15"/>
  <c r="P234" i="15"/>
  <c r="O234" i="15"/>
  <c r="N234" i="15"/>
  <c r="K234" i="15"/>
  <c r="J234" i="15"/>
  <c r="I234" i="15"/>
  <c r="H234" i="15"/>
  <c r="G234" i="15"/>
  <c r="F234" i="15"/>
  <c r="Q233" i="15"/>
  <c r="P233" i="15"/>
  <c r="O233" i="15"/>
  <c r="N233" i="15"/>
  <c r="K233" i="15"/>
  <c r="J233" i="15"/>
  <c r="I233" i="15"/>
  <c r="H233" i="15"/>
  <c r="G233" i="15"/>
  <c r="F233" i="15"/>
  <c r="Q232" i="15"/>
  <c r="P232" i="15"/>
  <c r="O232" i="15"/>
  <c r="N232" i="15"/>
  <c r="L235" i="15"/>
  <c r="K232" i="15"/>
  <c r="J232" i="15"/>
  <c r="I232" i="15"/>
  <c r="H232" i="15"/>
  <c r="G232" i="15"/>
  <c r="F232" i="15"/>
  <c r="Q230" i="15"/>
  <c r="P230" i="15"/>
  <c r="O230" i="15"/>
  <c r="N230" i="15"/>
  <c r="K230" i="15"/>
  <c r="J230" i="15"/>
  <c r="I230" i="15"/>
  <c r="H230" i="15"/>
  <c r="G230" i="15"/>
  <c r="F230" i="15"/>
  <c r="D230" i="15"/>
  <c r="D234" i="15" s="1"/>
  <c r="D235" i="15" s="1"/>
  <c r="T228" i="15"/>
  <c r="I228" i="15"/>
  <c r="H228" i="15"/>
  <c r="D228" i="15"/>
  <c r="D224" i="15" s="1"/>
  <c r="Q227" i="15"/>
  <c r="P227" i="15"/>
  <c r="O227" i="15"/>
  <c r="N227" i="15"/>
  <c r="K227" i="15"/>
  <c r="J227" i="15"/>
  <c r="I227" i="15"/>
  <c r="H227" i="15"/>
  <c r="G227" i="15"/>
  <c r="F227" i="15"/>
  <c r="Q226" i="15"/>
  <c r="P226" i="15"/>
  <c r="O226" i="15"/>
  <c r="N226" i="15"/>
  <c r="K226" i="15"/>
  <c r="J226" i="15"/>
  <c r="I226" i="15"/>
  <c r="H226" i="15"/>
  <c r="G226" i="15"/>
  <c r="F226" i="15"/>
  <c r="AX224" i="15"/>
  <c r="Q224" i="15"/>
  <c r="Q228" i="15" s="1"/>
  <c r="P224" i="15"/>
  <c r="P228" i="15" s="1"/>
  <c r="O224" i="15"/>
  <c r="O228" i="15" s="1"/>
  <c r="N224" i="15"/>
  <c r="N228" i="15" s="1"/>
  <c r="L228" i="15"/>
  <c r="K224" i="15"/>
  <c r="K228" i="15" s="1"/>
  <c r="J224" i="15"/>
  <c r="J228" i="15" s="1"/>
  <c r="I224" i="15"/>
  <c r="H224" i="15"/>
  <c r="G224" i="15"/>
  <c r="G228" i="15" s="1"/>
  <c r="F224" i="15"/>
  <c r="F228" i="15" s="1"/>
  <c r="Q223" i="15"/>
  <c r="P223" i="15"/>
  <c r="O223" i="15"/>
  <c r="N223" i="15"/>
  <c r="K223" i="15"/>
  <c r="J223" i="15"/>
  <c r="I223" i="15"/>
  <c r="H223" i="15"/>
  <c r="G223" i="15"/>
  <c r="F223" i="15"/>
  <c r="T221" i="15"/>
  <c r="O221" i="15"/>
  <c r="N221" i="15"/>
  <c r="M221" i="15"/>
  <c r="L221" i="15"/>
  <c r="K221" i="15"/>
  <c r="J221" i="15"/>
  <c r="I221" i="15"/>
  <c r="H221" i="15"/>
  <c r="G221" i="15"/>
  <c r="F221" i="15"/>
  <c r="T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F209" i="15"/>
  <c r="S207" i="15"/>
  <c r="Q206" i="15"/>
  <c r="P206" i="15"/>
  <c r="P209" i="15" s="1"/>
  <c r="O206" i="15"/>
  <c r="N206" i="15"/>
  <c r="N209" i="15" s="1"/>
  <c r="M206" i="15"/>
  <c r="M209" i="15" s="1"/>
  <c r="L206" i="15"/>
  <c r="L209" i="15" s="1"/>
  <c r="K206" i="15"/>
  <c r="J206" i="15"/>
  <c r="I206" i="15"/>
  <c r="H206" i="15"/>
  <c r="H209" i="15" s="1"/>
  <c r="G206" i="15"/>
  <c r="Q205" i="15"/>
  <c r="Q208" i="15" s="1"/>
  <c r="P205" i="15"/>
  <c r="O205" i="15"/>
  <c r="N205" i="15"/>
  <c r="M205" i="15"/>
  <c r="M208" i="15" s="1"/>
  <c r="L205" i="15"/>
  <c r="K205" i="15"/>
  <c r="K208" i="15" s="1"/>
  <c r="J205" i="15"/>
  <c r="J208" i="15" s="1"/>
  <c r="I205" i="15"/>
  <c r="I208" i="15" s="1"/>
  <c r="H205" i="15"/>
  <c r="G205" i="15"/>
  <c r="F205" i="15"/>
  <c r="Q197" i="15"/>
  <c r="Q200" i="15" s="1"/>
  <c r="P197" i="15"/>
  <c r="P200" i="15" s="1"/>
  <c r="O197" i="15"/>
  <c r="N197" i="15"/>
  <c r="N200" i="15" s="1"/>
  <c r="M197" i="15"/>
  <c r="L197" i="15"/>
  <c r="L200" i="15" s="1"/>
  <c r="K197" i="15"/>
  <c r="K200" i="15" s="1"/>
  <c r="J197" i="15"/>
  <c r="J200" i="15" s="1"/>
  <c r="I197" i="15"/>
  <c r="I200" i="15" s="1"/>
  <c r="H197" i="15"/>
  <c r="H200" i="15" s="1"/>
  <c r="G197" i="15"/>
  <c r="F197" i="15"/>
  <c r="F213" i="15" s="1"/>
  <c r="Q196" i="15"/>
  <c r="Q202" i="15" s="1"/>
  <c r="P196" i="15"/>
  <c r="P202" i="15" s="1"/>
  <c r="O196" i="15"/>
  <c r="O199" i="15" s="1"/>
  <c r="N196" i="15"/>
  <c r="N201" i="15" s="1"/>
  <c r="M196" i="15"/>
  <c r="M201" i="15" s="1"/>
  <c r="L196" i="15"/>
  <c r="K196" i="15"/>
  <c r="K201" i="15" s="1"/>
  <c r="J196" i="15"/>
  <c r="J201" i="15" s="1"/>
  <c r="I196" i="15"/>
  <c r="I202" i="15" s="1"/>
  <c r="H196" i="15"/>
  <c r="H202" i="15" s="1"/>
  <c r="G196" i="15"/>
  <c r="G199" i="15" s="1"/>
  <c r="F196" i="15"/>
  <c r="F201" i="15" s="1"/>
  <c r="H194" i="15"/>
  <c r="H193" i="15"/>
  <c r="H192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N179" i="15"/>
  <c r="L179" i="15"/>
  <c r="K179" i="15"/>
  <c r="Q175" i="15"/>
  <c r="Q179" i="15" s="1"/>
  <c r="P175" i="15"/>
  <c r="P179" i="15" s="1"/>
  <c r="O175" i="15"/>
  <c r="O179" i="15" s="1"/>
  <c r="M175" i="15"/>
  <c r="M179" i="15" s="1"/>
  <c r="Q174" i="15"/>
  <c r="P174" i="15"/>
  <c r="O174" i="15"/>
  <c r="N174" i="15"/>
  <c r="M174" i="15"/>
  <c r="L174" i="15"/>
  <c r="K174" i="15"/>
  <c r="J174" i="15"/>
  <c r="I174" i="15"/>
  <c r="H174" i="15"/>
  <c r="G174" i="15"/>
  <c r="Q173" i="15"/>
  <c r="P173" i="15"/>
  <c r="P177" i="15" s="1"/>
  <c r="O173" i="15"/>
  <c r="N173" i="15"/>
  <c r="N177" i="15" s="1"/>
  <c r="M173" i="15"/>
  <c r="M177" i="15" s="1"/>
  <c r="L173" i="15"/>
  <c r="K173" i="15"/>
  <c r="K177" i="15" s="1"/>
  <c r="J173" i="15"/>
  <c r="I173" i="15"/>
  <c r="H173" i="15"/>
  <c r="G173" i="15"/>
  <c r="O172" i="15"/>
  <c r="N172" i="15"/>
  <c r="M172" i="15"/>
  <c r="L172" i="15"/>
  <c r="K172" i="15"/>
  <c r="J172" i="15"/>
  <c r="I172" i="15"/>
  <c r="H172" i="15"/>
  <c r="G172" i="15"/>
  <c r="T166" i="15"/>
  <c r="T165" i="15"/>
  <c r="Q163" i="15"/>
  <c r="Q167" i="15" s="1"/>
  <c r="P163" i="15"/>
  <c r="P167" i="15" s="1"/>
  <c r="O163" i="15"/>
  <c r="O167" i="15" s="1"/>
  <c r="N163" i="15"/>
  <c r="M163" i="15"/>
  <c r="M167" i="15" s="1"/>
  <c r="L163" i="15"/>
  <c r="L184" i="15" s="1"/>
  <c r="K163" i="15"/>
  <c r="K184" i="15" s="1"/>
  <c r="J163" i="15"/>
  <c r="J184" i="15" s="1"/>
  <c r="I163" i="15"/>
  <c r="I184" i="15" s="1"/>
  <c r="H163" i="15"/>
  <c r="H184" i="15" s="1"/>
  <c r="G163" i="15"/>
  <c r="G167" i="15" s="1"/>
  <c r="G188" i="15" s="1"/>
  <c r="F163" i="15"/>
  <c r="Q162" i="15"/>
  <c r="Q166" i="15" s="1"/>
  <c r="P162" i="15"/>
  <c r="P166" i="15" s="1"/>
  <c r="O162" i="15"/>
  <c r="O166" i="15" s="1"/>
  <c r="N162" i="15"/>
  <c r="N166" i="15" s="1"/>
  <c r="M162" i="15"/>
  <c r="M166" i="15" s="1"/>
  <c r="L162" i="15"/>
  <c r="K162" i="15"/>
  <c r="K166" i="15" s="1"/>
  <c r="J162" i="15"/>
  <c r="J166" i="15" s="1"/>
  <c r="J187" i="15" s="1"/>
  <c r="I162" i="15"/>
  <c r="I166" i="15" s="1"/>
  <c r="I187" i="15" s="1"/>
  <c r="H162" i="15"/>
  <c r="H166" i="15" s="1"/>
  <c r="H187" i="15" s="1"/>
  <c r="G162" i="15"/>
  <c r="G166" i="15" s="1"/>
  <c r="G187" i="15" s="1"/>
  <c r="F162" i="15"/>
  <c r="F183" i="15" s="1"/>
  <c r="Q161" i="15"/>
  <c r="Q165" i="15" s="1"/>
  <c r="P161" i="15"/>
  <c r="P169" i="15" s="1"/>
  <c r="O161" i="15"/>
  <c r="O169" i="15" s="1"/>
  <c r="N161" i="15"/>
  <c r="M161" i="15"/>
  <c r="M165" i="15" s="1"/>
  <c r="L161" i="15"/>
  <c r="L165" i="15" s="1"/>
  <c r="K161" i="15"/>
  <c r="K165" i="15" s="1"/>
  <c r="J161" i="15"/>
  <c r="I161" i="15"/>
  <c r="I165" i="15" s="1"/>
  <c r="I186" i="15" s="1"/>
  <c r="H161" i="15"/>
  <c r="H169" i="15" s="1"/>
  <c r="G161" i="15"/>
  <c r="G169" i="15" s="1"/>
  <c r="F161" i="15"/>
  <c r="O160" i="15"/>
  <c r="N160" i="15"/>
  <c r="M160" i="15"/>
  <c r="L160" i="15"/>
  <c r="K160" i="15"/>
  <c r="J160" i="15"/>
  <c r="I160" i="15"/>
  <c r="H160" i="15"/>
  <c r="G160" i="15"/>
  <c r="F160" i="15"/>
  <c r="M157" i="15"/>
  <c r="I157" i="15"/>
  <c r="H157" i="15"/>
  <c r="Q156" i="15"/>
  <c r="P156" i="15"/>
  <c r="P168" i="15" s="1"/>
  <c r="O156" i="15"/>
  <c r="O168" i="15" s="1"/>
  <c r="N156" i="15"/>
  <c r="N168" i="15" s="1"/>
  <c r="M156" i="15"/>
  <c r="M168" i="15" s="1"/>
  <c r="L156" i="15"/>
  <c r="L168" i="15" s="1"/>
  <c r="K156" i="15"/>
  <c r="K168" i="15" s="1"/>
  <c r="J156" i="15"/>
  <c r="J168" i="15" s="1"/>
  <c r="I156" i="15"/>
  <c r="H156" i="15"/>
  <c r="H168" i="15" s="1"/>
  <c r="G156" i="15"/>
  <c r="G168" i="15" s="1"/>
  <c r="T168" i="15" s="1"/>
  <c r="F156" i="15"/>
  <c r="F168" i="15" s="1"/>
  <c r="C147" i="15"/>
  <c r="C146" i="15"/>
  <c r="Q144" i="15"/>
  <c r="Q147" i="15" s="1"/>
  <c r="P144" i="15"/>
  <c r="P147" i="15" s="1"/>
  <c r="O144" i="15"/>
  <c r="O147" i="15" s="1"/>
  <c r="N144" i="15"/>
  <c r="N147" i="15" s="1"/>
  <c r="M144" i="15"/>
  <c r="L144" i="15"/>
  <c r="K144" i="15"/>
  <c r="J144" i="15"/>
  <c r="J147" i="15" s="1"/>
  <c r="I144" i="15"/>
  <c r="I147" i="15" s="1"/>
  <c r="H144" i="15"/>
  <c r="H147" i="15" s="1"/>
  <c r="G144" i="15"/>
  <c r="G147" i="15" s="1"/>
  <c r="F144" i="15"/>
  <c r="F147" i="15" s="1"/>
  <c r="Q143" i="15"/>
  <c r="P143" i="15"/>
  <c r="P146" i="15" s="1"/>
  <c r="O143" i="15"/>
  <c r="O146" i="15" s="1"/>
  <c r="N143" i="15"/>
  <c r="N146" i="15" s="1"/>
  <c r="M143" i="15"/>
  <c r="L143" i="15"/>
  <c r="K143" i="15"/>
  <c r="K146" i="15" s="1"/>
  <c r="J143" i="15"/>
  <c r="J146" i="15" s="1"/>
  <c r="I143" i="15"/>
  <c r="H143" i="15"/>
  <c r="H146" i="15" s="1"/>
  <c r="G143" i="15"/>
  <c r="G146" i="15" s="1"/>
  <c r="F143" i="15"/>
  <c r="F146" i="15" s="1"/>
  <c r="T138" i="15"/>
  <c r="T137" i="15"/>
  <c r="Q135" i="15"/>
  <c r="Q138" i="15" s="1"/>
  <c r="P135" i="15"/>
  <c r="P138" i="15" s="1"/>
  <c r="O135" i="15"/>
  <c r="O138" i="15" s="1"/>
  <c r="N135" i="15"/>
  <c r="M135" i="15"/>
  <c r="L135" i="15"/>
  <c r="L138" i="15" s="1"/>
  <c r="K135" i="15"/>
  <c r="K138" i="15" s="1"/>
  <c r="J135" i="15"/>
  <c r="J138" i="15" s="1"/>
  <c r="I135" i="15"/>
  <c r="I138" i="15" s="1"/>
  <c r="H135" i="15"/>
  <c r="H138" i="15" s="1"/>
  <c r="G135" i="15"/>
  <c r="G138" i="15" s="1"/>
  <c r="F135" i="15"/>
  <c r="Q134" i="15"/>
  <c r="P134" i="15"/>
  <c r="O134" i="15"/>
  <c r="N134" i="15"/>
  <c r="M134" i="15"/>
  <c r="M137" i="15" s="1"/>
  <c r="L134" i="15"/>
  <c r="K134" i="15"/>
  <c r="K137" i="15" s="1"/>
  <c r="J134" i="15"/>
  <c r="J137" i="15" s="1"/>
  <c r="I134" i="15"/>
  <c r="H134" i="15"/>
  <c r="H137" i="15" s="1"/>
  <c r="G134" i="15"/>
  <c r="G140" i="15" s="1"/>
  <c r="T140" i="15" s="1"/>
  <c r="F134" i="15"/>
  <c r="GA132" i="15"/>
  <c r="Q130" i="15"/>
  <c r="Q139" i="15" s="1"/>
  <c r="P130" i="15"/>
  <c r="O130" i="15"/>
  <c r="N130" i="15"/>
  <c r="N139" i="15" s="1"/>
  <c r="M130" i="15"/>
  <c r="M139" i="15" s="1"/>
  <c r="L130" i="15"/>
  <c r="L139" i="15" s="1"/>
  <c r="K130" i="15"/>
  <c r="K139" i="15" s="1"/>
  <c r="J130" i="15"/>
  <c r="I130" i="15"/>
  <c r="H130" i="15"/>
  <c r="G130" i="15"/>
  <c r="F130" i="15"/>
  <c r="F139" i="15" s="1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I120" i="15"/>
  <c r="I119" i="15"/>
  <c r="Q117" i="15"/>
  <c r="Q120" i="15" s="1"/>
  <c r="P117" i="15"/>
  <c r="P120" i="15" s="1"/>
  <c r="O117" i="15"/>
  <c r="O120" i="15" s="1"/>
  <c r="N117" i="15"/>
  <c r="M117" i="15"/>
  <c r="L117" i="15"/>
  <c r="L120" i="15" s="1"/>
  <c r="K117" i="15"/>
  <c r="J117" i="15"/>
  <c r="J120" i="15" s="1"/>
  <c r="I117" i="15"/>
  <c r="H117" i="15"/>
  <c r="H120" i="15" s="1"/>
  <c r="G117" i="15"/>
  <c r="G120" i="15" s="1"/>
  <c r="F117" i="15"/>
  <c r="Q116" i="15"/>
  <c r="Q119" i="15" s="1"/>
  <c r="P116" i="15"/>
  <c r="P119" i="15" s="1"/>
  <c r="O116" i="15"/>
  <c r="O119" i="15" s="1"/>
  <c r="N116" i="15"/>
  <c r="N119" i="15" s="1"/>
  <c r="M116" i="15"/>
  <c r="L116" i="15"/>
  <c r="L119" i="15" s="1"/>
  <c r="K116" i="15"/>
  <c r="K119" i="15" s="1"/>
  <c r="J116" i="15"/>
  <c r="I116" i="15"/>
  <c r="H116" i="15"/>
  <c r="H119" i="15" s="1"/>
  <c r="G116" i="15"/>
  <c r="G119" i="15" s="1"/>
  <c r="F116" i="15"/>
  <c r="F119" i="15" s="1"/>
  <c r="T111" i="15"/>
  <c r="T110" i="15"/>
  <c r="Q108" i="15"/>
  <c r="Q111" i="15" s="1"/>
  <c r="P108" i="15"/>
  <c r="P111" i="15" s="1"/>
  <c r="O108" i="15"/>
  <c r="O111" i="15" s="1"/>
  <c r="N108" i="15"/>
  <c r="N111" i="15" s="1"/>
  <c r="M108" i="15"/>
  <c r="M111" i="15" s="1"/>
  <c r="L108" i="15"/>
  <c r="K108" i="15"/>
  <c r="K111" i="15" s="1"/>
  <c r="J108" i="15"/>
  <c r="J111" i="15" s="1"/>
  <c r="I108" i="15"/>
  <c r="I111" i="15" s="1"/>
  <c r="H108" i="15"/>
  <c r="H111" i="15" s="1"/>
  <c r="G108" i="15"/>
  <c r="G111" i="15" s="1"/>
  <c r="F108" i="15"/>
  <c r="F111" i="15" s="1"/>
  <c r="Q107" i="15"/>
  <c r="Q110" i="15" s="1"/>
  <c r="P107" i="15"/>
  <c r="O107" i="15"/>
  <c r="N107" i="15"/>
  <c r="M107" i="15"/>
  <c r="M110" i="15" s="1"/>
  <c r="L107" i="15"/>
  <c r="L110" i="15" s="1"/>
  <c r="K107" i="15"/>
  <c r="K110" i="15" s="1"/>
  <c r="J107" i="15"/>
  <c r="I107" i="15"/>
  <c r="I110" i="15" s="1"/>
  <c r="H107" i="15"/>
  <c r="G107" i="15"/>
  <c r="F107" i="15"/>
  <c r="H105" i="15"/>
  <c r="H104" i="15"/>
  <c r="J103" i="15"/>
  <c r="H103" i="15"/>
  <c r="Q102" i="15"/>
  <c r="P102" i="15"/>
  <c r="P112" i="15" s="1"/>
  <c r="O102" i="15"/>
  <c r="O112" i="15" s="1"/>
  <c r="N102" i="15"/>
  <c r="N112" i="15" s="1"/>
  <c r="M102" i="15"/>
  <c r="M112" i="15" s="1"/>
  <c r="L102" i="15"/>
  <c r="L112" i="15" s="1"/>
  <c r="K102" i="15"/>
  <c r="K112" i="15" s="1"/>
  <c r="J102" i="15"/>
  <c r="J112" i="15" s="1"/>
  <c r="I102" i="15"/>
  <c r="H102" i="15"/>
  <c r="H112" i="15" s="1"/>
  <c r="G102" i="15"/>
  <c r="G112" i="15" s="1"/>
  <c r="T112" i="15" s="1"/>
  <c r="F102" i="15"/>
  <c r="F112" i="15" s="1"/>
  <c r="Q90" i="15"/>
  <c r="P90" i="15"/>
  <c r="P93" i="15" s="1"/>
  <c r="O90" i="15"/>
  <c r="O93" i="15" s="1"/>
  <c r="N90" i="15"/>
  <c r="N93" i="15" s="1"/>
  <c r="M90" i="15"/>
  <c r="M93" i="15" s="1"/>
  <c r="L90" i="15"/>
  <c r="K90" i="15"/>
  <c r="J90" i="15"/>
  <c r="J93" i="15" s="1"/>
  <c r="I90" i="15"/>
  <c r="H90" i="15"/>
  <c r="H93" i="15" s="1"/>
  <c r="G90" i="15"/>
  <c r="G93" i="15" s="1"/>
  <c r="T93" i="15" s="1"/>
  <c r="F90" i="15"/>
  <c r="F93" i="15" s="1"/>
  <c r="Q89" i="15"/>
  <c r="Q92" i="15" s="1"/>
  <c r="P89" i="15"/>
  <c r="O89" i="15"/>
  <c r="O92" i="15" s="1"/>
  <c r="N89" i="15"/>
  <c r="N92" i="15" s="1"/>
  <c r="M89" i="15"/>
  <c r="M92" i="15" s="1"/>
  <c r="L89" i="15"/>
  <c r="L92" i="15" s="1"/>
  <c r="K89" i="15"/>
  <c r="J89" i="15"/>
  <c r="I89" i="15"/>
  <c r="I92" i="15" s="1"/>
  <c r="H89" i="15"/>
  <c r="G89" i="15"/>
  <c r="G92" i="15" s="1"/>
  <c r="F89" i="15"/>
  <c r="F92" i="15" s="1"/>
  <c r="T86" i="15"/>
  <c r="T84" i="15"/>
  <c r="T83" i="15"/>
  <c r="Q81" i="15"/>
  <c r="Q84" i="15" s="1"/>
  <c r="P81" i="15"/>
  <c r="P84" i="15" s="1"/>
  <c r="O81" i="15"/>
  <c r="O84" i="15" s="1"/>
  <c r="N81" i="15"/>
  <c r="N84" i="15" s="1"/>
  <c r="M81" i="15"/>
  <c r="M84" i="15" s="1"/>
  <c r="L81" i="15"/>
  <c r="L84" i="15" s="1"/>
  <c r="K81" i="15"/>
  <c r="K84" i="15" s="1"/>
  <c r="J81" i="15"/>
  <c r="I81" i="15"/>
  <c r="I84" i="15" s="1"/>
  <c r="H81" i="15"/>
  <c r="H84" i="15" s="1"/>
  <c r="G81" i="15"/>
  <c r="G84" i="15" s="1"/>
  <c r="F81" i="15"/>
  <c r="F84" i="15" s="1"/>
  <c r="Q80" i="15"/>
  <c r="Q83" i="15" s="1"/>
  <c r="P80" i="15"/>
  <c r="O80" i="15"/>
  <c r="O83" i="15" s="1"/>
  <c r="N80" i="15"/>
  <c r="M80" i="15"/>
  <c r="L80" i="15"/>
  <c r="K80" i="15"/>
  <c r="K83" i="15" s="1"/>
  <c r="J80" i="15"/>
  <c r="J83" i="15" s="1"/>
  <c r="I80" i="15"/>
  <c r="I83" i="15" s="1"/>
  <c r="H80" i="15"/>
  <c r="G80" i="15"/>
  <c r="G83" i="15" s="1"/>
  <c r="F80" i="15"/>
  <c r="I78" i="15"/>
  <c r="H78" i="15"/>
  <c r="G78" i="15"/>
  <c r="F78" i="15"/>
  <c r="FX77" i="15"/>
  <c r="OZ77" i="15" s="1"/>
  <c r="I77" i="15"/>
  <c r="FX76" i="15"/>
  <c r="OZ76" i="15" s="1"/>
  <c r="T76" i="15"/>
  <c r="L76" i="15"/>
  <c r="I76" i="15"/>
  <c r="Q75" i="15"/>
  <c r="P75" i="15"/>
  <c r="O75" i="15"/>
  <c r="O85" i="15" s="1"/>
  <c r="N75" i="15"/>
  <c r="M75" i="15"/>
  <c r="M85" i="15" s="1"/>
  <c r="L75" i="15"/>
  <c r="L85" i="15" s="1"/>
  <c r="K75" i="15"/>
  <c r="K85" i="15" s="1"/>
  <c r="J75" i="15"/>
  <c r="J85" i="15" s="1"/>
  <c r="I75" i="15"/>
  <c r="I85" i="15" s="1"/>
  <c r="H75" i="15"/>
  <c r="H85" i="15" s="1"/>
  <c r="G75" i="15"/>
  <c r="G85" i="15" s="1"/>
  <c r="F75" i="15"/>
  <c r="Q74" i="15"/>
  <c r="P74" i="15"/>
  <c r="O74" i="15"/>
  <c r="N74" i="15"/>
  <c r="M74" i="15"/>
  <c r="L74" i="15"/>
  <c r="K74" i="15"/>
  <c r="J74" i="15"/>
  <c r="I74" i="15"/>
  <c r="H74" i="15"/>
  <c r="G74" i="15"/>
  <c r="T74" i="15" s="1"/>
  <c r="F74" i="15"/>
  <c r="OY73" i="15"/>
  <c r="GA72" i="15"/>
  <c r="Q71" i="15"/>
  <c r="P71" i="15"/>
  <c r="N71" i="15"/>
  <c r="K71" i="15"/>
  <c r="J71" i="15"/>
  <c r="I71" i="15"/>
  <c r="H71" i="15"/>
  <c r="G71" i="15"/>
  <c r="F71" i="15"/>
  <c r="T70" i="15"/>
  <c r="F69" i="15"/>
  <c r="Q68" i="15"/>
  <c r="P68" i="15"/>
  <c r="O68" i="15"/>
  <c r="N68" i="15"/>
  <c r="K68" i="15"/>
  <c r="J68" i="15"/>
  <c r="I68" i="15"/>
  <c r="H68" i="15"/>
  <c r="G68" i="15"/>
  <c r="F68" i="15"/>
  <c r="F67" i="15"/>
  <c r="Q66" i="15"/>
  <c r="P66" i="15"/>
  <c r="O66" i="15"/>
  <c r="O67" i="15" s="1"/>
  <c r="N66" i="15"/>
  <c r="N67" i="15" s="1"/>
  <c r="K66" i="15"/>
  <c r="K67" i="15" s="1"/>
  <c r="J66" i="15"/>
  <c r="J67" i="15" s="1"/>
  <c r="I66" i="15"/>
  <c r="I67" i="15" s="1"/>
  <c r="H66" i="15"/>
  <c r="G66" i="15"/>
  <c r="F66" i="15"/>
  <c r="FN65" i="15"/>
  <c r="F65" i="15"/>
  <c r="Q64" i="15"/>
  <c r="P64" i="15"/>
  <c r="O64" i="15"/>
  <c r="O65" i="15" s="1"/>
  <c r="N64" i="15"/>
  <c r="N65" i="15" s="1"/>
  <c r="K64" i="15"/>
  <c r="J64" i="15"/>
  <c r="I64" i="15"/>
  <c r="H64" i="15"/>
  <c r="G64" i="15"/>
  <c r="F64" i="15"/>
  <c r="OR62" i="15"/>
  <c r="OR61" i="15" s="1"/>
  <c r="OR63" i="15" s="1"/>
  <c r="FN62" i="15"/>
  <c r="OP52" i="15"/>
  <c r="OR52" i="15" s="1"/>
  <c r="T52" i="15"/>
  <c r="OR51" i="15"/>
  <c r="T51" i="15"/>
  <c r="Q49" i="15"/>
  <c r="P49" i="15"/>
  <c r="O49" i="15"/>
  <c r="N49" i="15"/>
  <c r="M49" i="15"/>
  <c r="L49" i="15"/>
  <c r="K49" i="15"/>
  <c r="J49" i="15"/>
  <c r="K47" i="15"/>
  <c r="J47" i="15"/>
  <c r="I47" i="15"/>
  <c r="H47" i="15"/>
  <c r="G47" i="15"/>
  <c r="F47" i="15"/>
  <c r="DG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Q44" i="15"/>
  <c r="O44" i="15"/>
  <c r="N44" i="15"/>
  <c r="M44" i="15"/>
  <c r="L44" i="15"/>
  <c r="K44" i="15"/>
  <c r="J44" i="15"/>
  <c r="I44" i="15"/>
  <c r="H44" i="15"/>
  <c r="F44" i="15"/>
  <c r="T43" i="15"/>
  <c r="T61" i="15" s="1"/>
  <c r="P43" i="15"/>
  <c r="O43" i="15"/>
  <c r="L43" i="15"/>
  <c r="J43" i="15"/>
  <c r="I43" i="15"/>
  <c r="G43" i="15"/>
  <c r="F43" i="15"/>
  <c r="D43" i="15"/>
  <c r="H42" i="15"/>
  <c r="G42" i="15"/>
  <c r="F42" i="15"/>
  <c r="Q40" i="15"/>
  <c r="P40" i="15"/>
  <c r="O40" i="15"/>
  <c r="N40" i="15"/>
  <c r="K40" i="15"/>
  <c r="J40" i="15"/>
  <c r="I40" i="15"/>
  <c r="H40" i="15"/>
  <c r="F40" i="15"/>
  <c r="Q39" i="15"/>
  <c r="P39" i="15"/>
  <c r="O39" i="15"/>
  <c r="N39" i="15"/>
  <c r="K39" i="15"/>
  <c r="J39" i="15"/>
  <c r="I39" i="15"/>
  <c r="H39" i="15"/>
  <c r="H38" i="15" s="1"/>
  <c r="F39" i="15"/>
  <c r="T38" i="15"/>
  <c r="J38" i="15"/>
  <c r="I38" i="15"/>
  <c r="Q36" i="15"/>
  <c r="P36" i="15"/>
  <c r="O36" i="15"/>
  <c r="N36" i="15"/>
  <c r="M36" i="15"/>
  <c r="L36" i="15"/>
  <c r="K36" i="15"/>
  <c r="J36" i="15"/>
  <c r="I36" i="15"/>
  <c r="H36" i="15"/>
  <c r="F36" i="15"/>
  <c r="Q35" i="15"/>
  <c r="P35" i="15"/>
  <c r="O35" i="15"/>
  <c r="N35" i="15"/>
  <c r="M35" i="15"/>
  <c r="L35" i="15"/>
  <c r="K35" i="15"/>
  <c r="J35" i="15"/>
  <c r="I35" i="15"/>
  <c r="H35" i="15"/>
  <c r="F35" i="15"/>
  <c r="T34" i="15"/>
  <c r="T33" i="15" s="1"/>
  <c r="O34" i="15"/>
  <c r="G34" i="15"/>
  <c r="G58" i="15" s="1"/>
  <c r="D34" i="15"/>
  <c r="DI33" i="15"/>
  <c r="DH33" i="15"/>
  <c r="DG33" i="15"/>
  <c r="Q33" i="15"/>
  <c r="P33" i="15"/>
  <c r="O33" i="15"/>
  <c r="N33" i="15"/>
  <c r="M33" i="15"/>
  <c r="L33" i="15"/>
  <c r="K33" i="15"/>
  <c r="J33" i="15"/>
  <c r="I33" i="15"/>
  <c r="H33" i="15"/>
  <c r="F33" i="15"/>
  <c r="PF32" i="15"/>
  <c r="DI32" i="15"/>
  <c r="DH32" i="15"/>
  <c r="DG32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T29" i="15"/>
  <c r="J29" i="15"/>
  <c r="I29" i="15"/>
  <c r="H29" i="15"/>
  <c r="G29" i="15"/>
  <c r="PF27" i="15"/>
  <c r="PF34" i="15" s="1"/>
  <c r="OS24" i="15" s="1"/>
  <c r="PF24" i="15" s="1"/>
  <c r="Q27" i="15"/>
  <c r="P27" i="15"/>
  <c r="O27" i="15"/>
  <c r="N27" i="15"/>
  <c r="K27" i="15"/>
  <c r="J27" i="15"/>
  <c r="I27" i="15"/>
  <c r="H27" i="15"/>
  <c r="G27" i="15"/>
  <c r="F27" i="15"/>
  <c r="AEG26" i="15"/>
  <c r="PF26" i="15"/>
  <c r="OO26" i="15"/>
  <c r="OO32" i="15" s="1"/>
  <c r="Q26" i="15"/>
  <c r="P26" i="15"/>
  <c r="O26" i="15"/>
  <c r="N26" i="15"/>
  <c r="K26" i="15"/>
  <c r="J26" i="15"/>
  <c r="I26" i="15"/>
  <c r="H26" i="15"/>
  <c r="G26" i="15"/>
  <c r="F26" i="15"/>
  <c r="AEG25" i="15"/>
  <c r="T25" i="15"/>
  <c r="J25" i="15"/>
  <c r="I25" i="15"/>
  <c r="H25" i="15"/>
  <c r="G25" i="15"/>
  <c r="D25" i="15"/>
  <c r="AEG20" i="15"/>
  <c r="AER20" i="15" s="1"/>
  <c r="PF20" i="15"/>
  <c r="Q20" i="15"/>
  <c r="P20" i="15"/>
  <c r="O20" i="15"/>
  <c r="N20" i="15"/>
  <c r="K20" i="15"/>
  <c r="J20" i="15"/>
  <c r="I20" i="15"/>
  <c r="H20" i="15"/>
  <c r="G20" i="15"/>
  <c r="F20" i="15"/>
  <c r="D20" i="15"/>
  <c r="AEG19" i="15"/>
  <c r="AER19" i="15" s="1"/>
  <c r="Q19" i="15"/>
  <c r="P19" i="15"/>
  <c r="O19" i="15"/>
  <c r="N19" i="15"/>
  <c r="K19" i="15"/>
  <c r="J19" i="15"/>
  <c r="I19" i="15"/>
  <c r="H19" i="15"/>
  <c r="G19" i="15"/>
  <c r="F19" i="15"/>
  <c r="D19" i="15"/>
  <c r="AGV17" i="15"/>
  <c r="OR17" i="15"/>
  <c r="Q17" i="15"/>
  <c r="P17" i="15"/>
  <c r="L17" i="15"/>
  <c r="K17" i="15"/>
  <c r="J17" i="15"/>
  <c r="I17" i="15"/>
  <c r="H17" i="15"/>
  <c r="G17" i="15"/>
  <c r="F17" i="15"/>
  <c r="AGV16" i="15"/>
  <c r="AGV19" i="15" s="1"/>
  <c r="AGV24" i="15" s="1"/>
  <c r="OR16" i="15"/>
  <c r="OR15" i="15" s="1"/>
  <c r="DI16" i="15"/>
  <c r="DH16" i="15"/>
  <c r="DG16" i="15"/>
  <c r="Q16" i="15"/>
  <c r="P16" i="15"/>
  <c r="K16" i="15"/>
  <c r="J16" i="15"/>
  <c r="I16" i="15"/>
  <c r="H16" i="15"/>
  <c r="G16" i="15"/>
  <c r="F16" i="15"/>
  <c r="Q15" i="15"/>
  <c r="P15" i="15"/>
  <c r="Q14" i="15"/>
  <c r="P14" i="15"/>
  <c r="O14" i="15"/>
  <c r="N14" i="15"/>
  <c r="M14" i="15"/>
  <c r="L14" i="15"/>
  <c r="K14" i="15"/>
  <c r="J14" i="15"/>
  <c r="I14" i="15"/>
  <c r="Q13" i="15"/>
  <c r="P13" i="15"/>
  <c r="AX13" i="15" s="1"/>
  <c r="H13" i="15"/>
  <c r="G13" i="15"/>
  <c r="F13" i="15"/>
  <c r="Q12" i="15"/>
  <c r="P12" i="15"/>
  <c r="K12" i="15"/>
  <c r="J12" i="15"/>
  <c r="I12" i="15"/>
  <c r="H12" i="15"/>
  <c r="G12" i="15"/>
  <c r="F12" i="15"/>
  <c r="AEE11" i="15"/>
  <c r="AEE25" i="15" s="1"/>
  <c r="Q11" i="15"/>
  <c r="P11" i="15"/>
  <c r="O11" i="15"/>
  <c r="N11" i="15"/>
  <c r="L69" i="15"/>
  <c r="K11" i="15"/>
  <c r="J11" i="15"/>
  <c r="I11" i="15"/>
  <c r="H11" i="15"/>
  <c r="H10" i="15" s="1"/>
  <c r="G11" i="15"/>
  <c r="F11" i="15"/>
  <c r="F10" i="15" s="1"/>
  <c r="Q9" i="15"/>
  <c r="P9" i="15"/>
  <c r="O9" i="15"/>
  <c r="N9" i="15"/>
  <c r="K9" i="15"/>
  <c r="J9" i="15"/>
  <c r="I9" i="15"/>
  <c r="H9" i="15"/>
  <c r="G9" i="15"/>
  <c r="F9" i="15"/>
  <c r="Q8" i="15"/>
  <c r="P8" i="15"/>
  <c r="O8" i="15"/>
  <c r="N8" i="15"/>
  <c r="K8" i="15"/>
  <c r="J8" i="15"/>
  <c r="I8" i="15"/>
  <c r="H8" i="15"/>
  <c r="G8" i="15"/>
  <c r="F8" i="15"/>
  <c r="G23" i="15" l="1"/>
  <c r="G22" i="15" s="1"/>
  <c r="O103" i="15"/>
  <c r="P76" i="15"/>
  <c r="M29" i="15"/>
  <c r="Q10" i="15"/>
  <c r="U119" i="15"/>
  <c r="N43" i="15"/>
  <c r="N61" i="15" s="1"/>
  <c r="N69" i="15"/>
  <c r="N38" i="15"/>
  <c r="N59" i="15" s="1"/>
  <c r="T42" i="15"/>
  <c r="Q29" i="15"/>
  <c r="Q56" i="15" s="1"/>
  <c r="T62" i="15"/>
  <c r="O131" i="15"/>
  <c r="O132" i="15" s="1"/>
  <c r="K157" i="15"/>
  <c r="K158" i="15" s="1"/>
  <c r="I34" i="15"/>
  <c r="I58" i="15" s="1"/>
  <c r="K34" i="15"/>
  <c r="K58" i="15" s="1"/>
  <c r="AEE26" i="15"/>
  <c r="G113" i="15"/>
  <c r="O113" i="15"/>
  <c r="T53" i="15"/>
  <c r="L86" i="15"/>
  <c r="OS17" i="15"/>
  <c r="O52" i="15"/>
  <c r="OS16" i="15"/>
  <c r="G57" i="15"/>
  <c r="O57" i="15"/>
  <c r="T100" i="15"/>
  <c r="O25" i="15"/>
  <c r="O54" i="15" s="1"/>
  <c r="O38" i="15"/>
  <c r="O48" i="15" s="1"/>
  <c r="G103" i="15"/>
  <c r="G104" i="15" s="1"/>
  <c r="T104" i="15" s="1"/>
  <c r="N10" i="15"/>
  <c r="F86" i="15"/>
  <c r="F76" i="15"/>
  <c r="F77" i="15" s="1"/>
  <c r="F113" i="15"/>
  <c r="P140" i="15"/>
  <c r="N86" i="15"/>
  <c r="G76" i="15"/>
  <c r="G77" i="15" s="1"/>
  <c r="T77" i="15" s="1"/>
  <c r="T75" i="15" s="1"/>
  <c r="T85" i="15" s="1"/>
  <c r="P25" i="15"/>
  <c r="P53" i="15" s="1"/>
  <c r="G54" i="15"/>
  <c r="O140" i="15"/>
  <c r="F72" i="15"/>
  <c r="F38" i="15"/>
  <c r="F60" i="15" s="1"/>
  <c r="M86" i="15"/>
  <c r="P235" i="15"/>
  <c r="P10" i="15"/>
  <c r="G55" i="15"/>
  <c r="F70" i="15"/>
  <c r="Q38" i="15"/>
  <c r="Q59" i="15" s="1"/>
  <c r="P38" i="15"/>
  <c r="K126" i="15"/>
  <c r="O127" i="15"/>
  <c r="N192" i="15"/>
  <c r="N193" i="15" s="1"/>
  <c r="K215" i="15"/>
  <c r="P216" i="15"/>
  <c r="J65" i="15"/>
  <c r="J55" i="15"/>
  <c r="G56" i="15"/>
  <c r="Q34" i="15"/>
  <c r="Q58" i="15" s="1"/>
  <c r="J104" i="15"/>
  <c r="J10" i="15"/>
  <c r="N52" i="15"/>
  <c r="K103" i="15"/>
  <c r="K104" i="15" s="1"/>
  <c r="T174" i="15"/>
  <c r="O183" i="15"/>
  <c r="J61" i="15"/>
  <c r="K76" i="15"/>
  <c r="K77" i="15" s="1"/>
  <c r="L34" i="15"/>
  <c r="L48" i="15" s="1"/>
  <c r="S168" i="15"/>
  <c r="F192" i="15"/>
  <c r="F193" i="15" s="1"/>
  <c r="M43" i="15"/>
  <c r="M61" i="15" s="1"/>
  <c r="Q242" i="15"/>
  <c r="K96" i="15"/>
  <c r="N113" i="15"/>
  <c r="F123" i="15"/>
  <c r="M150" i="15"/>
  <c r="I183" i="15"/>
  <c r="Q183" i="15"/>
  <c r="I201" i="15"/>
  <c r="K242" i="15"/>
  <c r="H216" i="15"/>
  <c r="I10" i="15"/>
  <c r="N70" i="15"/>
  <c r="F52" i="15"/>
  <c r="S35" i="15"/>
  <c r="U35" i="15" s="1"/>
  <c r="O58" i="15"/>
  <c r="G86" i="15"/>
  <c r="I103" i="15"/>
  <c r="I104" i="15" s="1"/>
  <c r="H131" i="15"/>
  <c r="H132" i="15" s="1"/>
  <c r="M184" i="15"/>
  <c r="J56" i="15"/>
  <c r="Q43" i="15"/>
  <c r="Q62" i="15" s="1"/>
  <c r="G72" i="15"/>
  <c r="N72" i="15"/>
  <c r="N76" i="15"/>
  <c r="N77" i="15" s="1"/>
  <c r="S42" i="15"/>
  <c r="OR65" i="15" s="1"/>
  <c r="S49" i="15"/>
  <c r="M103" i="15"/>
  <c r="M104" i="15" s="1"/>
  <c r="M123" i="15"/>
  <c r="I124" i="15"/>
  <c r="P157" i="15"/>
  <c r="P158" i="15" s="1"/>
  <c r="K192" i="15"/>
  <c r="N216" i="15"/>
  <c r="G52" i="15"/>
  <c r="H43" i="15"/>
  <c r="H62" i="15" s="1"/>
  <c r="P137" i="15"/>
  <c r="S147" i="15"/>
  <c r="F166" i="15"/>
  <c r="F187" i="15" s="1"/>
  <c r="L72" i="15"/>
  <c r="L52" i="15"/>
  <c r="L10" i="15"/>
  <c r="L51" i="15"/>
  <c r="S31" i="15"/>
  <c r="S33" i="15"/>
  <c r="U33" i="15" s="1"/>
  <c r="H34" i="15"/>
  <c r="H57" i="15" s="1"/>
  <c r="P34" i="15"/>
  <c r="P57" i="15" s="1"/>
  <c r="H60" i="15"/>
  <c r="P61" i="15"/>
  <c r="H72" i="15"/>
  <c r="G100" i="15"/>
  <c r="O100" i="15"/>
  <c r="F85" i="15"/>
  <c r="L96" i="15"/>
  <c r="Q103" i="15"/>
  <c r="Q104" i="15" s="1"/>
  <c r="I123" i="15"/>
  <c r="M124" i="15"/>
  <c r="J131" i="15"/>
  <c r="J132" i="15" s="1"/>
  <c r="L151" i="15"/>
  <c r="H182" i="15"/>
  <c r="P182" i="15"/>
  <c r="M183" i="15"/>
  <c r="P192" i="15"/>
  <c r="P193" i="15" s="1"/>
  <c r="I215" i="15"/>
  <c r="Q215" i="15"/>
  <c r="N213" i="15"/>
  <c r="M55" i="15"/>
  <c r="I56" i="15"/>
  <c r="K59" i="15"/>
  <c r="G48" i="15"/>
  <c r="T78" i="15"/>
  <c r="N85" i="15"/>
  <c r="J96" i="15"/>
  <c r="M97" i="15"/>
  <c r="F124" i="15"/>
  <c r="N124" i="15"/>
  <c r="M120" i="15"/>
  <c r="M127" i="15" s="1"/>
  <c r="K131" i="15"/>
  <c r="K132" i="15" s="1"/>
  <c r="O137" i="15"/>
  <c r="O153" i="15" s="1"/>
  <c r="H140" i="15"/>
  <c r="J150" i="15"/>
  <c r="T143" i="15"/>
  <c r="M146" i="15"/>
  <c r="M153" i="15" s="1"/>
  <c r="H158" i="15"/>
  <c r="O157" i="15"/>
  <c r="O158" i="15" s="1"/>
  <c r="I182" i="15"/>
  <c r="Q182" i="15"/>
  <c r="N183" i="15"/>
  <c r="G184" i="15"/>
  <c r="Q192" i="15"/>
  <c r="Q193" i="15" s="1"/>
  <c r="G201" i="15"/>
  <c r="J215" i="15"/>
  <c r="S220" i="15"/>
  <c r="U220" i="15" s="1"/>
  <c r="Q235" i="15"/>
  <c r="N235" i="15"/>
  <c r="I242" i="15"/>
  <c r="K10" i="15"/>
  <c r="T44" i="15"/>
  <c r="S46" i="15"/>
  <c r="U46" i="15" s="1"/>
  <c r="K72" i="15"/>
  <c r="O72" i="15"/>
  <c r="M76" i="15"/>
  <c r="M77" i="15" s="1"/>
  <c r="S81" i="15"/>
  <c r="S84" i="15" s="1"/>
  <c r="U84" i="15" s="1"/>
  <c r="O86" i="15"/>
  <c r="P100" i="15"/>
  <c r="I113" i="15"/>
  <c r="L123" i="15"/>
  <c r="P127" i="15"/>
  <c r="N123" i="15"/>
  <c r="P131" i="15"/>
  <c r="P132" i="15" s="1"/>
  <c r="K153" i="15"/>
  <c r="K140" i="15"/>
  <c r="G157" i="15"/>
  <c r="G158" i="15" s="1"/>
  <c r="T158" i="15" s="1"/>
  <c r="Q157" i="15"/>
  <c r="Q158" i="15" s="1"/>
  <c r="G165" i="15"/>
  <c r="G186" i="15" s="1"/>
  <c r="I169" i="15"/>
  <c r="K186" i="15"/>
  <c r="H183" i="15"/>
  <c r="P183" i="15"/>
  <c r="T179" i="15"/>
  <c r="S190" i="15"/>
  <c r="U190" i="15" s="1"/>
  <c r="O201" i="15"/>
  <c r="I213" i="15"/>
  <c r="Q213" i="15"/>
  <c r="I212" i="15"/>
  <c r="K235" i="15"/>
  <c r="J140" i="15"/>
  <c r="H70" i="15"/>
  <c r="P70" i="15"/>
  <c r="H52" i="15"/>
  <c r="P52" i="15"/>
  <c r="G53" i="15"/>
  <c r="P54" i="15"/>
  <c r="H55" i="15"/>
  <c r="P29" i="15"/>
  <c r="P56" i="15" s="1"/>
  <c r="K43" i="15"/>
  <c r="L83" i="15"/>
  <c r="L99" i="15" s="1"/>
  <c r="F110" i="15"/>
  <c r="F126" i="15" s="1"/>
  <c r="Q113" i="15"/>
  <c r="G124" i="15"/>
  <c r="K169" i="15"/>
  <c r="U173" i="15"/>
  <c r="K193" i="15"/>
  <c r="H199" i="15"/>
  <c r="Q201" i="15"/>
  <c r="M212" i="15"/>
  <c r="J213" i="15"/>
  <c r="K212" i="15"/>
  <c r="P213" i="15"/>
  <c r="I51" i="15"/>
  <c r="Q51" i="15"/>
  <c r="I52" i="15"/>
  <c r="Q52" i="15"/>
  <c r="H53" i="15"/>
  <c r="H54" i="15"/>
  <c r="K29" i="15"/>
  <c r="K56" i="15" s="1"/>
  <c r="I55" i="15"/>
  <c r="Q55" i="15"/>
  <c r="M56" i="15"/>
  <c r="Q67" i="15"/>
  <c r="O76" i="15"/>
  <c r="O77" i="15" s="1"/>
  <c r="S92" i="15"/>
  <c r="J92" i="15"/>
  <c r="J99" i="15" s="1"/>
  <c r="N103" i="15"/>
  <c r="N104" i="15" s="1"/>
  <c r="N110" i="15"/>
  <c r="N126" i="15" s="1"/>
  <c r="T117" i="15"/>
  <c r="T124" i="15" s="1"/>
  <c r="O124" i="15"/>
  <c r="I154" i="15"/>
  <c r="Q154" i="15"/>
  <c r="H151" i="15"/>
  <c r="O165" i="15"/>
  <c r="I167" i="15"/>
  <c r="I188" i="15" s="1"/>
  <c r="Q169" i="15"/>
  <c r="M186" i="15"/>
  <c r="J183" i="15"/>
  <c r="M188" i="15"/>
  <c r="I192" i="15"/>
  <c r="I193" i="15" s="1"/>
  <c r="J199" i="15"/>
  <c r="F212" i="15"/>
  <c r="N212" i="15"/>
  <c r="Q212" i="15"/>
  <c r="H213" i="15"/>
  <c r="J51" i="15"/>
  <c r="J52" i="15"/>
  <c r="I53" i="15"/>
  <c r="I54" i="15"/>
  <c r="H59" i="15"/>
  <c r="S45" i="15"/>
  <c r="U45" i="15" s="1"/>
  <c r="I62" i="15"/>
  <c r="P72" i="15"/>
  <c r="S74" i="15"/>
  <c r="U74" i="15" s="1"/>
  <c r="K97" i="15"/>
  <c r="K93" i="15"/>
  <c r="K100" i="15" s="1"/>
  <c r="F103" i="15"/>
  <c r="F104" i="15" s="1"/>
  <c r="H113" i="15"/>
  <c r="P113" i="15"/>
  <c r="G131" i="15"/>
  <c r="T131" i="15" s="1"/>
  <c r="T129" i="15" s="1"/>
  <c r="G137" i="15"/>
  <c r="G153" i="15" s="1"/>
  <c r="J151" i="15"/>
  <c r="S144" i="15"/>
  <c r="U144" i="15" s="1"/>
  <c r="P151" i="15"/>
  <c r="J157" i="15"/>
  <c r="J158" i="15" s="1"/>
  <c r="M169" i="15"/>
  <c r="N182" i="15"/>
  <c r="K183" i="15"/>
  <c r="O188" i="15"/>
  <c r="K182" i="15"/>
  <c r="P199" i="15"/>
  <c r="L216" i="15"/>
  <c r="M215" i="15"/>
  <c r="F242" i="15"/>
  <c r="K65" i="15"/>
  <c r="K51" i="15"/>
  <c r="K52" i="15"/>
  <c r="K25" i="15"/>
  <c r="J53" i="15"/>
  <c r="J54" i="15"/>
  <c r="O29" i="15"/>
  <c r="O56" i="15" s="1"/>
  <c r="F34" i="15"/>
  <c r="I59" i="15"/>
  <c r="J62" i="15"/>
  <c r="Q76" i="15"/>
  <c r="Q77" i="15" s="1"/>
  <c r="S78" i="15"/>
  <c r="L97" i="15"/>
  <c r="P103" i="15"/>
  <c r="P104" i="15" s="1"/>
  <c r="G182" i="15"/>
  <c r="O182" i="15"/>
  <c r="M182" i="15"/>
  <c r="M192" i="15"/>
  <c r="M193" i="15" s="1"/>
  <c r="H212" i="15"/>
  <c r="P212" i="15"/>
  <c r="M216" i="15"/>
  <c r="F216" i="15"/>
  <c r="L213" i="15"/>
  <c r="P242" i="15"/>
  <c r="S14" i="15"/>
  <c r="G60" i="15"/>
  <c r="G51" i="15"/>
  <c r="G69" i="15"/>
  <c r="H83" i="15"/>
  <c r="H86" i="15"/>
  <c r="I93" i="15"/>
  <c r="I100" i="15" s="1"/>
  <c r="I97" i="15"/>
  <c r="Q168" i="15"/>
  <c r="G70" i="15"/>
  <c r="O70" i="15"/>
  <c r="AGV20" i="15"/>
  <c r="Q25" i="15"/>
  <c r="Q54" i="15" s="1"/>
  <c r="J34" i="15"/>
  <c r="J58" i="15" s="1"/>
  <c r="I61" i="15"/>
  <c r="H51" i="15"/>
  <c r="P51" i="15"/>
  <c r="O53" i="15"/>
  <c r="H56" i="15"/>
  <c r="L65" i="15"/>
  <c r="H69" i="15"/>
  <c r="P69" i="15"/>
  <c r="FN69" i="15" s="1"/>
  <c r="H76" i="15"/>
  <c r="H77" i="15" s="1"/>
  <c r="H127" i="15"/>
  <c r="U120" i="15"/>
  <c r="I69" i="15"/>
  <c r="Q69" i="15"/>
  <c r="K70" i="15"/>
  <c r="J72" i="15"/>
  <c r="G99" i="15"/>
  <c r="T92" i="15"/>
  <c r="T99" i="15" s="1"/>
  <c r="O99" i="15"/>
  <c r="L111" i="15"/>
  <c r="L127" i="15" s="1"/>
  <c r="L103" i="15"/>
  <c r="L104" i="15" s="1"/>
  <c r="S119" i="15"/>
  <c r="Q127" i="15"/>
  <c r="G10" i="15"/>
  <c r="O10" i="15"/>
  <c r="I70" i="15"/>
  <c r="Q70" i="15"/>
  <c r="L29" i="15"/>
  <c r="P58" i="15"/>
  <c r="S44" i="15"/>
  <c r="U44" i="15" s="1"/>
  <c r="L62" i="15"/>
  <c r="L67" i="15"/>
  <c r="J69" i="15"/>
  <c r="L70" i="15"/>
  <c r="H92" i="15"/>
  <c r="H96" i="15"/>
  <c r="P92" i="15"/>
  <c r="P96" i="15"/>
  <c r="J110" i="15"/>
  <c r="J113" i="15"/>
  <c r="S107" i="15"/>
  <c r="T119" i="15"/>
  <c r="T126" i="15" s="1"/>
  <c r="J127" i="15"/>
  <c r="T146" i="15"/>
  <c r="G127" i="15"/>
  <c r="T120" i="15"/>
  <c r="T127" i="15" s="1"/>
  <c r="J70" i="15"/>
  <c r="L53" i="15"/>
  <c r="M34" i="15"/>
  <c r="M57" i="15" s="1"/>
  <c r="G59" i="15"/>
  <c r="O59" i="15"/>
  <c r="I60" i="15"/>
  <c r="L61" i="15"/>
  <c r="T54" i="15"/>
  <c r="G65" i="15"/>
  <c r="K69" i="15"/>
  <c r="S85" i="15"/>
  <c r="I99" i="15"/>
  <c r="Q99" i="15"/>
  <c r="M100" i="15"/>
  <c r="S112" i="15"/>
  <c r="K120" i="15"/>
  <c r="K127" i="15" s="1"/>
  <c r="K124" i="15"/>
  <c r="I126" i="15"/>
  <c r="O51" i="15"/>
  <c r="Q72" i="15"/>
  <c r="Q93" i="15"/>
  <c r="Q100" i="15" s="1"/>
  <c r="Q97" i="15"/>
  <c r="F29" i="15"/>
  <c r="F55" i="15" s="1"/>
  <c r="N29" i="15"/>
  <c r="N56" i="15" s="1"/>
  <c r="N34" i="15"/>
  <c r="N57" i="15" s="1"/>
  <c r="S36" i="15"/>
  <c r="J60" i="15"/>
  <c r="F62" i="15"/>
  <c r="H65" i="15"/>
  <c r="P65" i="15"/>
  <c r="F100" i="15"/>
  <c r="S93" i="15"/>
  <c r="N100" i="15"/>
  <c r="Q126" i="15"/>
  <c r="L126" i="15"/>
  <c r="M138" i="15"/>
  <c r="M131" i="15"/>
  <c r="M132" i="15" s="1"/>
  <c r="F167" i="15"/>
  <c r="F188" i="15" s="1"/>
  <c r="S163" i="15"/>
  <c r="S167" i="15" s="1"/>
  <c r="F157" i="15"/>
  <c r="F158" i="15" s="1"/>
  <c r="F184" i="15"/>
  <c r="N167" i="15"/>
  <c r="N188" i="15" s="1"/>
  <c r="N157" i="15"/>
  <c r="N158" i="15" s="1"/>
  <c r="N184" i="15"/>
  <c r="O69" i="15"/>
  <c r="S30" i="15"/>
  <c r="F25" i="15"/>
  <c r="N25" i="15"/>
  <c r="N53" i="15" s="1"/>
  <c r="K60" i="15"/>
  <c r="F61" i="15"/>
  <c r="G62" i="15"/>
  <c r="O62" i="15"/>
  <c r="I65" i="15"/>
  <c r="Q65" i="15"/>
  <c r="G67" i="15"/>
  <c r="J84" i="15"/>
  <c r="J100" i="15" s="1"/>
  <c r="J76" i="15"/>
  <c r="J77" i="15" s="1"/>
  <c r="J119" i="15"/>
  <c r="J123" i="15"/>
  <c r="S116" i="15"/>
  <c r="P83" i="15"/>
  <c r="P86" i="15"/>
  <c r="I168" i="15"/>
  <c r="U168" i="15" s="1"/>
  <c r="I158" i="15"/>
  <c r="J59" i="15"/>
  <c r="G61" i="15"/>
  <c r="O61" i="15"/>
  <c r="P62" i="15"/>
  <c r="F51" i="15"/>
  <c r="N51" i="15"/>
  <c r="H67" i="15"/>
  <c r="P67" i="15"/>
  <c r="S71" i="15"/>
  <c r="H100" i="15"/>
  <c r="K213" i="15"/>
  <c r="K209" i="15"/>
  <c r="K216" i="15" s="1"/>
  <c r="P221" i="15"/>
  <c r="P77" i="15"/>
  <c r="M83" i="15"/>
  <c r="M99" i="15" s="1"/>
  <c r="S90" i="15"/>
  <c r="K92" i="15"/>
  <c r="K99" i="15" s="1"/>
  <c r="L93" i="15"/>
  <c r="L100" i="15" s="1"/>
  <c r="M96" i="15"/>
  <c r="F97" i="15"/>
  <c r="N97" i="15"/>
  <c r="G110" i="15"/>
  <c r="G126" i="15" s="1"/>
  <c r="O110" i="15"/>
  <c r="O126" i="15" s="1"/>
  <c r="I112" i="15"/>
  <c r="Q112" i="15"/>
  <c r="T116" i="15"/>
  <c r="T123" i="15" s="1"/>
  <c r="M119" i="15"/>
  <c r="M126" i="15" s="1"/>
  <c r="F120" i="15"/>
  <c r="N120" i="15"/>
  <c r="N127" i="15" s="1"/>
  <c r="G123" i="15"/>
  <c r="O123" i="15"/>
  <c r="H124" i="15"/>
  <c r="P124" i="15"/>
  <c r="S135" i="15"/>
  <c r="S138" i="15" s="1"/>
  <c r="F131" i="15"/>
  <c r="F132" i="15" s="1"/>
  <c r="F151" i="15"/>
  <c r="N131" i="15"/>
  <c r="N132" i="15" s="1"/>
  <c r="N151" i="15"/>
  <c r="H153" i="15"/>
  <c r="P153" i="15"/>
  <c r="T163" i="15"/>
  <c r="T167" i="15" s="1"/>
  <c r="S179" i="15"/>
  <c r="T190" i="15"/>
  <c r="S197" i="15"/>
  <c r="G212" i="15"/>
  <c r="G208" i="15"/>
  <c r="G215" i="15" s="1"/>
  <c r="O212" i="15"/>
  <c r="O208" i="15"/>
  <c r="O215" i="15" s="1"/>
  <c r="Q221" i="15"/>
  <c r="S80" i="15"/>
  <c r="F83" i="15"/>
  <c r="F99" i="15" s="1"/>
  <c r="N83" i="15"/>
  <c r="N99" i="15" s="1"/>
  <c r="P85" i="15"/>
  <c r="I86" i="15"/>
  <c r="Q86" i="15"/>
  <c r="S89" i="15"/>
  <c r="U89" i="15" s="1"/>
  <c r="T90" i="15"/>
  <c r="T97" i="15" s="1"/>
  <c r="F96" i="15"/>
  <c r="N96" i="15"/>
  <c r="G97" i="15"/>
  <c r="O97" i="15"/>
  <c r="H110" i="15"/>
  <c r="H126" i="15" s="1"/>
  <c r="P110" i="15"/>
  <c r="P126" i="15" s="1"/>
  <c r="K113" i="15"/>
  <c r="H123" i="15"/>
  <c r="P123" i="15"/>
  <c r="Q124" i="15"/>
  <c r="L137" i="15"/>
  <c r="L140" i="15"/>
  <c r="L131" i="15"/>
  <c r="L132" i="15" s="1"/>
  <c r="I146" i="15"/>
  <c r="I150" i="15"/>
  <c r="Q146" i="15"/>
  <c r="Q150" i="15"/>
  <c r="K151" i="15"/>
  <c r="J154" i="15"/>
  <c r="L166" i="15"/>
  <c r="L157" i="15"/>
  <c r="L158" i="15" s="1"/>
  <c r="O184" i="15"/>
  <c r="G192" i="15"/>
  <c r="G200" i="15"/>
  <c r="O192" i="15"/>
  <c r="O193" i="15" s="1"/>
  <c r="O200" i="15"/>
  <c r="I72" i="15"/>
  <c r="Q85" i="15"/>
  <c r="J86" i="15"/>
  <c r="T89" i="15"/>
  <c r="T96" i="15" s="1"/>
  <c r="G96" i="15"/>
  <c r="O96" i="15"/>
  <c r="H97" i="15"/>
  <c r="P97" i="15"/>
  <c r="L113" i="15"/>
  <c r="Q123" i="15"/>
  <c r="J124" i="15"/>
  <c r="M140" i="15"/>
  <c r="G139" i="15"/>
  <c r="T139" i="15" s="1"/>
  <c r="L147" i="15"/>
  <c r="L154" i="15" s="1"/>
  <c r="J165" i="15"/>
  <c r="J186" i="15" s="1"/>
  <c r="J169" i="15"/>
  <c r="S161" i="15"/>
  <c r="S165" i="15" s="1"/>
  <c r="L183" i="15"/>
  <c r="P188" i="15"/>
  <c r="U179" i="15"/>
  <c r="L201" i="15"/>
  <c r="L199" i="15"/>
  <c r="L192" i="15"/>
  <c r="L193" i="15" s="1"/>
  <c r="S218" i="15"/>
  <c r="U218" i="15" s="1"/>
  <c r="K86" i="15"/>
  <c r="M113" i="15"/>
  <c r="I127" i="15"/>
  <c r="F140" i="15"/>
  <c r="S140" i="15" s="1"/>
  <c r="N140" i="15"/>
  <c r="F138" i="15"/>
  <c r="F154" i="15" s="1"/>
  <c r="I139" i="15"/>
  <c r="M151" i="15"/>
  <c r="M147" i="15"/>
  <c r="J153" i="15"/>
  <c r="Q188" i="15"/>
  <c r="G213" i="15"/>
  <c r="O213" i="15"/>
  <c r="G235" i="15"/>
  <c r="O235" i="15"/>
  <c r="L77" i="15"/>
  <c r="I96" i="15"/>
  <c r="Q96" i="15"/>
  <c r="J97" i="15"/>
  <c r="O104" i="15"/>
  <c r="K123" i="15"/>
  <c r="L124" i="15"/>
  <c r="J139" i="15"/>
  <c r="L150" i="15"/>
  <c r="L146" i="15"/>
  <c r="J182" i="15"/>
  <c r="S108" i="15"/>
  <c r="O139" i="15"/>
  <c r="G154" i="15"/>
  <c r="T147" i="15"/>
  <c r="O154" i="15"/>
  <c r="K150" i="15"/>
  <c r="U162" i="15"/>
  <c r="U166" i="15" s="1"/>
  <c r="L212" i="15"/>
  <c r="S117" i="15"/>
  <c r="I137" i="15"/>
  <c r="I140" i="15"/>
  <c r="I131" i="15"/>
  <c r="Q137" i="15"/>
  <c r="Q140" i="15"/>
  <c r="Q131" i="15"/>
  <c r="Q132" i="15" s="1"/>
  <c r="N138" i="15"/>
  <c r="N154" i="15" s="1"/>
  <c r="H154" i="15"/>
  <c r="P154" i="15"/>
  <c r="S146" i="15"/>
  <c r="F169" i="15"/>
  <c r="N169" i="15"/>
  <c r="L177" i="15"/>
  <c r="L186" i="15" s="1"/>
  <c r="L182" i="15"/>
  <c r="N178" i="15"/>
  <c r="N187" i="15" s="1"/>
  <c r="L202" i="15"/>
  <c r="S217" i="15"/>
  <c r="U217" i="15" s="1"/>
  <c r="S219" i="15"/>
  <c r="U219" i="15" s="1"/>
  <c r="F235" i="15"/>
  <c r="S162" i="15"/>
  <c r="S166" i="15" s="1"/>
  <c r="U163" i="15"/>
  <c r="U167" i="15" s="1"/>
  <c r="S173" i="15"/>
  <c r="U174" i="15"/>
  <c r="L178" i="15"/>
  <c r="S196" i="15"/>
  <c r="J202" i="15"/>
  <c r="S134" i="15"/>
  <c r="F137" i="15"/>
  <c r="F153" i="15" s="1"/>
  <c r="N137" i="15"/>
  <c r="N153" i="15" s="1"/>
  <c r="H139" i="15"/>
  <c r="P139" i="15"/>
  <c r="S143" i="15"/>
  <c r="T144" i="15"/>
  <c r="K147" i="15"/>
  <c r="K154" i="15" s="1"/>
  <c r="G151" i="15"/>
  <c r="O151" i="15"/>
  <c r="F165" i="15"/>
  <c r="F186" i="15" s="1"/>
  <c r="N165" i="15"/>
  <c r="N186" i="15" s="1"/>
  <c r="H167" i="15"/>
  <c r="H188" i="15" s="1"/>
  <c r="T173" i="15"/>
  <c r="T182" i="15" s="1"/>
  <c r="O177" i="15"/>
  <c r="M178" i="15"/>
  <c r="M187" i="15" s="1"/>
  <c r="J192" i="15"/>
  <c r="J193" i="15" s="1"/>
  <c r="I199" i="15"/>
  <c r="Q199" i="15"/>
  <c r="M200" i="15"/>
  <c r="H201" i="15"/>
  <c r="P201" i="15"/>
  <c r="K202" i="15"/>
  <c r="S206" i="15"/>
  <c r="L208" i="15"/>
  <c r="L215" i="15" s="1"/>
  <c r="G209" i="15"/>
  <c r="G216" i="15" s="1"/>
  <c r="O209" i="15"/>
  <c r="O216" i="15" s="1"/>
  <c r="J212" i="15"/>
  <c r="M213" i="15"/>
  <c r="F247" i="15"/>
  <c r="F150" i="15"/>
  <c r="N150" i="15"/>
  <c r="I151" i="15"/>
  <c r="Q151" i="15"/>
  <c r="U161" i="15"/>
  <c r="U165" i="15" s="1"/>
  <c r="H165" i="15"/>
  <c r="H186" i="15" s="1"/>
  <c r="P165" i="15"/>
  <c r="P186" i="15" s="1"/>
  <c r="J167" i="15"/>
  <c r="J188" i="15" s="1"/>
  <c r="L169" i="15"/>
  <c r="Q177" i="15"/>
  <c r="Q186" i="15" s="1"/>
  <c r="O178" i="15"/>
  <c r="O187" i="15" s="1"/>
  <c r="F182" i="15"/>
  <c r="G183" i="15"/>
  <c r="P184" i="15"/>
  <c r="K199" i="15"/>
  <c r="M202" i="15"/>
  <c r="F208" i="15"/>
  <c r="N208" i="15"/>
  <c r="N215" i="15" s="1"/>
  <c r="I209" i="15"/>
  <c r="I216" i="15" s="1"/>
  <c r="Q209" i="15"/>
  <c r="Q216" i="15" s="1"/>
  <c r="G150" i="15"/>
  <c r="O150" i="15"/>
  <c r="M158" i="15"/>
  <c r="K167" i="15"/>
  <c r="K188" i="15" s="1"/>
  <c r="P178" i="15"/>
  <c r="P187" i="15" s="1"/>
  <c r="Q184" i="15"/>
  <c r="F202" i="15"/>
  <c r="N202" i="15"/>
  <c r="J209" i="15"/>
  <c r="J216" i="15" s="1"/>
  <c r="H150" i="15"/>
  <c r="P150" i="15"/>
  <c r="L167" i="15"/>
  <c r="L188" i="15" s="1"/>
  <c r="Q178" i="15"/>
  <c r="Q187" i="15" s="1"/>
  <c r="M199" i="15"/>
  <c r="G202" i="15"/>
  <c r="O202" i="15"/>
  <c r="S205" i="15"/>
  <c r="H208" i="15"/>
  <c r="H215" i="15" s="1"/>
  <c r="P208" i="15"/>
  <c r="P215" i="15" s="1"/>
  <c r="S174" i="15"/>
  <c r="F199" i="15"/>
  <c r="N199" i="15"/>
  <c r="K178" i="15"/>
  <c r="K57" i="15" l="1"/>
  <c r="N62" i="15"/>
  <c r="I57" i="15"/>
  <c r="K48" i="15"/>
  <c r="K53" i="15"/>
  <c r="K23" i="15"/>
  <c r="K22" i="15" s="1"/>
  <c r="L56" i="15"/>
  <c r="L23" i="15"/>
  <c r="L22" i="15" s="1"/>
  <c r="F53" i="15"/>
  <c r="F23" i="15"/>
  <c r="F22" i="15" s="1"/>
  <c r="N60" i="15"/>
  <c r="H23" i="15"/>
  <c r="H22" i="15" s="1"/>
  <c r="J23" i="15"/>
  <c r="J22" i="15" s="1"/>
  <c r="I23" i="15"/>
  <c r="I22" i="15" s="1"/>
  <c r="S183" i="15"/>
  <c r="L187" i="15"/>
  <c r="S43" i="15"/>
  <c r="U43" i="15" s="1"/>
  <c r="O60" i="15"/>
  <c r="U42" i="15"/>
  <c r="S86" i="15"/>
  <c r="U86" i="15" s="1"/>
  <c r="Q60" i="15"/>
  <c r="O186" i="15"/>
  <c r="H61" i="15"/>
  <c r="F59" i="15"/>
  <c r="F48" i="15"/>
  <c r="Q57" i="15"/>
  <c r="T183" i="15"/>
  <c r="M62" i="15"/>
  <c r="P48" i="15"/>
  <c r="S123" i="15"/>
  <c r="T157" i="15"/>
  <c r="T156" i="15" s="1"/>
  <c r="L57" i="15"/>
  <c r="P55" i="15"/>
  <c r="L58" i="15"/>
  <c r="J126" i="15"/>
  <c r="F57" i="15"/>
  <c r="P47" i="15"/>
  <c r="U158" i="15"/>
  <c r="O47" i="15"/>
  <c r="S221" i="15"/>
  <c r="U221" i="15" s="1"/>
  <c r="U135" i="15"/>
  <c r="U138" i="15" s="1"/>
  <c r="U112" i="15"/>
  <c r="Q61" i="15"/>
  <c r="S201" i="15"/>
  <c r="U183" i="15"/>
  <c r="S97" i="15"/>
  <c r="T103" i="15"/>
  <c r="T102" i="15" s="1"/>
  <c r="Q48" i="15"/>
  <c r="N54" i="15"/>
  <c r="K55" i="15"/>
  <c r="K61" i="15"/>
  <c r="H48" i="15"/>
  <c r="T130" i="15"/>
  <c r="U81" i="15"/>
  <c r="S103" i="15"/>
  <c r="U157" i="15"/>
  <c r="U156" i="15" s="1"/>
  <c r="S131" i="15"/>
  <c r="U131" i="15" s="1"/>
  <c r="H58" i="15"/>
  <c r="S213" i="15"/>
  <c r="S154" i="15"/>
  <c r="S61" i="15"/>
  <c r="U31" i="15"/>
  <c r="AX31" i="15"/>
  <c r="U85" i="15"/>
  <c r="F56" i="15"/>
  <c r="K62" i="15"/>
  <c r="S169" i="15"/>
  <c r="S150" i="15"/>
  <c r="S151" i="15"/>
  <c r="F58" i="15"/>
  <c r="K54" i="15"/>
  <c r="S177" i="15"/>
  <c r="S186" i="15" s="1"/>
  <c r="S158" i="15"/>
  <c r="S113" i="15"/>
  <c r="U113" i="15" s="1"/>
  <c r="U140" i="15"/>
  <c r="M154" i="15"/>
  <c r="T192" i="15"/>
  <c r="S212" i="15"/>
  <c r="S182" i="15"/>
  <c r="U169" i="15"/>
  <c r="U116" i="15"/>
  <c r="J57" i="15"/>
  <c r="S124" i="15"/>
  <c r="S139" i="15"/>
  <c r="U139" i="15" s="1"/>
  <c r="G132" i="15"/>
  <c r="T132" i="15" s="1"/>
  <c r="S199" i="15"/>
  <c r="S104" i="15"/>
  <c r="U104" i="15" s="1"/>
  <c r="O55" i="15"/>
  <c r="S202" i="15"/>
  <c r="AX30" i="15"/>
  <c r="U30" i="15"/>
  <c r="S29" i="15"/>
  <c r="U147" i="15"/>
  <c r="F54" i="15"/>
  <c r="J48" i="15"/>
  <c r="S157" i="15"/>
  <c r="S156" i="15" s="1"/>
  <c r="P99" i="15"/>
  <c r="L54" i="15"/>
  <c r="Q153" i="15"/>
  <c r="I132" i="15"/>
  <c r="T113" i="15"/>
  <c r="N48" i="15"/>
  <c r="S34" i="15"/>
  <c r="L47" i="15"/>
  <c r="G193" i="15"/>
  <c r="S83" i="15"/>
  <c r="U80" i="15"/>
  <c r="U96" i="15" s="1"/>
  <c r="S76" i="15"/>
  <c r="F127" i="15"/>
  <c r="S120" i="15"/>
  <c r="S100" i="15"/>
  <c r="S110" i="15"/>
  <c r="S126" i="15" s="1"/>
  <c r="U107" i="15"/>
  <c r="U110" i="15" s="1"/>
  <c r="U126" i="15" s="1"/>
  <c r="N58" i="15"/>
  <c r="S62" i="15"/>
  <c r="Q53" i="15"/>
  <c r="N47" i="15"/>
  <c r="T178" i="15"/>
  <c r="T187" i="15" s="1"/>
  <c r="S178" i="15"/>
  <c r="S187" i="15" s="1"/>
  <c r="K187" i="15"/>
  <c r="U178" i="15"/>
  <c r="U187" i="15" s="1"/>
  <c r="F215" i="15"/>
  <c r="S208" i="15"/>
  <c r="S215" i="15" s="1"/>
  <c r="S137" i="15"/>
  <c r="S153" i="15" s="1"/>
  <c r="U134" i="15"/>
  <c r="U137" i="15" s="1"/>
  <c r="T177" i="15"/>
  <c r="T186" i="15" s="1"/>
  <c r="U90" i="15"/>
  <c r="I153" i="15"/>
  <c r="U146" i="15"/>
  <c r="U182" i="15"/>
  <c r="H99" i="15"/>
  <c r="U92" i="15"/>
  <c r="Q47" i="15"/>
  <c r="L55" i="15"/>
  <c r="S209" i="15"/>
  <c r="S216" i="15" s="1"/>
  <c r="U177" i="15"/>
  <c r="U186" i="15" s="1"/>
  <c r="S96" i="15"/>
  <c r="S192" i="15"/>
  <c r="U117" i="15"/>
  <c r="U93" i="15"/>
  <c r="U100" i="15" s="1"/>
  <c r="U36" i="15"/>
  <c r="S77" i="15"/>
  <c r="U77" i="15" s="1"/>
  <c r="N55" i="15"/>
  <c r="M58" i="15"/>
  <c r="U108" i="15"/>
  <c r="U111" i="15" s="1"/>
  <c r="U127" i="15" s="1"/>
  <c r="S111" i="15"/>
  <c r="L153" i="15"/>
  <c r="U143" i="15"/>
  <c r="T169" i="15"/>
  <c r="S200" i="15"/>
  <c r="S22" i="15" l="1"/>
  <c r="U97" i="15"/>
  <c r="U129" i="15"/>
  <c r="U130" i="15"/>
  <c r="S130" i="15"/>
  <c r="S129" i="15"/>
  <c r="U124" i="15"/>
  <c r="S102" i="15"/>
  <c r="U103" i="15"/>
  <c r="U102" i="15" s="1"/>
  <c r="S132" i="15"/>
  <c r="U132" i="15" s="1"/>
  <c r="AX29" i="15"/>
  <c r="U29" i="15"/>
  <c r="S56" i="15"/>
  <c r="S58" i="15"/>
  <c r="U123" i="15"/>
  <c r="S55" i="15"/>
  <c r="U83" i="15"/>
  <c r="U99" i="15" s="1"/>
  <c r="S99" i="15"/>
  <c r="T193" i="15"/>
  <c r="T191" i="15" s="1"/>
  <c r="S193" i="15"/>
  <c r="U193" i="15" s="1"/>
  <c r="S127" i="15"/>
  <c r="U34" i="15"/>
  <c r="S57" i="15"/>
  <c r="U76" i="15"/>
  <c r="S75" i="15"/>
  <c r="U75" i="15" s="1"/>
  <c r="U192" i="15"/>
  <c r="U191" i="15" l="1"/>
  <c r="S191" i="15"/>
  <c r="T7" i="6" l="1"/>
  <c r="S7" i="6"/>
  <c r="G5" i="10" l="1"/>
  <c r="F5" i="4"/>
  <c r="AN223" i="6"/>
  <c r="T12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K51" i="6"/>
  <c r="AL51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K52" i="6"/>
  <c r="AL52" i="6"/>
  <c r="T52" i="6"/>
  <c r="T51" i="6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3" i="4"/>
  <c r="M224" i="15" l="1"/>
  <c r="M228" i="15" s="1"/>
  <c r="AO223" i="6"/>
  <c r="T49" i="6"/>
  <c r="U49" i="6"/>
  <c r="V49" i="6"/>
  <c r="W49" i="6"/>
  <c r="X49" i="6"/>
  <c r="Y49" i="6"/>
  <c r="AB49" i="6"/>
  <c r="AC49" i="6"/>
  <c r="AD49" i="6"/>
  <c r="AE49" i="6"/>
  <c r="AF49" i="6"/>
  <c r="AG49" i="6"/>
  <c r="AI49" i="6"/>
  <c r="AK49" i="6"/>
  <c r="AL49" i="6"/>
  <c r="S16" i="6"/>
  <c r="S52" i="6"/>
  <c r="S51" i="6"/>
  <c r="S13" i="6"/>
  <c r="S12" i="6"/>
  <c r="S233" i="6"/>
  <c r="S234" i="6" s="1"/>
  <c r="S9" i="6"/>
  <c r="F25" i="14"/>
  <c r="F24" i="14"/>
  <c r="F22" i="14"/>
  <c r="F21" i="14"/>
  <c r="F20" i="14"/>
  <c r="F18" i="14"/>
  <c r="F17" i="14"/>
  <c r="F16" i="14"/>
  <c r="F15" i="14"/>
  <c r="F13" i="14"/>
  <c r="F12" i="14"/>
  <c r="F11" i="14"/>
  <c r="G4" i="14"/>
  <c r="G3" i="14"/>
  <c r="G8" i="14" s="1"/>
  <c r="S232" i="6" l="1"/>
  <c r="S241" i="6"/>
  <c r="S224" i="15"/>
  <c r="U224" i="15" s="1"/>
  <c r="H22" i="14"/>
  <c r="H15" i="14"/>
  <c r="H25" i="14"/>
  <c r="H16" i="14"/>
  <c r="G17" i="14"/>
  <c r="G20" i="14"/>
  <c r="G25" i="14"/>
  <c r="G22" i="14"/>
  <c r="H17" i="14"/>
  <c r="F27" i="14"/>
  <c r="H20" i="14"/>
  <c r="G18" i="14"/>
  <c r="H11" i="14"/>
  <c r="H21" i="14"/>
  <c r="H12" i="14"/>
  <c r="H13" i="14"/>
  <c r="G24" i="14"/>
  <c r="G12" i="14"/>
  <c r="G15" i="14"/>
  <c r="G21" i="14"/>
  <c r="H18" i="14"/>
  <c r="H24" i="14"/>
  <c r="G13" i="14"/>
  <c r="G16" i="14"/>
  <c r="G11" i="14"/>
  <c r="H26" i="14" l="1"/>
  <c r="G19" i="14"/>
  <c r="G23" i="14"/>
  <c r="G14" i="14"/>
  <c r="G26" i="14"/>
  <c r="H14" i="14"/>
  <c r="H23" i="14"/>
  <c r="H19" i="14"/>
  <c r="H27" i="14" l="1"/>
  <c r="H24" i="12"/>
  <c r="G24" i="12"/>
  <c r="F24" i="12"/>
  <c r="J24" i="12" s="1"/>
  <c r="M24" i="12" s="1"/>
  <c r="D24" i="12"/>
  <c r="H23" i="12"/>
  <c r="G23" i="12"/>
  <c r="F23" i="12"/>
  <c r="J23" i="12" s="1"/>
  <c r="M23" i="12" s="1"/>
  <c r="D23" i="12"/>
  <c r="H22" i="12"/>
  <c r="G22" i="12"/>
  <c r="D22" i="12"/>
  <c r="F22" i="12" s="1"/>
  <c r="J22" i="12" s="1"/>
  <c r="M22" i="12" s="1"/>
  <c r="H20" i="12"/>
  <c r="J20" i="12" s="1"/>
  <c r="M20" i="12" s="1"/>
  <c r="G20" i="12"/>
  <c r="F20" i="12"/>
  <c r="H19" i="12"/>
  <c r="J19" i="12" s="1"/>
  <c r="M19" i="12" s="1"/>
  <c r="G19" i="12"/>
  <c r="F19" i="12"/>
  <c r="H18" i="12"/>
  <c r="J18" i="12" s="1"/>
  <c r="M18" i="12" s="1"/>
  <c r="G18" i="12"/>
  <c r="F18" i="12"/>
  <c r="H17" i="12"/>
  <c r="J17" i="12" s="1"/>
  <c r="M17" i="12" s="1"/>
  <c r="G17" i="12"/>
  <c r="F17" i="12"/>
  <c r="K15" i="12"/>
  <c r="M15" i="12" s="1"/>
  <c r="J15" i="12"/>
  <c r="H15" i="12"/>
  <c r="G15" i="12"/>
  <c r="F15" i="12"/>
  <c r="D15" i="12"/>
  <c r="H13" i="12"/>
  <c r="J13" i="12" s="1"/>
  <c r="F13" i="12"/>
  <c r="H12" i="12"/>
  <c r="J12" i="12" s="1"/>
  <c r="F12" i="12"/>
  <c r="O10" i="12"/>
  <c r="O12" i="12" s="1"/>
  <c r="O13" i="12" s="1"/>
  <c r="O15" i="12" s="1"/>
  <c r="O17" i="12" s="1"/>
  <c r="K10" i="12"/>
  <c r="M10" i="12" s="1"/>
  <c r="H10" i="12"/>
  <c r="J10" i="12" s="1"/>
  <c r="F10" i="12"/>
  <c r="O7" i="12"/>
  <c r="I12" i="12" s="1"/>
  <c r="M12" i="12" s="1"/>
  <c r="N12" i="12" s="1"/>
  <c r="R48" i="11"/>
  <c r="Q48" i="11"/>
  <c r="J47" i="11"/>
  <c r="M47" i="11" s="1"/>
  <c r="H47" i="11"/>
  <c r="F47" i="11"/>
  <c r="H46" i="11"/>
  <c r="J46" i="11" s="1"/>
  <c r="M46" i="11" s="1"/>
  <c r="F46" i="11"/>
  <c r="D46" i="11"/>
  <c r="H44" i="11"/>
  <c r="G44" i="11"/>
  <c r="D44" i="11"/>
  <c r="F44" i="11" s="1"/>
  <c r="H43" i="11"/>
  <c r="J43" i="11" s="1"/>
  <c r="M43" i="11" s="1"/>
  <c r="G43" i="11"/>
  <c r="F43" i="11"/>
  <c r="H42" i="11"/>
  <c r="G42" i="11"/>
  <c r="D42" i="11"/>
  <c r="F42" i="11" s="1"/>
  <c r="J40" i="11"/>
  <c r="M40" i="11" s="1"/>
  <c r="H40" i="11"/>
  <c r="F40" i="11"/>
  <c r="H39" i="11"/>
  <c r="K37" i="11"/>
  <c r="H37" i="11"/>
  <c r="G37" i="11"/>
  <c r="D37" i="11"/>
  <c r="F37" i="11" s="1"/>
  <c r="J37" i="11" s="1"/>
  <c r="H36" i="11"/>
  <c r="J36" i="11" s="1"/>
  <c r="M36" i="11" s="1"/>
  <c r="G36" i="11"/>
  <c r="D36" i="11"/>
  <c r="F36" i="11" s="1"/>
  <c r="H35" i="11"/>
  <c r="G35" i="11"/>
  <c r="D35" i="11"/>
  <c r="F35" i="11" s="1"/>
  <c r="H34" i="11"/>
  <c r="G34" i="11"/>
  <c r="D34" i="11"/>
  <c r="F34" i="11" s="1"/>
  <c r="H33" i="11"/>
  <c r="J33" i="11" s="1"/>
  <c r="M33" i="11" s="1"/>
  <c r="G33" i="11"/>
  <c r="D33" i="11"/>
  <c r="F33" i="11" s="1"/>
  <c r="H32" i="11"/>
  <c r="J32" i="11" s="1"/>
  <c r="M32" i="11" s="1"/>
  <c r="G32" i="11"/>
  <c r="F32" i="11"/>
  <c r="D32" i="11"/>
  <c r="H30" i="11"/>
  <c r="J30" i="11" s="1"/>
  <c r="M30" i="11" s="1"/>
  <c r="G30" i="11"/>
  <c r="F30" i="11"/>
  <c r="H29" i="11"/>
  <c r="J29" i="11" s="1"/>
  <c r="M29" i="11" s="1"/>
  <c r="G29" i="11"/>
  <c r="F29" i="11"/>
  <c r="H28" i="11"/>
  <c r="J28" i="11" s="1"/>
  <c r="M28" i="11" s="1"/>
  <c r="G28" i="11"/>
  <c r="F28" i="11"/>
  <c r="H27" i="11"/>
  <c r="J27" i="11" s="1"/>
  <c r="M27" i="11" s="1"/>
  <c r="G27" i="11"/>
  <c r="F27" i="11"/>
  <c r="K25" i="11"/>
  <c r="H25" i="11"/>
  <c r="J25" i="11" s="1"/>
  <c r="G25" i="11"/>
  <c r="F25" i="11"/>
  <c r="D23" i="11"/>
  <c r="D22" i="11"/>
  <c r="H21" i="11"/>
  <c r="D21" i="11"/>
  <c r="K19" i="11"/>
  <c r="H19" i="11"/>
  <c r="K18" i="11"/>
  <c r="H18" i="11"/>
  <c r="K16" i="11"/>
  <c r="H16" i="11"/>
  <c r="K15" i="11"/>
  <c r="H15" i="11"/>
  <c r="K14" i="11"/>
  <c r="H14" i="11"/>
  <c r="H12" i="11"/>
  <c r="D12" i="11"/>
  <c r="F12" i="11" s="1"/>
  <c r="O11" i="11"/>
  <c r="O14" i="11" s="1"/>
  <c r="O15" i="11" s="1"/>
  <c r="O16" i="11" s="1"/>
  <c r="O18" i="11" s="1"/>
  <c r="O19" i="11" s="1"/>
  <c r="O21" i="11" s="1"/>
  <c r="O22" i="11" s="1"/>
  <c r="O23" i="11" s="1"/>
  <c r="O25" i="11" s="1"/>
  <c r="O27" i="11" s="1"/>
  <c r="H11" i="11"/>
  <c r="O10" i="11"/>
  <c r="H10" i="11"/>
  <c r="O7" i="11"/>
  <c r="I22" i="11" s="1"/>
  <c r="I13" i="12" l="1"/>
  <c r="M13" i="12" s="1"/>
  <c r="N13" i="12" s="1"/>
  <c r="I23" i="11"/>
  <c r="M37" i="11"/>
  <c r="P17" i="12"/>
  <c r="N17" i="12"/>
  <c r="P19" i="12"/>
  <c r="N19" i="12"/>
  <c r="O19" i="12"/>
  <c r="O18" i="12"/>
  <c r="O20" i="12" s="1"/>
  <c r="O22" i="12" s="1"/>
  <c r="O24" i="12" s="1"/>
  <c r="N20" i="12"/>
  <c r="P23" i="12"/>
  <c r="N23" i="12"/>
  <c r="N22" i="12"/>
  <c r="P24" i="12"/>
  <c r="N24" i="12"/>
  <c r="P15" i="12"/>
  <c r="N15" i="12"/>
  <c r="N18" i="12"/>
  <c r="P10" i="12"/>
  <c r="P12" i="12"/>
  <c r="P13" i="12"/>
  <c r="N10" i="12"/>
  <c r="J12" i="11"/>
  <c r="M12" i="11" s="1"/>
  <c r="M25" i="11"/>
  <c r="J42" i="11"/>
  <c r="M42" i="11" s="1"/>
  <c r="O29" i="11"/>
  <c r="O28" i="11"/>
  <c r="O30" i="11" s="1"/>
  <c r="O32" i="11" s="1"/>
  <c r="O33" i="11" s="1"/>
  <c r="O34" i="11" s="1"/>
  <c r="O35" i="11" s="1"/>
  <c r="O36" i="11" s="1"/>
  <c r="O37" i="11" s="1"/>
  <c r="O39" i="11" s="1"/>
  <c r="O40" i="11" s="1"/>
  <c r="O42" i="11" s="1"/>
  <c r="J34" i="11"/>
  <c r="M34" i="11" s="1"/>
  <c r="J35" i="11"/>
  <c r="M35" i="11" s="1"/>
  <c r="J44" i="11"/>
  <c r="M44" i="11" s="1"/>
  <c r="O12" i="11"/>
  <c r="I21" i="11"/>
  <c r="H22" i="11"/>
  <c r="M25" i="12" l="1"/>
  <c r="N25" i="12"/>
  <c r="P20" i="12"/>
  <c r="P22" i="12"/>
  <c r="P18" i="12"/>
  <c r="P25" i="12" s="1"/>
  <c r="O46" i="11"/>
  <c r="O43" i="11"/>
  <c r="H23" i="11"/>
  <c r="O44" i="11" l="1"/>
  <c r="O47" i="11"/>
  <c r="R52" i="6" l="1"/>
  <c r="R51" i="6"/>
  <c r="Q52" i="6"/>
  <c r="P51" i="6" l="1"/>
  <c r="O51" i="6"/>
  <c r="N51" i="6"/>
  <c r="AN66" i="6" l="1"/>
  <c r="M68" i="15" s="1"/>
  <c r="Q225" i="6"/>
  <c r="P225" i="6"/>
  <c r="P226" i="6" s="1"/>
  <c r="O225" i="6"/>
  <c r="O226" i="6" s="1"/>
  <c r="O227" i="6" s="1"/>
  <c r="O250" i="6"/>
  <c r="O245" i="6"/>
  <c r="O235" i="6"/>
  <c r="O236" i="6" s="1"/>
  <c r="O71" i="6"/>
  <c r="O68" i="6"/>
  <c r="O69" i="6" s="1"/>
  <c r="O67" i="6"/>
  <c r="O58" i="6"/>
  <c r="O57" i="6"/>
  <c r="O52" i="6"/>
  <c r="O50" i="6"/>
  <c r="O49" i="6"/>
  <c r="O43" i="6"/>
  <c r="O59" i="6" s="1"/>
  <c r="O34" i="6"/>
  <c r="O56" i="6" s="1"/>
  <c r="O29" i="6"/>
  <c r="O11" i="6"/>
  <c r="O65" i="6" s="1"/>
  <c r="O10" i="6"/>
  <c r="O63" i="6" s="1"/>
  <c r="O8" i="6"/>
  <c r="P8" i="6"/>
  <c r="P10" i="6"/>
  <c r="P63" i="6" s="1"/>
  <c r="P11" i="6"/>
  <c r="P65" i="6" s="1"/>
  <c r="P29" i="6"/>
  <c r="P34" i="6"/>
  <c r="P56" i="6" s="1"/>
  <c r="P43" i="6"/>
  <c r="P59" i="6" s="1"/>
  <c r="P49" i="6"/>
  <c r="P50" i="6"/>
  <c r="P52" i="6"/>
  <c r="P57" i="6"/>
  <c r="P58" i="6"/>
  <c r="P67" i="6"/>
  <c r="P68" i="6"/>
  <c r="P69" i="6" s="1"/>
  <c r="P71" i="6"/>
  <c r="P235" i="6"/>
  <c r="P236" i="6" s="1"/>
  <c r="P245" i="6"/>
  <c r="P250" i="6"/>
  <c r="N250" i="6"/>
  <c r="N245" i="6"/>
  <c r="N235" i="6"/>
  <c r="N225" i="6"/>
  <c r="N71" i="6"/>
  <c r="N58" i="6"/>
  <c r="N57" i="6"/>
  <c r="N52" i="6"/>
  <c r="N43" i="6"/>
  <c r="N60" i="6" s="1"/>
  <c r="N34" i="6"/>
  <c r="N56" i="6" s="1"/>
  <c r="N29" i="6"/>
  <c r="N11" i="6"/>
  <c r="N65" i="6" s="1"/>
  <c r="N9" i="6"/>
  <c r="L58" i="6"/>
  <c r="M58" i="6"/>
  <c r="L57" i="6"/>
  <c r="M57" i="6"/>
  <c r="I52" i="6"/>
  <c r="J52" i="6"/>
  <c r="I51" i="6"/>
  <c r="J51" i="6"/>
  <c r="N232" i="6" l="1"/>
  <c r="N241" i="6"/>
  <c r="N49" i="6"/>
  <c r="N236" i="6"/>
  <c r="M64" i="15"/>
  <c r="S64" i="15" s="1"/>
  <c r="U64" i="15" s="1"/>
  <c r="O53" i="6"/>
  <c r="O22" i="6"/>
  <c r="O23" i="6" s="1"/>
  <c r="P54" i="6"/>
  <c r="P22" i="6"/>
  <c r="P23" i="6" s="1"/>
  <c r="N54" i="6"/>
  <c r="N22" i="6"/>
  <c r="N23" i="6" s="1"/>
  <c r="P53" i="6"/>
  <c r="P55" i="6"/>
  <c r="S68" i="15"/>
  <c r="U68" i="15" s="1"/>
  <c r="O60" i="6"/>
  <c r="O54" i="6"/>
  <c r="O55" i="6"/>
  <c r="P60" i="6"/>
  <c r="P227" i="6"/>
  <c r="N59" i="6"/>
  <c r="N226" i="6"/>
  <c r="N227" i="6" s="1"/>
  <c r="N53" i="6"/>
  <c r="N10" i="6"/>
  <c r="N63" i="6" s="1"/>
  <c r="N55" i="6"/>
  <c r="N67" i="6"/>
  <c r="N50" i="6"/>
  <c r="N68" i="6"/>
  <c r="N69" i="6" s="1"/>
  <c r="N8" i="6"/>
  <c r="D35" i="10"/>
  <c r="G35" i="10" s="1"/>
  <c r="D34" i="10"/>
  <c r="G34" i="10" s="1"/>
  <c r="D33" i="10"/>
  <c r="G33" i="10" s="1"/>
  <c r="D32" i="10"/>
  <c r="G32" i="10" s="1"/>
  <c r="AH16" i="6" s="1"/>
  <c r="AH49" i="6" s="1"/>
  <c r="D31" i="10"/>
  <c r="G31" i="10" s="1"/>
  <c r="D30" i="10"/>
  <c r="G30" i="10" s="1"/>
  <c r="D29" i="10"/>
  <c r="G29" i="10" s="1"/>
  <c r="D28" i="10"/>
  <c r="G28" i="10" s="1"/>
  <c r="D27" i="10"/>
  <c r="G27" i="10" s="1"/>
  <c r="D26" i="10"/>
  <c r="D25" i="10"/>
  <c r="AA16" i="6" s="1"/>
  <c r="AA49" i="6" s="1"/>
  <c r="D24" i="10"/>
  <c r="Z16" i="6" s="1"/>
  <c r="D23" i="10"/>
  <c r="D22" i="10"/>
  <c r="G22" i="10" s="1"/>
  <c r="D21" i="10"/>
  <c r="G21" i="10" s="1"/>
  <c r="D20" i="10"/>
  <c r="G20" i="10" s="1"/>
  <c r="D19" i="10"/>
  <c r="G19" i="10" s="1"/>
  <c r="D18" i="10"/>
  <c r="G18" i="10" s="1"/>
  <c r="D17" i="10"/>
  <c r="G17" i="10" s="1"/>
  <c r="D16" i="10"/>
  <c r="G16" i="10" s="1"/>
  <c r="D15" i="10"/>
  <c r="G15" i="10" s="1"/>
  <c r="D14" i="10"/>
  <c r="G14" i="10" s="1"/>
  <c r="D13" i="10"/>
  <c r="G13" i="10" s="1"/>
  <c r="D12" i="10"/>
  <c r="G12" i="10" s="1"/>
  <c r="D11" i="10"/>
  <c r="G11" i="10" s="1"/>
  <c r="D10" i="10"/>
  <c r="G10" i="10" s="1"/>
  <c r="D9" i="10"/>
  <c r="G9" i="10" s="1"/>
  <c r="D8" i="10"/>
  <c r="G8" i="10" s="1"/>
  <c r="D7" i="10"/>
  <c r="G7" i="10" s="1"/>
  <c r="D6" i="10"/>
  <c r="G6" i="10" s="1"/>
  <c r="M9" i="6"/>
  <c r="L9" i="6"/>
  <c r="K9" i="6"/>
  <c r="J9" i="6"/>
  <c r="H9" i="6"/>
  <c r="G9" i="6"/>
  <c r="G232" i="6" l="1"/>
  <c r="G241" i="6"/>
  <c r="L232" i="6"/>
  <c r="L241" i="6"/>
  <c r="H232" i="6"/>
  <c r="H241" i="6"/>
  <c r="M232" i="6"/>
  <c r="M241" i="6"/>
  <c r="J232" i="6"/>
  <c r="J241" i="6"/>
  <c r="K232" i="6"/>
  <c r="K241" i="6"/>
  <c r="Z49" i="6"/>
  <c r="AN9" i="6"/>
  <c r="AN232" i="6" s="1"/>
  <c r="M233" i="6"/>
  <c r="M234" i="6" s="1"/>
  <c r="M27" i="6"/>
  <c r="AN27" i="6" s="1"/>
  <c r="AS27" i="6" s="1"/>
  <c r="M26" i="6"/>
  <c r="K39" i="6"/>
  <c r="K26" i="6"/>
  <c r="K25" i="6" s="1"/>
  <c r="K17" i="6"/>
  <c r="K16" i="6"/>
  <c r="K7" i="6"/>
  <c r="M17" i="6"/>
  <c r="M16" i="6"/>
  <c r="M7" i="6"/>
  <c r="K38" i="6" l="1"/>
  <c r="AN39" i="6"/>
  <c r="M25" i="6"/>
  <c r="AN67" i="6"/>
  <c r="AO67" i="6" s="1"/>
  <c r="AP9" i="6"/>
  <c r="AO9" i="6"/>
  <c r="M51" i="6"/>
  <c r="M11" i="15"/>
  <c r="M65" i="15" s="1"/>
  <c r="M52" i="6"/>
  <c r="K52" i="6"/>
  <c r="K51" i="6"/>
  <c r="K57" i="6"/>
  <c r="K58" i="6"/>
  <c r="L233" i="6"/>
  <c r="L234" i="6" s="1"/>
  <c r="L12" i="6"/>
  <c r="D11" i="11" l="1"/>
  <c r="M69" i="15"/>
  <c r="M10" i="15"/>
  <c r="S10" i="15" s="1"/>
  <c r="S11" i="15"/>
  <c r="L51" i="6"/>
  <c r="L52" i="6"/>
  <c r="K233" i="6"/>
  <c r="K234" i="6" s="1"/>
  <c r="S65" i="15" l="1"/>
  <c r="U11" i="15"/>
  <c r="U69" i="15" s="1"/>
  <c r="AIV8" i="15"/>
  <c r="AIW8" i="15" s="1"/>
  <c r="OO15" i="15"/>
  <c r="OO17" i="15" s="1"/>
  <c r="AX11" i="15"/>
  <c r="S69" i="15"/>
  <c r="D9" i="4"/>
  <c r="M237" i="15"/>
  <c r="S237" i="15" s="1"/>
  <c r="J233" i="6"/>
  <c r="J234" i="6" s="1"/>
  <c r="I233" i="6"/>
  <c r="I234" i="6" s="1"/>
  <c r="J40" i="6"/>
  <c r="J39" i="6"/>
  <c r="J17" i="6"/>
  <c r="J16" i="6"/>
  <c r="J7" i="6"/>
  <c r="I40" i="6"/>
  <c r="I39" i="6"/>
  <c r="I17" i="6"/>
  <c r="I16" i="6"/>
  <c r="I7" i="6"/>
  <c r="H40" i="6"/>
  <c r="H39" i="6"/>
  <c r="H26" i="6"/>
  <c r="H17" i="6"/>
  <c r="H16" i="6"/>
  <c r="H49" i="6" s="1"/>
  <c r="H7" i="6"/>
  <c r="AO7" i="6" l="1"/>
  <c r="J38" i="6"/>
  <c r="H38" i="6"/>
  <c r="AX69" i="15"/>
  <c r="I38" i="6"/>
  <c r="OO18" i="15"/>
  <c r="OO20" i="15"/>
  <c r="U237" i="15"/>
  <c r="I57" i="6"/>
  <c r="H57" i="6"/>
  <c r="H58" i="6"/>
  <c r="J58" i="6"/>
  <c r="J57" i="6"/>
  <c r="I58" i="6"/>
  <c r="H52" i="6"/>
  <c r="H51" i="6"/>
  <c r="J13" i="6"/>
  <c r="AN13" i="6" s="1"/>
  <c r="J12" i="6"/>
  <c r="G40" i="6" l="1"/>
  <c r="G38" i="6" s="1"/>
  <c r="G26" i="6"/>
  <c r="G17" i="6"/>
  <c r="G50" i="6" s="1"/>
  <c r="G16" i="6"/>
  <c r="G7" i="6"/>
  <c r="AN7" i="6" s="1"/>
  <c r="G233" i="6"/>
  <c r="G234" i="6" s="1"/>
  <c r="G25" i="6" l="1"/>
  <c r="AN26" i="6"/>
  <c r="G58" i="6"/>
  <c r="G51" i="6"/>
  <c r="G57" i="6"/>
  <c r="M26" i="15" l="1"/>
  <c r="S26" i="15" s="1"/>
  <c r="U26" i="15" s="1"/>
  <c r="AN51" i="6"/>
  <c r="M17" i="15"/>
  <c r="M16" i="15"/>
  <c r="M15" i="15"/>
  <c r="O4" i="11"/>
  <c r="F21" i="11" s="1"/>
  <c r="M8" i="15"/>
  <c r="S8" i="15" s="1"/>
  <c r="AN70" i="6"/>
  <c r="M71" i="15" s="1"/>
  <c r="U71" i="15" s="1"/>
  <c r="S16" i="8"/>
  <c r="AK11" i="6"/>
  <c r="AK250" i="6"/>
  <c r="AL250" i="6"/>
  <c r="AK71" i="6"/>
  <c r="AL71" i="6"/>
  <c r="AK65" i="6" l="1"/>
  <c r="AIV16" i="15"/>
  <c r="AIW16" i="15" s="1"/>
  <c r="F11" i="11"/>
  <c r="J11" i="11" s="1"/>
  <c r="M11" i="11" s="1"/>
  <c r="P11" i="11" s="1"/>
  <c r="N28" i="11"/>
  <c r="P30" i="11"/>
  <c r="N35" i="11"/>
  <c r="N36" i="11"/>
  <c r="F23" i="11"/>
  <c r="M23" i="11" s="1"/>
  <c r="P23" i="11" s="1"/>
  <c r="P44" i="11"/>
  <c r="P33" i="11"/>
  <c r="P40" i="11"/>
  <c r="S15" i="15"/>
  <c r="T15" i="15"/>
  <c r="U15" i="15"/>
  <c r="S17" i="15"/>
  <c r="T17" i="15"/>
  <c r="U17" i="15"/>
  <c r="S16" i="15"/>
  <c r="U16" i="15"/>
  <c r="T16" i="15"/>
  <c r="P28" i="11"/>
  <c r="F16" i="11"/>
  <c r="J16" i="11" s="1"/>
  <c r="M16" i="11" s="1"/>
  <c r="P16" i="11" s="1"/>
  <c r="P27" i="11"/>
  <c r="N33" i="11"/>
  <c r="N29" i="11"/>
  <c r="N47" i="11"/>
  <c r="P12" i="11"/>
  <c r="F22" i="11"/>
  <c r="J22" i="11" s="1"/>
  <c r="P29" i="11"/>
  <c r="P46" i="11"/>
  <c r="P34" i="11"/>
  <c r="J21" i="11"/>
  <c r="M21" i="11"/>
  <c r="P21" i="11" s="1"/>
  <c r="N27" i="11"/>
  <c r="N34" i="11"/>
  <c r="F15" i="11"/>
  <c r="J15" i="11" s="1"/>
  <c r="M15" i="11" s="1"/>
  <c r="P32" i="11"/>
  <c r="P35" i="11"/>
  <c r="F18" i="11"/>
  <c r="M18" i="11" s="1"/>
  <c r="N18" i="11" s="1"/>
  <c r="N42" i="11"/>
  <c r="P42" i="11"/>
  <c r="N32" i="11"/>
  <c r="N40" i="11"/>
  <c r="P43" i="11"/>
  <c r="N25" i="11"/>
  <c r="N44" i="11"/>
  <c r="U8" i="15"/>
  <c r="N12" i="11"/>
  <c r="F14" i="11"/>
  <c r="J14" i="11" s="1"/>
  <c r="M14" i="11" s="1"/>
  <c r="N43" i="11"/>
  <c r="P36" i="11"/>
  <c r="N30" i="11"/>
  <c r="N46" i="11"/>
  <c r="N37" i="11"/>
  <c r="P25" i="11"/>
  <c r="P47" i="11"/>
  <c r="P37" i="11"/>
  <c r="F19" i="11"/>
  <c r="D35" i="4"/>
  <c r="F35" i="4" s="1"/>
  <c r="AK245" i="6"/>
  <c r="AK235" i="6"/>
  <c r="AL235" i="6"/>
  <c r="AL236" i="6" s="1"/>
  <c r="AK226" i="6"/>
  <c r="AL226" i="6"/>
  <c r="AL227" i="6" s="1"/>
  <c r="AN222" i="6"/>
  <c r="M223" i="15" s="1"/>
  <c r="S223" i="15" s="1"/>
  <c r="U223" i="15" s="1"/>
  <c r="AN64" i="6"/>
  <c r="M66" i="15" s="1"/>
  <c r="AK43" i="6"/>
  <c r="AK59" i="6" s="1"/>
  <c r="AK38" i="6"/>
  <c r="AK34" i="6"/>
  <c r="AK55" i="6" s="1"/>
  <c r="AK29" i="6"/>
  <c r="AN45" i="6"/>
  <c r="AN46" i="6"/>
  <c r="AN47" i="6"/>
  <c r="AN44" i="6"/>
  <c r="AN42" i="6"/>
  <c r="M27" i="15"/>
  <c r="N11" i="11" l="1"/>
  <c r="S66" i="15"/>
  <c r="N16" i="11"/>
  <c r="N23" i="11"/>
  <c r="J23" i="11"/>
  <c r="AK53" i="6"/>
  <c r="AK22" i="6"/>
  <c r="AK23" i="6" s="1"/>
  <c r="N21" i="11"/>
  <c r="M22" i="11"/>
  <c r="N22" i="11" s="1"/>
  <c r="P15" i="11"/>
  <c r="N15" i="11"/>
  <c r="M54" i="15"/>
  <c r="S27" i="15"/>
  <c r="S25" i="15" s="1"/>
  <c r="M53" i="15"/>
  <c r="J19" i="11"/>
  <c r="M19" i="11"/>
  <c r="N14" i="11"/>
  <c r="P14" i="11"/>
  <c r="P18" i="11"/>
  <c r="J18" i="11"/>
  <c r="AK56" i="6"/>
  <c r="AK60" i="6"/>
  <c r="AN52" i="6"/>
  <c r="AK227" i="6"/>
  <c r="AK54" i="6"/>
  <c r="AK58" i="6"/>
  <c r="AK57" i="6"/>
  <c r="AI245" i="6"/>
  <c r="OR66" i="15" l="1"/>
  <c r="OR67" i="15" s="1"/>
  <c r="OR69" i="15" s="1"/>
  <c r="U66" i="15"/>
  <c r="U72" i="15" s="1"/>
  <c r="S72" i="15"/>
  <c r="P22" i="11"/>
  <c r="P19" i="11"/>
  <c r="N19" i="11"/>
  <c r="U27" i="15"/>
  <c r="AIV17" i="15"/>
  <c r="AIW17" i="15" s="1"/>
  <c r="S54" i="15"/>
  <c r="AF71" i="6"/>
  <c r="U25" i="15" l="1"/>
  <c r="OP15" i="15"/>
  <c r="OP17" i="15" s="1"/>
  <c r="S53" i="15"/>
  <c r="X250" i="6"/>
  <c r="OP18" i="15" l="1"/>
  <c r="OP20" i="15"/>
  <c r="S18" i="8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L8" i="6" l="1"/>
  <c r="AN259" i="6"/>
  <c r="M256" i="15" s="1"/>
  <c r="AN258" i="6"/>
  <c r="M255" i="15" s="1"/>
  <c r="AN256" i="6"/>
  <c r="M253" i="15" s="1"/>
  <c r="AN255" i="6"/>
  <c r="M252" i="15" s="1"/>
  <c r="AN253" i="6"/>
  <c r="M250" i="15" s="1"/>
  <c r="AN252" i="6"/>
  <c r="M249" i="15" s="1"/>
  <c r="AI250" i="6"/>
  <c r="AH250" i="6"/>
  <c r="AG250" i="6"/>
  <c r="AF250" i="6"/>
  <c r="AE250" i="6"/>
  <c r="AD250" i="6"/>
  <c r="AC250" i="6"/>
  <c r="AB250" i="6"/>
  <c r="AA250" i="6"/>
  <c r="Z250" i="6"/>
  <c r="Y250" i="6"/>
  <c r="W250" i="6"/>
  <c r="V250" i="6"/>
  <c r="U250" i="6"/>
  <c r="T250" i="6"/>
  <c r="S250" i="6"/>
  <c r="R250" i="6"/>
  <c r="Q250" i="6"/>
  <c r="M250" i="6"/>
  <c r="L250" i="6"/>
  <c r="K250" i="6"/>
  <c r="J250" i="6"/>
  <c r="I250" i="6"/>
  <c r="H250" i="6"/>
  <c r="G250" i="6"/>
  <c r="AN249" i="6"/>
  <c r="AO249" i="6" s="1"/>
  <c r="AN246" i="6"/>
  <c r="M243" i="15" s="1"/>
  <c r="S243" i="15" s="1"/>
  <c r="U243" i="15" s="1"/>
  <c r="AL245" i="6"/>
  <c r="AH245" i="6"/>
  <c r="AG245" i="6"/>
  <c r="AF245" i="6"/>
  <c r="AE245" i="6"/>
  <c r="AD245" i="6"/>
  <c r="AC245" i="6"/>
  <c r="AB245" i="6"/>
  <c r="Z245" i="6"/>
  <c r="Y245" i="6"/>
  <c r="U245" i="6"/>
  <c r="T245" i="6"/>
  <c r="S245" i="6"/>
  <c r="R245" i="6"/>
  <c r="Q245" i="6"/>
  <c r="M245" i="6"/>
  <c r="L245" i="6"/>
  <c r="K245" i="6"/>
  <c r="J245" i="6"/>
  <c r="I245" i="6"/>
  <c r="H245" i="6"/>
  <c r="G245" i="6"/>
  <c r="AN244" i="6"/>
  <c r="M241" i="15" s="1"/>
  <c r="S241" i="15" s="1"/>
  <c r="U241" i="15" s="1"/>
  <c r="AN242" i="6"/>
  <c r="AN240" i="6"/>
  <c r="AI235" i="6"/>
  <c r="AI236" i="6" s="1"/>
  <c r="AH235" i="6"/>
  <c r="AH236" i="6" s="1"/>
  <c r="AG235" i="6"/>
  <c r="AG236" i="6" s="1"/>
  <c r="AF235" i="6"/>
  <c r="AF236" i="6" s="1"/>
  <c r="AE235" i="6"/>
  <c r="AE236" i="6" s="1"/>
  <c r="AD235" i="6"/>
  <c r="AD236" i="6" s="1"/>
  <c r="AC235" i="6"/>
  <c r="AC236" i="6" s="1"/>
  <c r="AB235" i="6"/>
  <c r="AB236" i="6" s="1"/>
  <c r="AA235" i="6"/>
  <c r="AA236" i="6" s="1"/>
  <c r="Z235" i="6"/>
  <c r="Z236" i="6" s="1"/>
  <c r="Y235" i="6"/>
  <c r="Y236" i="6" s="1"/>
  <c r="X235" i="6"/>
  <c r="X236" i="6" s="1"/>
  <c r="W235" i="6"/>
  <c r="V235" i="6"/>
  <c r="V236" i="6" s="1"/>
  <c r="U235" i="6"/>
  <c r="U236" i="6" s="1"/>
  <c r="T235" i="6"/>
  <c r="T236" i="6" s="1"/>
  <c r="R235" i="6"/>
  <c r="R236" i="6" s="1"/>
  <c r="Q235" i="6"/>
  <c r="Q236" i="6" s="1"/>
  <c r="M235" i="6"/>
  <c r="M236" i="6" s="1"/>
  <c r="L235" i="6"/>
  <c r="L236" i="6" s="1"/>
  <c r="K235" i="6"/>
  <c r="K236" i="6" s="1"/>
  <c r="J235" i="6"/>
  <c r="J236" i="6" s="1"/>
  <c r="I235" i="6"/>
  <c r="I236" i="6" s="1"/>
  <c r="H235" i="6"/>
  <c r="H236" i="6" s="1"/>
  <c r="G235" i="6"/>
  <c r="AN233" i="6"/>
  <c r="M232" i="15"/>
  <c r="AN229" i="6"/>
  <c r="AO229" i="6" s="1"/>
  <c r="AI226" i="6"/>
  <c r="AI227" i="6" s="1"/>
  <c r="AH226" i="6"/>
  <c r="AH227" i="6" s="1"/>
  <c r="AG226" i="6"/>
  <c r="AG227" i="6" s="1"/>
  <c r="AF226" i="6"/>
  <c r="AF227" i="6" s="1"/>
  <c r="AE226" i="6"/>
  <c r="AE227" i="6" s="1"/>
  <c r="AD226" i="6"/>
  <c r="AD227" i="6" s="1"/>
  <c r="AC226" i="6"/>
  <c r="AC227" i="6" s="1"/>
  <c r="AB226" i="6"/>
  <c r="AB227" i="6" s="1"/>
  <c r="AA226" i="6"/>
  <c r="AA227" i="6" s="1"/>
  <c r="Z226" i="6"/>
  <c r="Z227" i="6" s="1"/>
  <c r="Y226" i="6"/>
  <c r="Y227" i="6" s="1"/>
  <c r="X226" i="6"/>
  <c r="X227" i="6" s="1"/>
  <c r="W226" i="6"/>
  <c r="W227" i="6" s="1"/>
  <c r="V226" i="6"/>
  <c r="V227" i="6" s="1"/>
  <c r="U226" i="6"/>
  <c r="U227" i="6" s="1"/>
  <c r="M226" i="6"/>
  <c r="M227" i="6" s="1"/>
  <c r="L226" i="6"/>
  <c r="L227" i="6" s="1"/>
  <c r="K226" i="6"/>
  <c r="K227" i="6" s="1"/>
  <c r="J226" i="6"/>
  <c r="J227" i="6" s="1"/>
  <c r="I226" i="6"/>
  <c r="I227" i="6" s="1"/>
  <c r="H226" i="6"/>
  <c r="H227" i="6" s="1"/>
  <c r="G226" i="6"/>
  <c r="G227" i="6" s="1"/>
  <c r="AH71" i="6"/>
  <c r="AG71" i="6"/>
  <c r="AE71" i="6"/>
  <c r="AD71" i="6"/>
  <c r="AC71" i="6"/>
  <c r="AB71" i="6"/>
  <c r="AA71" i="6"/>
  <c r="Y71" i="6"/>
  <c r="X71" i="6"/>
  <c r="W71" i="6"/>
  <c r="V71" i="6"/>
  <c r="U71" i="6"/>
  <c r="T71" i="6"/>
  <c r="S71" i="6"/>
  <c r="R71" i="6"/>
  <c r="Q71" i="6"/>
  <c r="M71" i="6"/>
  <c r="L71" i="6"/>
  <c r="K71" i="6"/>
  <c r="J71" i="6"/>
  <c r="I71" i="6"/>
  <c r="H71" i="6"/>
  <c r="G71" i="6"/>
  <c r="AL68" i="6"/>
  <c r="AL69" i="6" s="1"/>
  <c r="AC68" i="6"/>
  <c r="AC69" i="6" s="1"/>
  <c r="AB68" i="6"/>
  <c r="AB69" i="6" s="1"/>
  <c r="AA68" i="6"/>
  <c r="AA69" i="6" s="1"/>
  <c r="Z68" i="6"/>
  <c r="Z69" i="6" s="1"/>
  <c r="Y68" i="6"/>
  <c r="Y69" i="6" s="1"/>
  <c r="X68" i="6"/>
  <c r="X69" i="6" s="1"/>
  <c r="W68" i="6"/>
  <c r="W69" i="6" s="1"/>
  <c r="V68" i="6"/>
  <c r="V69" i="6" s="1"/>
  <c r="U68" i="6"/>
  <c r="U69" i="6" s="1"/>
  <c r="AL67" i="6"/>
  <c r="AC67" i="6"/>
  <c r="AB67" i="6"/>
  <c r="AA67" i="6"/>
  <c r="Z67" i="6"/>
  <c r="Y67" i="6"/>
  <c r="X67" i="6"/>
  <c r="W67" i="6"/>
  <c r="V67" i="6"/>
  <c r="U67" i="6"/>
  <c r="AL50" i="6"/>
  <c r="AC50" i="6"/>
  <c r="AB50" i="6"/>
  <c r="AA50" i="6"/>
  <c r="Z50" i="6"/>
  <c r="Y50" i="6"/>
  <c r="X50" i="6"/>
  <c r="W50" i="6"/>
  <c r="V50" i="6"/>
  <c r="U50" i="6"/>
  <c r="AL43" i="6"/>
  <c r="AL60" i="6" s="1"/>
  <c r="AI59" i="6"/>
  <c r="AH43" i="6"/>
  <c r="AH60" i="6" s="1"/>
  <c r="AG43" i="6"/>
  <c r="AG60" i="6" s="1"/>
  <c r="AF43" i="6"/>
  <c r="AF60" i="6" s="1"/>
  <c r="AE43" i="6"/>
  <c r="AE60" i="6" s="1"/>
  <c r="AD43" i="6"/>
  <c r="AD60" i="6" s="1"/>
  <c r="AC43" i="6"/>
  <c r="AC60" i="6" s="1"/>
  <c r="AB43" i="6"/>
  <c r="AB59" i="6" s="1"/>
  <c r="AA43" i="6"/>
  <c r="AA60" i="6" s="1"/>
  <c r="Z43" i="6"/>
  <c r="Z59" i="6" s="1"/>
  <c r="Y43" i="6"/>
  <c r="Y60" i="6" s="1"/>
  <c r="X43" i="6"/>
  <c r="X60" i="6" s="1"/>
  <c r="W43" i="6"/>
  <c r="W59" i="6" s="1"/>
  <c r="V43" i="6"/>
  <c r="V60" i="6" s="1"/>
  <c r="U43" i="6"/>
  <c r="U60" i="6" s="1"/>
  <c r="T43" i="6"/>
  <c r="T60" i="6" s="1"/>
  <c r="S43" i="6"/>
  <c r="S60" i="6" s="1"/>
  <c r="R43" i="6"/>
  <c r="R60" i="6" s="1"/>
  <c r="Q43" i="6"/>
  <c r="Q60" i="6" s="1"/>
  <c r="M43" i="6"/>
  <c r="M60" i="6" s="1"/>
  <c r="L43" i="6"/>
  <c r="L60" i="6" s="1"/>
  <c r="K43" i="6"/>
  <c r="K60" i="6" s="1"/>
  <c r="J43" i="6"/>
  <c r="J60" i="6" s="1"/>
  <c r="I43" i="6"/>
  <c r="I60" i="6" s="1"/>
  <c r="H43" i="6"/>
  <c r="G43" i="6"/>
  <c r="G59" i="6" s="1"/>
  <c r="AL38" i="6"/>
  <c r="AI58" i="6"/>
  <c r="AH38" i="6"/>
  <c r="AH58" i="6" s="1"/>
  <c r="AG38" i="6"/>
  <c r="AG58" i="6" s="1"/>
  <c r="AF38" i="6"/>
  <c r="AF58" i="6" s="1"/>
  <c r="AE38" i="6"/>
  <c r="AE58" i="6" s="1"/>
  <c r="AD38" i="6"/>
  <c r="AC58" i="6"/>
  <c r="AB38" i="6"/>
  <c r="AB58" i="6" s="1"/>
  <c r="AA38" i="6"/>
  <c r="AA58" i="6" s="1"/>
  <c r="Z38" i="6"/>
  <c r="Z58" i="6" s="1"/>
  <c r="Y38" i="6"/>
  <c r="Y58" i="6" s="1"/>
  <c r="X38" i="6"/>
  <c r="X58" i="6" s="1"/>
  <c r="W38" i="6"/>
  <c r="W57" i="6" s="1"/>
  <c r="V38" i="6"/>
  <c r="V58" i="6" s="1"/>
  <c r="E38" i="6"/>
  <c r="AL34" i="6"/>
  <c r="AL56" i="6" s="1"/>
  <c r="AI34" i="6"/>
  <c r="AI56" i="6" s="1"/>
  <c r="AH34" i="6"/>
  <c r="AH56" i="6" s="1"/>
  <c r="AG34" i="6"/>
  <c r="AG56" i="6" s="1"/>
  <c r="AF34" i="6"/>
  <c r="AF56" i="6" s="1"/>
  <c r="AE34" i="6"/>
  <c r="AE56" i="6" s="1"/>
  <c r="AD34" i="6"/>
  <c r="AD55" i="6" s="1"/>
  <c r="AC34" i="6"/>
  <c r="AC56" i="6" s="1"/>
  <c r="AB34" i="6"/>
  <c r="AB56" i="6" s="1"/>
  <c r="AA34" i="6"/>
  <c r="AA56" i="6" s="1"/>
  <c r="Z34" i="6"/>
  <c r="Z56" i="6" s="1"/>
  <c r="Y34" i="6"/>
  <c r="Y56" i="6" s="1"/>
  <c r="X34" i="6"/>
  <c r="X56" i="6" s="1"/>
  <c r="W34" i="6"/>
  <c r="W55" i="6" s="1"/>
  <c r="V34" i="6"/>
  <c r="V56" i="6" s="1"/>
  <c r="U34" i="6"/>
  <c r="U56" i="6" s="1"/>
  <c r="T34" i="6"/>
  <c r="T56" i="6" s="1"/>
  <c r="S34" i="6"/>
  <c r="S56" i="6" s="1"/>
  <c r="R34" i="6"/>
  <c r="R56" i="6" s="1"/>
  <c r="Q34" i="6"/>
  <c r="Q56" i="6" s="1"/>
  <c r="M34" i="6"/>
  <c r="M56" i="6" s="1"/>
  <c r="L34" i="6"/>
  <c r="L56" i="6" s="1"/>
  <c r="K34" i="6"/>
  <c r="J34" i="6"/>
  <c r="J56" i="6" s="1"/>
  <c r="I34" i="6"/>
  <c r="I56" i="6" s="1"/>
  <c r="H34" i="6"/>
  <c r="H56" i="6" s="1"/>
  <c r="G34" i="6"/>
  <c r="G55" i="6" s="1"/>
  <c r="AL29" i="6"/>
  <c r="AL54" i="6" s="1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M29" i="6"/>
  <c r="L29" i="6"/>
  <c r="K54" i="6"/>
  <c r="J29" i="6"/>
  <c r="I29" i="6"/>
  <c r="H29" i="6"/>
  <c r="H54" i="6" s="1"/>
  <c r="G29" i="6"/>
  <c r="H25" i="6"/>
  <c r="AN25" i="6" s="1"/>
  <c r="T50" i="6"/>
  <c r="R50" i="6"/>
  <c r="Q50" i="6"/>
  <c r="M50" i="6"/>
  <c r="M49" i="6"/>
  <c r="AL11" i="6"/>
  <c r="AI11" i="6"/>
  <c r="AI65" i="6" s="1"/>
  <c r="AH65" i="6"/>
  <c r="AG11" i="6"/>
  <c r="AG65" i="6" s="1"/>
  <c r="AF11" i="6"/>
  <c r="AF65" i="6" s="1"/>
  <c r="AE11" i="6"/>
  <c r="AE65" i="6" s="1"/>
  <c r="AD11" i="6"/>
  <c r="AD65" i="6" s="1"/>
  <c r="AC11" i="6"/>
  <c r="AC65" i="6" s="1"/>
  <c r="AB11" i="6"/>
  <c r="AB65" i="6" s="1"/>
  <c r="AA11" i="6"/>
  <c r="AA65" i="6" s="1"/>
  <c r="Z11" i="6"/>
  <c r="Z65" i="6" s="1"/>
  <c r="Y11" i="6"/>
  <c r="Y65" i="6" s="1"/>
  <c r="X11" i="6"/>
  <c r="X65" i="6" s="1"/>
  <c r="W11" i="6"/>
  <c r="W65" i="6" s="1"/>
  <c r="V11" i="6"/>
  <c r="V65" i="6" s="1"/>
  <c r="U11" i="6"/>
  <c r="U65" i="6" s="1"/>
  <c r="T11" i="6"/>
  <c r="T65" i="6" s="1"/>
  <c r="S11" i="6"/>
  <c r="S65" i="6" s="1"/>
  <c r="R11" i="6"/>
  <c r="R65" i="6" s="1"/>
  <c r="Q11" i="6"/>
  <c r="Q65" i="6" s="1"/>
  <c r="M11" i="6"/>
  <c r="M65" i="6" s="1"/>
  <c r="L11" i="6"/>
  <c r="L65" i="6" s="1"/>
  <c r="K11" i="6"/>
  <c r="K65" i="6" s="1"/>
  <c r="J11" i="6"/>
  <c r="J65" i="6" s="1"/>
  <c r="I11" i="6"/>
  <c r="I65" i="6" s="1"/>
  <c r="H11" i="6"/>
  <c r="H65" i="6" s="1"/>
  <c r="G11" i="6"/>
  <c r="AL10" i="6"/>
  <c r="AC10" i="6"/>
  <c r="AC63" i="6" s="1"/>
  <c r="AB10" i="6"/>
  <c r="AB63" i="6" s="1"/>
  <c r="AA10" i="6"/>
  <c r="AA63" i="6" s="1"/>
  <c r="Z10" i="6"/>
  <c r="Z63" i="6" s="1"/>
  <c r="Y10" i="6"/>
  <c r="Y63" i="6" s="1"/>
  <c r="X10" i="6"/>
  <c r="X63" i="6" s="1"/>
  <c r="W10" i="6"/>
  <c r="W63" i="6" s="1"/>
  <c r="V10" i="6"/>
  <c r="V63" i="6" s="1"/>
  <c r="U10" i="6"/>
  <c r="U63" i="6" s="1"/>
  <c r="T10" i="6"/>
  <c r="T63" i="6" s="1"/>
  <c r="S10" i="6"/>
  <c r="S63" i="6" s="1"/>
  <c r="R67" i="6"/>
  <c r="Q67" i="6"/>
  <c r="M10" i="6"/>
  <c r="M63" i="6" s="1"/>
  <c r="K10" i="6"/>
  <c r="K63" i="6" s="1"/>
  <c r="J67" i="6"/>
  <c r="I67" i="6"/>
  <c r="H67" i="6"/>
  <c r="AL8" i="6"/>
  <c r="AC8" i="6"/>
  <c r="AB8" i="6"/>
  <c r="AA8" i="6"/>
  <c r="Z8" i="6"/>
  <c r="Y8" i="6"/>
  <c r="X8" i="6"/>
  <c r="W8" i="6"/>
  <c r="V8" i="6"/>
  <c r="U8" i="6"/>
  <c r="Q8" i="6"/>
  <c r="T44" i="1"/>
  <c r="AL64" i="1"/>
  <c r="T34" i="1"/>
  <c r="T33" i="1"/>
  <c r="AD58" i="6" l="1"/>
  <c r="AN38" i="6"/>
  <c r="AL65" i="6"/>
  <c r="AL243" i="6"/>
  <c r="M233" i="15"/>
  <c r="S233" i="15" s="1"/>
  <c r="U233" i="15" s="1"/>
  <c r="AN234" i="6"/>
  <c r="M239" i="15"/>
  <c r="S239" i="15" s="1"/>
  <c r="U239" i="15" s="1"/>
  <c r="AN241" i="6"/>
  <c r="M240" i="15"/>
  <c r="S240" i="15" s="1"/>
  <c r="U240" i="15" s="1"/>
  <c r="M230" i="15"/>
  <c r="S230" i="15" s="1"/>
  <c r="U230" i="15" s="1"/>
  <c r="AN245" i="6"/>
  <c r="M242" i="15" s="1"/>
  <c r="S242" i="15" s="1"/>
  <c r="U242" i="15" s="1"/>
  <c r="AD53" i="6"/>
  <c r="AD22" i="6"/>
  <c r="AD23" i="6" s="1"/>
  <c r="W53" i="6"/>
  <c r="W22" i="6"/>
  <c r="W23" i="6" s="1"/>
  <c r="AE54" i="6"/>
  <c r="AE22" i="6"/>
  <c r="AE23" i="6" s="1"/>
  <c r="X54" i="6"/>
  <c r="X22" i="6"/>
  <c r="X23" i="6" s="1"/>
  <c r="H22" i="6"/>
  <c r="H23" i="6" s="1"/>
  <c r="Y54" i="6"/>
  <c r="Y22" i="6"/>
  <c r="Y23" i="6" s="1"/>
  <c r="AG54" i="6"/>
  <c r="AG22" i="6"/>
  <c r="AG23" i="6" s="1"/>
  <c r="G22" i="6"/>
  <c r="Z54" i="6"/>
  <c r="Z22" i="6"/>
  <c r="Z23" i="6" s="1"/>
  <c r="AH54" i="6"/>
  <c r="AH22" i="6"/>
  <c r="AH23" i="6" s="1"/>
  <c r="V54" i="6"/>
  <c r="V22" i="6"/>
  <c r="V23" i="6" s="1"/>
  <c r="AF54" i="6"/>
  <c r="AF22" i="6"/>
  <c r="AF23" i="6" s="1"/>
  <c r="AA54" i="6"/>
  <c r="AA22" i="6"/>
  <c r="AA23" i="6" s="1"/>
  <c r="AB54" i="6"/>
  <c r="AB22" i="6"/>
  <c r="AB23" i="6" s="1"/>
  <c r="AI54" i="6"/>
  <c r="AI22" i="6"/>
  <c r="AI23" i="6" s="1"/>
  <c r="U22" i="6"/>
  <c r="U23" i="6" s="1"/>
  <c r="AC54" i="6"/>
  <c r="AC22" i="6"/>
  <c r="AC23" i="6" s="1"/>
  <c r="S54" i="6"/>
  <c r="S22" i="6"/>
  <c r="S23" i="6" s="1"/>
  <c r="R54" i="6"/>
  <c r="I54" i="6"/>
  <c r="I22" i="6"/>
  <c r="I23" i="6" s="1"/>
  <c r="T54" i="6"/>
  <c r="T22" i="6"/>
  <c r="T23" i="6" s="1"/>
  <c r="K56" i="6"/>
  <c r="K22" i="6"/>
  <c r="K23" i="6" s="1"/>
  <c r="J54" i="6"/>
  <c r="J22" i="6"/>
  <c r="J23" i="6" s="1"/>
  <c r="U54" i="6"/>
  <c r="Q54" i="6"/>
  <c r="L54" i="6"/>
  <c r="L22" i="6"/>
  <c r="L23" i="6" s="1"/>
  <c r="M54" i="6"/>
  <c r="G54" i="6"/>
  <c r="S249" i="15"/>
  <c r="T249" i="15"/>
  <c r="S250" i="15"/>
  <c r="T250" i="15"/>
  <c r="S232" i="15"/>
  <c r="T252" i="15"/>
  <c r="S252" i="15"/>
  <c r="T253" i="15"/>
  <c r="S253" i="15"/>
  <c r="S255" i="15"/>
  <c r="T255" i="15"/>
  <c r="M25" i="15"/>
  <c r="S256" i="15"/>
  <c r="T256" i="15"/>
  <c r="M246" i="15"/>
  <c r="G65" i="6"/>
  <c r="AN11" i="6"/>
  <c r="AN16" i="6"/>
  <c r="AN49" i="6" s="1"/>
  <c r="AN17" i="6"/>
  <c r="M20" i="15" s="1"/>
  <c r="G49" i="6"/>
  <c r="M40" i="15"/>
  <c r="S40" i="15" s="1"/>
  <c r="AL58" i="6"/>
  <c r="AL63" i="6"/>
  <c r="AI60" i="6"/>
  <c r="AN43" i="6"/>
  <c r="AN59" i="6" s="1"/>
  <c r="L59" i="6"/>
  <c r="G68" i="6"/>
  <c r="G69" i="6" s="1"/>
  <c r="G56" i="6"/>
  <c r="S68" i="6"/>
  <c r="S69" i="6" s="1"/>
  <c r="J59" i="6"/>
  <c r="AD59" i="6"/>
  <c r="AG59" i="6"/>
  <c r="W60" i="6"/>
  <c r="G8" i="6"/>
  <c r="W54" i="6"/>
  <c r="W56" i="6"/>
  <c r="Z60" i="6"/>
  <c r="H8" i="6"/>
  <c r="AD54" i="6"/>
  <c r="AD56" i="6"/>
  <c r="R59" i="6"/>
  <c r="G60" i="6"/>
  <c r="AB60" i="6"/>
  <c r="G53" i="6"/>
  <c r="T59" i="6"/>
  <c r="AN55" i="6"/>
  <c r="AD57" i="6"/>
  <c r="R68" i="6"/>
  <c r="R69" i="6" s="1"/>
  <c r="AN71" i="6"/>
  <c r="M72" i="15" s="1"/>
  <c r="H68" i="6"/>
  <c r="H69" i="6" s="1"/>
  <c r="S57" i="6"/>
  <c r="S49" i="6"/>
  <c r="S50" i="6"/>
  <c r="S67" i="6"/>
  <c r="S58" i="6"/>
  <c r="S8" i="6"/>
  <c r="J50" i="6"/>
  <c r="W58" i="6"/>
  <c r="AN250" i="6"/>
  <c r="U57" i="6"/>
  <c r="Q68" i="6"/>
  <c r="Q69" i="6" s="1"/>
  <c r="M22" i="6"/>
  <c r="M23" i="6" s="1"/>
  <c r="I68" i="6"/>
  <c r="I69" i="6" s="1"/>
  <c r="I8" i="6"/>
  <c r="J8" i="6"/>
  <c r="K8" i="6"/>
  <c r="K68" i="6"/>
  <c r="K69" i="6" s="1"/>
  <c r="H50" i="6"/>
  <c r="K67" i="6"/>
  <c r="J68" i="6"/>
  <c r="J69" i="6" s="1"/>
  <c r="I50" i="6"/>
  <c r="Q58" i="6"/>
  <c r="L10" i="6"/>
  <c r="L63" i="6" s="1"/>
  <c r="L50" i="6"/>
  <c r="L49" i="6"/>
  <c r="H53" i="6"/>
  <c r="X53" i="6"/>
  <c r="AE53" i="6"/>
  <c r="H55" i="6"/>
  <c r="X55" i="6"/>
  <c r="AE55" i="6"/>
  <c r="X57" i="6"/>
  <c r="AE57" i="6"/>
  <c r="H59" i="6"/>
  <c r="X59" i="6"/>
  <c r="AE59" i="6"/>
  <c r="H60" i="6"/>
  <c r="L67" i="6"/>
  <c r="T67" i="6"/>
  <c r="L68" i="6"/>
  <c r="L69" i="6" s="1"/>
  <c r="T68" i="6"/>
  <c r="T69" i="6" s="1"/>
  <c r="G10" i="6"/>
  <c r="R58" i="6"/>
  <c r="I49" i="6"/>
  <c r="Q49" i="6"/>
  <c r="I53" i="6"/>
  <c r="Q53" i="6"/>
  <c r="Y53" i="6"/>
  <c r="AF53" i="6"/>
  <c r="I55" i="6"/>
  <c r="Q55" i="6"/>
  <c r="Y55" i="6"/>
  <c r="AF55" i="6"/>
  <c r="Y57" i="6"/>
  <c r="AF57" i="6"/>
  <c r="I59" i="6"/>
  <c r="Q59" i="6"/>
  <c r="Y59" i="6"/>
  <c r="AF59" i="6"/>
  <c r="M67" i="6"/>
  <c r="M68" i="6"/>
  <c r="M69" i="6" s="1"/>
  <c r="G236" i="6"/>
  <c r="H10" i="6"/>
  <c r="H63" i="6" s="1"/>
  <c r="J49" i="6"/>
  <c r="R49" i="6"/>
  <c r="J53" i="6"/>
  <c r="R53" i="6"/>
  <c r="Z53" i="6"/>
  <c r="AG53" i="6"/>
  <c r="J55" i="6"/>
  <c r="R55" i="6"/>
  <c r="Z55" i="6"/>
  <c r="AG55" i="6"/>
  <c r="Z57" i="6"/>
  <c r="AG57" i="6"/>
  <c r="I10" i="6"/>
  <c r="Q10" i="6"/>
  <c r="Q63" i="6" s="1"/>
  <c r="T58" i="6"/>
  <c r="K49" i="6"/>
  <c r="K50" i="6"/>
  <c r="K53" i="6"/>
  <c r="S53" i="6"/>
  <c r="AA53" i="6"/>
  <c r="AH53" i="6"/>
  <c r="K55" i="6"/>
  <c r="S55" i="6"/>
  <c r="AA55" i="6"/>
  <c r="AH55" i="6"/>
  <c r="AA57" i="6"/>
  <c r="AH57" i="6"/>
  <c r="K59" i="6"/>
  <c r="S59" i="6"/>
  <c r="AA59" i="6"/>
  <c r="AH59" i="6"/>
  <c r="G67" i="6"/>
  <c r="S235" i="6"/>
  <c r="AN235" i="6" s="1"/>
  <c r="M234" i="15" s="1"/>
  <c r="S234" i="15" s="1"/>
  <c r="U234" i="15" s="1"/>
  <c r="M8" i="6"/>
  <c r="R8" i="6"/>
  <c r="J10" i="6"/>
  <c r="J63" i="6" s="1"/>
  <c r="R10" i="6"/>
  <c r="R63" i="6" s="1"/>
  <c r="L53" i="6"/>
  <c r="T53" i="6"/>
  <c r="AB53" i="6"/>
  <c r="AI53" i="6"/>
  <c r="L55" i="6"/>
  <c r="T55" i="6"/>
  <c r="AB55" i="6"/>
  <c r="AI55" i="6"/>
  <c r="AB57" i="6"/>
  <c r="AI57" i="6"/>
  <c r="M53" i="6"/>
  <c r="U53" i="6"/>
  <c r="AC53" i="6"/>
  <c r="AL53" i="6"/>
  <c r="M55" i="6"/>
  <c r="U55" i="6"/>
  <c r="AC55" i="6"/>
  <c r="AL55" i="6"/>
  <c r="AC57" i="6"/>
  <c r="AL57" i="6"/>
  <c r="M59" i="6"/>
  <c r="U59" i="6"/>
  <c r="AC59" i="6"/>
  <c r="AL59" i="6"/>
  <c r="T8" i="6"/>
  <c r="V53" i="6"/>
  <c r="V55" i="6"/>
  <c r="V57" i="6"/>
  <c r="V59" i="6"/>
  <c r="AFR239" i="15" l="1"/>
  <c r="AFR240" i="15"/>
  <c r="M13" i="15"/>
  <c r="AN65" i="6"/>
  <c r="M39" i="15"/>
  <c r="S39" i="15" s="1"/>
  <c r="S38" i="15" s="1"/>
  <c r="S59" i="15" s="1"/>
  <c r="AN57" i="6"/>
  <c r="M59" i="15" s="1"/>
  <c r="M19" i="15"/>
  <c r="S19" i="15" s="1"/>
  <c r="AN68" i="6"/>
  <c r="G23" i="6"/>
  <c r="R22" i="6"/>
  <c r="R23" i="6" s="1"/>
  <c r="Q22" i="6"/>
  <c r="Q23" i="6" s="1"/>
  <c r="AN54" i="6"/>
  <c r="M247" i="15"/>
  <c r="S247" i="15" s="1"/>
  <c r="S246" i="15"/>
  <c r="U246" i="15" s="1"/>
  <c r="M235" i="15"/>
  <c r="U232" i="15"/>
  <c r="S235" i="15"/>
  <c r="U235" i="15" s="1"/>
  <c r="M52" i="15"/>
  <c r="S20" i="15"/>
  <c r="U40" i="15"/>
  <c r="AX65" i="15"/>
  <c r="I63" i="6"/>
  <c r="AN60" i="6"/>
  <c r="S236" i="6"/>
  <c r="AN236" i="6" s="1"/>
  <c r="M38" i="15"/>
  <c r="M23" i="15" s="1"/>
  <c r="S23" i="15" s="1"/>
  <c r="AN53" i="6"/>
  <c r="AN56" i="6"/>
  <c r="U58" i="6"/>
  <c r="Q57" i="6"/>
  <c r="T57" i="6"/>
  <c r="R57" i="6"/>
  <c r="G63" i="6"/>
  <c r="S13" i="15" l="1"/>
  <c r="S67" i="15" s="1"/>
  <c r="AX67" i="15" s="1"/>
  <c r="M67" i="15"/>
  <c r="U39" i="15"/>
  <c r="S60" i="15"/>
  <c r="M51" i="15"/>
  <c r="M70" i="15"/>
  <c r="AN23" i="6"/>
  <c r="AN22" i="6"/>
  <c r="AIV11" i="15"/>
  <c r="AIW11" i="15" s="1"/>
  <c r="S52" i="15"/>
  <c r="U20" i="15"/>
  <c r="U19" i="15"/>
  <c r="S51" i="15"/>
  <c r="S70" i="15"/>
  <c r="U70" i="15" s="1"/>
  <c r="M48" i="15"/>
  <c r="S48" i="15" s="1"/>
  <c r="M47" i="15"/>
  <c r="S47" i="15" s="1"/>
  <c r="U247" i="15"/>
  <c r="U38" i="15"/>
  <c r="AX20" i="15"/>
  <c r="AX19" i="15" s="1"/>
  <c r="AN58" i="6"/>
  <c r="M60" i="15" s="1"/>
  <c r="S16" i="1"/>
  <c r="S33" i="1"/>
  <c r="S34" i="1"/>
  <c r="S17" i="1"/>
  <c r="R34" i="1"/>
  <c r="R33" i="1"/>
  <c r="R17" i="1"/>
  <c r="R16" i="1"/>
  <c r="R9" i="1"/>
  <c r="R7" i="1"/>
  <c r="Q34" i="1"/>
  <c r="Q33" i="1"/>
  <c r="Q17" i="1"/>
  <c r="Q16" i="1"/>
  <c r="Q7" i="1"/>
  <c r="E22" i="3" l="1"/>
  <c r="F22" i="3" s="1"/>
  <c r="H22" i="3" s="1"/>
  <c r="J22" i="3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E28" i="3"/>
  <c r="F28" i="3" s="1"/>
  <c r="H28" i="3" s="1"/>
  <c r="J28" i="3" s="1"/>
  <c r="E29" i="3"/>
  <c r="F29" i="3" s="1"/>
  <c r="H29" i="3" s="1"/>
  <c r="J29" i="3" s="1"/>
  <c r="E30" i="3"/>
  <c r="F30" i="3" s="1"/>
  <c r="H30" i="3" s="1"/>
  <c r="J30" i="3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E34" i="3"/>
  <c r="F34" i="3" s="1"/>
  <c r="H34" i="3" s="1"/>
  <c r="J34" i="3" s="1"/>
  <c r="E35" i="3"/>
  <c r="F35" i="3" s="1"/>
  <c r="H35" i="3" s="1"/>
  <c r="J35" i="3" s="1"/>
  <c r="E36" i="3"/>
  <c r="F36" i="3" s="1"/>
  <c r="H36" i="3" s="1"/>
  <c r="J36" i="3" s="1"/>
  <c r="E38" i="3"/>
  <c r="F38" i="3" s="1"/>
  <c r="H38" i="3" s="1"/>
  <c r="J38" i="3" s="1"/>
  <c r="K24" i="3" l="1"/>
  <c r="N24" i="3" s="1"/>
  <c r="M24" i="3"/>
  <c r="K28" i="3"/>
  <c r="N28" i="3" s="1"/>
  <c r="M28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8" i="3"/>
  <c r="N38" i="3" s="1"/>
  <c r="M38" i="3"/>
  <c r="K30" i="3"/>
  <c r="N30" i="3" s="1"/>
  <c r="M30" i="3"/>
  <c r="K26" i="3"/>
  <c r="N26" i="3" s="1"/>
  <c r="M26" i="3"/>
  <c r="K29" i="3"/>
  <c r="N29" i="3" s="1"/>
  <c r="M29" i="3"/>
  <c r="K32" i="3"/>
  <c r="N32" i="3" s="1"/>
  <c r="M32" i="3"/>
  <c r="K34" i="3"/>
  <c r="N34" i="3" s="1"/>
  <c r="M34" i="3"/>
  <c r="K22" i="3"/>
  <c r="N22" i="3" s="1"/>
  <c r="M22" i="3"/>
  <c r="K25" i="3"/>
  <c r="N25" i="3" s="1"/>
  <c r="M25" i="3"/>
  <c r="AL249" i="1" l="1"/>
  <c r="AL248" i="1"/>
  <c r="AL246" i="1"/>
  <c r="AL245" i="1"/>
  <c r="AL243" i="1"/>
  <c r="AL242" i="1"/>
  <c r="AL236" i="1"/>
  <c r="AL234" i="1"/>
  <c r="AL233" i="1"/>
  <c r="AL232" i="1"/>
  <c r="AL230" i="1"/>
  <c r="AL226" i="1"/>
  <c r="AL225" i="1"/>
  <c r="AL223" i="1"/>
  <c r="AL60" i="1"/>
  <c r="AL217" i="1"/>
  <c r="AL216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L56" i="1"/>
  <c r="AL21" i="1"/>
  <c r="AL20" i="1"/>
  <c r="AL19" i="1"/>
  <c r="AL14" i="1"/>
  <c r="AL13" i="1"/>
  <c r="AL12" i="1"/>
  <c r="AL11" i="1"/>
  <c r="R226" i="1" l="1"/>
  <c r="S13" i="1"/>
  <c r="S12" i="1"/>
  <c r="R62" i="1"/>
  <c r="R63" i="1" s="1"/>
  <c r="R43" i="1"/>
  <c r="R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9" i="1"/>
  <c r="R59" i="1"/>
  <c r="S59" i="1"/>
  <c r="R61" i="1"/>
  <c r="Q65" i="1"/>
  <c r="R65" i="1"/>
  <c r="S65" i="1"/>
  <c r="Q227" i="1"/>
  <c r="Q228" i="1" s="1"/>
  <c r="R227" i="1"/>
  <c r="R228" i="1" s="1"/>
  <c r="S227" i="1"/>
  <c r="S228" i="1" s="1"/>
  <c r="Q235" i="1"/>
  <c r="R235" i="1"/>
  <c r="S235" i="1"/>
  <c r="Q240" i="1"/>
  <c r="R240" i="1"/>
  <c r="S240" i="1"/>
  <c r="P16" i="1" l="1"/>
  <c r="D8" i="4" l="1"/>
  <c r="D7" i="4"/>
  <c r="D10" i="4"/>
  <c r="D11" i="4"/>
  <c r="D12" i="4"/>
  <c r="D13" i="4"/>
  <c r="D14" i="4"/>
  <c r="D15" i="4"/>
  <c r="P9" i="1" s="1"/>
  <c r="D16" i="4"/>
  <c r="Q9" i="1" s="1"/>
  <c r="D17" i="4"/>
  <c r="D18" i="4"/>
  <c r="S9" i="1" s="1"/>
  <c r="D19" i="4"/>
  <c r="D20" i="4"/>
  <c r="F20" i="4" s="1"/>
  <c r="D21" i="4"/>
  <c r="F21" i="4" s="1"/>
  <c r="D22" i="4"/>
  <c r="F22" i="4" s="1"/>
  <c r="D23" i="4"/>
  <c r="D24" i="4"/>
  <c r="F24" i="4" s="1"/>
  <c r="D25" i="4"/>
  <c r="F25" i="4" s="1"/>
  <c r="D26" i="4"/>
  <c r="F26" i="4" s="1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6" i="4"/>
  <c r="F6" i="4" s="1"/>
  <c r="AE10" i="6" l="1"/>
  <c r="AE63" i="6" s="1"/>
  <c r="AE67" i="6"/>
  <c r="AE50" i="6"/>
  <c r="AE68" i="6"/>
  <c r="AE69" i="6" s="1"/>
  <c r="AE8" i="6"/>
  <c r="AF10" i="6"/>
  <c r="AF63" i="6" s="1"/>
  <c r="AF8" i="6"/>
  <c r="AF67" i="6"/>
  <c r="AF50" i="6"/>
  <c r="AF68" i="6"/>
  <c r="AF69" i="6" s="1"/>
  <c r="S43" i="1"/>
  <c r="S61" i="1"/>
  <c r="S62" i="1"/>
  <c r="S63" i="1" s="1"/>
  <c r="S44" i="1"/>
  <c r="AK68" i="6"/>
  <c r="AK69" i="6" s="1"/>
  <c r="AK10" i="6"/>
  <c r="AK63" i="6" s="1"/>
  <c r="AK50" i="6"/>
  <c r="AK67" i="6"/>
  <c r="AK8" i="6"/>
  <c r="AI10" i="6"/>
  <c r="AI63" i="6" s="1"/>
  <c r="AI67" i="6"/>
  <c r="AI50" i="6"/>
  <c r="AI68" i="6"/>
  <c r="AI69" i="6" s="1"/>
  <c r="AI8" i="6"/>
  <c r="Q62" i="1"/>
  <c r="Q63" i="1" s="1"/>
  <c r="Q44" i="1"/>
  <c r="Q61" i="1"/>
  <c r="Q43" i="1"/>
  <c r="AH67" i="6"/>
  <c r="AH50" i="6"/>
  <c r="AH68" i="6"/>
  <c r="AH69" i="6" s="1"/>
  <c r="AH8" i="6"/>
  <c r="AG10" i="6"/>
  <c r="AG63" i="6" s="1"/>
  <c r="AG67" i="6"/>
  <c r="AG50" i="6"/>
  <c r="AG68" i="6"/>
  <c r="AG69" i="6" s="1"/>
  <c r="AG8" i="6"/>
  <c r="AD10" i="6"/>
  <c r="AD67" i="6"/>
  <c r="AD8" i="6"/>
  <c r="AD68" i="6"/>
  <c r="AD69" i="6" s="1"/>
  <c r="AD50" i="6"/>
  <c r="P61" i="1"/>
  <c r="P34" i="1"/>
  <c r="P33" i="1"/>
  <c r="P17" i="1"/>
  <c r="P7" i="1"/>
  <c r="AN8" i="6" l="1"/>
  <c r="M9" i="15"/>
  <c r="AN10" i="6"/>
  <c r="AN69" i="6"/>
  <c r="AN50" i="6"/>
  <c r="AD63" i="6"/>
  <c r="P62" i="1"/>
  <c r="P63" i="1" s="1"/>
  <c r="O7" i="1"/>
  <c r="AN63" i="6" l="1"/>
  <c r="AO63" i="6" s="1"/>
  <c r="M12" i="15"/>
  <c r="S12" i="15" s="1"/>
  <c r="O16" i="1"/>
  <c r="O43" i="1" s="1"/>
  <c r="O17" i="1"/>
  <c r="D10" i="11" l="1"/>
  <c r="F10" i="11" s="1"/>
  <c r="J10" i="11" s="1"/>
  <c r="M10" i="11" s="1"/>
  <c r="P10" i="11" s="1"/>
  <c r="P48" i="11" s="1"/>
  <c r="N34" i="1"/>
  <c r="N33" i="1"/>
  <c r="N17" i="1"/>
  <c r="N16" i="1"/>
  <c r="N7" i="1"/>
  <c r="N9" i="1"/>
  <c r="M17" i="1"/>
  <c r="M16" i="1"/>
  <c r="M9" i="1"/>
  <c r="M7" i="1"/>
  <c r="L34" i="1"/>
  <c r="L33" i="1"/>
  <c r="L17" i="1"/>
  <c r="L16" i="1"/>
  <c r="L9" i="1"/>
  <c r="L7" i="1"/>
  <c r="K34" i="1"/>
  <c r="K33" i="1"/>
  <c r="K17" i="1"/>
  <c r="K16" i="1"/>
  <c r="K9" i="1"/>
  <c r="K7" i="1"/>
  <c r="J34" i="1"/>
  <c r="J33" i="1"/>
  <c r="J9" i="1"/>
  <c r="J7" i="1"/>
  <c r="I34" i="1"/>
  <c r="I33" i="1"/>
  <c r="I17" i="1"/>
  <c r="I16" i="1"/>
  <c r="I9" i="1"/>
  <c r="I7" i="1"/>
  <c r="H34" i="1"/>
  <c r="H33" i="1"/>
  <c r="H17" i="1"/>
  <c r="H16" i="1"/>
  <c r="H9" i="1"/>
  <c r="H7" i="1"/>
  <c r="G34" i="1"/>
  <c r="G33" i="1"/>
  <c r="G17" i="1"/>
  <c r="G16" i="1"/>
  <c r="G9" i="1"/>
  <c r="G7" i="1"/>
  <c r="F34" i="1"/>
  <c r="F33" i="1"/>
  <c r="F17" i="1"/>
  <c r="F16" i="1"/>
  <c r="F7" i="1"/>
  <c r="F9" i="1"/>
  <c r="N10" i="11" l="1"/>
  <c r="N48" i="11" s="1"/>
  <c r="D39" i="11"/>
  <c r="F39" i="11" s="1"/>
  <c r="J39" i="11" s="1"/>
  <c r="M39" i="11" s="1"/>
  <c r="P39" i="11" s="1"/>
  <c r="AL16" i="1"/>
  <c r="AL17" i="1"/>
  <c r="AL33" i="1"/>
  <c r="AL34" i="1"/>
  <c r="AL9" i="1"/>
  <c r="AL7" i="1"/>
  <c r="AO7" i="1" s="1"/>
  <c r="AM7" i="1"/>
  <c r="AL43" i="1" l="1"/>
  <c r="N39" i="11"/>
  <c r="M48" i="11"/>
  <c r="AL44" i="1"/>
  <c r="AL62" i="1"/>
  <c r="M227" i="1"/>
  <c r="K13" i="1" l="1"/>
  <c r="K12" i="1"/>
  <c r="J8" i="1"/>
  <c r="I220" i="1"/>
  <c r="H220" i="1"/>
  <c r="D32" i="1"/>
  <c r="I13" i="1"/>
  <c r="I12" i="1"/>
  <c r="I61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J10" i="1"/>
  <c r="J57" i="1" s="1"/>
  <c r="K10" i="1"/>
  <c r="K57" i="1" s="1"/>
  <c r="L10" i="1"/>
  <c r="L57" i="1" s="1"/>
  <c r="M10" i="1"/>
  <c r="M57" i="1" s="1"/>
  <c r="N10" i="1"/>
  <c r="N57" i="1" s="1"/>
  <c r="O10" i="1"/>
  <c r="P10" i="1"/>
  <c r="Q10" i="1"/>
  <c r="Q57" i="1" s="1"/>
  <c r="R10" i="1"/>
  <c r="R57" i="1" s="1"/>
  <c r="S10" i="1"/>
  <c r="S57" i="1" s="1"/>
  <c r="T10" i="1"/>
  <c r="T57" i="1" s="1"/>
  <c r="U10" i="1"/>
  <c r="V10" i="1"/>
  <c r="V57" i="1" s="1"/>
  <c r="W10" i="1"/>
  <c r="X10" i="1"/>
  <c r="Y10" i="1"/>
  <c r="Z10" i="1"/>
  <c r="Z57" i="1" s="1"/>
  <c r="AA10" i="1"/>
  <c r="AB10" i="1"/>
  <c r="AB57" i="1" s="1"/>
  <c r="AC10" i="1"/>
  <c r="AD10" i="1"/>
  <c r="AE10" i="1"/>
  <c r="AF10" i="1"/>
  <c r="AG10" i="1"/>
  <c r="AH10" i="1"/>
  <c r="AH57" i="1" s="1"/>
  <c r="AI10" i="1"/>
  <c r="AJ10" i="1"/>
  <c r="AJ57" i="1" s="1"/>
  <c r="J11" i="1"/>
  <c r="J59" i="1" s="1"/>
  <c r="K11" i="1"/>
  <c r="K59" i="1" s="1"/>
  <c r="L11" i="1"/>
  <c r="L59" i="1" s="1"/>
  <c r="M11" i="1"/>
  <c r="M59" i="1" s="1"/>
  <c r="N11" i="1"/>
  <c r="N59" i="1" s="1"/>
  <c r="O11" i="1"/>
  <c r="O59" i="1" s="1"/>
  <c r="P11" i="1"/>
  <c r="P59" i="1" s="1"/>
  <c r="Q11" i="1"/>
  <c r="R11" i="1"/>
  <c r="S11" i="1"/>
  <c r="T11" i="1"/>
  <c r="T59" i="1" s="1"/>
  <c r="U11" i="1"/>
  <c r="U59" i="1" s="1"/>
  <c r="V11" i="1"/>
  <c r="V59" i="1" s="1"/>
  <c r="W11" i="1"/>
  <c r="W59" i="1" s="1"/>
  <c r="X11" i="1"/>
  <c r="X59" i="1" s="1"/>
  <c r="Y11" i="1"/>
  <c r="Y59" i="1" s="1"/>
  <c r="Z11" i="1"/>
  <c r="Z59" i="1" s="1"/>
  <c r="AA11" i="1"/>
  <c r="AA59" i="1" s="1"/>
  <c r="AB11" i="1"/>
  <c r="AB59" i="1" s="1"/>
  <c r="AC11" i="1"/>
  <c r="AC59" i="1" s="1"/>
  <c r="AD11" i="1"/>
  <c r="AD59" i="1" s="1"/>
  <c r="AE11" i="1"/>
  <c r="AE59" i="1" s="1"/>
  <c r="AF11" i="1"/>
  <c r="AF59" i="1" s="1"/>
  <c r="AG11" i="1"/>
  <c r="AG59" i="1" s="1"/>
  <c r="AH11" i="1"/>
  <c r="AH59" i="1" s="1"/>
  <c r="AI11" i="1"/>
  <c r="AI59" i="1" s="1"/>
  <c r="AJ11" i="1"/>
  <c r="AJ59" i="1" s="1"/>
  <c r="J19" i="1"/>
  <c r="K19" i="1"/>
  <c r="K46" i="1" s="1"/>
  <c r="L19" i="1"/>
  <c r="L45" i="1" s="1"/>
  <c r="M19" i="1"/>
  <c r="N19" i="1"/>
  <c r="N45" i="1" s="1"/>
  <c r="O19" i="1"/>
  <c r="P19" i="1"/>
  <c r="P46" i="1" s="1"/>
  <c r="Q19" i="1"/>
  <c r="R19" i="1"/>
  <c r="S19" i="1"/>
  <c r="T19" i="1"/>
  <c r="T45" i="1" s="1"/>
  <c r="U19" i="1"/>
  <c r="V19" i="1"/>
  <c r="V45" i="1" s="1"/>
  <c r="W19" i="1"/>
  <c r="X19" i="1"/>
  <c r="X45" i="1" s="1"/>
  <c r="Y19" i="1"/>
  <c r="Z19" i="1"/>
  <c r="AA19" i="1"/>
  <c r="AA45" i="1" s="1"/>
  <c r="AB19" i="1"/>
  <c r="AB45" i="1" s="1"/>
  <c r="AC19" i="1"/>
  <c r="AD19" i="1"/>
  <c r="AD45" i="1" s="1"/>
  <c r="AE19" i="1"/>
  <c r="AE46" i="1" s="1"/>
  <c r="AF19" i="1"/>
  <c r="AF45" i="1" s="1"/>
  <c r="AG19" i="1"/>
  <c r="AH19" i="1"/>
  <c r="AI19" i="1"/>
  <c r="AJ19" i="1"/>
  <c r="AJ45" i="1" s="1"/>
  <c r="J23" i="1"/>
  <c r="J48" i="1" s="1"/>
  <c r="K23" i="1"/>
  <c r="K48" i="1" s="1"/>
  <c r="L23" i="1"/>
  <c r="L48" i="1" s="1"/>
  <c r="M23" i="1"/>
  <c r="M48" i="1" s="1"/>
  <c r="N23" i="1"/>
  <c r="O23" i="1"/>
  <c r="P23" i="1"/>
  <c r="Q23" i="1"/>
  <c r="R23" i="1"/>
  <c r="S23" i="1"/>
  <c r="T23" i="1"/>
  <c r="U23" i="1"/>
  <c r="U47" i="1" s="1"/>
  <c r="V23" i="1"/>
  <c r="W23" i="1"/>
  <c r="X23" i="1"/>
  <c r="X48" i="1" s="1"/>
  <c r="Y23" i="1"/>
  <c r="Y47" i="1" s="1"/>
  <c r="Z23" i="1"/>
  <c r="AA23" i="1"/>
  <c r="AA47" i="1" s="1"/>
  <c r="AB23" i="1"/>
  <c r="AC23" i="1"/>
  <c r="AC47" i="1" s="1"/>
  <c r="AD23" i="1"/>
  <c r="AE23" i="1"/>
  <c r="AF23" i="1"/>
  <c r="AF47" i="1" s="1"/>
  <c r="AG23" i="1"/>
  <c r="AG47" i="1" s="1"/>
  <c r="AH23" i="1"/>
  <c r="AI23" i="1"/>
  <c r="AI47" i="1" s="1"/>
  <c r="AJ23" i="1"/>
  <c r="J28" i="1"/>
  <c r="J49" i="1" s="1"/>
  <c r="K28" i="1"/>
  <c r="L28" i="1"/>
  <c r="L49" i="1" s="1"/>
  <c r="M28" i="1"/>
  <c r="N28" i="1"/>
  <c r="N49" i="1" s="1"/>
  <c r="O28" i="1"/>
  <c r="P28" i="1"/>
  <c r="P50" i="1" s="1"/>
  <c r="Q28" i="1"/>
  <c r="R28" i="1"/>
  <c r="S28" i="1"/>
  <c r="T28" i="1"/>
  <c r="U28" i="1"/>
  <c r="U50" i="1" s="1"/>
  <c r="V28" i="1"/>
  <c r="V49" i="1" s="1"/>
  <c r="W28" i="1"/>
  <c r="X28" i="1"/>
  <c r="X50" i="1" s="1"/>
  <c r="Y28" i="1"/>
  <c r="Y50" i="1" s="1"/>
  <c r="Z28" i="1"/>
  <c r="Z49" i="1" s="1"/>
  <c r="AA28" i="1"/>
  <c r="AB28" i="1"/>
  <c r="AC28" i="1"/>
  <c r="AC49" i="1" s="1"/>
  <c r="AD28" i="1"/>
  <c r="AD49" i="1" s="1"/>
  <c r="AE28" i="1"/>
  <c r="AF28" i="1"/>
  <c r="AF50" i="1" s="1"/>
  <c r="AG28" i="1"/>
  <c r="AH28" i="1"/>
  <c r="AH50" i="1" s="1"/>
  <c r="AI28" i="1"/>
  <c r="AJ28" i="1"/>
  <c r="J32" i="1"/>
  <c r="J52" i="1" s="1"/>
  <c r="K32" i="1"/>
  <c r="K51" i="1" s="1"/>
  <c r="L32" i="1"/>
  <c r="L51" i="1" s="1"/>
  <c r="M32" i="1"/>
  <c r="M51" i="1" s="1"/>
  <c r="N32" i="1"/>
  <c r="N52" i="1" s="1"/>
  <c r="O32" i="1"/>
  <c r="O52" i="1" s="1"/>
  <c r="P32" i="1"/>
  <c r="Q32" i="1"/>
  <c r="R32" i="1"/>
  <c r="S32" i="1"/>
  <c r="T32" i="1"/>
  <c r="T51" i="1" s="1"/>
  <c r="U32" i="1"/>
  <c r="U51" i="1" s="1"/>
  <c r="V32" i="1"/>
  <c r="W32" i="1"/>
  <c r="W51" i="1" s="1"/>
  <c r="X32" i="1"/>
  <c r="Y32" i="1"/>
  <c r="Z32" i="1"/>
  <c r="Z52" i="1" s="1"/>
  <c r="AA32" i="1"/>
  <c r="AA51" i="1" s="1"/>
  <c r="AB32" i="1"/>
  <c r="AC32" i="1"/>
  <c r="AC51" i="1" s="1"/>
  <c r="AD32" i="1"/>
  <c r="AE32" i="1"/>
  <c r="AE52" i="1" s="1"/>
  <c r="AF32" i="1"/>
  <c r="AG32" i="1"/>
  <c r="AH32" i="1"/>
  <c r="AI32" i="1"/>
  <c r="AI51" i="1" s="1"/>
  <c r="AJ32" i="1"/>
  <c r="J37" i="1"/>
  <c r="J54" i="1" s="1"/>
  <c r="K37" i="1"/>
  <c r="K53" i="1" s="1"/>
  <c r="L37" i="1"/>
  <c r="L54" i="1" s="1"/>
  <c r="M37" i="1"/>
  <c r="N37" i="1"/>
  <c r="O37" i="1"/>
  <c r="P37" i="1"/>
  <c r="P53" i="1" s="1"/>
  <c r="Q37" i="1"/>
  <c r="R37" i="1"/>
  <c r="S37" i="1"/>
  <c r="T37" i="1"/>
  <c r="T54" i="1" s="1"/>
  <c r="U37" i="1"/>
  <c r="V37" i="1"/>
  <c r="W37" i="1"/>
  <c r="W53" i="1" s="1"/>
  <c r="X37" i="1"/>
  <c r="X53" i="1" s="1"/>
  <c r="Y37" i="1"/>
  <c r="Z37" i="1"/>
  <c r="Z54" i="1" s="1"/>
  <c r="AA37" i="1"/>
  <c r="AB37" i="1"/>
  <c r="AB54" i="1" s="1"/>
  <c r="AC37" i="1"/>
  <c r="AD37" i="1"/>
  <c r="AE37" i="1"/>
  <c r="AF37" i="1"/>
  <c r="AF53" i="1" s="1"/>
  <c r="AG37" i="1"/>
  <c r="AH37" i="1"/>
  <c r="AH54" i="1" s="1"/>
  <c r="AI37" i="1"/>
  <c r="AI53" i="1" s="1"/>
  <c r="AJ37" i="1"/>
  <c r="J43" i="1"/>
  <c r="K43" i="1"/>
  <c r="L43" i="1"/>
  <c r="M43" i="1"/>
  <c r="N43" i="1"/>
  <c r="P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J44" i="1"/>
  <c r="K44" i="1"/>
  <c r="L44" i="1"/>
  <c r="M44" i="1"/>
  <c r="N44" i="1"/>
  <c r="O44" i="1"/>
  <c r="P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J45" i="1"/>
  <c r="K45" i="1"/>
  <c r="M45" i="1"/>
  <c r="O45" i="1"/>
  <c r="P45" i="1"/>
  <c r="U45" i="1"/>
  <c r="W45" i="1"/>
  <c r="Y45" i="1"/>
  <c r="Z45" i="1"/>
  <c r="AC45" i="1"/>
  <c r="AE45" i="1"/>
  <c r="AG45" i="1"/>
  <c r="AH45" i="1"/>
  <c r="AI45" i="1"/>
  <c r="J46" i="1"/>
  <c r="M46" i="1"/>
  <c r="O46" i="1"/>
  <c r="U46" i="1"/>
  <c r="W46" i="1"/>
  <c r="X46" i="1"/>
  <c r="Y46" i="1"/>
  <c r="Z46" i="1"/>
  <c r="AA46" i="1"/>
  <c r="AC46" i="1"/>
  <c r="AG46" i="1"/>
  <c r="AH46" i="1"/>
  <c r="AI46" i="1"/>
  <c r="J47" i="1"/>
  <c r="L47" i="1"/>
  <c r="M47" i="1"/>
  <c r="N47" i="1"/>
  <c r="O47" i="1"/>
  <c r="P47" i="1"/>
  <c r="T47" i="1"/>
  <c r="V47" i="1"/>
  <c r="W47" i="1"/>
  <c r="X47" i="1"/>
  <c r="Z47" i="1"/>
  <c r="AB47" i="1"/>
  <c r="AD47" i="1"/>
  <c r="AE47" i="1"/>
  <c r="AH47" i="1"/>
  <c r="AJ47" i="1"/>
  <c r="N48" i="1"/>
  <c r="O48" i="1"/>
  <c r="P48" i="1"/>
  <c r="T48" i="1"/>
  <c r="V48" i="1"/>
  <c r="W48" i="1"/>
  <c r="Z48" i="1"/>
  <c r="AA48" i="1"/>
  <c r="AB48" i="1"/>
  <c r="AD48" i="1"/>
  <c r="AE48" i="1"/>
  <c r="AH48" i="1"/>
  <c r="AI48" i="1"/>
  <c r="AJ48" i="1"/>
  <c r="K49" i="1"/>
  <c r="M49" i="1"/>
  <c r="O49" i="1"/>
  <c r="T49" i="1"/>
  <c r="U49" i="1"/>
  <c r="W49" i="1"/>
  <c r="Y49" i="1"/>
  <c r="AA49" i="1"/>
  <c r="AB49" i="1"/>
  <c r="AE49" i="1"/>
  <c r="AG49" i="1"/>
  <c r="AH49" i="1"/>
  <c r="AI49" i="1"/>
  <c r="AJ49" i="1"/>
  <c r="J50" i="1"/>
  <c r="K50" i="1"/>
  <c r="L50" i="1"/>
  <c r="M50" i="1"/>
  <c r="O50" i="1"/>
  <c r="T50" i="1"/>
  <c r="W50" i="1"/>
  <c r="AA50" i="1"/>
  <c r="AB50" i="1"/>
  <c r="AC50" i="1"/>
  <c r="AE50" i="1"/>
  <c r="AG50" i="1"/>
  <c r="AI50" i="1"/>
  <c r="AJ50" i="1"/>
  <c r="V51" i="1"/>
  <c r="X51" i="1"/>
  <c r="Y51" i="1"/>
  <c r="AB51" i="1"/>
  <c r="AD51" i="1"/>
  <c r="AE51" i="1"/>
  <c r="AF51" i="1"/>
  <c r="AG51" i="1"/>
  <c r="AH51" i="1"/>
  <c r="AJ51" i="1"/>
  <c r="V52" i="1"/>
  <c r="W52" i="1"/>
  <c r="X52" i="1"/>
  <c r="Y52" i="1"/>
  <c r="AB52" i="1"/>
  <c r="AD52" i="1"/>
  <c r="AF52" i="1"/>
  <c r="AG52" i="1"/>
  <c r="AH52" i="1"/>
  <c r="AJ52" i="1"/>
  <c r="L53" i="1"/>
  <c r="M53" i="1"/>
  <c r="N53" i="1"/>
  <c r="O53" i="1"/>
  <c r="T53" i="1"/>
  <c r="U53" i="1"/>
  <c r="V53" i="1"/>
  <c r="Y53" i="1"/>
  <c r="AA53" i="1"/>
  <c r="AC53" i="1"/>
  <c r="AD53" i="1"/>
  <c r="AE53" i="1"/>
  <c r="AG53" i="1"/>
  <c r="AJ53" i="1"/>
  <c r="K54" i="1"/>
  <c r="M54" i="1"/>
  <c r="N54" i="1"/>
  <c r="O54" i="1"/>
  <c r="U54" i="1"/>
  <c r="V54" i="1"/>
  <c r="Y54" i="1"/>
  <c r="AA54" i="1"/>
  <c r="AC54" i="1"/>
  <c r="AD54" i="1"/>
  <c r="AE54" i="1"/>
  <c r="AG54" i="1"/>
  <c r="AI54" i="1"/>
  <c r="AJ54" i="1"/>
  <c r="O57" i="1"/>
  <c r="U57" i="1"/>
  <c r="W57" i="1"/>
  <c r="X57" i="1"/>
  <c r="Y57" i="1"/>
  <c r="AA57" i="1"/>
  <c r="AC57" i="1"/>
  <c r="AD57" i="1"/>
  <c r="AE57" i="1"/>
  <c r="AF57" i="1"/>
  <c r="AG57" i="1"/>
  <c r="AI57" i="1"/>
  <c r="J61" i="1"/>
  <c r="K61" i="1"/>
  <c r="L61" i="1"/>
  <c r="M61" i="1"/>
  <c r="N61" i="1"/>
  <c r="O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J62" i="1"/>
  <c r="J63" i="1" s="1"/>
  <c r="K62" i="1"/>
  <c r="K63" i="1" s="1"/>
  <c r="L62" i="1"/>
  <c r="L63" i="1" s="1"/>
  <c r="M62" i="1"/>
  <c r="M63" i="1" s="1"/>
  <c r="N62" i="1"/>
  <c r="N63" i="1" s="1"/>
  <c r="O62" i="1"/>
  <c r="O63" i="1" s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J65" i="1"/>
  <c r="K65" i="1"/>
  <c r="L65" i="1"/>
  <c r="M65" i="1"/>
  <c r="N65" i="1"/>
  <c r="O65" i="1"/>
  <c r="P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J220" i="1"/>
  <c r="J221" i="1" s="1"/>
  <c r="K220" i="1"/>
  <c r="K221" i="1" s="1"/>
  <c r="L220" i="1"/>
  <c r="L221" i="1" s="1"/>
  <c r="M220" i="1"/>
  <c r="M221" i="1" s="1"/>
  <c r="N220" i="1"/>
  <c r="N221" i="1" s="1"/>
  <c r="O220" i="1"/>
  <c r="O221" i="1" s="1"/>
  <c r="T220" i="1"/>
  <c r="T221" i="1" s="1"/>
  <c r="U220" i="1"/>
  <c r="U221" i="1" s="1"/>
  <c r="V220" i="1"/>
  <c r="V221" i="1" s="1"/>
  <c r="W220" i="1"/>
  <c r="W221" i="1" s="1"/>
  <c r="X220" i="1"/>
  <c r="X221" i="1" s="1"/>
  <c r="Y220" i="1"/>
  <c r="Y221" i="1" s="1"/>
  <c r="Z220" i="1"/>
  <c r="Z221" i="1" s="1"/>
  <c r="AA220" i="1"/>
  <c r="AA221" i="1" s="1"/>
  <c r="AB220" i="1"/>
  <c r="AB221" i="1" s="1"/>
  <c r="AC220" i="1"/>
  <c r="AC221" i="1" s="1"/>
  <c r="AD220" i="1"/>
  <c r="AD221" i="1" s="1"/>
  <c r="AE220" i="1"/>
  <c r="AE221" i="1" s="1"/>
  <c r="AF220" i="1"/>
  <c r="AF221" i="1" s="1"/>
  <c r="AG220" i="1"/>
  <c r="AG221" i="1" s="1"/>
  <c r="AH220" i="1"/>
  <c r="AH221" i="1" s="1"/>
  <c r="AI220" i="1"/>
  <c r="AI221" i="1" s="1"/>
  <c r="AJ220" i="1"/>
  <c r="AJ221" i="1" s="1"/>
  <c r="J227" i="1"/>
  <c r="J228" i="1" s="1"/>
  <c r="K227" i="1"/>
  <c r="K228" i="1" s="1"/>
  <c r="L227" i="1"/>
  <c r="L228" i="1" s="1"/>
  <c r="M228" i="1"/>
  <c r="N227" i="1"/>
  <c r="N228" i="1" s="1"/>
  <c r="O227" i="1"/>
  <c r="O228" i="1" s="1"/>
  <c r="P227" i="1"/>
  <c r="P228" i="1" s="1"/>
  <c r="T227" i="1"/>
  <c r="U227" i="1"/>
  <c r="U228" i="1" s="1"/>
  <c r="V227" i="1"/>
  <c r="W227" i="1"/>
  <c r="W228" i="1" s="1"/>
  <c r="X227" i="1"/>
  <c r="X228" i="1" s="1"/>
  <c r="Y227" i="1"/>
  <c r="Y228" i="1" s="1"/>
  <c r="Z227" i="1"/>
  <c r="Z228" i="1" s="1"/>
  <c r="AA227" i="1"/>
  <c r="AA228" i="1" s="1"/>
  <c r="AB227" i="1"/>
  <c r="AB228" i="1" s="1"/>
  <c r="AC227" i="1"/>
  <c r="AC228" i="1" s="1"/>
  <c r="AD227" i="1"/>
  <c r="AD228" i="1" s="1"/>
  <c r="AE227" i="1"/>
  <c r="AE228" i="1" s="1"/>
  <c r="AF227" i="1"/>
  <c r="AF228" i="1" s="1"/>
  <c r="AG227" i="1"/>
  <c r="AG228" i="1" s="1"/>
  <c r="AH227" i="1"/>
  <c r="AH228" i="1" s="1"/>
  <c r="AI227" i="1"/>
  <c r="AI228" i="1" s="1"/>
  <c r="AJ227" i="1"/>
  <c r="AJ228" i="1" s="1"/>
  <c r="V228" i="1"/>
  <c r="J235" i="1"/>
  <c r="K235" i="1"/>
  <c r="L235" i="1"/>
  <c r="M235" i="1"/>
  <c r="N235" i="1"/>
  <c r="O235" i="1"/>
  <c r="P235" i="1"/>
  <c r="T235" i="1"/>
  <c r="AL235" i="1" s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J240" i="1"/>
  <c r="K240" i="1"/>
  <c r="L240" i="1"/>
  <c r="M240" i="1"/>
  <c r="N240" i="1"/>
  <c r="O240" i="1"/>
  <c r="P240" i="1"/>
  <c r="T240" i="1"/>
  <c r="AL240" i="1" s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H19" i="1"/>
  <c r="H43" i="1"/>
  <c r="I43" i="1"/>
  <c r="H44" i="1"/>
  <c r="I44" i="1"/>
  <c r="T52" i="1" l="1"/>
  <c r="T228" i="1"/>
  <c r="AL228" i="1" s="1"/>
  <c r="AL227" i="1"/>
  <c r="P57" i="1"/>
  <c r="P52" i="1"/>
  <c r="S52" i="1"/>
  <c r="S51" i="1"/>
  <c r="R51" i="1"/>
  <c r="R52" i="1"/>
  <c r="Q51" i="1"/>
  <c r="Q52" i="1"/>
  <c r="S54" i="1"/>
  <c r="S53" i="1"/>
  <c r="R54" i="1"/>
  <c r="R53" i="1"/>
  <c r="Q54" i="1"/>
  <c r="Q53" i="1"/>
  <c r="X54" i="1"/>
  <c r="Z50" i="1"/>
  <c r="AG48" i="1"/>
  <c r="Y48" i="1"/>
  <c r="AF46" i="1"/>
  <c r="AF54" i="1"/>
  <c r="W54" i="1"/>
  <c r="AB53" i="1"/>
  <c r="Z51" i="1"/>
  <c r="AF48" i="1"/>
  <c r="V50" i="1"/>
  <c r="AD50" i="1"/>
  <c r="AC48" i="1"/>
  <c r="U48" i="1"/>
  <c r="P54" i="1"/>
  <c r="N50" i="1"/>
  <c r="AH53" i="1"/>
  <c r="Z53" i="1"/>
  <c r="J53" i="1"/>
  <c r="AC52" i="1"/>
  <c r="U52" i="1"/>
  <c r="AF49" i="1"/>
  <c r="X49" i="1"/>
  <c r="P49" i="1"/>
  <c r="K47" i="1"/>
  <c r="AD46" i="1"/>
  <c r="V46" i="1"/>
  <c r="N46" i="1"/>
  <c r="AI52" i="1"/>
  <c r="AA52" i="1"/>
  <c r="AJ46" i="1"/>
  <c r="AB46" i="1"/>
  <c r="T46" i="1"/>
  <c r="L46" i="1"/>
  <c r="P51" i="1"/>
  <c r="O51" i="1"/>
  <c r="N51" i="1"/>
  <c r="M52" i="1"/>
  <c r="L52" i="1"/>
  <c r="K52" i="1"/>
  <c r="J51" i="1"/>
  <c r="H62" i="1"/>
  <c r="H63" i="1" s="1"/>
  <c r="I62" i="1"/>
  <c r="I63" i="1" s="1"/>
  <c r="AL58" i="1"/>
  <c r="AL59" i="1" s="1"/>
  <c r="G62" i="1" l="1"/>
  <c r="G63" i="1" s="1"/>
  <c r="AL41" i="1"/>
  <c r="H61" i="1"/>
  <c r="H65" i="1"/>
  <c r="I65" i="1"/>
  <c r="H221" i="1"/>
  <c r="I221" i="1"/>
  <c r="I235" i="1"/>
  <c r="H235" i="1"/>
  <c r="H240" i="1"/>
  <c r="I240" i="1"/>
  <c r="AL239" i="1" l="1"/>
  <c r="AM239" i="1" s="1"/>
  <c r="AN239" i="1" s="1"/>
  <c r="G61" i="1"/>
  <c r="G65" i="1"/>
  <c r="G220" i="1"/>
  <c r="G221" i="1" s="1"/>
  <c r="F220" i="1"/>
  <c r="G240" i="1"/>
  <c r="G235" i="1"/>
  <c r="G227" i="1"/>
  <c r="H227" i="1"/>
  <c r="I227" i="1"/>
  <c r="G19" i="1"/>
  <c r="G46" i="1" s="1"/>
  <c r="G43" i="1"/>
  <c r="G44" i="1"/>
  <c r="I49" i="1"/>
  <c r="G37" i="1"/>
  <c r="G53" i="1" s="1"/>
  <c r="H37" i="1"/>
  <c r="H53" i="1" s="1"/>
  <c r="I37" i="1"/>
  <c r="I53" i="1" s="1"/>
  <c r="G32" i="1"/>
  <c r="G51" i="1" s="1"/>
  <c r="H32" i="1"/>
  <c r="I32" i="1"/>
  <c r="F32" i="1"/>
  <c r="G28" i="1"/>
  <c r="G49" i="1" s="1"/>
  <c r="H28" i="1"/>
  <c r="H49" i="1" s="1"/>
  <c r="I28" i="1"/>
  <c r="I50" i="1" s="1"/>
  <c r="G23" i="1"/>
  <c r="G47" i="1" s="1"/>
  <c r="H23" i="1"/>
  <c r="H47" i="1" s="1"/>
  <c r="I23" i="1"/>
  <c r="I47" i="1" s="1"/>
  <c r="F23" i="1"/>
  <c r="I19" i="1"/>
  <c r="I45" i="1" s="1"/>
  <c r="G10" i="1"/>
  <c r="G57" i="1" s="1"/>
  <c r="H10" i="1"/>
  <c r="H57" i="1" s="1"/>
  <c r="I10" i="1"/>
  <c r="I57" i="1" s="1"/>
  <c r="G11" i="1"/>
  <c r="G59" i="1" s="1"/>
  <c r="H11" i="1"/>
  <c r="H59" i="1" s="1"/>
  <c r="I11" i="1"/>
  <c r="I59" i="1" s="1"/>
  <c r="G8" i="1"/>
  <c r="H8" i="1"/>
  <c r="I8" i="1"/>
  <c r="F43" i="1"/>
  <c r="AM230" i="1"/>
  <c r="AN230" i="1" s="1"/>
  <c r="AM217" i="1"/>
  <c r="AN217" i="1" s="1"/>
  <c r="AL65" i="1"/>
  <c r="AL40" i="1"/>
  <c r="AL39" i="1"/>
  <c r="AL38" i="1"/>
  <c r="AL36" i="1"/>
  <c r="AL29" i="1"/>
  <c r="AL27" i="1"/>
  <c r="AL30" i="1"/>
  <c r="AL25" i="1"/>
  <c r="AL24" i="1"/>
  <c r="AL6" i="1"/>
  <c r="F37" i="1"/>
  <c r="F28" i="1"/>
  <c r="F61" i="1"/>
  <c r="F19" i="1"/>
  <c r="F45" i="1" s="1"/>
  <c r="F10" i="1"/>
  <c r="F11" i="1"/>
  <c r="F8" i="1"/>
  <c r="C48" i="3"/>
  <c r="L39" i="3"/>
  <c r="I39" i="3"/>
  <c r="C50" i="3" s="1"/>
  <c r="E21" i="3"/>
  <c r="F21" i="3" s="1"/>
  <c r="H21" i="3" s="1"/>
  <c r="J21" i="3" s="1"/>
  <c r="E20" i="3"/>
  <c r="F20" i="3" s="1"/>
  <c r="H20" i="3" s="1"/>
  <c r="J20" i="3" s="1"/>
  <c r="E19" i="3"/>
  <c r="F19" i="3" s="1"/>
  <c r="H19" i="3" s="1"/>
  <c r="J19" i="3" s="1"/>
  <c r="E18" i="3"/>
  <c r="F18" i="3" s="1"/>
  <c r="H18" i="3" s="1"/>
  <c r="J18" i="3" s="1"/>
  <c r="E17" i="3"/>
  <c r="F17" i="3" s="1"/>
  <c r="H17" i="3" s="1"/>
  <c r="J17" i="3" s="1"/>
  <c r="E16" i="3"/>
  <c r="F16" i="3" s="1"/>
  <c r="H16" i="3" s="1"/>
  <c r="J16" i="3" s="1"/>
  <c r="E15" i="3"/>
  <c r="F15" i="3" s="1"/>
  <c r="H15" i="3" s="1"/>
  <c r="J15" i="3" s="1"/>
  <c r="E14" i="3"/>
  <c r="F14" i="3" s="1"/>
  <c r="H14" i="3" s="1"/>
  <c r="J14" i="3" s="1"/>
  <c r="E13" i="3"/>
  <c r="F13" i="3" s="1"/>
  <c r="H13" i="3" s="1"/>
  <c r="J13" i="3" s="1"/>
  <c r="E12" i="3"/>
  <c r="F12" i="3" s="1"/>
  <c r="H12" i="3" s="1"/>
  <c r="J12" i="3" s="1"/>
  <c r="E11" i="3"/>
  <c r="F11" i="3" s="1"/>
  <c r="H11" i="3" s="1"/>
  <c r="J11" i="3" s="1"/>
  <c r="E10" i="3"/>
  <c r="F10" i="3" s="1"/>
  <c r="H10" i="3" s="1"/>
  <c r="J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E8" i="3"/>
  <c r="F8" i="3" s="1"/>
  <c r="R219" i="1" l="1"/>
  <c r="R220" i="1" s="1"/>
  <c r="R221" i="1" s="1"/>
  <c r="S226" i="6"/>
  <c r="S227" i="6" s="1"/>
  <c r="P219" i="1"/>
  <c r="P220" i="1" s="1"/>
  <c r="Q219" i="1"/>
  <c r="Q220" i="1" s="1"/>
  <c r="Q221" i="1" s="1"/>
  <c r="R226" i="6"/>
  <c r="R227" i="6" s="1"/>
  <c r="S219" i="1"/>
  <c r="S220" i="1" s="1"/>
  <c r="S221" i="1" s="1"/>
  <c r="AL32" i="1"/>
  <c r="AL8" i="1"/>
  <c r="AL10" i="1"/>
  <c r="AL57" i="1" s="1"/>
  <c r="AM57" i="1" s="1"/>
  <c r="AN9" i="1"/>
  <c r="AM9" i="1"/>
  <c r="I48" i="1"/>
  <c r="I54" i="1"/>
  <c r="I51" i="1"/>
  <c r="I52" i="1"/>
  <c r="H50" i="1"/>
  <c r="G50" i="1"/>
  <c r="H45" i="1"/>
  <c r="AL45" i="1"/>
  <c r="H46" i="1"/>
  <c r="H51" i="1"/>
  <c r="H52" i="1"/>
  <c r="AL61" i="1"/>
  <c r="G45" i="1"/>
  <c r="H48" i="1"/>
  <c r="G52" i="1"/>
  <c r="AL28" i="1"/>
  <c r="AL48" i="1" s="1"/>
  <c r="G48" i="1"/>
  <c r="I46" i="1"/>
  <c r="AL37" i="1"/>
  <c r="AL54" i="1" s="1"/>
  <c r="H54" i="1"/>
  <c r="G54" i="1"/>
  <c r="M9" i="3"/>
  <c r="K9" i="3"/>
  <c r="N9" i="3" s="1"/>
  <c r="M16" i="3"/>
  <c r="K16" i="3"/>
  <c r="N16" i="3" s="1"/>
  <c r="K21" i="3"/>
  <c r="N21" i="3" s="1"/>
  <c r="M21" i="3"/>
  <c r="M10" i="3"/>
  <c r="K10" i="3"/>
  <c r="N10" i="3" s="1"/>
  <c r="M17" i="3"/>
  <c r="K17" i="3"/>
  <c r="N17" i="3" s="1"/>
  <c r="M18" i="3"/>
  <c r="K18" i="3"/>
  <c r="N18" i="3" s="1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40" i="3"/>
  <c r="H8" i="3"/>
  <c r="F39" i="3"/>
  <c r="M15" i="3"/>
  <c r="K15" i="3"/>
  <c r="N15" i="3" s="1"/>
  <c r="M20" i="3"/>
  <c r="K20" i="3"/>
  <c r="N20" i="3" s="1"/>
  <c r="C40" i="3"/>
  <c r="E40" i="3"/>
  <c r="AN225" i="6" l="1"/>
  <c r="M226" i="15" s="1"/>
  <c r="S226" i="15" s="1"/>
  <c r="Q226" i="6"/>
  <c r="AL219" i="1"/>
  <c r="T226" i="6"/>
  <c r="P221" i="1"/>
  <c r="AL220" i="1"/>
  <c r="AL47" i="1"/>
  <c r="AL52" i="1"/>
  <c r="AL51" i="1"/>
  <c r="AL53" i="1"/>
  <c r="AL49" i="1"/>
  <c r="AL50" i="1"/>
  <c r="G46" i="3"/>
  <c r="C45" i="3"/>
  <c r="C47" i="3" s="1"/>
  <c r="C49" i="3" s="1"/>
  <c r="C51" i="3" s="1"/>
  <c r="F45" i="3"/>
  <c r="F47" i="3" s="1"/>
  <c r="J8" i="3"/>
  <c r="H40" i="3"/>
  <c r="H42" i="3" s="1"/>
  <c r="H39" i="3"/>
  <c r="U226" i="15" l="1"/>
  <c r="Q227" i="6"/>
  <c r="AN226" i="6"/>
  <c r="M227" i="15" s="1"/>
  <c r="S227" i="15" s="1"/>
  <c r="U227" i="15" s="1"/>
  <c r="T227" i="6"/>
  <c r="J40" i="3"/>
  <c r="J42" i="3" s="1"/>
  <c r="J39" i="3"/>
  <c r="M8" i="3"/>
  <c r="M39" i="3" s="1"/>
  <c r="K8" i="3"/>
  <c r="S228" i="15" l="1"/>
  <c r="U228" i="15" s="1"/>
  <c r="AN227" i="6"/>
  <c r="K39" i="3"/>
  <c r="N8" i="3"/>
  <c r="N39" i="3" s="1"/>
  <c r="F44" i="1" l="1"/>
  <c r="F65" i="1"/>
  <c r="F221" i="1" l="1"/>
  <c r="AL221" i="1" s="1"/>
  <c r="F57" i="1"/>
  <c r="F62" i="1" l="1"/>
  <c r="F63" i="1" s="1"/>
  <c r="AL63" i="1" s="1"/>
  <c r="G228" i="1" l="1"/>
  <c r="H228" i="1"/>
  <c r="I228" i="1"/>
  <c r="F227" i="1"/>
  <c r="F235" i="1"/>
  <c r="F240" i="1"/>
  <c r="F228" i="1" l="1"/>
  <c r="F59" i="1"/>
  <c r="F51" i="1" l="1"/>
  <c r="F54" i="1"/>
  <c r="F53" i="1"/>
  <c r="F52" i="1"/>
  <c r="F50" i="1"/>
  <c r="F48" i="1" l="1"/>
  <c r="AL23" i="1"/>
  <c r="AL46" i="1" s="1"/>
  <c r="F47" i="1"/>
  <c r="F46" i="1"/>
  <c r="F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X3" authorId="0" shapeId="0" xr:uid="{2E0B4BE1-D792-4B15-B00B-F1F25D01CEDE}">
      <text>
        <r>
          <rPr>
            <b/>
            <sz val="9"/>
            <color indexed="81"/>
            <rFont val="Tahoma"/>
            <family val="2"/>
          </rPr>
          <t xml:space="preserve">User:
Prepare Start up OIP 254.235 Kg
</t>
        </r>
      </text>
    </comment>
    <comment ref="Z21" authorId="0" shapeId="0" xr:uid="{1AE9DCE6-997A-44E9-992F-3F840DE5B7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Filling CR Langsung dari Refinery To Fract : 118.100 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Prabhaswara, Nurcahyo</author>
    <author>USER</author>
  </authors>
  <commentList>
    <comment ref="K11" authorId="0" shapeId="0" xr:uid="{0BF73227-D71F-49F4-8428-E321BD462BC0}">
      <text>
        <r>
          <rPr>
            <b/>
            <sz val="9"/>
            <color indexed="81"/>
            <rFont val="Tahoma"/>
            <family val="2"/>
          </rPr>
          <t>Prabhaswara, Nurcahyo:</t>
        </r>
        <r>
          <rPr>
            <sz val="9"/>
            <color indexed="81"/>
            <rFont val="Tahoma"/>
            <family val="2"/>
          </rPr>
          <t xml:space="preserve">
harga per 1 May</t>
        </r>
      </text>
    </comment>
    <comment ref="K14" authorId="1" shapeId="0" xr:uid="{0619E086-BF8D-4695-BBE5-69EAAE17E618}">
      <text>
        <r>
          <rPr>
            <b/>
            <sz val="9"/>
            <color indexed="81"/>
            <rFont val="Tahoma"/>
            <family val="2"/>
          </rPr>
          <t>4983 Rp/M3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3" authorId="0" shapeId="0" xr:uid="{91A9414C-BFB8-4044-A1D2-9A571D25034A}">
      <text>
        <r>
          <rPr>
            <b/>
            <sz val="9"/>
            <color indexed="81"/>
            <rFont val="Tahoma"/>
            <family val="2"/>
          </rPr>
          <t xml:space="preserve">User:
Prepare Start up OIP 254.235 Kg
</t>
        </r>
      </text>
    </comment>
  </commentList>
</comments>
</file>

<file path=xl/sharedStrings.xml><?xml version="1.0" encoding="utf-8"?>
<sst xmlns="http://schemas.openxmlformats.org/spreadsheetml/2006/main" count="2144" uniqueCount="502">
  <si>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</si>
  <si>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</si>
  <si>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</si>
  <si>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</si>
  <si>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</si>
  <si>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</si>
  <si>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</si>
  <si>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</si>
  <si>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</si>
  <si>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</si>
  <si>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</si>
  <si>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</si>
  <si>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</si>
  <si>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</si>
  <si>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</si>
  <si>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</si>
  <si>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</si>
  <si>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</si>
  <si>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</si>
  <si>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</si>
  <si>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</si>
  <si>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</si>
  <si>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</si>
  <si>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</si>
  <si>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</si>
  <si>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</si>
  <si>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</si>
  <si>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</si>
  <si>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</si>
  <si>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</si>
  <si>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</si>
  <si>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</si>
  <si>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</si>
  <si>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</si>
  <si>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</si>
  <si>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</si>
  <si>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</si>
  <si>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</si>
  <si>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</si>
  <si>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</si>
  <si>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</si>
  <si>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</si>
  <si>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</si>
  <si>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</si>
  <si>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</si>
  <si>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</si>
  <si>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</si>
  <si>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</si>
  <si>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</si>
  <si>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</si>
  <si>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</si>
  <si>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</si>
  <si>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</si>
  <si>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</si>
  <si>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</si>
  <si>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</si>
  <si>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</si>
  <si>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</si>
  <si>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</si>
  <si>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</si>
  <si>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</si>
  <si>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</si>
  <si>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</si>
  <si>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</si>
  <si>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</si>
  <si>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</si>
  <si>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</si>
  <si>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</si>
  <si>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</si>
  <si>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</si>
  <si>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</si>
  <si>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</si>
  <si>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</si>
  <si>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</si>
  <si>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</si>
  <si>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</si>
  <si>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</si>
  <si>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</si>
  <si>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</si>
  <si>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</si>
  <si>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</si>
  <si>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</si>
  <si>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</si>
  <si>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</si>
  <si>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</si>
  <si>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</si>
  <si>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</si>
  <si>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</si>
  <si>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</si>
  <si>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</si>
  <si>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</si>
  <si>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</si>
  <si>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</si>
  <si>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</si>
  <si>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</si>
  <si>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</si>
  <si>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</si>
  <si>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</si>
  <si>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</si>
  <si>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</si>
  <si>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</si>
  <si>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</si>
  <si>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</si>
  <si>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</si>
  <si>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</si>
  <si>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</si>
  <si>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</si>
  <si>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</si>
  <si>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</si>
  <si>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</si>
  <si>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</si>
  <si>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</si>
  <si>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</si>
  <si>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</si>
  <si>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</si>
  <si>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</si>
  <si>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</si>
  <si>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</si>
  <si>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</si>
  <si>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</si>
  <si>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</si>
  <si>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</si>
  <si>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</si>
  <si>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</si>
  <si>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</si>
  <si>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</si>
  <si>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</si>
  <si>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</si>
  <si>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</si>
  <si>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</si>
  <si>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</si>
  <si>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</si>
  <si>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</si>
  <si>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</si>
  <si>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</si>
  <si>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</si>
  <si>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</si>
  <si>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JulI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</si>
  <si>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</si>
  <si>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</si>
  <si>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</si>
  <si>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</si>
  <si>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</si>
  <si>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</si>
  <si>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r>
      <rPr>
        <b/>
        <sz val="11"/>
        <color theme="1"/>
        <rFont val="Arial"/>
        <family val="2"/>
      </rPr>
      <t>UNCORRECTED VOLUME (UV)
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</si>
  <si>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</si>
  <si>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</si>
  <si>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</si>
  <si>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</si>
  <si>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</si>
  <si>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</si>
  <si>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</si>
  <si>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</si>
  <si>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</si>
  <si>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</si>
  <si>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</si>
  <si>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</si>
  <si>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</si>
  <si>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</si>
  <si>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</si>
  <si>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</si>
  <si>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</si>
  <si>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</si>
  <si>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</si>
  <si>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</si>
  <si>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</si>
  <si>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</si>
  <si>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</si>
  <si>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</si>
  <si>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</si>
  <si>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</si>
  <si>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</si>
  <si>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>Oil In Plant Refinery</t>
  </si>
  <si>
    <t xml:space="preserve">No 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</si>
  <si>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</si>
  <si>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</si>
  <si>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</si>
  <si>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</si>
  <si>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</si>
  <si>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</si>
  <si>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</si>
  <si>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</si>
  <si>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</si>
  <si>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</si>
  <si>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</si>
  <si>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</si>
  <si>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</si>
  <si>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</si>
  <si>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</si>
  <si>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</si>
  <si>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</si>
  <si>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</si>
  <si>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</si>
  <si>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</si>
  <si>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</si>
  <si>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</si>
  <si>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</si>
  <si>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</si>
  <si>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</si>
  <si>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</si>
  <si>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</si>
  <si>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</si>
  <si>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</si>
  <si>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</si>
  <si>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</si>
  <si>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</si>
  <si>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</si>
  <si>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</si>
  <si>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</si>
  <si>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</si>
  <si>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</si>
  <si>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</si>
  <si>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</si>
  <si>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</si>
  <si>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</si>
  <si>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</si>
  <si>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</si>
  <si>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</si>
  <si>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</si>
  <si>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</si>
  <si>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</si>
  <si>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>Oil In Plant Fract</t>
  </si>
  <si>
    <t>Stock Minyak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</si>
  <si>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</si>
  <si>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</si>
  <si>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</si>
  <si>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</si>
  <si>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</si>
  <si>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</si>
  <si>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</si>
  <si>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</si>
  <si>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</si>
  <si>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</si>
  <si>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Kurs</t>
  </si>
  <si>
    <t>USD/MT</t>
  </si>
  <si>
    <t>Through Put CPO Proses (Ton/Day)</t>
  </si>
  <si>
    <t>Days</t>
  </si>
  <si>
    <t xml:space="preserve">Working Day </t>
  </si>
  <si>
    <t>Operation By PLN</t>
  </si>
  <si>
    <t xml:space="preserve">Operation By Genset </t>
  </si>
  <si>
    <t>Total CPO Process</t>
  </si>
  <si>
    <t>MTPY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</si>
  <si>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</si>
  <si>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</si>
  <si>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</si>
  <si>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</si>
  <si>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</si>
  <si>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</si>
  <si>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</si>
  <si>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</si>
  <si>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</si>
  <si>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</si>
  <si>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</si>
  <si>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</si>
  <si>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</si>
  <si>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</si>
  <si>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</si>
  <si>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</si>
  <si>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</si>
  <si>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 xml:space="preserve">Electrical 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</si>
  <si>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</si>
  <si>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</si>
  <si>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</si>
  <si>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</si>
  <si>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</si>
  <si>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</si>
  <si>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</si>
  <si>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</si>
  <si>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</si>
  <si>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</si>
  <si>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</si>
  <si>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</si>
  <si>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</si>
  <si>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</si>
  <si>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</si>
  <si>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</si>
  <si>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</si>
  <si>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</si>
  <si>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Waste Water </t>
  </si>
  <si>
    <t xml:space="preserve">SHE </t>
  </si>
  <si>
    <t>SBE</t>
  </si>
  <si>
    <t>Domestic</t>
  </si>
  <si>
    <t>Trip/day</t>
  </si>
  <si>
    <t xml:space="preserve">Lab 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</si>
  <si>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</si>
  <si>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</si>
  <si>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</si>
  <si>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</si>
  <si>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</si>
  <si>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</si>
  <si>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</si>
  <si>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</si>
  <si>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</si>
  <si>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</si>
  <si>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</si>
  <si>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</si>
  <si>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Total RBDPO Process</t>
  </si>
  <si>
    <t>Electrical</t>
  </si>
  <si>
    <t>Filter Cloth</t>
  </si>
  <si>
    <t xml:space="preserve">Filter Bag 80 Microne monofilament </t>
  </si>
  <si>
    <t xml:space="preserve">Filter Bag 100 Microne monofilament </t>
  </si>
  <si>
    <t>Cost Fractionation/ CPO</t>
  </si>
  <si>
    <t xml:space="preserve">actual cost juni 2024  based on chemical &amp; utility </t>
  </si>
  <si>
    <t>Through Put RBDPO Proses (Ton/Day)</t>
  </si>
  <si>
    <t>Items</t>
  </si>
  <si>
    <t>Description</t>
  </si>
  <si>
    <t>Rp/Tahun</t>
  </si>
  <si>
    <t>Rp/Kg</t>
  </si>
  <si>
    <t>I</t>
  </si>
  <si>
    <t>Processing Cost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</si>
  <si>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</si>
  <si>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</si>
  <si>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</si>
  <si>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</si>
  <si>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</si>
  <si>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</si>
  <si>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</si>
  <si>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</si>
  <si>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III</t>
  </si>
  <si>
    <t>Finance Cost</t>
  </si>
  <si>
    <t>Beban Keuangan</t>
  </si>
  <si>
    <t>Beban Operasional  Lainnya</t>
  </si>
  <si>
    <t>Beban Lain-Lain</t>
  </si>
  <si>
    <t>IV</t>
  </si>
  <si>
    <t>Sales Cost</t>
  </si>
  <si>
    <t>Sales Cost Bulk</t>
  </si>
  <si>
    <t>Sales Cost Retail</t>
  </si>
  <si>
    <t>kg/ton</t>
  </si>
  <si>
    <t>Selisih OIP Consume</t>
  </si>
  <si>
    <t>TOTAL MONTHLY
(Kg)</t>
  </si>
  <si>
    <t>PRODUCTION REPORT 2024</t>
  </si>
  <si>
    <t>MONTHLY REPORT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</si>
  <si>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</si>
  <si>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</si>
  <si>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</si>
  <si>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</si>
  <si>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</si>
  <si>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</si>
  <si>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</si>
  <si>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</si>
  <si>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</si>
  <si>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</si>
  <si>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</si>
  <si>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</si>
  <si>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</si>
  <si>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</si>
  <si>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</si>
  <si>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</si>
  <si>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</si>
  <si>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</si>
  <si>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</si>
  <si>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</si>
  <si>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</si>
  <si>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</si>
  <si>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</si>
  <si>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</si>
  <si>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</si>
  <si>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</si>
  <si>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</si>
  <si>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</si>
  <si>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</si>
  <si>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</si>
  <si>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</si>
  <si>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</si>
  <si>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</si>
  <si>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</si>
  <si>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</si>
  <si>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</si>
  <si>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</si>
  <si>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</si>
  <si>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</si>
  <si>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</si>
  <si>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</si>
  <si>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</si>
  <si>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</si>
  <si>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</si>
  <si>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</si>
  <si>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</si>
  <si>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</si>
  <si>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</si>
  <si>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</si>
  <si>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</si>
  <si>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</si>
  <si>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</si>
  <si>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</si>
  <si>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</si>
  <si>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</si>
  <si>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</si>
  <si>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01 Agustus 2024</t>
  </si>
  <si>
    <t>10 Agustus 2024</t>
  </si>
  <si>
    <t>11 Agustus 2024</t>
  </si>
  <si>
    <t>12 Agustus 2024</t>
  </si>
  <si>
    <t>13 Agustus 2024</t>
  </si>
  <si>
    <t>14 Agustus 2024</t>
  </si>
  <si>
    <t>15 Agustus 2024</t>
  </si>
  <si>
    <t>16 Agustus 2024</t>
  </si>
  <si>
    <t>17 Agustus 2024</t>
  </si>
  <si>
    <t>18 Agustus 2024</t>
  </si>
  <si>
    <t>19 Agustus 2024</t>
  </si>
  <si>
    <t>20 Agustus 2024</t>
  </si>
  <si>
    <t>21 Agustus 2024</t>
  </si>
  <si>
    <t>22 Agustus 2024</t>
  </si>
  <si>
    <t>23 Agustus 2024</t>
  </si>
  <si>
    <t>24 Agustus 2024</t>
  </si>
  <si>
    <t>25 Agustus 2024</t>
  </si>
  <si>
    <t>26 Agustus 2024</t>
  </si>
  <si>
    <t>27 Agustus 2024</t>
  </si>
  <si>
    <t>28 Agustus 2024</t>
  </si>
  <si>
    <t>29 Agustus 2024</t>
  </si>
  <si>
    <t>30 Agustus 2024</t>
  </si>
  <si>
    <t>31 Agustus 2024</t>
  </si>
  <si>
    <t>02 Agustus 2024</t>
  </si>
  <si>
    <t>03 Agustus 2024</t>
  </si>
  <si>
    <t>04 Agustus 2024</t>
  </si>
  <si>
    <t>05 Agustus 2024</t>
  </si>
  <si>
    <t>06 Agustus 2024</t>
  </si>
  <si>
    <t>07 Agustus 2024</t>
  </si>
  <si>
    <t>08 Agustus 2024</t>
  </si>
  <si>
    <t>09 Agustus 2024</t>
  </si>
  <si>
    <t>Total Proses RBDPO</t>
  </si>
  <si>
    <t>Total Filling Crystalizer ( Feed )</t>
  </si>
  <si>
    <t>Filling Langsung CR Fr Refinery</t>
  </si>
  <si>
    <t>Kg/Kg</t>
  </si>
  <si>
    <t>Kg/Mt</t>
  </si>
  <si>
    <t>m3/ Kg</t>
  </si>
  <si>
    <t>m3/ Mt</t>
  </si>
  <si>
    <t>PT. INDUSTRI NABATI LESTARI</t>
  </si>
  <si>
    <t>Nomor Dokumen</t>
  </si>
  <si>
    <t>Tanggal Berlaku</t>
  </si>
  <si>
    <t>PABRIK MINYAK GORENG</t>
  </si>
  <si>
    <t>INLHO/BOPP-PRD/F-021</t>
  </si>
  <si>
    <t>Kantor Pusat : Komp.KEK Sei Mangkei, Kav.2-3, Kec. Bosar Maligas,  Kab. Simalungun, Sumatera Utara, 21184</t>
  </si>
  <si>
    <t>Nomor Revisi</t>
  </si>
  <si>
    <t>Halaman</t>
  </si>
  <si>
    <t xml:space="preserve">  BERITA ACARA DEPARTEMEN REFINERY &amp; FRACTIONATION</t>
  </si>
  <si>
    <t xml:space="preserve">00 </t>
  </si>
  <si>
    <t>Hal : Stock Opname Oil In Plant ( Refinery &amp; Fractionation )</t>
  </si>
  <si>
    <t>Berikut kami lampirkan laporan Stok Opname Oil In Plant Per-tanggal 01 September  2024.</t>
  </si>
  <si>
    <t>1.    Refinery</t>
  </si>
  <si>
    <t>2. Fractination</t>
  </si>
  <si>
    <t>No.</t>
  </si>
  <si>
    <t>Tag.</t>
  </si>
  <si>
    <t>Volume (Ton)</t>
  </si>
  <si>
    <t>Quantity (Ton)</t>
  </si>
  <si>
    <t>By Lipico</t>
  </si>
  <si>
    <t>MX312</t>
  </si>
  <si>
    <t>CR 1201</t>
  </si>
  <si>
    <t>VE611</t>
  </si>
  <si>
    <t>CR 1202</t>
  </si>
  <si>
    <t>VE612</t>
  </si>
  <si>
    <t>CR 1203</t>
  </si>
  <si>
    <t>FL621</t>
  </si>
  <si>
    <t>CR 1204</t>
  </si>
  <si>
    <t>FL622</t>
  </si>
  <si>
    <t>CR 1205</t>
  </si>
  <si>
    <t>FL623</t>
  </si>
  <si>
    <t>CR 1206</t>
  </si>
  <si>
    <t>FL624</t>
  </si>
  <si>
    <t>CR 1207</t>
  </si>
  <si>
    <t>FL625</t>
  </si>
  <si>
    <t>CR 1208</t>
  </si>
  <si>
    <t>FL625A/B</t>
  </si>
  <si>
    <t>CR 1209</t>
  </si>
  <si>
    <t>FL626A/B</t>
  </si>
  <si>
    <t>CR 1210</t>
  </si>
  <si>
    <t>FL741A/B</t>
  </si>
  <si>
    <t>CR 1211</t>
  </si>
  <si>
    <t>VE661</t>
  </si>
  <si>
    <t>CR 1212</t>
  </si>
  <si>
    <t>TK641</t>
  </si>
  <si>
    <t>T-261</t>
  </si>
  <si>
    <t>VE701</t>
  </si>
  <si>
    <t>T-241</t>
  </si>
  <si>
    <t>HE721A</t>
  </si>
  <si>
    <t>T-221</t>
  </si>
  <si>
    <t>HE721B</t>
  </si>
  <si>
    <t>T-231 A</t>
  </si>
  <si>
    <t>HE722</t>
  </si>
  <si>
    <t>T-231 B</t>
  </si>
  <si>
    <t>PR731</t>
  </si>
  <si>
    <t>T-251 A</t>
  </si>
  <si>
    <t>DE732</t>
  </si>
  <si>
    <t>T-251 B</t>
  </si>
  <si>
    <t>VE 771</t>
  </si>
  <si>
    <t>VE751</t>
  </si>
  <si>
    <t xml:space="preserve">Dengan Rincian OIP Fract Sebagai berikut : </t>
  </si>
  <si>
    <t>VE753</t>
  </si>
  <si>
    <t xml:space="preserve">RBDPO : </t>
  </si>
  <si>
    <t xml:space="preserve">Mt </t>
  </si>
  <si>
    <t xml:space="preserve">RBDPS : </t>
  </si>
  <si>
    <t xml:space="preserve">Dengan Rincian OIP Refinery  Sebagai berikut : </t>
  </si>
  <si>
    <t xml:space="preserve">CPO     : </t>
  </si>
  <si>
    <t>Demikian saya sampaikan, Terimakasih.</t>
  </si>
  <si>
    <t>Dibuat Oleh :</t>
  </si>
  <si>
    <t>Diperiksa Oleh :</t>
  </si>
  <si>
    <t>Diketahui Oleh :</t>
  </si>
  <si>
    <t>Sudarianto</t>
  </si>
  <si>
    <t>Gunawan E. Putra</t>
  </si>
  <si>
    <t>SPV IBL</t>
  </si>
  <si>
    <t>Manager Produksi</t>
  </si>
  <si>
    <t>Head Controller and Tax</t>
  </si>
  <si>
    <t>Triana Bayu Pramoedito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</si>
</sst>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#,##0.000"/>
    <numFmt numFmtId="186" formatCode="0.000"/>
    <numFmt numFmtId="187" formatCode="#,##0.00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b/>
      <sz val="25"/>
      <color theme="1"/>
      <name val="Arial"/>
      <family val="2"/>
    </font>
    <font>
      <b/>
      <sz val="16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0070C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sz val="10"/>
      <color rgb="FFFF000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2"/>
      <color indexed="81"/>
      <name val="Tahoma"/>
      <family val="2"/>
    </font>
    <font>
      <sz val="10"/>
      <color rgb="FF000000"/>
      <name val="Times New Roman"/>
      <family val="1"/>
    </font>
    <font>
      <sz val="15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</fills>
  <borders count="109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/>
    <xf numFmtId="0" fontId="27" fillId="0" borderId="0"/>
    <xf numFmtId="9" fontId="1" fillId="0" borderId="0" applyFont="0" applyFill="0" applyBorder="0" applyAlignment="0" applyProtection="0"/>
    <xf numFmtId="0" fontId="1" fillId="0" borderId="0"/>
    <xf numFmtId="0" fontId="45" fillId="0" borderId="0"/>
  </cellStyleXfs>
  <cellXfs count="1169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7" xfId="0" applyFont="1" applyBorder="1"/>
    <xf numFmtId="0" fontId="3" fillId="0" borderId="9" xfId="0" quotePrefix="1" applyFont="1" applyBorder="1" applyAlignment="1">
      <alignment horizontal="center"/>
    </xf>
    <xf numFmtId="0" fontId="2" fillId="0" borderId="28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2" fillId="0" borderId="29" xfId="1" applyNumberFormat="1" applyFont="1" applyFill="1" applyBorder="1"/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8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32" xfId="0" applyFont="1" applyBorder="1"/>
    <xf numFmtId="0" fontId="3" fillId="0" borderId="4" xfId="0" applyFont="1" applyBorder="1"/>
    <xf numFmtId="166" fontId="2" fillId="0" borderId="0" xfId="1" applyNumberFormat="1" applyFont="1"/>
    <xf numFmtId="0" fontId="1" fillId="0" borderId="0" xfId="0" applyFont="1"/>
    <xf numFmtId="0" fontId="3" fillId="2" borderId="1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6" xfId="1" applyNumberFormat="1" applyFont="1" applyFill="1" applyBorder="1" applyAlignment="1">
      <alignment horizontal="right" vertical="center"/>
    </xf>
    <xf numFmtId="166" fontId="2" fillId="4" borderId="13" xfId="1" applyNumberFormat="1" applyFont="1" applyFill="1" applyBorder="1"/>
    <xf numFmtId="166" fontId="2" fillId="4" borderId="24" xfId="1" applyNumberFormat="1" applyFont="1" applyFill="1" applyBorder="1"/>
    <xf numFmtId="0" fontId="3" fillId="4" borderId="34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8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8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4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7" fontId="6" fillId="0" borderId="3" xfId="0" applyNumberFormat="1" applyFont="1" applyBorder="1"/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5" xfId="2" applyNumberFormat="1" applyFont="1" applyFill="1" applyBorder="1" applyAlignment="1">
      <alignment horizontal="center" vertical="center" wrapText="1"/>
    </xf>
    <xf numFmtId="165" fontId="15" fillId="6" borderId="35" xfId="2" applyNumberFormat="1" applyFont="1" applyFill="1" applyBorder="1" applyAlignment="1">
      <alignment horizontal="center" vertical="center" wrapText="1"/>
    </xf>
    <xf numFmtId="165" fontId="2" fillId="6" borderId="43" xfId="2" applyNumberFormat="1" applyFont="1" applyFill="1" applyBorder="1"/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4" xfId="5" applyNumberFormat="1" applyFont="1" applyBorder="1"/>
    <xf numFmtId="175" fontId="2" fillId="6" borderId="45" xfId="2" applyNumberFormat="1" applyFont="1" applyFill="1" applyBorder="1"/>
    <xf numFmtId="10" fontId="2" fillId="0" borderId="44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4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1" xfId="2" applyNumberFormat="1" applyFont="1" applyFill="1" applyBorder="1" applyAlignment="1"/>
    <xf numFmtId="165" fontId="3" fillId="6" borderId="53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5" xfId="6" applyFont="1" applyBorder="1" applyAlignment="1">
      <alignment horizontal="center" vertical="center" wrapText="1"/>
    </xf>
    <xf numFmtId="0" fontId="3" fillId="0" borderId="35" xfId="6" applyFont="1" applyBorder="1" applyAlignment="1">
      <alignment vertical="center" wrapText="1"/>
    </xf>
    <xf numFmtId="0" fontId="3" fillId="6" borderId="35" xfId="6" applyFont="1" applyFill="1" applyBorder="1" applyAlignment="1">
      <alignment vertical="center" wrapText="1"/>
    </xf>
    <xf numFmtId="0" fontId="2" fillId="0" borderId="0" xfId="6" applyFont="1"/>
    <xf numFmtId="0" fontId="3" fillId="6" borderId="35" xfId="6" applyFont="1" applyFill="1" applyBorder="1" applyAlignment="1">
      <alignment horizontal="center" vertical="center" wrapText="1"/>
    </xf>
    <xf numFmtId="0" fontId="15" fillId="0" borderId="35" xfId="6" applyFont="1" applyBorder="1" applyAlignment="1">
      <alignment horizontal="center" vertical="center" wrapText="1"/>
    </xf>
    <xf numFmtId="0" fontId="15" fillId="6" borderId="35" xfId="6" applyFont="1" applyFill="1" applyBorder="1" applyAlignment="1">
      <alignment horizontal="center" vertical="center" wrapText="1"/>
    </xf>
    <xf numFmtId="0" fontId="15" fillId="0" borderId="38" xfId="6" applyFont="1" applyBorder="1" applyAlignment="1">
      <alignment horizontal="center" vertical="center" wrapText="1"/>
    </xf>
    <xf numFmtId="0" fontId="16" fillId="0" borderId="0" xfId="6" applyFont="1"/>
    <xf numFmtId="0" fontId="2" fillId="0" borderId="42" xfId="6" applyFont="1" applyBorder="1" applyAlignment="1">
      <alignment horizontal="center"/>
    </xf>
    <xf numFmtId="168" fontId="2" fillId="6" borderId="43" xfId="5" applyNumberFormat="1" applyFont="1" applyFill="1" applyBorder="1"/>
    <xf numFmtId="169" fontId="2" fillId="0" borderId="39" xfId="6" applyNumberFormat="1" applyFont="1" applyBorder="1"/>
    <xf numFmtId="0" fontId="2" fillId="0" borderId="46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7" xfId="6" applyNumberFormat="1" applyFont="1" applyBorder="1"/>
    <xf numFmtId="0" fontId="3" fillId="0" borderId="48" xfId="6" applyFont="1" applyBorder="1"/>
    <xf numFmtId="0" fontId="3" fillId="0" borderId="19" xfId="6" applyFont="1" applyBorder="1"/>
    <xf numFmtId="168" fontId="3" fillId="0" borderId="43" xfId="6" applyNumberFormat="1" applyFont="1" applyBorder="1"/>
    <xf numFmtId="168" fontId="3" fillId="6" borderId="43" xfId="6" applyNumberFormat="1" applyFont="1" applyFill="1" applyBorder="1"/>
    <xf numFmtId="168" fontId="3" fillId="0" borderId="45" xfId="6" applyNumberFormat="1" applyFont="1" applyBorder="1"/>
    <xf numFmtId="168" fontId="3" fillId="0" borderId="19" xfId="6" applyNumberFormat="1" applyFont="1" applyBorder="1"/>
    <xf numFmtId="168" fontId="3" fillId="6" borderId="49" xfId="6" applyNumberFormat="1" applyFont="1" applyFill="1" applyBorder="1"/>
    <xf numFmtId="168" fontId="3" fillId="0" borderId="49" xfId="6" applyNumberFormat="1" applyFont="1" applyBorder="1"/>
    <xf numFmtId="0" fontId="3" fillId="0" borderId="46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7" xfId="6" applyFont="1" applyBorder="1"/>
    <xf numFmtId="0" fontId="2" fillId="6" borderId="25" xfId="6" applyFont="1" applyFill="1" applyBorder="1"/>
    <xf numFmtId="0" fontId="2" fillId="0" borderId="22" xfId="6" applyFont="1" applyBorder="1"/>
    <xf numFmtId="0" fontId="3" fillId="0" borderId="50" xfId="6" applyFont="1" applyBorder="1"/>
    <xf numFmtId="0" fontId="3" fillId="0" borderId="51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2" xfId="6" applyFont="1" applyBorder="1" applyAlignment="1">
      <alignment vertical="center"/>
    </xf>
    <xf numFmtId="0" fontId="3" fillId="0" borderId="53" xfId="6" applyFont="1" applyBorder="1" applyAlignment="1">
      <alignment vertical="center"/>
    </xf>
    <xf numFmtId="0" fontId="2" fillId="0" borderId="54" xfId="6" applyFont="1" applyBorder="1"/>
    <xf numFmtId="168" fontId="3" fillId="0" borderId="54" xfId="6" applyNumberFormat="1" applyFont="1" applyBorder="1" applyAlignment="1">
      <alignment vertical="center"/>
    </xf>
    <xf numFmtId="0" fontId="2" fillId="6" borderId="54" xfId="6" applyFont="1" applyFill="1" applyBorder="1"/>
    <xf numFmtId="168" fontId="3" fillId="0" borderId="55" xfId="6" applyNumberFormat="1" applyFont="1" applyBorder="1" applyAlignment="1">
      <alignment vertical="center"/>
    </xf>
    <xf numFmtId="0" fontId="2" fillId="0" borderId="56" xfId="6" applyFont="1" applyBorder="1"/>
    <xf numFmtId="0" fontId="2" fillId="6" borderId="55" xfId="6" applyFont="1" applyFill="1" applyBorder="1"/>
    <xf numFmtId="0" fontId="2" fillId="0" borderId="55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6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2" xfId="0" applyFont="1" applyFill="1" applyBorder="1"/>
    <xf numFmtId="0" fontId="2" fillId="7" borderId="33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 applyAlignment="1">
      <alignment horizontal="right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4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73" fontId="2" fillId="4" borderId="6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5" fontId="2" fillId="0" borderId="4" xfId="2" applyNumberFormat="1" applyFont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6" fontId="2" fillId="0" borderId="8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7" xfId="1" applyFont="1" applyFill="1" applyBorder="1"/>
    <xf numFmtId="172" fontId="2" fillId="0" borderId="3" xfId="1" applyNumberFormat="1" applyFont="1" applyBorder="1"/>
    <xf numFmtId="43" fontId="18" fillId="0" borderId="5" xfId="1" applyFont="1" applyFill="1" applyBorder="1"/>
    <xf numFmtId="41" fontId="2" fillId="4" borderId="6" xfId="2" applyFont="1" applyFill="1" applyBorder="1" applyAlignment="1">
      <alignment horizontal="center"/>
    </xf>
    <xf numFmtId="174" fontId="2" fillId="0" borderId="0" xfId="0" applyNumberFormat="1" applyFont="1"/>
    <xf numFmtId="164" fontId="2" fillId="0" borderId="0" xfId="0" applyNumberFormat="1" applyFont="1"/>
    <xf numFmtId="164" fontId="2" fillId="0" borderId="57" xfId="1" applyNumberFormat="1" applyFont="1" applyFill="1" applyBorder="1"/>
    <xf numFmtId="0" fontId="0" fillId="0" borderId="11" xfId="0" applyBorder="1" applyAlignment="1">
      <alignment horizontal="center" vertical="center"/>
    </xf>
    <xf numFmtId="41" fontId="0" fillId="0" borderId="11" xfId="2" applyFont="1" applyBorder="1" applyAlignment="1">
      <alignment horizontal="center" vertical="center"/>
    </xf>
    <xf numFmtId="43" fontId="10" fillId="4" borderId="4" xfId="1" applyFont="1" applyFill="1" applyBorder="1" applyAlignment="1">
      <alignment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8" fillId="0" borderId="3" xfId="1" applyNumberFormat="1" applyFont="1" applyFill="1" applyBorder="1"/>
    <xf numFmtId="0" fontId="2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21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166" fontId="2" fillId="6" borderId="4" xfId="1" quotePrefix="1" applyNumberFormat="1" applyFont="1" applyFill="1" applyBorder="1" applyAlignment="1">
      <alignment vertic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177" fontId="0" fillId="0" borderId="59" xfId="1" applyNumberFormat="1" applyFont="1" applyBorder="1" applyAlignment="1">
      <alignment horizontal="left" vertical="center"/>
    </xf>
    <xf numFmtId="177" fontId="0" fillId="0" borderId="59" xfId="1" applyNumberFormat="1" applyFont="1" applyBorder="1"/>
    <xf numFmtId="177" fontId="0" fillId="0" borderId="59" xfId="0" applyNumberFormat="1" applyBorder="1"/>
    <xf numFmtId="177" fontId="0" fillId="4" borderId="59" xfId="1" applyNumberFormat="1" applyFont="1" applyFill="1" applyBorder="1"/>
    <xf numFmtId="10" fontId="0" fillId="0" borderId="59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65" fontId="2" fillId="0" borderId="4" xfId="2" applyNumberFormat="1" applyFont="1" applyFill="1" applyBorder="1" applyAlignment="1">
      <alignment horizontal="center" vertical="center"/>
    </xf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41" fontId="0" fillId="0" borderId="0" xfId="0" applyNumberFormat="1"/>
    <xf numFmtId="166" fontId="2" fillId="5" borderId="0" xfId="0" applyNumberFormat="1" applyFont="1" applyFill="1"/>
    <xf numFmtId="43" fontId="2" fillId="6" borderId="4" xfId="1" applyFont="1" applyFill="1" applyBorder="1" applyAlignment="1">
      <alignment vertical="center"/>
    </xf>
    <xf numFmtId="41" fontId="0" fillId="0" borderId="11" xfId="0" applyNumberFormat="1" applyBorder="1"/>
    <xf numFmtId="0" fontId="26" fillId="0" borderId="0" xfId="0" applyFont="1"/>
    <xf numFmtId="0" fontId="28" fillId="0" borderId="59" xfId="6" applyFont="1" applyBorder="1" applyAlignment="1">
      <alignment vertical="center"/>
    </xf>
    <xf numFmtId="0" fontId="29" fillId="0" borderId="0" xfId="6" applyFont="1" applyAlignment="1">
      <alignment vertical="center"/>
    </xf>
    <xf numFmtId="0" fontId="29" fillId="0" borderId="0" xfId="6" applyFont="1" applyAlignment="1">
      <alignment horizontal="center" vertical="center"/>
    </xf>
    <xf numFmtId="3" fontId="29" fillId="0" borderId="0" xfId="6" applyNumberFormat="1" applyFont="1" applyAlignment="1">
      <alignment horizontal="center" vertical="center"/>
    </xf>
    <xf numFmtId="0" fontId="30" fillId="9" borderId="11" xfId="6" applyFont="1" applyFill="1" applyBorder="1" applyAlignment="1">
      <alignment horizontal="center" vertical="center"/>
    </xf>
    <xf numFmtId="0" fontId="30" fillId="9" borderId="11" xfId="6" applyFont="1" applyFill="1" applyBorder="1" applyAlignment="1">
      <alignment vertical="center"/>
    </xf>
    <xf numFmtId="3" fontId="30" fillId="9" borderId="11" xfId="6" applyNumberFormat="1" applyFont="1" applyFill="1" applyBorder="1" applyAlignment="1">
      <alignment horizontal="center" vertical="center"/>
    </xf>
    <xf numFmtId="0" fontId="30" fillId="0" borderId="0" xfId="0" applyFont="1"/>
    <xf numFmtId="0" fontId="31" fillId="0" borderId="61" xfId="6" applyFont="1" applyBorder="1" applyAlignment="1">
      <alignment horizontal="left" vertical="center"/>
    </xf>
    <xf numFmtId="0" fontId="31" fillId="0" borderId="62" xfId="6" applyFont="1" applyBorder="1" applyAlignment="1">
      <alignment horizontal="left" vertical="center"/>
    </xf>
    <xf numFmtId="0" fontId="31" fillId="0" borderId="63" xfId="6" applyFont="1" applyBorder="1" applyAlignment="1">
      <alignment horizontal="left" vertical="center"/>
    </xf>
    <xf numFmtId="3" fontId="31" fillId="0" borderId="64" xfId="6" applyNumberFormat="1" applyFont="1" applyBorder="1" applyAlignment="1">
      <alignment horizontal="center" vertical="center"/>
    </xf>
    <xf numFmtId="0" fontId="31" fillId="0" borderId="64" xfId="6" applyFont="1" applyBorder="1" applyAlignment="1">
      <alignment horizontal="center" vertical="center"/>
    </xf>
    <xf numFmtId="3" fontId="26" fillId="0" borderId="0" xfId="0" applyNumberFormat="1" applyFont="1"/>
    <xf numFmtId="0" fontId="31" fillId="0" borderId="65" xfId="6" applyFont="1" applyBorder="1" applyAlignment="1">
      <alignment horizontal="left" vertical="center"/>
    </xf>
    <xf numFmtId="0" fontId="31" fillId="0" borderId="66" xfId="6" applyFont="1" applyBorder="1" applyAlignment="1">
      <alignment horizontal="left" vertical="center"/>
    </xf>
    <xf numFmtId="0" fontId="31" fillId="0" borderId="67" xfId="6" applyFont="1" applyBorder="1" applyAlignment="1">
      <alignment horizontal="left" vertical="center"/>
    </xf>
    <xf numFmtId="3" fontId="31" fillId="0" borderId="68" xfId="6" applyNumberFormat="1" applyFont="1" applyBorder="1" applyAlignment="1">
      <alignment horizontal="center" vertical="center"/>
    </xf>
    <xf numFmtId="0" fontId="32" fillId="0" borderId="68" xfId="6" applyFont="1" applyBorder="1" applyAlignment="1">
      <alignment horizontal="center" vertical="center"/>
    </xf>
    <xf numFmtId="0" fontId="31" fillId="0" borderId="69" xfId="6" applyFont="1" applyBorder="1" applyAlignment="1">
      <alignment horizontal="left" vertical="center"/>
    </xf>
    <xf numFmtId="0" fontId="31" fillId="0" borderId="70" xfId="6" applyFont="1" applyBorder="1" applyAlignment="1">
      <alignment horizontal="left" vertical="center"/>
    </xf>
    <xf numFmtId="0" fontId="31" fillId="0" borderId="71" xfId="6" applyFont="1" applyBorder="1" applyAlignment="1">
      <alignment horizontal="left" vertical="center"/>
    </xf>
    <xf numFmtId="3" fontId="31" fillId="0" borderId="72" xfId="6" applyNumberFormat="1" applyFont="1" applyBorder="1" applyAlignment="1">
      <alignment horizontal="center" vertical="center"/>
    </xf>
    <xf numFmtId="0" fontId="31" fillId="0" borderId="72" xfId="6" applyFont="1" applyBorder="1" applyAlignment="1">
      <alignment horizontal="center" vertical="center"/>
    </xf>
    <xf numFmtId="0" fontId="29" fillId="0" borderId="64" xfId="6" applyFont="1" applyBorder="1" applyAlignment="1">
      <alignment horizontal="center" vertical="center"/>
    </xf>
    <xf numFmtId="0" fontId="29" fillId="0" borderId="73" xfId="7" applyFont="1" applyBorder="1" applyAlignment="1">
      <alignment vertical="center"/>
    </xf>
    <xf numFmtId="0" fontId="29" fillId="0" borderId="74" xfId="6" applyFont="1" applyBorder="1" applyAlignment="1">
      <alignment horizontal="center" vertical="center"/>
    </xf>
    <xf numFmtId="3" fontId="29" fillId="0" borderId="64" xfId="6" applyNumberFormat="1" applyFont="1" applyBorder="1" applyAlignment="1">
      <alignment horizontal="center" vertical="center"/>
    </xf>
    <xf numFmtId="3" fontId="29" fillId="0" borderId="64" xfId="0" applyNumberFormat="1" applyFont="1" applyBorder="1" applyAlignment="1">
      <alignment horizontal="center" vertical="center"/>
    </xf>
    <xf numFmtId="4" fontId="29" fillId="0" borderId="64" xfId="6" applyNumberFormat="1" applyFont="1" applyBorder="1" applyAlignment="1">
      <alignment horizontal="center" vertical="center"/>
    </xf>
    <xf numFmtId="4" fontId="26" fillId="0" borderId="0" xfId="0" applyNumberFormat="1" applyFont="1"/>
    <xf numFmtId="0" fontId="29" fillId="0" borderId="68" xfId="6" applyFont="1" applyBorder="1" applyAlignment="1">
      <alignment horizontal="center" vertical="center"/>
    </xf>
    <xf numFmtId="0" fontId="29" fillId="0" borderId="69" xfId="7" applyFont="1" applyBorder="1" applyAlignment="1">
      <alignment vertical="center"/>
    </xf>
    <xf numFmtId="0" fontId="29" fillId="0" borderId="75" xfId="6" applyFont="1" applyBorder="1" applyAlignment="1">
      <alignment horizontal="center" vertical="center"/>
    </xf>
    <xf numFmtId="3" fontId="29" fillId="0" borderId="68" xfId="6" applyNumberFormat="1" applyFont="1" applyBorder="1" applyAlignment="1">
      <alignment horizontal="center" vertical="center"/>
    </xf>
    <xf numFmtId="3" fontId="29" fillId="0" borderId="68" xfId="0" applyNumberFormat="1" applyFont="1" applyBorder="1" applyAlignment="1">
      <alignment horizontal="center" vertical="center"/>
    </xf>
    <xf numFmtId="4" fontId="29" fillId="0" borderId="68" xfId="6" applyNumberFormat="1" applyFont="1" applyBorder="1" applyAlignment="1">
      <alignment horizontal="center" vertical="center"/>
    </xf>
    <xf numFmtId="41" fontId="26" fillId="0" borderId="0" xfId="2" applyFont="1"/>
    <xf numFmtId="9" fontId="26" fillId="0" borderId="0" xfId="8" applyFont="1"/>
    <xf numFmtId="2" fontId="29" fillId="0" borderId="68" xfId="6" applyNumberFormat="1" applyFont="1" applyBorder="1" applyAlignment="1">
      <alignment horizontal="center" vertical="center"/>
    </xf>
    <xf numFmtId="0" fontId="29" fillId="0" borderId="76" xfId="6" applyFont="1" applyBorder="1" applyAlignment="1">
      <alignment horizontal="center" vertical="center"/>
    </xf>
    <xf numFmtId="0" fontId="29" fillId="0" borderId="4" xfId="6" applyFont="1" applyBorder="1" applyAlignment="1">
      <alignment horizontal="center" vertical="center"/>
    </xf>
    <xf numFmtId="0" fontId="29" fillId="0" borderId="69" xfId="7" applyFont="1" applyBorder="1" applyAlignment="1">
      <alignment horizontal="left" vertical="center" indent="2"/>
    </xf>
    <xf numFmtId="179" fontId="29" fillId="0" borderId="68" xfId="0" applyNumberFormat="1" applyFont="1" applyBorder="1" applyAlignment="1">
      <alignment horizontal="center" vertical="center"/>
    </xf>
    <xf numFmtId="0" fontId="29" fillId="0" borderId="77" xfId="6" applyFont="1" applyBorder="1" applyAlignment="1">
      <alignment horizontal="center" vertical="center"/>
    </xf>
    <xf numFmtId="1" fontId="29" fillId="0" borderId="68" xfId="7" applyNumberFormat="1" applyFont="1" applyBorder="1" applyAlignment="1">
      <alignment horizontal="center" vertical="center"/>
    </xf>
    <xf numFmtId="0" fontId="29" fillId="0" borderId="75" xfId="7" applyFont="1" applyBorder="1" applyAlignment="1">
      <alignment horizontal="center" vertical="center"/>
    </xf>
    <xf numFmtId="179" fontId="29" fillId="0" borderId="68" xfId="6" applyNumberFormat="1" applyFont="1" applyBorder="1" applyAlignment="1">
      <alignment horizontal="center" vertical="center"/>
    </xf>
    <xf numFmtId="0" fontId="29" fillId="0" borderId="68" xfId="7" applyFont="1" applyBorder="1" applyAlignment="1">
      <alignment horizontal="center" vertical="center"/>
    </xf>
    <xf numFmtId="3" fontId="26" fillId="0" borderId="0" xfId="2" applyNumberFormat="1" applyFont="1"/>
    <xf numFmtId="0" fontId="1" fillId="0" borderId="0" xfId="9"/>
    <xf numFmtId="2" fontId="29" fillId="0" borderId="68" xfId="7" applyNumberFormat="1" applyFont="1" applyBorder="1" applyAlignment="1">
      <alignment horizontal="center" vertical="center"/>
    </xf>
    <xf numFmtId="180" fontId="29" fillId="0" borderId="68" xfId="7" applyNumberFormat="1" applyFont="1" applyBorder="1" applyAlignment="1">
      <alignment horizontal="center" vertical="center"/>
    </xf>
    <xf numFmtId="3" fontId="29" fillId="10" borderId="68" xfId="6" applyNumberFormat="1" applyFont="1" applyFill="1" applyBorder="1" applyAlignment="1">
      <alignment horizontal="center" vertical="center"/>
    </xf>
    <xf numFmtId="43" fontId="26" fillId="0" borderId="0" xfId="0" applyNumberFormat="1" applyFont="1"/>
    <xf numFmtId="179" fontId="29" fillId="0" borderId="68" xfId="7" applyNumberFormat="1" applyFont="1" applyBorder="1" applyAlignment="1">
      <alignment horizontal="center" vertical="center"/>
    </xf>
    <xf numFmtId="0" fontId="29" fillId="0" borderId="78" xfId="7" applyFont="1" applyBorder="1" applyAlignment="1">
      <alignment horizontal="left" vertical="center" indent="2"/>
    </xf>
    <xf numFmtId="179" fontId="29" fillId="0" borderId="76" xfId="7" applyNumberFormat="1" applyFont="1" applyBorder="1" applyAlignment="1">
      <alignment horizontal="center" vertical="center"/>
    </xf>
    <xf numFmtId="0" fontId="29" fillId="0" borderId="79" xfId="7" applyFont="1" applyBorder="1" applyAlignment="1">
      <alignment horizontal="center" vertical="center"/>
    </xf>
    <xf numFmtId="179" fontId="29" fillId="0" borderId="76" xfId="6" applyNumberFormat="1" applyFont="1" applyBorder="1" applyAlignment="1">
      <alignment horizontal="center" vertical="center"/>
    </xf>
    <xf numFmtId="3" fontId="29" fillId="0" borderId="76" xfId="6" applyNumberFormat="1" applyFont="1" applyBorder="1" applyAlignment="1">
      <alignment horizontal="center" vertical="center"/>
    </xf>
    <xf numFmtId="3" fontId="29" fillId="0" borderId="77" xfId="6" applyNumberFormat="1" applyFont="1" applyBorder="1" applyAlignment="1">
      <alignment horizontal="center" vertical="center"/>
    </xf>
    <xf numFmtId="4" fontId="29" fillId="0" borderId="4" xfId="6" applyNumberFormat="1" applyFont="1" applyBorder="1" applyAlignment="1">
      <alignment horizontal="center" vertical="center"/>
    </xf>
    <xf numFmtId="4" fontId="29" fillId="0" borderId="76" xfId="6" applyNumberFormat="1" applyFont="1" applyBorder="1" applyAlignment="1">
      <alignment horizontal="center" vertical="center"/>
    </xf>
    <xf numFmtId="4" fontId="29" fillId="0" borderId="76" xfId="7" applyNumberFormat="1" applyFont="1" applyBorder="1" applyAlignment="1">
      <alignment horizontal="center" vertical="center"/>
    </xf>
    <xf numFmtId="0" fontId="29" fillId="0" borderId="69" xfId="7" applyFont="1" applyBorder="1" applyAlignment="1">
      <alignment horizontal="left" vertical="center"/>
    </xf>
    <xf numFmtId="3" fontId="29" fillId="0" borderId="68" xfId="7" applyNumberFormat="1" applyFont="1" applyBorder="1" applyAlignment="1">
      <alignment horizontal="center" vertical="center"/>
    </xf>
    <xf numFmtId="3" fontId="29" fillId="10" borderId="72" xfId="6" applyNumberFormat="1" applyFont="1" applyFill="1" applyBorder="1" applyAlignment="1">
      <alignment horizontal="center" vertical="center"/>
    </xf>
    <xf numFmtId="3" fontId="29" fillId="0" borderId="72" xfId="6" applyNumberFormat="1" applyFont="1" applyBorder="1" applyAlignment="1">
      <alignment horizontal="center" vertical="center"/>
    </xf>
    <xf numFmtId="0" fontId="29" fillId="0" borderId="78" xfId="7" applyFont="1" applyBorder="1" applyAlignment="1">
      <alignment horizontal="left" vertical="center"/>
    </xf>
    <xf numFmtId="3" fontId="29" fillId="0" borderId="76" xfId="0" applyNumberFormat="1" applyFont="1" applyBorder="1" applyAlignment="1">
      <alignment horizontal="center" vertical="center"/>
    </xf>
    <xf numFmtId="3" fontId="29" fillId="0" borderId="76" xfId="7" applyNumberFormat="1" applyFont="1" applyBorder="1" applyAlignment="1">
      <alignment horizontal="center" vertical="center"/>
    </xf>
    <xf numFmtId="0" fontId="29" fillId="5" borderId="76" xfId="6" applyFont="1" applyFill="1" applyBorder="1" applyAlignment="1">
      <alignment horizontal="center" vertical="center"/>
    </xf>
    <xf numFmtId="0" fontId="29" fillId="5" borderId="78" xfId="7" applyFont="1" applyFill="1" applyBorder="1" applyAlignment="1">
      <alignment horizontal="left" vertical="center"/>
    </xf>
    <xf numFmtId="3" fontId="29" fillId="5" borderId="76" xfId="7" applyNumberFormat="1" applyFont="1" applyFill="1" applyBorder="1" applyAlignment="1">
      <alignment horizontal="center" vertical="center"/>
    </xf>
    <xf numFmtId="0" fontId="29" fillId="5" borderId="79" xfId="7" applyFont="1" applyFill="1" applyBorder="1" applyAlignment="1">
      <alignment horizontal="center" vertical="center"/>
    </xf>
    <xf numFmtId="3" fontId="29" fillId="5" borderId="76" xfId="6" applyNumberFormat="1" applyFont="1" applyFill="1" applyBorder="1" applyAlignment="1">
      <alignment horizontal="center" vertical="center"/>
    </xf>
    <xf numFmtId="3" fontId="29" fillId="5" borderId="68" xfId="6" applyNumberFormat="1" applyFont="1" applyFill="1" applyBorder="1" applyAlignment="1">
      <alignment horizontal="center" vertical="center"/>
    </xf>
    <xf numFmtId="3" fontId="29" fillId="5" borderId="76" xfId="0" applyNumberFormat="1" applyFont="1" applyFill="1" applyBorder="1" applyAlignment="1">
      <alignment horizontal="center" vertical="center"/>
    </xf>
    <xf numFmtId="4" fontId="29" fillId="5" borderId="68" xfId="6" applyNumberFormat="1" applyFont="1" applyFill="1" applyBorder="1" applyAlignment="1">
      <alignment horizontal="center" vertical="center"/>
    </xf>
    <xf numFmtId="4" fontId="26" fillId="5" borderId="0" xfId="0" applyNumberFormat="1" applyFont="1" applyFill="1"/>
    <xf numFmtId="0" fontId="26" fillId="5" borderId="0" xfId="0" applyFont="1" applyFill="1"/>
    <xf numFmtId="3" fontId="29" fillId="5" borderId="72" xfId="6" applyNumberFormat="1" applyFont="1" applyFill="1" applyBorder="1" applyAlignment="1">
      <alignment horizontal="center" vertical="center"/>
    </xf>
    <xf numFmtId="4" fontId="29" fillId="5" borderId="4" xfId="6" applyNumberFormat="1" applyFont="1" applyFill="1" applyBorder="1" applyAlignment="1">
      <alignment horizontal="center" vertical="center"/>
    </xf>
    <xf numFmtId="0" fontId="29" fillId="5" borderId="4" xfId="6" applyFont="1" applyFill="1" applyBorder="1" applyAlignment="1">
      <alignment horizontal="center" vertical="center"/>
    </xf>
    <xf numFmtId="0" fontId="29" fillId="5" borderId="78" xfId="7" applyFont="1" applyFill="1" applyBorder="1" applyAlignment="1">
      <alignment horizontal="left" vertical="center" indent="2"/>
    </xf>
    <xf numFmtId="3" fontId="33" fillId="5" borderId="76" xfId="7" applyNumberFormat="1" applyFont="1" applyFill="1" applyBorder="1" applyAlignment="1">
      <alignment horizontal="center" vertical="center"/>
    </xf>
    <xf numFmtId="179" fontId="29" fillId="5" borderId="76" xfId="6" applyNumberFormat="1" applyFont="1" applyFill="1" applyBorder="1" applyAlignment="1">
      <alignment horizontal="center" vertical="center"/>
    </xf>
    <xf numFmtId="0" fontId="29" fillId="5" borderId="77" xfId="6" applyFont="1" applyFill="1" applyBorder="1" applyAlignment="1">
      <alignment horizontal="center" vertical="center"/>
    </xf>
    <xf numFmtId="0" fontId="29" fillId="0" borderId="2" xfId="6" applyFont="1" applyBorder="1" applyAlignment="1">
      <alignment horizontal="center" vertical="center"/>
    </xf>
    <xf numFmtId="0" fontId="29" fillId="0" borderId="70" xfId="7" applyFont="1" applyBorder="1" applyAlignment="1">
      <alignment horizontal="left" vertical="center" indent="2"/>
    </xf>
    <xf numFmtId="179" fontId="29" fillId="0" borderId="72" xfId="7" applyNumberFormat="1" applyFont="1" applyBorder="1" applyAlignment="1">
      <alignment horizontal="center" vertical="center"/>
    </xf>
    <xf numFmtId="3" fontId="29" fillId="0" borderId="72" xfId="0" applyNumberFormat="1" applyFont="1" applyBorder="1" applyAlignment="1">
      <alignment horizontal="center" vertical="center"/>
    </xf>
    <xf numFmtId="4" fontId="29" fillId="0" borderId="72" xfId="6" applyNumberFormat="1" applyFont="1" applyBorder="1" applyAlignment="1">
      <alignment horizontal="center" vertical="center"/>
    </xf>
    <xf numFmtId="0" fontId="29" fillId="0" borderId="0" xfId="6" applyFont="1" applyAlignment="1">
      <alignment horizontal="left" vertical="center"/>
    </xf>
    <xf numFmtId="3" fontId="31" fillId="4" borderId="2" xfId="6" applyNumberFormat="1" applyFont="1" applyFill="1" applyBorder="1" applyAlignment="1">
      <alignment horizontal="center" vertical="center"/>
    </xf>
    <xf numFmtId="4" fontId="31" fillId="4" borderId="2" xfId="6" applyNumberFormat="1" applyFont="1" applyFill="1" applyBorder="1" applyAlignment="1">
      <alignment horizontal="center" vertical="center"/>
    </xf>
    <xf numFmtId="0" fontId="31" fillId="0" borderId="0" xfId="6" applyFont="1" applyAlignment="1">
      <alignment horizontal="center" vertical="center"/>
    </xf>
    <xf numFmtId="3" fontId="30" fillId="0" borderId="0" xfId="0" applyNumberFormat="1" applyFont="1"/>
    <xf numFmtId="4" fontId="34" fillId="0" borderId="72" xfId="6" applyNumberFormat="1" applyFont="1" applyBorder="1" applyAlignment="1">
      <alignment horizontal="center" vertical="center"/>
    </xf>
    <xf numFmtId="41" fontId="26" fillId="0" borderId="0" xfId="0" applyNumberFormat="1" applyFont="1"/>
    <xf numFmtId="0" fontId="28" fillId="0" borderId="0" xfId="7" applyFont="1" applyAlignment="1">
      <alignment vertical="center"/>
    </xf>
    <xf numFmtId="0" fontId="29" fillId="0" borderId="0" xfId="7" applyFont="1" applyAlignment="1">
      <alignment vertical="center"/>
    </xf>
    <xf numFmtId="0" fontId="29" fillId="0" borderId="0" xfId="7" applyFont="1" applyAlignment="1">
      <alignment horizontal="center" vertical="center"/>
    </xf>
    <xf numFmtId="3" fontId="29" fillId="0" borderId="0" xfId="7" applyNumberFormat="1" applyFont="1" applyAlignment="1">
      <alignment horizontal="center" vertical="center"/>
    </xf>
    <xf numFmtId="0" fontId="30" fillId="9" borderId="11" xfId="7" applyFont="1" applyFill="1" applyBorder="1" applyAlignment="1">
      <alignment horizontal="center" vertical="center"/>
    </xf>
    <xf numFmtId="0" fontId="30" fillId="9" borderId="11" xfId="7" applyFont="1" applyFill="1" applyBorder="1" applyAlignment="1">
      <alignment vertical="center"/>
    </xf>
    <xf numFmtId="3" fontId="30" fillId="9" borderId="11" xfId="7" applyNumberFormat="1" applyFont="1" applyFill="1" applyBorder="1" applyAlignment="1">
      <alignment horizontal="center" vertical="center"/>
    </xf>
    <xf numFmtId="0" fontId="31" fillId="0" borderId="61" xfId="7" applyFont="1" applyBorder="1" applyAlignment="1">
      <alignment horizontal="left" vertical="center"/>
    </xf>
    <xf numFmtId="0" fontId="31" fillId="0" borderId="62" xfId="7" applyFont="1" applyBorder="1" applyAlignment="1">
      <alignment horizontal="left" vertical="center"/>
    </xf>
    <xf numFmtId="0" fontId="31" fillId="0" borderId="63" xfId="7" applyFont="1" applyBorder="1" applyAlignment="1">
      <alignment horizontal="left" vertical="center"/>
    </xf>
    <xf numFmtId="3" fontId="31" fillId="0" borderId="64" xfId="7" applyNumberFormat="1" applyFont="1" applyBorder="1" applyAlignment="1">
      <alignment horizontal="center" vertical="center"/>
    </xf>
    <xf numFmtId="0" fontId="31" fillId="0" borderId="64" xfId="7" applyFont="1" applyBorder="1" applyAlignment="1">
      <alignment horizontal="center" vertical="center"/>
    </xf>
    <xf numFmtId="0" fontId="31" fillId="0" borderId="65" xfId="7" applyFont="1" applyBorder="1" applyAlignment="1">
      <alignment horizontal="left" vertical="center"/>
    </xf>
    <xf numFmtId="0" fontId="31" fillId="0" borderId="66" xfId="7" applyFont="1" applyBorder="1" applyAlignment="1">
      <alignment horizontal="left" vertical="center"/>
    </xf>
    <xf numFmtId="0" fontId="31" fillId="0" borderId="67" xfId="7" applyFont="1" applyBorder="1" applyAlignment="1">
      <alignment horizontal="left" vertical="center"/>
    </xf>
    <xf numFmtId="3" fontId="31" fillId="0" borderId="68" xfId="7" applyNumberFormat="1" applyFont="1" applyBorder="1" applyAlignment="1">
      <alignment horizontal="center" vertical="center"/>
    </xf>
    <xf numFmtId="0" fontId="32" fillId="0" borderId="68" xfId="7" applyFont="1" applyBorder="1" applyAlignment="1">
      <alignment horizontal="center" vertical="center"/>
    </xf>
    <xf numFmtId="0" fontId="31" fillId="0" borderId="69" xfId="7" applyFont="1" applyBorder="1" applyAlignment="1">
      <alignment horizontal="left" vertical="center"/>
    </xf>
    <xf numFmtId="0" fontId="31" fillId="0" borderId="78" xfId="7" applyFont="1" applyBorder="1" applyAlignment="1">
      <alignment horizontal="left" vertical="center"/>
    </xf>
    <xf numFmtId="0" fontId="31" fillId="0" borderId="80" xfId="7" applyFont="1" applyBorder="1" applyAlignment="1">
      <alignment horizontal="left" vertical="center"/>
    </xf>
    <xf numFmtId="0" fontId="31" fillId="0" borderId="70" xfId="7" applyFont="1" applyBorder="1" applyAlignment="1">
      <alignment horizontal="left" vertical="center"/>
    </xf>
    <xf numFmtId="0" fontId="31" fillId="0" borderId="71" xfId="7" applyFont="1" applyBorder="1" applyAlignment="1">
      <alignment horizontal="left" vertical="center"/>
    </xf>
    <xf numFmtId="3" fontId="31" fillId="0" borderId="72" xfId="7" applyNumberFormat="1" applyFont="1" applyBorder="1" applyAlignment="1">
      <alignment horizontal="center" vertical="center"/>
    </xf>
    <xf numFmtId="0" fontId="31" fillId="0" borderId="72" xfId="7" applyFont="1" applyBorder="1" applyAlignment="1">
      <alignment horizontal="center" vertical="center"/>
    </xf>
    <xf numFmtId="0" fontId="29" fillId="0" borderId="77" xfId="7" applyFont="1" applyBorder="1" applyAlignment="1">
      <alignment horizontal="center" vertical="center"/>
    </xf>
    <xf numFmtId="0" fontId="29" fillId="0" borderId="81" xfId="7" applyFont="1" applyBorder="1" applyAlignment="1">
      <alignment horizontal="left" vertical="center"/>
    </xf>
    <xf numFmtId="1" fontId="29" fillId="0" borderId="77" xfId="7" applyNumberFormat="1" applyFont="1" applyBorder="1" applyAlignment="1">
      <alignment horizontal="center" vertical="center"/>
    </xf>
    <xf numFmtId="0" fontId="29" fillId="0" borderId="82" xfId="7" applyFont="1" applyBorder="1" applyAlignment="1">
      <alignment horizontal="center" vertical="center"/>
    </xf>
    <xf numFmtId="3" fontId="29" fillId="0" borderId="77" xfId="7" applyNumberFormat="1" applyFont="1" applyBorder="1" applyAlignment="1">
      <alignment horizontal="center" vertical="center"/>
    </xf>
    <xf numFmtId="3" fontId="29" fillId="0" borderId="77" xfId="0" applyNumberFormat="1" applyFont="1" applyBorder="1" applyAlignment="1">
      <alignment horizontal="center" vertical="center"/>
    </xf>
    <xf numFmtId="4" fontId="29" fillId="0" borderId="77" xfId="7" applyNumberFormat="1" applyFont="1" applyBorder="1" applyAlignment="1">
      <alignment horizontal="center" vertical="center"/>
    </xf>
    <xf numFmtId="1" fontId="26" fillId="0" borderId="0" xfId="0" applyNumberFormat="1" applyFont="1"/>
    <xf numFmtId="0" fontId="29" fillId="0" borderId="76" xfId="7" applyFont="1" applyBorder="1" applyAlignment="1">
      <alignment horizontal="center" vertical="center"/>
    </xf>
    <xf numFmtId="4" fontId="29" fillId="0" borderId="68" xfId="7" applyNumberFormat="1" applyFont="1" applyBorder="1" applyAlignment="1">
      <alignment horizontal="center" vertical="center"/>
    </xf>
    <xf numFmtId="0" fontId="29" fillId="0" borderId="4" xfId="7" applyFont="1" applyBorder="1" applyAlignment="1">
      <alignment horizontal="center" vertical="center"/>
    </xf>
    <xf numFmtId="0" fontId="29" fillId="0" borderId="68" xfId="7" applyFont="1" applyBorder="1" applyAlignment="1">
      <alignment vertical="center"/>
    </xf>
    <xf numFmtId="0" fontId="29" fillId="0" borderId="68" xfId="7" applyFont="1" applyBorder="1" applyAlignment="1">
      <alignment horizontal="left" vertical="center" indent="2"/>
    </xf>
    <xf numFmtId="0" fontId="29" fillId="0" borderId="72" xfId="7" applyFont="1" applyBorder="1" applyAlignment="1">
      <alignment horizontal="left" vertical="center" indent="2"/>
    </xf>
    <xf numFmtId="0" fontId="29" fillId="0" borderId="83" xfId="7" applyFont="1" applyBorder="1" applyAlignment="1">
      <alignment horizontal="center" vertical="center"/>
    </xf>
    <xf numFmtId="3" fontId="29" fillId="0" borderId="72" xfId="7" applyNumberFormat="1" applyFont="1" applyBorder="1" applyAlignment="1">
      <alignment horizontal="center" vertical="center"/>
    </xf>
    <xf numFmtId="0" fontId="29" fillId="0" borderId="2" xfId="7" applyFont="1" applyBorder="1" applyAlignment="1">
      <alignment horizontal="center" vertical="center"/>
    </xf>
    <xf numFmtId="0" fontId="29" fillId="0" borderId="0" xfId="7" applyFont="1" applyAlignment="1">
      <alignment horizontal="left" vertical="center"/>
    </xf>
    <xf numFmtId="0" fontId="31" fillId="4" borderId="58" xfId="0" applyFont="1" applyFill="1" applyBorder="1"/>
    <xf numFmtId="0" fontId="31" fillId="4" borderId="51" xfId="7" applyFont="1" applyFill="1" applyBorder="1" applyAlignment="1">
      <alignment horizontal="center" vertical="center"/>
    </xf>
    <xf numFmtId="3" fontId="31" fillId="4" borderId="11" xfId="7" applyNumberFormat="1" applyFont="1" applyFill="1" applyBorder="1" applyAlignment="1">
      <alignment horizontal="center" vertical="center"/>
    </xf>
    <xf numFmtId="2" fontId="31" fillId="4" borderId="11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" fontId="31" fillId="4" borderId="1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1" fillId="0" borderId="73" xfId="7" applyFont="1" applyBorder="1" applyAlignment="1">
      <alignment horizontal="left" vertical="center"/>
    </xf>
    <xf numFmtId="9" fontId="35" fillId="0" borderId="74" xfId="3" applyFont="1" applyBorder="1" applyAlignment="1">
      <alignment horizontal="center" vertical="center"/>
    </xf>
    <xf numFmtId="3" fontId="31" fillId="4" borderId="64" xfId="7" applyNumberFormat="1" applyFont="1" applyFill="1" applyBorder="1" applyAlignment="1">
      <alignment horizontal="center" vertical="center"/>
    </xf>
    <xf numFmtId="0" fontId="35" fillId="0" borderId="0" xfId="0" applyFont="1"/>
    <xf numFmtId="3" fontId="35" fillId="0" borderId="0" xfId="0" applyNumberFormat="1" applyFont="1"/>
    <xf numFmtId="0" fontId="31" fillId="0" borderId="84" xfId="7" applyFont="1" applyBorder="1" applyAlignment="1">
      <alignment horizontal="left" vertical="center"/>
    </xf>
    <xf numFmtId="9" fontId="35" fillId="0" borderId="82" xfId="3" applyFont="1" applyBorder="1" applyAlignment="1">
      <alignment horizontal="center" vertical="center"/>
    </xf>
    <xf numFmtId="3" fontId="31" fillId="4" borderId="77" xfId="7" applyNumberFormat="1" applyFont="1" applyFill="1" applyBorder="1" applyAlignment="1">
      <alignment horizontal="center" vertical="center"/>
    </xf>
    <xf numFmtId="0" fontId="35" fillId="0" borderId="75" xfId="0" applyFont="1" applyBorder="1" applyAlignment="1">
      <alignment horizontal="center" vertical="center"/>
    </xf>
    <xf numFmtId="0" fontId="31" fillId="0" borderId="68" xfId="7" applyFont="1" applyBorder="1" applyAlignment="1">
      <alignment horizontal="center" vertical="center"/>
    </xf>
    <xf numFmtId="3" fontId="31" fillId="4" borderId="68" xfId="7" applyNumberFormat="1" applyFont="1" applyFill="1" applyBorder="1" applyAlignment="1">
      <alignment horizontal="center" vertical="center"/>
    </xf>
    <xf numFmtId="43" fontId="35" fillId="0" borderId="0" xfId="1" applyFont="1"/>
    <xf numFmtId="1" fontId="31" fillId="0" borderId="70" xfId="7" applyNumberFormat="1" applyFont="1" applyBorder="1" applyAlignment="1">
      <alignment horizontal="left" vertical="center"/>
    </xf>
    <xf numFmtId="1" fontId="31" fillId="0" borderId="71" xfId="7" applyNumberFormat="1" applyFont="1" applyBorder="1" applyAlignment="1">
      <alignment horizontal="left" vertical="center"/>
    </xf>
    <xf numFmtId="0" fontId="35" fillId="0" borderId="83" xfId="0" applyFont="1" applyBorder="1" applyAlignment="1">
      <alignment horizontal="center" vertical="center"/>
    </xf>
    <xf numFmtId="1" fontId="31" fillId="0" borderId="72" xfId="7" applyNumberFormat="1" applyFont="1" applyBorder="1" applyAlignment="1">
      <alignment horizontal="center" vertical="center"/>
    </xf>
    <xf numFmtId="0" fontId="34" fillId="11" borderId="11" xfId="7" applyFont="1" applyFill="1" applyBorder="1" applyAlignment="1">
      <alignment horizontal="center" vertical="center"/>
    </xf>
    <xf numFmtId="0" fontId="36" fillId="11" borderId="11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60" xfId="0" applyFont="1" applyBorder="1"/>
    <xf numFmtId="0" fontId="26" fillId="0" borderId="13" xfId="0" applyFont="1" applyBorder="1" applyAlignment="1">
      <alignment horizontal="center" vertical="center"/>
    </xf>
    <xf numFmtId="0" fontId="26" fillId="0" borderId="23" xfId="0" applyFont="1" applyBorder="1"/>
    <xf numFmtId="3" fontId="26" fillId="0" borderId="60" xfId="0" applyNumberFormat="1" applyFont="1" applyBorder="1" applyAlignment="1">
      <alignment horizontal="center" vertical="center"/>
    </xf>
    <xf numFmtId="179" fontId="26" fillId="0" borderId="6" xfId="0" applyNumberFormat="1" applyFont="1" applyBorder="1" applyAlignment="1">
      <alignment horizontal="center" vertical="center"/>
    </xf>
    <xf numFmtId="179" fontId="26" fillId="0" borderId="23" xfId="0" applyNumberFormat="1" applyFont="1" applyBorder="1" applyAlignment="1">
      <alignment horizontal="center" vertical="center"/>
    </xf>
    <xf numFmtId="4" fontId="29" fillId="0" borderId="64" xfId="7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8" xfId="0" applyFont="1" applyBorder="1"/>
    <xf numFmtId="3" fontId="26" fillId="0" borderId="0" xfId="0" applyNumberFormat="1" applyFont="1" applyAlignment="1">
      <alignment horizontal="center" vertical="center"/>
    </xf>
    <xf numFmtId="4" fontId="26" fillId="0" borderId="4" xfId="0" applyNumberFormat="1" applyFont="1" applyBorder="1" applyAlignment="1">
      <alignment horizontal="center" vertical="center"/>
    </xf>
    <xf numFmtId="179" fontId="26" fillId="0" borderId="8" xfId="0" applyNumberFormat="1" applyFont="1" applyBorder="1" applyAlignment="1">
      <alignment horizontal="center" vertical="center"/>
    </xf>
    <xf numFmtId="179" fontId="26" fillId="0" borderId="4" xfId="0" applyNumberFormat="1" applyFont="1" applyBorder="1" applyAlignment="1">
      <alignment horizontal="center" vertical="center"/>
    </xf>
    <xf numFmtId="0" fontId="26" fillId="0" borderId="85" xfId="0" applyFont="1" applyBorder="1" applyAlignment="1">
      <alignment horizontal="center" vertical="center"/>
    </xf>
    <xf numFmtId="0" fontId="26" fillId="0" borderId="37" xfId="0" applyFont="1" applyBorder="1"/>
    <xf numFmtId="0" fontId="26" fillId="0" borderId="86" xfId="0" applyFont="1" applyBorder="1" applyAlignment="1">
      <alignment horizontal="center" vertical="center"/>
    </xf>
    <xf numFmtId="0" fontId="26" fillId="0" borderId="87" xfId="0" applyFont="1" applyBorder="1"/>
    <xf numFmtId="0" fontId="26" fillId="0" borderId="37" xfId="0" applyFont="1" applyBorder="1" applyAlignment="1">
      <alignment horizontal="center" vertical="center"/>
    </xf>
    <xf numFmtId="179" fontId="37" fillId="0" borderId="88" xfId="0" applyNumberFormat="1" applyFont="1" applyBorder="1" applyAlignment="1">
      <alignment horizontal="center" vertical="center"/>
    </xf>
    <xf numFmtId="179" fontId="37" fillId="0" borderId="89" xfId="0" applyNumberFormat="1" applyFont="1" applyBorder="1" applyAlignment="1">
      <alignment horizontal="center" vertical="center"/>
    </xf>
    <xf numFmtId="43" fontId="26" fillId="0" borderId="0" xfId="1" applyFont="1"/>
    <xf numFmtId="10" fontId="26" fillId="0" borderId="0" xfId="3" applyNumberFormat="1" applyFont="1"/>
    <xf numFmtId="179" fontId="37" fillId="0" borderId="4" xfId="0" applyNumberFormat="1" applyFont="1" applyBorder="1" applyAlignment="1">
      <alignment horizontal="center" vertical="center"/>
    </xf>
    <xf numFmtId="3" fontId="26" fillId="0" borderId="4" xfId="0" applyNumberFormat="1" applyFont="1" applyBorder="1" applyAlignment="1">
      <alignment horizontal="center" vertical="center"/>
    </xf>
    <xf numFmtId="178" fontId="26" fillId="0" borderId="0" xfId="3" applyNumberFormat="1" applyFont="1"/>
    <xf numFmtId="0" fontId="26" fillId="0" borderId="4" xfId="0" applyFont="1" applyBorder="1"/>
    <xf numFmtId="0" fontId="26" fillId="0" borderId="2" xfId="0" applyFont="1" applyBorder="1"/>
    <xf numFmtId="0" fontId="26" fillId="0" borderId="28" xfId="0" applyFont="1" applyBorder="1"/>
    <xf numFmtId="0" fontId="26" fillId="0" borderId="58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79" fontId="37" fillId="0" borderId="2" xfId="0" applyNumberFormat="1" applyFont="1" applyBorder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16" fontId="26" fillId="0" borderId="0" xfId="0" applyNumberFormat="1" applyFont="1"/>
    <xf numFmtId="43" fontId="29" fillId="0" borderId="64" xfId="3" applyNumberFormat="1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166" fontId="38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2" borderId="11" xfId="0" applyFont="1" applyFill="1" applyBorder="1" applyAlignment="1">
      <alignment horizontal="center" vertical="center" wrapText="1"/>
    </xf>
    <xf numFmtId="16" fontId="3" fillId="12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90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41" fontId="2" fillId="0" borderId="90" xfId="2" applyFont="1" applyBorder="1"/>
    <xf numFmtId="41" fontId="2" fillId="0" borderId="91" xfId="2" applyFont="1" applyBorder="1"/>
    <xf numFmtId="41" fontId="2" fillId="0" borderId="41" xfId="2" applyFont="1" applyBorder="1"/>
    <xf numFmtId="0" fontId="4" fillId="0" borderId="6" xfId="0" applyFont="1" applyBorder="1" applyAlignment="1">
      <alignment vertical="center"/>
    </xf>
    <xf numFmtId="0" fontId="2" fillId="1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0" fontId="3" fillId="0" borderId="92" xfId="0" applyFont="1" applyBorder="1"/>
    <xf numFmtId="41" fontId="2" fillId="0" borderId="92" xfId="2" applyFont="1" applyBorder="1"/>
    <xf numFmtId="41" fontId="2" fillId="0" borderId="0" xfId="2" applyFont="1" applyBorder="1"/>
    <xf numFmtId="41" fontId="2" fillId="0" borderId="29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3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92" xfId="0" applyFont="1" applyBorder="1"/>
    <xf numFmtId="0" fontId="10" fillId="0" borderId="0" xfId="0" applyFont="1" applyAlignment="1">
      <alignment horizontal="center"/>
    </xf>
    <xf numFmtId="165" fontId="10" fillId="0" borderId="92" xfId="2" applyNumberFormat="1" applyFont="1" applyBorder="1"/>
    <xf numFmtId="165" fontId="10" fillId="0" borderId="0" xfId="2" applyNumberFormat="1" applyFont="1" applyBorder="1"/>
    <xf numFmtId="165" fontId="10" fillId="0" borderId="29" xfId="2" applyNumberFormat="1" applyFont="1" applyBorder="1"/>
    <xf numFmtId="166" fontId="2" fillId="6" borderId="3" xfId="1" applyNumberFormat="1" applyFont="1" applyFill="1" applyBorder="1"/>
    <xf numFmtId="41" fontId="2" fillId="0" borderId="92" xfId="2" applyFont="1" applyFill="1" applyBorder="1"/>
    <xf numFmtId="41" fontId="2" fillId="0" borderId="0" xfId="2" applyFont="1" applyFill="1" applyBorder="1"/>
    <xf numFmtId="41" fontId="2" fillId="0" borderId="29" xfId="2" applyFont="1" applyFill="1" applyBorder="1"/>
    <xf numFmtId="0" fontId="10" fillId="0" borderId="4" xfId="0" quotePrefix="1" applyFont="1" applyBorder="1"/>
    <xf numFmtId="43" fontId="10" fillId="13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3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0" xfId="0" applyFont="1" applyBorder="1"/>
    <xf numFmtId="0" fontId="2" fillId="0" borderId="91" xfId="0" applyFont="1" applyBorder="1" applyAlignment="1">
      <alignment horizontal="center"/>
    </xf>
    <xf numFmtId="165" fontId="40" fillId="0" borderId="90" xfId="2" applyNumberFormat="1" applyFont="1" applyFill="1" applyBorder="1"/>
    <xf numFmtId="165" fontId="40" fillId="0" borderId="91" xfId="2" applyNumberFormat="1" applyFont="1" applyFill="1" applyBorder="1"/>
    <xf numFmtId="165" fontId="40" fillId="0" borderId="41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3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3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4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41" fontId="2" fillId="0" borderId="40" xfId="2" applyFont="1" applyBorder="1" applyAlignment="1"/>
    <xf numFmtId="41" fontId="2" fillId="0" borderId="93" xfId="2" applyFont="1" applyBorder="1" applyAlignment="1">
      <alignment horizontal="center"/>
    </xf>
    <xf numFmtId="41" fontId="2" fillId="0" borderId="39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3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3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3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90" xfId="2" applyNumberFormat="1" applyFont="1" applyFill="1" applyBorder="1"/>
    <xf numFmtId="165" fontId="2" fillId="0" borderId="91" xfId="2" applyNumberFormat="1" applyFont="1" applyFill="1" applyBorder="1"/>
    <xf numFmtId="165" fontId="2" fillId="0" borderId="41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3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3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94" xfId="1" applyNumberFormat="1" applyFont="1" applyFill="1" applyBorder="1"/>
    <xf numFmtId="166" fontId="2" fillId="0" borderId="10" xfId="1" applyNumberFormat="1" applyFont="1" applyFill="1" applyBorder="1"/>
    <xf numFmtId="166" fontId="2" fillId="0" borderId="26" xfId="1" applyNumberFormat="1" applyFont="1" applyFill="1" applyBorder="1"/>
    <xf numFmtId="166" fontId="2" fillId="6" borderId="95" xfId="0" applyNumberFormat="1" applyFont="1" applyFill="1" applyBorder="1"/>
    <xf numFmtId="0" fontId="2" fillId="0" borderId="9" xfId="0" applyFont="1" applyBorder="1"/>
    <xf numFmtId="0" fontId="2" fillId="13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96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3" borderId="6" xfId="1" applyNumberFormat="1" applyFont="1" applyFill="1" applyBorder="1" applyAlignment="1">
      <alignment horizontal="center"/>
    </xf>
    <xf numFmtId="43" fontId="18" fillId="0" borderId="13" xfId="1" applyFont="1" applyFill="1" applyBorder="1"/>
    <xf numFmtId="43" fontId="18" fillId="0" borderId="6" xfId="1" applyFont="1" applyFill="1" applyBorder="1"/>
    <xf numFmtId="171" fontId="2" fillId="13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3" borderId="4" xfId="0" applyFont="1" applyFill="1" applyBorder="1" applyAlignment="1">
      <alignment horizontal="center" vertical="center"/>
    </xf>
    <xf numFmtId="165" fontId="3" fillId="0" borderId="68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1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8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8" xfId="1" applyFont="1" applyFill="1" applyBorder="1"/>
    <xf numFmtId="43" fontId="10" fillId="0" borderId="68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3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9" fillId="4" borderId="60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42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3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1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6" xfId="1" applyNumberFormat="1" applyFont="1" applyFill="1" applyBorder="1"/>
    <xf numFmtId="166" fontId="2" fillId="6" borderId="34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166" fontId="2" fillId="6" borderId="11" xfId="1" applyNumberFormat="1" applyFont="1" applyFill="1" applyBorder="1"/>
    <xf numFmtId="0" fontId="10" fillId="6" borderId="4" xfId="0" applyFont="1" applyFill="1" applyBorder="1" applyAlignment="1">
      <alignment vertical="center"/>
    </xf>
    <xf numFmtId="166" fontId="2" fillId="6" borderId="2" xfId="1" applyNumberFormat="1" applyFont="1" applyFill="1" applyBorder="1"/>
    <xf numFmtId="0" fontId="9" fillId="6" borderId="11" xfId="0" applyFont="1" applyFill="1" applyBorder="1" applyAlignment="1">
      <alignment vertical="center"/>
    </xf>
    <xf numFmtId="43" fontId="3" fillId="11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166" fontId="3" fillId="6" borderId="4" xfId="1" applyNumberFormat="1" applyFont="1" applyFill="1" applyBorder="1"/>
    <xf numFmtId="0" fontId="22" fillId="0" borderId="0" xfId="0" applyFont="1"/>
    <xf numFmtId="166" fontId="3" fillId="6" borderId="34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40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166" fontId="40" fillId="6" borderId="4" xfId="1" applyNumberFormat="1" applyFont="1" applyFill="1" applyBorder="1"/>
    <xf numFmtId="0" fontId="0" fillId="0" borderId="11" xfId="0" applyBorder="1"/>
    <xf numFmtId="166" fontId="3" fillId="0" borderId="56" xfId="0" applyNumberFormat="1" applyFont="1" applyBorder="1"/>
    <xf numFmtId="166" fontId="3" fillId="0" borderId="41" xfId="0" applyNumberFormat="1" applyFont="1" applyBorder="1"/>
    <xf numFmtId="166" fontId="3" fillId="0" borderId="38" xfId="0" applyNumberFormat="1" applyFont="1" applyBorder="1"/>
    <xf numFmtId="0" fontId="3" fillId="0" borderId="39" xfId="0" applyFont="1" applyBorder="1" applyAlignment="1">
      <alignment horizontal="center" wrapText="1"/>
    </xf>
    <xf numFmtId="0" fontId="3" fillId="4" borderId="29" xfId="0" quotePrefix="1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166" fontId="2" fillId="0" borderId="29" xfId="0" applyNumberFormat="1" applyFont="1" applyBorder="1"/>
    <xf numFmtId="166" fontId="2" fillId="4" borderId="29" xfId="0" applyNumberFormat="1" applyFont="1" applyFill="1" applyBorder="1"/>
    <xf numFmtId="166" fontId="2" fillId="6" borderId="29" xfId="1" applyNumberFormat="1" applyFont="1" applyFill="1" applyBorder="1"/>
    <xf numFmtId="164" fontId="2" fillId="0" borderId="29" xfId="0" applyNumberFormat="1" applyFont="1" applyBorder="1"/>
    <xf numFmtId="166" fontId="5" fillId="0" borderId="29" xfId="0" applyNumberFormat="1" applyFont="1" applyBorder="1" applyAlignment="1">
      <alignment horizontal="center"/>
    </xf>
    <xf numFmtId="166" fontId="2" fillId="6" borderId="29" xfId="0" applyNumberFormat="1" applyFont="1" applyFill="1" applyBorder="1"/>
    <xf numFmtId="166" fontId="5" fillId="0" borderId="98" xfId="0" applyNumberFormat="1" applyFont="1" applyBorder="1" applyAlignment="1">
      <alignment horizontal="center"/>
    </xf>
    <xf numFmtId="166" fontId="2" fillId="6" borderId="29" xfId="0" applyNumberFormat="1" applyFont="1" applyFill="1" applyBorder="1" applyAlignment="1">
      <alignment vertical="center"/>
    </xf>
    <xf numFmtId="166" fontId="2" fillId="4" borderId="29" xfId="0" applyNumberFormat="1" applyFont="1" applyFill="1" applyBorder="1" applyAlignment="1">
      <alignment vertical="center"/>
    </xf>
    <xf numFmtId="166" fontId="2" fillId="6" borderId="29" xfId="1" applyNumberFormat="1" applyFont="1" applyFill="1" applyBorder="1" applyAlignment="1">
      <alignment vertical="center"/>
    </xf>
    <xf numFmtId="166" fontId="2" fillId="5" borderId="29" xfId="0" applyNumberFormat="1" applyFont="1" applyFill="1" applyBorder="1"/>
    <xf numFmtId="0" fontId="3" fillId="4" borderId="98" xfId="0" quotePrefix="1" applyFont="1" applyFill="1" applyBorder="1" applyAlignment="1">
      <alignment horizontal="center"/>
    </xf>
    <xf numFmtId="0" fontId="3" fillId="4" borderId="98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99" xfId="0" applyNumberFormat="1" applyFont="1" applyFill="1" applyBorder="1"/>
    <xf numFmtId="43" fontId="2" fillId="0" borderId="27" xfId="1" applyFont="1" applyFill="1" applyBorder="1"/>
    <xf numFmtId="172" fontId="2" fillId="0" borderId="29" xfId="1" applyNumberFormat="1" applyFont="1" applyBorder="1"/>
    <xf numFmtId="43" fontId="18" fillId="0" borderId="23" xfId="1" applyFont="1" applyFill="1" applyBorder="1"/>
    <xf numFmtId="164" fontId="2" fillId="5" borderId="29" xfId="0" applyNumberFormat="1" applyFont="1" applyFill="1" applyBorder="1"/>
    <xf numFmtId="164" fontId="3" fillId="6" borderId="29" xfId="0" applyNumberFormat="1" applyFont="1" applyFill="1" applyBorder="1"/>
    <xf numFmtId="164" fontId="3" fillId="0" borderId="29" xfId="0" applyNumberFormat="1" applyFont="1" applyBorder="1"/>
    <xf numFmtId="43" fontId="10" fillId="0" borderId="75" xfId="1" applyFont="1" applyFill="1" applyBorder="1"/>
    <xf numFmtId="166" fontId="6" fillId="0" borderId="29" xfId="0" applyNumberFormat="1" applyFont="1" applyBorder="1"/>
    <xf numFmtId="166" fontId="2" fillId="0" borderId="29" xfId="0" applyNumberFormat="1" applyFont="1" applyBorder="1" applyAlignment="1">
      <alignment vertical="center"/>
    </xf>
    <xf numFmtId="167" fontId="2" fillId="0" borderId="29" xfId="0" applyNumberFormat="1" applyFont="1" applyBorder="1"/>
    <xf numFmtId="166" fontId="2" fillId="4" borderId="98" xfId="0" applyNumberFormat="1" applyFont="1" applyFill="1" applyBorder="1"/>
    <xf numFmtId="0" fontId="3" fillId="4" borderId="98" xfId="0" applyFont="1" applyFill="1" applyBorder="1" applyAlignment="1">
      <alignment horizontal="center" vertical="center"/>
    </xf>
    <xf numFmtId="164" fontId="2" fillId="6" borderId="98" xfId="0" applyNumberFormat="1" applyFont="1" applyFill="1" applyBorder="1"/>
    <xf numFmtId="164" fontId="2" fillId="6" borderId="47" xfId="0" applyNumberFormat="1" applyFont="1" applyFill="1" applyBorder="1"/>
    <xf numFmtId="164" fontId="3" fillId="6" borderId="47" xfId="0" applyNumberFormat="1" applyFont="1" applyFill="1" applyBorder="1"/>
    <xf numFmtId="168" fontId="2" fillId="6" borderId="29" xfId="0" applyNumberFormat="1" applyFont="1" applyFill="1" applyBorder="1"/>
    <xf numFmtId="168" fontId="3" fillId="6" borderId="29" xfId="0" applyNumberFormat="1" applyFont="1" applyFill="1" applyBorder="1"/>
    <xf numFmtId="0" fontId="6" fillId="0" borderId="29" xfId="0" applyFont="1" applyBorder="1"/>
    <xf numFmtId="183" fontId="2" fillId="0" borderId="29" xfId="0" applyNumberFormat="1" applyFont="1" applyBorder="1"/>
    <xf numFmtId="168" fontId="3" fillId="0" borderId="100" xfId="0" applyNumberFormat="1" applyFont="1" applyBorder="1"/>
    <xf numFmtId="43" fontId="3" fillId="4" borderId="98" xfId="1" applyFont="1" applyFill="1" applyBorder="1" applyAlignment="1">
      <alignment horizontal="center"/>
    </xf>
    <xf numFmtId="166" fontId="3" fillId="6" borderId="29" xfId="0" applyNumberFormat="1" applyFont="1" applyFill="1" applyBorder="1"/>
    <xf numFmtId="167" fontId="6" fillId="0" borderId="29" xfId="0" applyNumberFormat="1" applyFont="1" applyBorder="1"/>
    <xf numFmtId="166" fontId="3" fillId="0" borderId="29" xfId="0" applyNumberFormat="1" applyFont="1" applyBorder="1"/>
    <xf numFmtId="43" fontId="3" fillId="6" borderId="29" xfId="1" applyFont="1" applyFill="1" applyBorder="1" applyAlignment="1">
      <alignment vertical="center"/>
    </xf>
    <xf numFmtId="166" fontId="6" fillId="0" borderId="29" xfId="0" applyNumberFormat="1" applyFont="1" applyBorder="1" applyAlignment="1">
      <alignment vertical="center"/>
    </xf>
    <xf numFmtId="43" fontId="2" fillId="0" borderId="29" xfId="1" applyFont="1" applyBorder="1" applyAlignment="1">
      <alignment vertical="center"/>
    </xf>
    <xf numFmtId="166" fontId="3" fillId="4" borderId="98" xfId="1" applyNumberFormat="1" applyFont="1" applyFill="1" applyBorder="1" applyAlignment="1">
      <alignment horizontal="center"/>
    </xf>
    <xf numFmtId="43" fontId="2" fillId="0" borderId="57" xfId="1" applyFont="1" applyFill="1" applyBorder="1"/>
    <xf numFmtId="43" fontId="10" fillId="0" borderId="101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93" xfId="0" applyBorder="1"/>
    <xf numFmtId="0" fontId="39" fillId="0" borderId="0" xfId="0" applyFont="1"/>
    <xf numFmtId="0" fontId="39" fillId="5" borderId="0" xfId="0" applyFont="1" applyFill="1"/>
    <xf numFmtId="0" fontId="39" fillId="0" borderId="0" xfId="0" applyFont="1" applyAlignment="1">
      <alignment vertical="center"/>
    </xf>
    <xf numFmtId="0" fontId="10" fillId="0" borderId="0" xfId="0" applyFont="1"/>
    <xf numFmtId="0" fontId="3" fillId="5" borderId="97" xfId="0" applyFont="1" applyFill="1" applyBorder="1" applyAlignment="1">
      <alignment horizontal="center"/>
    </xf>
    <xf numFmtId="0" fontId="18" fillId="5" borderId="0" xfId="0" applyFont="1" applyFill="1"/>
    <xf numFmtId="0" fontId="2" fillId="5" borderId="32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0" borderId="97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65" fontId="2" fillId="5" borderId="32" xfId="2" applyNumberFormat="1" applyFont="1" applyFill="1" applyBorder="1" applyAlignment="1">
      <alignment horizontal="center"/>
    </xf>
    <xf numFmtId="165" fontId="41" fillId="5" borderId="0" xfId="2" applyNumberFormat="1" applyFont="1" applyFill="1" applyBorder="1"/>
    <xf numFmtId="0" fontId="2" fillId="0" borderId="32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41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41" fillId="5" borderId="0" xfId="0" applyFont="1" applyFill="1"/>
    <xf numFmtId="0" fontId="3" fillId="0" borderId="31" xfId="0" applyFont="1" applyBorder="1" applyAlignment="1">
      <alignment horizontal="center"/>
    </xf>
    <xf numFmtId="0" fontId="2" fillId="0" borderId="12" xfId="0" applyFont="1" applyBorder="1"/>
    <xf numFmtId="0" fontId="0" fillId="0" borderId="54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103" xfId="0" applyFont="1" applyBorder="1"/>
    <xf numFmtId="0" fontId="0" fillId="0" borderId="21" xfId="0" applyBorder="1"/>
    <xf numFmtId="0" fontId="0" fillId="0" borderId="104" xfId="0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41" fontId="0" fillId="0" borderId="4" xfId="2" applyFont="1" applyBorder="1"/>
    <xf numFmtId="0" fontId="0" fillId="0" borderId="103" xfId="0" applyBorder="1"/>
    <xf numFmtId="166" fontId="3" fillId="0" borderId="1" xfId="0" applyNumberFormat="1" applyFont="1" applyBorder="1"/>
    <xf numFmtId="0" fontId="2" fillId="8" borderId="103" xfId="0" applyFont="1" applyFill="1" applyBorder="1"/>
    <xf numFmtId="0" fontId="2" fillId="5" borderId="103" xfId="0" applyFont="1" applyFill="1" applyBorder="1" applyAlignment="1">
      <alignment horizontal="center"/>
    </xf>
    <xf numFmtId="0" fontId="0" fillId="0" borderId="12" xfId="0" applyBorder="1"/>
    <xf numFmtId="41" fontId="0" fillId="0" borderId="12" xfId="2" applyFont="1" applyBorder="1"/>
    <xf numFmtId="166" fontId="3" fillId="0" borderId="0" xfId="0" applyNumberFormat="1" applyFont="1" applyAlignment="1">
      <alignment vertical="center"/>
    </xf>
    <xf numFmtId="0" fontId="2" fillId="0" borderId="0" xfId="3" applyNumberFormat="1" applyFont="1"/>
    <xf numFmtId="0" fontId="2" fillId="0" borderId="9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1" fontId="2" fillId="0" borderId="92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9" xfId="2" applyFont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3" fontId="0" fillId="8" borderId="0" xfId="0" applyNumberFormat="1" applyFill="1"/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wrapText="1"/>
    </xf>
    <xf numFmtId="0" fontId="3" fillId="4" borderId="92" xfId="0" quotePrefix="1" applyFont="1" applyFill="1" applyBorder="1" applyAlignment="1">
      <alignment horizontal="center"/>
    </xf>
    <xf numFmtId="0" fontId="5" fillId="0" borderId="92" xfId="0" applyFont="1" applyBorder="1" applyAlignment="1">
      <alignment horizontal="center"/>
    </xf>
    <xf numFmtId="164" fontId="2" fillId="0" borderId="92" xfId="0" applyNumberFormat="1" applyFont="1" applyBorder="1"/>
    <xf numFmtId="9" fontId="2" fillId="6" borderId="92" xfId="3" applyFont="1" applyFill="1" applyBorder="1"/>
    <xf numFmtId="164" fontId="2" fillId="6" borderId="92" xfId="0" applyNumberFormat="1" applyFont="1" applyFill="1" applyBorder="1"/>
    <xf numFmtId="166" fontId="5" fillId="0" borderId="92" xfId="0" applyNumberFormat="1" applyFont="1" applyBorder="1" applyAlignment="1">
      <alignment horizontal="center"/>
    </xf>
    <xf numFmtId="166" fontId="5" fillId="0" borderId="105" xfId="0" applyNumberFormat="1" applyFont="1" applyBorder="1" applyAlignment="1">
      <alignment horizontal="center"/>
    </xf>
    <xf numFmtId="166" fontId="2" fillId="6" borderId="92" xfId="0" applyNumberFormat="1" applyFont="1" applyFill="1" applyBorder="1"/>
    <xf numFmtId="164" fontId="2" fillId="5" borderId="92" xfId="0" applyNumberFormat="1" applyFont="1" applyFill="1" applyBorder="1"/>
    <xf numFmtId="0" fontId="3" fillId="4" borderId="105" xfId="0" quotePrefix="1" applyFont="1" applyFill="1" applyBorder="1" applyAlignment="1">
      <alignment horizontal="center"/>
    </xf>
    <xf numFmtId="43" fontId="2" fillId="0" borderId="92" xfId="1" applyFont="1" applyFill="1" applyBorder="1"/>
    <xf numFmtId="43" fontId="2" fillId="0" borderId="106" xfId="1" applyFont="1" applyFill="1" applyBorder="1"/>
    <xf numFmtId="0" fontId="3" fillId="4" borderId="105" xfId="0" applyFont="1" applyFill="1" applyBorder="1" applyAlignment="1">
      <alignment horizontal="center"/>
    </xf>
    <xf numFmtId="43" fontId="40" fillId="0" borderId="92" xfId="1" applyFont="1" applyBorder="1"/>
    <xf numFmtId="43" fontId="2" fillId="0" borderId="107" xfId="1" applyFont="1" applyBorder="1"/>
    <xf numFmtId="166" fontId="2" fillId="6" borderId="108" xfId="0" applyNumberFormat="1" applyFont="1" applyFill="1" applyBorder="1"/>
    <xf numFmtId="172" fontId="2" fillId="0" borderId="92" xfId="1" applyNumberFormat="1" applyFont="1" applyBorder="1"/>
    <xf numFmtId="164" fontId="3" fillId="6" borderId="92" xfId="0" applyNumberFormat="1" applyFont="1" applyFill="1" applyBorder="1"/>
    <xf numFmtId="166" fontId="6" fillId="0" borderId="92" xfId="0" applyNumberFormat="1" applyFont="1" applyBorder="1"/>
    <xf numFmtId="166" fontId="2" fillId="0" borderId="92" xfId="0" applyNumberFormat="1" applyFont="1" applyBorder="1"/>
    <xf numFmtId="164" fontId="3" fillId="0" borderId="92" xfId="0" applyNumberFormat="1" applyFont="1" applyBorder="1"/>
    <xf numFmtId="167" fontId="2" fillId="0" borderId="92" xfId="0" applyNumberFormat="1" applyFont="1" applyBorder="1"/>
    <xf numFmtId="166" fontId="2" fillId="0" borderId="92" xfId="0" applyNumberFormat="1" applyFont="1" applyBorder="1" applyAlignment="1">
      <alignment vertical="center"/>
    </xf>
    <xf numFmtId="166" fontId="2" fillId="4" borderId="105" xfId="0" applyNumberFormat="1" applyFont="1" applyFill="1" applyBorder="1"/>
    <xf numFmtId="164" fontId="2" fillId="0" borderId="106" xfId="0" applyNumberFormat="1" applyFont="1" applyBorder="1"/>
    <xf numFmtId="0" fontId="3" fillId="4" borderId="105" xfId="0" applyFont="1" applyFill="1" applyBorder="1" applyAlignment="1">
      <alignment horizontal="center" vertical="center"/>
    </xf>
    <xf numFmtId="2" fontId="2" fillId="6" borderId="50" xfId="0" applyNumberFormat="1" applyFont="1" applyFill="1" applyBorder="1"/>
    <xf numFmtId="0" fontId="6" fillId="0" borderId="92" xfId="0" applyFont="1" applyBorder="1"/>
    <xf numFmtId="184" fontId="2" fillId="0" borderId="92" xfId="0" applyNumberFormat="1" applyFont="1" applyBorder="1"/>
    <xf numFmtId="43" fontId="3" fillId="4" borderId="105" xfId="1" applyFont="1" applyFill="1" applyBorder="1" applyAlignment="1">
      <alignment horizontal="center"/>
    </xf>
    <xf numFmtId="167" fontId="6" fillId="0" borderId="92" xfId="0" applyNumberFormat="1" applyFont="1" applyBorder="1"/>
    <xf numFmtId="166" fontId="6" fillId="0" borderId="92" xfId="0" applyNumberFormat="1" applyFont="1" applyBorder="1" applyAlignment="1">
      <alignment vertical="center"/>
    </xf>
    <xf numFmtId="43" fontId="2" fillId="0" borderId="92" xfId="1" applyFont="1" applyBorder="1" applyAlignment="1">
      <alignment vertical="center"/>
    </xf>
    <xf numFmtId="166" fontId="3" fillId="4" borderId="105" xfId="1" applyNumberFormat="1" applyFont="1" applyFill="1" applyBorder="1" applyAlignment="1">
      <alignment horizontal="center"/>
    </xf>
    <xf numFmtId="164" fontId="3" fillId="0" borderId="90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10" fontId="2" fillId="5" borderId="0" xfId="3" applyNumberFormat="1" applyFont="1" applyFill="1" applyBorder="1"/>
    <xf numFmtId="41" fontId="10" fillId="0" borderId="0" xfId="2" applyFont="1" applyBorder="1"/>
    <xf numFmtId="178" fontId="2" fillId="5" borderId="0" xfId="3" applyNumberFormat="1" applyFont="1" applyFill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5" borderId="0" xfId="1" applyNumberFormat="1" applyFont="1" applyFill="1" applyBorder="1" applyAlignment="1">
      <alignment vertical="center"/>
    </xf>
    <xf numFmtId="9" fontId="2" fillId="0" borderId="0" xfId="3" applyFont="1" applyBorder="1"/>
    <xf numFmtId="0" fontId="45" fillId="0" borderId="40" xfId="10" applyBorder="1" applyAlignment="1">
      <alignment horizontal="left" vertical="top"/>
    </xf>
    <xf numFmtId="0" fontId="45" fillId="0" borderId="93" xfId="10" applyBorder="1" applyAlignment="1">
      <alignment horizontal="left" vertical="top"/>
    </xf>
    <xf numFmtId="0" fontId="45" fillId="0" borderId="93" xfId="10" applyBorder="1" applyAlignment="1">
      <alignment horizontal="left" vertical="top" wrapText="1"/>
    </xf>
    <xf numFmtId="0" fontId="45" fillId="0" borderId="39" xfId="10" applyBorder="1" applyAlignment="1">
      <alignment horizontal="left" vertical="top"/>
    </xf>
    <xf numFmtId="0" fontId="45" fillId="0" borderId="0" xfId="10" applyAlignment="1">
      <alignment horizontal="left" vertical="top"/>
    </xf>
    <xf numFmtId="0" fontId="45" fillId="0" borderId="92" xfId="10" applyBorder="1" applyAlignment="1">
      <alignment horizontal="left" vertical="top"/>
    </xf>
    <xf numFmtId="0" fontId="45" fillId="0" borderId="29" xfId="10" applyBorder="1" applyAlignment="1">
      <alignment horizontal="center" vertical="top" wrapText="1"/>
    </xf>
    <xf numFmtId="15" fontId="45" fillId="0" borderId="29" xfId="10" applyNumberFormat="1" applyBorder="1" applyAlignment="1">
      <alignment horizontal="center" vertical="center" wrapText="1"/>
    </xf>
    <xf numFmtId="0" fontId="45" fillId="0" borderId="29" xfId="10" applyBorder="1" applyAlignment="1">
      <alignment horizontal="center" vertical="top"/>
    </xf>
    <xf numFmtId="0" fontId="45" fillId="0" borderId="11" xfId="10" applyBorder="1" applyAlignment="1">
      <alignment horizontal="left" vertical="top"/>
    </xf>
    <xf numFmtId="0" fontId="48" fillId="0" borderId="0" xfId="10" applyFont="1" applyAlignment="1">
      <alignment horizontal="left" vertical="top"/>
    </xf>
    <xf numFmtId="0" fontId="47" fillId="0" borderId="0" xfId="10" applyFont="1" applyAlignment="1">
      <alignment horizontal="left" vertical="top"/>
    </xf>
    <xf numFmtId="0" fontId="50" fillId="0" borderId="0" xfId="10" applyFont="1" applyAlignment="1">
      <alignment vertical="center"/>
    </xf>
    <xf numFmtId="0" fontId="47" fillId="0" borderId="0" xfId="10" applyFont="1" applyAlignment="1">
      <alignment vertical="center"/>
    </xf>
    <xf numFmtId="0" fontId="45" fillId="0" borderId="29" xfId="10" applyBorder="1" applyAlignment="1">
      <alignment horizontal="left" vertical="top"/>
    </xf>
    <xf numFmtId="0" fontId="47" fillId="0" borderId="11" xfId="10" applyFont="1" applyBorder="1" applyAlignment="1">
      <alignment horizontal="center" vertical="center"/>
    </xf>
    <xf numFmtId="0" fontId="47" fillId="0" borderId="11" xfId="10" applyFont="1" applyBorder="1" applyAlignment="1">
      <alignment horizontal="center" vertical="center" wrapText="1"/>
    </xf>
    <xf numFmtId="0" fontId="47" fillId="0" borderId="0" xfId="10" applyFont="1" applyAlignment="1">
      <alignment horizontal="center" vertical="center" wrapText="1"/>
    </xf>
    <xf numFmtId="0" fontId="45" fillId="0" borderId="0" xfId="10" applyAlignment="1">
      <alignment horizontal="left" vertical="top" wrapText="1"/>
    </xf>
    <xf numFmtId="0" fontId="47" fillId="0" borderId="11" xfId="10" applyFont="1" applyBorder="1" applyAlignment="1">
      <alignment horizontal="left" vertical="center"/>
    </xf>
    <xf numFmtId="0" fontId="47" fillId="0" borderId="11" xfId="10" applyFont="1" applyBorder="1" applyAlignment="1">
      <alignment horizontal="left" vertical="center" wrapText="1"/>
    </xf>
    <xf numFmtId="0" fontId="47" fillId="0" borderId="0" xfId="10" applyFont="1" applyAlignment="1">
      <alignment horizontal="left" vertical="center" wrapText="1"/>
    </xf>
    <xf numFmtId="185" fontId="47" fillId="0" borderId="11" xfId="10" applyNumberFormat="1" applyFont="1" applyBorder="1" applyAlignment="1">
      <alignment horizontal="center" vertical="center"/>
    </xf>
    <xf numFmtId="0" fontId="47" fillId="0" borderId="0" xfId="10" applyFont="1" applyAlignment="1">
      <alignment horizontal="center" vertical="center"/>
    </xf>
    <xf numFmtId="4" fontId="47" fillId="0" borderId="11" xfId="10" applyNumberFormat="1" applyFont="1" applyBorder="1" applyAlignment="1">
      <alignment horizontal="center" vertical="center"/>
    </xf>
    <xf numFmtId="185" fontId="47" fillId="0" borderId="0" xfId="10" applyNumberFormat="1" applyFont="1" applyAlignment="1">
      <alignment horizontal="left" vertical="top"/>
    </xf>
    <xf numFmtId="2" fontId="47" fillId="0" borderId="11" xfId="10" applyNumberFormat="1" applyFont="1" applyBorder="1" applyAlignment="1">
      <alignment horizontal="center" vertical="center"/>
    </xf>
    <xf numFmtId="186" fontId="47" fillId="0" borderId="11" xfId="10" applyNumberFormat="1" applyFont="1" applyBorder="1" applyAlignment="1">
      <alignment horizontal="center" vertical="center"/>
    </xf>
    <xf numFmtId="187" fontId="47" fillId="0" borderId="11" xfId="10" applyNumberFormat="1" applyFont="1" applyBorder="1" applyAlignment="1">
      <alignment horizontal="center" vertical="center"/>
    </xf>
    <xf numFmtId="1" fontId="47" fillId="0" borderId="11" xfId="10" applyNumberFormat="1" applyFont="1" applyBorder="1" applyAlignment="1">
      <alignment horizontal="center" vertical="center"/>
    </xf>
    <xf numFmtId="3" fontId="45" fillId="0" borderId="0" xfId="10" applyNumberFormat="1" applyAlignment="1">
      <alignment horizontal="left" vertical="top"/>
    </xf>
    <xf numFmtId="0" fontId="45" fillId="0" borderId="0" xfId="10" applyAlignment="1">
      <alignment horizontal="right" vertical="top"/>
    </xf>
    <xf numFmtId="0" fontId="47" fillId="0" borderId="0" xfId="10" applyFont="1" applyAlignment="1">
      <alignment horizontal="right" vertical="center"/>
    </xf>
    <xf numFmtId="4" fontId="47" fillId="0" borderId="0" xfId="10" applyNumberFormat="1" applyFont="1" applyAlignment="1">
      <alignment horizontal="left" vertical="center"/>
    </xf>
    <xf numFmtId="0" fontId="47" fillId="0" borderId="0" xfId="10" applyFont="1" applyAlignment="1">
      <alignment horizontal="left" vertical="center"/>
    </xf>
    <xf numFmtId="185" fontId="47" fillId="0" borderId="0" xfId="10" applyNumberFormat="1" applyFont="1" applyAlignment="1">
      <alignment horizontal="left" vertical="center"/>
    </xf>
    <xf numFmtId="4" fontId="47" fillId="0" borderId="0" xfId="10" applyNumberFormat="1" applyFont="1" applyAlignment="1">
      <alignment horizontal="center" vertical="center"/>
    </xf>
    <xf numFmtId="185" fontId="47" fillId="0" borderId="0" xfId="10" applyNumberFormat="1" applyFont="1" applyAlignment="1">
      <alignment horizontal="center" vertical="center"/>
    </xf>
    <xf numFmtId="0" fontId="47" fillId="0" borderId="0" xfId="10" applyFont="1" applyAlignment="1">
      <alignment horizontal="left" vertical="top" wrapText="1"/>
    </xf>
    <xf numFmtId="0" fontId="48" fillId="0" borderId="0" xfId="10" applyFont="1" applyAlignment="1">
      <alignment vertical="center" wrapText="1"/>
    </xf>
    <xf numFmtId="0" fontId="45" fillId="0" borderId="0" xfId="10" applyAlignment="1">
      <alignment vertical="center" wrapText="1"/>
    </xf>
    <xf numFmtId="0" fontId="48" fillId="0" borderId="0" xfId="10" applyFont="1" applyAlignment="1">
      <alignment horizontal="left" vertical="top" wrapText="1"/>
    </xf>
    <xf numFmtId="0" fontId="45" fillId="0" borderId="0" xfId="10" applyAlignment="1">
      <alignment vertical="top"/>
    </xf>
    <xf numFmtId="0" fontId="45" fillId="0" borderId="90" xfId="10" applyBorder="1" applyAlignment="1">
      <alignment horizontal="left" vertical="top"/>
    </xf>
    <xf numFmtId="0" fontId="45" fillId="0" borderId="91" xfId="10" applyBorder="1" applyAlignment="1">
      <alignment horizontal="left" vertical="top"/>
    </xf>
    <xf numFmtId="0" fontId="45" fillId="0" borderId="91" xfId="10" applyBorder="1" applyAlignment="1">
      <alignment vertical="top"/>
    </xf>
    <xf numFmtId="0" fontId="45" fillId="0" borderId="91" xfId="10" applyBorder="1" applyAlignment="1">
      <alignment horizontal="left" vertical="top" wrapText="1"/>
    </xf>
    <xf numFmtId="0" fontId="45" fillId="0" borderId="41" xfId="10" applyBorder="1" applyAlignment="1">
      <alignment horizontal="left" vertical="top"/>
    </xf>
    <xf numFmtId="166" fontId="2" fillId="7" borderId="3" xfId="0" applyNumberFormat="1" applyFont="1" applyFill="1" applyBorder="1"/>
    <xf numFmtId="0" fontId="12" fillId="0" borderId="0" xfId="0" applyFont="1" applyAlignment="1">
      <alignment vertical="center"/>
    </xf>
    <xf numFmtId="0" fontId="13" fillId="2" borderId="19" xfId="0" applyFont="1" applyFill="1" applyBorder="1" applyAlignment="1">
      <alignment vertical="center"/>
    </xf>
    <xf numFmtId="0" fontId="13" fillId="2" borderId="20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0" fillId="9" borderId="11" xfId="6" applyFont="1" applyFill="1" applyBorder="1" applyAlignment="1">
      <alignment horizontal="center" vertical="center"/>
    </xf>
    <xf numFmtId="3" fontId="30" fillId="9" borderId="11" xfId="6" applyNumberFormat="1" applyFont="1" applyFill="1" applyBorder="1" applyAlignment="1">
      <alignment horizontal="center" vertical="center"/>
    </xf>
    <xf numFmtId="3" fontId="30" fillId="9" borderId="16" xfId="6" applyNumberFormat="1" applyFont="1" applyFill="1" applyBorder="1" applyAlignment="1">
      <alignment horizontal="center" vertical="center"/>
    </xf>
    <xf numFmtId="3" fontId="30" fillId="9" borderId="21" xfId="6" applyNumberFormat="1" applyFont="1" applyFill="1" applyBorder="1" applyAlignment="1">
      <alignment horizontal="center" vertical="center"/>
    </xf>
    <xf numFmtId="0" fontId="30" fillId="9" borderId="16" xfId="6" applyFont="1" applyFill="1" applyBorder="1" applyAlignment="1">
      <alignment horizontal="center" vertical="center"/>
    </xf>
    <xf numFmtId="0" fontId="30" fillId="9" borderId="21" xfId="6" applyFont="1" applyFill="1" applyBorder="1" applyAlignment="1">
      <alignment horizontal="center" vertical="center"/>
    </xf>
    <xf numFmtId="0" fontId="30" fillId="9" borderId="11" xfId="7" applyFont="1" applyFill="1" applyBorder="1" applyAlignment="1">
      <alignment horizontal="center" vertical="center"/>
    </xf>
    <xf numFmtId="3" fontId="30" fillId="9" borderId="11" xfId="7" applyNumberFormat="1" applyFont="1" applyFill="1" applyBorder="1" applyAlignment="1">
      <alignment horizontal="center" vertical="center"/>
    </xf>
    <xf numFmtId="3" fontId="30" fillId="9" borderId="16" xfId="7" applyNumberFormat="1" applyFont="1" applyFill="1" applyBorder="1" applyAlignment="1">
      <alignment horizontal="center" vertical="center"/>
    </xf>
    <xf numFmtId="3" fontId="30" fillId="9" borderId="21" xfId="7" applyNumberFormat="1" applyFont="1" applyFill="1" applyBorder="1" applyAlignment="1">
      <alignment horizontal="center" vertical="center"/>
    </xf>
    <xf numFmtId="0" fontId="30" fillId="9" borderId="16" xfId="7" applyFont="1" applyFill="1" applyBorder="1" applyAlignment="1">
      <alignment horizontal="center" vertical="center"/>
    </xf>
    <xf numFmtId="0" fontId="30" fillId="9" borderId="21" xfId="7" applyFont="1" applyFill="1" applyBorder="1" applyAlignment="1">
      <alignment horizontal="center" vertical="center"/>
    </xf>
    <xf numFmtId="0" fontId="36" fillId="11" borderId="11" xfId="0" applyFont="1" applyFill="1" applyBorder="1" applyAlignment="1">
      <alignment horizontal="center" vertical="center"/>
    </xf>
    <xf numFmtId="0" fontId="3" fillId="5" borderId="0" xfId="6" applyFont="1" applyFill="1" applyAlignment="1">
      <alignment horizontal="center" vertical="center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3" fillId="0" borderId="41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48" fillId="0" borderId="0" xfId="10" applyFont="1" applyAlignment="1">
      <alignment horizontal="center" vertical="top"/>
    </xf>
    <xf numFmtId="0" fontId="48" fillId="0" borderId="0" xfId="10" applyFont="1" applyAlignment="1">
      <alignment horizontal="center" vertical="center"/>
    </xf>
    <xf numFmtId="0" fontId="48" fillId="0" borderId="0" xfId="10" applyFont="1" applyAlignment="1">
      <alignment horizontal="center" vertical="center" wrapText="1"/>
    </xf>
    <xf numFmtId="0" fontId="47" fillId="0" borderId="16" xfId="10" applyFont="1" applyBorder="1" applyAlignment="1">
      <alignment horizontal="center" vertical="center"/>
    </xf>
    <xf numFmtId="0" fontId="47" fillId="0" borderId="51" xfId="10" applyFont="1" applyBorder="1" applyAlignment="1">
      <alignment horizontal="center" vertical="center"/>
    </xf>
    <xf numFmtId="0" fontId="47" fillId="0" borderId="21" xfId="10" applyFont="1" applyBorder="1" applyAlignment="1">
      <alignment horizontal="center" vertical="center"/>
    </xf>
    <xf numFmtId="0" fontId="47" fillId="0" borderId="60" xfId="10" applyFont="1" applyBorder="1" applyAlignment="1">
      <alignment horizontal="left" vertical="center" wrapText="1"/>
    </xf>
    <xf numFmtId="0" fontId="47" fillId="0" borderId="0" xfId="10" applyFont="1" applyAlignment="1">
      <alignment horizontal="right" vertical="center"/>
    </xf>
    <xf numFmtId="0" fontId="47" fillId="0" borderId="60" xfId="10" applyFont="1" applyBorder="1" applyAlignment="1">
      <alignment horizontal="left"/>
    </xf>
    <xf numFmtId="0" fontId="47" fillId="0" borderId="16" xfId="10" applyFont="1" applyBorder="1" applyAlignment="1">
      <alignment horizontal="center" vertical="center" wrapText="1"/>
    </xf>
    <xf numFmtId="0" fontId="47" fillId="0" borderId="51" xfId="10" applyFont="1" applyBorder="1" applyAlignment="1">
      <alignment horizontal="center" vertical="center" wrapText="1"/>
    </xf>
    <xf numFmtId="0" fontId="47" fillId="0" borderId="21" xfId="10" applyFont="1" applyBorder="1" applyAlignment="1">
      <alignment horizontal="center" vertical="center" wrapText="1"/>
    </xf>
    <xf numFmtId="0" fontId="45" fillId="0" borderId="11" xfId="10" quotePrefix="1" applyBorder="1" applyAlignment="1">
      <alignment horizontal="center" vertical="center" wrapText="1"/>
    </xf>
    <xf numFmtId="0" fontId="45" fillId="0" borderId="11" xfId="10" applyBorder="1" applyAlignment="1">
      <alignment horizontal="center" vertical="center"/>
    </xf>
    <xf numFmtId="0" fontId="48" fillId="0" borderId="60" xfId="10" applyFont="1" applyBorder="1" applyAlignment="1">
      <alignment horizontal="left" vertical="top"/>
    </xf>
    <xf numFmtId="0" fontId="48" fillId="0" borderId="0" xfId="10" applyFont="1" applyAlignment="1">
      <alignment horizontal="left" vertical="top"/>
    </xf>
    <xf numFmtId="0" fontId="49" fillId="0" borderId="59" xfId="10" applyFont="1" applyBorder="1" applyAlignment="1">
      <alignment horizontal="center" vertical="center"/>
    </xf>
    <xf numFmtId="0" fontId="45" fillId="0" borderId="11" xfId="10" applyBorder="1" applyAlignment="1">
      <alignment horizontal="center" vertical="top"/>
    </xf>
    <xf numFmtId="0" fontId="46" fillId="0" borderId="11" xfId="10" applyFont="1" applyBorder="1" applyAlignment="1">
      <alignment horizontal="center" vertical="center"/>
    </xf>
    <xf numFmtId="0" fontId="45" fillId="0" borderId="11" xfId="10" applyBorder="1" applyAlignment="1">
      <alignment horizontal="center" vertical="center" wrapText="1"/>
    </xf>
    <xf numFmtId="0" fontId="45" fillId="0" borderId="11" xfId="10" applyBorder="1" applyAlignment="1">
      <alignment horizontal="center" vertical="top" wrapText="1"/>
    </xf>
    <xf numFmtId="15" fontId="45" fillId="0" borderId="11" xfId="10" applyNumberForma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12" borderId="30" xfId="0" applyFont="1" applyFill="1" applyBorder="1" applyAlignment="1">
      <alignment horizontal="center" vertical="center"/>
    </xf>
    <xf numFmtId="0" fontId="3" fillId="12" borderId="31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0" fontId="3" fillId="12" borderId="102" xfId="0" applyFont="1" applyFill="1" applyBorder="1" applyAlignment="1">
      <alignment horizontal="center" vertical="center"/>
    </xf>
    <xf numFmtId="0" fontId="3" fillId="5" borderId="97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5" borderId="33" xfId="0" applyFont="1" applyFill="1" applyBorder="1" applyAlignment="1">
      <alignment horizontal="center" vertical="top"/>
    </xf>
    <xf numFmtId="0" fontId="3" fillId="0" borderId="97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3" fillId="0" borderId="0" xfId="0" applyFont="1" applyAlignment="1">
      <alignment horizontal="center"/>
    </xf>
    <xf numFmtId="0" fontId="24" fillId="0" borderId="11" xfId="0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24" fillId="0" borderId="58" xfId="0" applyFont="1" applyBorder="1" applyAlignment="1">
      <alignment horizontal="center"/>
    </xf>
    <xf numFmtId="0" fontId="24" fillId="0" borderId="59" xfId="0" applyFont="1" applyBorder="1" applyAlignment="1">
      <alignment horizontal="center"/>
    </xf>
  </cellXfs>
  <cellStyles count="11">
    <cellStyle name="Comma [0] 7 6" xfId="4" xr:uid="{ECFD3BC1-7400-4267-8DA1-28CB919DA43E}"/>
    <cellStyle name="Koma" xfId="1" builtinId="3"/>
    <cellStyle name="Koma [0]" xfId="2" builtinId="6"/>
    <cellStyle name="Koma 2" xfId="5" xr:uid="{18F76E38-5E99-403C-A587-8F4C77CDF59E}"/>
    <cellStyle name="Normal" xfId="0" builtinId="0"/>
    <cellStyle name="Normal 2" xfId="6" xr:uid="{A6D52D10-6F0D-4177-BF70-8FFCE34C9EC3}"/>
    <cellStyle name="Normal 2 2" xfId="7" xr:uid="{0FF02BD5-5888-4A6C-AB2D-E78FAB122086}"/>
    <cellStyle name="Normal 236" xfId="9" xr:uid="{587CA2C4-5861-4065-B597-D078C10DB76E}"/>
    <cellStyle name="Normal 3" xfId="10" xr:uid="{70337782-CF02-4E3D-8A8B-402E134C3B03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3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52107</xdr:colOff>
      <xdr:row>1</xdr:row>
      <xdr:rowOff>283508</xdr:rowOff>
    </xdr:from>
    <xdr:to>
      <xdr:col>2</xdr:col>
      <xdr:colOff>595032</xdr:colOff>
      <xdr:row>3</xdr:row>
      <xdr:rowOff>156882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60CC39E-F8DB-4519-AA7E-0E7B48B95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807" y="445433"/>
          <a:ext cx="542925" cy="549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_INL_Monthly%20Storage%20Tangki%20PT.INL%20Agustus%202024.xlsx" TargetMode="External"/><Relationship Id="rId1" Type="http://schemas.openxmlformats.org/officeDocument/2006/relationships/externalLinkPath" Target="file:///C:\Users\User\Downloads\Copy%20of%2007.%20PT_INL_Monthly%20Storage%20Tangki%20PT.INL%20Agustu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8.%20PT_INL_Monthly%20Storage%20Tangki%20PT.INL%20Agustus%202024.xlsx" TargetMode="External"/><Relationship Id="rId1" Type="http://schemas.openxmlformats.org/officeDocument/2006/relationships/externalLinkPath" Target="file:///C:\Users\User\Downloads\Copy%20of%2008.%20PT_INL_Monthly%20Storage%20Tangki%20PT.INL%20Agustus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.xlsx" TargetMode="External"/><Relationship Id="rId1" Type="http://schemas.openxmlformats.org/officeDocument/2006/relationships/externalLinkPath" Target="file:///C:\Users\User\Downloads\08.%20PT_INL_Monthly%20Storage%20Tangki%20PT.INL%20Agustus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8.%20PT_INL_Monthly%20Storage%20Tangki%20PT.INL%20Agustus%202024.xlsx" TargetMode="External"/><Relationship Id="rId1" Type="http://schemas.openxmlformats.org/officeDocument/2006/relationships/externalLinkPath" Target="file:///C:\Users\User\Downloads\8.%20PT_INL_Monthly%20Storage%20Tangki%20PT.INL%20Agustus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4).xlsx" TargetMode="External"/><Relationship Id="rId1" Type="http://schemas.openxmlformats.org/officeDocument/2006/relationships/externalLinkPath" Target="file:///C:\Users\User\Downloads\08.%20PT_INL_Monthly%20Storage%20Tangki%20PT.INL%20Agustus%202024%20(4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6).xlsx" TargetMode="External"/><Relationship Id="rId1" Type="http://schemas.openxmlformats.org/officeDocument/2006/relationships/externalLinkPath" Target="file:///C:\Users\User\Downloads\08.%20PT_INL_Monthly%20Storage%20Tangki%20PT.INL%20Agustus%202024%20(6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7).xlsx" TargetMode="External"/><Relationship Id="rId1" Type="http://schemas.openxmlformats.org/officeDocument/2006/relationships/externalLinkPath" Target="file:///C:\Users\User\Downloads\08.%20PT_INL_Monthly%20Storage%20Tangki%20PT.INL%20Agustus%202024%20(7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9).xlsx" TargetMode="External"/><Relationship Id="rId1" Type="http://schemas.openxmlformats.org/officeDocument/2006/relationships/externalLinkPath" Target="file:///C:\Users\User\Downloads\08.%20PT_INL_Monthly%20Storage%20Tangki%20PT.INL%20Agustus%202024%20(9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10).xlsx" TargetMode="External"/><Relationship Id="rId1" Type="http://schemas.openxmlformats.org/officeDocument/2006/relationships/externalLinkPath" Target="file:///C:\Users\User\Downloads\08.%20PT_INL_Monthly%20Storage%20Tangki%20PT.INL%20Agustus%202024%20(10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11).xlsx" TargetMode="External"/><Relationship Id="rId1" Type="http://schemas.openxmlformats.org/officeDocument/2006/relationships/externalLinkPath" Target="file:///C:\Users\User\Downloads\08.%20PT_INL_Monthly%20Storage%20Tangki%20PT.INL%20Agustus%202024%20(11)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12).xlsx" TargetMode="External"/><Relationship Id="rId1" Type="http://schemas.openxmlformats.org/officeDocument/2006/relationships/externalLinkPath" Target="file:///C:\Users\User\Downloads\08.%20PT_INL_Monthly%20Storage%20Tangki%20PT.INL%20Agustus%202024%20(12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13).xlsx" TargetMode="External"/><Relationship Id="rId1" Type="http://schemas.openxmlformats.org/officeDocument/2006/relationships/externalLinkPath" Target="file:///C:\Users\User\Downloads\08.%20PT_INL_Monthly%20Storage%20Tangki%20PT.INL%20Agustus%202024%20(13)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3).xlsx" TargetMode="External"/><Relationship Id="rId1" Type="http://schemas.openxmlformats.org/officeDocument/2006/relationships/externalLinkPath" Target="file:///C:\Users\User\Downloads\08.%20PT_INL_Monthly%20Storage%20Tangki%20PT.INL%20Agustus%202024%20(3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8.%20PT_INL_Monthly%20Storage%20Tangki%20PT.INL%20Agustus%202024%20(8).xlsx" TargetMode="External"/><Relationship Id="rId1" Type="http://schemas.openxmlformats.org/officeDocument/2006/relationships/externalLinkPath" Target="file:///C:\Users\User\Downloads\08.%20PT_INL_Monthly%20Storage%20Tangki%20PT.INL%20Agustus%202024%20(8)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gcloudasp.sharepoint.com/sites/420075-94/Shared%20Documents/02%20-%20INL/99%20-%20Individual%20Team%20Folder/Dio/20240501%20Operational%20Cost%20INL%20v2.xlsx" TargetMode="External"/><Relationship Id="rId1" Type="http://schemas.openxmlformats.org/officeDocument/2006/relationships/externalLinkPath" Target="https://bcgcloudasp.sharepoint.com/sites/420075-94/Shared%20Documents/02%20-%20INL/99%20-%20Individual%20Team%20Folder/Dio/20240501%20Operational%20Cost%20INL%20v2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Norma%20Biaya%20Operasional%20Plant%201%202024.xlsx" TargetMode="External"/><Relationship Id="rId1" Type="http://schemas.openxmlformats.org/officeDocument/2006/relationships/externalLinkPath" Target="file:///C:\Users\User\Downloads\Norma%20Biaya%20Operasional%20Plant%201%202024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.%20INL%20Juli%202024%20(1).xlsx" TargetMode="External"/><Relationship Id="rId1" Type="http://schemas.openxmlformats.org/officeDocument/2006/relationships/externalLinkPath" Target="file:///C:\Users\User\Downloads\Copy%20of%2007.%20PT%20INL%20Monthly%20Storage%20Tangki%20PT.%20INL%20Juli%202024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1.xlsx" TargetMode="External"/><Relationship Id="rId1" Type="http://schemas.openxmlformats.org/officeDocument/2006/relationships/externalLinkPath" Target="file:///C:\Users\User\Downloads\Copy%20of%2007.%20PT%20INL%20Monthly%20Storage%20Tangki%20PT%20INL%20Juli%202024%201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.xlsx" TargetMode="External"/><Relationship Id="rId1" Type="http://schemas.openxmlformats.org/officeDocument/2006/relationships/externalLinkPath" Target="file:///C:\Users\User\Downloads\Copy%20of%2007.%20PT%20INL%20Monthly%20Storage%20Tangki%20PT%20INL%20Juli%202024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2).xlsx" TargetMode="External"/><Relationship Id="rId1" Type="http://schemas.openxmlformats.org/officeDocument/2006/relationships/externalLinkPath" Target="file:///C:\Users\User\Downloads\Copy%20of%2007.%20PT%20INL%20Monthly%20Storage%20Tangki%20PT%20INL%20Juli%202024%20(2)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4.DAILY%20REPORT%20PRODUCTION%20APRIL%202024%20(4).xlsx" TargetMode="External"/><Relationship Id="rId1" Type="http://schemas.openxmlformats.org/officeDocument/2006/relationships/externalLinkPath" Target="file:///C:\Users\User\Downloads\04.DAILY%20REPORT%20PRODUCTION%20APRIL%202024%20(4)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5.DAILY%20REPORT%20PRODUCTION%20MEI%202024%20(6).xlsx" TargetMode="External"/><Relationship Id="rId1" Type="http://schemas.openxmlformats.org/officeDocument/2006/relationships/externalLinkPath" Target="file:///C:\Users\User\Downloads\05.DAILY%20REPORT%20PRODUCTION%20MEI%202024%20(6)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6.DAILY%20REPORT%20PRODUCTION%20JUNI%202024%20(6).xlsx" TargetMode="External"/><Relationship Id="rId1" Type="http://schemas.openxmlformats.org/officeDocument/2006/relationships/externalLinkPath" Target="file:///C:\Users\User\Downloads\06.DAILY%20REPORT%20PRODUCTION%20JUNI%202024%20(6)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7.%20DAILY%20REPORT%20PRODUCTION%20JULI%202024.xlsx" TargetMode="External"/><Relationship Id="rId1" Type="http://schemas.openxmlformats.org/officeDocument/2006/relationships/externalLinkPath" Target="file:///C:\Users\User\Downloads\07.%20DAILY%20REPORT%20PRODUCTION%20JULI%202024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7.%20DAILY%20REPORT%20PRODUCTION%20JULI%202024%20(4).xlsx" TargetMode="External"/><Relationship Id="rId1" Type="http://schemas.openxmlformats.org/officeDocument/2006/relationships/externalLinkPath" Target="file:///C:\Users\User\Downloads\07.%20DAILY%20REPORT%20PRODUCTION%20JULI%202024%20(4)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2.DAILY%20REPORT%20PRODUCTION%20FEBRUARI%202024%20(9).xlsx" TargetMode="External"/><Relationship Id="rId1" Type="http://schemas.openxmlformats.org/officeDocument/2006/relationships/externalLinkPath" Target="/1.%20AUDIT%20TCP%20(%20BCG%20)/02.DAILY%20REPORT%20PRODUCTION%20FEBRUARI%202024%20(9)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AUDIT%20TCP%20(%20BCG%20)\01.DAILY%20REPORT%20PRODUCTION%20JANUARI%202024%20(8).xlsx" TargetMode="External"/><Relationship Id="rId1" Type="http://schemas.openxmlformats.org/officeDocument/2006/relationships/externalLinkPath" Target="/1.%20AUDIT%20TCP%20(%20BCG%20)/01.DAILY%20REPORT%20PRODUCTION%20JANUARI%202024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</sheetNames>
    <sheetDataSet>
      <sheetData sheetId="0"/>
      <sheetData sheetId="1">
        <row r="11">
          <cell r="Q11">
            <v>1041404</v>
          </cell>
        </row>
        <row r="13">
          <cell r="P13">
            <v>489345</v>
          </cell>
        </row>
        <row r="17">
          <cell r="P17">
            <v>1337671</v>
          </cell>
        </row>
        <row r="20">
          <cell r="P20">
            <v>310941</v>
          </cell>
        </row>
        <row r="21">
          <cell r="P21">
            <v>396390</v>
          </cell>
        </row>
        <row r="23">
          <cell r="P23">
            <v>54840</v>
          </cell>
        </row>
        <row r="30">
          <cell r="P30">
            <v>223285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</sheetNames>
    <sheetDataSet>
      <sheetData sheetId="0"/>
      <sheetData sheetId="1"/>
      <sheetData sheetId="2">
        <row r="14">
          <cell r="P14">
            <v>1012278</v>
          </cell>
        </row>
        <row r="17">
          <cell r="P17">
            <v>1062915</v>
          </cell>
        </row>
        <row r="20">
          <cell r="P20">
            <v>518225</v>
          </cell>
        </row>
        <row r="21">
          <cell r="P21">
            <v>273297</v>
          </cell>
        </row>
        <row r="25">
          <cell r="P25">
            <v>43942</v>
          </cell>
        </row>
        <row r="30">
          <cell r="P30">
            <v>180439</v>
          </cell>
        </row>
      </sheetData>
      <sheetData sheetId="3">
        <row r="14">
          <cell r="P14">
            <v>802407</v>
          </cell>
        </row>
        <row r="17">
          <cell r="P17">
            <v>1004399</v>
          </cell>
        </row>
        <row r="21">
          <cell r="P21">
            <v>637018</v>
          </cell>
        </row>
        <row r="25">
          <cell r="P25">
            <v>37168</v>
          </cell>
        </row>
        <row r="30">
          <cell r="P30">
            <v>223790</v>
          </cell>
        </row>
      </sheetData>
      <sheetData sheetId="4">
        <row r="17">
          <cell r="P17">
            <v>1014004</v>
          </cell>
        </row>
        <row r="21">
          <cell r="P21">
            <v>714860</v>
          </cell>
        </row>
        <row r="25">
          <cell r="P25">
            <v>43898</v>
          </cell>
        </row>
        <row r="30">
          <cell r="P30">
            <v>249107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</sheetNames>
    <sheetDataSet>
      <sheetData sheetId="0" refreshError="1"/>
      <sheetData sheetId="1">
        <row r="11">
          <cell r="Q11">
            <v>1041404</v>
          </cell>
        </row>
        <row r="13">
          <cell r="Q13">
            <v>376194</v>
          </cell>
        </row>
      </sheetData>
      <sheetData sheetId="2">
        <row r="14">
          <cell r="Q14">
            <v>1104951</v>
          </cell>
        </row>
      </sheetData>
      <sheetData sheetId="3">
        <row r="14">
          <cell r="Q14">
            <v>1042570</v>
          </cell>
        </row>
      </sheetData>
      <sheetData sheetId="4">
        <row r="14">
          <cell r="Q14">
            <v>1062483</v>
          </cell>
        </row>
      </sheetData>
      <sheetData sheetId="5">
        <row r="11">
          <cell r="Q11">
            <v>410309</v>
          </cell>
        </row>
        <row r="13">
          <cell r="P13">
            <v>260717</v>
          </cell>
        </row>
        <row r="17">
          <cell r="P17">
            <v>375835</v>
          </cell>
        </row>
        <row r="20">
          <cell r="P20">
            <v>384558</v>
          </cell>
        </row>
        <row r="21">
          <cell r="P21">
            <v>443511</v>
          </cell>
        </row>
        <row r="25">
          <cell r="P25">
            <v>17690</v>
          </cell>
        </row>
      </sheetData>
      <sheetData sheetId="6">
        <row r="9">
          <cell r="Q9">
            <v>311210</v>
          </cell>
        </row>
        <row r="13">
          <cell r="Q13">
            <v>448061</v>
          </cell>
        </row>
      </sheetData>
      <sheetData sheetId="7">
        <row r="14">
          <cell r="P14">
            <v>211955</v>
          </cell>
          <cell r="Q14">
            <v>217081</v>
          </cell>
        </row>
        <row r="17">
          <cell r="P17">
            <v>205973</v>
          </cell>
        </row>
        <row r="22">
          <cell r="P22">
            <v>1006716</v>
          </cell>
        </row>
        <row r="25">
          <cell r="P25">
            <v>8686</v>
          </cell>
        </row>
        <row r="30">
          <cell r="P30">
            <v>205944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">
          <cell r="P14">
            <v>518236</v>
          </cell>
        </row>
      </sheetData>
      <sheetData sheetId="14">
        <row r="14">
          <cell r="P14">
            <v>327333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4 Rev"/>
      <sheetName val="15 Rev"/>
      <sheetName val="16 Rev"/>
      <sheetName val="17 Rev"/>
      <sheetName val="18 Rev"/>
      <sheetName val="19"/>
      <sheetName val="20"/>
      <sheetName val="21"/>
      <sheetName val="21 SPI"/>
      <sheetName val="22"/>
      <sheetName val="23"/>
      <sheetName val="24"/>
      <sheetName val="25"/>
      <sheetName val="26"/>
      <sheetName val="26 Rev"/>
      <sheetName val="27"/>
      <sheetName val="28"/>
      <sheetName val="29"/>
      <sheetName val="30"/>
      <sheetName val="31 Stok Opname"/>
      <sheetName val="Selisih"/>
    </sheetNames>
    <sheetDataSet>
      <sheetData sheetId="0">
        <row r="18">
          <cell r="P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>
        <row r="14">
          <cell r="P14">
            <v>281390</v>
          </cell>
          <cell r="Q14">
            <v>843222</v>
          </cell>
        </row>
        <row r="17">
          <cell r="P17">
            <v>788283</v>
          </cell>
          <cell r="Q17">
            <v>895292</v>
          </cell>
        </row>
        <row r="20">
          <cell r="P20">
            <v>558630</v>
          </cell>
        </row>
        <row r="25">
          <cell r="P25">
            <v>41535</v>
          </cell>
        </row>
        <row r="29">
          <cell r="P29">
            <v>86388</v>
          </cell>
        </row>
      </sheetData>
      <sheetData sheetId="17" refreshError="1">
        <row r="14">
          <cell r="P14">
            <v>161291</v>
          </cell>
        </row>
        <row r="17">
          <cell r="Q17">
            <v>266317</v>
          </cell>
        </row>
        <row r="20">
          <cell r="P20">
            <v>355043</v>
          </cell>
        </row>
        <row r="30">
          <cell r="P30">
            <v>137403</v>
          </cell>
        </row>
      </sheetData>
      <sheetData sheetId="18" refreshError="1">
        <row r="14">
          <cell r="P14">
            <v>64256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10">
          <cell r="Q10">
            <v>357572</v>
          </cell>
        </row>
        <row r="14">
          <cell r="Q14">
            <v>470127</v>
          </cell>
        </row>
        <row r="15">
          <cell r="P15">
            <v>801007</v>
          </cell>
        </row>
        <row r="18">
          <cell r="P18">
            <v>780411</v>
          </cell>
          <cell r="Q18">
            <v>1036869</v>
          </cell>
        </row>
        <row r="22">
          <cell r="P22">
            <v>706516</v>
          </cell>
        </row>
        <row r="26">
          <cell r="P26">
            <v>34315</v>
          </cell>
        </row>
        <row r="30">
          <cell r="P30">
            <v>276644</v>
          </cell>
        </row>
      </sheetData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5">
          <cell r="P15">
            <v>990208</v>
          </cell>
          <cell r="Q15">
            <v>997925</v>
          </cell>
        </row>
        <row r="18">
          <cell r="P18">
            <v>821583</v>
          </cell>
          <cell r="Q18">
            <v>455927</v>
          </cell>
        </row>
        <row r="21">
          <cell r="P21">
            <v>237525</v>
          </cell>
        </row>
        <row r="26">
          <cell r="P26">
            <v>45493</v>
          </cell>
        </row>
        <row r="29">
          <cell r="P29">
            <v>47314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20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5">
          <cell r="P15">
            <v>1561101</v>
          </cell>
          <cell r="Q15">
            <v>1452148</v>
          </cell>
        </row>
        <row r="17">
          <cell r="P17">
            <v>435450</v>
          </cell>
        </row>
        <row r="18">
          <cell r="Q18">
            <v>174371</v>
          </cell>
        </row>
        <row r="26">
          <cell r="P26">
            <v>54837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20"/>
      <sheetName val="21"/>
      <sheetName val="22"/>
      <sheetName val="21 SPI"/>
      <sheetName val="22 SPI"/>
      <sheetName val="Selisih"/>
      <sheetName val="23"/>
      <sheetName val="24"/>
      <sheetName val="25"/>
      <sheetName val="26"/>
      <sheetName val="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5">
          <cell r="P15">
            <v>1408409</v>
          </cell>
          <cell r="Q15">
            <v>720213</v>
          </cell>
        </row>
        <row r="18">
          <cell r="P18">
            <v>465047</v>
          </cell>
          <cell r="Q18">
            <v>925687</v>
          </cell>
        </row>
        <row r="21">
          <cell r="P21">
            <v>872454</v>
          </cell>
        </row>
        <row r="26">
          <cell r="P26">
            <v>28814</v>
          </cell>
        </row>
        <row r="27">
          <cell r="P27">
            <v>246668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20"/>
      <sheetName val="21"/>
      <sheetName val="21 SPI"/>
      <sheetName val="22"/>
      <sheetName val="23"/>
      <sheetName val="24"/>
      <sheetName val="25"/>
      <sheetName val="Selisih"/>
    </sheetNames>
    <sheetDataSet>
      <sheetData sheetId="0"/>
      <sheetData sheetId="1"/>
      <sheetData sheetId="2"/>
      <sheetData sheetId="3"/>
      <sheetData sheetId="4"/>
      <sheetData sheetId="5">
        <row r="30">
          <cell r="P30">
            <v>224749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5">
          <cell r="P15">
            <v>395196</v>
          </cell>
          <cell r="Q15">
            <v>976465</v>
          </cell>
        </row>
        <row r="18">
          <cell r="P18">
            <v>680153</v>
          </cell>
          <cell r="Q18">
            <v>128203</v>
          </cell>
        </row>
        <row r="21">
          <cell r="P21">
            <v>368020</v>
          </cell>
        </row>
        <row r="22">
          <cell r="P22">
            <v>158029</v>
          </cell>
        </row>
        <row r="26">
          <cell r="P26">
            <v>42594</v>
          </cell>
        </row>
        <row r="30">
          <cell r="P30">
            <v>148470</v>
          </cell>
        </row>
      </sheetData>
      <sheetData sheetId="30">
        <row r="15">
          <cell r="P15">
            <v>851110</v>
          </cell>
          <cell r="Q15">
            <v>1563156</v>
          </cell>
        </row>
        <row r="18">
          <cell r="P18">
            <v>1518089</v>
          </cell>
          <cell r="Q18">
            <v>1073186</v>
          </cell>
        </row>
        <row r="22">
          <cell r="P22">
            <v>449001</v>
          </cell>
        </row>
        <row r="26">
          <cell r="P26">
            <v>58048</v>
          </cell>
        </row>
        <row r="30">
          <cell r="P30">
            <v>205696</v>
          </cell>
        </row>
      </sheetData>
      <sheetData sheetId="31">
        <row r="15">
          <cell r="P15">
            <v>0</v>
          </cell>
          <cell r="Q15">
            <v>1396380</v>
          </cell>
        </row>
        <row r="18">
          <cell r="P18">
            <v>1323807</v>
          </cell>
          <cell r="Q18">
            <v>806379</v>
          </cell>
        </row>
        <row r="22">
          <cell r="P22">
            <v>547847</v>
          </cell>
        </row>
        <row r="26">
          <cell r="P26">
            <v>53833</v>
          </cell>
        </row>
        <row r="30">
          <cell r="P30">
            <v>240847</v>
          </cell>
        </row>
      </sheetData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20"/>
      <sheetName val="21"/>
      <sheetName val="21 SPI"/>
      <sheetName val="22"/>
      <sheetName val="23"/>
      <sheetName val="24"/>
      <sheetName val="25"/>
      <sheetName val="26"/>
      <sheetName val="27"/>
      <sheetName val="Selisi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5">
          <cell r="P15">
            <v>583740</v>
          </cell>
          <cell r="Q15">
            <v>672238</v>
          </cell>
        </row>
        <row r="18">
          <cell r="P18">
            <v>645478</v>
          </cell>
          <cell r="Q18">
            <v>809229</v>
          </cell>
        </row>
        <row r="22">
          <cell r="P22">
            <v>558944</v>
          </cell>
        </row>
        <row r="26">
          <cell r="P26">
            <v>30763</v>
          </cell>
        </row>
        <row r="28">
          <cell r="P28">
            <v>222549</v>
          </cell>
        </row>
      </sheetData>
      <sheetData sheetId="3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20"/>
      <sheetName val="21"/>
      <sheetName val="21 SPI"/>
      <sheetName val="22"/>
      <sheetName val="23"/>
      <sheetName val="24"/>
      <sheetName val="25"/>
      <sheetName val="26"/>
      <sheetName val="26 Rev"/>
      <sheetName val="27"/>
      <sheetName val="28"/>
      <sheetName val="Selisi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5">
          <cell r="P15">
            <v>937351</v>
          </cell>
          <cell r="Q15">
            <v>1017095</v>
          </cell>
        </row>
        <row r="18">
          <cell r="P18">
            <v>780745</v>
          </cell>
          <cell r="Q18">
            <v>478136</v>
          </cell>
        </row>
        <row r="22">
          <cell r="P22">
            <v>644632</v>
          </cell>
        </row>
        <row r="26">
          <cell r="P26">
            <v>35257</v>
          </cell>
        </row>
        <row r="30">
          <cell r="P30">
            <v>286390</v>
          </cell>
        </row>
      </sheetData>
      <sheetData sheetId="3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20"/>
      <sheetName val="21"/>
      <sheetName val="21 SPI"/>
      <sheetName val="22"/>
      <sheetName val="23"/>
      <sheetName val="24"/>
      <sheetName val="25"/>
      <sheetName val="26"/>
      <sheetName val="26 Rev"/>
      <sheetName val="27"/>
      <sheetName val="28"/>
      <sheetName val="29"/>
      <sheetName val="Selisi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5">
          <cell r="P15">
            <v>254530</v>
          </cell>
          <cell r="Q15">
            <v>596307</v>
          </cell>
        </row>
        <row r="18">
          <cell r="P18">
            <v>823773</v>
          </cell>
          <cell r="Q18">
            <v>926106</v>
          </cell>
        </row>
        <row r="22">
          <cell r="P22">
            <v>193043</v>
          </cell>
        </row>
        <row r="26">
          <cell r="P26">
            <v>25789</v>
          </cell>
        </row>
        <row r="30">
          <cell r="P30">
            <v>150356</v>
          </cell>
        </row>
      </sheetData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20"/>
      <sheetName val="21"/>
      <sheetName val="21 SPI"/>
      <sheetName val="22"/>
      <sheetName val="23"/>
      <sheetName val="24"/>
      <sheetName val="25"/>
      <sheetName val="26"/>
      <sheetName val="26 Rev"/>
      <sheetName val="27"/>
      <sheetName val="28"/>
      <sheetName val="29"/>
      <sheetName val="30"/>
      <sheetName val="Selisih"/>
    </sheetNames>
    <sheetDataSet>
      <sheetData sheetId="0"/>
      <sheetData sheetId="1">
        <row r="17">
          <cell r="Q17">
            <v>858578</v>
          </cell>
        </row>
      </sheetData>
      <sheetData sheetId="2">
        <row r="17">
          <cell r="Q17">
            <v>1054796</v>
          </cell>
        </row>
      </sheetData>
      <sheetData sheetId="3">
        <row r="17">
          <cell r="Q17">
            <v>860932</v>
          </cell>
        </row>
      </sheetData>
      <sheetData sheetId="4">
        <row r="17">
          <cell r="Q17">
            <v>922447</v>
          </cell>
        </row>
      </sheetData>
      <sheetData sheetId="5">
        <row r="17">
          <cell r="Q17">
            <v>1038779</v>
          </cell>
        </row>
      </sheetData>
      <sheetData sheetId="6">
        <row r="17">
          <cell r="Q17">
            <v>1410359</v>
          </cell>
        </row>
      </sheetData>
      <sheetData sheetId="7">
        <row r="17">
          <cell r="Q17">
            <v>1171827</v>
          </cell>
        </row>
      </sheetData>
      <sheetData sheetId="8">
        <row r="17">
          <cell r="Q17">
            <v>1048480</v>
          </cell>
        </row>
      </sheetData>
      <sheetData sheetId="9">
        <row r="17">
          <cell r="Q17">
            <v>518065</v>
          </cell>
        </row>
      </sheetData>
      <sheetData sheetId="10">
        <row r="17">
          <cell r="Q17">
            <v>1272374</v>
          </cell>
        </row>
      </sheetData>
      <sheetData sheetId="11">
        <row r="17">
          <cell r="Q17">
            <v>702972</v>
          </cell>
        </row>
      </sheetData>
      <sheetData sheetId="12">
        <row r="17">
          <cell r="Q17">
            <v>50573</v>
          </cell>
        </row>
      </sheetData>
      <sheetData sheetId="13">
        <row r="17">
          <cell r="Q17">
            <v>931812</v>
          </cell>
        </row>
      </sheetData>
      <sheetData sheetId="14">
        <row r="17">
          <cell r="Q17">
            <v>1278793</v>
          </cell>
        </row>
      </sheetData>
      <sheetData sheetId="15"/>
      <sheetData sheetId="16">
        <row r="17">
          <cell r="Q17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5">
          <cell r="P15">
            <v>596514</v>
          </cell>
          <cell r="Q15">
            <v>347783</v>
          </cell>
        </row>
        <row r="18">
          <cell r="P18">
            <v>311419</v>
          </cell>
          <cell r="Q18">
            <v>862504</v>
          </cell>
        </row>
        <row r="22">
          <cell r="P22">
            <v>670371</v>
          </cell>
        </row>
        <row r="26">
          <cell r="P26">
            <v>13679</v>
          </cell>
        </row>
        <row r="28">
          <cell r="P28">
            <v>246904</v>
          </cell>
        </row>
      </sheetData>
      <sheetData sheetId="3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Stock Opnam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4 Rev"/>
      <sheetName val="15"/>
      <sheetName val="15 Rev"/>
      <sheetName val="16"/>
      <sheetName val="16 Rev"/>
      <sheetName val="17"/>
      <sheetName val="17 Rev"/>
      <sheetName val="18"/>
      <sheetName val="18 Rev"/>
      <sheetName val="19"/>
      <sheetName val="20"/>
      <sheetName val="21"/>
      <sheetName val="22"/>
      <sheetName val="21 SPI"/>
      <sheetName val="22 SPI"/>
      <sheetName val="Selisi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Q14">
            <v>723542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3">
          <cell r="P23">
            <v>673349</v>
          </cell>
        </row>
        <row r="30">
          <cell r="P30">
            <v>185623</v>
          </cell>
        </row>
      </sheetData>
      <sheetData sheetId="27"/>
      <sheetData sheetId="28"/>
      <sheetData sheetId="29"/>
      <sheetData sheetId="3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-1"/>
      <sheetName val="Sum-2"/>
      <sheetName val="Rekap"/>
      <sheetName val="Formula"/>
      <sheetName val="VC-1"/>
      <sheetName val="VC-2"/>
      <sheetName val="VC-3M"/>
      <sheetName val="VC-3E"/>
      <sheetName val="FC-1"/>
      <sheetName val="FC-1 New"/>
      <sheetName val="FC-2"/>
      <sheetName val="FC-2 (Test)"/>
      <sheetName val="FC-4"/>
      <sheetName val="FC-5"/>
      <sheetName val="Finance"/>
      <sheetName val="Sales-1"/>
      <sheetName val="Sales - Retail"/>
      <sheetName val="Sales-2"/>
      <sheetName val="Other Income"/>
      <sheetName val="L.MPP (New)"/>
      <sheetName val="Outsourcing (App)(New)"/>
      <sheetName val="L.Lab"/>
      <sheetName val="L.Electr"/>
      <sheetName val="L.Steam"/>
      <sheetName val="L.Water"/>
      <sheetName val="L.WWTP"/>
      <sheetName val="L.Dep"/>
      <sheetName val="Indirect"/>
    </sheetNames>
    <sheetDataSet>
      <sheetData sheetId="0" refreshError="1"/>
      <sheetData sheetId="1" refreshError="1"/>
      <sheetData sheetId="2" refreshError="1"/>
      <sheetData sheetId="3" refreshError="1">
        <row r="3">
          <cell r="G3">
            <v>2000</v>
          </cell>
        </row>
        <row r="6">
          <cell r="G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7">
          <cell r="I17">
            <v>41991235467.616974</v>
          </cell>
        </row>
        <row r="38">
          <cell r="I38">
            <v>15505949600.223</v>
          </cell>
        </row>
      </sheetData>
      <sheetData sheetId="10" refreshError="1">
        <row r="69">
          <cell r="J69">
            <v>11780863262.314999</v>
          </cell>
        </row>
      </sheetData>
      <sheetData sheetId="11" refreshError="1"/>
      <sheetData sheetId="12" refreshError="1">
        <row r="5">
          <cell r="E5">
            <v>41807174181.370003</v>
          </cell>
        </row>
      </sheetData>
      <sheetData sheetId="13" refreshError="1">
        <row r="5">
          <cell r="D5">
            <v>24145564059.079998</v>
          </cell>
        </row>
      </sheetData>
      <sheetData sheetId="14" refreshError="1">
        <row r="8">
          <cell r="H8">
            <v>57976217057.57</v>
          </cell>
        </row>
        <row r="22">
          <cell r="H22">
            <v>0</v>
          </cell>
        </row>
        <row r="26">
          <cell r="H26">
            <v>0</v>
          </cell>
        </row>
      </sheetData>
      <sheetData sheetId="15" refreshError="1">
        <row r="26">
          <cell r="M26">
            <v>119217295738.35999</v>
          </cell>
        </row>
      </sheetData>
      <sheetData sheetId="16" refreshError="1"/>
      <sheetData sheetId="17" refreshError="1">
        <row r="13">
          <cell r="G13">
            <v>79024015564.76001</v>
          </cell>
        </row>
      </sheetData>
      <sheetData sheetId="18" refreshError="1"/>
      <sheetData sheetId="19" refreshError="1"/>
      <sheetData sheetId="20" refreshError="1"/>
      <sheetData sheetId="21" refreshError="1">
        <row r="132">
          <cell r="H132">
            <v>8049691.1652661087</v>
          </cell>
        </row>
      </sheetData>
      <sheetData sheetId="22" refreshError="1"/>
      <sheetData sheetId="23" refreshError="1"/>
      <sheetData sheetId="24" refreshError="1">
        <row r="6">
          <cell r="F6">
            <v>8700</v>
          </cell>
        </row>
      </sheetData>
      <sheetData sheetId="25" refreshError="1"/>
      <sheetData sheetId="26" refreshError="1"/>
      <sheetData sheetId="2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  <row r="48">
          <cell r="M48">
            <v>16422668234.387341</v>
          </cell>
        </row>
      </sheetData>
      <sheetData sheetId="2">
        <row r="4">
          <cell r="O4">
            <v>4314</v>
          </cell>
        </row>
        <row r="25">
          <cell r="M25">
            <v>17406850764.555809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73">
          <cell r="H73">
            <v>7633808.8123249318</v>
          </cell>
        </row>
        <row r="131">
          <cell r="H131">
            <v>135770.30812324933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H15">
            <v>516233.21125343133</v>
          </cell>
        </row>
      </sheetData>
      <sheetData sheetId="8"/>
      <sheetData sheetId="9"/>
      <sheetData sheetId="10">
        <row r="13">
          <cell r="H13">
            <v>22504.0903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</sheetNames>
    <sheetDataSet>
      <sheetData sheetId="0" refreshError="1"/>
      <sheetData sheetId="1">
        <row r="14">
          <cell r="P14">
            <v>865877</v>
          </cell>
          <cell r="Q14">
            <v>744924</v>
          </cell>
        </row>
        <row r="15">
          <cell r="P15">
            <v>667300</v>
          </cell>
        </row>
        <row r="21">
          <cell r="P21">
            <v>437978</v>
          </cell>
        </row>
        <row r="24">
          <cell r="P24">
            <v>25659</v>
          </cell>
        </row>
        <row r="29">
          <cell r="P29">
            <v>198816</v>
          </cell>
        </row>
      </sheetData>
      <sheetData sheetId="2">
        <row r="14">
          <cell r="P14">
            <v>1020502</v>
          </cell>
          <cell r="Q14">
            <v>743972</v>
          </cell>
        </row>
        <row r="15">
          <cell r="P15">
            <v>695000</v>
          </cell>
        </row>
        <row r="21">
          <cell r="P21">
            <v>502403</v>
          </cell>
        </row>
        <row r="24">
          <cell r="P24">
            <v>18786</v>
          </cell>
        </row>
        <row r="29">
          <cell r="P29">
            <v>203229</v>
          </cell>
        </row>
      </sheetData>
      <sheetData sheetId="3">
        <row r="14">
          <cell r="P14">
            <v>623069</v>
          </cell>
          <cell r="Q14">
            <v>1048435</v>
          </cell>
        </row>
        <row r="15">
          <cell r="P15">
            <v>814100</v>
          </cell>
        </row>
        <row r="21">
          <cell r="P21">
            <v>540182</v>
          </cell>
        </row>
        <row r="24">
          <cell r="P24">
            <v>46938</v>
          </cell>
        </row>
        <row r="28">
          <cell r="P28">
            <v>187481</v>
          </cell>
        </row>
      </sheetData>
      <sheetData sheetId="4">
        <row r="14">
          <cell r="P14">
            <v>686156</v>
          </cell>
          <cell r="Q14">
            <v>1114821</v>
          </cell>
        </row>
        <row r="15">
          <cell r="P15">
            <v>760000</v>
          </cell>
        </row>
        <row r="21">
          <cell r="P21">
            <v>762960</v>
          </cell>
        </row>
        <row r="24">
          <cell r="P24">
            <v>48667</v>
          </cell>
        </row>
        <row r="30">
          <cell r="P30">
            <v>290816</v>
          </cell>
        </row>
      </sheetData>
      <sheetData sheetId="5">
        <row r="14">
          <cell r="P14">
            <v>500524</v>
          </cell>
          <cell r="Q14">
            <v>248126</v>
          </cell>
        </row>
        <row r="21">
          <cell r="P21">
            <v>360256</v>
          </cell>
        </row>
        <row r="28">
          <cell r="P28">
            <v>225296</v>
          </cell>
        </row>
      </sheetData>
      <sheetData sheetId="6">
        <row r="14">
          <cell r="P14">
            <v>286477</v>
          </cell>
          <cell r="Q14">
            <v>388487</v>
          </cell>
        </row>
        <row r="15">
          <cell r="P15">
            <v>587100</v>
          </cell>
        </row>
        <row r="21">
          <cell r="P21">
            <v>449507</v>
          </cell>
        </row>
        <row r="24">
          <cell r="P24">
            <v>32281</v>
          </cell>
        </row>
        <row r="28">
          <cell r="P28">
            <v>182848</v>
          </cell>
        </row>
      </sheetData>
      <sheetData sheetId="7">
        <row r="11">
          <cell r="P11">
            <v>40800</v>
          </cell>
        </row>
        <row r="14">
          <cell r="Q14">
            <v>57906</v>
          </cell>
        </row>
        <row r="15">
          <cell r="P15">
            <v>92106</v>
          </cell>
        </row>
        <row r="21">
          <cell r="P21">
            <v>208841</v>
          </cell>
        </row>
        <row r="28">
          <cell r="P28">
            <v>106305</v>
          </cell>
        </row>
      </sheetData>
      <sheetData sheetId="8">
        <row r="13">
          <cell r="P13">
            <v>167056</v>
          </cell>
          <cell r="Q13">
            <v>258343</v>
          </cell>
        </row>
        <row r="15">
          <cell r="P15">
            <v>26007</v>
          </cell>
        </row>
        <row r="16">
          <cell r="P16">
            <v>79213</v>
          </cell>
        </row>
        <row r="24">
          <cell r="P24">
            <v>26283</v>
          </cell>
        </row>
      </sheetData>
      <sheetData sheetId="9">
        <row r="11">
          <cell r="Q11">
            <v>154743</v>
          </cell>
        </row>
        <row r="13">
          <cell r="P13">
            <v>203264</v>
          </cell>
        </row>
        <row r="15">
          <cell r="P15">
            <v>68072</v>
          </cell>
        </row>
        <row r="16">
          <cell r="P16">
            <v>2765</v>
          </cell>
        </row>
        <row r="21">
          <cell r="P21">
            <v>295995</v>
          </cell>
        </row>
        <row r="23">
          <cell r="P23">
            <v>4000</v>
          </cell>
        </row>
        <row r="24">
          <cell r="P24">
            <v>2431</v>
          </cell>
        </row>
        <row r="28">
          <cell r="P28">
            <v>96081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">
          <cell r="P14">
            <v>826180</v>
          </cell>
        </row>
        <row r="17">
          <cell r="P17">
            <v>488153</v>
          </cell>
        </row>
        <row r="23">
          <cell r="P23">
            <v>20426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Q11">
            <v>441064</v>
          </cell>
        </row>
        <row r="14">
          <cell r="P14">
            <v>474327</v>
          </cell>
        </row>
        <row r="17">
          <cell r="P17">
            <v>379337</v>
          </cell>
        </row>
        <row r="21">
          <cell r="P21">
            <v>478550</v>
          </cell>
        </row>
        <row r="23">
          <cell r="P23">
            <v>23275</v>
          </cell>
        </row>
        <row r="28">
          <cell r="P28">
            <v>169774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">
          <cell r="Q11">
            <v>302401</v>
          </cell>
        </row>
        <row r="13">
          <cell r="P13">
            <v>329989</v>
          </cell>
          <cell r="Q13">
            <v>224002</v>
          </cell>
        </row>
        <row r="17">
          <cell r="P17">
            <v>492952</v>
          </cell>
        </row>
        <row r="21">
          <cell r="P21">
            <v>209348</v>
          </cell>
        </row>
        <row r="25">
          <cell r="P25">
            <v>27655</v>
          </cell>
        </row>
        <row r="28">
          <cell r="P28">
            <v>111127</v>
          </cell>
        </row>
      </sheetData>
      <sheetData sheetId="13">
        <row r="13">
          <cell r="P13">
            <v>226358</v>
          </cell>
          <cell r="Q13">
            <v>568358</v>
          </cell>
        </row>
        <row r="17">
          <cell r="P17">
            <v>532902</v>
          </cell>
        </row>
        <row r="21">
          <cell r="P21">
            <v>245921</v>
          </cell>
        </row>
        <row r="25">
          <cell r="P25">
            <v>25803</v>
          </cell>
        </row>
        <row r="30">
          <cell r="P30">
            <v>83059</v>
          </cell>
        </row>
      </sheetData>
      <sheetData sheetId="14">
        <row r="11">
          <cell r="Q11">
            <v>144048</v>
          </cell>
        </row>
        <row r="13">
          <cell r="Q13">
            <v>286339</v>
          </cell>
        </row>
        <row r="16">
          <cell r="P16">
            <v>497845</v>
          </cell>
        </row>
        <row r="21">
          <cell r="P21">
            <v>428023</v>
          </cell>
        </row>
        <row r="30">
          <cell r="P30">
            <v>191480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1">
          <cell r="P21">
            <v>212137</v>
          </cell>
        </row>
        <row r="29">
          <cell r="P29">
            <v>137546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10">
          <cell r="AL10">
            <v>17.457608504398824</v>
          </cell>
        </row>
        <row r="11">
          <cell r="AL11">
            <v>11906089</v>
          </cell>
        </row>
        <row r="12">
          <cell r="AL12">
            <v>10284032.518182635</v>
          </cell>
        </row>
        <row r="13">
          <cell r="AL13">
            <v>1622056.4818173659</v>
          </cell>
        </row>
        <row r="15">
          <cell r="AL15">
            <v>0.42388888888888893</v>
          </cell>
        </row>
        <row r="16">
          <cell r="AL16">
            <v>2.2105555555555561</v>
          </cell>
        </row>
        <row r="18">
          <cell r="AL18">
            <v>11255730</v>
          </cell>
        </row>
        <row r="19">
          <cell r="AL19">
            <v>568791</v>
          </cell>
        </row>
        <row r="22">
          <cell r="AL22">
            <v>1982807</v>
          </cell>
        </row>
        <row r="23">
          <cell r="AL23">
            <v>396275</v>
          </cell>
        </row>
        <row r="26">
          <cell r="AL26">
            <v>2230587</v>
          </cell>
        </row>
        <row r="27">
          <cell r="AL27">
            <v>597280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8">
          <cell r="AL38">
            <v>1622056.4818173659</v>
          </cell>
        </row>
        <row r="39">
          <cell r="AL39">
            <v>1537641</v>
          </cell>
        </row>
        <row r="40">
          <cell r="AL40">
            <v>0</v>
          </cell>
        </row>
        <row r="41">
          <cell r="AL41">
            <v>923976</v>
          </cell>
        </row>
        <row r="42">
          <cell r="AL42">
            <v>613665</v>
          </cell>
        </row>
        <row r="43">
          <cell r="AL43">
            <v>17.423640322580646</v>
          </cell>
        </row>
        <row r="58">
          <cell r="AL58">
            <v>128586</v>
          </cell>
        </row>
        <row r="59">
          <cell r="AL59">
            <v>1.2503461047274416</v>
          </cell>
        </row>
        <row r="60">
          <cell r="AL60">
            <v>25923</v>
          </cell>
        </row>
        <row r="61">
          <cell r="AL61">
            <v>1.5981564323182909</v>
          </cell>
        </row>
        <row r="62">
          <cell r="AL62">
            <v>6664.8560000000007</v>
          </cell>
        </row>
        <row r="63">
          <cell r="AL63">
            <v>5.597855013514514E-2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  <row r="217">
          <cell r="AL217">
            <v>27426.645100000005</v>
          </cell>
        </row>
        <row r="218">
          <cell r="AL218">
            <v>23450.754799999995</v>
          </cell>
        </row>
        <row r="220">
          <cell r="AL220">
            <v>2299.1853999999998</v>
          </cell>
        </row>
        <row r="221">
          <cell r="AL221">
            <v>21151.569399999997</v>
          </cell>
        </row>
        <row r="224">
          <cell r="AL224">
            <v>4927889</v>
          </cell>
        </row>
        <row r="226">
          <cell r="AL226">
            <v>2995400</v>
          </cell>
        </row>
        <row r="227">
          <cell r="AL227">
            <v>1282600</v>
          </cell>
        </row>
        <row r="228">
          <cell r="AL228">
            <v>649889</v>
          </cell>
        </row>
        <row r="231">
          <cell r="AL231">
            <v>17554</v>
          </cell>
        </row>
        <row r="233">
          <cell r="AL233">
            <v>2013</v>
          </cell>
        </row>
        <row r="234">
          <cell r="AL234">
            <v>1344</v>
          </cell>
        </row>
        <row r="235">
          <cell r="AL235">
            <v>7297.1</v>
          </cell>
        </row>
        <row r="237">
          <cell r="AL237">
            <v>4438</v>
          </cell>
        </row>
        <row r="240">
          <cell r="AL240">
            <v>520700</v>
          </cell>
        </row>
      </sheetData>
      <sheetData sheetId="2" refreshError="1"/>
      <sheetData sheetId="3" refreshError="1">
        <row r="9">
          <cell r="AL9">
            <v>11</v>
          </cell>
        </row>
        <row r="10">
          <cell r="AL10">
            <v>17.224766862170089</v>
          </cell>
        </row>
        <row r="11">
          <cell r="AL11">
            <v>11747291</v>
          </cell>
        </row>
        <row r="12">
          <cell r="AL12">
            <v>10885810.60758747</v>
          </cell>
        </row>
        <row r="13">
          <cell r="AL13">
            <v>861480.39241253119</v>
          </cell>
        </row>
        <row r="15">
          <cell r="AL15">
            <v>0.43545454545454548</v>
          </cell>
        </row>
        <row r="16">
          <cell r="AL16">
            <v>2.2127272727272729</v>
          </cell>
        </row>
        <row r="18">
          <cell r="AL18">
            <v>11075536</v>
          </cell>
        </row>
        <row r="19">
          <cell r="AL19">
            <v>594383</v>
          </cell>
        </row>
        <row r="21">
          <cell r="AL21">
            <v>50570</v>
          </cell>
        </row>
        <row r="22">
          <cell r="AL22">
            <v>42320</v>
          </cell>
        </row>
        <row r="23">
          <cell r="AL23">
            <v>8250</v>
          </cell>
        </row>
        <row r="72">
          <cell r="AI72">
            <v>0</v>
          </cell>
        </row>
        <row r="101">
          <cell r="AI101">
            <v>0</v>
          </cell>
        </row>
        <row r="102">
          <cell r="AI102">
            <v>0</v>
          </cell>
        </row>
        <row r="110">
          <cell r="AI110">
            <v>0</v>
          </cell>
        </row>
        <row r="111">
          <cell r="AI111">
            <v>0</v>
          </cell>
        </row>
        <row r="154">
          <cell r="AL154">
            <v>202</v>
          </cell>
        </row>
        <row r="155">
          <cell r="AL155">
            <v>1126</v>
          </cell>
        </row>
        <row r="156">
          <cell r="AL156">
            <v>5369</v>
          </cell>
        </row>
        <row r="157">
          <cell r="AL157">
            <v>0</v>
          </cell>
        </row>
        <row r="168">
          <cell r="AL168">
            <v>9</v>
          </cell>
        </row>
        <row r="169">
          <cell r="AL169">
            <v>86</v>
          </cell>
        </row>
        <row r="184">
          <cell r="AL184">
            <v>0</v>
          </cell>
        </row>
        <row r="190">
          <cell r="AL190">
            <v>15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542142</v>
          </cell>
        </row>
        <row r="213">
          <cell r="AL213">
            <v>192009</v>
          </cell>
        </row>
        <row r="214">
          <cell r="AL214">
            <v>734151</v>
          </cell>
        </row>
        <row r="215">
          <cell r="AL215">
            <v>649233.52999999991</v>
          </cell>
        </row>
        <row r="217">
          <cell r="AL217">
            <v>17654.447900000003</v>
          </cell>
        </row>
        <row r="218">
          <cell r="AL218">
            <v>14868.589600000001</v>
          </cell>
        </row>
        <row r="220">
          <cell r="AL220">
            <v>1937.1727999999998</v>
          </cell>
        </row>
        <row r="221">
          <cell r="AL221">
            <v>12931.416799999999</v>
          </cell>
        </row>
        <row r="224">
          <cell r="AL224">
            <v>3183848</v>
          </cell>
        </row>
        <row r="226">
          <cell r="AL226">
            <v>2048300</v>
          </cell>
        </row>
        <row r="227">
          <cell r="AL227">
            <v>818400</v>
          </cell>
        </row>
        <row r="228">
          <cell r="AL228">
            <v>317148</v>
          </cell>
        </row>
        <row r="231">
          <cell r="AL231">
            <v>16703</v>
          </cell>
        </row>
        <row r="233">
          <cell r="AL233">
            <v>1500</v>
          </cell>
        </row>
        <row r="234">
          <cell r="AL234">
            <v>1063</v>
          </cell>
        </row>
        <row r="235">
          <cell r="AL235">
            <v>3910.2999999999997</v>
          </cell>
        </row>
        <row r="236">
          <cell r="AL236">
            <v>10229.699999999997</v>
          </cell>
        </row>
        <row r="237">
          <cell r="AL237">
            <v>2566</v>
          </cell>
        </row>
        <row r="240">
          <cell r="AL240">
            <v>417100</v>
          </cell>
        </row>
      </sheetData>
      <sheetData sheetId="4" refreshError="1"/>
      <sheetData sheetId="5" refreshError="1">
        <row r="9">
          <cell r="AL9">
            <v>5</v>
          </cell>
        </row>
        <row r="10">
          <cell r="AL10">
            <v>4.5497712609970664</v>
          </cell>
        </row>
        <row r="11">
          <cell r="AL11">
            <v>3102944</v>
          </cell>
        </row>
        <row r="12">
          <cell r="AL12">
            <v>2891954.6607774799</v>
          </cell>
        </row>
        <row r="13">
          <cell r="AL13">
            <v>210989.3392225201</v>
          </cell>
        </row>
        <row r="15">
          <cell r="AL15">
            <v>0.43</v>
          </cell>
        </row>
        <row r="16">
          <cell r="AL16">
            <v>2.21</v>
          </cell>
        </row>
        <row r="18">
          <cell r="AL18">
            <v>2943785</v>
          </cell>
        </row>
        <row r="19">
          <cell r="AL19">
            <v>137988</v>
          </cell>
        </row>
        <row r="21">
          <cell r="AL21">
            <v>0</v>
          </cell>
        </row>
        <row r="22">
          <cell r="AL22">
            <v>0</v>
          </cell>
        </row>
        <row r="23">
          <cell r="AL23">
            <v>0</v>
          </cell>
        </row>
        <row r="25">
          <cell r="AL25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210989.3392225201</v>
          </cell>
        </row>
        <row r="31">
          <cell r="AL31">
            <v>151447</v>
          </cell>
        </row>
        <row r="32">
          <cell r="AL32">
            <v>49934</v>
          </cell>
        </row>
        <row r="35">
          <cell r="AL35">
            <v>1075806</v>
          </cell>
        </row>
        <row r="36">
          <cell r="AL36">
            <v>517413</v>
          </cell>
        </row>
        <row r="38">
          <cell r="AL38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43">
          <cell r="AL43">
            <v>2.8945161290322581</v>
          </cell>
        </row>
        <row r="58">
          <cell r="AL58">
            <v>29654</v>
          </cell>
        </row>
        <row r="60">
          <cell r="AL60">
            <v>2901</v>
          </cell>
        </row>
        <row r="62">
          <cell r="AL62">
            <v>1744.336</v>
          </cell>
        </row>
        <row r="65">
          <cell r="AL65">
            <v>21.957999999999998</v>
          </cell>
        </row>
        <row r="68">
          <cell r="AL68">
            <v>0</v>
          </cell>
        </row>
        <row r="69">
          <cell r="AL69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98">
          <cell r="AL98">
            <v>0</v>
          </cell>
        </row>
        <row r="99">
          <cell r="AL99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86">
          <cell r="AL186">
            <v>0</v>
          </cell>
        </row>
        <row r="187">
          <cell r="AL187">
            <v>0</v>
          </cell>
        </row>
        <row r="188">
          <cell r="AL188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  <row r="217">
          <cell r="AL217">
            <v>5574.5241999999998</v>
          </cell>
        </row>
        <row r="218">
          <cell r="AL218">
            <v>5581.7098999999998</v>
          </cell>
        </row>
        <row r="220">
          <cell r="AL220">
            <v>578.96010000000001</v>
          </cell>
        </row>
        <row r="221">
          <cell r="AL221">
            <v>5002.7498000000005</v>
          </cell>
        </row>
        <row r="222">
          <cell r="AL222">
            <v>5581.7099000000007</v>
          </cell>
        </row>
        <row r="224">
          <cell r="AL224">
            <v>1241817</v>
          </cell>
        </row>
        <row r="226">
          <cell r="AL226">
            <v>829700</v>
          </cell>
        </row>
        <row r="227">
          <cell r="AL227">
            <v>366100</v>
          </cell>
        </row>
        <row r="228">
          <cell r="AL228">
            <v>46017</v>
          </cell>
        </row>
        <row r="229">
          <cell r="AL229">
            <v>1241817</v>
          </cell>
        </row>
        <row r="231">
          <cell r="AL231">
            <v>3331</v>
          </cell>
        </row>
        <row r="233">
          <cell r="AL233">
            <v>472</v>
          </cell>
        </row>
        <row r="234">
          <cell r="AL234">
            <v>414</v>
          </cell>
        </row>
        <row r="235">
          <cell r="AL235">
            <v>1557</v>
          </cell>
        </row>
        <row r="236">
          <cell r="AL236">
            <v>888</v>
          </cell>
        </row>
        <row r="237">
          <cell r="AL237">
            <v>941</v>
          </cell>
        </row>
      </sheetData>
      <sheetData sheetId="6" refreshError="1">
        <row r="9">
          <cell r="AL9">
            <v>0</v>
          </cell>
        </row>
        <row r="21">
          <cell r="AL21">
            <v>0</v>
          </cell>
        </row>
        <row r="22">
          <cell r="AL22">
            <v>0</v>
          </cell>
        </row>
        <row r="23">
          <cell r="AL23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9">
          <cell r="AL39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43">
          <cell r="AL43">
            <v>0</v>
          </cell>
        </row>
        <row r="60">
          <cell r="AL60">
            <v>0</v>
          </cell>
        </row>
        <row r="68">
          <cell r="AL68">
            <v>0</v>
          </cell>
        </row>
        <row r="69">
          <cell r="AL69">
            <v>0</v>
          </cell>
        </row>
        <row r="70">
          <cell r="AL70">
            <v>0</v>
          </cell>
        </row>
        <row r="71">
          <cell r="AL71">
            <v>0</v>
          </cell>
        </row>
        <row r="72">
          <cell r="AL72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1">
          <cell r="AL151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7" refreshError="1">
        <row r="9">
          <cell r="AL9">
            <v>0</v>
          </cell>
        </row>
        <row r="21">
          <cell r="AL21">
            <v>0</v>
          </cell>
        </row>
        <row r="22">
          <cell r="AL22">
            <v>0</v>
          </cell>
        </row>
        <row r="23">
          <cell r="AL23">
            <v>0</v>
          </cell>
        </row>
        <row r="25">
          <cell r="AL25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9">
          <cell r="AL39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60">
          <cell r="AL60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97">
          <cell r="AL97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8" refreshError="1">
        <row r="9">
          <cell r="AL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60">
          <cell r="AL60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9" refreshError="1">
        <row r="9">
          <cell r="AL9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9">
          <cell r="AL39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0" refreshError="1">
        <row r="9">
          <cell r="AL9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</sheetData>
      <sheetData sheetId="11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68">
          <cell r="AL168">
            <v>0</v>
          </cell>
        </row>
        <row r="169">
          <cell r="AL169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6">
          <cell r="AL236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2" refreshError="1"/>
      <sheetData sheetId="13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0">
          <cell r="AL30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39">
          <cell r="AL39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59">
          <cell r="AL159">
            <v>0</v>
          </cell>
        </row>
        <row r="160">
          <cell r="AL160">
            <v>0</v>
          </cell>
        </row>
        <row r="162">
          <cell r="AL162">
            <v>0</v>
          </cell>
        </row>
        <row r="163">
          <cell r="AL163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5">
          <cell r="AL215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6">
          <cell r="AL236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4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39">
          <cell r="AL39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5">
          <cell r="AL65" t="e">
            <v>#DIV/0!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0">
          <cell r="AL150">
            <v>0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  <row r="40">
          <cell r="AL40">
            <v>0</v>
          </cell>
        </row>
        <row r="41">
          <cell r="AL41">
            <v>0</v>
          </cell>
        </row>
        <row r="42">
          <cell r="AL42">
            <v>0</v>
          </cell>
        </row>
        <row r="58">
          <cell r="AL58">
            <v>0</v>
          </cell>
        </row>
        <row r="60">
          <cell r="AL60">
            <v>0</v>
          </cell>
        </row>
        <row r="62">
          <cell r="AL62">
            <v>0</v>
          </cell>
        </row>
        <row r="65">
          <cell r="AL65" t="e">
            <v>#DIV/0!</v>
          </cell>
        </row>
        <row r="68">
          <cell r="AL68">
            <v>0</v>
          </cell>
        </row>
        <row r="69">
          <cell r="AL69">
            <v>0</v>
          </cell>
        </row>
        <row r="74">
          <cell r="AL74">
            <v>0</v>
          </cell>
        </row>
        <row r="75">
          <cell r="AL75">
            <v>0</v>
          </cell>
        </row>
        <row r="83">
          <cell r="AL83">
            <v>0</v>
          </cell>
        </row>
        <row r="84">
          <cell r="AL84">
            <v>0</v>
          </cell>
        </row>
        <row r="96">
          <cell r="AL96">
            <v>0</v>
          </cell>
        </row>
        <row r="101">
          <cell r="AL101">
            <v>0</v>
          </cell>
        </row>
        <row r="102">
          <cell r="AL102">
            <v>0</v>
          </cell>
        </row>
        <row r="110">
          <cell r="AL110">
            <v>0</v>
          </cell>
        </row>
        <row r="111">
          <cell r="AL111">
            <v>0</v>
          </cell>
        </row>
        <row r="123">
          <cell r="AL123">
            <v>0</v>
          </cell>
        </row>
        <row r="124">
          <cell r="AL124">
            <v>0</v>
          </cell>
        </row>
        <row r="128">
          <cell r="AL128">
            <v>0</v>
          </cell>
        </row>
        <row r="129">
          <cell r="AL129">
            <v>0</v>
          </cell>
        </row>
        <row r="137">
          <cell r="AL137">
            <v>0</v>
          </cell>
        </row>
        <row r="138">
          <cell r="AL138">
            <v>0</v>
          </cell>
        </row>
        <row r="156">
          <cell r="AL156">
            <v>0</v>
          </cell>
        </row>
        <row r="160">
          <cell r="AL160">
            <v>0</v>
          </cell>
        </row>
        <row r="161">
          <cell r="AL161">
            <v>0</v>
          </cell>
        </row>
        <row r="162">
          <cell r="AL162">
            <v>0</v>
          </cell>
        </row>
        <row r="172">
          <cell r="AL172" t="e">
            <v>#DIV/0!</v>
          </cell>
        </row>
        <row r="173">
          <cell r="AL173" t="e">
            <v>#DIV/0!</v>
          </cell>
        </row>
        <row r="184">
          <cell r="AL184">
            <v>0</v>
          </cell>
        </row>
        <row r="185">
          <cell r="AL185">
            <v>0</v>
          </cell>
        </row>
        <row r="190">
          <cell r="AL190">
            <v>0</v>
          </cell>
        </row>
        <row r="191">
          <cell r="AL191">
            <v>0</v>
          </cell>
        </row>
        <row r="199">
          <cell r="AL199">
            <v>0</v>
          </cell>
        </row>
        <row r="200">
          <cell r="AL200">
            <v>0</v>
          </cell>
        </row>
        <row r="211">
          <cell r="AL211">
            <v>0</v>
          </cell>
        </row>
        <row r="212">
          <cell r="AL212">
            <v>0</v>
          </cell>
        </row>
        <row r="213">
          <cell r="AL213">
            <v>0</v>
          </cell>
        </row>
        <row r="214">
          <cell r="AL214">
            <v>0</v>
          </cell>
        </row>
        <row r="217">
          <cell r="AL217">
            <v>0</v>
          </cell>
        </row>
        <row r="218">
          <cell r="AL218">
            <v>0</v>
          </cell>
        </row>
        <row r="220">
          <cell r="AL220">
            <v>0</v>
          </cell>
        </row>
        <row r="221">
          <cell r="AL221">
            <v>0</v>
          </cell>
        </row>
        <row r="224">
          <cell r="AL224">
            <v>0</v>
          </cell>
        </row>
        <row r="226">
          <cell r="AL226">
            <v>0</v>
          </cell>
        </row>
        <row r="227">
          <cell r="AL227">
            <v>0</v>
          </cell>
        </row>
        <row r="228">
          <cell r="AL228">
            <v>0</v>
          </cell>
        </row>
        <row r="231">
          <cell r="AL231">
            <v>0</v>
          </cell>
        </row>
        <row r="233">
          <cell r="AL233">
            <v>0</v>
          </cell>
        </row>
        <row r="234">
          <cell r="AL234">
            <v>0</v>
          </cell>
        </row>
        <row r="235">
          <cell r="AL235">
            <v>0</v>
          </cell>
        </row>
        <row r="237">
          <cell r="AL237">
            <v>0</v>
          </cell>
        </row>
        <row r="240">
          <cell r="AL240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il - 24"/>
    </sheetNames>
    <sheetDataSet>
      <sheetData sheetId="0">
        <row r="9">
          <cell r="AK9"/>
        </row>
        <row r="11">
          <cell r="AK11"/>
        </row>
        <row r="12">
          <cell r="C12" t="str">
            <v>CPO Consume Total</v>
          </cell>
        </row>
        <row r="243">
          <cell r="AK243"/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i - 24"/>
    </sheetNames>
    <sheetDataSet>
      <sheetData sheetId="0">
        <row r="9">
          <cell r="AL9"/>
        </row>
        <row r="11">
          <cell r="AL11">
            <v>0</v>
          </cell>
        </row>
        <row r="12">
          <cell r="D12">
            <v>36359000</v>
          </cell>
          <cell r="AL12"/>
        </row>
        <row r="13">
          <cell r="AL13">
            <v>0</v>
          </cell>
        </row>
        <row r="16">
          <cell r="AL16"/>
        </row>
        <row r="17">
          <cell r="AL17"/>
        </row>
        <row r="19">
          <cell r="D19">
            <v>34250178</v>
          </cell>
          <cell r="AL19"/>
        </row>
        <row r="20">
          <cell r="AL20"/>
        </row>
        <row r="35">
          <cell r="AL35">
            <v>0</v>
          </cell>
        </row>
        <row r="36">
          <cell r="AL36"/>
        </row>
        <row r="37">
          <cell r="AL37"/>
        </row>
        <row r="44">
          <cell r="AL44">
            <v>0</v>
          </cell>
        </row>
        <row r="59">
          <cell r="AL59"/>
        </row>
        <row r="63">
          <cell r="AL63"/>
        </row>
        <row r="66">
          <cell r="AL66"/>
        </row>
        <row r="218">
          <cell r="AL218"/>
        </row>
        <row r="219">
          <cell r="AL219"/>
        </row>
        <row r="221">
          <cell r="AL221"/>
        </row>
        <row r="222">
          <cell r="AL222">
            <v>0</v>
          </cell>
        </row>
        <row r="225">
          <cell r="AL225"/>
        </row>
        <row r="227">
          <cell r="AL227"/>
        </row>
        <row r="228">
          <cell r="AL228"/>
        </row>
        <row r="229">
          <cell r="AL229">
            <v>0</v>
          </cell>
        </row>
        <row r="230">
          <cell r="AL230">
            <v>0</v>
          </cell>
        </row>
        <row r="232">
          <cell r="AL232"/>
        </row>
        <row r="234">
          <cell r="AL234"/>
        </row>
        <row r="235">
          <cell r="AL235"/>
        </row>
        <row r="236">
          <cell r="AL236"/>
        </row>
        <row r="237">
          <cell r="AL237">
            <v>0</v>
          </cell>
        </row>
        <row r="238">
          <cell r="AL238"/>
        </row>
        <row r="241">
          <cell r="AL241"/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 - 24"/>
    </sheetNames>
    <sheetDataSet>
      <sheetData sheetId="0">
        <row r="9">
          <cell r="AL9">
            <v>18</v>
          </cell>
        </row>
        <row r="11">
          <cell r="AL11">
            <v>13.078035190615838</v>
          </cell>
        </row>
        <row r="12">
          <cell r="D12">
            <v>36359000</v>
          </cell>
          <cell r="AL12">
            <v>8919220</v>
          </cell>
        </row>
        <row r="13">
          <cell r="AL13">
            <v>8919220</v>
          </cell>
        </row>
        <row r="16">
          <cell r="AL16">
            <v>0.45375000000000004</v>
          </cell>
        </row>
        <row r="17">
          <cell r="AL17">
            <v>2.2100000000000004</v>
          </cell>
        </row>
        <row r="19">
          <cell r="D19">
            <v>34250178</v>
          </cell>
          <cell r="AL19">
            <v>8432668</v>
          </cell>
        </row>
        <row r="20">
          <cell r="AL20">
            <v>432588</v>
          </cell>
        </row>
        <row r="35">
          <cell r="AL35">
            <v>7764784</v>
          </cell>
        </row>
        <row r="36">
          <cell r="AL36">
            <v>5498655</v>
          </cell>
        </row>
        <row r="37">
          <cell r="AL37">
            <v>2266129</v>
          </cell>
        </row>
        <row r="44">
          <cell r="AL44">
            <v>12.523845161290323</v>
          </cell>
        </row>
        <row r="59">
          <cell r="AL59">
            <v>88126</v>
          </cell>
        </row>
        <row r="63">
          <cell r="AL63">
            <v>4040.197999999999</v>
          </cell>
        </row>
        <row r="66">
          <cell r="AL66">
            <v>21.886470588235294</v>
          </cell>
        </row>
        <row r="218">
          <cell r="AL218">
            <v>21557.354200000002</v>
          </cell>
        </row>
        <row r="219">
          <cell r="AL219">
            <v>19670.9984</v>
          </cell>
        </row>
        <row r="221">
          <cell r="AL221">
            <v>2593.8142000000003</v>
          </cell>
        </row>
        <row r="222">
          <cell r="AL222">
            <v>17077.184200000003</v>
          </cell>
        </row>
        <row r="225">
          <cell r="AL225">
            <v>3827086</v>
          </cell>
        </row>
        <row r="227">
          <cell r="AL227">
            <v>2489600</v>
          </cell>
        </row>
        <row r="228">
          <cell r="AL228">
            <v>850000</v>
          </cell>
        </row>
        <row r="229">
          <cell r="AL229">
            <v>487486</v>
          </cell>
        </row>
        <row r="232">
          <cell r="AL232">
            <v>16314</v>
          </cell>
        </row>
        <row r="234">
          <cell r="AL234">
            <v>1749</v>
          </cell>
        </row>
        <row r="235">
          <cell r="AL235">
            <v>993</v>
          </cell>
        </row>
        <row r="236">
          <cell r="AL236">
            <v>6781.7999999999984</v>
          </cell>
        </row>
        <row r="238">
          <cell r="AL238">
            <v>3544</v>
          </cell>
        </row>
        <row r="241">
          <cell r="AL241">
            <v>407800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Juli - 2024 ( Revisi )"/>
      <sheetName val="Juli - 2024( Asli )"/>
      <sheetName val="Convert Gas"/>
      <sheetName val="OIP Refinery"/>
      <sheetName val="OIP Fraksinasi"/>
      <sheetName val="Direct Refinery To Fract "/>
      <sheetName val="Flow Meter"/>
      <sheetName val="Juli - 2024"/>
    </sheetNames>
    <sheetDataSet>
      <sheetData sheetId="0" refreshError="1"/>
      <sheetData sheetId="1">
        <row r="6">
          <cell r="AL6">
            <v>22</v>
          </cell>
        </row>
        <row r="8">
          <cell r="AL8">
            <v>23.454543988269798</v>
          </cell>
        </row>
        <row r="9">
          <cell r="AL9">
            <v>15995999</v>
          </cell>
        </row>
        <row r="10">
          <cell r="AL10">
            <v>15995999</v>
          </cell>
        </row>
        <row r="11">
          <cell r="AL11">
            <v>0</v>
          </cell>
        </row>
        <row r="12">
          <cell r="AL12">
            <v>3.8848484848484857</v>
          </cell>
        </row>
        <row r="13">
          <cell r="AL13">
            <v>0.41795454545454547</v>
          </cell>
        </row>
        <row r="16">
          <cell r="AL16">
            <v>14396709</v>
          </cell>
        </row>
        <row r="17">
          <cell r="AL17">
            <v>713632</v>
          </cell>
        </row>
        <row r="19">
          <cell r="AL19">
            <v>0</v>
          </cell>
        </row>
        <row r="20">
          <cell r="AL20">
            <v>135300</v>
          </cell>
        </row>
        <row r="21">
          <cell r="AL21">
            <v>25100</v>
          </cell>
        </row>
        <row r="32">
          <cell r="AL32">
            <v>11686063</v>
          </cell>
        </row>
        <row r="33">
          <cell r="AL33">
            <v>8627479</v>
          </cell>
        </row>
        <row r="34">
          <cell r="AL34">
            <v>3578824</v>
          </cell>
        </row>
        <row r="51">
          <cell r="AL51">
            <v>70.680524643702526</v>
          </cell>
        </row>
        <row r="52">
          <cell r="AL52">
            <v>29.319475356297481</v>
          </cell>
        </row>
        <row r="56">
          <cell r="AL56">
            <v>162476</v>
          </cell>
        </row>
        <row r="58">
          <cell r="AL58">
            <v>0</v>
          </cell>
        </row>
        <row r="60">
          <cell r="AL60">
            <v>7823.7820000000002</v>
          </cell>
        </row>
        <row r="64">
          <cell r="AL64">
            <v>21.912727272727277</v>
          </cell>
        </row>
        <row r="216">
          <cell r="AL216">
            <v>27875.589599999996</v>
          </cell>
        </row>
        <row r="217">
          <cell r="AL217">
            <v>26610.053000000004</v>
          </cell>
        </row>
        <row r="219">
          <cell r="AL219">
            <v>4776.3290292795864</v>
          </cell>
        </row>
        <row r="220">
          <cell r="AL220">
            <v>21833.72397072041</v>
          </cell>
        </row>
        <row r="223">
          <cell r="AL223">
            <v>4916977</v>
          </cell>
        </row>
        <row r="225">
          <cell r="AL225">
            <v>3311110</v>
          </cell>
        </row>
        <row r="226">
          <cell r="AL226">
            <v>1238750</v>
          </cell>
        </row>
        <row r="227">
          <cell r="AL227">
            <v>367117</v>
          </cell>
        </row>
        <row r="230">
          <cell r="AL230">
            <v>18760</v>
          </cell>
        </row>
        <row r="232">
          <cell r="AL232">
            <v>3095</v>
          </cell>
        </row>
        <row r="233">
          <cell r="AL233">
            <v>1579</v>
          </cell>
        </row>
        <row r="234">
          <cell r="AL234">
            <v>8167.3000000000011</v>
          </cell>
        </row>
        <row r="235">
          <cell r="AL235">
            <v>6264.6999999999989</v>
          </cell>
        </row>
        <row r="236">
          <cell r="AL236">
            <v>5782</v>
          </cell>
        </row>
        <row r="239">
          <cell r="AL239">
            <v>538900</v>
          </cell>
        </row>
        <row r="242">
          <cell r="AL242">
            <v>69700</v>
          </cell>
        </row>
        <row r="243">
          <cell r="AL243">
            <v>65890</v>
          </cell>
        </row>
        <row r="245">
          <cell r="AL245">
            <v>71800</v>
          </cell>
        </row>
        <row r="246">
          <cell r="AL246">
            <v>19517</v>
          </cell>
        </row>
        <row r="248">
          <cell r="AL248">
            <v>748.31</v>
          </cell>
        </row>
        <row r="249">
          <cell r="AL249">
            <v>7628.8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AL6">
            <v>21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- 2024xx"/>
      <sheetName val="Juli - 2024"/>
      <sheetName val="Convert Gas"/>
      <sheetName val="OIP Refinery"/>
      <sheetName val="Flow Meter"/>
    </sheetNames>
    <sheetDataSet>
      <sheetData sheetId="0"/>
      <sheetData sheetId="1">
        <row r="6">
          <cell r="AL6">
            <v>15</v>
          </cell>
        </row>
        <row r="9">
          <cell r="D9">
            <v>36359000</v>
          </cell>
        </row>
        <row r="14">
          <cell r="AL14">
            <v>2.2135714285714285</v>
          </cell>
        </row>
      </sheetData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ruari - 24"/>
    </sheetNames>
    <sheetDataSet>
      <sheetData sheetId="0">
        <row r="34">
          <cell r="AL34">
            <v>7224129</v>
          </cell>
        </row>
        <row r="35">
          <cell r="AL35">
            <v>5178274</v>
          </cell>
        </row>
        <row r="36">
          <cell r="AL36">
            <v>2045855</v>
          </cell>
        </row>
        <row r="38">
          <cell r="AL38">
            <v>421426.64599608653</v>
          </cell>
        </row>
        <row r="39">
          <cell r="AL39">
            <v>398670</v>
          </cell>
        </row>
        <row r="41">
          <cell r="AL41">
            <v>248300</v>
          </cell>
        </row>
        <row r="42">
          <cell r="AL42">
            <v>150370</v>
          </cell>
        </row>
        <row r="43">
          <cell r="AL43">
            <v>13.04905322580645</v>
          </cell>
        </row>
        <row r="58">
          <cell r="AL58">
            <v>148066</v>
          </cell>
        </row>
        <row r="60">
          <cell r="AL60">
            <v>15015</v>
          </cell>
        </row>
        <row r="62">
          <cell r="AL62">
            <v>6551.9319999999989</v>
          </cell>
        </row>
        <row r="65">
          <cell r="AL65">
            <v>21.991000000000003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i - 24"/>
    </sheetNames>
    <sheetDataSet>
      <sheetData sheetId="0">
        <row r="65">
          <cell r="AL65">
            <v>21.923529411764708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sheetPr>
    <pageSetUpPr fitToPage="1"/>
  </sheetPr>
  <dimension ref="A1:VVP282"/>
  <sheetViews>
    <sheetView tabSelected="1" view="pageBreakPreview" zoomScale="60" zoomScaleNormal="70" workbookViewId="0">
      <pane xSplit="6" ySplit="3" topLeftCell="AH4" activePane="bottomRight" state="frozen"/>
      <selection pane="topRight" activeCell="G1" sqref="G1"/>
      <selection pane="bottomLeft" activeCell="A4" sqref="A4"/>
      <selection pane="bottomRight" activeCell="T69" sqref="T69"/>
    </sheetView>
  </sheetViews>
  <sheetFormatPr defaultColWidth="9" defaultRowHeight="15" x14ac:dyDescent="0.25"/>
  <cols>
    <col min="1" max="1" width="3" style="1" customWidth="1"/>
    <col min="2" max="2" width="3" style="1" hidden="1" customWidth="1"/>
    <col min="3" max="3" width="4.7109375" style="5" customWidth="1"/>
    <col min="4" max="4" width="41.28515625" style="1" customWidth="1"/>
    <col min="5" max="5" width="14.7109375" style="1" customWidth="1"/>
    <col min="6" max="6" width="9.5703125" style="2" customWidth="1"/>
    <col min="7" max="13" width="12.42578125" style="1" customWidth="1"/>
    <col min="14" max="15" width="13.5703125" style="1" customWidth="1"/>
    <col min="16" max="16" width="15.7109375" style="1" customWidth="1"/>
    <col min="17" max="18" width="16" style="1" customWidth="1"/>
    <col min="19" max="19" width="15.7109375" style="1" customWidth="1"/>
    <col min="20" max="20" width="17.5703125" style="1" customWidth="1"/>
    <col min="21" max="21" width="17.7109375" style="1" customWidth="1"/>
    <col min="22" max="22" width="16" style="1" customWidth="1"/>
    <col min="23" max="23" width="13.5703125" style="1" customWidth="1"/>
    <col min="24" max="24" width="15.7109375" style="1" customWidth="1"/>
    <col min="25" max="25" width="13.5703125" style="1" customWidth="1"/>
    <col min="26" max="26" width="15.85546875" style="1" customWidth="1"/>
    <col min="27" max="28" width="15.42578125" style="1" customWidth="1"/>
    <col min="29" max="29" width="15.5703125" style="1" customWidth="1"/>
    <col min="30" max="31" width="15.42578125" style="1" customWidth="1"/>
    <col min="32" max="32" width="16.140625" style="1" customWidth="1"/>
    <col min="33" max="33" width="15.85546875" style="1" customWidth="1"/>
    <col min="34" max="34" width="15" style="1" customWidth="1"/>
    <col min="35" max="37" width="16" style="1" customWidth="1"/>
    <col min="38" max="38" width="0.28515625" style="1" customWidth="1"/>
    <col min="39" max="39" width="3.85546875" style="1" customWidth="1"/>
    <col min="40" max="40" width="25.7109375" style="1" customWidth="1"/>
    <col min="41" max="41" width="17.28515625" style="1" hidden="1" customWidth="1"/>
    <col min="42" max="42" width="14.85546875" style="1" hidden="1" customWidth="1"/>
    <col min="43" max="43" width="13.28515625" style="1" hidden="1" customWidth="1"/>
    <col min="44" max="44" width="14.28515625" style="1" customWidth="1"/>
    <col min="45" max="62" width="8.140625" style="1" customWidth="1"/>
    <col min="63" max="63" width="8.140625" style="1" hidden="1" customWidth="1"/>
    <col min="64" max="65" width="7.5703125" style="1" hidden="1" customWidth="1"/>
    <col min="66" max="67" width="8.140625" style="1" hidden="1" customWidth="1"/>
    <col min="68" max="70" width="8.140625" style="1" customWidth="1"/>
    <col min="71" max="82" width="9" style="1"/>
    <col min="83" max="83" width="12.7109375" style="1" customWidth="1"/>
    <col min="84" max="84" width="12.140625" style="1" customWidth="1"/>
    <col min="85" max="85" width="9.140625" style="1" customWidth="1"/>
    <col min="86" max="86" width="9.85546875" style="1" customWidth="1"/>
    <col min="87" max="87" width="15.85546875" style="1" customWidth="1"/>
    <col min="88" max="88" width="12.85546875" style="1" customWidth="1"/>
    <col min="89" max="89" width="14.140625" style="1" customWidth="1"/>
    <col min="90" max="101" width="9" style="1"/>
    <col min="102" max="102" width="9.5703125" style="151" customWidth="1"/>
    <col min="103" max="103" width="12.42578125" style="1" customWidth="1"/>
    <col min="104" max="15067" width="9" style="1"/>
    <col min="15068" max="16384" width="9" style="50"/>
  </cols>
  <sheetData>
    <row r="1" spans="3:102 15071:15115" ht="45" customHeight="1" thickBot="1" x14ac:dyDescent="0.3">
      <c r="C1" s="1088" t="s">
        <v>86</v>
      </c>
      <c r="D1" s="1088"/>
      <c r="E1" s="1088"/>
      <c r="F1" s="1088"/>
      <c r="G1" s="1088"/>
      <c r="H1" s="1088"/>
      <c r="I1" s="1088"/>
      <c r="J1" s="1088"/>
      <c r="K1" s="1088"/>
      <c r="L1" s="1088"/>
      <c r="M1" s="1088"/>
      <c r="N1" s="1088"/>
      <c r="O1" s="1088"/>
      <c r="P1" s="1088"/>
      <c r="Q1" s="1088"/>
      <c r="R1" s="1088"/>
      <c r="S1" s="1088"/>
      <c r="T1" s="1088"/>
      <c r="U1" s="1088"/>
      <c r="V1" s="1075"/>
      <c r="W1" s="1075"/>
      <c r="X1" s="1075"/>
      <c r="Y1" s="1075"/>
      <c r="Z1" s="1075"/>
      <c r="AA1" s="1075"/>
      <c r="AB1" s="1075"/>
      <c r="AC1" s="1075"/>
      <c r="AD1" s="1075"/>
      <c r="AE1" s="1075"/>
      <c r="AF1" s="1075"/>
      <c r="AG1" s="1075"/>
      <c r="AH1" s="1075"/>
      <c r="AI1" s="1075"/>
      <c r="AJ1" s="1075"/>
      <c r="AK1" s="1075"/>
      <c r="AL1" s="1075"/>
      <c r="AM1" s="1075"/>
      <c r="AN1" s="1075"/>
    </row>
    <row r="2" spans="3:102 15071:15115" ht="30" customHeight="1" x14ac:dyDescent="0.25">
      <c r="C2" s="1078" t="s">
        <v>100</v>
      </c>
      <c r="D2" s="1080" t="s">
        <v>101</v>
      </c>
      <c r="E2" s="1082" t="s">
        <v>102</v>
      </c>
      <c r="F2" s="1084" t="s">
        <v>103</v>
      </c>
      <c r="G2" s="1089" t="s">
        <v>220</v>
      </c>
      <c r="H2" s="1090"/>
      <c r="I2" s="1090"/>
      <c r="J2" s="1090"/>
      <c r="K2" s="1090"/>
      <c r="L2" s="1090"/>
      <c r="M2" s="1090"/>
      <c r="N2" s="1090"/>
      <c r="O2" s="1090"/>
      <c r="P2" s="1090"/>
      <c r="Q2" s="1090"/>
      <c r="R2" s="1090"/>
      <c r="S2" s="1090"/>
      <c r="T2" s="1090"/>
      <c r="U2" s="1090"/>
      <c r="V2" s="1076"/>
      <c r="W2" s="1076"/>
      <c r="X2" s="1076"/>
      <c r="Y2" s="1076"/>
      <c r="Z2" s="1076"/>
      <c r="AA2" s="1076"/>
      <c r="AB2" s="1076"/>
      <c r="AC2" s="1076"/>
      <c r="AD2" s="1076"/>
      <c r="AE2" s="1076"/>
      <c r="AF2" s="1076"/>
      <c r="AG2" s="1076"/>
      <c r="AH2" s="1076"/>
      <c r="AI2" s="1076"/>
      <c r="AJ2" s="1076"/>
      <c r="AK2" s="1076"/>
      <c r="AL2" s="1077"/>
      <c r="AN2" s="1086" t="s">
        <v>329</v>
      </c>
    </row>
    <row r="3" spans="3:102 15071:15115" x14ac:dyDescent="0.25">
      <c r="C3" s="1079"/>
      <c r="D3" s="1081"/>
      <c r="E3" s="1083"/>
      <c r="F3" s="1085"/>
      <c r="G3" s="386">
        <v>1</v>
      </c>
      <c r="H3" s="386">
        <v>2</v>
      </c>
      <c r="I3" s="386">
        <v>3</v>
      </c>
      <c r="J3" s="386">
        <v>4</v>
      </c>
      <c r="K3" s="386">
        <v>5</v>
      </c>
      <c r="L3" s="386">
        <v>6</v>
      </c>
      <c r="M3" s="386">
        <v>7</v>
      </c>
      <c r="N3" s="386">
        <v>8</v>
      </c>
      <c r="O3" s="386">
        <v>9</v>
      </c>
      <c r="P3" s="386">
        <v>10</v>
      </c>
      <c r="Q3" s="386">
        <v>11</v>
      </c>
      <c r="R3" s="386">
        <v>12</v>
      </c>
      <c r="S3" s="386">
        <v>13</v>
      </c>
      <c r="T3" s="386">
        <v>14</v>
      </c>
      <c r="U3" s="386">
        <v>15</v>
      </c>
      <c r="V3" s="386">
        <v>16</v>
      </c>
      <c r="W3" s="386">
        <v>17</v>
      </c>
      <c r="X3" s="386">
        <v>18</v>
      </c>
      <c r="Y3" s="386">
        <v>19</v>
      </c>
      <c r="Z3" s="386">
        <v>20</v>
      </c>
      <c r="AA3" s="386">
        <v>21</v>
      </c>
      <c r="AB3" s="386">
        <v>22</v>
      </c>
      <c r="AC3" s="386">
        <v>23</v>
      </c>
      <c r="AD3" s="386">
        <v>24</v>
      </c>
      <c r="AE3" s="386">
        <v>25</v>
      </c>
      <c r="AF3" s="386">
        <v>26</v>
      </c>
      <c r="AG3" s="386">
        <v>27</v>
      </c>
      <c r="AH3" s="386">
        <v>28</v>
      </c>
      <c r="AI3" s="386">
        <v>29</v>
      </c>
      <c r="AJ3" s="386">
        <v>30</v>
      </c>
      <c r="AK3" s="386">
        <v>31</v>
      </c>
      <c r="AL3" s="386">
        <v>31</v>
      </c>
      <c r="AN3" s="1087"/>
    </row>
    <row r="4" spans="3:102 15071:15115" x14ac:dyDescent="0.25">
      <c r="C4" s="7">
        <v>1</v>
      </c>
      <c r="D4" s="53" t="s">
        <v>85</v>
      </c>
      <c r="E4" s="54"/>
      <c r="F4" s="55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8"/>
      <c r="AH4" s="58"/>
      <c r="AI4" s="58"/>
      <c r="AJ4" s="58"/>
      <c r="AK4" s="58"/>
      <c r="AL4" s="59"/>
      <c r="AM4" s="3"/>
      <c r="AN4" s="60" t="s">
        <v>128</v>
      </c>
    </row>
    <row r="5" spans="3:102 15071:15115" x14ac:dyDescent="0.25">
      <c r="C5" s="8"/>
      <c r="D5" s="9" t="s">
        <v>16</v>
      </c>
      <c r="E5" s="262"/>
      <c r="F5" s="10"/>
      <c r="G5" s="282"/>
      <c r="H5" s="283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3"/>
      <c r="AN5" s="61" t="s">
        <v>16</v>
      </c>
    </row>
    <row r="6" spans="3:102 15071:15115" x14ac:dyDescent="0.25">
      <c r="C6" s="8"/>
      <c r="D6" s="11" t="s">
        <v>84</v>
      </c>
      <c r="E6" s="263"/>
      <c r="F6" s="12" t="s">
        <v>83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0</v>
      </c>
      <c r="X6" s="33">
        <v>0</v>
      </c>
      <c r="Y6" s="33">
        <v>0</v>
      </c>
      <c r="Z6" s="33">
        <v>1</v>
      </c>
      <c r="AA6" s="33">
        <v>1</v>
      </c>
      <c r="AB6" s="33">
        <v>1</v>
      </c>
      <c r="AC6" s="33">
        <v>1</v>
      </c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3">
        <v>1</v>
      </c>
      <c r="AL6" s="33"/>
      <c r="AM6" s="3"/>
      <c r="AN6" s="63">
        <f>SUM(G6:AL6)</f>
        <v>28</v>
      </c>
    </row>
    <row r="7" spans="3:102 15071:15115" x14ac:dyDescent="0.25">
      <c r="C7" s="8"/>
      <c r="D7" s="80" t="s">
        <v>126</v>
      </c>
      <c r="E7" s="263"/>
      <c r="F7" s="81" t="s">
        <v>14</v>
      </c>
      <c r="G7" s="284">
        <f>'[1]01'!$P$13</f>
        <v>489345</v>
      </c>
      <c r="H7" s="284">
        <f>'[2]02'!$P$14</f>
        <v>1012278</v>
      </c>
      <c r="I7" s="284">
        <f>'[2]03'!$P$14</f>
        <v>802407</v>
      </c>
      <c r="J7" s="284">
        <f>0</f>
        <v>0</v>
      </c>
      <c r="K7" s="284">
        <f>453628+'[3]05'!$P$13</f>
        <v>714345</v>
      </c>
      <c r="L7" s="284">
        <v>449365</v>
      </c>
      <c r="M7" s="284">
        <f>'[3]07'!$P$14</f>
        <v>211955</v>
      </c>
      <c r="N7" s="284">
        <v>417327</v>
      </c>
      <c r="O7" s="284">
        <v>682500</v>
      </c>
      <c r="P7" s="284">
        <v>472840</v>
      </c>
      <c r="Q7" s="284"/>
      <c r="R7" s="284">
        <v>1150409</v>
      </c>
      <c r="S7" s="284">
        <f>'[4]13'!$P$14</f>
        <v>518236</v>
      </c>
      <c r="T7" s="284">
        <f>'[4]14'!$P$14</f>
        <v>327333</v>
      </c>
      <c r="U7" s="284">
        <v>607907</v>
      </c>
      <c r="V7" s="284">
        <f>'[5]16'!$P$14</f>
        <v>281390</v>
      </c>
      <c r="W7" s="284">
        <f>'[5]17'!$P$14</f>
        <v>161291</v>
      </c>
      <c r="X7" s="284">
        <f>'[5]18'!$P$14</f>
        <v>64256</v>
      </c>
      <c r="Y7" s="284">
        <v>1642352</v>
      </c>
      <c r="Z7" s="284">
        <f>'[6]20'!$P$15</f>
        <v>990208</v>
      </c>
      <c r="AA7" s="284">
        <f>'[7]21'!$P$15</f>
        <v>1561101</v>
      </c>
      <c r="AB7" s="284">
        <f>'[8]22'!$P$15</f>
        <v>1408409</v>
      </c>
      <c r="AC7" s="284">
        <f>'[9]23'!$P$15</f>
        <v>395196</v>
      </c>
      <c r="AD7" s="284">
        <f>'[9]24'!$P$15</f>
        <v>851110</v>
      </c>
      <c r="AE7" s="284">
        <f>'[9]25'!$P$15</f>
        <v>0</v>
      </c>
      <c r="AF7" s="284">
        <v>804622</v>
      </c>
      <c r="AG7" s="284">
        <f>'[10]27'!$P$15</f>
        <v>583740</v>
      </c>
      <c r="AH7" s="284">
        <f>'[11]28'!$P$15</f>
        <v>937351</v>
      </c>
      <c r="AI7" s="284">
        <f>'[12]29'!$P$15</f>
        <v>254530</v>
      </c>
      <c r="AJ7" s="284">
        <f>'[13]30'!$P$15</f>
        <v>596514</v>
      </c>
      <c r="AK7" s="284">
        <f>'[5]31 Stok Opname'!$P$15</f>
        <v>801007</v>
      </c>
      <c r="AL7" s="284"/>
      <c r="AM7" s="3"/>
      <c r="AN7" s="66">
        <f>SUM(G7:AL7)</f>
        <v>19189324</v>
      </c>
      <c r="AO7" s="3">
        <f>AVERAGE(H7:AA7)</f>
        <v>635131.57894736843</v>
      </c>
      <c r="AQ7" s="3"/>
    </row>
    <row r="8" spans="3:102 15071:15115" x14ac:dyDescent="0.25">
      <c r="C8" s="8"/>
      <c r="D8" s="11" t="s">
        <v>104</v>
      </c>
      <c r="E8" s="263"/>
      <c r="F8" s="13" t="s">
        <v>25</v>
      </c>
      <c r="G8" s="34">
        <f>G9/2200000*100</f>
        <v>64.436272727272723</v>
      </c>
      <c r="H8" s="34">
        <f t="shared" ref="H8:AL8" si="0">H9/2200000*100</f>
        <v>50.225045454545459</v>
      </c>
      <c r="I8" s="34">
        <f t="shared" si="0"/>
        <v>47.389545454545456</v>
      </c>
      <c r="J8" s="34">
        <f t="shared" si="0"/>
        <v>48.294681818181814</v>
      </c>
      <c r="K8" s="34">
        <f>K9/2200000*100</f>
        <v>18.65040909090909</v>
      </c>
      <c r="L8" s="34">
        <f t="shared" si="0"/>
        <v>34.512318181818181</v>
      </c>
      <c r="M8" s="34">
        <f t="shared" si="0"/>
        <v>9.867318181818181</v>
      </c>
      <c r="N8" s="34">
        <f t="shared" si="0"/>
        <v>15.987363636363636</v>
      </c>
      <c r="O8" s="34">
        <f t="shared" si="0"/>
        <v>33.793454545454544</v>
      </c>
      <c r="P8" s="34">
        <f t="shared" si="0"/>
        <v>52.396863636363634</v>
      </c>
      <c r="Q8" s="34">
        <f t="shared" si="0"/>
        <v>23.689954545454544</v>
      </c>
      <c r="R8" s="34">
        <f t="shared" si="0"/>
        <v>15.338818181818182</v>
      </c>
      <c r="S8" s="34">
        <f t="shared" si="0"/>
        <v>60.606954545454549</v>
      </c>
      <c r="T8" s="34">
        <f t="shared" si="0"/>
        <v>32.888272727272728</v>
      </c>
      <c r="U8" s="34">
        <f t="shared" si="0"/>
        <v>11.905136363636364</v>
      </c>
      <c r="V8" s="34">
        <f t="shared" si="0"/>
        <v>38.328272727272726</v>
      </c>
      <c r="W8" s="34">
        <f t="shared" si="0"/>
        <v>0</v>
      </c>
      <c r="X8" s="34">
        <f t="shared" si="0"/>
        <v>0</v>
      </c>
      <c r="Y8" s="34">
        <f t="shared" si="0"/>
        <v>0</v>
      </c>
      <c r="Z8" s="34">
        <f t="shared" si="0"/>
        <v>45.360227272727272</v>
      </c>
      <c r="AA8" s="34">
        <f t="shared" si="0"/>
        <v>66.006727272727275</v>
      </c>
      <c r="AB8" s="34">
        <f t="shared" si="0"/>
        <v>32.736954545454545</v>
      </c>
      <c r="AC8" s="34">
        <f t="shared" si="0"/>
        <v>44.384772727272725</v>
      </c>
      <c r="AD8" s="34">
        <f t="shared" si="0"/>
        <v>71.052545454545452</v>
      </c>
      <c r="AE8" s="34">
        <f t="shared" si="0"/>
        <v>63.471818181818186</v>
      </c>
      <c r="AF8" s="34">
        <f t="shared" si="0"/>
        <v>10.232818181818182</v>
      </c>
      <c r="AG8" s="34">
        <f t="shared" si="0"/>
        <v>30.556272727272727</v>
      </c>
      <c r="AH8" s="34">
        <f t="shared" si="0"/>
        <v>46.231590909090912</v>
      </c>
      <c r="AI8" s="34">
        <f t="shared" si="0"/>
        <v>27.104863636363635</v>
      </c>
      <c r="AJ8" s="34">
        <f t="shared" si="0"/>
        <v>15.808318181818182</v>
      </c>
      <c r="AK8" s="34">
        <f t="shared" si="0"/>
        <v>37.622681818181817</v>
      </c>
      <c r="AL8" s="34">
        <f t="shared" si="0"/>
        <v>0</v>
      </c>
      <c r="AM8" s="3"/>
      <c r="AN8" s="67">
        <f>AVERAGE(G8:AK8)</f>
        <v>33.834847507331382</v>
      </c>
      <c r="AQ8" s="1024"/>
    </row>
    <row r="9" spans="3:102 15071:15115" s="1" customFormat="1" x14ac:dyDescent="0.25">
      <c r="C9" s="8"/>
      <c r="D9" s="64" t="s">
        <v>97</v>
      </c>
      <c r="E9" s="246">
        <v>36359000</v>
      </c>
      <c r="F9" s="65" t="s">
        <v>14</v>
      </c>
      <c r="G9" s="284">
        <f>'[3]01'!$Q$13+'[3]01'!$Q$11</f>
        <v>1417598</v>
      </c>
      <c r="H9" s="284">
        <f>'[3]02'!$Q$14</f>
        <v>1104951</v>
      </c>
      <c r="I9" s="284">
        <v>1042570</v>
      </c>
      <c r="J9" s="284">
        <f>'[3]04'!$Q$14</f>
        <v>1062483</v>
      </c>
      <c r="K9" s="284">
        <f>'[3]05'!$Q$11</f>
        <v>410309</v>
      </c>
      <c r="L9" s="284">
        <f>'[3]06'!$Q$9+'[3]06'!$Q$13</f>
        <v>759271</v>
      </c>
      <c r="M9" s="284">
        <f>'[3]07'!$Q$14</f>
        <v>217081</v>
      </c>
      <c r="N9" s="284">
        <f>348722+3000</f>
        <v>351722</v>
      </c>
      <c r="O9" s="284">
        <v>743456</v>
      </c>
      <c r="P9" s="284">
        <v>1152731</v>
      </c>
      <c r="Q9" s="284">
        <v>521179</v>
      </c>
      <c r="R9" s="284">
        <v>337454</v>
      </c>
      <c r="S9" s="284">
        <f>1333353</f>
        <v>1333353</v>
      </c>
      <c r="T9" s="284">
        <f>'[14]14 Rev'!$Q$14</f>
        <v>723542</v>
      </c>
      <c r="U9" s="370">
        <v>261913</v>
      </c>
      <c r="V9" s="284">
        <f>'[5]16'!$Q$14</f>
        <v>843222</v>
      </c>
      <c r="W9" s="284">
        <v>0</v>
      </c>
      <c r="X9" s="284">
        <v>0</v>
      </c>
      <c r="Y9" s="284">
        <v>0</v>
      </c>
      <c r="Z9" s="284">
        <f>'[6]20'!$Q$15</f>
        <v>997925</v>
      </c>
      <c r="AA9" s="284">
        <f>'[7]21'!$Q$15</f>
        <v>1452148</v>
      </c>
      <c r="AB9" s="284">
        <f>'[8]22'!$Q$15</f>
        <v>720213</v>
      </c>
      <c r="AC9" s="284">
        <f>'[9]23'!$Q$15</f>
        <v>976465</v>
      </c>
      <c r="AD9" s="284">
        <f>'[9]24'!$Q$15</f>
        <v>1563156</v>
      </c>
      <c r="AE9" s="284">
        <f>'[9]25'!$Q$15</f>
        <v>1396380</v>
      </c>
      <c r="AF9" s="284">
        <v>225122</v>
      </c>
      <c r="AG9" s="284">
        <f>'[10]27'!$Q$15</f>
        <v>672238</v>
      </c>
      <c r="AH9" s="284">
        <f>'[11]28'!$Q$15</f>
        <v>1017095</v>
      </c>
      <c r="AI9" s="284">
        <f>'[12]29'!$Q$15</f>
        <v>596307</v>
      </c>
      <c r="AJ9" s="284">
        <f>'[13]30'!$Q$15</f>
        <v>347783</v>
      </c>
      <c r="AK9" s="284">
        <f>'[5]31 Stok Opname'!$Q$10+'[5]31 Stok Opname'!$Q$14</f>
        <v>827699</v>
      </c>
      <c r="AL9" s="284"/>
      <c r="AN9" s="66">
        <f>SUM(G9:AL9)</f>
        <v>23075366</v>
      </c>
      <c r="AO9" s="383">
        <f>AN9/E9</f>
        <v>0.63465348331912319</v>
      </c>
      <c r="AP9" s="3">
        <f>AN9/AN6</f>
        <v>824120.21428571432</v>
      </c>
      <c r="AQ9" s="1025"/>
      <c r="AR9" s="3"/>
      <c r="BQ9" s="4"/>
      <c r="CX9" s="152"/>
    </row>
    <row r="10" spans="3:102 15071:15115" s="1" customFormat="1" x14ac:dyDescent="0.25">
      <c r="C10" s="8"/>
      <c r="D10" s="21" t="s">
        <v>98</v>
      </c>
      <c r="E10" s="246">
        <v>29045000</v>
      </c>
      <c r="F10" s="13" t="s">
        <v>14</v>
      </c>
      <c r="G10" s="33">
        <f>G9-G33-G42</f>
        <v>1417598</v>
      </c>
      <c r="H10" s="33">
        <f t="shared" ref="H10:AL10" si="1">H9-H33-H42</f>
        <v>1104951</v>
      </c>
      <c r="I10" s="33">
        <f t="shared" si="1"/>
        <v>1042570</v>
      </c>
      <c r="J10" s="33">
        <f t="shared" si="1"/>
        <v>1062483</v>
      </c>
      <c r="K10" s="33">
        <f t="shared" si="1"/>
        <v>410309</v>
      </c>
      <c r="L10" s="33">
        <f t="shared" si="1"/>
        <v>759271</v>
      </c>
      <c r="M10" s="33">
        <f t="shared" si="1"/>
        <v>217081</v>
      </c>
      <c r="N10" s="33">
        <f t="shared" ref="N10:P10" si="2">N9-N33-N42</f>
        <v>351722</v>
      </c>
      <c r="O10" s="33">
        <f t="shared" ref="O10" si="3">O9-O33-O42</f>
        <v>743456</v>
      </c>
      <c r="P10" s="33">
        <f t="shared" si="2"/>
        <v>1152731</v>
      </c>
      <c r="Q10" s="33">
        <f t="shared" si="1"/>
        <v>521179</v>
      </c>
      <c r="R10" s="33">
        <f t="shared" si="1"/>
        <v>337454</v>
      </c>
      <c r="S10" s="33">
        <f t="shared" si="1"/>
        <v>1333353</v>
      </c>
      <c r="T10" s="33">
        <f t="shared" si="1"/>
        <v>723542</v>
      </c>
      <c r="U10" s="33">
        <f t="shared" si="1"/>
        <v>261913</v>
      </c>
      <c r="V10" s="33">
        <f t="shared" si="1"/>
        <v>843222</v>
      </c>
      <c r="W10" s="33">
        <f t="shared" si="1"/>
        <v>0</v>
      </c>
      <c r="X10" s="33">
        <f t="shared" si="1"/>
        <v>0</v>
      </c>
      <c r="Y10" s="33">
        <f t="shared" si="1"/>
        <v>0</v>
      </c>
      <c r="Z10" s="33">
        <f t="shared" si="1"/>
        <v>997925</v>
      </c>
      <c r="AA10" s="33">
        <f t="shared" si="1"/>
        <v>1452148</v>
      </c>
      <c r="AB10" s="33">
        <f t="shared" si="1"/>
        <v>720213</v>
      </c>
      <c r="AC10" s="33">
        <f t="shared" si="1"/>
        <v>976465</v>
      </c>
      <c r="AD10" s="33">
        <f t="shared" si="1"/>
        <v>1563156</v>
      </c>
      <c r="AE10" s="33">
        <f t="shared" si="1"/>
        <v>1396380</v>
      </c>
      <c r="AF10" s="33">
        <f t="shared" si="1"/>
        <v>225122</v>
      </c>
      <c r="AG10" s="33">
        <f t="shared" si="1"/>
        <v>672238</v>
      </c>
      <c r="AH10" s="33">
        <f>AH9-AH33-AH42-AH11</f>
        <v>832400</v>
      </c>
      <c r="AI10" s="33">
        <f>AI9-AI33-AI42</f>
        <v>596307</v>
      </c>
      <c r="AJ10" s="33">
        <f>AJ9-AJ33-AJ42</f>
        <v>347783</v>
      </c>
      <c r="AK10" s="33">
        <f>AK9-AK33-AK42</f>
        <v>827699</v>
      </c>
      <c r="AL10" s="33">
        <f t="shared" si="1"/>
        <v>0</v>
      </c>
      <c r="AN10" s="63">
        <f>SUM(G10:AL10)</f>
        <v>22890671</v>
      </c>
      <c r="AQ10" s="38"/>
      <c r="CX10" s="152"/>
    </row>
    <row r="11" spans="3:102 15071:15115" s="1" customFormat="1" x14ac:dyDescent="0.25">
      <c r="C11" s="8"/>
      <c r="D11" s="21" t="s">
        <v>99</v>
      </c>
      <c r="E11" s="246">
        <v>7314000</v>
      </c>
      <c r="F11" s="13" t="s">
        <v>14</v>
      </c>
      <c r="G11" s="33">
        <f>G33+G42</f>
        <v>0</v>
      </c>
      <c r="H11" s="33">
        <f t="shared" ref="H11:AL11" si="4">H33+H42</f>
        <v>0</v>
      </c>
      <c r="I11" s="33">
        <f t="shared" si="4"/>
        <v>0</v>
      </c>
      <c r="J11" s="33">
        <f t="shared" si="4"/>
        <v>0</v>
      </c>
      <c r="K11" s="33">
        <f t="shared" si="4"/>
        <v>0</v>
      </c>
      <c r="L11" s="33">
        <f t="shared" si="4"/>
        <v>0</v>
      </c>
      <c r="M11" s="33">
        <f t="shared" si="4"/>
        <v>0</v>
      </c>
      <c r="N11" s="33">
        <f t="shared" ref="N11:P11" si="5">N33+N42</f>
        <v>0</v>
      </c>
      <c r="O11" s="33">
        <f t="shared" ref="O11" si="6">O33+O42</f>
        <v>0</v>
      </c>
      <c r="P11" s="33">
        <f t="shared" si="5"/>
        <v>0</v>
      </c>
      <c r="Q11" s="33">
        <f t="shared" si="4"/>
        <v>0</v>
      </c>
      <c r="R11" s="33">
        <f t="shared" si="4"/>
        <v>0</v>
      </c>
      <c r="S11" s="33">
        <f t="shared" si="4"/>
        <v>0</v>
      </c>
      <c r="T11" s="33">
        <f t="shared" si="4"/>
        <v>0</v>
      </c>
      <c r="U11" s="33">
        <f t="shared" si="4"/>
        <v>0</v>
      </c>
      <c r="V11" s="33">
        <f t="shared" si="4"/>
        <v>0</v>
      </c>
      <c r="W11" s="33">
        <f t="shared" si="4"/>
        <v>0</v>
      </c>
      <c r="X11" s="33">
        <f t="shared" si="4"/>
        <v>0</v>
      </c>
      <c r="Y11" s="33">
        <f t="shared" si="4"/>
        <v>0</v>
      </c>
      <c r="Z11" s="33">
        <f t="shared" si="4"/>
        <v>0</v>
      </c>
      <c r="AA11" s="33">
        <f t="shared" si="4"/>
        <v>0</v>
      </c>
      <c r="AB11" s="33">
        <f t="shared" si="4"/>
        <v>0</v>
      </c>
      <c r="AC11" s="33">
        <f t="shared" si="4"/>
        <v>0</v>
      </c>
      <c r="AD11" s="33">
        <f t="shared" si="4"/>
        <v>0</v>
      </c>
      <c r="AE11" s="33">
        <f t="shared" si="4"/>
        <v>0</v>
      </c>
      <c r="AF11" s="33">
        <f t="shared" si="4"/>
        <v>0</v>
      </c>
      <c r="AG11" s="33">
        <f t="shared" si="4"/>
        <v>0</v>
      </c>
      <c r="AH11" s="33">
        <v>184695</v>
      </c>
      <c r="AI11" s="33">
        <f t="shared" si="4"/>
        <v>0</v>
      </c>
      <c r="AJ11" s="33">
        <f t="shared" si="4"/>
        <v>0</v>
      </c>
      <c r="AK11" s="33">
        <f t="shared" si="4"/>
        <v>0</v>
      </c>
      <c r="AL11" s="33">
        <f t="shared" si="4"/>
        <v>0</v>
      </c>
      <c r="AN11" s="63">
        <f>SUM(G11:AL11)</f>
        <v>184695</v>
      </c>
      <c r="CX11" s="152"/>
    </row>
    <row r="12" spans="3:102 15071:15115" s="1" customFormat="1" x14ac:dyDescent="0.25">
      <c r="C12" s="8"/>
      <c r="D12" s="14" t="s">
        <v>82</v>
      </c>
      <c r="E12" s="264">
        <v>5</v>
      </c>
      <c r="F12" s="13" t="s">
        <v>25</v>
      </c>
      <c r="G12" s="29">
        <v>4.1500000000000004</v>
      </c>
      <c r="H12" s="29">
        <v>4.34</v>
      </c>
      <c r="I12" s="29">
        <v>4.1399999999999997</v>
      </c>
      <c r="J12" s="29">
        <f>(3.85+3.7)/2</f>
        <v>3.7750000000000004</v>
      </c>
      <c r="K12" s="29">
        <v>4.16</v>
      </c>
      <c r="L12" s="29">
        <f>(4.09+3.46)/2</f>
        <v>3.7749999999999999</v>
      </c>
      <c r="M12" s="29">
        <v>4.3</v>
      </c>
      <c r="N12" s="29">
        <v>4.32</v>
      </c>
      <c r="O12" s="29">
        <v>4.32</v>
      </c>
      <c r="P12" s="29">
        <v>4.4749999999999996</v>
      </c>
      <c r="Q12" s="29">
        <v>3.79</v>
      </c>
      <c r="R12" s="29">
        <v>4.09</v>
      </c>
      <c r="S12" s="29">
        <f>(4.1+3.57)/2</f>
        <v>3.835</v>
      </c>
      <c r="T12" s="29">
        <f>(4.1+3.5)/2</f>
        <v>3.8</v>
      </c>
      <c r="U12" s="384">
        <v>4.3</v>
      </c>
      <c r="V12" s="384">
        <f>(4.1+4.35)/2</f>
        <v>4.2249999999999996</v>
      </c>
      <c r="W12" s="384">
        <v>0</v>
      </c>
      <c r="X12" s="384">
        <v>0</v>
      </c>
      <c r="Y12" s="384">
        <v>0</v>
      </c>
      <c r="Z12" s="384">
        <f>(3.8+3.65)/2</f>
        <v>3.7249999999999996</v>
      </c>
      <c r="AA12" s="384">
        <f>(3.71+3.62)/2</f>
        <v>3.665</v>
      </c>
      <c r="AB12" s="384">
        <v>3.59</v>
      </c>
      <c r="AC12" s="384">
        <f>(2.84+3.78+3.59)/3</f>
        <v>3.4033333333333329</v>
      </c>
      <c r="AD12" s="29">
        <f>(3.92+3.85)/2</f>
        <v>3.8849999999999998</v>
      </c>
      <c r="AE12" s="29">
        <f>(3.85+3.52)/2</f>
        <v>3.6850000000000001</v>
      </c>
      <c r="AF12" s="29">
        <v>4.09</v>
      </c>
      <c r="AG12" s="29">
        <v>3.92</v>
      </c>
      <c r="AH12" s="29">
        <f>(4.04+3.51)/2</f>
        <v>3.7749999999999999</v>
      </c>
      <c r="AI12" s="29">
        <f>(4.01+4.12+3.58)/3</f>
        <v>3.9033333333333329</v>
      </c>
      <c r="AJ12" s="29">
        <v>3.7</v>
      </c>
      <c r="AK12" s="29">
        <f>(3.91+3.66)/2</f>
        <v>3.7850000000000001</v>
      </c>
      <c r="AL12" s="29"/>
      <c r="AN12" s="67">
        <f>SUM(G12:AK12)/AN6</f>
        <v>3.9614880952380962</v>
      </c>
      <c r="CX12" s="151"/>
    </row>
    <row r="13" spans="3:102 15071:15115" s="1" customFormat="1" x14ac:dyDescent="0.25">
      <c r="C13" s="8"/>
      <c r="D13" s="14" t="s">
        <v>81</v>
      </c>
      <c r="E13" s="264">
        <v>0.5</v>
      </c>
      <c r="F13" s="13" t="s">
        <v>25</v>
      </c>
      <c r="G13" s="29">
        <v>0.42</v>
      </c>
      <c r="H13" s="29">
        <v>0.41</v>
      </c>
      <c r="I13" s="29">
        <v>0.41</v>
      </c>
      <c r="J13" s="29">
        <f>(0.4+0.42)/2</f>
        <v>0.41000000000000003</v>
      </c>
      <c r="K13" s="29">
        <v>0.43</v>
      </c>
      <c r="L13" s="29">
        <v>0.47</v>
      </c>
      <c r="M13" s="29">
        <v>0.42</v>
      </c>
      <c r="N13" s="29">
        <v>0.42</v>
      </c>
      <c r="O13" s="29">
        <v>0.42</v>
      </c>
      <c r="P13" s="29">
        <v>0.42</v>
      </c>
      <c r="Q13" s="29">
        <v>0.49</v>
      </c>
      <c r="R13" s="29">
        <v>0.44</v>
      </c>
      <c r="S13" s="29">
        <f>(0.4+0.48)/2</f>
        <v>0.44</v>
      </c>
      <c r="T13" s="29">
        <v>0.49</v>
      </c>
      <c r="U13" s="384">
        <v>0.4</v>
      </c>
      <c r="V13" s="384">
        <f>(0.4+0.42)/2</f>
        <v>0.41000000000000003</v>
      </c>
      <c r="W13" s="384">
        <v>0</v>
      </c>
      <c r="X13" s="384">
        <v>0</v>
      </c>
      <c r="Y13" s="384">
        <v>0</v>
      </c>
      <c r="Z13" s="384">
        <f>(0.42+0.46)/2</f>
        <v>0.44</v>
      </c>
      <c r="AA13" s="384">
        <f>(0.44+0.47)/2</f>
        <v>0.45499999999999996</v>
      </c>
      <c r="AB13" s="384">
        <v>0.42</v>
      </c>
      <c r="AC13" s="384">
        <f>(0.34+0.4+0.48)/3</f>
        <v>0.40666666666666668</v>
      </c>
      <c r="AD13" s="29">
        <f>(0.42+0.41)/2</f>
        <v>0.41499999999999998</v>
      </c>
      <c r="AE13" s="29">
        <f>(0.41+0.46)/2</f>
        <v>0.435</v>
      </c>
      <c r="AF13" s="29">
        <v>0.42</v>
      </c>
      <c r="AG13" s="29">
        <v>0.46</v>
      </c>
      <c r="AH13" s="29">
        <f>(0.39+0.44)/2</f>
        <v>0.41500000000000004</v>
      </c>
      <c r="AI13" s="29">
        <f>(0.44+0.38+0.46)/3</f>
        <v>0.42666666666666669</v>
      </c>
      <c r="AJ13" s="29">
        <v>0.43</v>
      </c>
      <c r="AK13" s="29">
        <f>(0.4+0.48)/2</f>
        <v>0.44</v>
      </c>
      <c r="AL13" s="29"/>
      <c r="AN13" s="67">
        <f>SUM(G13:AK13)/AN6</f>
        <v>0.43083333333333335</v>
      </c>
      <c r="BQ13" s="4"/>
      <c r="CX13" s="152"/>
    </row>
    <row r="14" spans="3:102 15071:15115" s="1" customFormat="1" x14ac:dyDescent="0.25">
      <c r="C14" s="8"/>
      <c r="D14" s="14" t="s">
        <v>80</v>
      </c>
      <c r="E14" s="265" t="s">
        <v>79</v>
      </c>
      <c r="F14" s="13" t="s">
        <v>25</v>
      </c>
      <c r="G14" s="29">
        <v>2.21</v>
      </c>
      <c r="H14" s="29">
        <v>2.21</v>
      </c>
      <c r="I14" s="29">
        <v>2.2200000000000002</v>
      </c>
      <c r="J14" s="29">
        <v>2.21</v>
      </c>
      <c r="K14" s="29">
        <v>2.2200000000000002</v>
      </c>
      <c r="L14" s="29">
        <v>2.21</v>
      </c>
      <c r="M14" s="29">
        <v>2.21</v>
      </c>
      <c r="N14" s="29">
        <v>2.21</v>
      </c>
      <c r="O14" s="29">
        <v>2.21</v>
      </c>
      <c r="P14" s="29">
        <v>2.21</v>
      </c>
      <c r="Q14" s="29">
        <v>2.21</v>
      </c>
      <c r="R14" s="29">
        <v>2.2200000000000002</v>
      </c>
      <c r="S14" s="29">
        <v>2.21</v>
      </c>
      <c r="T14" s="29">
        <v>2.2200000000000002</v>
      </c>
      <c r="U14" s="384">
        <v>2.21</v>
      </c>
      <c r="V14" s="384">
        <v>2.21</v>
      </c>
      <c r="W14" s="384">
        <v>0</v>
      </c>
      <c r="X14" s="384">
        <v>0</v>
      </c>
      <c r="Y14" s="384">
        <v>0</v>
      </c>
      <c r="Z14" s="384">
        <v>2.222</v>
      </c>
      <c r="AA14" s="384">
        <v>2.21</v>
      </c>
      <c r="AB14" s="384">
        <v>2.21</v>
      </c>
      <c r="AC14" s="384">
        <v>2.2200000000000002</v>
      </c>
      <c r="AD14" s="29">
        <v>2.21</v>
      </c>
      <c r="AE14" s="29">
        <v>2.2200000000000002</v>
      </c>
      <c r="AF14" s="29">
        <v>2.21</v>
      </c>
      <c r="AG14" s="29">
        <v>2.2000000000000002</v>
      </c>
      <c r="AH14" s="29">
        <v>2.21</v>
      </c>
      <c r="AI14" s="29">
        <v>2.2200000000000002</v>
      </c>
      <c r="AJ14" s="29">
        <v>2.21</v>
      </c>
      <c r="AK14" s="29">
        <v>2.2200000000000002</v>
      </c>
      <c r="AL14" s="29"/>
      <c r="AN14" s="67">
        <f>SUM(G14:AL14)/AN6</f>
        <v>2.2129285714285718</v>
      </c>
      <c r="CX14" s="152"/>
    </row>
    <row r="15" spans="3:102 15071:15115" s="1" customFormat="1" x14ac:dyDescent="0.25">
      <c r="C15" s="8"/>
      <c r="D15" s="68" t="s">
        <v>78</v>
      </c>
      <c r="E15" s="266"/>
      <c r="F15" s="70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71"/>
      <c r="AN15" s="72" t="s">
        <v>78</v>
      </c>
      <c r="CX15" s="152"/>
    </row>
    <row r="16" spans="3:102 15071:15115" s="1" customFormat="1" x14ac:dyDescent="0.25">
      <c r="C16" s="15"/>
      <c r="D16" s="73" t="s">
        <v>198</v>
      </c>
      <c r="E16" s="246">
        <v>34458000</v>
      </c>
      <c r="F16" s="74" t="s">
        <v>14</v>
      </c>
      <c r="G16" s="284">
        <f>'[1]01'!$P$17</f>
        <v>1337671</v>
      </c>
      <c r="H16" s="284">
        <f>'[2]02'!$P$17</f>
        <v>1062915</v>
      </c>
      <c r="I16" s="284">
        <f>'[2]03'!$P$17</f>
        <v>1004399</v>
      </c>
      <c r="J16" s="284">
        <f>'[2]04'!$P$17</f>
        <v>1014004</v>
      </c>
      <c r="K16" s="284">
        <f>'[3]05'!$P$17</f>
        <v>375835</v>
      </c>
      <c r="L16" s="284">
        <v>751036</v>
      </c>
      <c r="M16" s="284">
        <f>'[3]07'!$P$17</f>
        <v>205973</v>
      </c>
      <c r="N16" s="284">
        <v>300695</v>
      </c>
      <c r="O16" s="284">
        <v>723509</v>
      </c>
      <c r="P16" s="284">
        <v>1082408</v>
      </c>
      <c r="Q16" s="284">
        <v>522678</v>
      </c>
      <c r="R16" s="284">
        <v>291425</v>
      </c>
      <c r="S16" s="284">
        <f>1251548+12500</f>
        <v>1264048</v>
      </c>
      <c r="T16" s="284">
        <f>688994-25961</f>
        <v>663033</v>
      </c>
      <c r="U16" s="284">
        <f>286771-30559</f>
        <v>256212</v>
      </c>
      <c r="V16" s="284">
        <f>'[5]16'!$P$17-23295</f>
        <v>764988</v>
      </c>
      <c r="W16" s="284">
        <v>0</v>
      </c>
      <c r="X16" s="284">
        <v>0</v>
      </c>
      <c r="Y16" s="284">
        <v>0</v>
      </c>
      <c r="Z16" s="284">
        <f>'[6]20'!$P$18+Z20+'OIP Refinery'!G24</f>
        <v>974136</v>
      </c>
      <c r="AA16" s="284">
        <f>'[7]21'!$P$17+AA20+'OIP Refinery'!G25</f>
        <v>1374725</v>
      </c>
      <c r="AB16" s="284">
        <f>'[8]22'!$P$18+AB20</f>
        <v>684147</v>
      </c>
      <c r="AC16" s="284">
        <f>'[9]23'!$P$18+AC20-24268</f>
        <v>886585</v>
      </c>
      <c r="AD16" s="284">
        <f>'[9]24'!$P$18+'OIP Refinery'!G28</f>
        <v>1543843</v>
      </c>
      <c r="AE16" s="284">
        <f>'[9]25'!$P$18-10084</f>
        <v>1313723</v>
      </c>
      <c r="AF16" s="284">
        <f>187550+33039</f>
        <v>220589</v>
      </c>
      <c r="AG16" s="284">
        <f>'[10]27'!$P$18-4779</f>
        <v>640699</v>
      </c>
      <c r="AH16" s="284">
        <f>'[11]28'!$P$18+AH20+'OIP Refinery'!G32</f>
        <v>983679.2</v>
      </c>
      <c r="AI16" s="284">
        <f>'[12]29'!$P$18-26834</f>
        <v>796939</v>
      </c>
      <c r="AJ16" s="284">
        <f>'[13]30'!$P$18+7092</f>
        <v>318511</v>
      </c>
      <c r="AK16" s="284">
        <f>'[5]31 Stok Opname'!$P$18+'OIP Refinery'!G35</f>
        <v>793401</v>
      </c>
      <c r="AL16" s="284"/>
      <c r="AN16" s="66">
        <f>SUM(G16:AL16)</f>
        <v>22151806.199999999</v>
      </c>
      <c r="AQ16" s="3"/>
      <c r="CX16" s="151"/>
      <c r="VGQ16" s="50"/>
      <c r="VGR16" s="50"/>
      <c r="VGS16" s="50"/>
      <c r="VGT16" s="50"/>
      <c r="VGU16" s="50"/>
      <c r="VGV16" s="50"/>
      <c r="VGW16" s="50"/>
      <c r="VGX16" s="50"/>
      <c r="VGY16" s="50"/>
      <c r="VGZ16" s="50"/>
      <c r="VHA16" s="50"/>
      <c r="VHB16" s="50"/>
      <c r="VHC16" s="50"/>
      <c r="VHD16" s="50"/>
      <c r="VHE16" s="50"/>
      <c r="VHF16" s="50"/>
      <c r="VHG16" s="50"/>
      <c r="VHH16" s="50"/>
      <c r="VHI16" s="50"/>
      <c r="VHJ16" s="50"/>
      <c r="VHK16" s="50"/>
      <c r="VHL16" s="50"/>
      <c r="VHM16" s="50"/>
      <c r="VHN16" s="50"/>
      <c r="VHO16" s="50"/>
      <c r="VHP16" s="50"/>
      <c r="VHQ16" s="50"/>
      <c r="VHR16" s="50"/>
      <c r="VHS16" s="50"/>
      <c r="VHT16" s="50"/>
      <c r="VHU16" s="50"/>
      <c r="VHV16" s="50"/>
      <c r="VHW16" s="50"/>
      <c r="VHX16" s="50"/>
      <c r="VHY16" s="50"/>
      <c r="VHZ16" s="50"/>
      <c r="VIA16" s="50"/>
      <c r="VIB16" s="50"/>
      <c r="VIC16" s="50"/>
      <c r="VID16" s="50"/>
      <c r="VIE16" s="50"/>
      <c r="VIF16" s="50"/>
      <c r="VIG16" s="50"/>
      <c r="VIH16" s="50"/>
      <c r="VII16" s="50"/>
    </row>
    <row r="17" spans="1:15115" s="1" customFormat="1" x14ac:dyDescent="0.25">
      <c r="C17" s="15"/>
      <c r="D17" s="73" t="s">
        <v>64</v>
      </c>
      <c r="E17" s="246">
        <v>1636000</v>
      </c>
      <c r="F17" s="74" t="s">
        <v>14</v>
      </c>
      <c r="G17" s="284">
        <f>'[1]01'!$P$23</f>
        <v>54840</v>
      </c>
      <c r="H17" s="284">
        <f>'[2]02'!$P$25</f>
        <v>43942</v>
      </c>
      <c r="I17" s="284">
        <f>'[2]03'!$P$25</f>
        <v>37168</v>
      </c>
      <c r="J17" s="284">
        <f>'[2]04'!$P$25</f>
        <v>43898</v>
      </c>
      <c r="K17" s="284">
        <f>'[3]05'!$P$25</f>
        <v>17690</v>
      </c>
      <c r="L17" s="284">
        <v>28851</v>
      </c>
      <c r="M17" s="284">
        <f>'[3]07'!$P$25</f>
        <v>8686</v>
      </c>
      <c r="N17" s="284">
        <v>20527</v>
      </c>
      <c r="O17" s="284">
        <v>25468</v>
      </c>
      <c r="P17" s="284">
        <v>50238</v>
      </c>
      <c r="Q17" s="284">
        <v>20927</v>
      </c>
      <c r="R17" s="284">
        <v>15400</v>
      </c>
      <c r="S17" s="284">
        <v>57789</v>
      </c>
      <c r="T17" s="284">
        <v>27742</v>
      </c>
      <c r="U17" s="284">
        <v>15397</v>
      </c>
      <c r="V17" s="284">
        <f>'[5]16'!$P$25</f>
        <v>41535</v>
      </c>
      <c r="W17" s="284">
        <v>0</v>
      </c>
      <c r="X17" s="284">
        <v>0</v>
      </c>
      <c r="Y17" s="284">
        <v>0</v>
      </c>
      <c r="Z17" s="284">
        <f>'[6]20'!$P$26</f>
        <v>45493</v>
      </c>
      <c r="AA17" s="284">
        <f>'[7]21'!$P$26</f>
        <v>54837</v>
      </c>
      <c r="AB17" s="284">
        <f>'[8]22'!$P$26</f>
        <v>28814</v>
      </c>
      <c r="AC17" s="284">
        <f>'[9]23'!$P$26</f>
        <v>42594</v>
      </c>
      <c r="AD17" s="284">
        <f>'[9]24'!$P$26</f>
        <v>58048</v>
      </c>
      <c r="AE17" s="284">
        <f>'[9]25'!$P$26</f>
        <v>53833</v>
      </c>
      <c r="AF17" s="284">
        <v>13940</v>
      </c>
      <c r="AG17" s="284">
        <f>'[10]27'!$P$26</f>
        <v>30763</v>
      </c>
      <c r="AH17" s="284">
        <f>'[11]28'!$P$26</f>
        <v>35257</v>
      </c>
      <c r="AI17" s="284">
        <f>'[12]29'!$P$26</f>
        <v>25789</v>
      </c>
      <c r="AJ17" s="284">
        <f>'[13]30'!$P$26</f>
        <v>13679</v>
      </c>
      <c r="AK17" s="284">
        <f>'[5]31 Stok Opname'!$P$26</f>
        <v>34315</v>
      </c>
      <c r="AL17" s="284"/>
      <c r="AN17" s="66">
        <f>SUM(G17:AL17)</f>
        <v>947460</v>
      </c>
      <c r="AQ17" s="3"/>
      <c r="CX17" s="151"/>
      <c r="VGQ17" s="50"/>
      <c r="VGR17" s="50"/>
      <c r="VGS17" s="50"/>
      <c r="VGT17" s="50"/>
      <c r="VGU17" s="50"/>
      <c r="VGV17" s="50"/>
      <c r="VGW17" s="50"/>
      <c r="VGX17" s="50"/>
      <c r="VGY17" s="50"/>
      <c r="VGZ17" s="50"/>
      <c r="VHA17" s="50"/>
      <c r="VHB17" s="50"/>
      <c r="VHC17" s="50"/>
      <c r="VHD17" s="50"/>
      <c r="VHE17" s="50"/>
      <c r="VHF17" s="50"/>
      <c r="VHG17" s="50"/>
      <c r="VHH17" s="50"/>
      <c r="VHI17" s="50"/>
      <c r="VHJ17" s="50"/>
      <c r="VHK17" s="50"/>
      <c r="VHL17" s="50"/>
      <c r="VHM17" s="50"/>
      <c r="VHN17" s="50"/>
      <c r="VHO17" s="50"/>
      <c r="VHP17" s="50"/>
      <c r="VHQ17" s="50"/>
      <c r="VHR17" s="50"/>
      <c r="VHS17" s="50"/>
      <c r="VHT17" s="50"/>
      <c r="VHU17" s="50"/>
      <c r="VHV17" s="50"/>
      <c r="VHW17" s="50"/>
      <c r="VHX17" s="50"/>
      <c r="VHY17" s="50"/>
      <c r="VHZ17" s="50"/>
      <c r="VIA17" s="50"/>
      <c r="VIB17" s="50"/>
      <c r="VIC17" s="50"/>
      <c r="VID17" s="50"/>
      <c r="VIE17" s="50"/>
      <c r="VIF17" s="50"/>
      <c r="VIG17" s="50"/>
      <c r="VIH17" s="50"/>
      <c r="VII17" s="50"/>
    </row>
    <row r="18" spans="1:15115" s="1" customFormat="1" x14ac:dyDescent="0.25">
      <c r="C18" s="15"/>
      <c r="D18" s="909" t="s">
        <v>386</v>
      </c>
      <c r="E18" s="934"/>
      <c r="F18" s="20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284"/>
      <c r="AN18" s="63"/>
      <c r="AQ18" s="3"/>
      <c r="CX18" s="151"/>
      <c r="VGQ18" s="50"/>
      <c r="VGR18" s="50"/>
      <c r="VGS18" s="50"/>
      <c r="VGT18" s="50"/>
      <c r="VGU18" s="50"/>
      <c r="VGV18" s="50"/>
      <c r="VGW18" s="50"/>
      <c r="VGX18" s="50"/>
      <c r="VGY18" s="50"/>
      <c r="VGZ18" s="50"/>
      <c r="VHA18" s="50"/>
      <c r="VHB18" s="50"/>
      <c r="VHC18" s="50"/>
      <c r="VHD18" s="50"/>
      <c r="VHE18" s="50"/>
      <c r="VHF18" s="50"/>
      <c r="VHG18" s="50"/>
      <c r="VHH18" s="50"/>
      <c r="VHI18" s="50"/>
      <c r="VHJ18" s="50"/>
      <c r="VHK18" s="50"/>
      <c r="VHL18" s="50"/>
      <c r="VHM18" s="50"/>
      <c r="VHN18" s="50"/>
      <c r="VHO18" s="50"/>
      <c r="VHP18" s="50"/>
      <c r="VHQ18" s="50"/>
      <c r="VHR18" s="50"/>
      <c r="VHS18" s="50"/>
      <c r="VHT18" s="50"/>
      <c r="VHU18" s="50"/>
      <c r="VHV18" s="50"/>
      <c r="VHW18" s="50"/>
      <c r="VHX18" s="50"/>
      <c r="VHY18" s="50"/>
      <c r="VHZ18" s="50"/>
      <c r="VIA18" s="50"/>
      <c r="VIB18" s="50"/>
      <c r="VIC18" s="50"/>
      <c r="VID18" s="50"/>
      <c r="VIE18" s="50"/>
      <c r="VIF18" s="50"/>
      <c r="VIG18" s="50"/>
      <c r="VIH18" s="50"/>
      <c r="VII18" s="50"/>
    </row>
    <row r="19" spans="1:15115" x14ac:dyDescent="0.25">
      <c r="C19" s="8"/>
      <c r="D19" s="11" t="s">
        <v>84</v>
      </c>
      <c r="E19" s="263"/>
      <c r="F19" s="12" t="s">
        <v>83</v>
      </c>
      <c r="G19" s="33">
        <v>1</v>
      </c>
      <c r="H19" s="33">
        <v>1</v>
      </c>
      <c r="I19" s="33">
        <v>1</v>
      </c>
      <c r="J19" s="33">
        <v>1</v>
      </c>
      <c r="K19" s="33">
        <v>1</v>
      </c>
      <c r="L19" s="33">
        <v>1</v>
      </c>
      <c r="M19" s="33">
        <v>1</v>
      </c>
      <c r="N19" s="33">
        <v>1</v>
      </c>
      <c r="O19" s="33">
        <v>1</v>
      </c>
      <c r="P19" s="33">
        <v>1</v>
      </c>
      <c r="Q19" s="33">
        <v>1</v>
      </c>
      <c r="R19" s="33">
        <v>1</v>
      </c>
      <c r="S19" s="33">
        <v>1</v>
      </c>
      <c r="T19" s="33">
        <v>1</v>
      </c>
      <c r="U19" s="33">
        <v>1</v>
      </c>
      <c r="V19" s="33">
        <v>1</v>
      </c>
      <c r="W19" s="33">
        <v>1</v>
      </c>
      <c r="X19" s="33">
        <v>0</v>
      </c>
      <c r="Y19" s="33">
        <v>0</v>
      </c>
      <c r="Z19" s="33">
        <v>1</v>
      </c>
      <c r="AA19" s="33">
        <v>1</v>
      </c>
      <c r="AB19" s="33">
        <v>1</v>
      </c>
      <c r="AC19" s="33">
        <v>1</v>
      </c>
      <c r="AD19" s="33">
        <v>1</v>
      </c>
      <c r="AE19" s="33">
        <v>1</v>
      </c>
      <c r="AF19" s="33">
        <v>1</v>
      </c>
      <c r="AG19" s="33">
        <v>1</v>
      </c>
      <c r="AH19" s="33">
        <v>1</v>
      </c>
      <c r="AI19" s="33">
        <v>1</v>
      </c>
      <c r="AJ19" s="33">
        <v>1</v>
      </c>
      <c r="AK19" s="33">
        <v>1</v>
      </c>
      <c r="AL19" s="33"/>
      <c r="AM19" s="3"/>
      <c r="AN19" s="63">
        <f>SUM(G19:AL19)</f>
        <v>29</v>
      </c>
    </row>
    <row r="20" spans="1:15115" x14ac:dyDescent="0.25">
      <c r="C20" s="8"/>
      <c r="D20" s="11" t="s">
        <v>421</v>
      </c>
      <c r="E20" s="263"/>
      <c r="F20" s="12" t="s">
        <v>14</v>
      </c>
      <c r="G20" s="33"/>
      <c r="H20" s="33"/>
      <c r="I20" s="33"/>
      <c r="J20" s="33"/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118100</v>
      </c>
      <c r="AA20" s="33">
        <v>935500</v>
      </c>
      <c r="AB20" s="33">
        <v>219100</v>
      </c>
      <c r="AC20" s="33">
        <v>230700</v>
      </c>
      <c r="AD20" s="33">
        <v>0</v>
      </c>
      <c r="AE20" s="33">
        <v>0</v>
      </c>
      <c r="AF20" s="33">
        <v>0</v>
      </c>
      <c r="AG20" s="33">
        <v>0</v>
      </c>
      <c r="AH20" s="33">
        <v>175900</v>
      </c>
      <c r="AI20" s="33">
        <v>0</v>
      </c>
      <c r="AJ20" s="33">
        <v>0</v>
      </c>
      <c r="AK20" s="33">
        <v>0</v>
      </c>
      <c r="AL20" s="33"/>
      <c r="AM20" s="3"/>
      <c r="AN20" s="63">
        <f>SUM(G20:AK20)</f>
        <v>1679300</v>
      </c>
    </row>
    <row r="21" spans="1:15115" s="1" customFormat="1" x14ac:dyDescent="0.25">
      <c r="C21" s="15"/>
      <c r="D21" s="73" t="s">
        <v>420</v>
      </c>
      <c r="E21" s="246"/>
      <c r="F21" s="74" t="s">
        <v>14</v>
      </c>
      <c r="G21" s="284">
        <f>'[13]01'!$Q$17</f>
        <v>858578</v>
      </c>
      <c r="H21" s="284">
        <f>'[13]02'!$Q$17</f>
        <v>1054796</v>
      </c>
      <c r="I21" s="284">
        <f>'[13]03'!$Q$17</f>
        <v>860932</v>
      </c>
      <c r="J21" s="284">
        <f>'[13]04'!$Q$17</f>
        <v>922447</v>
      </c>
      <c r="K21" s="284">
        <f>'[13]05'!$Q$17</f>
        <v>1038779</v>
      </c>
      <c r="L21" s="284">
        <f>'[13]06'!$Q$17</f>
        <v>1410359</v>
      </c>
      <c r="M21" s="284">
        <f>'[13]07'!$Q$17</f>
        <v>1171827</v>
      </c>
      <c r="N21" s="284">
        <f>'[13]08'!$Q$17</f>
        <v>1048480</v>
      </c>
      <c r="O21" s="284">
        <f>'[13]09'!$Q$17</f>
        <v>518065</v>
      </c>
      <c r="P21" s="284">
        <f>'[13]10'!$Q$17</f>
        <v>1272374</v>
      </c>
      <c r="Q21" s="284">
        <f>'[13]11'!$Q$17</f>
        <v>702972</v>
      </c>
      <c r="R21" s="284">
        <f>'[13]12'!$Q$17</f>
        <v>50573</v>
      </c>
      <c r="S21" s="284">
        <f>'[13]13'!$Q$17</f>
        <v>931812</v>
      </c>
      <c r="T21" s="284">
        <f>'[13]14'!$Q$17</f>
        <v>1278793</v>
      </c>
      <c r="U21" s="284">
        <f>'[13]15'!$Q$17</f>
        <v>0</v>
      </c>
      <c r="V21" s="284">
        <f>'[5]16'!$Q$17</f>
        <v>895292</v>
      </c>
      <c r="W21" s="284">
        <f>'[5]17'!$Q$17</f>
        <v>266317</v>
      </c>
      <c r="X21" s="284">
        <f>'[13]15'!$Q$17</f>
        <v>0</v>
      </c>
      <c r="Y21" s="284">
        <f>'[13]15'!$Q$17</f>
        <v>0</v>
      </c>
      <c r="Z21" s="284">
        <f>'[6]20'!$Q$18+Z20</f>
        <v>574027</v>
      </c>
      <c r="AA21" s="284">
        <f>'[7]21'!$Q$18+AA20</f>
        <v>1109871</v>
      </c>
      <c r="AB21" s="284">
        <f>AB20+'[8]22'!$Q$18</f>
        <v>1144787</v>
      </c>
      <c r="AC21" s="284">
        <f>'[9]23'!$Q$18+AC20</f>
        <v>358903</v>
      </c>
      <c r="AD21" s="284">
        <f>'[9]24'!$Q$18</f>
        <v>1073186</v>
      </c>
      <c r="AE21" s="284">
        <f>'[9]25'!$Q$18</f>
        <v>806379</v>
      </c>
      <c r="AF21" s="284">
        <v>813937</v>
      </c>
      <c r="AG21" s="284">
        <f>'[10]27'!$Q$18</f>
        <v>809229</v>
      </c>
      <c r="AH21" s="284">
        <f>'[11]28'!$Q$18+AH20</f>
        <v>654036</v>
      </c>
      <c r="AI21" s="284">
        <f>'[12]29'!$Q$18</f>
        <v>926106</v>
      </c>
      <c r="AJ21" s="284">
        <f>'[13]30'!$Q$18</f>
        <v>862504</v>
      </c>
      <c r="AK21" s="284">
        <f>'[5]31 Stok Opname'!$Q$18</f>
        <v>1036869</v>
      </c>
      <c r="AL21" s="284"/>
      <c r="AN21" s="66">
        <f>SUM(G21:AK21)</f>
        <v>24452230</v>
      </c>
      <c r="AO21" s="936">
        <f>AN21/E16</f>
        <v>0.70962418016135587</v>
      </c>
      <c r="AQ21" s="3"/>
      <c r="CX21" s="151"/>
      <c r="VGQ21" s="50"/>
      <c r="VGR21" s="50"/>
      <c r="VGS21" s="50"/>
      <c r="VGT21" s="50"/>
      <c r="VGU21" s="50"/>
      <c r="VGV21" s="50"/>
      <c r="VGW21" s="50"/>
      <c r="VGX21" s="50"/>
      <c r="VGY21" s="50"/>
      <c r="VGZ21" s="50"/>
      <c r="VHA21" s="50"/>
      <c r="VHB21" s="50"/>
      <c r="VHC21" s="50"/>
      <c r="VHD21" s="50"/>
      <c r="VHE21" s="50"/>
      <c r="VHF21" s="50"/>
      <c r="VHG21" s="50"/>
      <c r="VHH21" s="50"/>
      <c r="VHI21" s="50"/>
      <c r="VHJ21" s="50"/>
      <c r="VHK21" s="50"/>
      <c r="VHL21" s="50"/>
      <c r="VHM21" s="50"/>
      <c r="VHN21" s="50"/>
      <c r="VHO21" s="50"/>
      <c r="VHP21" s="50"/>
      <c r="VHQ21" s="50"/>
      <c r="VHR21" s="50"/>
      <c r="VHS21" s="50"/>
      <c r="VHT21" s="50"/>
      <c r="VHU21" s="50"/>
      <c r="VHV21" s="50"/>
      <c r="VHW21" s="50"/>
      <c r="VHX21" s="50"/>
      <c r="VHY21" s="50"/>
      <c r="VHZ21" s="50"/>
      <c r="VIA21" s="50"/>
      <c r="VIB21" s="50"/>
      <c r="VIC21" s="50"/>
      <c r="VID21" s="50"/>
      <c r="VIE21" s="50"/>
      <c r="VIF21" s="50"/>
      <c r="VIG21" s="50"/>
      <c r="VIH21" s="50"/>
      <c r="VII21" s="50"/>
    </row>
    <row r="22" spans="1:15115" s="1" customFormat="1" x14ac:dyDescent="0.25">
      <c r="C22" s="15"/>
      <c r="D22" s="14" t="s">
        <v>419</v>
      </c>
      <c r="E22" s="933"/>
      <c r="F22" s="13" t="s">
        <v>14</v>
      </c>
      <c r="G22" s="33">
        <f>SUM(G25,G29,G34,G38,G43)</f>
        <v>930616</v>
      </c>
      <c r="H22" s="33">
        <f t="shared" ref="H22:T22" si="7">SUM(H25,H29,H34,H38,H43)</f>
        <v>971961</v>
      </c>
      <c r="I22" s="33">
        <f t="shared" si="7"/>
        <v>860808</v>
      </c>
      <c r="J22" s="33">
        <f t="shared" si="7"/>
        <v>963967</v>
      </c>
      <c r="K22" s="33">
        <f t="shared" si="7"/>
        <v>1052818</v>
      </c>
      <c r="L22" s="33">
        <f t="shared" si="7"/>
        <v>1321319</v>
      </c>
      <c r="M22" s="33">
        <f t="shared" si="7"/>
        <v>1212660</v>
      </c>
      <c r="N22" s="33">
        <f t="shared" si="7"/>
        <v>1250229</v>
      </c>
      <c r="O22" s="33">
        <f t="shared" si="7"/>
        <v>810834</v>
      </c>
      <c r="P22" s="33">
        <f t="shared" si="7"/>
        <v>874968</v>
      </c>
      <c r="Q22" s="33">
        <f t="shared" si="7"/>
        <v>1128193</v>
      </c>
      <c r="R22" s="33">
        <f t="shared" si="7"/>
        <v>208737</v>
      </c>
      <c r="S22" s="33">
        <f t="shared" si="7"/>
        <v>563455</v>
      </c>
      <c r="T22" s="33">
        <f t="shared" si="7"/>
        <v>1201067</v>
      </c>
      <c r="U22" s="33">
        <f>SUM(U25,U29,U34,U38,U43)</f>
        <v>460960</v>
      </c>
      <c r="V22" s="33">
        <f t="shared" ref="V22:AK22" si="8">SUM(V25,V29,V34,V38,V43)</f>
        <v>645018</v>
      </c>
      <c r="W22" s="33">
        <f t="shared" si="8"/>
        <v>492446</v>
      </c>
      <c r="X22" s="33">
        <f t="shared" si="8"/>
        <v>0</v>
      </c>
      <c r="Y22" s="33">
        <f t="shared" si="8"/>
        <v>0</v>
      </c>
      <c r="Z22" s="33">
        <f t="shared" si="8"/>
        <v>284839</v>
      </c>
      <c r="AA22" s="33">
        <f t="shared" si="8"/>
        <v>858972</v>
      </c>
      <c r="AB22" s="33">
        <f t="shared" si="8"/>
        <v>1119122</v>
      </c>
      <c r="AC22" s="33">
        <f t="shared" si="8"/>
        <v>674519</v>
      </c>
      <c r="AD22" s="33">
        <f t="shared" si="8"/>
        <v>654697</v>
      </c>
      <c r="AE22" s="33">
        <f t="shared" si="8"/>
        <v>788694</v>
      </c>
      <c r="AF22" s="33">
        <f t="shared" si="8"/>
        <v>831508</v>
      </c>
      <c r="AG22" s="33">
        <f t="shared" si="8"/>
        <v>781493</v>
      </c>
      <c r="AH22" s="33">
        <f t="shared" si="8"/>
        <v>931022</v>
      </c>
      <c r="AI22" s="33">
        <f t="shared" si="8"/>
        <v>430999</v>
      </c>
      <c r="AJ22" s="33">
        <f t="shared" si="8"/>
        <v>917275</v>
      </c>
      <c r="AK22" s="33">
        <f t="shared" si="8"/>
        <v>983160</v>
      </c>
      <c r="AL22" s="33"/>
      <c r="AN22" s="63">
        <f>SUM(G22:AK22)</f>
        <v>24206356</v>
      </c>
      <c r="AQ22" s="3"/>
      <c r="CX22" s="152"/>
      <c r="VGQ22" s="50"/>
      <c r="VGR22" s="50"/>
      <c r="VGS22" s="50"/>
      <c r="VGT22" s="50"/>
      <c r="VGU22" s="50"/>
      <c r="VGV22" s="50"/>
      <c r="VGW22" s="50"/>
      <c r="VGX22" s="50"/>
      <c r="VGY22" s="50"/>
      <c r="VGZ22" s="50"/>
      <c r="VHA22" s="50"/>
      <c r="VHB22" s="50"/>
      <c r="VHC22" s="50"/>
      <c r="VHD22" s="50"/>
      <c r="VHE22" s="50"/>
      <c r="VHF22" s="50"/>
      <c r="VHG22" s="50"/>
      <c r="VHH22" s="50"/>
      <c r="VHI22" s="50"/>
      <c r="VHJ22" s="50"/>
      <c r="VHK22" s="50"/>
      <c r="VHL22" s="50"/>
      <c r="VHM22" s="50"/>
      <c r="VHN22" s="50"/>
      <c r="VHO22" s="50"/>
      <c r="VHP22" s="50"/>
      <c r="VHQ22" s="50"/>
      <c r="VHR22" s="50"/>
      <c r="VHS22" s="50"/>
      <c r="VHT22" s="50"/>
      <c r="VHU22" s="50"/>
      <c r="VHV22" s="50"/>
      <c r="VHW22" s="50"/>
      <c r="VHX22" s="50"/>
      <c r="VHY22" s="50"/>
      <c r="VHZ22" s="50"/>
      <c r="VIA22" s="50"/>
      <c r="VIB22" s="50"/>
      <c r="VIC22" s="50"/>
      <c r="VID22" s="50"/>
      <c r="VIE22" s="50"/>
      <c r="VIF22" s="50"/>
      <c r="VIG22" s="50"/>
      <c r="VIH22" s="50"/>
      <c r="VII22" s="50"/>
    </row>
    <row r="23" spans="1:15115" s="1" customFormat="1" hidden="1" x14ac:dyDescent="0.25">
      <c r="C23" s="15"/>
      <c r="D23" s="14" t="s">
        <v>387</v>
      </c>
      <c r="E23" s="935"/>
      <c r="F23" s="13" t="s">
        <v>14</v>
      </c>
      <c r="G23" s="33">
        <f>G21-G22</f>
        <v>-72038</v>
      </c>
      <c r="H23" s="33">
        <f t="shared" ref="H23:U23" si="9">H21-H22</f>
        <v>82835</v>
      </c>
      <c r="I23" s="33">
        <f t="shared" si="9"/>
        <v>124</v>
      </c>
      <c r="J23" s="33">
        <f t="shared" si="9"/>
        <v>-41520</v>
      </c>
      <c r="K23" s="33">
        <f t="shared" si="9"/>
        <v>-14039</v>
      </c>
      <c r="L23" s="33">
        <f t="shared" si="9"/>
        <v>89040</v>
      </c>
      <c r="M23" s="33">
        <f t="shared" si="9"/>
        <v>-40833</v>
      </c>
      <c r="N23" s="33">
        <f t="shared" si="9"/>
        <v>-201749</v>
      </c>
      <c r="O23" s="33">
        <f t="shared" si="9"/>
        <v>-292769</v>
      </c>
      <c r="P23" s="33">
        <f>P21-P22</f>
        <v>397406</v>
      </c>
      <c r="Q23" s="33">
        <f t="shared" si="9"/>
        <v>-425221</v>
      </c>
      <c r="R23" s="33">
        <f t="shared" si="9"/>
        <v>-158164</v>
      </c>
      <c r="S23" s="33">
        <f t="shared" si="9"/>
        <v>368357</v>
      </c>
      <c r="T23" s="33">
        <f t="shared" si="9"/>
        <v>77726</v>
      </c>
      <c r="U23" s="33">
        <f t="shared" si="9"/>
        <v>-460960</v>
      </c>
      <c r="V23" s="33">
        <f t="shared" ref="V23" si="10">V21-V22</f>
        <v>250274</v>
      </c>
      <c r="W23" s="33">
        <f t="shared" ref="W23" si="11">W21-W22</f>
        <v>-226129</v>
      </c>
      <c r="X23" s="33">
        <f t="shared" ref="X23" si="12">X21-X22</f>
        <v>0</v>
      </c>
      <c r="Y23" s="33">
        <f t="shared" ref="Y23" si="13">Y21-Y22</f>
        <v>0</v>
      </c>
      <c r="Z23" s="33">
        <f t="shared" ref="Z23" si="14">Z21-Z22</f>
        <v>289188</v>
      </c>
      <c r="AA23" s="33">
        <f t="shared" ref="AA23" si="15">AA21-AA22</f>
        <v>250899</v>
      </c>
      <c r="AB23" s="33">
        <f t="shared" ref="AB23" si="16">AB21-AB22</f>
        <v>25665</v>
      </c>
      <c r="AC23" s="33">
        <f t="shared" ref="AC23" si="17">AC21-AC22</f>
        <v>-315616</v>
      </c>
      <c r="AD23" s="33">
        <f t="shared" ref="AD23" si="18">AD21-AD22</f>
        <v>418489</v>
      </c>
      <c r="AE23" s="33">
        <f t="shared" ref="AE23" si="19">AE21-AE22</f>
        <v>17685</v>
      </c>
      <c r="AF23" s="33">
        <f t="shared" ref="AF23" si="20">AF21-AF22</f>
        <v>-17571</v>
      </c>
      <c r="AG23" s="33">
        <f t="shared" ref="AG23" si="21">AG21-AG22</f>
        <v>27736</v>
      </c>
      <c r="AH23" s="33">
        <f t="shared" ref="AH23" si="22">AH21-AH22</f>
        <v>-276986</v>
      </c>
      <c r="AI23" s="33">
        <f t="shared" ref="AI23:AJ23" si="23">AI21-AI22</f>
        <v>495107</v>
      </c>
      <c r="AJ23" s="33">
        <f t="shared" si="23"/>
        <v>-54771</v>
      </c>
      <c r="AK23" s="33">
        <f t="shared" ref="AK23" si="24">AK21-AK22</f>
        <v>53709</v>
      </c>
      <c r="AL23" s="33"/>
      <c r="AN23" s="63">
        <f>SUM(G23:AK23)</f>
        <v>245874</v>
      </c>
      <c r="AQ23" s="3"/>
      <c r="CX23" s="152"/>
      <c r="VGQ23" s="50"/>
      <c r="VGR23" s="50"/>
      <c r="VGS23" s="50"/>
      <c r="VGT23" s="50"/>
      <c r="VGU23" s="50"/>
      <c r="VGV23" s="50"/>
      <c r="VGW23" s="50"/>
      <c r="VGX23" s="50"/>
      <c r="VGY23" s="50"/>
      <c r="VGZ23" s="50"/>
      <c r="VHA23" s="50"/>
      <c r="VHB23" s="50"/>
      <c r="VHC23" s="50"/>
      <c r="VHD23" s="50"/>
      <c r="VHE23" s="50"/>
      <c r="VHF23" s="50"/>
      <c r="VHG23" s="50"/>
      <c r="VHH23" s="50"/>
      <c r="VHI23" s="50"/>
      <c r="VHJ23" s="50"/>
      <c r="VHK23" s="50"/>
      <c r="VHL23" s="50"/>
      <c r="VHM23" s="50"/>
      <c r="VHN23" s="50"/>
      <c r="VHO23" s="50"/>
      <c r="VHP23" s="50"/>
      <c r="VHQ23" s="50"/>
      <c r="VHR23" s="50"/>
      <c r="VHS23" s="50"/>
      <c r="VHT23" s="50"/>
      <c r="VHU23" s="50"/>
      <c r="VHV23" s="50"/>
      <c r="VHW23" s="50"/>
      <c r="VHX23" s="50"/>
      <c r="VHY23" s="50"/>
      <c r="VHZ23" s="50"/>
      <c r="VIA23" s="50"/>
      <c r="VIB23" s="50"/>
      <c r="VIC23" s="50"/>
      <c r="VID23" s="50"/>
      <c r="VIE23" s="50"/>
      <c r="VIF23" s="50"/>
      <c r="VIG23" s="50"/>
      <c r="VIH23" s="50"/>
      <c r="VII23" s="50"/>
    </row>
    <row r="24" spans="1:15115" x14ac:dyDescent="0.25">
      <c r="C24" s="15"/>
      <c r="D24" s="242" t="s">
        <v>76</v>
      </c>
      <c r="E24" s="243"/>
      <c r="F24" s="244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N24" s="75" t="s">
        <v>63</v>
      </c>
      <c r="AQ24" s="3"/>
      <c r="AR24" s="324"/>
    </row>
    <row r="25" spans="1:15115" s="1" customFormat="1" x14ac:dyDescent="0.25">
      <c r="C25" s="15"/>
      <c r="D25" s="14" t="s">
        <v>75</v>
      </c>
      <c r="E25" s="267"/>
      <c r="F25" s="20" t="s">
        <v>14</v>
      </c>
      <c r="G25" s="33">
        <f t="shared" ref="G25:S25" si="25">G26+G27</f>
        <v>351441</v>
      </c>
      <c r="H25" s="33">
        <f t="shared" si="25"/>
        <v>578725</v>
      </c>
      <c r="I25" s="33">
        <f t="shared" si="25"/>
        <v>0</v>
      </c>
      <c r="J25" s="33">
        <f t="shared" si="25"/>
        <v>0</v>
      </c>
      <c r="K25" s="33">
        <f t="shared" si="25"/>
        <v>432307</v>
      </c>
      <c r="L25" s="33">
        <f t="shared" si="25"/>
        <v>1321319</v>
      </c>
      <c r="M25" s="33">
        <f t="shared" si="25"/>
        <v>1212660</v>
      </c>
      <c r="N25" s="33">
        <f t="shared" si="25"/>
        <v>1250229</v>
      </c>
      <c r="O25" s="33">
        <f t="shared" si="25"/>
        <v>810834</v>
      </c>
      <c r="P25" s="33">
        <f t="shared" si="25"/>
        <v>874968</v>
      </c>
      <c r="Q25" s="33">
        <f t="shared" si="25"/>
        <v>1128193</v>
      </c>
      <c r="R25" s="33">
        <f t="shared" si="25"/>
        <v>208737</v>
      </c>
      <c r="S25" s="33">
        <f t="shared" si="25"/>
        <v>563455</v>
      </c>
      <c r="T25" s="33">
        <f>T26+T27</f>
        <v>1201067</v>
      </c>
      <c r="U25" s="33">
        <f>U26+U27</f>
        <v>460960</v>
      </c>
      <c r="V25" s="33">
        <f t="shared" ref="V25:AK25" si="26">V26+V27</f>
        <v>645018</v>
      </c>
      <c r="W25" s="33">
        <f t="shared" si="26"/>
        <v>492446</v>
      </c>
      <c r="X25" s="33">
        <f t="shared" si="26"/>
        <v>0</v>
      </c>
      <c r="Y25" s="33">
        <f t="shared" si="26"/>
        <v>0</v>
      </c>
      <c r="Z25" s="33">
        <f t="shared" si="26"/>
        <v>284839</v>
      </c>
      <c r="AA25" s="33">
        <f t="shared" si="26"/>
        <v>858972</v>
      </c>
      <c r="AB25" s="33">
        <f t="shared" si="26"/>
        <v>1119122</v>
      </c>
      <c r="AC25" s="33">
        <f t="shared" si="26"/>
        <v>428120</v>
      </c>
      <c r="AD25" s="33">
        <f t="shared" si="26"/>
        <v>0</v>
      </c>
      <c r="AE25" s="33">
        <f t="shared" si="26"/>
        <v>0</v>
      </c>
      <c r="AF25" s="33">
        <f t="shared" si="26"/>
        <v>0</v>
      </c>
      <c r="AG25" s="33">
        <f t="shared" si="26"/>
        <v>0</v>
      </c>
      <c r="AH25" s="33">
        <f t="shared" si="26"/>
        <v>0</v>
      </c>
      <c r="AI25" s="33">
        <f t="shared" si="26"/>
        <v>0</v>
      </c>
      <c r="AJ25" s="33">
        <f t="shared" si="26"/>
        <v>0</v>
      </c>
      <c r="AK25" s="33">
        <f t="shared" si="26"/>
        <v>0</v>
      </c>
      <c r="AL25" s="33"/>
      <c r="AN25" s="63">
        <f>SUM(G25:AL25)</f>
        <v>14223412</v>
      </c>
      <c r="AO25" s="3"/>
      <c r="AP25" s="3"/>
      <c r="AQ25" s="3"/>
      <c r="AR25" s="324"/>
      <c r="CX25" s="152"/>
    </row>
    <row r="26" spans="1:15115" x14ac:dyDescent="0.25">
      <c r="C26" s="15"/>
      <c r="D26" s="73" t="s">
        <v>74</v>
      </c>
      <c r="E26" s="267"/>
      <c r="F26" s="74" t="s">
        <v>14</v>
      </c>
      <c r="G26" s="284">
        <f>'[1]01'!$P$20</f>
        <v>310941</v>
      </c>
      <c r="H26" s="284">
        <f>'[2]02'!$P$20</f>
        <v>518225</v>
      </c>
      <c r="I26" s="284">
        <v>0</v>
      </c>
      <c r="J26" s="284">
        <v>0</v>
      </c>
      <c r="K26" s="284">
        <f>'[3]05'!$P$20</f>
        <v>384558</v>
      </c>
      <c r="L26" s="284">
        <v>1080575</v>
      </c>
      <c r="M26" s="284">
        <f>'[3]07'!$P$22</f>
        <v>1006716</v>
      </c>
      <c r="N26" s="284">
        <v>1023788</v>
      </c>
      <c r="O26" s="284">
        <v>665308</v>
      </c>
      <c r="P26" s="284">
        <v>722385</v>
      </c>
      <c r="Q26" s="284">
        <v>913100</v>
      </c>
      <c r="R26" s="284">
        <v>165357</v>
      </c>
      <c r="S26" s="284">
        <v>478290</v>
      </c>
      <c r="T26" s="284">
        <v>1006655</v>
      </c>
      <c r="U26" s="284">
        <v>329308</v>
      </c>
      <c r="V26" s="284">
        <f>'[5]16'!$P$20</f>
        <v>558630</v>
      </c>
      <c r="W26" s="284">
        <f>'[5]17'!$P$20</f>
        <v>355043</v>
      </c>
      <c r="X26" s="284">
        <v>0</v>
      </c>
      <c r="Y26" s="284">
        <v>0</v>
      </c>
      <c r="Z26" s="284">
        <f>'[6]20'!$P$21</f>
        <v>237525</v>
      </c>
      <c r="AA26" s="284">
        <f>'[14]21'!$P$23</f>
        <v>673349</v>
      </c>
      <c r="AB26" s="284">
        <f>'[8]22'!$P$21</f>
        <v>872454</v>
      </c>
      <c r="AC26" s="284">
        <f>'[9]23'!$P$21</f>
        <v>368020</v>
      </c>
      <c r="AD26" s="284">
        <v>0</v>
      </c>
      <c r="AE26" s="284">
        <v>0</v>
      </c>
      <c r="AF26" s="284">
        <v>0</v>
      </c>
      <c r="AG26" s="284">
        <v>0</v>
      </c>
      <c r="AH26" s="284">
        <v>0</v>
      </c>
      <c r="AI26" s="284">
        <v>0</v>
      </c>
      <c r="AJ26" s="284">
        <v>0</v>
      </c>
      <c r="AK26" s="284">
        <v>0</v>
      </c>
      <c r="AL26" s="284">
        <v>0</v>
      </c>
      <c r="AN26" s="66">
        <f>SUM(G26:AL26)</f>
        <v>11670227</v>
      </c>
      <c r="AQ26" s="3"/>
    </row>
    <row r="27" spans="1:15115" x14ac:dyDescent="0.25">
      <c r="C27" s="15"/>
      <c r="D27" s="73" t="s">
        <v>73</v>
      </c>
      <c r="E27" s="267"/>
      <c r="F27" s="74" t="s">
        <v>14</v>
      </c>
      <c r="G27" s="285">
        <v>40500</v>
      </c>
      <c r="H27" s="285">
        <v>60500</v>
      </c>
      <c r="I27" s="285">
        <v>0</v>
      </c>
      <c r="J27" s="285">
        <v>0</v>
      </c>
      <c r="K27" s="285">
        <v>47749</v>
      </c>
      <c r="L27" s="285">
        <v>240744</v>
      </c>
      <c r="M27" s="285">
        <f>'[3]07'!$P$30</f>
        <v>205944</v>
      </c>
      <c r="N27" s="285">
        <v>226441</v>
      </c>
      <c r="O27" s="285">
        <v>145526</v>
      </c>
      <c r="P27" s="285">
        <v>152583</v>
      </c>
      <c r="Q27" s="285">
        <v>215093</v>
      </c>
      <c r="R27" s="285">
        <v>43380</v>
      </c>
      <c r="S27" s="285">
        <v>85165</v>
      </c>
      <c r="T27" s="285">
        <v>194412</v>
      </c>
      <c r="U27" s="285">
        <v>131652</v>
      </c>
      <c r="V27" s="285">
        <f>'[5]16'!$P$29</f>
        <v>86388</v>
      </c>
      <c r="W27" s="285">
        <f>'[5]17'!$P$30</f>
        <v>137403</v>
      </c>
      <c r="X27" s="285">
        <v>0</v>
      </c>
      <c r="Y27" s="285">
        <v>0</v>
      </c>
      <c r="Z27" s="285">
        <f>'[6]20'!$P$29</f>
        <v>47314</v>
      </c>
      <c r="AA27" s="285">
        <f>'[14]21'!$P$30</f>
        <v>185623</v>
      </c>
      <c r="AB27" s="285">
        <f>'[8]22'!$P$27</f>
        <v>246668</v>
      </c>
      <c r="AC27" s="285">
        <v>60100</v>
      </c>
      <c r="AD27" s="285">
        <v>0</v>
      </c>
      <c r="AE27" s="285">
        <v>0</v>
      </c>
      <c r="AF27" s="285">
        <v>0</v>
      </c>
      <c r="AG27" s="285">
        <v>0</v>
      </c>
      <c r="AH27" s="285">
        <v>0</v>
      </c>
      <c r="AI27" s="285">
        <v>0</v>
      </c>
      <c r="AJ27" s="285">
        <v>0</v>
      </c>
      <c r="AK27" s="285">
        <v>0</v>
      </c>
      <c r="AL27" s="284">
        <v>0</v>
      </c>
      <c r="AN27" s="66">
        <f>SUM(G27:AL27)</f>
        <v>2553185</v>
      </c>
      <c r="AQ27" s="3"/>
      <c r="AS27" s="3">
        <f>AN27+AN31+AN36+AN40+AN46</f>
        <v>5456593</v>
      </c>
    </row>
    <row r="28" spans="1:15115" s="79" customFormat="1" x14ac:dyDescent="0.25">
      <c r="A28" s="71"/>
      <c r="B28" s="71"/>
      <c r="C28" s="77"/>
      <c r="D28" s="242" t="s">
        <v>105</v>
      </c>
      <c r="E28" s="322"/>
      <c r="F28" s="101"/>
      <c r="G28" s="286"/>
      <c r="H28" s="286"/>
      <c r="I28" s="286"/>
      <c r="J28" s="286"/>
      <c r="K28" s="286"/>
      <c r="L28" s="286"/>
      <c r="M28" s="286"/>
      <c r="N28" s="286"/>
      <c r="O28" s="286"/>
      <c r="P28" s="286" t="s">
        <v>223</v>
      </c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71"/>
      <c r="AN28" s="75" t="s">
        <v>107</v>
      </c>
      <c r="AO28" s="71"/>
      <c r="AP28" s="71"/>
      <c r="AQ28" s="388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153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1"/>
      <c r="DS28" s="71"/>
      <c r="DT28" s="71"/>
      <c r="DU28" s="71"/>
      <c r="DV28" s="71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1"/>
      <c r="EQ28" s="71"/>
      <c r="ER28" s="71"/>
      <c r="ES28" s="71"/>
      <c r="ET28" s="71"/>
      <c r="EU28" s="71"/>
      <c r="EV28" s="71"/>
      <c r="EW28" s="71"/>
      <c r="EX28" s="71"/>
      <c r="EY28" s="71"/>
      <c r="EZ28" s="71"/>
      <c r="FA28" s="71"/>
      <c r="FB28" s="71"/>
      <c r="FC28" s="71"/>
      <c r="FD28" s="71"/>
      <c r="FE28" s="71"/>
      <c r="FF28" s="71"/>
      <c r="FG28" s="71"/>
      <c r="FH28" s="71"/>
      <c r="FI28" s="71"/>
      <c r="FJ28" s="71"/>
      <c r="FK28" s="71"/>
      <c r="FL28" s="71"/>
      <c r="FM28" s="71"/>
      <c r="FN28" s="71"/>
      <c r="FO28" s="71"/>
      <c r="FP28" s="71"/>
      <c r="FQ28" s="71"/>
      <c r="FR28" s="71"/>
      <c r="FS28" s="71"/>
      <c r="FT28" s="71"/>
      <c r="FU28" s="71"/>
      <c r="FV28" s="71"/>
      <c r="FW28" s="71"/>
      <c r="FX28" s="71"/>
      <c r="FY28" s="71"/>
      <c r="FZ28" s="71"/>
      <c r="GA28" s="71"/>
      <c r="GB28" s="71"/>
      <c r="GC28" s="71"/>
      <c r="GD28" s="71"/>
      <c r="GE28" s="71"/>
      <c r="GF28" s="71"/>
      <c r="GG28" s="71"/>
      <c r="GH28" s="71"/>
      <c r="GI28" s="71"/>
      <c r="GJ28" s="71"/>
      <c r="GK28" s="71"/>
      <c r="GL28" s="71"/>
      <c r="GM28" s="71"/>
      <c r="GN28" s="71"/>
      <c r="GO28" s="71"/>
      <c r="GP28" s="71"/>
      <c r="GQ28" s="71"/>
      <c r="GR28" s="71"/>
      <c r="GS28" s="71"/>
      <c r="GT28" s="71"/>
      <c r="GU28" s="71"/>
      <c r="GV28" s="71"/>
      <c r="GW28" s="71"/>
      <c r="GX28" s="71"/>
      <c r="GY28" s="71"/>
      <c r="GZ28" s="71"/>
      <c r="HA28" s="71"/>
      <c r="HB28" s="71"/>
      <c r="HC28" s="71"/>
      <c r="HD28" s="71"/>
      <c r="HE28" s="71"/>
      <c r="HF28" s="71"/>
      <c r="HG28" s="71"/>
      <c r="HH28" s="71"/>
      <c r="HI28" s="71"/>
      <c r="HJ28" s="71"/>
      <c r="HK28" s="71"/>
      <c r="HL28" s="71"/>
      <c r="HM28" s="71"/>
      <c r="HN28" s="71"/>
      <c r="HO28" s="71"/>
      <c r="HP28" s="71"/>
      <c r="HQ28" s="71"/>
      <c r="HR28" s="71"/>
      <c r="HS28" s="71"/>
      <c r="HT28" s="71"/>
      <c r="HU28" s="71"/>
      <c r="HV28" s="71"/>
      <c r="HW28" s="71"/>
      <c r="HX28" s="71"/>
      <c r="HY28" s="71"/>
      <c r="HZ28" s="71"/>
      <c r="IA28" s="71"/>
      <c r="IB28" s="71"/>
      <c r="IC28" s="71"/>
      <c r="ID28" s="71"/>
      <c r="IE28" s="71"/>
      <c r="IF28" s="71"/>
      <c r="IG28" s="71"/>
      <c r="IH28" s="71"/>
      <c r="II28" s="71"/>
      <c r="IJ28" s="71"/>
      <c r="IK28" s="71"/>
      <c r="IL28" s="71"/>
      <c r="IM28" s="71"/>
      <c r="IN28" s="71"/>
      <c r="IO28" s="71"/>
      <c r="IP28" s="71"/>
      <c r="IQ28" s="71"/>
      <c r="IR28" s="71"/>
      <c r="IS28" s="71"/>
      <c r="IT28" s="71"/>
      <c r="IU28" s="71"/>
      <c r="IV28" s="71"/>
      <c r="IW28" s="71"/>
      <c r="IX28" s="71"/>
      <c r="IY28" s="71"/>
      <c r="IZ28" s="71"/>
      <c r="JA28" s="71"/>
      <c r="JB28" s="71"/>
      <c r="JC28" s="71"/>
      <c r="JD28" s="71"/>
      <c r="JE28" s="71"/>
      <c r="JF28" s="71"/>
      <c r="JG28" s="71"/>
      <c r="JH28" s="71"/>
      <c r="JI28" s="71"/>
      <c r="JJ28" s="71"/>
      <c r="JK28" s="71"/>
      <c r="JL28" s="71"/>
      <c r="JM28" s="71"/>
      <c r="JN28" s="71"/>
      <c r="JO28" s="71"/>
      <c r="JP28" s="71"/>
      <c r="JQ28" s="71"/>
      <c r="JR28" s="71"/>
      <c r="JS28" s="71"/>
      <c r="JT28" s="71"/>
      <c r="JU28" s="71"/>
      <c r="JV28" s="71"/>
      <c r="JW28" s="71"/>
      <c r="JX28" s="71"/>
      <c r="JY28" s="71"/>
      <c r="JZ28" s="71"/>
      <c r="KA28" s="71"/>
      <c r="KB28" s="71"/>
      <c r="KC28" s="71"/>
      <c r="KD28" s="71"/>
      <c r="KE28" s="71"/>
      <c r="KF28" s="71"/>
      <c r="KG28" s="71"/>
      <c r="KH28" s="71"/>
      <c r="KI28" s="71"/>
      <c r="KJ28" s="71"/>
      <c r="KK28" s="71"/>
      <c r="KL28" s="71"/>
      <c r="KM28" s="71"/>
      <c r="KN28" s="71"/>
      <c r="KO28" s="71"/>
      <c r="KP28" s="71"/>
      <c r="KQ28" s="71"/>
      <c r="KR28" s="71"/>
      <c r="KS28" s="71"/>
      <c r="KT28" s="71"/>
      <c r="KU28" s="71"/>
      <c r="KV28" s="71"/>
      <c r="KW28" s="71"/>
      <c r="KX28" s="71"/>
      <c r="KY28" s="71"/>
      <c r="KZ28" s="71"/>
      <c r="LA28" s="71"/>
      <c r="LB28" s="71"/>
      <c r="LC28" s="71"/>
      <c r="LD28" s="71"/>
      <c r="LE28" s="71"/>
      <c r="LF28" s="71"/>
      <c r="LG28" s="71"/>
      <c r="LH28" s="71"/>
      <c r="LI28" s="71"/>
      <c r="LJ28" s="71"/>
      <c r="LK28" s="71"/>
      <c r="LL28" s="71"/>
      <c r="LM28" s="71"/>
      <c r="LN28" s="71"/>
      <c r="LO28" s="71"/>
      <c r="LP28" s="71"/>
      <c r="LQ28" s="71"/>
      <c r="LR28" s="71"/>
      <c r="LS28" s="71"/>
      <c r="LT28" s="71"/>
      <c r="LU28" s="71"/>
      <c r="LV28" s="71"/>
      <c r="LW28" s="71"/>
      <c r="LX28" s="71"/>
      <c r="LY28" s="71"/>
      <c r="LZ28" s="71"/>
      <c r="MA28" s="71"/>
      <c r="MB28" s="71"/>
      <c r="MC28" s="71"/>
      <c r="MD28" s="71"/>
      <c r="ME28" s="71"/>
      <c r="MF28" s="71"/>
      <c r="MG28" s="71"/>
      <c r="MH28" s="71"/>
      <c r="MI28" s="71"/>
      <c r="MJ28" s="71"/>
      <c r="MK28" s="71"/>
      <c r="ML28" s="71"/>
      <c r="MM28" s="71"/>
      <c r="MN28" s="71"/>
      <c r="MO28" s="71"/>
      <c r="MP28" s="71"/>
      <c r="MQ28" s="71"/>
      <c r="MR28" s="71"/>
      <c r="MS28" s="71"/>
      <c r="MT28" s="71"/>
      <c r="MU28" s="71"/>
      <c r="MV28" s="71"/>
      <c r="MW28" s="71"/>
      <c r="MX28" s="71"/>
      <c r="MY28" s="71"/>
      <c r="MZ28" s="71"/>
      <c r="NA28" s="71"/>
      <c r="NB28" s="71"/>
      <c r="NC28" s="71"/>
      <c r="ND28" s="71"/>
      <c r="NE28" s="71"/>
      <c r="NF28" s="71"/>
      <c r="NG28" s="71"/>
      <c r="NH28" s="71"/>
      <c r="NI28" s="71"/>
      <c r="NJ28" s="71"/>
      <c r="NK28" s="71"/>
      <c r="NL28" s="71"/>
      <c r="NM28" s="71"/>
      <c r="NN28" s="71"/>
      <c r="NO28" s="71"/>
      <c r="NP28" s="71"/>
      <c r="NQ28" s="71"/>
      <c r="NR28" s="71"/>
      <c r="NS28" s="71"/>
      <c r="NT28" s="71"/>
      <c r="NU28" s="71"/>
      <c r="NV28" s="71"/>
      <c r="NW28" s="71"/>
      <c r="NX28" s="71"/>
      <c r="NY28" s="71"/>
      <c r="NZ28" s="71"/>
      <c r="OA28" s="71"/>
      <c r="OB28" s="71"/>
      <c r="OC28" s="71"/>
      <c r="OD28" s="71"/>
      <c r="OE28" s="71"/>
      <c r="OF28" s="71"/>
      <c r="OG28" s="71"/>
      <c r="OH28" s="71"/>
      <c r="OI28" s="71"/>
      <c r="OJ28" s="71"/>
      <c r="OK28" s="71"/>
      <c r="OL28" s="71"/>
      <c r="OM28" s="71"/>
      <c r="ON28" s="71"/>
      <c r="OO28" s="71"/>
      <c r="OP28" s="71"/>
      <c r="OQ28" s="71"/>
      <c r="OR28" s="71"/>
      <c r="OS28" s="71"/>
      <c r="OT28" s="71"/>
      <c r="OU28" s="71"/>
      <c r="OV28" s="71"/>
      <c r="OW28" s="71"/>
      <c r="OX28" s="71"/>
      <c r="OY28" s="71"/>
      <c r="OZ28" s="71"/>
      <c r="PA28" s="71"/>
      <c r="PB28" s="71"/>
      <c r="PC28" s="71"/>
      <c r="PD28" s="71"/>
      <c r="PE28" s="71"/>
      <c r="PF28" s="71"/>
      <c r="PG28" s="71"/>
      <c r="PH28" s="71"/>
      <c r="PI28" s="71"/>
      <c r="PJ28" s="71"/>
      <c r="PK28" s="71"/>
      <c r="PL28" s="71"/>
      <c r="PM28" s="71"/>
      <c r="PN28" s="71"/>
      <c r="PO28" s="71"/>
      <c r="PP28" s="71"/>
      <c r="PQ28" s="71"/>
      <c r="PR28" s="71"/>
      <c r="PS28" s="71"/>
      <c r="PT28" s="71"/>
      <c r="PU28" s="71"/>
      <c r="PV28" s="71"/>
      <c r="PW28" s="71"/>
      <c r="PX28" s="71"/>
      <c r="PY28" s="71"/>
      <c r="PZ28" s="71"/>
      <c r="QA28" s="71"/>
      <c r="QB28" s="71"/>
      <c r="QC28" s="71"/>
      <c r="QD28" s="71"/>
      <c r="QE28" s="71"/>
      <c r="QF28" s="71"/>
      <c r="QG28" s="71"/>
      <c r="QH28" s="71"/>
      <c r="QI28" s="71"/>
      <c r="QJ28" s="71"/>
      <c r="QK28" s="71"/>
      <c r="QL28" s="71"/>
      <c r="QM28" s="71"/>
      <c r="QN28" s="71"/>
      <c r="QO28" s="71"/>
      <c r="QP28" s="71"/>
      <c r="QQ28" s="71"/>
      <c r="QR28" s="71"/>
      <c r="QS28" s="71"/>
      <c r="QT28" s="71"/>
      <c r="QU28" s="71"/>
      <c r="QV28" s="71"/>
      <c r="QW28" s="71"/>
      <c r="QX28" s="71"/>
      <c r="QY28" s="71"/>
      <c r="QZ28" s="71"/>
      <c r="RA28" s="71"/>
      <c r="RB28" s="71"/>
      <c r="RC28" s="71"/>
      <c r="RD28" s="71"/>
      <c r="RE28" s="71"/>
      <c r="RF28" s="71"/>
      <c r="RG28" s="71"/>
      <c r="RH28" s="71"/>
      <c r="RI28" s="71"/>
      <c r="RJ28" s="71"/>
      <c r="RK28" s="71"/>
      <c r="RL28" s="71"/>
      <c r="RM28" s="71"/>
      <c r="RN28" s="71"/>
      <c r="RO28" s="71"/>
      <c r="RP28" s="71"/>
      <c r="RQ28" s="71"/>
      <c r="RR28" s="71"/>
      <c r="RS28" s="71"/>
      <c r="RT28" s="71"/>
      <c r="RU28" s="71"/>
      <c r="RV28" s="71"/>
      <c r="RW28" s="71"/>
      <c r="RX28" s="71"/>
      <c r="RY28" s="71"/>
      <c r="RZ28" s="71"/>
      <c r="SA28" s="71"/>
      <c r="SB28" s="71"/>
      <c r="SC28" s="71"/>
      <c r="SD28" s="71"/>
      <c r="SE28" s="71"/>
      <c r="SF28" s="71"/>
      <c r="SG28" s="71"/>
      <c r="SH28" s="71"/>
      <c r="SI28" s="71"/>
      <c r="SJ28" s="71"/>
      <c r="SK28" s="71"/>
      <c r="SL28" s="71"/>
      <c r="SM28" s="71"/>
      <c r="SN28" s="71"/>
      <c r="SO28" s="71"/>
      <c r="SP28" s="71"/>
      <c r="SQ28" s="71"/>
      <c r="SR28" s="71"/>
      <c r="SS28" s="71"/>
      <c r="ST28" s="71"/>
      <c r="SU28" s="71"/>
      <c r="SV28" s="71"/>
      <c r="SW28" s="71"/>
      <c r="SX28" s="71"/>
      <c r="SY28" s="71"/>
      <c r="SZ28" s="71"/>
      <c r="TA28" s="71"/>
      <c r="TB28" s="71"/>
      <c r="TC28" s="71"/>
      <c r="TD28" s="71"/>
      <c r="TE28" s="71"/>
      <c r="TF28" s="71"/>
      <c r="TG28" s="71"/>
      <c r="TH28" s="71"/>
      <c r="TI28" s="71"/>
      <c r="TJ28" s="71"/>
      <c r="TK28" s="71"/>
      <c r="TL28" s="71"/>
      <c r="TM28" s="71"/>
      <c r="TN28" s="71"/>
      <c r="TO28" s="71"/>
      <c r="TP28" s="71"/>
      <c r="TQ28" s="71"/>
      <c r="TR28" s="71"/>
      <c r="TS28" s="71"/>
      <c r="TT28" s="71"/>
      <c r="TU28" s="71"/>
      <c r="TV28" s="71"/>
      <c r="TW28" s="71"/>
      <c r="TX28" s="71"/>
      <c r="TY28" s="71"/>
      <c r="TZ28" s="71"/>
      <c r="UA28" s="71"/>
      <c r="UB28" s="71"/>
      <c r="UC28" s="71"/>
      <c r="UD28" s="71"/>
      <c r="UE28" s="71"/>
      <c r="UF28" s="71"/>
      <c r="UG28" s="71"/>
      <c r="UH28" s="71"/>
      <c r="UI28" s="71"/>
      <c r="UJ28" s="71"/>
      <c r="UK28" s="71"/>
      <c r="UL28" s="71"/>
      <c r="UM28" s="71"/>
      <c r="UN28" s="71"/>
      <c r="UO28" s="71"/>
      <c r="UP28" s="71"/>
      <c r="UQ28" s="71"/>
      <c r="UR28" s="71"/>
      <c r="US28" s="71"/>
      <c r="UT28" s="71"/>
      <c r="UU28" s="71"/>
      <c r="UV28" s="71"/>
      <c r="UW28" s="71"/>
      <c r="UX28" s="71"/>
      <c r="UY28" s="71"/>
      <c r="UZ28" s="71"/>
      <c r="VA28" s="71"/>
      <c r="VB28" s="71"/>
      <c r="VC28" s="71"/>
      <c r="VD28" s="71"/>
      <c r="VE28" s="71"/>
      <c r="VF28" s="71"/>
      <c r="VG28" s="71"/>
      <c r="VH28" s="71"/>
      <c r="VI28" s="71"/>
      <c r="VJ28" s="71"/>
      <c r="VK28" s="71"/>
      <c r="VL28" s="71"/>
      <c r="VM28" s="71"/>
      <c r="VN28" s="71"/>
      <c r="VO28" s="71"/>
      <c r="VP28" s="71"/>
      <c r="VQ28" s="71"/>
      <c r="VR28" s="71"/>
      <c r="VS28" s="71"/>
      <c r="VT28" s="71"/>
      <c r="VU28" s="71"/>
      <c r="VV28" s="71"/>
      <c r="VW28" s="71"/>
      <c r="VX28" s="71"/>
      <c r="VY28" s="71"/>
      <c r="VZ28" s="71"/>
      <c r="WA28" s="71"/>
      <c r="WB28" s="71"/>
      <c r="WC28" s="71"/>
      <c r="WD28" s="71"/>
      <c r="WE28" s="71"/>
      <c r="WF28" s="71"/>
      <c r="WG28" s="71"/>
      <c r="WH28" s="71"/>
      <c r="WI28" s="71"/>
      <c r="WJ28" s="71"/>
      <c r="WK28" s="71"/>
      <c r="WL28" s="71"/>
      <c r="WM28" s="71"/>
      <c r="WN28" s="71"/>
      <c r="WO28" s="71"/>
      <c r="WP28" s="71"/>
      <c r="WQ28" s="71"/>
      <c r="WR28" s="71"/>
      <c r="WS28" s="71"/>
      <c r="WT28" s="71"/>
      <c r="WU28" s="71"/>
      <c r="WV28" s="71"/>
      <c r="WW28" s="71"/>
      <c r="WX28" s="71"/>
      <c r="WY28" s="71"/>
      <c r="WZ28" s="71"/>
      <c r="XA28" s="71"/>
      <c r="XB28" s="71"/>
      <c r="XC28" s="71"/>
      <c r="XD28" s="71"/>
      <c r="XE28" s="71"/>
      <c r="XF28" s="71"/>
      <c r="XG28" s="71"/>
      <c r="XH28" s="71"/>
      <c r="XI28" s="71"/>
      <c r="XJ28" s="71"/>
      <c r="XK28" s="71"/>
      <c r="XL28" s="71"/>
      <c r="XM28" s="71"/>
      <c r="XN28" s="71"/>
      <c r="XO28" s="71"/>
      <c r="XP28" s="71"/>
      <c r="XQ28" s="71"/>
      <c r="XR28" s="71"/>
      <c r="XS28" s="71"/>
      <c r="XT28" s="71"/>
      <c r="XU28" s="71"/>
      <c r="XV28" s="71"/>
      <c r="XW28" s="71"/>
      <c r="XX28" s="71"/>
      <c r="XY28" s="71"/>
      <c r="XZ28" s="71"/>
      <c r="YA28" s="71"/>
      <c r="YB28" s="71"/>
      <c r="YC28" s="71"/>
      <c r="YD28" s="71"/>
      <c r="YE28" s="71"/>
      <c r="YF28" s="71"/>
      <c r="YG28" s="71"/>
      <c r="YH28" s="71"/>
      <c r="YI28" s="71"/>
      <c r="YJ28" s="71"/>
      <c r="YK28" s="71"/>
      <c r="YL28" s="71"/>
      <c r="YM28" s="71"/>
      <c r="YN28" s="71"/>
      <c r="YO28" s="71"/>
      <c r="YP28" s="71"/>
      <c r="YQ28" s="71"/>
      <c r="YR28" s="71"/>
      <c r="YS28" s="71"/>
      <c r="YT28" s="71"/>
      <c r="YU28" s="71"/>
      <c r="YV28" s="71"/>
      <c r="YW28" s="71"/>
      <c r="YX28" s="71"/>
      <c r="YY28" s="71"/>
      <c r="YZ28" s="71"/>
      <c r="ZA28" s="71"/>
      <c r="ZB28" s="71"/>
      <c r="ZC28" s="71"/>
      <c r="ZD28" s="71"/>
      <c r="ZE28" s="71"/>
      <c r="ZF28" s="71"/>
      <c r="ZG28" s="71"/>
      <c r="ZH28" s="71"/>
      <c r="ZI28" s="71"/>
      <c r="ZJ28" s="71"/>
      <c r="ZK28" s="71"/>
      <c r="ZL28" s="71"/>
      <c r="ZM28" s="71"/>
      <c r="ZN28" s="71"/>
      <c r="ZO28" s="71"/>
      <c r="ZP28" s="71"/>
      <c r="ZQ28" s="71"/>
      <c r="ZR28" s="71"/>
      <c r="ZS28" s="71"/>
      <c r="ZT28" s="71"/>
      <c r="ZU28" s="71"/>
      <c r="ZV28" s="71"/>
      <c r="ZW28" s="71"/>
      <c r="ZX28" s="71"/>
      <c r="ZY28" s="71"/>
      <c r="ZZ28" s="71"/>
      <c r="AAA28" s="71"/>
      <c r="AAB28" s="71"/>
      <c r="AAC28" s="71"/>
      <c r="AAD28" s="71"/>
      <c r="AAE28" s="71"/>
      <c r="AAF28" s="71"/>
      <c r="AAG28" s="71"/>
      <c r="AAH28" s="71"/>
      <c r="AAI28" s="71"/>
      <c r="AAJ28" s="71"/>
      <c r="AAK28" s="71"/>
      <c r="AAL28" s="71"/>
      <c r="AAM28" s="71"/>
      <c r="AAN28" s="71"/>
      <c r="AAO28" s="71"/>
      <c r="AAP28" s="71"/>
      <c r="AAQ28" s="71"/>
      <c r="AAR28" s="71"/>
      <c r="AAS28" s="71"/>
      <c r="AAT28" s="71"/>
      <c r="AAU28" s="71"/>
      <c r="AAV28" s="71"/>
      <c r="AAW28" s="71"/>
      <c r="AAX28" s="71"/>
      <c r="AAY28" s="71"/>
      <c r="AAZ28" s="71"/>
      <c r="ABA28" s="71"/>
      <c r="ABB28" s="71"/>
      <c r="ABC28" s="71"/>
      <c r="ABD28" s="71"/>
      <c r="ABE28" s="71"/>
      <c r="ABF28" s="71"/>
      <c r="ABG28" s="71"/>
      <c r="ABH28" s="71"/>
      <c r="ABI28" s="71"/>
      <c r="ABJ28" s="71"/>
      <c r="ABK28" s="71"/>
      <c r="ABL28" s="71"/>
      <c r="ABM28" s="71"/>
      <c r="ABN28" s="71"/>
      <c r="ABO28" s="71"/>
      <c r="ABP28" s="71"/>
      <c r="ABQ28" s="71"/>
      <c r="ABR28" s="71"/>
      <c r="ABS28" s="71"/>
      <c r="ABT28" s="71"/>
      <c r="ABU28" s="71"/>
      <c r="ABV28" s="71"/>
      <c r="ABW28" s="71"/>
      <c r="ABX28" s="71"/>
      <c r="ABY28" s="71"/>
      <c r="ABZ28" s="71"/>
      <c r="ACA28" s="71"/>
      <c r="ACB28" s="71"/>
      <c r="ACC28" s="71"/>
      <c r="ACD28" s="71"/>
      <c r="ACE28" s="71"/>
      <c r="ACF28" s="71"/>
      <c r="ACG28" s="71"/>
      <c r="ACH28" s="71"/>
      <c r="ACI28" s="71"/>
      <c r="ACJ28" s="71"/>
      <c r="ACK28" s="71"/>
      <c r="ACL28" s="71"/>
      <c r="ACM28" s="71"/>
      <c r="ACN28" s="71"/>
      <c r="ACO28" s="71"/>
      <c r="ACP28" s="71"/>
      <c r="ACQ28" s="71"/>
      <c r="ACR28" s="71"/>
      <c r="ACS28" s="71"/>
      <c r="ACT28" s="71"/>
      <c r="ACU28" s="71"/>
      <c r="ACV28" s="71"/>
      <c r="ACW28" s="71"/>
      <c r="ACX28" s="71"/>
      <c r="ACY28" s="71"/>
      <c r="ACZ28" s="71"/>
      <c r="ADA28" s="71"/>
      <c r="ADB28" s="71"/>
      <c r="ADC28" s="71"/>
      <c r="ADD28" s="71"/>
      <c r="ADE28" s="71"/>
      <c r="ADF28" s="71"/>
      <c r="ADG28" s="71"/>
      <c r="ADH28" s="71"/>
      <c r="ADI28" s="71"/>
      <c r="ADJ28" s="71"/>
      <c r="ADK28" s="71"/>
      <c r="ADL28" s="71"/>
      <c r="ADM28" s="71"/>
      <c r="ADN28" s="71"/>
      <c r="ADO28" s="71"/>
      <c r="ADP28" s="71"/>
      <c r="ADQ28" s="71"/>
      <c r="ADR28" s="71"/>
      <c r="ADS28" s="71"/>
      <c r="ADT28" s="71"/>
      <c r="ADU28" s="71"/>
      <c r="ADV28" s="71"/>
      <c r="ADW28" s="71"/>
      <c r="ADX28" s="71"/>
      <c r="ADY28" s="71"/>
      <c r="ADZ28" s="71"/>
      <c r="AEA28" s="71"/>
      <c r="AEB28" s="71"/>
      <c r="AEC28" s="71"/>
      <c r="AED28" s="71"/>
      <c r="AEE28" s="71"/>
      <c r="AEF28" s="71"/>
      <c r="AEG28" s="71"/>
      <c r="AEH28" s="71"/>
      <c r="AEI28" s="71"/>
      <c r="AEJ28" s="71"/>
      <c r="AEK28" s="71"/>
      <c r="AEL28" s="71"/>
      <c r="AEM28" s="71"/>
      <c r="AEN28" s="71"/>
      <c r="AEO28" s="71"/>
      <c r="AEP28" s="71"/>
      <c r="AEQ28" s="71"/>
      <c r="AER28" s="71"/>
      <c r="AES28" s="71"/>
      <c r="AET28" s="71"/>
      <c r="AEU28" s="71"/>
      <c r="AEV28" s="71"/>
      <c r="AEW28" s="71"/>
      <c r="AEX28" s="71"/>
      <c r="AEY28" s="71"/>
      <c r="AEZ28" s="71"/>
      <c r="AFA28" s="71"/>
      <c r="AFB28" s="71"/>
      <c r="AFC28" s="71"/>
      <c r="AFD28" s="71"/>
      <c r="AFE28" s="71"/>
      <c r="AFF28" s="71"/>
      <c r="AFG28" s="71"/>
      <c r="AFH28" s="71"/>
      <c r="AFI28" s="71"/>
      <c r="AFJ28" s="71"/>
      <c r="AFK28" s="71"/>
      <c r="AFL28" s="71"/>
      <c r="AFM28" s="71"/>
      <c r="AFN28" s="71"/>
      <c r="AFO28" s="71"/>
      <c r="AFP28" s="71"/>
      <c r="AFQ28" s="71"/>
      <c r="AFR28" s="71"/>
      <c r="AFS28" s="71"/>
      <c r="AFT28" s="71"/>
      <c r="AFU28" s="71"/>
      <c r="AFV28" s="71"/>
      <c r="AFW28" s="71"/>
      <c r="AFX28" s="71"/>
      <c r="AFY28" s="71"/>
      <c r="AFZ28" s="71"/>
      <c r="AGA28" s="71"/>
      <c r="AGB28" s="71"/>
      <c r="AGC28" s="71"/>
      <c r="AGD28" s="71"/>
      <c r="AGE28" s="71"/>
      <c r="AGF28" s="71"/>
      <c r="AGG28" s="71"/>
      <c r="AGH28" s="71"/>
      <c r="AGI28" s="71"/>
      <c r="AGJ28" s="71"/>
      <c r="AGK28" s="71"/>
      <c r="AGL28" s="71"/>
      <c r="AGM28" s="71"/>
      <c r="AGN28" s="71"/>
      <c r="AGO28" s="71"/>
      <c r="AGP28" s="71"/>
      <c r="AGQ28" s="71"/>
      <c r="AGR28" s="71"/>
      <c r="AGS28" s="71"/>
      <c r="AGT28" s="71"/>
      <c r="AGU28" s="71"/>
      <c r="AGV28" s="71"/>
      <c r="AGW28" s="71"/>
      <c r="AGX28" s="71"/>
      <c r="AGY28" s="71"/>
      <c r="AGZ28" s="71"/>
      <c r="AHA28" s="71"/>
      <c r="AHB28" s="71"/>
      <c r="AHC28" s="71"/>
      <c r="AHD28" s="71"/>
      <c r="AHE28" s="71"/>
      <c r="AHF28" s="71"/>
      <c r="AHG28" s="71"/>
      <c r="AHH28" s="71"/>
      <c r="AHI28" s="71"/>
      <c r="AHJ28" s="71"/>
      <c r="AHK28" s="71"/>
      <c r="AHL28" s="71"/>
      <c r="AHM28" s="71"/>
      <c r="AHN28" s="71"/>
      <c r="AHO28" s="71"/>
      <c r="AHP28" s="71"/>
      <c r="AHQ28" s="71"/>
      <c r="AHR28" s="71"/>
      <c r="AHS28" s="71"/>
      <c r="AHT28" s="71"/>
      <c r="AHU28" s="71"/>
      <c r="AHV28" s="71"/>
      <c r="AHW28" s="71"/>
      <c r="AHX28" s="71"/>
      <c r="AHY28" s="71"/>
      <c r="AHZ28" s="71"/>
      <c r="AIA28" s="71"/>
      <c r="AIB28" s="71"/>
      <c r="AIC28" s="71"/>
      <c r="AID28" s="71"/>
      <c r="AIE28" s="71"/>
      <c r="AIF28" s="71"/>
      <c r="AIG28" s="71"/>
      <c r="AIH28" s="71"/>
      <c r="AII28" s="71"/>
      <c r="AIJ28" s="71"/>
      <c r="AIK28" s="71"/>
      <c r="AIL28" s="71"/>
      <c r="AIM28" s="71"/>
      <c r="AIN28" s="71"/>
      <c r="AIO28" s="71"/>
      <c r="AIP28" s="71"/>
      <c r="AIQ28" s="71"/>
      <c r="AIR28" s="71"/>
      <c r="AIS28" s="71"/>
      <c r="AIT28" s="71"/>
      <c r="AIU28" s="71"/>
      <c r="AIV28" s="71"/>
      <c r="AIW28" s="71"/>
      <c r="AIX28" s="71"/>
      <c r="AIY28" s="71"/>
      <c r="AIZ28" s="71"/>
      <c r="AJA28" s="71"/>
      <c r="AJB28" s="71"/>
      <c r="AJC28" s="71"/>
      <c r="AJD28" s="71"/>
      <c r="AJE28" s="71"/>
      <c r="AJF28" s="71"/>
      <c r="AJG28" s="71"/>
      <c r="AJH28" s="71"/>
      <c r="AJI28" s="71"/>
      <c r="AJJ28" s="71"/>
      <c r="AJK28" s="71"/>
      <c r="AJL28" s="71"/>
      <c r="AJM28" s="71"/>
      <c r="AJN28" s="71"/>
      <c r="AJO28" s="71"/>
      <c r="AJP28" s="71"/>
      <c r="AJQ28" s="71"/>
      <c r="AJR28" s="71"/>
      <c r="AJS28" s="71"/>
      <c r="AJT28" s="71"/>
      <c r="AJU28" s="71"/>
      <c r="AJV28" s="71"/>
      <c r="AJW28" s="71"/>
      <c r="AJX28" s="71"/>
      <c r="AJY28" s="71"/>
      <c r="AJZ28" s="71"/>
      <c r="AKA28" s="71"/>
      <c r="AKB28" s="71"/>
      <c r="AKC28" s="71"/>
      <c r="AKD28" s="71"/>
      <c r="AKE28" s="71"/>
      <c r="AKF28" s="71"/>
      <c r="AKG28" s="71"/>
      <c r="AKH28" s="71"/>
      <c r="AKI28" s="71"/>
      <c r="AKJ28" s="71"/>
      <c r="AKK28" s="71"/>
      <c r="AKL28" s="71"/>
      <c r="AKM28" s="71"/>
      <c r="AKN28" s="71"/>
      <c r="AKO28" s="71"/>
      <c r="AKP28" s="71"/>
      <c r="AKQ28" s="71"/>
      <c r="AKR28" s="71"/>
      <c r="AKS28" s="71"/>
      <c r="AKT28" s="71"/>
      <c r="AKU28" s="71"/>
      <c r="AKV28" s="71"/>
      <c r="AKW28" s="71"/>
      <c r="AKX28" s="71"/>
      <c r="AKY28" s="71"/>
      <c r="AKZ28" s="71"/>
      <c r="ALA28" s="71"/>
      <c r="ALB28" s="71"/>
      <c r="ALC28" s="71"/>
      <c r="ALD28" s="71"/>
      <c r="ALE28" s="71"/>
      <c r="ALF28" s="71"/>
      <c r="ALG28" s="71"/>
      <c r="ALH28" s="71"/>
      <c r="ALI28" s="71"/>
      <c r="ALJ28" s="71"/>
      <c r="ALK28" s="71"/>
      <c r="ALL28" s="71"/>
      <c r="ALM28" s="71"/>
      <c r="ALN28" s="71"/>
      <c r="ALO28" s="71"/>
      <c r="ALP28" s="71"/>
      <c r="ALQ28" s="71"/>
      <c r="ALR28" s="71"/>
      <c r="ALS28" s="71"/>
      <c r="ALT28" s="71"/>
      <c r="ALU28" s="71"/>
      <c r="ALV28" s="71"/>
      <c r="ALW28" s="71"/>
      <c r="ALX28" s="71"/>
      <c r="ALY28" s="71"/>
      <c r="ALZ28" s="71"/>
      <c r="AMA28" s="71"/>
      <c r="AMB28" s="71"/>
      <c r="AMC28" s="71"/>
      <c r="AMD28" s="71"/>
      <c r="AME28" s="71"/>
      <c r="AMF28" s="71"/>
      <c r="AMG28" s="71"/>
      <c r="AMH28" s="71"/>
      <c r="AMI28" s="71"/>
      <c r="AMJ28" s="71"/>
      <c r="AMK28" s="71"/>
      <c r="AML28" s="71"/>
      <c r="AMM28" s="71"/>
      <c r="AMN28" s="71"/>
      <c r="AMO28" s="71"/>
      <c r="AMP28" s="71"/>
      <c r="AMQ28" s="71"/>
      <c r="AMR28" s="71"/>
      <c r="AMS28" s="71"/>
      <c r="AMT28" s="71"/>
      <c r="AMU28" s="71"/>
      <c r="AMV28" s="71"/>
      <c r="AMW28" s="71"/>
      <c r="AMX28" s="71"/>
      <c r="AMY28" s="71"/>
      <c r="AMZ28" s="71"/>
      <c r="ANA28" s="71"/>
      <c r="ANB28" s="71"/>
      <c r="ANC28" s="71"/>
      <c r="AND28" s="71"/>
      <c r="ANE28" s="71"/>
      <c r="ANF28" s="71"/>
      <c r="ANG28" s="71"/>
      <c r="ANH28" s="71"/>
      <c r="ANI28" s="71"/>
      <c r="ANJ28" s="71"/>
      <c r="ANK28" s="71"/>
      <c r="ANL28" s="71"/>
      <c r="ANM28" s="71"/>
      <c r="ANN28" s="71"/>
      <c r="ANO28" s="71"/>
      <c r="ANP28" s="71"/>
      <c r="ANQ28" s="71"/>
      <c r="ANR28" s="71"/>
      <c r="ANS28" s="71"/>
      <c r="ANT28" s="71"/>
      <c r="ANU28" s="71"/>
      <c r="ANV28" s="71"/>
      <c r="ANW28" s="71"/>
      <c r="ANX28" s="71"/>
      <c r="ANY28" s="71"/>
      <c r="ANZ28" s="71"/>
      <c r="AOA28" s="71"/>
      <c r="AOB28" s="71"/>
      <c r="AOC28" s="71"/>
      <c r="AOD28" s="71"/>
      <c r="AOE28" s="71"/>
      <c r="AOF28" s="71"/>
      <c r="AOG28" s="71"/>
      <c r="AOH28" s="71"/>
      <c r="AOI28" s="71"/>
      <c r="AOJ28" s="71"/>
      <c r="AOK28" s="71"/>
      <c r="AOL28" s="71"/>
      <c r="AOM28" s="71"/>
      <c r="AON28" s="71"/>
      <c r="AOO28" s="71"/>
      <c r="AOP28" s="71"/>
      <c r="AOQ28" s="71"/>
      <c r="AOR28" s="71"/>
      <c r="AOS28" s="71"/>
      <c r="AOT28" s="71"/>
      <c r="AOU28" s="71"/>
      <c r="AOV28" s="71"/>
      <c r="AOW28" s="71"/>
      <c r="AOX28" s="71"/>
      <c r="AOY28" s="71"/>
      <c r="AOZ28" s="71"/>
      <c r="APA28" s="71"/>
      <c r="APB28" s="71"/>
      <c r="APC28" s="71"/>
      <c r="APD28" s="71"/>
      <c r="APE28" s="71"/>
      <c r="APF28" s="71"/>
      <c r="APG28" s="71"/>
      <c r="APH28" s="71"/>
      <c r="API28" s="71"/>
      <c r="APJ28" s="71"/>
      <c r="APK28" s="71"/>
      <c r="APL28" s="71"/>
      <c r="APM28" s="71"/>
      <c r="APN28" s="71"/>
      <c r="APO28" s="71"/>
      <c r="APP28" s="71"/>
      <c r="APQ28" s="71"/>
      <c r="APR28" s="71"/>
      <c r="APS28" s="71"/>
      <c r="APT28" s="71"/>
      <c r="APU28" s="71"/>
      <c r="APV28" s="71"/>
      <c r="APW28" s="71"/>
      <c r="APX28" s="71"/>
      <c r="APY28" s="71"/>
      <c r="APZ28" s="71"/>
      <c r="AQA28" s="71"/>
      <c r="AQB28" s="71"/>
      <c r="AQC28" s="71"/>
      <c r="AQD28" s="71"/>
      <c r="AQE28" s="71"/>
      <c r="AQF28" s="71"/>
      <c r="AQG28" s="71"/>
      <c r="AQH28" s="71"/>
      <c r="AQI28" s="71"/>
      <c r="AQJ28" s="71"/>
      <c r="AQK28" s="71"/>
      <c r="AQL28" s="71"/>
      <c r="AQM28" s="71"/>
      <c r="AQN28" s="71"/>
      <c r="AQO28" s="71"/>
      <c r="AQP28" s="71"/>
      <c r="AQQ28" s="71"/>
      <c r="AQR28" s="71"/>
      <c r="AQS28" s="71"/>
      <c r="AQT28" s="71"/>
      <c r="AQU28" s="71"/>
      <c r="AQV28" s="71"/>
      <c r="AQW28" s="71"/>
      <c r="AQX28" s="71"/>
      <c r="AQY28" s="71"/>
      <c r="AQZ28" s="71"/>
      <c r="ARA28" s="71"/>
      <c r="ARB28" s="71"/>
      <c r="ARC28" s="71"/>
      <c r="ARD28" s="71"/>
      <c r="ARE28" s="71"/>
      <c r="ARF28" s="71"/>
      <c r="ARG28" s="71"/>
      <c r="ARH28" s="71"/>
      <c r="ARI28" s="71"/>
      <c r="ARJ28" s="71"/>
      <c r="ARK28" s="71"/>
      <c r="ARL28" s="71"/>
      <c r="ARM28" s="71"/>
      <c r="ARN28" s="71"/>
      <c r="ARO28" s="71"/>
      <c r="ARP28" s="71"/>
      <c r="ARQ28" s="71"/>
      <c r="ARR28" s="71"/>
      <c r="ARS28" s="71"/>
      <c r="ART28" s="71"/>
      <c r="ARU28" s="71"/>
      <c r="ARV28" s="71"/>
      <c r="ARW28" s="71"/>
      <c r="ARX28" s="71"/>
      <c r="ARY28" s="71"/>
      <c r="ARZ28" s="71"/>
      <c r="ASA28" s="71"/>
      <c r="ASB28" s="71"/>
      <c r="ASC28" s="71"/>
      <c r="ASD28" s="71"/>
      <c r="ASE28" s="71"/>
      <c r="ASF28" s="71"/>
      <c r="ASG28" s="71"/>
      <c r="ASH28" s="71"/>
      <c r="ASI28" s="71"/>
      <c r="ASJ28" s="71"/>
      <c r="ASK28" s="71"/>
      <c r="ASL28" s="71"/>
      <c r="ASM28" s="71"/>
      <c r="ASN28" s="71"/>
      <c r="ASO28" s="71"/>
      <c r="ASP28" s="71"/>
      <c r="ASQ28" s="71"/>
      <c r="ASR28" s="71"/>
      <c r="ASS28" s="71"/>
      <c r="AST28" s="71"/>
      <c r="ASU28" s="71"/>
      <c r="ASV28" s="71"/>
      <c r="ASW28" s="71"/>
      <c r="ASX28" s="71"/>
      <c r="ASY28" s="71"/>
      <c r="ASZ28" s="71"/>
      <c r="ATA28" s="71"/>
      <c r="ATB28" s="71"/>
      <c r="ATC28" s="71"/>
      <c r="ATD28" s="71"/>
      <c r="ATE28" s="71"/>
      <c r="ATF28" s="71"/>
      <c r="ATG28" s="71"/>
      <c r="ATH28" s="71"/>
      <c r="ATI28" s="71"/>
      <c r="ATJ28" s="71"/>
      <c r="ATK28" s="71"/>
      <c r="ATL28" s="71"/>
      <c r="ATM28" s="71"/>
      <c r="ATN28" s="71"/>
      <c r="ATO28" s="71"/>
      <c r="ATP28" s="71"/>
      <c r="ATQ28" s="71"/>
      <c r="ATR28" s="71"/>
      <c r="ATS28" s="71"/>
      <c r="ATT28" s="71"/>
      <c r="ATU28" s="71"/>
      <c r="ATV28" s="71"/>
      <c r="ATW28" s="71"/>
      <c r="ATX28" s="71"/>
      <c r="ATY28" s="71"/>
      <c r="ATZ28" s="71"/>
      <c r="AUA28" s="71"/>
      <c r="AUB28" s="71"/>
      <c r="AUC28" s="71"/>
      <c r="AUD28" s="71"/>
      <c r="AUE28" s="71"/>
      <c r="AUF28" s="71"/>
      <c r="AUG28" s="71"/>
      <c r="AUH28" s="71"/>
      <c r="AUI28" s="71"/>
      <c r="AUJ28" s="71"/>
      <c r="AUK28" s="71"/>
      <c r="AUL28" s="71"/>
      <c r="AUM28" s="71"/>
      <c r="AUN28" s="71"/>
      <c r="AUO28" s="71"/>
      <c r="AUP28" s="71"/>
      <c r="AUQ28" s="71"/>
      <c r="AUR28" s="71"/>
      <c r="AUS28" s="71"/>
      <c r="AUT28" s="71"/>
      <c r="AUU28" s="71"/>
      <c r="AUV28" s="71"/>
      <c r="AUW28" s="71"/>
      <c r="AUX28" s="71"/>
      <c r="AUY28" s="71"/>
      <c r="AUZ28" s="71"/>
      <c r="AVA28" s="71"/>
      <c r="AVB28" s="71"/>
      <c r="AVC28" s="71"/>
      <c r="AVD28" s="71"/>
      <c r="AVE28" s="71"/>
      <c r="AVF28" s="71"/>
      <c r="AVG28" s="71"/>
      <c r="AVH28" s="71"/>
      <c r="AVI28" s="71"/>
      <c r="AVJ28" s="71"/>
      <c r="AVK28" s="71"/>
      <c r="AVL28" s="71"/>
      <c r="AVM28" s="71"/>
      <c r="AVN28" s="71"/>
      <c r="AVO28" s="71"/>
      <c r="AVP28" s="71"/>
      <c r="AVQ28" s="71"/>
      <c r="AVR28" s="71"/>
      <c r="AVS28" s="71"/>
      <c r="AVT28" s="71"/>
      <c r="AVU28" s="71"/>
      <c r="AVV28" s="71"/>
      <c r="AVW28" s="71"/>
      <c r="AVX28" s="71"/>
      <c r="AVY28" s="71"/>
      <c r="AVZ28" s="71"/>
      <c r="AWA28" s="71"/>
      <c r="AWB28" s="71"/>
      <c r="AWC28" s="71"/>
      <c r="AWD28" s="71"/>
      <c r="AWE28" s="71"/>
      <c r="AWF28" s="71"/>
      <c r="AWG28" s="71"/>
      <c r="AWH28" s="71"/>
      <c r="AWI28" s="71"/>
      <c r="AWJ28" s="71"/>
      <c r="AWK28" s="71"/>
      <c r="AWL28" s="71"/>
      <c r="AWM28" s="71"/>
      <c r="AWN28" s="71"/>
      <c r="AWO28" s="71"/>
      <c r="AWP28" s="71"/>
      <c r="AWQ28" s="71"/>
      <c r="AWR28" s="71"/>
      <c r="AWS28" s="71"/>
      <c r="AWT28" s="71"/>
      <c r="AWU28" s="71"/>
      <c r="AWV28" s="71"/>
      <c r="AWW28" s="71"/>
      <c r="AWX28" s="71"/>
      <c r="AWY28" s="71"/>
      <c r="AWZ28" s="71"/>
      <c r="AXA28" s="71"/>
      <c r="AXB28" s="71"/>
      <c r="AXC28" s="71"/>
      <c r="AXD28" s="71"/>
      <c r="AXE28" s="71"/>
      <c r="AXF28" s="71"/>
      <c r="AXG28" s="71"/>
      <c r="AXH28" s="71"/>
      <c r="AXI28" s="71"/>
      <c r="AXJ28" s="71"/>
      <c r="AXK28" s="71"/>
      <c r="AXL28" s="71"/>
      <c r="AXM28" s="71"/>
      <c r="AXN28" s="71"/>
      <c r="AXO28" s="71"/>
      <c r="AXP28" s="71"/>
      <c r="AXQ28" s="71"/>
      <c r="AXR28" s="71"/>
      <c r="AXS28" s="71"/>
      <c r="AXT28" s="71"/>
      <c r="AXU28" s="71"/>
      <c r="AXV28" s="71"/>
      <c r="AXW28" s="71"/>
      <c r="AXX28" s="71"/>
      <c r="AXY28" s="71"/>
      <c r="AXZ28" s="71"/>
      <c r="AYA28" s="71"/>
      <c r="AYB28" s="71"/>
      <c r="AYC28" s="71"/>
      <c r="AYD28" s="71"/>
      <c r="AYE28" s="71"/>
      <c r="AYF28" s="71"/>
      <c r="AYG28" s="71"/>
      <c r="AYH28" s="71"/>
      <c r="AYI28" s="71"/>
      <c r="AYJ28" s="71"/>
      <c r="AYK28" s="71"/>
      <c r="AYL28" s="71"/>
      <c r="AYM28" s="71"/>
      <c r="AYN28" s="71"/>
      <c r="AYO28" s="71"/>
      <c r="AYP28" s="71"/>
      <c r="AYQ28" s="71"/>
      <c r="AYR28" s="71"/>
      <c r="AYS28" s="71"/>
      <c r="AYT28" s="71"/>
      <c r="AYU28" s="71"/>
      <c r="AYV28" s="71"/>
      <c r="AYW28" s="71"/>
      <c r="AYX28" s="71"/>
      <c r="AYY28" s="71"/>
      <c r="AYZ28" s="71"/>
      <c r="AZA28" s="71"/>
      <c r="AZB28" s="71"/>
      <c r="AZC28" s="71"/>
      <c r="AZD28" s="71"/>
      <c r="AZE28" s="71"/>
      <c r="AZF28" s="71"/>
      <c r="AZG28" s="71"/>
      <c r="AZH28" s="71"/>
      <c r="AZI28" s="71"/>
      <c r="AZJ28" s="71"/>
      <c r="AZK28" s="71"/>
      <c r="AZL28" s="71"/>
      <c r="AZM28" s="71"/>
      <c r="AZN28" s="71"/>
      <c r="AZO28" s="71"/>
      <c r="AZP28" s="71"/>
      <c r="AZQ28" s="71"/>
      <c r="AZR28" s="71"/>
      <c r="AZS28" s="71"/>
      <c r="AZT28" s="71"/>
      <c r="AZU28" s="71"/>
      <c r="AZV28" s="71"/>
      <c r="AZW28" s="71"/>
      <c r="AZX28" s="71"/>
      <c r="AZY28" s="71"/>
      <c r="AZZ28" s="71"/>
      <c r="BAA28" s="71"/>
      <c r="BAB28" s="71"/>
      <c r="BAC28" s="71"/>
      <c r="BAD28" s="71"/>
      <c r="BAE28" s="71"/>
      <c r="BAF28" s="71"/>
      <c r="BAG28" s="71"/>
      <c r="BAH28" s="71"/>
      <c r="BAI28" s="71"/>
      <c r="BAJ28" s="71"/>
      <c r="BAK28" s="71"/>
      <c r="BAL28" s="71"/>
      <c r="BAM28" s="71"/>
      <c r="BAN28" s="71"/>
      <c r="BAO28" s="71"/>
      <c r="BAP28" s="71"/>
      <c r="BAQ28" s="71"/>
      <c r="BAR28" s="71"/>
      <c r="BAS28" s="71"/>
      <c r="BAT28" s="71"/>
      <c r="BAU28" s="71"/>
      <c r="BAV28" s="71"/>
      <c r="BAW28" s="71"/>
      <c r="BAX28" s="71"/>
      <c r="BAY28" s="71"/>
      <c r="BAZ28" s="71"/>
      <c r="BBA28" s="71"/>
      <c r="BBB28" s="71"/>
      <c r="BBC28" s="71"/>
      <c r="BBD28" s="71"/>
      <c r="BBE28" s="71"/>
      <c r="BBF28" s="71"/>
      <c r="BBG28" s="71"/>
      <c r="BBH28" s="71"/>
      <c r="BBI28" s="71"/>
      <c r="BBJ28" s="71"/>
      <c r="BBK28" s="71"/>
      <c r="BBL28" s="71"/>
      <c r="BBM28" s="71"/>
      <c r="BBN28" s="71"/>
      <c r="BBO28" s="71"/>
      <c r="BBP28" s="71"/>
      <c r="BBQ28" s="71"/>
      <c r="BBR28" s="71"/>
      <c r="BBS28" s="71"/>
      <c r="BBT28" s="71"/>
      <c r="BBU28" s="71"/>
      <c r="BBV28" s="71"/>
      <c r="BBW28" s="71"/>
      <c r="BBX28" s="71"/>
      <c r="BBY28" s="71"/>
      <c r="BBZ28" s="71"/>
      <c r="BCA28" s="71"/>
      <c r="BCB28" s="71"/>
      <c r="BCC28" s="71"/>
      <c r="BCD28" s="71"/>
      <c r="BCE28" s="71"/>
      <c r="BCF28" s="71"/>
      <c r="BCG28" s="71"/>
      <c r="BCH28" s="71"/>
      <c r="BCI28" s="71"/>
      <c r="BCJ28" s="71"/>
      <c r="BCK28" s="71"/>
      <c r="BCL28" s="71"/>
      <c r="BCM28" s="71"/>
      <c r="BCN28" s="71"/>
      <c r="BCO28" s="71"/>
      <c r="BCP28" s="71"/>
      <c r="BCQ28" s="71"/>
      <c r="BCR28" s="71"/>
      <c r="BCS28" s="71"/>
      <c r="BCT28" s="71"/>
      <c r="BCU28" s="71"/>
      <c r="BCV28" s="71"/>
      <c r="BCW28" s="71"/>
      <c r="BCX28" s="71"/>
      <c r="BCY28" s="71"/>
      <c r="BCZ28" s="71"/>
      <c r="BDA28" s="71"/>
      <c r="BDB28" s="71"/>
      <c r="BDC28" s="71"/>
      <c r="BDD28" s="71"/>
      <c r="BDE28" s="71"/>
      <c r="BDF28" s="71"/>
      <c r="BDG28" s="71"/>
      <c r="BDH28" s="71"/>
      <c r="BDI28" s="71"/>
      <c r="BDJ28" s="71"/>
      <c r="BDK28" s="71"/>
      <c r="BDL28" s="71"/>
      <c r="BDM28" s="71"/>
      <c r="BDN28" s="71"/>
      <c r="BDO28" s="71"/>
      <c r="BDP28" s="71"/>
      <c r="BDQ28" s="71"/>
      <c r="BDR28" s="71"/>
      <c r="BDS28" s="71"/>
      <c r="BDT28" s="71"/>
      <c r="BDU28" s="71"/>
      <c r="BDV28" s="71"/>
      <c r="BDW28" s="71"/>
      <c r="BDX28" s="71"/>
      <c r="BDY28" s="71"/>
      <c r="BDZ28" s="71"/>
      <c r="BEA28" s="71"/>
      <c r="BEB28" s="71"/>
      <c r="BEC28" s="71"/>
      <c r="BED28" s="71"/>
      <c r="BEE28" s="71"/>
      <c r="BEF28" s="71"/>
      <c r="BEG28" s="71"/>
      <c r="BEH28" s="71"/>
      <c r="BEI28" s="71"/>
      <c r="BEJ28" s="71"/>
      <c r="BEK28" s="71"/>
      <c r="BEL28" s="71"/>
      <c r="BEM28" s="71"/>
      <c r="BEN28" s="71"/>
      <c r="BEO28" s="71"/>
      <c r="BEP28" s="71"/>
      <c r="BEQ28" s="71"/>
      <c r="BER28" s="71"/>
      <c r="BES28" s="71"/>
      <c r="BET28" s="71"/>
      <c r="BEU28" s="71"/>
      <c r="BEV28" s="71"/>
      <c r="BEW28" s="71"/>
      <c r="BEX28" s="71"/>
      <c r="BEY28" s="71"/>
      <c r="BEZ28" s="71"/>
      <c r="BFA28" s="71"/>
      <c r="BFB28" s="71"/>
      <c r="BFC28" s="71"/>
      <c r="BFD28" s="71"/>
      <c r="BFE28" s="71"/>
      <c r="BFF28" s="71"/>
      <c r="BFG28" s="71"/>
      <c r="BFH28" s="71"/>
      <c r="BFI28" s="71"/>
      <c r="BFJ28" s="71"/>
      <c r="BFK28" s="71"/>
      <c r="BFL28" s="71"/>
      <c r="BFM28" s="71"/>
      <c r="BFN28" s="71"/>
      <c r="BFO28" s="71"/>
      <c r="BFP28" s="71"/>
      <c r="BFQ28" s="71"/>
      <c r="BFR28" s="71"/>
      <c r="BFS28" s="71"/>
      <c r="BFT28" s="71"/>
      <c r="BFU28" s="71"/>
      <c r="BFV28" s="71"/>
      <c r="BFW28" s="71"/>
      <c r="BFX28" s="71"/>
      <c r="BFY28" s="71"/>
      <c r="BFZ28" s="71"/>
      <c r="BGA28" s="71"/>
      <c r="BGB28" s="71"/>
      <c r="BGC28" s="71"/>
      <c r="BGD28" s="71"/>
      <c r="BGE28" s="71"/>
      <c r="BGF28" s="71"/>
      <c r="BGG28" s="71"/>
      <c r="BGH28" s="71"/>
      <c r="BGI28" s="71"/>
      <c r="BGJ28" s="71"/>
      <c r="BGK28" s="71"/>
      <c r="BGL28" s="71"/>
      <c r="BGM28" s="71"/>
      <c r="BGN28" s="71"/>
      <c r="BGO28" s="71"/>
      <c r="BGP28" s="71"/>
      <c r="BGQ28" s="71"/>
      <c r="BGR28" s="71"/>
      <c r="BGS28" s="71"/>
      <c r="BGT28" s="71"/>
      <c r="BGU28" s="71"/>
      <c r="BGV28" s="71"/>
      <c r="BGW28" s="71"/>
      <c r="BGX28" s="71"/>
      <c r="BGY28" s="71"/>
      <c r="BGZ28" s="71"/>
      <c r="BHA28" s="71"/>
      <c r="BHB28" s="71"/>
      <c r="BHC28" s="71"/>
      <c r="BHD28" s="71"/>
      <c r="BHE28" s="71"/>
      <c r="BHF28" s="71"/>
      <c r="BHG28" s="71"/>
      <c r="BHH28" s="71"/>
      <c r="BHI28" s="71"/>
      <c r="BHJ28" s="71"/>
      <c r="BHK28" s="71"/>
      <c r="BHL28" s="71"/>
      <c r="BHM28" s="71"/>
      <c r="BHN28" s="71"/>
      <c r="BHO28" s="71"/>
      <c r="BHP28" s="71"/>
      <c r="BHQ28" s="71"/>
      <c r="BHR28" s="71"/>
      <c r="BHS28" s="71"/>
      <c r="BHT28" s="71"/>
      <c r="BHU28" s="71"/>
      <c r="BHV28" s="71"/>
      <c r="BHW28" s="71"/>
      <c r="BHX28" s="71"/>
      <c r="BHY28" s="71"/>
      <c r="BHZ28" s="71"/>
      <c r="BIA28" s="71"/>
      <c r="BIB28" s="71"/>
      <c r="BIC28" s="71"/>
      <c r="BID28" s="71"/>
      <c r="BIE28" s="71"/>
      <c r="BIF28" s="71"/>
      <c r="BIG28" s="71"/>
      <c r="BIH28" s="71"/>
      <c r="BII28" s="71"/>
      <c r="BIJ28" s="71"/>
      <c r="BIK28" s="71"/>
      <c r="BIL28" s="71"/>
      <c r="BIM28" s="71"/>
      <c r="BIN28" s="71"/>
      <c r="BIO28" s="71"/>
      <c r="BIP28" s="71"/>
      <c r="BIQ28" s="71"/>
      <c r="BIR28" s="71"/>
      <c r="BIS28" s="71"/>
      <c r="BIT28" s="71"/>
      <c r="BIU28" s="71"/>
      <c r="BIV28" s="71"/>
      <c r="BIW28" s="71"/>
      <c r="BIX28" s="71"/>
      <c r="BIY28" s="71"/>
      <c r="BIZ28" s="71"/>
      <c r="BJA28" s="71"/>
      <c r="BJB28" s="71"/>
      <c r="BJC28" s="71"/>
      <c r="BJD28" s="71"/>
      <c r="BJE28" s="71"/>
      <c r="BJF28" s="71"/>
      <c r="BJG28" s="71"/>
      <c r="BJH28" s="71"/>
      <c r="BJI28" s="71"/>
      <c r="BJJ28" s="71"/>
      <c r="BJK28" s="71"/>
      <c r="BJL28" s="71"/>
      <c r="BJM28" s="71"/>
      <c r="BJN28" s="71"/>
      <c r="BJO28" s="71"/>
      <c r="BJP28" s="71"/>
      <c r="BJQ28" s="71"/>
      <c r="BJR28" s="71"/>
      <c r="BJS28" s="71"/>
      <c r="BJT28" s="71"/>
      <c r="BJU28" s="71"/>
      <c r="BJV28" s="71"/>
      <c r="BJW28" s="71"/>
      <c r="BJX28" s="71"/>
      <c r="BJY28" s="71"/>
      <c r="BJZ28" s="71"/>
      <c r="BKA28" s="71"/>
      <c r="BKB28" s="71"/>
      <c r="BKC28" s="71"/>
      <c r="BKD28" s="71"/>
      <c r="BKE28" s="71"/>
      <c r="BKF28" s="71"/>
      <c r="BKG28" s="71"/>
      <c r="BKH28" s="71"/>
      <c r="BKI28" s="71"/>
      <c r="BKJ28" s="71"/>
      <c r="BKK28" s="71"/>
      <c r="BKL28" s="71"/>
      <c r="BKM28" s="71"/>
      <c r="BKN28" s="71"/>
      <c r="BKO28" s="71"/>
      <c r="BKP28" s="71"/>
      <c r="BKQ28" s="71"/>
      <c r="BKR28" s="71"/>
      <c r="BKS28" s="71"/>
      <c r="BKT28" s="71"/>
      <c r="BKU28" s="71"/>
      <c r="BKV28" s="71"/>
      <c r="BKW28" s="71"/>
      <c r="BKX28" s="71"/>
      <c r="BKY28" s="71"/>
      <c r="BKZ28" s="71"/>
      <c r="BLA28" s="71"/>
      <c r="BLB28" s="71"/>
      <c r="BLC28" s="71"/>
      <c r="BLD28" s="71"/>
      <c r="BLE28" s="71"/>
      <c r="BLF28" s="71"/>
      <c r="BLG28" s="71"/>
      <c r="BLH28" s="71"/>
      <c r="BLI28" s="71"/>
      <c r="BLJ28" s="71"/>
      <c r="BLK28" s="71"/>
      <c r="BLL28" s="71"/>
      <c r="BLM28" s="71"/>
      <c r="BLN28" s="71"/>
      <c r="BLO28" s="71"/>
      <c r="BLP28" s="71"/>
      <c r="BLQ28" s="71"/>
      <c r="BLR28" s="71"/>
      <c r="BLS28" s="71"/>
      <c r="BLT28" s="71"/>
      <c r="BLU28" s="71"/>
      <c r="BLV28" s="71"/>
      <c r="BLW28" s="71"/>
      <c r="BLX28" s="71"/>
      <c r="BLY28" s="71"/>
      <c r="BLZ28" s="71"/>
      <c r="BMA28" s="71"/>
      <c r="BMB28" s="71"/>
      <c r="BMC28" s="71"/>
      <c r="BMD28" s="71"/>
      <c r="BME28" s="71"/>
      <c r="BMF28" s="71"/>
      <c r="BMG28" s="71"/>
      <c r="BMH28" s="71"/>
      <c r="BMI28" s="71"/>
      <c r="BMJ28" s="71"/>
      <c r="BMK28" s="71"/>
      <c r="BML28" s="71"/>
      <c r="BMM28" s="71"/>
      <c r="BMN28" s="71"/>
      <c r="BMO28" s="71"/>
      <c r="BMP28" s="71"/>
      <c r="BMQ28" s="71"/>
      <c r="BMR28" s="71"/>
      <c r="BMS28" s="71"/>
      <c r="BMT28" s="71"/>
      <c r="BMU28" s="71"/>
      <c r="BMV28" s="71"/>
      <c r="BMW28" s="71"/>
      <c r="BMX28" s="71"/>
      <c r="BMY28" s="71"/>
      <c r="BMZ28" s="71"/>
      <c r="BNA28" s="71"/>
      <c r="BNB28" s="71"/>
      <c r="BNC28" s="71"/>
      <c r="BND28" s="71"/>
      <c r="BNE28" s="71"/>
      <c r="BNF28" s="71"/>
      <c r="BNG28" s="71"/>
      <c r="BNH28" s="71"/>
      <c r="BNI28" s="71"/>
      <c r="BNJ28" s="71"/>
      <c r="BNK28" s="71"/>
      <c r="BNL28" s="71"/>
      <c r="BNM28" s="71"/>
      <c r="BNN28" s="71"/>
      <c r="BNO28" s="71"/>
      <c r="BNP28" s="71"/>
      <c r="BNQ28" s="71"/>
      <c r="BNR28" s="71"/>
      <c r="BNS28" s="71"/>
      <c r="BNT28" s="71"/>
      <c r="BNU28" s="71"/>
      <c r="BNV28" s="71"/>
      <c r="BNW28" s="71"/>
      <c r="BNX28" s="71"/>
      <c r="BNY28" s="71"/>
      <c r="BNZ28" s="71"/>
      <c r="BOA28" s="71"/>
      <c r="BOB28" s="71"/>
      <c r="BOC28" s="71"/>
      <c r="BOD28" s="71"/>
      <c r="BOE28" s="71"/>
      <c r="BOF28" s="71"/>
      <c r="BOG28" s="71"/>
      <c r="BOH28" s="71"/>
      <c r="BOI28" s="71"/>
      <c r="BOJ28" s="71"/>
      <c r="BOK28" s="71"/>
      <c r="BOL28" s="71"/>
      <c r="BOM28" s="71"/>
      <c r="BON28" s="71"/>
      <c r="BOO28" s="71"/>
      <c r="BOP28" s="71"/>
      <c r="BOQ28" s="71"/>
      <c r="BOR28" s="71"/>
      <c r="BOS28" s="71"/>
      <c r="BOT28" s="71"/>
      <c r="BOU28" s="71"/>
      <c r="BOV28" s="71"/>
      <c r="BOW28" s="71"/>
      <c r="BOX28" s="71"/>
      <c r="BOY28" s="71"/>
      <c r="BOZ28" s="71"/>
      <c r="BPA28" s="71"/>
      <c r="BPB28" s="71"/>
      <c r="BPC28" s="71"/>
      <c r="BPD28" s="71"/>
      <c r="BPE28" s="71"/>
      <c r="BPF28" s="71"/>
      <c r="BPG28" s="71"/>
      <c r="BPH28" s="71"/>
      <c r="BPI28" s="71"/>
      <c r="BPJ28" s="71"/>
      <c r="BPK28" s="71"/>
      <c r="BPL28" s="71"/>
      <c r="BPM28" s="71"/>
      <c r="BPN28" s="71"/>
      <c r="BPO28" s="71"/>
      <c r="BPP28" s="71"/>
      <c r="BPQ28" s="71"/>
      <c r="BPR28" s="71"/>
      <c r="BPS28" s="71"/>
      <c r="BPT28" s="71"/>
      <c r="BPU28" s="71"/>
      <c r="BPV28" s="71"/>
      <c r="BPW28" s="71"/>
      <c r="BPX28" s="71"/>
      <c r="BPY28" s="71"/>
      <c r="BPZ28" s="71"/>
      <c r="BQA28" s="71"/>
      <c r="BQB28" s="71"/>
      <c r="BQC28" s="71"/>
      <c r="BQD28" s="71"/>
      <c r="BQE28" s="71"/>
      <c r="BQF28" s="71"/>
      <c r="BQG28" s="71"/>
      <c r="BQH28" s="71"/>
      <c r="BQI28" s="71"/>
      <c r="BQJ28" s="71"/>
      <c r="BQK28" s="71"/>
      <c r="BQL28" s="71"/>
      <c r="BQM28" s="71"/>
      <c r="BQN28" s="71"/>
      <c r="BQO28" s="71"/>
      <c r="BQP28" s="71"/>
      <c r="BQQ28" s="71"/>
      <c r="BQR28" s="71"/>
      <c r="BQS28" s="71"/>
      <c r="BQT28" s="71"/>
      <c r="BQU28" s="71"/>
      <c r="BQV28" s="71"/>
      <c r="BQW28" s="71"/>
      <c r="BQX28" s="71"/>
      <c r="BQY28" s="71"/>
      <c r="BQZ28" s="71"/>
      <c r="BRA28" s="71"/>
      <c r="BRB28" s="71"/>
      <c r="BRC28" s="71"/>
      <c r="BRD28" s="71"/>
      <c r="BRE28" s="71"/>
      <c r="BRF28" s="71"/>
      <c r="BRG28" s="71"/>
      <c r="BRH28" s="71"/>
      <c r="BRI28" s="71"/>
      <c r="BRJ28" s="71"/>
      <c r="BRK28" s="71"/>
      <c r="BRL28" s="71"/>
      <c r="BRM28" s="71"/>
      <c r="BRN28" s="71"/>
      <c r="BRO28" s="71"/>
      <c r="BRP28" s="71"/>
      <c r="BRQ28" s="71"/>
      <c r="BRR28" s="71"/>
      <c r="BRS28" s="71"/>
      <c r="BRT28" s="71"/>
      <c r="BRU28" s="71"/>
      <c r="BRV28" s="71"/>
      <c r="BRW28" s="71"/>
      <c r="BRX28" s="71"/>
      <c r="BRY28" s="71"/>
      <c r="BRZ28" s="71"/>
      <c r="BSA28" s="71"/>
      <c r="BSB28" s="71"/>
      <c r="BSC28" s="71"/>
      <c r="BSD28" s="71"/>
      <c r="BSE28" s="71"/>
      <c r="BSF28" s="71"/>
      <c r="BSG28" s="71"/>
      <c r="BSH28" s="71"/>
      <c r="BSI28" s="71"/>
      <c r="BSJ28" s="71"/>
      <c r="BSK28" s="71"/>
      <c r="BSL28" s="71"/>
      <c r="BSM28" s="71"/>
      <c r="BSN28" s="71"/>
      <c r="BSO28" s="71"/>
      <c r="BSP28" s="71"/>
      <c r="BSQ28" s="71"/>
      <c r="BSR28" s="71"/>
      <c r="BSS28" s="71"/>
      <c r="BST28" s="71"/>
      <c r="BSU28" s="71"/>
      <c r="BSV28" s="71"/>
      <c r="BSW28" s="71"/>
      <c r="BSX28" s="71"/>
      <c r="BSY28" s="71"/>
      <c r="BSZ28" s="71"/>
      <c r="BTA28" s="71"/>
      <c r="BTB28" s="71"/>
      <c r="BTC28" s="71"/>
      <c r="BTD28" s="71"/>
      <c r="BTE28" s="71"/>
      <c r="BTF28" s="71"/>
      <c r="BTG28" s="71"/>
      <c r="BTH28" s="71"/>
      <c r="BTI28" s="71"/>
      <c r="BTJ28" s="71"/>
      <c r="BTK28" s="71"/>
      <c r="BTL28" s="71"/>
      <c r="BTM28" s="71"/>
      <c r="BTN28" s="71"/>
      <c r="BTO28" s="71"/>
      <c r="BTP28" s="71"/>
      <c r="BTQ28" s="71"/>
      <c r="BTR28" s="71"/>
      <c r="BTS28" s="71"/>
      <c r="BTT28" s="71"/>
      <c r="BTU28" s="71"/>
      <c r="BTV28" s="71"/>
      <c r="BTW28" s="71"/>
      <c r="BTX28" s="71"/>
      <c r="BTY28" s="71"/>
      <c r="BTZ28" s="71"/>
      <c r="BUA28" s="71"/>
      <c r="BUB28" s="71"/>
      <c r="BUC28" s="71"/>
      <c r="BUD28" s="71"/>
      <c r="BUE28" s="71"/>
      <c r="BUF28" s="71"/>
      <c r="BUG28" s="71"/>
      <c r="BUH28" s="71"/>
      <c r="BUI28" s="71"/>
      <c r="BUJ28" s="71"/>
      <c r="BUK28" s="71"/>
      <c r="BUL28" s="71"/>
      <c r="BUM28" s="71"/>
      <c r="BUN28" s="71"/>
      <c r="BUO28" s="71"/>
      <c r="BUP28" s="71"/>
      <c r="BUQ28" s="71"/>
      <c r="BUR28" s="71"/>
      <c r="BUS28" s="71"/>
      <c r="BUT28" s="71"/>
      <c r="BUU28" s="71"/>
      <c r="BUV28" s="71"/>
      <c r="BUW28" s="71"/>
      <c r="BUX28" s="71"/>
      <c r="BUY28" s="71"/>
      <c r="BUZ28" s="71"/>
      <c r="BVA28" s="71"/>
      <c r="BVB28" s="71"/>
      <c r="BVC28" s="71"/>
      <c r="BVD28" s="71"/>
      <c r="BVE28" s="71"/>
      <c r="BVF28" s="71"/>
      <c r="BVG28" s="71"/>
      <c r="BVH28" s="71"/>
      <c r="BVI28" s="71"/>
      <c r="BVJ28" s="71"/>
      <c r="BVK28" s="71"/>
      <c r="BVL28" s="71"/>
      <c r="BVM28" s="71"/>
      <c r="BVN28" s="71"/>
      <c r="BVO28" s="71"/>
      <c r="BVP28" s="71"/>
      <c r="BVQ28" s="71"/>
      <c r="BVR28" s="71"/>
      <c r="BVS28" s="71"/>
      <c r="BVT28" s="71"/>
      <c r="BVU28" s="71"/>
      <c r="BVV28" s="71"/>
      <c r="BVW28" s="71"/>
      <c r="BVX28" s="71"/>
      <c r="BVY28" s="71"/>
      <c r="BVZ28" s="71"/>
      <c r="BWA28" s="71"/>
      <c r="BWB28" s="71"/>
      <c r="BWC28" s="71"/>
      <c r="BWD28" s="71"/>
      <c r="BWE28" s="71"/>
      <c r="BWF28" s="71"/>
      <c r="BWG28" s="71"/>
      <c r="BWH28" s="71"/>
      <c r="BWI28" s="71"/>
      <c r="BWJ28" s="71"/>
      <c r="BWK28" s="71"/>
      <c r="BWL28" s="71"/>
      <c r="BWM28" s="71"/>
      <c r="BWN28" s="71"/>
      <c r="BWO28" s="71"/>
      <c r="BWP28" s="71"/>
      <c r="BWQ28" s="71"/>
      <c r="BWR28" s="71"/>
      <c r="BWS28" s="71"/>
      <c r="BWT28" s="71"/>
      <c r="BWU28" s="71"/>
      <c r="BWV28" s="71"/>
      <c r="BWW28" s="71"/>
      <c r="BWX28" s="71"/>
      <c r="BWY28" s="71"/>
      <c r="BWZ28" s="71"/>
      <c r="BXA28" s="71"/>
      <c r="BXB28" s="71"/>
      <c r="BXC28" s="71"/>
      <c r="BXD28" s="71"/>
      <c r="BXE28" s="71"/>
      <c r="BXF28" s="71"/>
      <c r="BXG28" s="71"/>
      <c r="BXH28" s="71"/>
      <c r="BXI28" s="71"/>
      <c r="BXJ28" s="71"/>
      <c r="BXK28" s="71"/>
      <c r="BXL28" s="71"/>
      <c r="BXM28" s="71"/>
      <c r="BXN28" s="71"/>
      <c r="BXO28" s="71"/>
      <c r="BXP28" s="71"/>
      <c r="BXQ28" s="71"/>
      <c r="BXR28" s="71"/>
      <c r="BXS28" s="71"/>
      <c r="BXT28" s="71"/>
      <c r="BXU28" s="71"/>
      <c r="BXV28" s="71"/>
      <c r="BXW28" s="71"/>
      <c r="BXX28" s="71"/>
      <c r="BXY28" s="71"/>
      <c r="BXZ28" s="71"/>
      <c r="BYA28" s="71"/>
      <c r="BYB28" s="71"/>
      <c r="BYC28" s="71"/>
      <c r="BYD28" s="71"/>
      <c r="BYE28" s="71"/>
      <c r="BYF28" s="71"/>
      <c r="BYG28" s="71"/>
      <c r="BYH28" s="71"/>
      <c r="BYI28" s="71"/>
      <c r="BYJ28" s="71"/>
      <c r="BYK28" s="71"/>
      <c r="BYL28" s="71"/>
      <c r="BYM28" s="71"/>
      <c r="BYN28" s="71"/>
      <c r="BYO28" s="71"/>
      <c r="BYP28" s="71"/>
      <c r="BYQ28" s="71"/>
      <c r="BYR28" s="71"/>
      <c r="BYS28" s="71"/>
      <c r="BYT28" s="71"/>
      <c r="BYU28" s="71"/>
      <c r="BYV28" s="71"/>
      <c r="BYW28" s="71"/>
      <c r="BYX28" s="71"/>
      <c r="BYY28" s="71"/>
      <c r="BYZ28" s="71"/>
      <c r="BZA28" s="71"/>
      <c r="BZB28" s="71"/>
      <c r="BZC28" s="71"/>
      <c r="BZD28" s="71"/>
      <c r="BZE28" s="71"/>
      <c r="BZF28" s="71"/>
      <c r="BZG28" s="71"/>
      <c r="BZH28" s="71"/>
      <c r="BZI28" s="71"/>
      <c r="BZJ28" s="71"/>
      <c r="BZK28" s="71"/>
      <c r="BZL28" s="71"/>
      <c r="BZM28" s="71"/>
      <c r="BZN28" s="71"/>
      <c r="BZO28" s="71"/>
      <c r="BZP28" s="71"/>
      <c r="BZQ28" s="71"/>
      <c r="BZR28" s="71"/>
      <c r="BZS28" s="71"/>
      <c r="BZT28" s="71"/>
      <c r="BZU28" s="71"/>
      <c r="BZV28" s="71"/>
      <c r="BZW28" s="71"/>
      <c r="BZX28" s="71"/>
      <c r="BZY28" s="71"/>
      <c r="BZZ28" s="71"/>
      <c r="CAA28" s="71"/>
      <c r="CAB28" s="71"/>
      <c r="CAC28" s="71"/>
      <c r="CAD28" s="71"/>
      <c r="CAE28" s="71"/>
      <c r="CAF28" s="71"/>
      <c r="CAG28" s="71"/>
      <c r="CAH28" s="71"/>
      <c r="CAI28" s="71"/>
      <c r="CAJ28" s="71"/>
      <c r="CAK28" s="71"/>
      <c r="CAL28" s="71"/>
      <c r="CAM28" s="71"/>
      <c r="CAN28" s="71"/>
      <c r="CAO28" s="71"/>
      <c r="CAP28" s="71"/>
      <c r="CAQ28" s="71"/>
      <c r="CAR28" s="71"/>
      <c r="CAS28" s="71"/>
      <c r="CAT28" s="71"/>
      <c r="CAU28" s="71"/>
      <c r="CAV28" s="71"/>
      <c r="CAW28" s="71"/>
      <c r="CAX28" s="71"/>
      <c r="CAY28" s="71"/>
      <c r="CAZ28" s="71"/>
      <c r="CBA28" s="71"/>
      <c r="CBB28" s="71"/>
      <c r="CBC28" s="71"/>
      <c r="CBD28" s="71"/>
      <c r="CBE28" s="71"/>
      <c r="CBF28" s="71"/>
      <c r="CBG28" s="71"/>
      <c r="CBH28" s="71"/>
      <c r="CBI28" s="71"/>
      <c r="CBJ28" s="71"/>
      <c r="CBK28" s="71"/>
      <c r="CBL28" s="71"/>
      <c r="CBM28" s="71"/>
      <c r="CBN28" s="71"/>
      <c r="CBO28" s="71"/>
      <c r="CBP28" s="71"/>
      <c r="CBQ28" s="71"/>
      <c r="CBR28" s="71"/>
      <c r="CBS28" s="71"/>
      <c r="CBT28" s="71"/>
      <c r="CBU28" s="71"/>
      <c r="CBV28" s="71"/>
      <c r="CBW28" s="71"/>
      <c r="CBX28" s="71"/>
      <c r="CBY28" s="71"/>
      <c r="CBZ28" s="71"/>
      <c r="CCA28" s="71"/>
      <c r="CCB28" s="71"/>
      <c r="CCC28" s="71"/>
      <c r="CCD28" s="71"/>
      <c r="CCE28" s="71"/>
      <c r="CCF28" s="71"/>
      <c r="CCG28" s="71"/>
      <c r="CCH28" s="71"/>
      <c r="CCI28" s="71"/>
      <c r="CCJ28" s="71"/>
      <c r="CCK28" s="71"/>
      <c r="CCL28" s="71"/>
      <c r="CCM28" s="71"/>
      <c r="CCN28" s="71"/>
      <c r="CCO28" s="71"/>
      <c r="CCP28" s="71"/>
      <c r="CCQ28" s="71"/>
      <c r="CCR28" s="71"/>
      <c r="CCS28" s="71"/>
      <c r="CCT28" s="71"/>
      <c r="CCU28" s="71"/>
      <c r="CCV28" s="71"/>
      <c r="CCW28" s="71"/>
      <c r="CCX28" s="71"/>
      <c r="CCY28" s="71"/>
      <c r="CCZ28" s="71"/>
      <c r="CDA28" s="71"/>
      <c r="CDB28" s="71"/>
      <c r="CDC28" s="71"/>
      <c r="CDD28" s="71"/>
      <c r="CDE28" s="71"/>
      <c r="CDF28" s="71"/>
      <c r="CDG28" s="71"/>
      <c r="CDH28" s="71"/>
      <c r="CDI28" s="71"/>
      <c r="CDJ28" s="71"/>
      <c r="CDK28" s="71"/>
      <c r="CDL28" s="71"/>
      <c r="CDM28" s="71"/>
      <c r="CDN28" s="71"/>
      <c r="CDO28" s="71"/>
      <c r="CDP28" s="71"/>
      <c r="CDQ28" s="71"/>
      <c r="CDR28" s="71"/>
      <c r="CDS28" s="71"/>
      <c r="CDT28" s="71"/>
      <c r="CDU28" s="71"/>
      <c r="CDV28" s="71"/>
      <c r="CDW28" s="71"/>
      <c r="CDX28" s="71"/>
      <c r="CDY28" s="71"/>
      <c r="CDZ28" s="71"/>
      <c r="CEA28" s="71"/>
      <c r="CEB28" s="71"/>
      <c r="CEC28" s="71"/>
      <c r="CED28" s="71"/>
      <c r="CEE28" s="71"/>
      <c r="CEF28" s="71"/>
      <c r="CEG28" s="71"/>
      <c r="CEH28" s="71"/>
      <c r="CEI28" s="71"/>
      <c r="CEJ28" s="71"/>
      <c r="CEK28" s="71"/>
      <c r="CEL28" s="71"/>
      <c r="CEM28" s="71"/>
      <c r="CEN28" s="71"/>
      <c r="CEO28" s="71"/>
      <c r="CEP28" s="71"/>
      <c r="CEQ28" s="71"/>
      <c r="CER28" s="71"/>
      <c r="CES28" s="71"/>
      <c r="CET28" s="71"/>
      <c r="CEU28" s="71"/>
      <c r="CEV28" s="71"/>
      <c r="CEW28" s="71"/>
      <c r="CEX28" s="71"/>
      <c r="CEY28" s="71"/>
      <c r="CEZ28" s="71"/>
      <c r="CFA28" s="71"/>
      <c r="CFB28" s="71"/>
      <c r="CFC28" s="71"/>
      <c r="CFD28" s="71"/>
      <c r="CFE28" s="71"/>
      <c r="CFF28" s="71"/>
      <c r="CFG28" s="71"/>
      <c r="CFH28" s="71"/>
      <c r="CFI28" s="71"/>
      <c r="CFJ28" s="71"/>
      <c r="CFK28" s="71"/>
      <c r="CFL28" s="71"/>
      <c r="CFM28" s="71"/>
      <c r="CFN28" s="71"/>
      <c r="CFO28" s="71"/>
      <c r="CFP28" s="71"/>
      <c r="CFQ28" s="71"/>
      <c r="CFR28" s="71"/>
      <c r="CFS28" s="71"/>
      <c r="CFT28" s="71"/>
      <c r="CFU28" s="71"/>
      <c r="CFV28" s="71"/>
      <c r="CFW28" s="71"/>
      <c r="CFX28" s="71"/>
      <c r="CFY28" s="71"/>
      <c r="CFZ28" s="71"/>
      <c r="CGA28" s="71"/>
      <c r="CGB28" s="71"/>
      <c r="CGC28" s="71"/>
      <c r="CGD28" s="71"/>
      <c r="CGE28" s="71"/>
      <c r="CGF28" s="71"/>
      <c r="CGG28" s="71"/>
      <c r="CGH28" s="71"/>
      <c r="CGI28" s="71"/>
      <c r="CGJ28" s="71"/>
      <c r="CGK28" s="71"/>
      <c r="CGL28" s="71"/>
      <c r="CGM28" s="71"/>
      <c r="CGN28" s="71"/>
      <c r="CGO28" s="71"/>
      <c r="CGP28" s="71"/>
      <c r="CGQ28" s="71"/>
      <c r="CGR28" s="71"/>
      <c r="CGS28" s="71"/>
      <c r="CGT28" s="71"/>
      <c r="CGU28" s="71"/>
      <c r="CGV28" s="71"/>
      <c r="CGW28" s="71"/>
      <c r="CGX28" s="71"/>
      <c r="CGY28" s="71"/>
      <c r="CGZ28" s="71"/>
      <c r="CHA28" s="71"/>
      <c r="CHB28" s="71"/>
      <c r="CHC28" s="71"/>
      <c r="CHD28" s="71"/>
      <c r="CHE28" s="71"/>
      <c r="CHF28" s="71"/>
      <c r="CHG28" s="71"/>
      <c r="CHH28" s="71"/>
      <c r="CHI28" s="71"/>
      <c r="CHJ28" s="71"/>
      <c r="CHK28" s="71"/>
      <c r="CHL28" s="71"/>
      <c r="CHM28" s="71"/>
      <c r="CHN28" s="71"/>
      <c r="CHO28" s="71"/>
      <c r="CHP28" s="71"/>
      <c r="CHQ28" s="71"/>
      <c r="CHR28" s="71"/>
      <c r="CHS28" s="71"/>
      <c r="CHT28" s="71"/>
      <c r="CHU28" s="71"/>
      <c r="CHV28" s="71"/>
      <c r="CHW28" s="71"/>
      <c r="CHX28" s="71"/>
      <c r="CHY28" s="71"/>
      <c r="CHZ28" s="71"/>
      <c r="CIA28" s="71"/>
      <c r="CIB28" s="71"/>
      <c r="CIC28" s="71"/>
      <c r="CID28" s="71"/>
      <c r="CIE28" s="71"/>
      <c r="CIF28" s="71"/>
      <c r="CIG28" s="71"/>
      <c r="CIH28" s="71"/>
      <c r="CII28" s="71"/>
      <c r="CIJ28" s="71"/>
      <c r="CIK28" s="71"/>
      <c r="CIL28" s="71"/>
      <c r="CIM28" s="71"/>
      <c r="CIN28" s="71"/>
      <c r="CIO28" s="71"/>
      <c r="CIP28" s="71"/>
      <c r="CIQ28" s="71"/>
      <c r="CIR28" s="71"/>
      <c r="CIS28" s="71"/>
      <c r="CIT28" s="71"/>
      <c r="CIU28" s="71"/>
      <c r="CIV28" s="71"/>
      <c r="CIW28" s="71"/>
      <c r="CIX28" s="71"/>
      <c r="CIY28" s="71"/>
      <c r="CIZ28" s="71"/>
      <c r="CJA28" s="71"/>
      <c r="CJB28" s="71"/>
      <c r="CJC28" s="71"/>
      <c r="CJD28" s="71"/>
      <c r="CJE28" s="71"/>
      <c r="CJF28" s="71"/>
      <c r="CJG28" s="71"/>
      <c r="CJH28" s="71"/>
      <c r="CJI28" s="71"/>
      <c r="CJJ28" s="71"/>
      <c r="CJK28" s="71"/>
      <c r="CJL28" s="71"/>
      <c r="CJM28" s="71"/>
      <c r="CJN28" s="71"/>
      <c r="CJO28" s="71"/>
      <c r="CJP28" s="71"/>
      <c r="CJQ28" s="71"/>
      <c r="CJR28" s="71"/>
      <c r="CJS28" s="71"/>
      <c r="CJT28" s="71"/>
      <c r="CJU28" s="71"/>
      <c r="CJV28" s="71"/>
      <c r="CJW28" s="71"/>
      <c r="CJX28" s="71"/>
      <c r="CJY28" s="71"/>
      <c r="CJZ28" s="71"/>
      <c r="CKA28" s="71"/>
      <c r="CKB28" s="71"/>
      <c r="CKC28" s="71"/>
      <c r="CKD28" s="71"/>
      <c r="CKE28" s="71"/>
      <c r="CKF28" s="71"/>
      <c r="CKG28" s="71"/>
      <c r="CKH28" s="71"/>
      <c r="CKI28" s="71"/>
      <c r="CKJ28" s="71"/>
      <c r="CKK28" s="71"/>
      <c r="CKL28" s="71"/>
      <c r="CKM28" s="71"/>
      <c r="CKN28" s="71"/>
      <c r="CKO28" s="71"/>
      <c r="CKP28" s="71"/>
      <c r="CKQ28" s="71"/>
      <c r="CKR28" s="71"/>
      <c r="CKS28" s="71"/>
      <c r="CKT28" s="71"/>
      <c r="CKU28" s="71"/>
      <c r="CKV28" s="71"/>
      <c r="CKW28" s="71"/>
      <c r="CKX28" s="71"/>
      <c r="CKY28" s="71"/>
      <c r="CKZ28" s="71"/>
      <c r="CLA28" s="71"/>
      <c r="CLB28" s="71"/>
      <c r="CLC28" s="71"/>
      <c r="CLD28" s="71"/>
      <c r="CLE28" s="71"/>
      <c r="CLF28" s="71"/>
      <c r="CLG28" s="71"/>
      <c r="CLH28" s="71"/>
      <c r="CLI28" s="71"/>
      <c r="CLJ28" s="71"/>
      <c r="CLK28" s="71"/>
      <c r="CLL28" s="71"/>
      <c r="CLM28" s="71"/>
      <c r="CLN28" s="71"/>
      <c r="CLO28" s="71"/>
      <c r="CLP28" s="71"/>
      <c r="CLQ28" s="71"/>
      <c r="CLR28" s="71"/>
      <c r="CLS28" s="71"/>
      <c r="CLT28" s="71"/>
      <c r="CLU28" s="71"/>
      <c r="CLV28" s="71"/>
      <c r="CLW28" s="71"/>
      <c r="CLX28" s="71"/>
      <c r="CLY28" s="71"/>
      <c r="CLZ28" s="71"/>
      <c r="CMA28" s="71"/>
      <c r="CMB28" s="71"/>
      <c r="CMC28" s="71"/>
      <c r="CMD28" s="71"/>
      <c r="CME28" s="71"/>
      <c r="CMF28" s="71"/>
      <c r="CMG28" s="71"/>
      <c r="CMH28" s="71"/>
      <c r="CMI28" s="71"/>
      <c r="CMJ28" s="71"/>
      <c r="CMK28" s="71"/>
      <c r="CML28" s="71"/>
      <c r="CMM28" s="71"/>
      <c r="CMN28" s="71"/>
      <c r="CMO28" s="71"/>
      <c r="CMP28" s="71"/>
      <c r="CMQ28" s="71"/>
      <c r="CMR28" s="71"/>
      <c r="CMS28" s="71"/>
      <c r="CMT28" s="71"/>
      <c r="CMU28" s="71"/>
      <c r="CMV28" s="71"/>
      <c r="CMW28" s="71"/>
      <c r="CMX28" s="71"/>
      <c r="CMY28" s="71"/>
      <c r="CMZ28" s="71"/>
      <c r="CNA28" s="71"/>
      <c r="CNB28" s="71"/>
      <c r="CNC28" s="71"/>
      <c r="CND28" s="71"/>
      <c r="CNE28" s="71"/>
      <c r="CNF28" s="71"/>
      <c r="CNG28" s="71"/>
      <c r="CNH28" s="71"/>
      <c r="CNI28" s="71"/>
      <c r="CNJ28" s="71"/>
      <c r="CNK28" s="71"/>
      <c r="CNL28" s="71"/>
      <c r="CNM28" s="71"/>
      <c r="CNN28" s="71"/>
      <c r="CNO28" s="71"/>
      <c r="CNP28" s="71"/>
      <c r="CNQ28" s="71"/>
      <c r="CNR28" s="71"/>
      <c r="CNS28" s="71"/>
      <c r="CNT28" s="71"/>
      <c r="CNU28" s="71"/>
      <c r="CNV28" s="71"/>
      <c r="CNW28" s="71"/>
      <c r="CNX28" s="71"/>
      <c r="CNY28" s="71"/>
      <c r="CNZ28" s="71"/>
      <c r="COA28" s="71"/>
      <c r="COB28" s="71"/>
      <c r="COC28" s="71"/>
      <c r="COD28" s="71"/>
      <c r="COE28" s="71"/>
      <c r="COF28" s="71"/>
      <c r="COG28" s="71"/>
      <c r="COH28" s="71"/>
      <c r="COI28" s="71"/>
      <c r="COJ28" s="71"/>
      <c r="COK28" s="71"/>
      <c r="COL28" s="71"/>
      <c r="COM28" s="71"/>
      <c r="CON28" s="71"/>
      <c r="COO28" s="71"/>
      <c r="COP28" s="71"/>
      <c r="COQ28" s="71"/>
      <c r="COR28" s="71"/>
      <c r="COS28" s="71"/>
      <c r="COT28" s="71"/>
      <c r="COU28" s="71"/>
      <c r="COV28" s="71"/>
      <c r="COW28" s="71"/>
      <c r="COX28" s="71"/>
      <c r="COY28" s="71"/>
      <c r="COZ28" s="71"/>
      <c r="CPA28" s="71"/>
      <c r="CPB28" s="71"/>
      <c r="CPC28" s="71"/>
      <c r="CPD28" s="71"/>
      <c r="CPE28" s="71"/>
      <c r="CPF28" s="71"/>
      <c r="CPG28" s="71"/>
      <c r="CPH28" s="71"/>
      <c r="CPI28" s="71"/>
      <c r="CPJ28" s="71"/>
      <c r="CPK28" s="71"/>
      <c r="CPL28" s="71"/>
      <c r="CPM28" s="71"/>
      <c r="CPN28" s="71"/>
      <c r="CPO28" s="71"/>
      <c r="CPP28" s="71"/>
      <c r="CPQ28" s="71"/>
      <c r="CPR28" s="71"/>
      <c r="CPS28" s="71"/>
      <c r="CPT28" s="71"/>
      <c r="CPU28" s="71"/>
      <c r="CPV28" s="71"/>
      <c r="CPW28" s="71"/>
      <c r="CPX28" s="71"/>
      <c r="CPY28" s="71"/>
      <c r="CPZ28" s="71"/>
      <c r="CQA28" s="71"/>
      <c r="CQB28" s="71"/>
      <c r="CQC28" s="71"/>
      <c r="CQD28" s="71"/>
      <c r="CQE28" s="71"/>
      <c r="CQF28" s="71"/>
      <c r="CQG28" s="71"/>
      <c r="CQH28" s="71"/>
      <c r="CQI28" s="71"/>
      <c r="CQJ28" s="71"/>
      <c r="CQK28" s="71"/>
      <c r="CQL28" s="71"/>
      <c r="CQM28" s="71"/>
      <c r="CQN28" s="71"/>
      <c r="CQO28" s="71"/>
      <c r="CQP28" s="71"/>
      <c r="CQQ28" s="71"/>
      <c r="CQR28" s="71"/>
      <c r="CQS28" s="71"/>
      <c r="CQT28" s="71"/>
      <c r="CQU28" s="71"/>
      <c r="CQV28" s="71"/>
      <c r="CQW28" s="71"/>
      <c r="CQX28" s="71"/>
      <c r="CQY28" s="71"/>
      <c r="CQZ28" s="71"/>
      <c r="CRA28" s="71"/>
      <c r="CRB28" s="71"/>
      <c r="CRC28" s="71"/>
      <c r="CRD28" s="71"/>
      <c r="CRE28" s="71"/>
      <c r="CRF28" s="71"/>
      <c r="CRG28" s="71"/>
      <c r="CRH28" s="71"/>
      <c r="CRI28" s="71"/>
      <c r="CRJ28" s="71"/>
      <c r="CRK28" s="71"/>
      <c r="CRL28" s="71"/>
      <c r="CRM28" s="71"/>
      <c r="CRN28" s="71"/>
      <c r="CRO28" s="71"/>
      <c r="CRP28" s="71"/>
      <c r="CRQ28" s="71"/>
      <c r="CRR28" s="71"/>
      <c r="CRS28" s="71"/>
      <c r="CRT28" s="71"/>
      <c r="CRU28" s="71"/>
      <c r="CRV28" s="71"/>
      <c r="CRW28" s="71"/>
      <c r="CRX28" s="71"/>
      <c r="CRY28" s="71"/>
      <c r="CRZ28" s="71"/>
      <c r="CSA28" s="71"/>
      <c r="CSB28" s="71"/>
      <c r="CSC28" s="71"/>
      <c r="CSD28" s="71"/>
      <c r="CSE28" s="71"/>
      <c r="CSF28" s="71"/>
      <c r="CSG28" s="71"/>
      <c r="CSH28" s="71"/>
      <c r="CSI28" s="71"/>
      <c r="CSJ28" s="71"/>
      <c r="CSK28" s="71"/>
      <c r="CSL28" s="71"/>
      <c r="CSM28" s="71"/>
      <c r="CSN28" s="71"/>
      <c r="CSO28" s="71"/>
      <c r="CSP28" s="71"/>
      <c r="CSQ28" s="71"/>
      <c r="CSR28" s="71"/>
      <c r="CSS28" s="71"/>
      <c r="CST28" s="71"/>
      <c r="CSU28" s="71"/>
      <c r="CSV28" s="71"/>
      <c r="CSW28" s="71"/>
      <c r="CSX28" s="71"/>
      <c r="CSY28" s="71"/>
      <c r="CSZ28" s="71"/>
      <c r="CTA28" s="71"/>
      <c r="CTB28" s="71"/>
      <c r="CTC28" s="71"/>
      <c r="CTD28" s="71"/>
      <c r="CTE28" s="71"/>
      <c r="CTF28" s="71"/>
      <c r="CTG28" s="71"/>
      <c r="CTH28" s="71"/>
      <c r="CTI28" s="71"/>
      <c r="CTJ28" s="71"/>
      <c r="CTK28" s="71"/>
      <c r="CTL28" s="71"/>
      <c r="CTM28" s="71"/>
      <c r="CTN28" s="71"/>
      <c r="CTO28" s="71"/>
      <c r="CTP28" s="71"/>
      <c r="CTQ28" s="71"/>
      <c r="CTR28" s="71"/>
      <c r="CTS28" s="71"/>
      <c r="CTT28" s="71"/>
      <c r="CTU28" s="71"/>
      <c r="CTV28" s="71"/>
      <c r="CTW28" s="71"/>
      <c r="CTX28" s="71"/>
      <c r="CTY28" s="71"/>
      <c r="CTZ28" s="71"/>
      <c r="CUA28" s="71"/>
      <c r="CUB28" s="71"/>
      <c r="CUC28" s="71"/>
      <c r="CUD28" s="71"/>
      <c r="CUE28" s="71"/>
      <c r="CUF28" s="71"/>
      <c r="CUG28" s="71"/>
      <c r="CUH28" s="71"/>
      <c r="CUI28" s="71"/>
      <c r="CUJ28" s="71"/>
      <c r="CUK28" s="71"/>
      <c r="CUL28" s="71"/>
      <c r="CUM28" s="71"/>
      <c r="CUN28" s="71"/>
      <c r="CUO28" s="71"/>
      <c r="CUP28" s="71"/>
      <c r="CUQ28" s="71"/>
      <c r="CUR28" s="71"/>
      <c r="CUS28" s="71"/>
      <c r="CUT28" s="71"/>
      <c r="CUU28" s="71"/>
      <c r="CUV28" s="71"/>
      <c r="CUW28" s="71"/>
      <c r="CUX28" s="71"/>
      <c r="CUY28" s="71"/>
      <c r="CUZ28" s="71"/>
      <c r="CVA28" s="71"/>
      <c r="CVB28" s="71"/>
      <c r="CVC28" s="71"/>
      <c r="CVD28" s="71"/>
      <c r="CVE28" s="71"/>
      <c r="CVF28" s="71"/>
      <c r="CVG28" s="71"/>
      <c r="CVH28" s="71"/>
      <c r="CVI28" s="71"/>
      <c r="CVJ28" s="71"/>
      <c r="CVK28" s="71"/>
      <c r="CVL28" s="71"/>
      <c r="CVM28" s="71"/>
      <c r="CVN28" s="71"/>
      <c r="CVO28" s="71"/>
      <c r="CVP28" s="71"/>
      <c r="CVQ28" s="71"/>
      <c r="CVR28" s="71"/>
      <c r="CVS28" s="71"/>
      <c r="CVT28" s="71"/>
      <c r="CVU28" s="71"/>
      <c r="CVV28" s="71"/>
      <c r="CVW28" s="71"/>
      <c r="CVX28" s="71"/>
      <c r="CVY28" s="71"/>
      <c r="CVZ28" s="71"/>
      <c r="CWA28" s="71"/>
      <c r="CWB28" s="71"/>
      <c r="CWC28" s="71"/>
      <c r="CWD28" s="71"/>
      <c r="CWE28" s="71"/>
      <c r="CWF28" s="71"/>
      <c r="CWG28" s="71"/>
      <c r="CWH28" s="71"/>
      <c r="CWI28" s="71"/>
      <c r="CWJ28" s="71"/>
      <c r="CWK28" s="71"/>
      <c r="CWL28" s="71"/>
      <c r="CWM28" s="71"/>
      <c r="CWN28" s="71"/>
      <c r="CWO28" s="71"/>
      <c r="CWP28" s="71"/>
      <c r="CWQ28" s="71"/>
      <c r="CWR28" s="71"/>
      <c r="CWS28" s="71"/>
      <c r="CWT28" s="71"/>
      <c r="CWU28" s="71"/>
      <c r="CWV28" s="71"/>
      <c r="CWW28" s="71"/>
      <c r="CWX28" s="71"/>
      <c r="CWY28" s="71"/>
      <c r="CWZ28" s="71"/>
      <c r="CXA28" s="71"/>
      <c r="CXB28" s="71"/>
      <c r="CXC28" s="71"/>
      <c r="CXD28" s="71"/>
      <c r="CXE28" s="71"/>
      <c r="CXF28" s="71"/>
      <c r="CXG28" s="71"/>
      <c r="CXH28" s="71"/>
      <c r="CXI28" s="71"/>
      <c r="CXJ28" s="71"/>
      <c r="CXK28" s="71"/>
      <c r="CXL28" s="71"/>
      <c r="CXM28" s="71"/>
      <c r="CXN28" s="71"/>
      <c r="CXO28" s="71"/>
      <c r="CXP28" s="71"/>
      <c r="CXQ28" s="71"/>
      <c r="CXR28" s="71"/>
      <c r="CXS28" s="71"/>
      <c r="CXT28" s="71"/>
      <c r="CXU28" s="71"/>
      <c r="CXV28" s="71"/>
      <c r="CXW28" s="71"/>
      <c r="CXX28" s="71"/>
      <c r="CXY28" s="71"/>
      <c r="CXZ28" s="71"/>
      <c r="CYA28" s="71"/>
      <c r="CYB28" s="71"/>
      <c r="CYC28" s="71"/>
      <c r="CYD28" s="71"/>
      <c r="CYE28" s="71"/>
      <c r="CYF28" s="71"/>
      <c r="CYG28" s="71"/>
      <c r="CYH28" s="71"/>
      <c r="CYI28" s="71"/>
      <c r="CYJ28" s="71"/>
      <c r="CYK28" s="71"/>
      <c r="CYL28" s="71"/>
      <c r="CYM28" s="71"/>
      <c r="CYN28" s="71"/>
      <c r="CYO28" s="71"/>
      <c r="CYP28" s="71"/>
      <c r="CYQ28" s="71"/>
      <c r="CYR28" s="71"/>
      <c r="CYS28" s="71"/>
      <c r="CYT28" s="71"/>
      <c r="CYU28" s="71"/>
      <c r="CYV28" s="71"/>
      <c r="CYW28" s="71"/>
      <c r="CYX28" s="71"/>
      <c r="CYY28" s="71"/>
      <c r="CYZ28" s="71"/>
      <c r="CZA28" s="71"/>
      <c r="CZB28" s="71"/>
      <c r="CZC28" s="71"/>
      <c r="CZD28" s="71"/>
      <c r="CZE28" s="71"/>
      <c r="CZF28" s="71"/>
      <c r="CZG28" s="71"/>
      <c r="CZH28" s="71"/>
      <c r="CZI28" s="71"/>
      <c r="CZJ28" s="71"/>
      <c r="CZK28" s="71"/>
      <c r="CZL28" s="71"/>
      <c r="CZM28" s="71"/>
      <c r="CZN28" s="71"/>
      <c r="CZO28" s="71"/>
      <c r="CZP28" s="71"/>
      <c r="CZQ28" s="71"/>
      <c r="CZR28" s="71"/>
      <c r="CZS28" s="71"/>
      <c r="CZT28" s="71"/>
      <c r="CZU28" s="71"/>
      <c r="CZV28" s="71"/>
      <c r="CZW28" s="71"/>
      <c r="CZX28" s="71"/>
      <c r="CZY28" s="71"/>
      <c r="CZZ28" s="71"/>
      <c r="DAA28" s="71"/>
      <c r="DAB28" s="71"/>
      <c r="DAC28" s="71"/>
      <c r="DAD28" s="71"/>
      <c r="DAE28" s="71"/>
      <c r="DAF28" s="71"/>
      <c r="DAG28" s="71"/>
      <c r="DAH28" s="71"/>
      <c r="DAI28" s="71"/>
      <c r="DAJ28" s="71"/>
      <c r="DAK28" s="71"/>
      <c r="DAL28" s="71"/>
      <c r="DAM28" s="71"/>
      <c r="DAN28" s="71"/>
      <c r="DAO28" s="71"/>
      <c r="DAP28" s="71"/>
      <c r="DAQ28" s="71"/>
      <c r="DAR28" s="71"/>
      <c r="DAS28" s="71"/>
      <c r="DAT28" s="71"/>
      <c r="DAU28" s="71"/>
      <c r="DAV28" s="71"/>
      <c r="DAW28" s="71"/>
      <c r="DAX28" s="71"/>
      <c r="DAY28" s="71"/>
      <c r="DAZ28" s="71"/>
      <c r="DBA28" s="71"/>
      <c r="DBB28" s="71"/>
      <c r="DBC28" s="71"/>
      <c r="DBD28" s="71"/>
      <c r="DBE28" s="71"/>
      <c r="DBF28" s="71"/>
      <c r="DBG28" s="71"/>
      <c r="DBH28" s="71"/>
      <c r="DBI28" s="71"/>
      <c r="DBJ28" s="71"/>
      <c r="DBK28" s="71"/>
      <c r="DBL28" s="71"/>
      <c r="DBM28" s="71"/>
      <c r="DBN28" s="71"/>
      <c r="DBO28" s="71"/>
      <c r="DBP28" s="71"/>
      <c r="DBQ28" s="71"/>
      <c r="DBR28" s="71"/>
      <c r="DBS28" s="71"/>
      <c r="DBT28" s="71"/>
      <c r="DBU28" s="71"/>
      <c r="DBV28" s="71"/>
      <c r="DBW28" s="71"/>
      <c r="DBX28" s="71"/>
      <c r="DBY28" s="71"/>
      <c r="DBZ28" s="71"/>
      <c r="DCA28" s="71"/>
      <c r="DCB28" s="71"/>
      <c r="DCC28" s="71"/>
      <c r="DCD28" s="71"/>
      <c r="DCE28" s="71"/>
      <c r="DCF28" s="71"/>
      <c r="DCG28" s="71"/>
      <c r="DCH28" s="71"/>
      <c r="DCI28" s="71"/>
      <c r="DCJ28" s="71"/>
      <c r="DCK28" s="71"/>
      <c r="DCL28" s="71"/>
      <c r="DCM28" s="71"/>
      <c r="DCN28" s="71"/>
      <c r="DCO28" s="71"/>
      <c r="DCP28" s="71"/>
      <c r="DCQ28" s="71"/>
      <c r="DCR28" s="71"/>
      <c r="DCS28" s="71"/>
      <c r="DCT28" s="71"/>
      <c r="DCU28" s="71"/>
      <c r="DCV28" s="71"/>
      <c r="DCW28" s="71"/>
      <c r="DCX28" s="71"/>
      <c r="DCY28" s="71"/>
      <c r="DCZ28" s="71"/>
      <c r="DDA28" s="71"/>
      <c r="DDB28" s="71"/>
      <c r="DDC28" s="71"/>
      <c r="DDD28" s="71"/>
      <c r="DDE28" s="71"/>
      <c r="DDF28" s="71"/>
      <c r="DDG28" s="71"/>
      <c r="DDH28" s="71"/>
      <c r="DDI28" s="71"/>
      <c r="DDJ28" s="71"/>
      <c r="DDK28" s="71"/>
      <c r="DDL28" s="71"/>
      <c r="DDM28" s="71"/>
      <c r="DDN28" s="71"/>
      <c r="DDO28" s="71"/>
      <c r="DDP28" s="71"/>
      <c r="DDQ28" s="71"/>
      <c r="DDR28" s="71"/>
      <c r="DDS28" s="71"/>
      <c r="DDT28" s="71"/>
      <c r="DDU28" s="71"/>
      <c r="DDV28" s="71"/>
      <c r="DDW28" s="71"/>
      <c r="DDX28" s="71"/>
      <c r="DDY28" s="71"/>
      <c r="DDZ28" s="71"/>
      <c r="DEA28" s="71"/>
      <c r="DEB28" s="71"/>
      <c r="DEC28" s="71"/>
      <c r="DED28" s="71"/>
      <c r="DEE28" s="71"/>
      <c r="DEF28" s="71"/>
      <c r="DEG28" s="71"/>
      <c r="DEH28" s="71"/>
      <c r="DEI28" s="71"/>
      <c r="DEJ28" s="71"/>
      <c r="DEK28" s="71"/>
      <c r="DEL28" s="71"/>
      <c r="DEM28" s="71"/>
      <c r="DEN28" s="71"/>
      <c r="DEO28" s="71"/>
      <c r="DEP28" s="71"/>
      <c r="DEQ28" s="71"/>
      <c r="DER28" s="71"/>
      <c r="DES28" s="71"/>
      <c r="DET28" s="71"/>
      <c r="DEU28" s="71"/>
      <c r="DEV28" s="71"/>
      <c r="DEW28" s="71"/>
      <c r="DEX28" s="71"/>
      <c r="DEY28" s="71"/>
      <c r="DEZ28" s="71"/>
      <c r="DFA28" s="71"/>
      <c r="DFB28" s="71"/>
      <c r="DFC28" s="71"/>
      <c r="DFD28" s="71"/>
      <c r="DFE28" s="71"/>
      <c r="DFF28" s="71"/>
      <c r="DFG28" s="71"/>
      <c r="DFH28" s="71"/>
      <c r="DFI28" s="71"/>
      <c r="DFJ28" s="71"/>
      <c r="DFK28" s="71"/>
      <c r="DFL28" s="71"/>
      <c r="DFM28" s="71"/>
      <c r="DFN28" s="71"/>
      <c r="DFO28" s="71"/>
      <c r="DFP28" s="71"/>
      <c r="DFQ28" s="71"/>
      <c r="DFR28" s="71"/>
      <c r="DFS28" s="71"/>
      <c r="DFT28" s="71"/>
      <c r="DFU28" s="71"/>
      <c r="DFV28" s="71"/>
      <c r="DFW28" s="71"/>
      <c r="DFX28" s="71"/>
      <c r="DFY28" s="71"/>
      <c r="DFZ28" s="71"/>
      <c r="DGA28" s="71"/>
      <c r="DGB28" s="71"/>
      <c r="DGC28" s="71"/>
      <c r="DGD28" s="71"/>
      <c r="DGE28" s="71"/>
      <c r="DGF28" s="71"/>
      <c r="DGG28" s="71"/>
      <c r="DGH28" s="71"/>
      <c r="DGI28" s="71"/>
      <c r="DGJ28" s="71"/>
      <c r="DGK28" s="71"/>
      <c r="DGL28" s="71"/>
      <c r="DGM28" s="71"/>
      <c r="DGN28" s="71"/>
      <c r="DGO28" s="71"/>
      <c r="DGP28" s="71"/>
      <c r="DGQ28" s="71"/>
      <c r="DGR28" s="71"/>
      <c r="DGS28" s="71"/>
      <c r="DGT28" s="71"/>
      <c r="DGU28" s="71"/>
      <c r="DGV28" s="71"/>
      <c r="DGW28" s="71"/>
      <c r="DGX28" s="71"/>
      <c r="DGY28" s="71"/>
      <c r="DGZ28" s="71"/>
      <c r="DHA28" s="71"/>
      <c r="DHB28" s="71"/>
      <c r="DHC28" s="71"/>
      <c r="DHD28" s="71"/>
      <c r="DHE28" s="71"/>
      <c r="DHF28" s="71"/>
      <c r="DHG28" s="71"/>
      <c r="DHH28" s="71"/>
      <c r="DHI28" s="71"/>
      <c r="DHJ28" s="71"/>
      <c r="DHK28" s="71"/>
      <c r="DHL28" s="71"/>
      <c r="DHM28" s="71"/>
      <c r="DHN28" s="71"/>
      <c r="DHO28" s="71"/>
      <c r="DHP28" s="71"/>
      <c r="DHQ28" s="71"/>
      <c r="DHR28" s="71"/>
      <c r="DHS28" s="71"/>
      <c r="DHT28" s="71"/>
      <c r="DHU28" s="71"/>
      <c r="DHV28" s="71"/>
      <c r="DHW28" s="71"/>
      <c r="DHX28" s="71"/>
      <c r="DHY28" s="71"/>
      <c r="DHZ28" s="71"/>
      <c r="DIA28" s="71"/>
      <c r="DIB28" s="71"/>
      <c r="DIC28" s="71"/>
      <c r="DID28" s="71"/>
      <c r="DIE28" s="71"/>
      <c r="DIF28" s="71"/>
      <c r="DIG28" s="71"/>
      <c r="DIH28" s="71"/>
      <c r="DII28" s="71"/>
      <c r="DIJ28" s="71"/>
      <c r="DIK28" s="71"/>
      <c r="DIL28" s="71"/>
      <c r="DIM28" s="71"/>
      <c r="DIN28" s="71"/>
      <c r="DIO28" s="71"/>
      <c r="DIP28" s="71"/>
      <c r="DIQ28" s="71"/>
      <c r="DIR28" s="71"/>
      <c r="DIS28" s="71"/>
      <c r="DIT28" s="71"/>
      <c r="DIU28" s="71"/>
      <c r="DIV28" s="71"/>
      <c r="DIW28" s="71"/>
      <c r="DIX28" s="71"/>
      <c r="DIY28" s="71"/>
      <c r="DIZ28" s="71"/>
      <c r="DJA28" s="71"/>
      <c r="DJB28" s="71"/>
      <c r="DJC28" s="71"/>
      <c r="DJD28" s="71"/>
      <c r="DJE28" s="71"/>
      <c r="DJF28" s="71"/>
      <c r="DJG28" s="71"/>
      <c r="DJH28" s="71"/>
      <c r="DJI28" s="71"/>
      <c r="DJJ28" s="71"/>
      <c r="DJK28" s="71"/>
      <c r="DJL28" s="71"/>
      <c r="DJM28" s="71"/>
      <c r="DJN28" s="71"/>
      <c r="DJO28" s="71"/>
      <c r="DJP28" s="71"/>
      <c r="DJQ28" s="71"/>
      <c r="DJR28" s="71"/>
      <c r="DJS28" s="71"/>
      <c r="DJT28" s="71"/>
      <c r="DJU28" s="71"/>
      <c r="DJV28" s="71"/>
      <c r="DJW28" s="71"/>
      <c r="DJX28" s="71"/>
      <c r="DJY28" s="71"/>
      <c r="DJZ28" s="71"/>
      <c r="DKA28" s="71"/>
      <c r="DKB28" s="71"/>
      <c r="DKC28" s="71"/>
      <c r="DKD28" s="71"/>
      <c r="DKE28" s="71"/>
      <c r="DKF28" s="71"/>
      <c r="DKG28" s="71"/>
      <c r="DKH28" s="71"/>
      <c r="DKI28" s="71"/>
      <c r="DKJ28" s="71"/>
      <c r="DKK28" s="71"/>
      <c r="DKL28" s="71"/>
      <c r="DKM28" s="71"/>
      <c r="DKN28" s="71"/>
      <c r="DKO28" s="71"/>
      <c r="DKP28" s="71"/>
      <c r="DKQ28" s="71"/>
      <c r="DKR28" s="71"/>
      <c r="DKS28" s="71"/>
      <c r="DKT28" s="71"/>
      <c r="DKU28" s="71"/>
      <c r="DKV28" s="71"/>
      <c r="DKW28" s="71"/>
      <c r="DKX28" s="71"/>
      <c r="DKY28" s="71"/>
      <c r="DKZ28" s="71"/>
      <c r="DLA28" s="71"/>
      <c r="DLB28" s="71"/>
      <c r="DLC28" s="71"/>
      <c r="DLD28" s="71"/>
      <c r="DLE28" s="71"/>
      <c r="DLF28" s="71"/>
      <c r="DLG28" s="71"/>
      <c r="DLH28" s="71"/>
      <c r="DLI28" s="71"/>
      <c r="DLJ28" s="71"/>
      <c r="DLK28" s="71"/>
      <c r="DLL28" s="71"/>
      <c r="DLM28" s="71"/>
      <c r="DLN28" s="71"/>
      <c r="DLO28" s="71"/>
      <c r="DLP28" s="71"/>
      <c r="DLQ28" s="71"/>
      <c r="DLR28" s="71"/>
      <c r="DLS28" s="71"/>
      <c r="DLT28" s="71"/>
      <c r="DLU28" s="71"/>
      <c r="DLV28" s="71"/>
      <c r="DLW28" s="71"/>
      <c r="DLX28" s="71"/>
      <c r="DLY28" s="71"/>
      <c r="DLZ28" s="71"/>
      <c r="DMA28" s="71"/>
      <c r="DMB28" s="71"/>
      <c r="DMC28" s="71"/>
      <c r="DMD28" s="71"/>
      <c r="DME28" s="71"/>
      <c r="DMF28" s="71"/>
      <c r="DMG28" s="71"/>
      <c r="DMH28" s="71"/>
      <c r="DMI28" s="71"/>
      <c r="DMJ28" s="71"/>
      <c r="DMK28" s="71"/>
      <c r="DML28" s="71"/>
      <c r="DMM28" s="71"/>
      <c r="DMN28" s="71"/>
      <c r="DMO28" s="71"/>
      <c r="DMP28" s="71"/>
      <c r="DMQ28" s="71"/>
      <c r="DMR28" s="71"/>
      <c r="DMS28" s="71"/>
      <c r="DMT28" s="71"/>
      <c r="DMU28" s="71"/>
      <c r="DMV28" s="71"/>
      <c r="DMW28" s="71"/>
      <c r="DMX28" s="71"/>
      <c r="DMY28" s="71"/>
      <c r="DMZ28" s="71"/>
      <c r="DNA28" s="71"/>
      <c r="DNB28" s="71"/>
      <c r="DNC28" s="71"/>
      <c r="DND28" s="71"/>
      <c r="DNE28" s="71"/>
      <c r="DNF28" s="71"/>
      <c r="DNG28" s="71"/>
      <c r="DNH28" s="71"/>
      <c r="DNI28" s="71"/>
      <c r="DNJ28" s="71"/>
      <c r="DNK28" s="71"/>
      <c r="DNL28" s="71"/>
      <c r="DNM28" s="71"/>
      <c r="DNN28" s="71"/>
      <c r="DNO28" s="71"/>
      <c r="DNP28" s="71"/>
      <c r="DNQ28" s="71"/>
      <c r="DNR28" s="71"/>
      <c r="DNS28" s="71"/>
      <c r="DNT28" s="71"/>
      <c r="DNU28" s="71"/>
      <c r="DNV28" s="71"/>
      <c r="DNW28" s="71"/>
      <c r="DNX28" s="71"/>
      <c r="DNY28" s="71"/>
      <c r="DNZ28" s="71"/>
      <c r="DOA28" s="71"/>
      <c r="DOB28" s="71"/>
      <c r="DOC28" s="71"/>
      <c r="DOD28" s="71"/>
      <c r="DOE28" s="71"/>
      <c r="DOF28" s="71"/>
      <c r="DOG28" s="71"/>
      <c r="DOH28" s="71"/>
      <c r="DOI28" s="71"/>
      <c r="DOJ28" s="71"/>
      <c r="DOK28" s="71"/>
      <c r="DOL28" s="71"/>
      <c r="DOM28" s="71"/>
      <c r="DON28" s="71"/>
      <c r="DOO28" s="71"/>
      <c r="DOP28" s="71"/>
      <c r="DOQ28" s="71"/>
      <c r="DOR28" s="71"/>
      <c r="DOS28" s="71"/>
      <c r="DOT28" s="71"/>
      <c r="DOU28" s="71"/>
      <c r="DOV28" s="71"/>
      <c r="DOW28" s="71"/>
      <c r="DOX28" s="71"/>
      <c r="DOY28" s="71"/>
      <c r="DOZ28" s="71"/>
      <c r="DPA28" s="71"/>
      <c r="DPB28" s="71"/>
      <c r="DPC28" s="71"/>
      <c r="DPD28" s="71"/>
      <c r="DPE28" s="71"/>
      <c r="DPF28" s="71"/>
      <c r="DPG28" s="71"/>
      <c r="DPH28" s="71"/>
      <c r="DPI28" s="71"/>
      <c r="DPJ28" s="71"/>
      <c r="DPK28" s="71"/>
      <c r="DPL28" s="71"/>
      <c r="DPM28" s="71"/>
      <c r="DPN28" s="71"/>
      <c r="DPO28" s="71"/>
      <c r="DPP28" s="71"/>
      <c r="DPQ28" s="71"/>
      <c r="DPR28" s="71"/>
      <c r="DPS28" s="71"/>
      <c r="DPT28" s="71"/>
      <c r="DPU28" s="71"/>
      <c r="DPV28" s="71"/>
      <c r="DPW28" s="71"/>
      <c r="DPX28" s="71"/>
      <c r="DPY28" s="71"/>
      <c r="DPZ28" s="71"/>
      <c r="DQA28" s="71"/>
      <c r="DQB28" s="71"/>
      <c r="DQC28" s="71"/>
      <c r="DQD28" s="71"/>
      <c r="DQE28" s="71"/>
      <c r="DQF28" s="71"/>
      <c r="DQG28" s="71"/>
      <c r="DQH28" s="71"/>
      <c r="DQI28" s="71"/>
      <c r="DQJ28" s="71"/>
      <c r="DQK28" s="71"/>
      <c r="DQL28" s="71"/>
      <c r="DQM28" s="71"/>
      <c r="DQN28" s="71"/>
      <c r="DQO28" s="71"/>
      <c r="DQP28" s="71"/>
      <c r="DQQ28" s="71"/>
      <c r="DQR28" s="71"/>
      <c r="DQS28" s="71"/>
      <c r="DQT28" s="71"/>
      <c r="DQU28" s="71"/>
      <c r="DQV28" s="71"/>
      <c r="DQW28" s="71"/>
      <c r="DQX28" s="71"/>
      <c r="DQY28" s="71"/>
      <c r="DQZ28" s="71"/>
      <c r="DRA28" s="71"/>
      <c r="DRB28" s="71"/>
      <c r="DRC28" s="71"/>
      <c r="DRD28" s="71"/>
      <c r="DRE28" s="71"/>
      <c r="DRF28" s="71"/>
      <c r="DRG28" s="71"/>
      <c r="DRH28" s="71"/>
      <c r="DRI28" s="71"/>
      <c r="DRJ28" s="71"/>
      <c r="DRK28" s="71"/>
      <c r="DRL28" s="71"/>
      <c r="DRM28" s="71"/>
      <c r="DRN28" s="71"/>
      <c r="DRO28" s="71"/>
      <c r="DRP28" s="71"/>
      <c r="DRQ28" s="71"/>
      <c r="DRR28" s="71"/>
      <c r="DRS28" s="71"/>
      <c r="DRT28" s="71"/>
      <c r="DRU28" s="71"/>
      <c r="DRV28" s="71"/>
      <c r="DRW28" s="71"/>
      <c r="DRX28" s="71"/>
      <c r="DRY28" s="71"/>
      <c r="DRZ28" s="71"/>
      <c r="DSA28" s="71"/>
      <c r="DSB28" s="71"/>
      <c r="DSC28" s="71"/>
      <c r="DSD28" s="71"/>
      <c r="DSE28" s="71"/>
      <c r="DSF28" s="71"/>
      <c r="DSG28" s="71"/>
      <c r="DSH28" s="71"/>
      <c r="DSI28" s="71"/>
      <c r="DSJ28" s="71"/>
      <c r="DSK28" s="71"/>
      <c r="DSL28" s="71"/>
      <c r="DSM28" s="71"/>
      <c r="DSN28" s="71"/>
      <c r="DSO28" s="71"/>
      <c r="DSP28" s="71"/>
      <c r="DSQ28" s="71"/>
      <c r="DSR28" s="71"/>
      <c r="DSS28" s="71"/>
      <c r="DST28" s="71"/>
      <c r="DSU28" s="71"/>
      <c r="DSV28" s="71"/>
      <c r="DSW28" s="71"/>
      <c r="DSX28" s="71"/>
      <c r="DSY28" s="71"/>
      <c r="DSZ28" s="71"/>
      <c r="DTA28" s="71"/>
      <c r="DTB28" s="71"/>
      <c r="DTC28" s="71"/>
      <c r="DTD28" s="71"/>
      <c r="DTE28" s="71"/>
      <c r="DTF28" s="71"/>
      <c r="DTG28" s="71"/>
      <c r="DTH28" s="71"/>
      <c r="DTI28" s="71"/>
      <c r="DTJ28" s="71"/>
      <c r="DTK28" s="71"/>
      <c r="DTL28" s="71"/>
      <c r="DTM28" s="71"/>
      <c r="DTN28" s="71"/>
      <c r="DTO28" s="71"/>
      <c r="DTP28" s="71"/>
      <c r="DTQ28" s="71"/>
      <c r="DTR28" s="71"/>
      <c r="DTS28" s="71"/>
      <c r="DTT28" s="71"/>
      <c r="DTU28" s="71"/>
      <c r="DTV28" s="71"/>
      <c r="DTW28" s="71"/>
      <c r="DTX28" s="71"/>
      <c r="DTY28" s="71"/>
      <c r="DTZ28" s="71"/>
      <c r="DUA28" s="71"/>
      <c r="DUB28" s="71"/>
      <c r="DUC28" s="71"/>
      <c r="DUD28" s="71"/>
      <c r="DUE28" s="71"/>
      <c r="DUF28" s="71"/>
      <c r="DUG28" s="71"/>
      <c r="DUH28" s="71"/>
      <c r="DUI28" s="71"/>
      <c r="DUJ28" s="71"/>
      <c r="DUK28" s="71"/>
      <c r="DUL28" s="71"/>
      <c r="DUM28" s="71"/>
      <c r="DUN28" s="71"/>
      <c r="DUO28" s="71"/>
      <c r="DUP28" s="71"/>
      <c r="DUQ28" s="71"/>
      <c r="DUR28" s="71"/>
      <c r="DUS28" s="71"/>
      <c r="DUT28" s="71"/>
      <c r="DUU28" s="71"/>
      <c r="DUV28" s="71"/>
      <c r="DUW28" s="71"/>
      <c r="DUX28" s="71"/>
      <c r="DUY28" s="71"/>
      <c r="DUZ28" s="71"/>
      <c r="DVA28" s="71"/>
      <c r="DVB28" s="71"/>
      <c r="DVC28" s="71"/>
      <c r="DVD28" s="71"/>
      <c r="DVE28" s="71"/>
      <c r="DVF28" s="71"/>
      <c r="DVG28" s="71"/>
      <c r="DVH28" s="71"/>
      <c r="DVI28" s="71"/>
      <c r="DVJ28" s="71"/>
      <c r="DVK28" s="71"/>
      <c r="DVL28" s="71"/>
      <c r="DVM28" s="71"/>
      <c r="DVN28" s="71"/>
      <c r="DVO28" s="71"/>
      <c r="DVP28" s="71"/>
      <c r="DVQ28" s="71"/>
      <c r="DVR28" s="71"/>
      <c r="DVS28" s="71"/>
      <c r="DVT28" s="71"/>
      <c r="DVU28" s="71"/>
      <c r="DVV28" s="71"/>
      <c r="DVW28" s="71"/>
      <c r="DVX28" s="71"/>
      <c r="DVY28" s="71"/>
      <c r="DVZ28" s="71"/>
      <c r="DWA28" s="71"/>
      <c r="DWB28" s="71"/>
      <c r="DWC28" s="71"/>
      <c r="DWD28" s="71"/>
      <c r="DWE28" s="71"/>
      <c r="DWF28" s="71"/>
      <c r="DWG28" s="71"/>
      <c r="DWH28" s="71"/>
      <c r="DWI28" s="71"/>
      <c r="DWJ28" s="71"/>
      <c r="DWK28" s="71"/>
      <c r="DWL28" s="71"/>
      <c r="DWM28" s="71"/>
      <c r="DWN28" s="71"/>
      <c r="DWO28" s="71"/>
      <c r="DWP28" s="71"/>
      <c r="DWQ28" s="71"/>
      <c r="DWR28" s="71"/>
      <c r="DWS28" s="71"/>
      <c r="DWT28" s="71"/>
      <c r="DWU28" s="71"/>
      <c r="DWV28" s="71"/>
      <c r="DWW28" s="71"/>
      <c r="DWX28" s="71"/>
      <c r="DWY28" s="71"/>
      <c r="DWZ28" s="71"/>
      <c r="DXA28" s="71"/>
      <c r="DXB28" s="71"/>
      <c r="DXC28" s="71"/>
      <c r="DXD28" s="71"/>
      <c r="DXE28" s="71"/>
      <c r="DXF28" s="71"/>
      <c r="DXG28" s="71"/>
      <c r="DXH28" s="71"/>
      <c r="DXI28" s="71"/>
      <c r="DXJ28" s="71"/>
      <c r="DXK28" s="71"/>
      <c r="DXL28" s="71"/>
      <c r="DXM28" s="71"/>
      <c r="DXN28" s="71"/>
      <c r="DXO28" s="71"/>
      <c r="DXP28" s="71"/>
      <c r="DXQ28" s="71"/>
      <c r="DXR28" s="71"/>
      <c r="DXS28" s="71"/>
      <c r="DXT28" s="71"/>
      <c r="DXU28" s="71"/>
      <c r="DXV28" s="71"/>
      <c r="DXW28" s="71"/>
      <c r="DXX28" s="71"/>
      <c r="DXY28" s="71"/>
      <c r="DXZ28" s="71"/>
      <c r="DYA28" s="71"/>
      <c r="DYB28" s="71"/>
      <c r="DYC28" s="71"/>
      <c r="DYD28" s="71"/>
      <c r="DYE28" s="71"/>
      <c r="DYF28" s="71"/>
      <c r="DYG28" s="71"/>
      <c r="DYH28" s="71"/>
      <c r="DYI28" s="71"/>
      <c r="DYJ28" s="71"/>
      <c r="DYK28" s="71"/>
      <c r="DYL28" s="71"/>
      <c r="DYM28" s="71"/>
      <c r="DYN28" s="71"/>
      <c r="DYO28" s="71"/>
      <c r="DYP28" s="71"/>
      <c r="DYQ28" s="71"/>
      <c r="DYR28" s="71"/>
      <c r="DYS28" s="71"/>
      <c r="DYT28" s="71"/>
      <c r="DYU28" s="71"/>
      <c r="DYV28" s="71"/>
      <c r="DYW28" s="71"/>
      <c r="DYX28" s="71"/>
      <c r="DYY28" s="71"/>
      <c r="DYZ28" s="71"/>
      <c r="DZA28" s="71"/>
      <c r="DZB28" s="71"/>
      <c r="DZC28" s="71"/>
      <c r="DZD28" s="71"/>
      <c r="DZE28" s="71"/>
      <c r="DZF28" s="71"/>
      <c r="DZG28" s="71"/>
      <c r="DZH28" s="71"/>
      <c r="DZI28" s="71"/>
      <c r="DZJ28" s="71"/>
      <c r="DZK28" s="71"/>
      <c r="DZL28" s="71"/>
      <c r="DZM28" s="71"/>
      <c r="DZN28" s="71"/>
      <c r="DZO28" s="71"/>
      <c r="DZP28" s="71"/>
      <c r="DZQ28" s="71"/>
      <c r="DZR28" s="71"/>
      <c r="DZS28" s="71"/>
      <c r="DZT28" s="71"/>
      <c r="DZU28" s="71"/>
      <c r="DZV28" s="71"/>
      <c r="DZW28" s="71"/>
      <c r="DZX28" s="71"/>
      <c r="DZY28" s="71"/>
      <c r="DZZ28" s="71"/>
      <c r="EAA28" s="71"/>
      <c r="EAB28" s="71"/>
      <c r="EAC28" s="71"/>
      <c r="EAD28" s="71"/>
      <c r="EAE28" s="71"/>
      <c r="EAF28" s="71"/>
      <c r="EAG28" s="71"/>
      <c r="EAH28" s="71"/>
      <c r="EAI28" s="71"/>
      <c r="EAJ28" s="71"/>
      <c r="EAK28" s="71"/>
      <c r="EAL28" s="71"/>
      <c r="EAM28" s="71"/>
      <c r="EAN28" s="71"/>
      <c r="EAO28" s="71"/>
      <c r="EAP28" s="71"/>
      <c r="EAQ28" s="71"/>
      <c r="EAR28" s="71"/>
      <c r="EAS28" s="71"/>
      <c r="EAT28" s="71"/>
      <c r="EAU28" s="71"/>
      <c r="EAV28" s="71"/>
      <c r="EAW28" s="71"/>
      <c r="EAX28" s="71"/>
      <c r="EAY28" s="71"/>
      <c r="EAZ28" s="71"/>
      <c r="EBA28" s="71"/>
      <c r="EBB28" s="71"/>
      <c r="EBC28" s="71"/>
      <c r="EBD28" s="71"/>
      <c r="EBE28" s="71"/>
      <c r="EBF28" s="71"/>
      <c r="EBG28" s="71"/>
      <c r="EBH28" s="71"/>
      <c r="EBI28" s="71"/>
      <c r="EBJ28" s="71"/>
      <c r="EBK28" s="71"/>
      <c r="EBL28" s="71"/>
      <c r="EBM28" s="71"/>
      <c r="EBN28" s="71"/>
      <c r="EBO28" s="71"/>
      <c r="EBP28" s="71"/>
      <c r="EBQ28" s="71"/>
      <c r="EBR28" s="71"/>
      <c r="EBS28" s="71"/>
      <c r="EBT28" s="71"/>
      <c r="EBU28" s="71"/>
      <c r="EBV28" s="71"/>
      <c r="EBW28" s="71"/>
      <c r="EBX28" s="71"/>
      <c r="EBY28" s="71"/>
      <c r="EBZ28" s="71"/>
      <c r="ECA28" s="71"/>
      <c r="ECB28" s="71"/>
      <c r="ECC28" s="71"/>
      <c r="ECD28" s="71"/>
      <c r="ECE28" s="71"/>
      <c r="ECF28" s="71"/>
      <c r="ECG28" s="71"/>
      <c r="ECH28" s="71"/>
      <c r="ECI28" s="71"/>
      <c r="ECJ28" s="71"/>
      <c r="ECK28" s="71"/>
      <c r="ECL28" s="71"/>
      <c r="ECM28" s="71"/>
      <c r="ECN28" s="71"/>
      <c r="ECO28" s="71"/>
      <c r="ECP28" s="71"/>
      <c r="ECQ28" s="71"/>
      <c r="ECR28" s="71"/>
      <c r="ECS28" s="71"/>
      <c r="ECT28" s="71"/>
      <c r="ECU28" s="71"/>
      <c r="ECV28" s="71"/>
      <c r="ECW28" s="71"/>
      <c r="ECX28" s="71"/>
      <c r="ECY28" s="71"/>
      <c r="ECZ28" s="71"/>
      <c r="EDA28" s="71"/>
      <c r="EDB28" s="71"/>
      <c r="EDC28" s="71"/>
      <c r="EDD28" s="71"/>
      <c r="EDE28" s="71"/>
      <c r="EDF28" s="71"/>
      <c r="EDG28" s="71"/>
      <c r="EDH28" s="71"/>
      <c r="EDI28" s="71"/>
      <c r="EDJ28" s="71"/>
      <c r="EDK28" s="71"/>
      <c r="EDL28" s="71"/>
      <c r="EDM28" s="71"/>
      <c r="EDN28" s="71"/>
      <c r="EDO28" s="71"/>
      <c r="EDP28" s="71"/>
      <c r="EDQ28" s="71"/>
      <c r="EDR28" s="71"/>
      <c r="EDS28" s="71"/>
      <c r="EDT28" s="71"/>
      <c r="EDU28" s="71"/>
      <c r="EDV28" s="71"/>
      <c r="EDW28" s="71"/>
      <c r="EDX28" s="71"/>
      <c r="EDY28" s="71"/>
      <c r="EDZ28" s="71"/>
      <c r="EEA28" s="71"/>
      <c r="EEB28" s="71"/>
      <c r="EEC28" s="71"/>
      <c r="EED28" s="71"/>
      <c r="EEE28" s="71"/>
      <c r="EEF28" s="71"/>
      <c r="EEG28" s="71"/>
      <c r="EEH28" s="71"/>
      <c r="EEI28" s="71"/>
      <c r="EEJ28" s="71"/>
      <c r="EEK28" s="71"/>
      <c r="EEL28" s="71"/>
      <c r="EEM28" s="71"/>
      <c r="EEN28" s="71"/>
      <c r="EEO28" s="71"/>
      <c r="EEP28" s="71"/>
      <c r="EEQ28" s="71"/>
      <c r="EER28" s="71"/>
      <c r="EES28" s="71"/>
      <c r="EET28" s="71"/>
      <c r="EEU28" s="71"/>
      <c r="EEV28" s="71"/>
      <c r="EEW28" s="71"/>
      <c r="EEX28" s="71"/>
      <c r="EEY28" s="71"/>
      <c r="EEZ28" s="71"/>
      <c r="EFA28" s="71"/>
      <c r="EFB28" s="71"/>
      <c r="EFC28" s="71"/>
      <c r="EFD28" s="71"/>
      <c r="EFE28" s="71"/>
      <c r="EFF28" s="71"/>
      <c r="EFG28" s="71"/>
      <c r="EFH28" s="71"/>
      <c r="EFI28" s="71"/>
      <c r="EFJ28" s="71"/>
      <c r="EFK28" s="71"/>
      <c r="EFL28" s="71"/>
      <c r="EFM28" s="71"/>
      <c r="EFN28" s="71"/>
      <c r="EFO28" s="71"/>
      <c r="EFP28" s="71"/>
      <c r="EFQ28" s="71"/>
      <c r="EFR28" s="71"/>
      <c r="EFS28" s="71"/>
      <c r="EFT28" s="71"/>
      <c r="EFU28" s="71"/>
      <c r="EFV28" s="71"/>
      <c r="EFW28" s="71"/>
      <c r="EFX28" s="71"/>
      <c r="EFY28" s="71"/>
      <c r="EFZ28" s="71"/>
      <c r="EGA28" s="71"/>
      <c r="EGB28" s="71"/>
      <c r="EGC28" s="71"/>
      <c r="EGD28" s="71"/>
      <c r="EGE28" s="71"/>
      <c r="EGF28" s="71"/>
      <c r="EGG28" s="71"/>
      <c r="EGH28" s="71"/>
      <c r="EGI28" s="71"/>
      <c r="EGJ28" s="71"/>
      <c r="EGK28" s="71"/>
      <c r="EGL28" s="71"/>
      <c r="EGM28" s="71"/>
      <c r="EGN28" s="71"/>
      <c r="EGO28" s="71"/>
      <c r="EGP28" s="71"/>
      <c r="EGQ28" s="71"/>
      <c r="EGR28" s="71"/>
      <c r="EGS28" s="71"/>
      <c r="EGT28" s="71"/>
      <c r="EGU28" s="71"/>
      <c r="EGV28" s="71"/>
      <c r="EGW28" s="71"/>
      <c r="EGX28" s="71"/>
      <c r="EGY28" s="71"/>
      <c r="EGZ28" s="71"/>
      <c r="EHA28" s="71"/>
      <c r="EHB28" s="71"/>
      <c r="EHC28" s="71"/>
      <c r="EHD28" s="71"/>
      <c r="EHE28" s="71"/>
      <c r="EHF28" s="71"/>
      <c r="EHG28" s="71"/>
      <c r="EHH28" s="71"/>
      <c r="EHI28" s="71"/>
      <c r="EHJ28" s="71"/>
      <c r="EHK28" s="71"/>
      <c r="EHL28" s="71"/>
      <c r="EHM28" s="71"/>
      <c r="EHN28" s="71"/>
      <c r="EHO28" s="71"/>
      <c r="EHP28" s="71"/>
      <c r="EHQ28" s="71"/>
      <c r="EHR28" s="71"/>
      <c r="EHS28" s="71"/>
      <c r="EHT28" s="71"/>
      <c r="EHU28" s="71"/>
      <c r="EHV28" s="71"/>
      <c r="EHW28" s="71"/>
      <c r="EHX28" s="71"/>
      <c r="EHY28" s="71"/>
      <c r="EHZ28" s="71"/>
      <c r="EIA28" s="71"/>
      <c r="EIB28" s="71"/>
      <c r="EIC28" s="71"/>
      <c r="EID28" s="71"/>
      <c r="EIE28" s="71"/>
      <c r="EIF28" s="71"/>
      <c r="EIG28" s="71"/>
      <c r="EIH28" s="71"/>
      <c r="EII28" s="71"/>
      <c r="EIJ28" s="71"/>
      <c r="EIK28" s="71"/>
      <c r="EIL28" s="71"/>
      <c r="EIM28" s="71"/>
      <c r="EIN28" s="71"/>
      <c r="EIO28" s="71"/>
      <c r="EIP28" s="71"/>
      <c r="EIQ28" s="71"/>
      <c r="EIR28" s="71"/>
      <c r="EIS28" s="71"/>
      <c r="EIT28" s="71"/>
      <c r="EIU28" s="71"/>
      <c r="EIV28" s="71"/>
      <c r="EIW28" s="71"/>
      <c r="EIX28" s="71"/>
      <c r="EIY28" s="71"/>
      <c r="EIZ28" s="71"/>
      <c r="EJA28" s="71"/>
      <c r="EJB28" s="71"/>
      <c r="EJC28" s="71"/>
      <c r="EJD28" s="71"/>
      <c r="EJE28" s="71"/>
      <c r="EJF28" s="71"/>
      <c r="EJG28" s="71"/>
      <c r="EJH28" s="71"/>
      <c r="EJI28" s="71"/>
      <c r="EJJ28" s="71"/>
      <c r="EJK28" s="71"/>
      <c r="EJL28" s="71"/>
      <c r="EJM28" s="71"/>
      <c r="EJN28" s="71"/>
      <c r="EJO28" s="71"/>
      <c r="EJP28" s="71"/>
      <c r="EJQ28" s="71"/>
      <c r="EJR28" s="71"/>
      <c r="EJS28" s="71"/>
      <c r="EJT28" s="71"/>
      <c r="EJU28" s="71"/>
      <c r="EJV28" s="71"/>
      <c r="EJW28" s="71"/>
      <c r="EJX28" s="71"/>
      <c r="EJY28" s="71"/>
      <c r="EJZ28" s="71"/>
      <c r="EKA28" s="71"/>
      <c r="EKB28" s="71"/>
      <c r="EKC28" s="71"/>
      <c r="EKD28" s="71"/>
      <c r="EKE28" s="71"/>
      <c r="EKF28" s="71"/>
      <c r="EKG28" s="71"/>
      <c r="EKH28" s="71"/>
      <c r="EKI28" s="71"/>
      <c r="EKJ28" s="71"/>
      <c r="EKK28" s="71"/>
      <c r="EKL28" s="71"/>
      <c r="EKM28" s="71"/>
      <c r="EKN28" s="71"/>
      <c r="EKO28" s="71"/>
      <c r="EKP28" s="71"/>
      <c r="EKQ28" s="71"/>
      <c r="EKR28" s="71"/>
      <c r="EKS28" s="71"/>
      <c r="EKT28" s="71"/>
      <c r="EKU28" s="71"/>
      <c r="EKV28" s="71"/>
      <c r="EKW28" s="71"/>
      <c r="EKX28" s="71"/>
      <c r="EKY28" s="71"/>
      <c r="EKZ28" s="71"/>
      <c r="ELA28" s="71"/>
      <c r="ELB28" s="71"/>
      <c r="ELC28" s="71"/>
      <c r="ELD28" s="71"/>
      <c r="ELE28" s="71"/>
      <c r="ELF28" s="71"/>
      <c r="ELG28" s="71"/>
      <c r="ELH28" s="71"/>
      <c r="ELI28" s="71"/>
      <c r="ELJ28" s="71"/>
      <c r="ELK28" s="71"/>
      <c r="ELL28" s="71"/>
      <c r="ELM28" s="71"/>
      <c r="ELN28" s="71"/>
      <c r="ELO28" s="71"/>
      <c r="ELP28" s="71"/>
      <c r="ELQ28" s="71"/>
      <c r="ELR28" s="71"/>
      <c r="ELS28" s="71"/>
      <c r="ELT28" s="71"/>
      <c r="ELU28" s="71"/>
      <c r="ELV28" s="71"/>
      <c r="ELW28" s="71"/>
      <c r="ELX28" s="71"/>
      <c r="ELY28" s="71"/>
      <c r="ELZ28" s="71"/>
      <c r="EMA28" s="71"/>
      <c r="EMB28" s="71"/>
      <c r="EMC28" s="71"/>
      <c r="EMD28" s="71"/>
      <c r="EME28" s="71"/>
      <c r="EMF28" s="71"/>
      <c r="EMG28" s="71"/>
      <c r="EMH28" s="71"/>
      <c r="EMI28" s="71"/>
      <c r="EMJ28" s="71"/>
      <c r="EMK28" s="71"/>
      <c r="EML28" s="71"/>
      <c r="EMM28" s="71"/>
      <c r="EMN28" s="71"/>
      <c r="EMO28" s="71"/>
      <c r="EMP28" s="71"/>
      <c r="EMQ28" s="71"/>
      <c r="EMR28" s="71"/>
      <c r="EMS28" s="71"/>
      <c r="EMT28" s="71"/>
      <c r="EMU28" s="71"/>
      <c r="EMV28" s="71"/>
      <c r="EMW28" s="71"/>
      <c r="EMX28" s="71"/>
      <c r="EMY28" s="71"/>
      <c r="EMZ28" s="71"/>
      <c r="ENA28" s="71"/>
      <c r="ENB28" s="71"/>
      <c r="ENC28" s="71"/>
      <c r="END28" s="71"/>
      <c r="ENE28" s="71"/>
      <c r="ENF28" s="71"/>
      <c r="ENG28" s="71"/>
      <c r="ENH28" s="71"/>
      <c r="ENI28" s="71"/>
      <c r="ENJ28" s="71"/>
      <c r="ENK28" s="71"/>
      <c r="ENL28" s="71"/>
      <c r="ENM28" s="71"/>
      <c r="ENN28" s="71"/>
      <c r="ENO28" s="71"/>
      <c r="ENP28" s="71"/>
      <c r="ENQ28" s="71"/>
      <c r="ENR28" s="71"/>
      <c r="ENS28" s="71"/>
      <c r="ENT28" s="71"/>
      <c r="ENU28" s="71"/>
      <c r="ENV28" s="71"/>
      <c r="ENW28" s="71"/>
      <c r="ENX28" s="71"/>
      <c r="ENY28" s="71"/>
      <c r="ENZ28" s="71"/>
      <c r="EOA28" s="71"/>
      <c r="EOB28" s="71"/>
      <c r="EOC28" s="71"/>
      <c r="EOD28" s="71"/>
      <c r="EOE28" s="71"/>
      <c r="EOF28" s="71"/>
      <c r="EOG28" s="71"/>
      <c r="EOH28" s="71"/>
      <c r="EOI28" s="71"/>
      <c r="EOJ28" s="71"/>
      <c r="EOK28" s="71"/>
      <c r="EOL28" s="71"/>
      <c r="EOM28" s="71"/>
      <c r="EON28" s="71"/>
      <c r="EOO28" s="71"/>
      <c r="EOP28" s="71"/>
      <c r="EOQ28" s="71"/>
      <c r="EOR28" s="71"/>
      <c r="EOS28" s="71"/>
      <c r="EOT28" s="71"/>
      <c r="EOU28" s="71"/>
      <c r="EOV28" s="71"/>
      <c r="EOW28" s="71"/>
      <c r="EOX28" s="71"/>
      <c r="EOY28" s="71"/>
      <c r="EOZ28" s="71"/>
      <c r="EPA28" s="71"/>
      <c r="EPB28" s="71"/>
      <c r="EPC28" s="71"/>
      <c r="EPD28" s="71"/>
      <c r="EPE28" s="71"/>
      <c r="EPF28" s="71"/>
      <c r="EPG28" s="71"/>
      <c r="EPH28" s="71"/>
      <c r="EPI28" s="71"/>
      <c r="EPJ28" s="71"/>
      <c r="EPK28" s="71"/>
      <c r="EPL28" s="71"/>
      <c r="EPM28" s="71"/>
      <c r="EPN28" s="71"/>
      <c r="EPO28" s="71"/>
      <c r="EPP28" s="71"/>
      <c r="EPQ28" s="71"/>
      <c r="EPR28" s="71"/>
      <c r="EPS28" s="71"/>
      <c r="EPT28" s="71"/>
      <c r="EPU28" s="71"/>
      <c r="EPV28" s="71"/>
      <c r="EPW28" s="71"/>
      <c r="EPX28" s="71"/>
      <c r="EPY28" s="71"/>
      <c r="EPZ28" s="71"/>
      <c r="EQA28" s="71"/>
      <c r="EQB28" s="71"/>
      <c r="EQC28" s="71"/>
      <c r="EQD28" s="71"/>
      <c r="EQE28" s="71"/>
      <c r="EQF28" s="71"/>
      <c r="EQG28" s="71"/>
      <c r="EQH28" s="71"/>
      <c r="EQI28" s="71"/>
      <c r="EQJ28" s="71"/>
      <c r="EQK28" s="71"/>
      <c r="EQL28" s="71"/>
      <c r="EQM28" s="71"/>
      <c r="EQN28" s="71"/>
      <c r="EQO28" s="71"/>
      <c r="EQP28" s="71"/>
      <c r="EQQ28" s="71"/>
      <c r="EQR28" s="71"/>
      <c r="EQS28" s="71"/>
      <c r="EQT28" s="71"/>
      <c r="EQU28" s="71"/>
      <c r="EQV28" s="71"/>
      <c r="EQW28" s="71"/>
      <c r="EQX28" s="71"/>
      <c r="EQY28" s="71"/>
      <c r="EQZ28" s="71"/>
      <c r="ERA28" s="71"/>
      <c r="ERB28" s="71"/>
      <c r="ERC28" s="71"/>
      <c r="ERD28" s="71"/>
      <c r="ERE28" s="71"/>
      <c r="ERF28" s="71"/>
      <c r="ERG28" s="71"/>
      <c r="ERH28" s="71"/>
      <c r="ERI28" s="71"/>
      <c r="ERJ28" s="71"/>
      <c r="ERK28" s="71"/>
      <c r="ERL28" s="71"/>
      <c r="ERM28" s="71"/>
      <c r="ERN28" s="71"/>
      <c r="ERO28" s="71"/>
      <c r="ERP28" s="71"/>
      <c r="ERQ28" s="71"/>
      <c r="ERR28" s="71"/>
      <c r="ERS28" s="71"/>
      <c r="ERT28" s="71"/>
      <c r="ERU28" s="71"/>
      <c r="ERV28" s="71"/>
      <c r="ERW28" s="71"/>
      <c r="ERX28" s="71"/>
      <c r="ERY28" s="71"/>
      <c r="ERZ28" s="71"/>
      <c r="ESA28" s="71"/>
      <c r="ESB28" s="71"/>
      <c r="ESC28" s="71"/>
      <c r="ESD28" s="71"/>
      <c r="ESE28" s="71"/>
      <c r="ESF28" s="71"/>
      <c r="ESG28" s="71"/>
      <c r="ESH28" s="71"/>
      <c r="ESI28" s="71"/>
      <c r="ESJ28" s="71"/>
      <c r="ESK28" s="71"/>
      <c r="ESL28" s="71"/>
      <c r="ESM28" s="71"/>
      <c r="ESN28" s="71"/>
      <c r="ESO28" s="71"/>
      <c r="ESP28" s="71"/>
      <c r="ESQ28" s="71"/>
      <c r="ESR28" s="71"/>
      <c r="ESS28" s="71"/>
      <c r="EST28" s="71"/>
      <c r="ESU28" s="71"/>
      <c r="ESV28" s="71"/>
      <c r="ESW28" s="71"/>
      <c r="ESX28" s="71"/>
      <c r="ESY28" s="71"/>
      <c r="ESZ28" s="71"/>
      <c r="ETA28" s="71"/>
      <c r="ETB28" s="71"/>
      <c r="ETC28" s="71"/>
      <c r="ETD28" s="71"/>
      <c r="ETE28" s="71"/>
      <c r="ETF28" s="71"/>
      <c r="ETG28" s="71"/>
      <c r="ETH28" s="71"/>
      <c r="ETI28" s="71"/>
      <c r="ETJ28" s="71"/>
      <c r="ETK28" s="71"/>
      <c r="ETL28" s="71"/>
      <c r="ETM28" s="71"/>
      <c r="ETN28" s="71"/>
      <c r="ETO28" s="71"/>
      <c r="ETP28" s="71"/>
      <c r="ETQ28" s="71"/>
      <c r="ETR28" s="71"/>
      <c r="ETS28" s="71"/>
      <c r="ETT28" s="71"/>
      <c r="ETU28" s="71"/>
      <c r="ETV28" s="71"/>
      <c r="ETW28" s="71"/>
      <c r="ETX28" s="71"/>
      <c r="ETY28" s="71"/>
      <c r="ETZ28" s="71"/>
      <c r="EUA28" s="71"/>
      <c r="EUB28" s="71"/>
      <c r="EUC28" s="71"/>
      <c r="EUD28" s="71"/>
      <c r="EUE28" s="71"/>
      <c r="EUF28" s="71"/>
      <c r="EUG28" s="71"/>
      <c r="EUH28" s="71"/>
      <c r="EUI28" s="71"/>
      <c r="EUJ28" s="71"/>
      <c r="EUK28" s="71"/>
      <c r="EUL28" s="71"/>
      <c r="EUM28" s="71"/>
      <c r="EUN28" s="71"/>
      <c r="EUO28" s="71"/>
      <c r="EUP28" s="71"/>
      <c r="EUQ28" s="71"/>
      <c r="EUR28" s="71"/>
      <c r="EUS28" s="71"/>
      <c r="EUT28" s="71"/>
      <c r="EUU28" s="71"/>
      <c r="EUV28" s="71"/>
      <c r="EUW28" s="71"/>
      <c r="EUX28" s="71"/>
      <c r="EUY28" s="71"/>
      <c r="EUZ28" s="71"/>
      <c r="EVA28" s="71"/>
      <c r="EVB28" s="71"/>
      <c r="EVC28" s="71"/>
      <c r="EVD28" s="71"/>
      <c r="EVE28" s="71"/>
      <c r="EVF28" s="71"/>
      <c r="EVG28" s="71"/>
      <c r="EVH28" s="71"/>
      <c r="EVI28" s="71"/>
      <c r="EVJ28" s="71"/>
      <c r="EVK28" s="71"/>
      <c r="EVL28" s="71"/>
      <c r="EVM28" s="71"/>
      <c r="EVN28" s="71"/>
      <c r="EVO28" s="71"/>
      <c r="EVP28" s="71"/>
      <c r="EVQ28" s="71"/>
      <c r="EVR28" s="71"/>
      <c r="EVS28" s="71"/>
      <c r="EVT28" s="71"/>
      <c r="EVU28" s="71"/>
      <c r="EVV28" s="71"/>
      <c r="EVW28" s="71"/>
      <c r="EVX28" s="71"/>
      <c r="EVY28" s="71"/>
      <c r="EVZ28" s="71"/>
      <c r="EWA28" s="71"/>
      <c r="EWB28" s="71"/>
      <c r="EWC28" s="71"/>
      <c r="EWD28" s="71"/>
      <c r="EWE28" s="71"/>
      <c r="EWF28" s="71"/>
      <c r="EWG28" s="71"/>
      <c r="EWH28" s="71"/>
      <c r="EWI28" s="71"/>
      <c r="EWJ28" s="71"/>
      <c r="EWK28" s="71"/>
      <c r="EWL28" s="71"/>
      <c r="EWM28" s="71"/>
      <c r="EWN28" s="71"/>
      <c r="EWO28" s="71"/>
      <c r="EWP28" s="71"/>
      <c r="EWQ28" s="71"/>
      <c r="EWR28" s="71"/>
      <c r="EWS28" s="71"/>
      <c r="EWT28" s="71"/>
      <c r="EWU28" s="71"/>
      <c r="EWV28" s="71"/>
      <c r="EWW28" s="71"/>
      <c r="EWX28" s="71"/>
      <c r="EWY28" s="71"/>
      <c r="EWZ28" s="71"/>
      <c r="EXA28" s="71"/>
      <c r="EXB28" s="71"/>
      <c r="EXC28" s="71"/>
      <c r="EXD28" s="71"/>
      <c r="EXE28" s="71"/>
      <c r="EXF28" s="71"/>
      <c r="EXG28" s="71"/>
      <c r="EXH28" s="71"/>
      <c r="EXI28" s="71"/>
      <c r="EXJ28" s="71"/>
      <c r="EXK28" s="71"/>
      <c r="EXL28" s="71"/>
      <c r="EXM28" s="71"/>
      <c r="EXN28" s="71"/>
      <c r="EXO28" s="71"/>
      <c r="EXP28" s="71"/>
      <c r="EXQ28" s="71"/>
      <c r="EXR28" s="71"/>
      <c r="EXS28" s="71"/>
      <c r="EXT28" s="71"/>
      <c r="EXU28" s="71"/>
      <c r="EXV28" s="71"/>
      <c r="EXW28" s="71"/>
      <c r="EXX28" s="71"/>
      <c r="EXY28" s="71"/>
      <c r="EXZ28" s="71"/>
      <c r="EYA28" s="71"/>
      <c r="EYB28" s="71"/>
      <c r="EYC28" s="71"/>
      <c r="EYD28" s="71"/>
      <c r="EYE28" s="71"/>
      <c r="EYF28" s="71"/>
      <c r="EYG28" s="71"/>
      <c r="EYH28" s="71"/>
      <c r="EYI28" s="71"/>
      <c r="EYJ28" s="71"/>
      <c r="EYK28" s="71"/>
      <c r="EYL28" s="71"/>
      <c r="EYM28" s="71"/>
      <c r="EYN28" s="71"/>
      <c r="EYO28" s="71"/>
      <c r="EYP28" s="71"/>
      <c r="EYQ28" s="71"/>
      <c r="EYR28" s="71"/>
      <c r="EYS28" s="71"/>
      <c r="EYT28" s="71"/>
      <c r="EYU28" s="71"/>
      <c r="EYV28" s="71"/>
      <c r="EYW28" s="71"/>
      <c r="EYX28" s="71"/>
      <c r="EYY28" s="71"/>
      <c r="EYZ28" s="71"/>
      <c r="EZA28" s="71"/>
      <c r="EZB28" s="71"/>
      <c r="EZC28" s="71"/>
      <c r="EZD28" s="71"/>
      <c r="EZE28" s="71"/>
      <c r="EZF28" s="71"/>
      <c r="EZG28" s="71"/>
      <c r="EZH28" s="71"/>
      <c r="EZI28" s="71"/>
      <c r="EZJ28" s="71"/>
      <c r="EZK28" s="71"/>
      <c r="EZL28" s="71"/>
      <c r="EZM28" s="71"/>
      <c r="EZN28" s="71"/>
      <c r="EZO28" s="71"/>
      <c r="EZP28" s="71"/>
      <c r="EZQ28" s="71"/>
      <c r="EZR28" s="71"/>
      <c r="EZS28" s="71"/>
      <c r="EZT28" s="71"/>
      <c r="EZU28" s="71"/>
      <c r="EZV28" s="71"/>
      <c r="EZW28" s="71"/>
      <c r="EZX28" s="71"/>
      <c r="EZY28" s="71"/>
      <c r="EZZ28" s="71"/>
      <c r="FAA28" s="71"/>
      <c r="FAB28" s="71"/>
      <c r="FAC28" s="71"/>
      <c r="FAD28" s="71"/>
      <c r="FAE28" s="71"/>
      <c r="FAF28" s="71"/>
      <c r="FAG28" s="71"/>
      <c r="FAH28" s="71"/>
      <c r="FAI28" s="71"/>
      <c r="FAJ28" s="71"/>
      <c r="FAK28" s="71"/>
      <c r="FAL28" s="71"/>
      <c r="FAM28" s="71"/>
      <c r="FAN28" s="71"/>
      <c r="FAO28" s="71"/>
      <c r="FAP28" s="71"/>
      <c r="FAQ28" s="71"/>
      <c r="FAR28" s="71"/>
      <c r="FAS28" s="71"/>
      <c r="FAT28" s="71"/>
      <c r="FAU28" s="71"/>
      <c r="FAV28" s="71"/>
      <c r="FAW28" s="71"/>
      <c r="FAX28" s="71"/>
      <c r="FAY28" s="71"/>
      <c r="FAZ28" s="71"/>
      <c r="FBA28" s="71"/>
      <c r="FBB28" s="71"/>
      <c r="FBC28" s="71"/>
      <c r="FBD28" s="71"/>
      <c r="FBE28" s="71"/>
      <c r="FBF28" s="71"/>
      <c r="FBG28" s="71"/>
      <c r="FBH28" s="71"/>
      <c r="FBI28" s="71"/>
      <c r="FBJ28" s="71"/>
      <c r="FBK28" s="71"/>
      <c r="FBL28" s="71"/>
      <c r="FBM28" s="71"/>
      <c r="FBN28" s="71"/>
      <c r="FBO28" s="71"/>
      <c r="FBP28" s="71"/>
      <c r="FBQ28" s="71"/>
      <c r="FBR28" s="71"/>
      <c r="FBS28" s="71"/>
      <c r="FBT28" s="71"/>
      <c r="FBU28" s="71"/>
      <c r="FBV28" s="71"/>
      <c r="FBW28" s="71"/>
      <c r="FBX28" s="71"/>
      <c r="FBY28" s="71"/>
      <c r="FBZ28" s="71"/>
      <c r="FCA28" s="71"/>
      <c r="FCB28" s="71"/>
      <c r="FCC28" s="71"/>
      <c r="FCD28" s="71"/>
      <c r="FCE28" s="71"/>
      <c r="FCF28" s="71"/>
      <c r="FCG28" s="71"/>
      <c r="FCH28" s="71"/>
      <c r="FCI28" s="71"/>
      <c r="FCJ28" s="71"/>
      <c r="FCK28" s="71"/>
      <c r="FCL28" s="71"/>
      <c r="FCM28" s="71"/>
      <c r="FCN28" s="71"/>
      <c r="FCO28" s="71"/>
      <c r="FCP28" s="71"/>
      <c r="FCQ28" s="71"/>
      <c r="FCR28" s="71"/>
      <c r="FCS28" s="71"/>
      <c r="FCT28" s="71"/>
      <c r="FCU28" s="71"/>
      <c r="FCV28" s="71"/>
      <c r="FCW28" s="71"/>
      <c r="FCX28" s="71"/>
      <c r="FCY28" s="71"/>
      <c r="FCZ28" s="71"/>
      <c r="FDA28" s="71"/>
      <c r="FDB28" s="71"/>
      <c r="FDC28" s="71"/>
      <c r="FDD28" s="71"/>
      <c r="FDE28" s="71"/>
      <c r="FDF28" s="71"/>
      <c r="FDG28" s="71"/>
      <c r="FDH28" s="71"/>
      <c r="FDI28" s="71"/>
      <c r="FDJ28" s="71"/>
      <c r="FDK28" s="71"/>
      <c r="FDL28" s="71"/>
      <c r="FDM28" s="71"/>
      <c r="FDN28" s="71"/>
      <c r="FDO28" s="71"/>
      <c r="FDP28" s="71"/>
      <c r="FDQ28" s="71"/>
      <c r="FDR28" s="71"/>
      <c r="FDS28" s="71"/>
      <c r="FDT28" s="71"/>
      <c r="FDU28" s="71"/>
      <c r="FDV28" s="71"/>
      <c r="FDW28" s="71"/>
      <c r="FDX28" s="71"/>
      <c r="FDY28" s="71"/>
      <c r="FDZ28" s="71"/>
      <c r="FEA28" s="71"/>
      <c r="FEB28" s="71"/>
      <c r="FEC28" s="71"/>
      <c r="FED28" s="71"/>
      <c r="FEE28" s="71"/>
      <c r="FEF28" s="71"/>
      <c r="FEG28" s="71"/>
      <c r="FEH28" s="71"/>
      <c r="FEI28" s="71"/>
      <c r="FEJ28" s="71"/>
      <c r="FEK28" s="71"/>
      <c r="FEL28" s="71"/>
      <c r="FEM28" s="71"/>
      <c r="FEN28" s="71"/>
      <c r="FEO28" s="71"/>
      <c r="FEP28" s="71"/>
      <c r="FEQ28" s="71"/>
      <c r="FER28" s="71"/>
      <c r="FES28" s="71"/>
      <c r="FET28" s="71"/>
      <c r="FEU28" s="71"/>
      <c r="FEV28" s="71"/>
      <c r="FEW28" s="71"/>
      <c r="FEX28" s="71"/>
      <c r="FEY28" s="71"/>
      <c r="FEZ28" s="71"/>
      <c r="FFA28" s="71"/>
      <c r="FFB28" s="71"/>
      <c r="FFC28" s="71"/>
      <c r="FFD28" s="71"/>
      <c r="FFE28" s="71"/>
      <c r="FFF28" s="71"/>
      <c r="FFG28" s="71"/>
      <c r="FFH28" s="71"/>
      <c r="FFI28" s="71"/>
      <c r="FFJ28" s="71"/>
      <c r="FFK28" s="71"/>
      <c r="FFL28" s="71"/>
      <c r="FFM28" s="71"/>
      <c r="FFN28" s="71"/>
      <c r="FFO28" s="71"/>
      <c r="FFP28" s="71"/>
      <c r="FFQ28" s="71"/>
      <c r="FFR28" s="71"/>
      <c r="FFS28" s="71"/>
      <c r="FFT28" s="71"/>
      <c r="FFU28" s="71"/>
      <c r="FFV28" s="71"/>
      <c r="FFW28" s="71"/>
      <c r="FFX28" s="71"/>
      <c r="FFY28" s="71"/>
      <c r="FFZ28" s="71"/>
      <c r="FGA28" s="71"/>
      <c r="FGB28" s="71"/>
      <c r="FGC28" s="71"/>
      <c r="FGD28" s="71"/>
      <c r="FGE28" s="71"/>
      <c r="FGF28" s="71"/>
      <c r="FGG28" s="71"/>
      <c r="FGH28" s="71"/>
      <c r="FGI28" s="71"/>
      <c r="FGJ28" s="71"/>
      <c r="FGK28" s="71"/>
      <c r="FGL28" s="71"/>
      <c r="FGM28" s="71"/>
      <c r="FGN28" s="71"/>
      <c r="FGO28" s="71"/>
      <c r="FGP28" s="71"/>
      <c r="FGQ28" s="71"/>
      <c r="FGR28" s="71"/>
      <c r="FGS28" s="71"/>
      <c r="FGT28" s="71"/>
      <c r="FGU28" s="71"/>
      <c r="FGV28" s="71"/>
      <c r="FGW28" s="71"/>
      <c r="FGX28" s="71"/>
      <c r="FGY28" s="71"/>
      <c r="FGZ28" s="71"/>
      <c r="FHA28" s="71"/>
      <c r="FHB28" s="71"/>
      <c r="FHC28" s="71"/>
      <c r="FHD28" s="71"/>
      <c r="FHE28" s="71"/>
      <c r="FHF28" s="71"/>
      <c r="FHG28" s="71"/>
      <c r="FHH28" s="71"/>
      <c r="FHI28" s="71"/>
      <c r="FHJ28" s="71"/>
      <c r="FHK28" s="71"/>
      <c r="FHL28" s="71"/>
      <c r="FHM28" s="71"/>
      <c r="FHN28" s="71"/>
      <c r="FHO28" s="71"/>
      <c r="FHP28" s="71"/>
      <c r="FHQ28" s="71"/>
      <c r="FHR28" s="71"/>
      <c r="FHS28" s="71"/>
      <c r="FHT28" s="71"/>
      <c r="FHU28" s="71"/>
      <c r="FHV28" s="71"/>
      <c r="FHW28" s="71"/>
      <c r="FHX28" s="71"/>
      <c r="FHY28" s="71"/>
      <c r="FHZ28" s="71"/>
      <c r="FIA28" s="71"/>
      <c r="FIB28" s="71"/>
      <c r="FIC28" s="71"/>
      <c r="FID28" s="71"/>
      <c r="FIE28" s="71"/>
      <c r="FIF28" s="71"/>
      <c r="FIG28" s="71"/>
      <c r="FIH28" s="71"/>
      <c r="FII28" s="71"/>
      <c r="FIJ28" s="71"/>
      <c r="FIK28" s="71"/>
      <c r="FIL28" s="71"/>
      <c r="FIM28" s="71"/>
      <c r="FIN28" s="71"/>
      <c r="FIO28" s="71"/>
      <c r="FIP28" s="71"/>
      <c r="FIQ28" s="71"/>
      <c r="FIR28" s="71"/>
      <c r="FIS28" s="71"/>
      <c r="FIT28" s="71"/>
      <c r="FIU28" s="71"/>
      <c r="FIV28" s="71"/>
      <c r="FIW28" s="71"/>
      <c r="FIX28" s="71"/>
      <c r="FIY28" s="71"/>
      <c r="FIZ28" s="71"/>
      <c r="FJA28" s="71"/>
      <c r="FJB28" s="71"/>
      <c r="FJC28" s="71"/>
      <c r="FJD28" s="71"/>
      <c r="FJE28" s="71"/>
      <c r="FJF28" s="71"/>
      <c r="FJG28" s="71"/>
      <c r="FJH28" s="71"/>
      <c r="FJI28" s="71"/>
      <c r="FJJ28" s="71"/>
      <c r="FJK28" s="71"/>
      <c r="FJL28" s="71"/>
      <c r="FJM28" s="71"/>
      <c r="FJN28" s="71"/>
      <c r="FJO28" s="71"/>
      <c r="FJP28" s="71"/>
      <c r="FJQ28" s="71"/>
      <c r="FJR28" s="71"/>
      <c r="FJS28" s="71"/>
      <c r="FJT28" s="71"/>
      <c r="FJU28" s="71"/>
      <c r="FJV28" s="71"/>
      <c r="FJW28" s="71"/>
      <c r="FJX28" s="71"/>
      <c r="FJY28" s="71"/>
      <c r="FJZ28" s="71"/>
      <c r="FKA28" s="71"/>
      <c r="FKB28" s="71"/>
      <c r="FKC28" s="71"/>
      <c r="FKD28" s="71"/>
      <c r="FKE28" s="71"/>
      <c r="FKF28" s="71"/>
      <c r="FKG28" s="71"/>
      <c r="FKH28" s="71"/>
      <c r="FKI28" s="71"/>
      <c r="FKJ28" s="71"/>
      <c r="FKK28" s="71"/>
      <c r="FKL28" s="71"/>
      <c r="FKM28" s="71"/>
      <c r="FKN28" s="71"/>
      <c r="FKO28" s="71"/>
      <c r="FKP28" s="71"/>
      <c r="FKQ28" s="71"/>
      <c r="FKR28" s="71"/>
      <c r="FKS28" s="71"/>
      <c r="FKT28" s="71"/>
      <c r="FKU28" s="71"/>
      <c r="FKV28" s="71"/>
      <c r="FKW28" s="71"/>
      <c r="FKX28" s="71"/>
      <c r="FKY28" s="71"/>
      <c r="FKZ28" s="71"/>
      <c r="FLA28" s="71"/>
      <c r="FLB28" s="71"/>
      <c r="FLC28" s="71"/>
      <c r="FLD28" s="71"/>
      <c r="FLE28" s="71"/>
      <c r="FLF28" s="71"/>
      <c r="FLG28" s="71"/>
      <c r="FLH28" s="71"/>
      <c r="FLI28" s="71"/>
      <c r="FLJ28" s="71"/>
      <c r="FLK28" s="71"/>
      <c r="FLL28" s="71"/>
      <c r="FLM28" s="71"/>
      <c r="FLN28" s="71"/>
      <c r="FLO28" s="71"/>
      <c r="FLP28" s="71"/>
      <c r="FLQ28" s="71"/>
      <c r="FLR28" s="71"/>
      <c r="FLS28" s="71"/>
      <c r="FLT28" s="71"/>
      <c r="FLU28" s="71"/>
      <c r="FLV28" s="71"/>
      <c r="FLW28" s="71"/>
      <c r="FLX28" s="71"/>
      <c r="FLY28" s="71"/>
      <c r="FLZ28" s="71"/>
      <c r="FMA28" s="71"/>
      <c r="FMB28" s="71"/>
      <c r="FMC28" s="71"/>
      <c r="FMD28" s="71"/>
      <c r="FME28" s="71"/>
      <c r="FMF28" s="71"/>
      <c r="FMG28" s="71"/>
      <c r="FMH28" s="71"/>
      <c r="FMI28" s="71"/>
      <c r="FMJ28" s="71"/>
      <c r="FMK28" s="71"/>
      <c r="FML28" s="71"/>
      <c r="FMM28" s="71"/>
      <c r="FMN28" s="71"/>
      <c r="FMO28" s="71"/>
      <c r="FMP28" s="71"/>
      <c r="FMQ28" s="71"/>
      <c r="FMR28" s="71"/>
      <c r="FMS28" s="71"/>
      <c r="FMT28" s="71"/>
      <c r="FMU28" s="71"/>
      <c r="FMV28" s="71"/>
      <c r="FMW28" s="71"/>
      <c r="FMX28" s="71"/>
      <c r="FMY28" s="71"/>
      <c r="FMZ28" s="71"/>
      <c r="FNA28" s="71"/>
      <c r="FNB28" s="71"/>
      <c r="FNC28" s="71"/>
      <c r="FND28" s="71"/>
      <c r="FNE28" s="71"/>
      <c r="FNF28" s="71"/>
      <c r="FNG28" s="71"/>
      <c r="FNH28" s="71"/>
      <c r="FNI28" s="71"/>
      <c r="FNJ28" s="71"/>
      <c r="FNK28" s="71"/>
      <c r="FNL28" s="71"/>
      <c r="FNM28" s="71"/>
      <c r="FNN28" s="71"/>
      <c r="FNO28" s="71"/>
      <c r="FNP28" s="71"/>
      <c r="FNQ28" s="71"/>
      <c r="FNR28" s="71"/>
      <c r="FNS28" s="71"/>
      <c r="FNT28" s="71"/>
      <c r="FNU28" s="71"/>
      <c r="FNV28" s="71"/>
      <c r="FNW28" s="71"/>
      <c r="FNX28" s="71"/>
      <c r="FNY28" s="71"/>
      <c r="FNZ28" s="71"/>
      <c r="FOA28" s="71"/>
      <c r="FOB28" s="71"/>
      <c r="FOC28" s="71"/>
      <c r="FOD28" s="71"/>
      <c r="FOE28" s="71"/>
      <c r="FOF28" s="71"/>
      <c r="FOG28" s="71"/>
      <c r="FOH28" s="71"/>
      <c r="FOI28" s="71"/>
      <c r="FOJ28" s="71"/>
      <c r="FOK28" s="71"/>
      <c r="FOL28" s="71"/>
      <c r="FOM28" s="71"/>
      <c r="FON28" s="71"/>
      <c r="FOO28" s="71"/>
      <c r="FOP28" s="71"/>
      <c r="FOQ28" s="71"/>
      <c r="FOR28" s="71"/>
      <c r="FOS28" s="71"/>
      <c r="FOT28" s="71"/>
      <c r="FOU28" s="71"/>
      <c r="FOV28" s="71"/>
      <c r="FOW28" s="71"/>
      <c r="FOX28" s="71"/>
      <c r="FOY28" s="71"/>
      <c r="FOZ28" s="71"/>
      <c r="FPA28" s="71"/>
      <c r="FPB28" s="71"/>
      <c r="FPC28" s="71"/>
      <c r="FPD28" s="71"/>
      <c r="FPE28" s="71"/>
      <c r="FPF28" s="71"/>
      <c r="FPG28" s="71"/>
      <c r="FPH28" s="71"/>
      <c r="FPI28" s="71"/>
      <c r="FPJ28" s="71"/>
      <c r="FPK28" s="71"/>
      <c r="FPL28" s="71"/>
      <c r="FPM28" s="71"/>
      <c r="FPN28" s="71"/>
      <c r="FPO28" s="71"/>
      <c r="FPP28" s="71"/>
      <c r="FPQ28" s="71"/>
      <c r="FPR28" s="71"/>
      <c r="FPS28" s="71"/>
      <c r="FPT28" s="71"/>
      <c r="FPU28" s="71"/>
      <c r="FPV28" s="71"/>
      <c r="FPW28" s="71"/>
      <c r="FPX28" s="71"/>
      <c r="FPY28" s="71"/>
      <c r="FPZ28" s="71"/>
      <c r="FQA28" s="71"/>
      <c r="FQB28" s="71"/>
      <c r="FQC28" s="71"/>
      <c r="FQD28" s="71"/>
      <c r="FQE28" s="71"/>
      <c r="FQF28" s="71"/>
      <c r="FQG28" s="71"/>
      <c r="FQH28" s="71"/>
      <c r="FQI28" s="71"/>
      <c r="FQJ28" s="71"/>
      <c r="FQK28" s="71"/>
      <c r="FQL28" s="71"/>
      <c r="FQM28" s="71"/>
      <c r="FQN28" s="71"/>
      <c r="FQO28" s="71"/>
      <c r="FQP28" s="71"/>
      <c r="FQQ28" s="71"/>
      <c r="FQR28" s="71"/>
      <c r="FQS28" s="71"/>
      <c r="FQT28" s="71"/>
      <c r="FQU28" s="71"/>
      <c r="FQV28" s="71"/>
      <c r="FQW28" s="71"/>
      <c r="FQX28" s="71"/>
      <c r="FQY28" s="71"/>
      <c r="FQZ28" s="71"/>
      <c r="FRA28" s="71"/>
      <c r="FRB28" s="71"/>
      <c r="FRC28" s="71"/>
      <c r="FRD28" s="71"/>
      <c r="FRE28" s="71"/>
      <c r="FRF28" s="71"/>
      <c r="FRG28" s="71"/>
      <c r="FRH28" s="71"/>
      <c r="FRI28" s="71"/>
      <c r="FRJ28" s="71"/>
      <c r="FRK28" s="71"/>
      <c r="FRL28" s="71"/>
      <c r="FRM28" s="71"/>
      <c r="FRN28" s="71"/>
      <c r="FRO28" s="71"/>
      <c r="FRP28" s="71"/>
      <c r="FRQ28" s="71"/>
      <c r="FRR28" s="71"/>
      <c r="FRS28" s="71"/>
      <c r="FRT28" s="71"/>
      <c r="FRU28" s="71"/>
      <c r="FRV28" s="71"/>
      <c r="FRW28" s="71"/>
      <c r="FRX28" s="71"/>
      <c r="FRY28" s="71"/>
      <c r="FRZ28" s="71"/>
      <c r="FSA28" s="71"/>
      <c r="FSB28" s="71"/>
      <c r="FSC28" s="71"/>
      <c r="FSD28" s="71"/>
      <c r="FSE28" s="71"/>
      <c r="FSF28" s="71"/>
      <c r="FSG28" s="71"/>
      <c r="FSH28" s="71"/>
      <c r="FSI28" s="71"/>
      <c r="FSJ28" s="71"/>
      <c r="FSK28" s="71"/>
      <c r="FSL28" s="71"/>
      <c r="FSM28" s="71"/>
      <c r="FSN28" s="71"/>
      <c r="FSO28" s="71"/>
      <c r="FSP28" s="71"/>
      <c r="FSQ28" s="71"/>
      <c r="FSR28" s="71"/>
      <c r="FSS28" s="71"/>
      <c r="FST28" s="71"/>
      <c r="FSU28" s="71"/>
      <c r="FSV28" s="71"/>
      <c r="FSW28" s="71"/>
      <c r="FSX28" s="71"/>
      <c r="FSY28" s="71"/>
      <c r="FSZ28" s="71"/>
      <c r="FTA28" s="71"/>
      <c r="FTB28" s="71"/>
      <c r="FTC28" s="71"/>
      <c r="FTD28" s="71"/>
      <c r="FTE28" s="71"/>
      <c r="FTF28" s="71"/>
      <c r="FTG28" s="71"/>
      <c r="FTH28" s="71"/>
      <c r="FTI28" s="71"/>
      <c r="FTJ28" s="71"/>
      <c r="FTK28" s="71"/>
      <c r="FTL28" s="71"/>
      <c r="FTM28" s="71"/>
      <c r="FTN28" s="71"/>
      <c r="FTO28" s="71"/>
      <c r="FTP28" s="71"/>
      <c r="FTQ28" s="71"/>
      <c r="FTR28" s="71"/>
      <c r="FTS28" s="71"/>
      <c r="FTT28" s="71"/>
      <c r="FTU28" s="71"/>
      <c r="FTV28" s="71"/>
      <c r="FTW28" s="71"/>
      <c r="FTX28" s="71"/>
      <c r="FTY28" s="71"/>
      <c r="FTZ28" s="71"/>
      <c r="FUA28" s="71"/>
      <c r="FUB28" s="71"/>
      <c r="FUC28" s="71"/>
      <c r="FUD28" s="71"/>
      <c r="FUE28" s="71"/>
      <c r="FUF28" s="71"/>
      <c r="FUG28" s="71"/>
      <c r="FUH28" s="71"/>
      <c r="FUI28" s="71"/>
      <c r="FUJ28" s="71"/>
      <c r="FUK28" s="71"/>
      <c r="FUL28" s="71"/>
      <c r="FUM28" s="71"/>
      <c r="FUN28" s="71"/>
      <c r="FUO28" s="71"/>
      <c r="FUP28" s="71"/>
      <c r="FUQ28" s="71"/>
      <c r="FUR28" s="71"/>
      <c r="FUS28" s="71"/>
      <c r="FUT28" s="71"/>
      <c r="FUU28" s="71"/>
      <c r="FUV28" s="71"/>
      <c r="FUW28" s="71"/>
      <c r="FUX28" s="71"/>
      <c r="FUY28" s="71"/>
      <c r="FUZ28" s="71"/>
      <c r="FVA28" s="71"/>
      <c r="FVB28" s="71"/>
      <c r="FVC28" s="71"/>
      <c r="FVD28" s="71"/>
      <c r="FVE28" s="71"/>
      <c r="FVF28" s="71"/>
      <c r="FVG28" s="71"/>
      <c r="FVH28" s="71"/>
      <c r="FVI28" s="71"/>
      <c r="FVJ28" s="71"/>
      <c r="FVK28" s="71"/>
      <c r="FVL28" s="71"/>
      <c r="FVM28" s="71"/>
      <c r="FVN28" s="71"/>
      <c r="FVO28" s="71"/>
      <c r="FVP28" s="71"/>
      <c r="FVQ28" s="71"/>
      <c r="FVR28" s="71"/>
      <c r="FVS28" s="71"/>
      <c r="FVT28" s="71"/>
      <c r="FVU28" s="71"/>
      <c r="FVV28" s="71"/>
      <c r="FVW28" s="71"/>
      <c r="FVX28" s="71"/>
      <c r="FVY28" s="71"/>
      <c r="FVZ28" s="71"/>
      <c r="FWA28" s="71"/>
      <c r="FWB28" s="71"/>
      <c r="FWC28" s="71"/>
      <c r="FWD28" s="71"/>
      <c r="FWE28" s="71"/>
      <c r="FWF28" s="71"/>
      <c r="FWG28" s="71"/>
      <c r="FWH28" s="71"/>
      <c r="FWI28" s="71"/>
      <c r="FWJ28" s="71"/>
      <c r="FWK28" s="71"/>
      <c r="FWL28" s="71"/>
      <c r="FWM28" s="71"/>
      <c r="FWN28" s="71"/>
      <c r="FWO28" s="71"/>
      <c r="FWP28" s="71"/>
      <c r="FWQ28" s="71"/>
      <c r="FWR28" s="71"/>
      <c r="FWS28" s="71"/>
      <c r="FWT28" s="71"/>
      <c r="FWU28" s="71"/>
      <c r="FWV28" s="71"/>
      <c r="FWW28" s="71"/>
      <c r="FWX28" s="71"/>
      <c r="FWY28" s="71"/>
      <c r="FWZ28" s="71"/>
      <c r="FXA28" s="71"/>
      <c r="FXB28" s="71"/>
      <c r="FXC28" s="71"/>
      <c r="FXD28" s="71"/>
      <c r="FXE28" s="71"/>
      <c r="FXF28" s="71"/>
      <c r="FXG28" s="71"/>
      <c r="FXH28" s="71"/>
      <c r="FXI28" s="71"/>
      <c r="FXJ28" s="71"/>
      <c r="FXK28" s="71"/>
      <c r="FXL28" s="71"/>
      <c r="FXM28" s="71"/>
      <c r="FXN28" s="71"/>
      <c r="FXO28" s="71"/>
      <c r="FXP28" s="71"/>
      <c r="FXQ28" s="71"/>
      <c r="FXR28" s="71"/>
      <c r="FXS28" s="71"/>
      <c r="FXT28" s="71"/>
      <c r="FXU28" s="71"/>
      <c r="FXV28" s="71"/>
      <c r="FXW28" s="71"/>
      <c r="FXX28" s="71"/>
      <c r="FXY28" s="71"/>
      <c r="FXZ28" s="71"/>
      <c r="FYA28" s="71"/>
      <c r="FYB28" s="71"/>
      <c r="FYC28" s="71"/>
      <c r="FYD28" s="71"/>
      <c r="FYE28" s="71"/>
      <c r="FYF28" s="71"/>
      <c r="FYG28" s="71"/>
      <c r="FYH28" s="71"/>
      <c r="FYI28" s="71"/>
      <c r="FYJ28" s="71"/>
      <c r="FYK28" s="71"/>
      <c r="FYL28" s="71"/>
      <c r="FYM28" s="71"/>
      <c r="FYN28" s="71"/>
      <c r="FYO28" s="71"/>
      <c r="FYP28" s="71"/>
      <c r="FYQ28" s="71"/>
      <c r="FYR28" s="71"/>
      <c r="FYS28" s="71"/>
      <c r="FYT28" s="71"/>
      <c r="FYU28" s="71"/>
      <c r="FYV28" s="71"/>
      <c r="FYW28" s="71"/>
      <c r="FYX28" s="71"/>
      <c r="FYY28" s="71"/>
      <c r="FYZ28" s="71"/>
      <c r="FZA28" s="71"/>
      <c r="FZB28" s="71"/>
      <c r="FZC28" s="71"/>
      <c r="FZD28" s="71"/>
      <c r="FZE28" s="71"/>
      <c r="FZF28" s="71"/>
      <c r="FZG28" s="71"/>
      <c r="FZH28" s="71"/>
      <c r="FZI28" s="71"/>
      <c r="FZJ28" s="71"/>
      <c r="FZK28" s="71"/>
      <c r="FZL28" s="71"/>
      <c r="FZM28" s="71"/>
      <c r="FZN28" s="71"/>
      <c r="FZO28" s="71"/>
      <c r="FZP28" s="71"/>
      <c r="FZQ28" s="71"/>
      <c r="FZR28" s="71"/>
      <c r="FZS28" s="71"/>
      <c r="FZT28" s="71"/>
      <c r="FZU28" s="71"/>
      <c r="FZV28" s="71"/>
      <c r="FZW28" s="71"/>
      <c r="FZX28" s="71"/>
      <c r="FZY28" s="71"/>
      <c r="FZZ28" s="71"/>
      <c r="GAA28" s="71"/>
      <c r="GAB28" s="71"/>
      <c r="GAC28" s="71"/>
      <c r="GAD28" s="71"/>
      <c r="GAE28" s="71"/>
      <c r="GAF28" s="71"/>
      <c r="GAG28" s="71"/>
      <c r="GAH28" s="71"/>
      <c r="GAI28" s="71"/>
      <c r="GAJ28" s="71"/>
      <c r="GAK28" s="71"/>
      <c r="GAL28" s="71"/>
      <c r="GAM28" s="71"/>
      <c r="GAN28" s="71"/>
      <c r="GAO28" s="71"/>
      <c r="GAP28" s="71"/>
      <c r="GAQ28" s="71"/>
      <c r="GAR28" s="71"/>
      <c r="GAS28" s="71"/>
      <c r="GAT28" s="71"/>
      <c r="GAU28" s="71"/>
      <c r="GAV28" s="71"/>
      <c r="GAW28" s="71"/>
      <c r="GAX28" s="71"/>
      <c r="GAY28" s="71"/>
      <c r="GAZ28" s="71"/>
      <c r="GBA28" s="71"/>
      <c r="GBB28" s="71"/>
      <c r="GBC28" s="71"/>
      <c r="GBD28" s="71"/>
      <c r="GBE28" s="71"/>
      <c r="GBF28" s="71"/>
      <c r="GBG28" s="71"/>
      <c r="GBH28" s="71"/>
      <c r="GBI28" s="71"/>
      <c r="GBJ28" s="71"/>
      <c r="GBK28" s="71"/>
      <c r="GBL28" s="71"/>
      <c r="GBM28" s="71"/>
      <c r="GBN28" s="71"/>
      <c r="GBO28" s="71"/>
      <c r="GBP28" s="71"/>
      <c r="GBQ28" s="71"/>
      <c r="GBR28" s="71"/>
      <c r="GBS28" s="71"/>
      <c r="GBT28" s="71"/>
      <c r="GBU28" s="71"/>
      <c r="GBV28" s="71"/>
      <c r="GBW28" s="71"/>
      <c r="GBX28" s="71"/>
      <c r="GBY28" s="71"/>
      <c r="GBZ28" s="71"/>
      <c r="GCA28" s="71"/>
      <c r="GCB28" s="71"/>
      <c r="GCC28" s="71"/>
      <c r="GCD28" s="71"/>
      <c r="GCE28" s="71"/>
      <c r="GCF28" s="71"/>
      <c r="GCG28" s="71"/>
      <c r="GCH28" s="71"/>
      <c r="GCI28" s="71"/>
      <c r="GCJ28" s="71"/>
      <c r="GCK28" s="71"/>
      <c r="GCL28" s="71"/>
      <c r="GCM28" s="71"/>
      <c r="GCN28" s="71"/>
      <c r="GCO28" s="71"/>
      <c r="GCP28" s="71"/>
      <c r="GCQ28" s="71"/>
      <c r="GCR28" s="71"/>
      <c r="GCS28" s="71"/>
      <c r="GCT28" s="71"/>
      <c r="GCU28" s="71"/>
      <c r="GCV28" s="71"/>
      <c r="GCW28" s="71"/>
      <c r="GCX28" s="71"/>
      <c r="GCY28" s="71"/>
      <c r="GCZ28" s="71"/>
      <c r="GDA28" s="71"/>
      <c r="GDB28" s="71"/>
      <c r="GDC28" s="71"/>
      <c r="GDD28" s="71"/>
      <c r="GDE28" s="71"/>
      <c r="GDF28" s="71"/>
      <c r="GDG28" s="71"/>
      <c r="GDH28" s="71"/>
      <c r="GDI28" s="71"/>
      <c r="GDJ28" s="71"/>
      <c r="GDK28" s="71"/>
      <c r="GDL28" s="71"/>
      <c r="GDM28" s="71"/>
      <c r="GDN28" s="71"/>
      <c r="GDO28" s="71"/>
      <c r="GDP28" s="71"/>
      <c r="GDQ28" s="71"/>
      <c r="GDR28" s="71"/>
      <c r="GDS28" s="71"/>
      <c r="GDT28" s="71"/>
      <c r="GDU28" s="71"/>
      <c r="GDV28" s="71"/>
      <c r="GDW28" s="71"/>
      <c r="GDX28" s="71"/>
      <c r="GDY28" s="71"/>
      <c r="GDZ28" s="71"/>
      <c r="GEA28" s="71"/>
      <c r="GEB28" s="71"/>
      <c r="GEC28" s="71"/>
      <c r="GED28" s="71"/>
      <c r="GEE28" s="71"/>
      <c r="GEF28" s="71"/>
      <c r="GEG28" s="71"/>
      <c r="GEH28" s="71"/>
      <c r="GEI28" s="71"/>
      <c r="GEJ28" s="71"/>
      <c r="GEK28" s="71"/>
      <c r="GEL28" s="71"/>
      <c r="GEM28" s="71"/>
      <c r="GEN28" s="71"/>
      <c r="GEO28" s="71"/>
      <c r="GEP28" s="71"/>
      <c r="GEQ28" s="71"/>
      <c r="GER28" s="71"/>
      <c r="GES28" s="71"/>
      <c r="GET28" s="71"/>
      <c r="GEU28" s="71"/>
      <c r="GEV28" s="71"/>
      <c r="GEW28" s="71"/>
      <c r="GEX28" s="71"/>
      <c r="GEY28" s="71"/>
      <c r="GEZ28" s="71"/>
      <c r="GFA28" s="71"/>
      <c r="GFB28" s="71"/>
      <c r="GFC28" s="71"/>
      <c r="GFD28" s="71"/>
      <c r="GFE28" s="71"/>
      <c r="GFF28" s="71"/>
      <c r="GFG28" s="71"/>
      <c r="GFH28" s="71"/>
      <c r="GFI28" s="71"/>
      <c r="GFJ28" s="71"/>
      <c r="GFK28" s="71"/>
      <c r="GFL28" s="71"/>
      <c r="GFM28" s="71"/>
      <c r="GFN28" s="71"/>
      <c r="GFO28" s="71"/>
      <c r="GFP28" s="71"/>
      <c r="GFQ28" s="71"/>
      <c r="GFR28" s="71"/>
      <c r="GFS28" s="71"/>
      <c r="GFT28" s="71"/>
      <c r="GFU28" s="71"/>
      <c r="GFV28" s="71"/>
      <c r="GFW28" s="71"/>
      <c r="GFX28" s="71"/>
      <c r="GFY28" s="71"/>
      <c r="GFZ28" s="71"/>
      <c r="GGA28" s="71"/>
      <c r="GGB28" s="71"/>
      <c r="GGC28" s="71"/>
      <c r="GGD28" s="71"/>
      <c r="GGE28" s="71"/>
      <c r="GGF28" s="71"/>
      <c r="GGG28" s="71"/>
      <c r="GGH28" s="71"/>
      <c r="GGI28" s="71"/>
      <c r="GGJ28" s="71"/>
      <c r="GGK28" s="71"/>
      <c r="GGL28" s="71"/>
      <c r="GGM28" s="71"/>
      <c r="GGN28" s="71"/>
      <c r="GGO28" s="71"/>
      <c r="GGP28" s="71"/>
      <c r="GGQ28" s="71"/>
      <c r="GGR28" s="71"/>
      <c r="GGS28" s="71"/>
      <c r="GGT28" s="71"/>
      <c r="GGU28" s="71"/>
      <c r="GGV28" s="71"/>
      <c r="GGW28" s="71"/>
      <c r="GGX28" s="71"/>
      <c r="GGY28" s="71"/>
      <c r="GGZ28" s="71"/>
      <c r="GHA28" s="71"/>
      <c r="GHB28" s="71"/>
      <c r="GHC28" s="71"/>
      <c r="GHD28" s="71"/>
      <c r="GHE28" s="71"/>
      <c r="GHF28" s="71"/>
      <c r="GHG28" s="71"/>
      <c r="GHH28" s="71"/>
      <c r="GHI28" s="71"/>
      <c r="GHJ28" s="71"/>
      <c r="GHK28" s="71"/>
      <c r="GHL28" s="71"/>
      <c r="GHM28" s="71"/>
      <c r="GHN28" s="71"/>
      <c r="GHO28" s="71"/>
      <c r="GHP28" s="71"/>
      <c r="GHQ28" s="71"/>
      <c r="GHR28" s="71"/>
      <c r="GHS28" s="71"/>
      <c r="GHT28" s="71"/>
      <c r="GHU28" s="71"/>
      <c r="GHV28" s="71"/>
      <c r="GHW28" s="71"/>
      <c r="GHX28" s="71"/>
      <c r="GHY28" s="71"/>
      <c r="GHZ28" s="71"/>
      <c r="GIA28" s="71"/>
      <c r="GIB28" s="71"/>
      <c r="GIC28" s="71"/>
      <c r="GID28" s="71"/>
      <c r="GIE28" s="71"/>
      <c r="GIF28" s="71"/>
      <c r="GIG28" s="71"/>
      <c r="GIH28" s="71"/>
      <c r="GII28" s="71"/>
      <c r="GIJ28" s="71"/>
      <c r="GIK28" s="71"/>
      <c r="GIL28" s="71"/>
      <c r="GIM28" s="71"/>
      <c r="GIN28" s="71"/>
      <c r="GIO28" s="71"/>
      <c r="GIP28" s="71"/>
      <c r="GIQ28" s="71"/>
      <c r="GIR28" s="71"/>
      <c r="GIS28" s="71"/>
      <c r="GIT28" s="71"/>
      <c r="GIU28" s="71"/>
      <c r="GIV28" s="71"/>
      <c r="GIW28" s="71"/>
      <c r="GIX28" s="71"/>
      <c r="GIY28" s="71"/>
      <c r="GIZ28" s="71"/>
      <c r="GJA28" s="71"/>
      <c r="GJB28" s="71"/>
      <c r="GJC28" s="71"/>
      <c r="GJD28" s="71"/>
      <c r="GJE28" s="71"/>
      <c r="GJF28" s="71"/>
      <c r="GJG28" s="71"/>
      <c r="GJH28" s="71"/>
      <c r="GJI28" s="71"/>
      <c r="GJJ28" s="71"/>
      <c r="GJK28" s="71"/>
      <c r="GJL28" s="71"/>
      <c r="GJM28" s="71"/>
      <c r="GJN28" s="71"/>
      <c r="GJO28" s="71"/>
      <c r="GJP28" s="71"/>
      <c r="GJQ28" s="71"/>
      <c r="GJR28" s="71"/>
      <c r="GJS28" s="71"/>
      <c r="GJT28" s="71"/>
      <c r="GJU28" s="71"/>
      <c r="GJV28" s="71"/>
      <c r="GJW28" s="71"/>
      <c r="GJX28" s="71"/>
      <c r="GJY28" s="71"/>
      <c r="GJZ28" s="71"/>
      <c r="GKA28" s="71"/>
      <c r="GKB28" s="71"/>
      <c r="GKC28" s="71"/>
      <c r="GKD28" s="71"/>
      <c r="GKE28" s="71"/>
      <c r="GKF28" s="71"/>
      <c r="GKG28" s="71"/>
      <c r="GKH28" s="71"/>
      <c r="GKI28" s="71"/>
      <c r="GKJ28" s="71"/>
      <c r="GKK28" s="71"/>
      <c r="GKL28" s="71"/>
      <c r="GKM28" s="71"/>
      <c r="GKN28" s="71"/>
      <c r="GKO28" s="71"/>
      <c r="GKP28" s="71"/>
      <c r="GKQ28" s="71"/>
      <c r="GKR28" s="71"/>
      <c r="GKS28" s="71"/>
      <c r="GKT28" s="71"/>
      <c r="GKU28" s="71"/>
      <c r="GKV28" s="71"/>
      <c r="GKW28" s="71"/>
      <c r="GKX28" s="71"/>
      <c r="GKY28" s="71"/>
      <c r="GKZ28" s="71"/>
      <c r="GLA28" s="71"/>
      <c r="GLB28" s="71"/>
      <c r="GLC28" s="71"/>
      <c r="GLD28" s="71"/>
      <c r="GLE28" s="71"/>
      <c r="GLF28" s="71"/>
      <c r="GLG28" s="71"/>
      <c r="GLH28" s="71"/>
      <c r="GLI28" s="71"/>
      <c r="GLJ28" s="71"/>
      <c r="GLK28" s="71"/>
      <c r="GLL28" s="71"/>
      <c r="GLM28" s="71"/>
      <c r="GLN28" s="71"/>
      <c r="GLO28" s="71"/>
      <c r="GLP28" s="71"/>
      <c r="GLQ28" s="71"/>
      <c r="GLR28" s="71"/>
      <c r="GLS28" s="71"/>
      <c r="GLT28" s="71"/>
      <c r="GLU28" s="71"/>
      <c r="GLV28" s="71"/>
      <c r="GLW28" s="71"/>
      <c r="GLX28" s="71"/>
      <c r="GLY28" s="71"/>
      <c r="GLZ28" s="71"/>
      <c r="GMA28" s="71"/>
      <c r="GMB28" s="71"/>
      <c r="GMC28" s="71"/>
      <c r="GMD28" s="71"/>
      <c r="GME28" s="71"/>
      <c r="GMF28" s="71"/>
      <c r="GMG28" s="71"/>
      <c r="GMH28" s="71"/>
      <c r="GMI28" s="71"/>
      <c r="GMJ28" s="71"/>
      <c r="GMK28" s="71"/>
      <c r="GML28" s="71"/>
      <c r="GMM28" s="71"/>
      <c r="GMN28" s="71"/>
      <c r="GMO28" s="71"/>
      <c r="GMP28" s="71"/>
      <c r="GMQ28" s="71"/>
      <c r="GMR28" s="71"/>
      <c r="GMS28" s="71"/>
      <c r="GMT28" s="71"/>
      <c r="GMU28" s="71"/>
      <c r="GMV28" s="71"/>
      <c r="GMW28" s="71"/>
      <c r="GMX28" s="71"/>
      <c r="GMY28" s="71"/>
      <c r="GMZ28" s="71"/>
      <c r="GNA28" s="71"/>
      <c r="GNB28" s="71"/>
      <c r="GNC28" s="71"/>
      <c r="GND28" s="71"/>
      <c r="GNE28" s="71"/>
      <c r="GNF28" s="71"/>
      <c r="GNG28" s="71"/>
      <c r="GNH28" s="71"/>
      <c r="GNI28" s="71"/>
      <c r="GNJ28" s="71"/>
      <c r="GNK28" s="71"/>
      <c r="GNL28" s="71"/>
      <c r="GNM28" s="71"/>
      <c r="GNN28" s="71"/>
      <c r="GNO28" s="71"/>
      <c r="GNP28" s="71"/>
      <c r="GNQ28" s="71"/>
      <c r="GNR28" s="71"/>
      <c r="GNS28" s="71"/>
      <c r="GNT28" s="71"/>
      <c r="GNU28" s="71"/>
      <c r="GNV28" s="71"/>
      <c r="GNW28" s="71"/>
      <c r="GNX28" s="71"/>
      <c r="GNY28" s="71"/>
      <c r="GNZ28" s="71"/>
      <c r="GOA28" s="71"/>
      <c r="GOB28" s="71"/>
      <c r="GOC28" s="71"/>
      <c r="GOD28" s="71"/>
      <c r="GOE28" s="71"/>
      <c r="GOF28" s="71"/>
      <c r="GOG28" s="71"/>
      <c r="GOH28" s="71"/>
      <c r="GOI28" s="71"/>
      <c r="GOJ28" s="71"/>
      <c r="GOK28" s="71"/>
      <c r="GOL28" s="71"/>
      <c r="GOM28" s="71"/>
      <c r="GON28" s="71"/>
      <c r="GOO28" s="71"/>
      <c r="GOP28" s="71"/>
      <c r="GOQ28" s="71"/>
      <c r="GOR28" s="71"/>
      <c r="GOS28" s="71"/>
      <c r="GOT28" s="71"/>
      <c r="GOU28" s="71"/>
      <c r="GOV28" s="71"/>
      <c r="GOW28" s="71"/>
      <c r="GOX28" s="71"/>
      <c r="GOY28" s="71"/>
      <c r="GOZ28" s="71"/>
      <c r="GPA28" s="71"/>
      <c r="GPB28" s="71"/>
      <c r="GPC28" s="71"/>
      <c r="GPD28" s="71"/>
      <c r="GPE28" s="71"/>
      <c r="GPF28" s="71"/>
      <c r="GPG28" s="71"/>
      <c r="GPH28" s="71"/>
      <c r="GPI28" s="71"/>
      <c r="GPJ28" s="71"/>
      <c r="GPK28" s="71"/>
      <c r="GPL28" s="71"/>
      <c r="GPM28" s="71"/>
      <c r="GPN28" s="71"/>
      <c r="GPO28" s="71"/>
      <c r="GPP28" s="71"/>
      <c r="GPQ28" s="71"/>
      <c r="GPR28" s="71"/>
      <c r="GPS28" s="71"/>
      <c r="GPT28" s="71"/>
      <c r="GPU28" s="71"/>
      <c r="GPV28" s="71"/>
      <c r="GPW28" s="71"/>
      <c r="GPX28" s="71"/>
      <c r="GPY28" s="71"/>
      <c r="GPZ28" s="71"/>
      <c r="GQA28" s="71"/>
      <c r="GQB28" s="71"/>
      <c r="GQC28" s="71"/>
      <c r="GQD28" s="71"/>
      <c r="GQE28" s="71"/>
      <c r="GQF28" s="71"/>
      <c r="GQG28" s="71"/>
      <c r="GQH28" s="71"/>
      <c r="GQI28" s="71"/>
      <c r="GQJ28" s="71"/>
      <c r="GQK28" s="71"/>
      <c r="GQL28" s="71"/>
      <c r="GQM28" s="71"/>
      <c r="GQN28" s="71"/>
      <c r="GQO28" s="71"/>
      <c r="GQP28" s="71"/>
      <c r="GQQ28" s="71"/>
      <c r="GQR28" s="71"/>
      <c r="GQS28" s="71"/>
      <c r="GQT28" s="71"/>
      <c r="GQU28" s="71"/>
      <c r="GQV28" s="71"/>
      <c r="GQW28" s="71"/>
      <c r="GQX28" s="71"/>
      <c r="GQY28" s="71"/>
      <c r="GQZ28" s="71"/>
      <c r="GRA28" s="71"/>
      <c r="GRB28" s="71"/>
      <c r="GRC28" s="71"/>
      <c r="GRD28" s="71"/>
      <c r="GRE28" s="71"/>
      <c r="GRF28" s="71"/>
      <c r="GRG28" s="71"/>
      <c r="GRH28" s="71"/>
      <c r="GRI28" s="71"/>
      <c r="GRJ28" s="71"/>
      <c r="GRK28" s="71"/>
      <c r="GRL28" s="71"/>
      <c r="GRM28" s="71"/>
      <c r="GRN28" s="71"/>
      <c r="GRO28" s="71"/>
      <c r="GRP28" s="71"/>
      <c r="GRQ28" s="71"/>
      <c r="GRR28" s="71"/>
      <c r="GRS28" s="71"/>
      <c r="GRT28" s="71"/>
      <c r="GRU28" s="71"/>
      <c r="GRV28" s="71"/>
      <c r="GRW28" s="71"/>
      <c r="GRX28" s="71"/>
      <c r="GRY28" s="71"/>
      <c r="GRZ28" s="71"/>
      <c r="GSA28" s="71"/>
      <c r="GSB28" s="71"/>
      <c r="GSC28" s="71"/>
      <c r="GSD28" s="71"/>
      <c r="GSE28" s="71"/>
      <c r="GSF28" s="71"/>
      <c r="GSG28" s="71"/>
      <c r="GSH28" s="71"/>
      <c r="GSI28" s="71"/>
      <c r="GSJ28" s="71"/>
      <c r="GSK28" s="71"/>
      <c r="GSL28" s="71"/>
      <c r="GSM28" s="71"/>
      <c r="GSN28" s="71"/>
      <c r="GSO28" s="71"/>
      <c r="GSP28" s="71"/>
      <c r="GSQ28" s="71"/>
      <c r="GSR28" s="71"/>
      <c r="GSS28" s="71"/>
      <c r="GST28" s="71"/>
      <c r="GSU28" s="71"/>
      <c r="GSV28" s="71"/>
      <c r="GSW28" s="71"/>
      <c r="GSX28" s="71"/>
      <c r="GSY28" s="71"/>
      <c r="GSZ28" s="71"/>
      <c r="GTA28" s="71"/>
      <c r="GTB28" s="71"/>
      <c r="GTC28" s="71"/>
      <c r="GTD28" s="71"/>
      <c r="GTE28" s="71"/>
      <c r="GTF28" s="71"/>
      <c r="GTG28" s="71"/>
      <c r="GTH28" s="71"/>
      <c r="GTI28" s="71"/>
      <c r="GTJ28" s="71"/>
      <c r="GTK28" s="71"/>
      <c r="GTL28" s="71"/>
      <c r="GTM28" s="71"/>
      <c r="GTN28" s="71"/>
      <c r="GTO28" s="71"/>
      <c r="GTP28" s="71"/>
      <c r="GTQ28" s="71"/>
      <c r="GTR28" s="71"/>
      <c r="GTS28" s="71"/>
      <c r="GTT28" s="71"/>
      <c r="GTU28" s="71"/>
      <c r="GTV28" s="71"/>
      <c r="GTW28" s="71"/>
      <c r="GTX28" s="71"/>
      <c r="GTY28" s="71"/>
      <c r="GTZ28" s="71"/>
      <c r="GUA28" s="71"/>
      <c r="GUB28" s="71"/>
      <c r="GUC28" s="71"/>
      <c r="GUD28" s="71"/>
      <c r="GUE28" s="71"/>
      <c r="GUF28" s="71"/>
      <c r="GUG28" s="71"/>
      <c r="GUH28" s="71"/>
      <c r="GUI28" s="71"/>
      <c r="GUJ28" s="71"/>
      <c r="GUK28" s="71"/>
      <c r="GUL28" s="71"/>
      <c r="GUM28" s="71"/>
      <c r="GUN28" s="71"/>
      <c r="GUO28" s="71"/>
      <c r="GUP28" s="71"/>
      <c r="GUQ28" s="71"/>
      <c r="GUR28" s="71"/>
      <c r="GUS28" s="71"/>
      <c r="GUT28" s="71"/>
      <c r="GUU28" s="71"/>
      <c r="GUV28" s="71"/>
      <c r="GUW28" s="71"/>
      <c r="GUX28" s="71"/>
      <c r="GUY28" s="71"/>
      <c r="GUZ28" s="71"/>
      <c r="GVA28" s="71"/>
      <c r="GVB28" s="71"/>
      <c r="GVC28" s="71"/>
      <c r="GVD28" s="71"/>
      <c r="GVE28" s="71"/>
      <c r="GVF28" s="71"/>
      <c r="GVG28" s="71"/>
      <c r="GVH28" s="71"/>
      <c r="GVI28" s="71"/>
      <c r="GVJ28" s="71"/>
      <c r="GVK28" s="71"/>
      <c r="GVL28" s="71"/>
      <c r="GVM28" s="71"/>
      <c r="GVN28" s="71"/>
      <c r="GVO28" s="71"/>
      <c r="GVP28" s="71"/>
      <c r="GVQ28" s="71"/>
      <c r="GVR28" s="71"/>
      <c r="GVS28" s="71"/>
      <c r="GVT28" s="71"/>
      <c r="GVU28" s="71"/>
      <c r="GVV28" s="71"/>
      <c r="GVW28" s="71"/>
      <c r="GVX28" s="71"/>
      <c r="GVY28" s="71"/>
      <c r="GVZ28" s="71"/>
      <c r="GWA28" s="71"/>
      <c r="GWB28" s="71"/>
      <c r="GWC28" s="71"/>
      <c r="GWD28" s="71"/>
      <c r="GWE28" s="71"/>
      <c r="GWF28" s="71"/>
      <c r="GWG28" s="71"/>
      <c r="GWH28" s="71"/>
      <c r="GWI28" s="71"/>
      <c r="GWJ28" s="71"/>
      <c r="GWK28" s="71"/>
      <c r="GWL28" s="71"/>
      <c r="GWM28" s="71"/>
      <c r="GWN28" s="71"/>
      <c r="GWO28" s="71"/>
      <c r="GWP28" s="71"/>
      <c r="GWQ28" s="71"/>
      <c r="GWR28" s="71"/>
      <c r="GWS28" s="71"/>
      <c r="GWT28" s="71"/>
      <c r="GWU28" s="71"/>
      <c r="GWV28" s="71"/>
      <c r="GWW28" s="71"/>
      <c r="GWX28" s="71"/>
      <c r="GWY28" s="71"/>
      <c r="GWZ28" s="71"/>
      <c r="GXA28" s="71"/>
      <c r="GXB28" s="71"/>
      <c r="GXC28" s="71"/>
      <c r="GXD28" s="71"/>
      <c r="GXE28" s="71"/>
      <c r="GXF28" s="71"/>
      <c r="GXG28" s="71"/>
      <c r="GXH28" s="71"/>
      <c r="GXI28" s="71"/>
      <c r="GXJ28" s="71"/>
      <c r="GXK28" s="71"/>
      <c r="GXL28" s="71"/>
      <c r="GXM28" s="71"/>
      <c r="GXN28" s="71"/>
      <c r="GXO28" s="71"/>
      <c r="GXP28" s="71"/>
      <c r="GXQ28" s="71"/>
      <c r="GXR28" s="71"/>
      <c r="GXS28" s="71"/>
      <c r="GXT28" s="71"/>
      <c r="GXU28" s="71"/>
      <c r="GXV28" s="71"/>
      <c r="GXW28" s="71"/>
      <c r="GXX28" s="71"/>
      <c r="GXY28" s="71"/>
      <c r="GXZ28" s="71"/>
      <c r="GYA28" s="71"/>
      <c r="GYB28" s="71"/>
      <c r="GYC28" s="71"/>
      <c r="GYD28" s="71"/>
      <c r="GYE28" s="71"/>
      <c r="GYF28" s="71"/>
      <c r="GYG28" s="71"/>
      <c r="GYH28" s="71"/>
      <c r="GYI28" s="71"/>
      <c r="GYJ28" s="71"/>
      <c r="GYK28" s="71"/>
      <c r="GYL28" s="71"/>
      <c r="GYM28" s="71"/>
      <c r="GYN28" s="71"/>
      <c r="GYO28" s="71"/>
      <c r="GYP28" s="71"/>
      <c r="GYQ28" s="71"/>
      <c r="GYR28" s="71"/>
      <c r="GYS28" s="71"/>
      <c r="GYT28" s="71"/>
      <c r="GYU28" s="71"/>
      <c r="GYV28" s="71"/>
      <c r="GYW28" s="71"/>
      <c r="GYX28" s="71"/>
      <c r="GYY28" s="71"/>
      <c r="GYZ28" s="71"/>
      <c r="GZA28" s="71"/>
      <c r="GZB28" s="71"/>
      <c r="GZC28" s="71"/>
      <c r="GZD28" s="71"/>
      <c r="GZE28" s="71"/>
      <c r="GZF28" s="71"/>
      <c r="GZG28" s="71"/>
      <c r="GZH28" s="71"/>
      <c r="GZI28" s="71"/>
      <c r="GZJ28" s="71"/>
      <c r="GZK28" s="71"/>
      <c r="GZL28" s="71"/>
      <c r="GZM28" s="71"/>
      <c r="GZN28" s="71"/>
      <c r="GZO28" s="71"/>
      <c r="GZP28" s="71"/>
      <c r="GZQ28" s="71"/>
      <c r="GZR28" s="71"/>
      <c r="GZS28" s="71"/>
      <c r="GZT28" s="71"/>
      <c r="GZU28" s="71"/>
      <c r="GZV28" s="71"/>
      <c r="GZW28" s="71"/>
      <c r="GZX28" s="71"/>
      <c r="GZY28" s="71"/>
      <c r="GZZ28" s="71"/>
      <c r="HAA28" s="71"/>
      <c r="HAB28" s="71"/>
      <c r="HAC28" s="71"/>
      <c r="HAD28" s="71"/>
      <c r="HAE28" s="71"/>
      <c r="HAF28" s="71"/>
      <c r="HAG28" s="71"/>
      <c r="HAH28" s="71"/>
      <c r="HAI28" s="71"/>
      <c r="HAJ28" s="71"/>
      <c r="HAK28" s="71"/>
      <c r="HAL28" s="71"/>
      <c r="HAM28" s="71"/>
      <c r="HAN28" s="71"/>
      <c r="HAO28" s="71"/>
      <c r="HAP28" s="71"/>
      <c r="HAQ28" s="71"/>
      <c r="HAR28" s="71"/>
      <c r="HAS28" s="71"/>
      <c r="HAT28" s="71"/>
      <c r="HAU28" s="71"/>
      <c r="HAV28" s="71"/>
      <c r="HAW28" s="71"/>
      <c r="HAX28" s="71"/>
      <c r="HAY28" s="71"/>
      <c r="HAZ28" s="71"/>
      <c r="HBA28" s="71"/>
      <c r="HBB28" s="71"/>
      <c r="HBC28" s="71"/>
      <c r="HBD28" s="71"/>
      <c r="HBE28" s="71"/>
      <c r="HBF28" s="71"/>
      <c r="HBG28" s="71"/>
      <c r="HBH28" s="71"/>
      <c r="HBI28" s="71"/>
      <c r="HBJ28" s="71"/>
      <c r="HBK28" s="71"/>
      <c r="HBL28" s="71"/>
      <c r="HBM28" s="71"/>
      <c r="HBN28" s="71"/>
      <c r="HBO28" s="71"/>
      <c r="HBP28" s="71"/>
      <c r="HBQ28" s="71"/>
      <c r="HBR28" s="71"/>
      <c r="HBS28" s="71"/>
      <c r="HBT28" s="71"/>
      <c r="HBU28" s="71"/>
      <c r="HBV28" s="71"/>
      <c r="HBW28" s="71"/>
      <c r="HBX28" s="71"/>
      <c r="HBY28" s="71"/>
      <c r="HBZ28" s="71"/>
      <c r="HCA28" s="71"/>
      <c r="HCB28" s="71"/>
      <c r="HCC28" s="71"/>
      <c r="HCD28" s="71"/>
      <c r="HCE28" s="71"/>
      <c r="HCF28" s="71"/>
      <c r="HCG28" s="71"/>
      <c r="HCH28" s="71"/>
      <c r="HCI28" s="71"/>
      <c r="HCJ28" s="71"/>
      <c r="HCK28" s="71"/>
      <c r="HCL28" s="71"/>
      <c r="HCM28" s="71"/>
      <c r="HCN28" s="71"/>
      <c r="HCO28" s="71"/>
      <c r="HCP28" s="71"/>
      <c r="HCQ28" s="71"/>
      <c r="HCR28" s="71"/>
      <c r="HCS28" s="71"/>
      <c r="HCT28" s="71"/>
      <c r="HCU28" s="71"/>
      <c r="HCV28" s="71"/>
      <c r="HCW28" s="71"/>
      <c r="HCX28" s="71"/>
      <c r="HCY28" s="71"/>
      <c r="HCZ28" s="71"/>
      <c r="HDA28" s="71"/>
      <c r="HDB28" s="71"/>
      <c r="HDC28" s="71"/>
      <c r="HDD28" s="71"/>
      <c r="HDE28" s="71"/>
      <c r="HDF28" s="71"/>
      <c r="HDG28" s="71"/>
      <c r="HDH28" s="71"/>
      <c r="HDI28" s="71"/>
      <c r="HDJ28" s="71"/>
      <c r="HDK28" s="71"/>
      <c r="HDL28" s="71"/>
      <c r="HDM28" s="71"/>
      <c r="HDN28" s="71"/>
      <c r="HDO28" s="71"/>
      <c r="HDP28" s="71"/>
      <c r="HDQ28" s="71"/>
      <c r="HDR28" s="71"/>
      <c r="HDS28" s="71"/>
      <c r="HDT28" s="71"/>
      <c r="HDU28" s="71"/>
      <c r="HDV28" s="71"/>
      <c r="HDW28" s="71"/>
      <c r="HDX28" s="71"/>
      <c r="HDY28" s="71"/>
      <c r="HDZ28" s="71"/>
      <c r="HEA28" s="71"/>
      <c r="HEB28" s="71"/>
      <c r="HEC28" s="71"/>
      <c r="HED28" s="71"/>
      <c r="HEE28" s="71"/>
      <c r="HEF28" s="71"/>
      <c r="HEG28" s="71"/>
      <c r="HEH28" s="71"/>
      <c r="HEI28" s="71"/>
      <c r="HEJ28" s="71"/>
      <c r="HEK28" s="71"/>
      <c r="HEL28" s="71"/>
      <c r="HEM28" s="71"/>
      <c r="HEN28" s="71"/>
      <c r="HEO28" s="71"/>
      <c r="HEP28" s="71"/>
      <c r="HEQ28" s="71"/>
      <c r="HER28" s="71"/>
      <c r="HES28" s="71"/>
      <c r="HET28" s="71"/>
      <c r="HEU28" s="71"/>
      <c r="HEV28" s="71"/>
      <c r="HEW28" s="71"/>
      <c r="HEX28" s="71"/>
      <c r="HEY28" s="71"/>
      <c r="HEZ28" s="71"/>
      <c r="HFA28" s="71"/>
      <c r="HFB28" s="71"/>
      <c r="HFC28" s="71"/>
      <c r="HFD28" s="71"/>
      <c r="HFE28" s="71"/>
      <c r="HFF28" s="71"/>
      <c r="HFG28" s="71"/>
      <c r="HFH28" s="71"/>
      <c r="HFI28" s="71"/>
      <c r="HFJ28" s="71"/>
      <c r="HFK28" s="71"/>
      <c r="HFL28" s="71"/>
      <c r="HFM28" s="71"/>
      <c r="HFN28" s="71"/>
      <c r="HFO28" s="71"/>
      <c r="HFP28" s="71"/>
      <c r="HFQ28" s="71"/>
      <c r="HFR28" s="71"/>
      <c r="HFS28" s="71"/>
      <c r="HFT28" s="71"/>
      <c r="HFU28" s="71"/>
      <c r="HFV28" s="71"/>
      <c r="HFW28" s="71"/>
      <c r="HFX28" s="71"/>
      <c r="HFY28" s="71"/>
      <c r="HFZ28" s="71"/>
      <c r="HGA28" s="71"/>
      <c r="HGB28" s="71"/>
      <c r="HGC28" s="71"/>
      <c r="HGD28" s="71"/>
      <c r="HGE28" s="71"/>
      <c r="HGF28" s="71"/>
      <c r="HGG28" s="71"/>
      <c r="HGH28" s="71"/>
      <c r="HGI28" s="71"/>
      <c r="HGJ28" s="71"/>
      <c r="HGK28" s="71"/>
      <c r="HGL28" s="71"/>
      <c r="HGM28" s="71"/>
      <c r="HGN28" s="71"/>
      <c r="HGO28" s="71"/>
      <c r="HGP28" s="71"/>
      <c r="HGQ28" s="71"/>
      <c r="HGR28" s="71"/>
      <c r="HGS28" s="71"/>
      <c r="HGT28" s="71"/>
      <c r="HGU28" s="71"/>
      <c r="HGV28" s="71"/>
      <c r="HGW28" s="71"/>
      <c r="HGX28" s="71"/>
      <c r="HGY28" s="71"/>
      <c r="HGZ28" s="71"/>
      <c r="HHA28" s="71"/>
      <c r="HHB28" s="71"/>
      <c r="HHC28" s="71"/>
      <c r="HHD28" s="71"/>
      <c r="HHE28" s="71"/>
      <c r="HHF28" s="71"/>
      <c r="HHG28" s="71"/>
      <c r="HHH28" s="71"/>
      <c r="HHI28" s="71"/>
      <c r="HHJ28" s="71"/>
      <c r="HHK28" s="71"/>
      <c r="HHL28" s="71"/>
      <c r="HHM28" s="71"/>
      <c r="HHN28" s="71"/>
      <c r="HHO28" s="71"/>
      <c r="HHP28" s="71"/>
      <c r="HHQ28" s="71"/>
      <c r="HHR28" s="71"/>
      <c r="HHS28" s="71"/>
      <c r="HHT28" s="71"/>
      <c r="HHU28" s="71"/>
      <c r="HHV28" s="71"/>
      <c r="HHW28" s="71"/>
      <c r="HHX28" s="71"/>
      <c r="HHY28" s="71"/>
      <c r="HHZ28" s="71"/>
      <c r="HIA28" s="71"/>
      <c r="HIB28" s="71"/>
      <c r="HIC28" s="71"/>
      <c r="HID28" s="71"/>
      <c r="HIE28" s="71"/>
      <c r="HIF28" s="71"/>
      <c r="HIG28" s="71"/>
      <c r="HIH28" s="71"/>
      <c r="HII28" s="71"/>
      <c r="HIJ28" s="71"/>
      <c r="HIK28" s="71"/>
      <c r="HIL28" s="71"/>
      <c r="HIM28" s="71"/>
      <c r="HIN28" s="71"/>
      <c r="HIO28" s="71"/>
      <c r="HIP28" s="71"/>
      <c r="HIQ28" s="71"/>
      <c r="HIR28" s="71"/>
      <c r="HIS28" s="71"/>
      <c r="HIT28" s="71"/>
      <c r="HIU28" s="71"/>
      <c r="HIV28" s="71"/>
      <c r="HIW28" s="71"/>
      <c r="HIX28" s="71"/>
      <c r="HIY28" s="71"/>
      <c r="HIZ28" s="71"/>
      <c r="HJA28" s="71"/>
      <c r="HJB28" s="71"/>
      <c r="HJC28" s="71"/>
      <c r="HJD28" s="71"/>
      <c r="HJE28" s="71"/>
      <c r="HJF28" s="71"/>
      <c r="HJG28" s="71"/>
      <c r="HJH28" s="71"/>
      <c r="HJI28" s="71"/>
      <c r="HJJ28" s="71"/>
      <c r="HJK28" s="71"/>
      <c r="HJL28" s="71"/>
      <c r="HJM28" s="71"/>
      <c r="HJN28" s="71"/>
      <c r="HJO28" s="71"/>
      <c r="HJP28" s="71"/>
      <c r="HJQ28" s="71"/>
      <c r="HJR28" s="71"/>
      <c r="HJS28" s="71"/>
      <c r="HJT28" s="71"/>
      <c r="HJU28" s="71"/>
      <c r="HJV28" s="71"/>
      <c r="HJW28" s="71"/>
      <c r="HJX28" s="71"/>
      <c r="HJY28" s="71"/>
      <c r="HJZ28" s="71"/>
      <c r="HKA28" s="71"/>
      <c r="HKB28" s="71"/>
      <c r="HKC28" s="71"/>
      <c r="HKD28" s="71"/>
      <c r="HKE28" s="71"/>
      <c r="HKF28" s="71"/>
      <c r="HKG28" s="71"/>
      <c r="HKH28" s="71"/>
      <c r="HKI28" s="71"/>
      <c r="HKJ28" s="71"/>
      <c r="HKK28" s="71"/>
      <c r="HKL28" s="71"/>
      <c r="HKM28" s="71"/>
      <c r="HKN28" s="71"/>
      <c r="HKO28" s="71"/>
      <c r="HKP28" s="71"/>
      <c r="HKQ28" s="71"/>
      <c r="HKR28" s="71"/>
      <c r="HKS28" s="71"/>
      <c r="HKT28" s="71"/>
      <c r="HKU28" s="71"/>
      <c r="HKV28" s="71"/>
      <c r="HKW28" s="71"/>
      <c r="HKX28" s="71"/>
      <c r="HKY28" s="71"/>
      <c r="HKZ28" s="71"/>
      <c r="HLA28" s="71"/>
      <c r="HLB28" s="71"/>
      <c r="HLC28" s="71"/>
      <c r="HLD28" s="71"/>
      <c r="HLE28" s="71"/>
      <c r="HLF28" s="71"/>
      <c r="HLG28" s="71"/>
      <c r="HLH28" s="71"/>
      <c r="HLI28" s="71"/>
      <c r="HLJ28" s="71"/>
      <c r="HLK28" s="71"/>
      <c r="HLL28" s="71"/>
      <c r="HLM28" s="71"/>
      <c r="HLN28" s="71"/>
      <c r="HLO28" s="71"/>
      <c r="HLP28" s="71"/>
      <c r="HLQ28" s="71"/>
      <c r="HLR28" s="71"/>
      <c r="HLS28" s="71"/>
      <c r="HLT28" s="71"/>
      <c r="HLU28" s="71"/>
      <c r="HLV28" s="71"/>
      <c r="HLW28" s="71"/>
      <c r="HLX28" s="71"/>
      <c r="HLY28" s="71"/>
      <c r="HLZ28" s="71"/>
      <c r="HMA28" s="71"/>
      <c r="HMB28" s="71"/>
      <c r="HMC28" s="71"/>
      <c r="HMD28" s="71"/>
      <c r="HME28" s="71"/>
      <c r="HMF28" s="71"/>
      <c r="HMG28" s="71"/>
      <c r="HMH28" s="71"/>
      <c r="HMI28" s="71"/>
      <c r="HMJ28" s="71"/>
      <c r="HMK28" s="71"/>
      <c r="HML28" s="71"/>
      <c r="HMM28" s="71"/>
      <c r="HMN28" s="71"/>
      <c r="HMO28" s="71"/>
      <c r="HMP28" s="71"/>
      <c r="HMQ28" s="71"/>
      <c r="HMR28" s="71"/>
      <c r="HMS28" s="71"/>
      <c r="HMT28" s="71"/>
      <c r="HMU28" s="71"/>
      <c r="HMV28" s="71"/>
      <c r="HMW28" s="71"/>
      <c r="HMX28" s="71"/>
      <c r="HMY28" s="71"/>
      <c r="HMZ28" s="71"/>
      <c r="HNA28" s="71"/>
      <c r="HNB28" s="71"/>
      <c r="HNC28" s="71"/>
      <c r="HND28" s="71"/>
      <c r="HNE28" s="71"/>
      <c r="HNF28" s="71"/>
      <c r="HNG28" s="71"/>
      <c r="HNH28" s="71"/>
      <c r="HNI28" s="71"/>
      <c r="HNJ28" s="71"/>
      <c r="HNK28" s="71"/>
      <c r="HNL28" s="71"/>
      <c r="HNM28" s="71"/>
      <c r="HNN28" s="71"/>
      <c r="HNO28" s="71"/>
      <c r="HNP28" s="71"/>
      <c r="HNQ28" s="71"/>
      <c r="HNR28" s="71"/>
      <c r="HNS28" s="71"/>
      <c r="HNT28" s="71"/>
      <c r="HNU28" s="71"/>
      <c r="HNV28" s="71"/>
      <c r="HNW28" s="71"/>
      <c r="HNX28" s="71"/>
      <c r="HNY28" s="71"/>
      <c r="HNZ28" s="71"/>
      <c r="HOA28" s="71"/>
      <c r="HOB28" s="71"/>
      <c r="HOC28" s="71"/>
      <c r="HOD28" s="71"/>
      <c r="HOE28" s="71"/>
      <c r="HOF28" s="71"/>
      <c r="HOG28" s="71"/>
      <c r="HOH28" s="71"/>
      <c r="HOI28" s="71"/>
      <c r="HOJ28" s="71"/>
      <c r="HOK28" s="71"/>
      <c r="HOL28" s="71"/>
      <c r="HOM28" s="71"/>
      <c r="HON28" s="71"/>
      <c r="HOO28" s="71"/>
      <c r="HOP28" s="71"/>
      <c r="HOQ28" s="71"/>
      <c r="HOR28" s="71"/>
      <c r="HOS28" s="71"/>
      <c r="HOT28" s="71"/>
      <c r="HOU28" s="71"/>
      <c r="HOV28" s="71"/>
      <c r="HOW28" s="71"/>
      <c r="HOX28" s="71"/>
      <c r="HOY28" s="71"/>
      <c r="HOZ28" s="71"/>
      <c r="HPA28" s="71"/>
      <c r="HPB28" s="71"/>
      <c r="HPC28" s="71"/>
      <c r="HPD28" s="71"/>
      <c r="HPE28" s="71"/>
      <c r="HPF28" s="71"/>
      <c r="HPG28" s="71"/>
      <c r="HPH28" s="71"/>
      <c r="HPI28" s="71"/>
      <c r="HPJ28" s="71"/>
      <c r="HPK28" s="71"/>
      <c r="HPL28" s="71"/>
      <c r="HPM28" s="71"/>
      <c r="HPN28" s="71"/>
      <c r="HPO28" s="71"/>
      <c r="HPP28" s="71"/>
      <c r="HPQ28" s="71"/>
      <c r="HPR28" s="71"/>
      <c r="HPS28" s="71"/>
      <c r="HPT28" s="71"/>
      <c r="HPU28" s="71"/>
      <c r="HPV28" s="71"/>
      <c r="HPW28" s="71"/>
      <c r="HPX28" s="71"/>
      <c r="HPY28" s="71"/>
      <c r="HPZ28" s="71"/>
      <c r="HQA28" s="71"/>
      <c r="HQB28" s="71"/>
      <c r="HQC28" s="71"/>
      <c r="HQD28" s="71"/>
      <c r="HQE28" s="71"/>
      <c r="HQF28" s="71"/>
      <c r="HQG28" s="71"/>
      <c r="HQH28" s="71"/>
      <c r="HQI28" s="71"/>
      <c r="HQJ28" s="71"/>
      <c r="HQK28" s="71"/>
      <c r="HQL28" s="71"/>
      <c r="HQM28" s="71"/>
      <c r="HQN28" s="71"/>
      <c r="HQO28" s="71"/>
      <c r="HQP28" s="71"/>
      <c r="HQQ28" s="71"/>
      <c r="HQR28" s="71"/>
      <c r="HQS28" s="71"/>
      <c r="HQT28" s="71"/>
      <c r="HQU28" s="71"/>
      <c r="HQV28" s="71"/>
      <c r="HQW28" s="71"/>
      <c r="HQX28" s="71"/>
      <c r="HQY28" s="71"/>
      <c r="HQZ28" s="71"/>
      <c r="HRA28" s="71"/>
      <c r="HRB28" s="71"/>
      <c r="HRC28" s="71"/>
      <c r="HRD28" s="71"/>
      <c r="HRE28" s="71"/>
      <c r="HRF28" s="71"/>
      <c r="HRG28" s="71"/>
      <c r="HRH28" s="71"/>
      <c r="HRI28" s="71"/>
      <c r="HRJ28" s="71"/>
      <c r="HRK28" s="71"/>
      <c r="HRL28" s="71"/>
      <c r="HRM28" s="71"/>
      <c r="HRN28" s="71"/>
      <c r="HRO28" s="71"/>
      <c r="HRP28" s="71"/>
      <c r="HRQ28" s="71"/>
      <c r="HRR28" s="71"/>
      <c r="HRS28" s="71"/>
      <c r="HRT28" s="71"/>
      <c r="HRU28" s="71"/>
      <c r="HRV28" s="71"/>
      <c r="HRW28" s="71"/>
      <c r="HRX28" s="71"/>
      <c r="HRY28" s="71"/>
      <c r="HRZ28" s="71"/>
      <c r="HSA28" s="71"/>
      <c r="HSB28" s="71"/>
      <c r="HSC28" s="71"/>
      <c r="HSD28" s="71"/>
      <c r="HSE28" s="71"/>
      <c r="HSF28" s="71"/>
      <c r="HSG28" s="71"/>
      <c r="HSH28" s="71"/>
      <c r="HSI28" s="71"/>
      <c r="HSJ28" s="71"/>
      <c r="HSK28" s="71"/>
      <c r="HSL28" s="71"/>
      <c r="HSM28" s="71"/>
      <c r="HSN28" s="71"/>
      <c r="HSO28" s="71"/>
      <c r="HSP28" s="71"/>
      <c r="HSQ28" s="71"/>
      <c r="HSR28" s="71"/>
      <c r="HSS28" s="71"/>
      <c r="HST28" s="71"/>
      <c r="HSU28" s="71"/>
      <c r="HSV28" s="71"/>
      <c r="HSW28" s="71"/>
      <c r="HSX28" s="71"/>
      <c r="HSY28" s="71"/>
      <c r="HSZ28" s="71"/>
      <c r="HTA28" s="71"/>
      <c r="HTB28" s="71"/>
      <c r="HTC28" s="71"/>
      <c r="HTD28" s="71"/>
      <c r="HTE28" s="71"/>
      <c r="HTF28" s="71"/>
      <c r="HTG28" s="71"/>
      <c r="HTH28" s="71"/>
      <c r="HTI28" s="71"/>
      <c r="HTJ28" s="71"/>
      <c r="HTK28" s="71"/>
      <c r="HTL28" s="71"/>
      <c r="HTM28" s="71"/>
      <c r="HTN28" s="71"/>
      <c r="HTO28" s="71"/>
      <c r="HTP28" s="71"/>
      <c r="HTQ28" s="71"/>
      <c r="HTR28" s="71"/>
      <c r="HTS28" s="71"/>
      <c r="HTT28" s="71"/>
      <c r="HTU28" s="71"/>
      <c r="HTV28" s="71"/>
      <c r="HTW28" s="71"/>
      <c r="HTX28" s="71"/>
      <c r="HTY28" s="71"/>
      <c r="HTZ28" s="71"/>
      <c r="HUA28" s="71"/>
      <c r="HUB28" s="71"/>
      <c r="HUC28" s="71"/>
      <c r="HUD28" s="71"/>
      <c r="HUE28" s="71"/>
      <c r="HUF28" s="71"/>
      <c r="HUG28" s="71"/>
      <c r="HUH28" s="71"/>
      <c r="HUI28" s="71"/>
      <c r="HUJ28" s="71"/>
      <c r="HUK28" s="71"/>
      <c r="HUL28" s="71"/>
      <c r="HUM28" s="71"/>
      <c r="HUN28" s="71"/>
      <c r="HUO28" s="71"/>
      <c r="HUP28" s="71"/>
      <c r="HUQ28" s="71"/>
      <c r="HUR28" s="71"/>
      <c r="HUS28" s="71"/>
      <c r="HUT28" s="71"/>
      <c r="HUU28" s="71"/>
      <c r="HUV28" s="71"/>
      <c r="HUW28" s="71"/>
      <c r="HUX28" s="71"/>
      <c r="HUY28" s="71"/>
      <c r="HUZ28" s="71"/>
      <c r="HVA28" s="71"/>
      <c r="HVB28" s="71"/>
      <c r="HVC28" s="71"/>
      <c r="HVD28" s="71"/>
      <c r="HVE28" s="71"/>
      <c r="HVF28" s="71"/>
      <c r="HVG28" s="71"/>
      <c r="HVH28" s="71"/>
      <c r="HVI28" s="71"/>
      <c r="HVJ28" s="71"/>
      <c r="HVK28" s="71"/>
      <c r="HVL28" s="71"/>
      <c r="HVM28" s="71"/>
      <c r="HVN28" s="71"/>
      <c r="HVO28" s="71"/>
      <c r="HVP28" s="71"/>
      <c r="HVQ28" s="71"/>
      <c r="HVR28" s="71"/>
      <c r="HVS28" s="71"/>
      <c r="HVT28" s="71"/>
      <c r="HVU28" s="71"/>
      <c r="HVV28" s="71"/>
      <c r="HVW28" s="71"/>
      <c r="HVX28" s="71"/>
      <c r="HVY28" s="71"/>
      <c r="HVZ28" s="71"/>
      <c r="HWA28" s="71"/>
      <c r="HWB28" s="71"/>
      <c r="HWC28" s="71"/>
      <c r="HWD28" s="71"/>
      <c r="HWE28" s="71"/>
      <c r="HWF28" s="71"/>
      <c r="HWG28" s="71"/>
      <c r="HWH28" s="71"/>
      <c r="HWI28" s="71"/>
      <c r="HWJ28" s="71"/>
      <c r="HWK28" s="71"/>
      <c r="HWL28" s="71"/>
      <c r="HWM28" s="71"/>
      <c r="HWN28" s="71"/>
      <c r="HWO28" s="71"/>
      <c r="HWP28" s="71"/>
      <c r="HWQ28" s="71"/>
      <c r="HWR28" s="71"/>
      <c r="HWS28" s="71"/>
      <c r="HWT28" s="71"/>
      <c r="HWU28" s="71"/>
      <c r="HWV28" s="71"/>
      <c r="HWW28" s="71"/>
      <c r="HWX28" s="71"/>
      <c r="HWY28" s="71"/>
      <c r="HWZ28" s="71"/>
      <c r="HXA28" s="71"/>
      <c r="HXB28" s="71"/>
      <c r="HXC28" s="71"/>
      <c r="HXD28" s="71"/>
      <c r="HXE28" s="71"/>
      <c r="HXF28" s="71"/>
      <c r="HXG28" s="71"/>
      <c r="HXH28" s="71"/>
      <c r="HXI28" s="71"/>
      <c r="HXJ28" s="71"/>
      <c r="HXK28" s="71"/>
      <c r="HXL28" s="71"/>
      <c r="HXM28" s="71"/>
      <c r="HXN28" s="71"/>
      <c r="HXO28" s="71"/>
      <c r="HXP28" s="71"/>
      <c r="HXQ28" s="71"/>
      <c r="HXR28" s="71"/>
      <c r="HXS28" s="71"/>
      <c r="HXT28" s="71"/>
      <c r="HXU28" s="71"/>
      <c r="HXV28" s="71"/>
      <c r="HXW28" s="71"/>
      <c r="HXX28" s="71"/>
      <c r="HXY28" s="71"/>
      <c r="HXZ28" s="71"/>
      <c r="HYA28" s="71"/>
      <c r="HYB28" s="71"/>
      <c r="HYC28" s="71"/>
      <c r="HYD28" s="71"/>
      <c r="HYE28" s="71"/>
      <c r="HYF28" s="71"/>
      <c r="HYG28" s="71"/>
      <c r="HYH28" s="71"/>
      <c r="HYI28" s="71"/>
      <c r="HYJ28" s="71"/>
      <c r="HYK28" s="71"/>
      <c r="HYL28" s="71"/>
      <c r="HYM28" s="71"/>
      <c r="HYN28" s="71"/>
      <c r="HYO28" s="71"/>
      <c r="HYP28" s="71"/>
      <c r="HYQ28" s="71"/>
      <c r="HYR28" s="71"/>
      <c r="HYS28" s="71"/>
      <c r="HYT28" s="71"/>
      <c r="HYU28" s="71"/>
      <c r="HYV28" s="71"/>
      <c r="HYW28" s="71"/>
      <c r="HYX28" s="71"/>
      <c r="HYY28" s="71"/>
      <c r="HYZ28" s="71"/>
      <c r="HZA28" s="71"/>
      <c r="HZB28" s="71"/>
      <c r="HZC28" s="71"/>
      <c r="HZD28" s="71"/>
      <c r="HZE28" s="71"/>
      <c r="HZF28" s="71"/>
      <c r="HZG28" s="71"/>
      <c r="HZH28" s="71"/>
      <c r="HZI28" s="71"/>
      <c r="HZJ28" s="71"/>
      <c r="HZK28" s="71"/>
      <c r="HZL28" s="71"/>
      <c r="HZM28" s="71"/>
      <c r="HZN28" s="71"/>
      <c r="HZO28" s="71"/>
      <c r="HZP28" s="71"/>
      <c r="HZQ28" s="71"/>
      <c r="HZR28" s="71"/>
      <c r="HZS28" s="71"/>
      <c r="HZT28" s="71"/>
      <c r="HZU28" s="71"/>
      <c r="HZV28" s="71"/>
      <c r="HZW28" s="71"/>
      <c r="HZX28" s="71"/>
      <c r="HZY28" s="71"/>
      <c r="HZZ28" s="71"/>
      <c r="IAA28" s="71"/>
      <c r="IAB28" s="71"/>
      <c r="IAC28" s="71"/>
      <c r="IAD28" s="71"/>
      <c r="IAE28" s="71"/>
      <c r="IAF28" s="71"/>
      <c r="IAG28" s="71"/>
      <c r="IAH28" s="71"/>
      <c r="IAI28" s="71"/>
      <c r="IAJ28" s="71"/>
      <c r="IAK28" s="71"/>
      <c r="IAL28" s="71"/>
      <c r="IAM28" s="71"/>
      <c r="IAN28" s="71"/>
      <c r="IAO28" s="71"/>
      <c r="IAP28" s="71"/>
      <c r="IAQ28" s="71"/>
      <c r="IAR28" s="71"/>
      <c r="IAS28" s="71"/>
      <c r="IAT28" s="71"/>
      <c r="IAU28" s="71"/>
      <c r="IAV28" s="71"/>
      <c r="IAW28" s="71"/>
      <c r="IAX28" s="71"/>
      <c r="IAY28" s="71"/>
      <c r="IAZ28" s="71"/>
      <c r="IBA28" s="71"/>
      <c r="IBB28" s="71"/>
      <c r="IBC28" s="71"/>
      <c r="IBD28" s="71"/>
      <c r="IBE28" s="71"/>
      <c r="IBF28" s="71"/>
      <c r="IBG28" s="71"/>
      <c r="IBH28" s="71"/>
      <c r="IBI28" s="71"/>
      <c r="IBJ28" s="71"/>
      <c r="IBK28" s="71"/>
      <c r="IBL28" s="71"/>
      <c r="IBM28" s="71"/>
      <c r="IBN28" s="71"/>
      <c r="IBO28" s="71"/>
      <c r="IBP28" s="71"/>
      <c r="IBQ28" s="71"/>
      <c r="IBR28" s="71"/>
      <c r="IBS28" s="71"/>
      <c r="IBT28" s="71"/>
      <c r="IBU28" s="71"/>
      <c r="IBV28" s="71"/>
      <c r="IBW28" s="71"/>
      <c r="IBX28" s="71"/>
      <c r="IBY28" s="71"/>
      <c r="IBZ28" s="71"/>
      <c r="ICA28" s="71"/>
      <c r="ICB28" s="71"/>
      <c r="ICC28" s="71"/>
      <c r="ICD28" s="71"/>
      <c r="ICE28" s="71"/>
      <c r="ICF28" s="71"/>
      <c r="ICG28" s="71"/>
      <c r="ICH28" s="71"/>
      <c r="ICI28" s="71"/>
      <c r="ICJ28" s="71"/>
      <c r="ICK28" s="71"/>
      <c r="ICL28" s="71"/>
      <c r="ICM28" s="71"/>
      <c r="ICN28" s="71"/>
      <c r="ICO28" s="71"/>
      <c r="ICP28" s="71"/>
      <c r="ICQ28" s="71"/>
      <c r="ICR28" s="71"/>
      <c r="ICS28" s="71"/>
      <c r="ICT28" s="71"/>
      <c r="ICU28" s="71"/>
      <c r="ICV28" s="71"/>
      <c r="ICW28" s="71"/>
      <c r="ICX28" s="71"/>
      <c r="ICY28" s="71"/>
      <c r="ICZ28" s="71"/>
      <c r="IDA28" s="71"/>
      <c r="IDB28" s="71"/>
      <c r="IDC28" s="71"/>
      <c r="IDD28" s="71"/>
      <c r="IDE28" s="71"/>
      <c r="IDF28" s="71"/>
      <c r="IDG28" s="71"/>
      <c r="IDH28" s="71"/>
      <c r="IDI28" s="71"/>
      <c r="IDJ28" s="71"/>
      <c r="IDK28" s="71"/>
      <c r="IDL28" s="71"/>
      <c r="IDM28" s="71"/>
      <c r="IDN28" s="71"/>
      <c r="IDO28" s="71"/>
      <c r="IDP28" s="71"/>
      <c r="IDQ28" s="71"/>
      <c r="IDR28" s="71"/>
      <c r="IDS28" s="71"/>
      <c r="IDT28" s="71"/>
      <c r="IDU28" s="71"/>
      <c r="IDV28" s="71"/>
      <c r="IDW28" s="71"/>
      <c r="IDX28" s="71"/>
      <c r="IDY28" s="71"/>
      <c r="IDZ28" s="71"/>
      <c r="IEA28" s="71"/>
      <c r="IEB28" s="71"/>
      <c r="IEC28" s="71"/>
      <c r="IED28" s="71"/>
      <c r="IEE28" s="71"/>
      <c r="IEF28" s="71"/>
      <c r="IEG28" s="71"/>
      <c r="IEH28" s="71"/>
      <c r="IEI28" s="71"/>
      <c r="IEJ28" s="71"/>
      <c r="IEK28" s="71"/>
      <c r="IEL28" s="71"/>
      <c r="IEM28" s="71"/>
      <c r="IEN28" s="71"/>
      <c r="IEO28" s="71"/>
      <c r="IEP28" s="71"/>
      <c r="IEQ28" s="71"/>
      <c r="IER28" s="71"/>
      <c r="IES28" s="71"/>
      <c r="IET28" s="71"/>
      <c r="IEU28" s="71"/>
      <c r="IEV28" s="71"/>
      <c r="IEW28" s="71"/>
      <c r="IEX28" s="71"/>
      <c r="IEY28" s="71"/>
      <c r="IEZ28" s="71"/>
      <c r="IFA28" s="71"/>
      <c r="IFB28" s="71"/>
      <c r="IFC28" s="71"/>
      <c r="IFD28" s="71"/>
      <c r="IFE28" s="71"/>
      <c r="IFF28" s="71"/>
      <c r="IFG28" s="71"/>
      <c r="IFH28" s="71"/>
      <c r="IFI28" s="71"/>
      <c r="IFJ28" s="71"/>
      <c r="IFK28" s="71"/>
      <c r="IFL28" s="71"/>
      <c r="IFM28" s="71"/>
      <c r="IFN28" s="71"/>
      <c r="IFO28" s="71"/>
      <c r="IFP28" s="71"/>
      <c r="IFQ28" s="71"/>
      <c r="IFR28" s="71"/>
      <c r="IFS28" s="71"/>
      <c r="IFT28" s="71"/>
      <c r="IFU28" s="71"/>
      <c r="IFV28" s="71"/>
      <c r="IFW28" s="71"/>
      <c r="IFX28" s="71"/>
      <c r="IFY28" s="71"/>
      <c r="IFZ28" s="71"/>
      <c r="IGA28" s="71"/>
      <c r="IGB28" s="71"/>
      <c r="IGC28" s="71"/>
      <c r="IGD28" s="71"/>
      <c r="IGE28" s="71"/>
      <c r="IGF28" s="71"/>
      <c r="IGG28" s="71"/>
      <c r="IGH28" s="71"/>
      <c r="IGI28" s="71"/>
      <c r="IGJ28" s="71"/>
      <c r="IGK28" s="71"/>
      <c r="IGL28" s="71"/>
      <c r="IGM28" s="71"/>
      <c r="IGN28" s="71"/>
      <c r="IGO28" s="71"/>
      <c r="IGP28" s="71"/>
      <c r="IGQ28" s="71"/>
      <c r="IGR28" s="71"/>
      <c r="IGS28" s="71"/>
      <c r="IGT28" s="71"/>
      <c r="IGU28" s="71"/>
      <c r="IGV28" s="71"/>
      <c r="IGW28" s="71"/>
      <c r="IGX28" s="71"/>
      <c r="IGY28" s="71"/>
      <c r="IGZ28" s="71"/>
      <c r="IHA28" s="71"/>
      <c r="IHB28" s="71"/>
      <c r="IHC28" s="71"/>
      <c r="IHD28" s="71"/>
      <c r="IHE28" s="71"/>
      <c r="IHF28" s="71"/>
      <c r="IHG28" s="71"/>
      <c r="IHH28" s="71"/>
      <c r="IHI28" s="71"/>
      <c r="IHJ28" s="71"/>
      <c r="IHK28" s="71"/>
      <c r="IHL28" s="71"/>
      <c r="IHM28" s="71"/>
      <c r="IHN28" s="71"/>
      <c r="IHO28" s="71"/>
      <c r="IHP28" s="71"/>
      <c r="IHQ28" s="71"/>
      <c r="IHR28" s="71"/>
      <c r="IHS28" s="71"/>
      <c r="IHT28" s="71"/>
      <c r="IHU28" s="71"/>
      <c r="IHV28" s="71"/>
      <c r="IHW28" s="71"/>
      <c r="IHX28" s="71"/>
      <c r="IHY28" s="71"/>
      <c r="IHZ28" s="71"/>
      <c r="IIA28" s="71"/>
      <c r="IIB28" s="71"/>
      <c r="IIC28" s="71"/>
      <c r="IID28" s="71"/>
      <c r="IIE28" s="71"/>
      <c r="IIF28" s="71"/>
      <c r="IIG28" s="71"/>
      <c r="IIH28" s="71"/>
      <c r="III28" s="71"/>
      <c r="IIJ28" s="71"/>
      <c r="IIK28" s="71"/>
      <c r="IIL28" s="71"/>
      <c r="IIM28" s="71"/>
      <c r="IIN28" s="71"/>
      <c r="IIO28" s="71"/>
      <c r="IIP28" s="71"/>
      <c r="IIQ28" s="71"/>
      <c r="IIR28" s="71"/>
      <c r="IIS28" s="71"/>
      <c r="IIT28" s="71"/>
      <c r="IIU28" s="71"/>
      <c r="IIV28" s="71"/>
      <c r="IIW28" s="71"/>
      <c r="IIX28" s="71"/>
      <c r="IIY28" s="71"/>
      <c r="IIZ28" s="71"/>
      <c r="IJA28" s="71"/>
      <c r="IJB28" s="71"/>
      <c r="IJC28" s="71"/>
      <c r="IJD28" s="71"/>
      <c r="IJE28" s="71"/>
      <c r="IJF28" s="71"/>
      <c r="IJG28" s="71"/>
      <c r="IJH28" s="71"/>
      <c r="IJI28" s="71"/>
      <c r="IJJ28" s="71"/>
      <c r="IJK28" s="71"/>
      <c r="IJL28" s="71"/>
      <c r="IJM28" s="71"/>
      <c r="IJN28" s="71"/>
      <c r="IJO28" s="71"/>
      <c r="IJP28" s="71"/>
      <c r="IJQ28" s="71"/>
      <c r="IJR28" s="71"/>
      <c r="IJS28" s="71"/>
      <c r="IJT28" s="71"/>
      <c r="IJU28" s="71"/>
      <c r="IJV28" s="71"/>
      <c r="IJW28" s="71"/>
      <c r="IJX28" s="71"/>
      <c r="IJY28" s="71"/>
      <c r="IJZ28" s="71"/>
      <c r="IKA28" s="71"/>
      <c r="IKB28" s="71"/>
      <c r="IKC28" s="71"/>
      <c r="IKD28" s="71"/>
      <c r="IKE28" s="71"/>
      <c r="IKF28" s="71"/>
      <c r="IKG28" s="71"/>
      <c r="IKH28" s="71"/>
      <c r="IKI28" s="71"/>
      <c r="IKJ28" s="71"/>
      <c r="IKK28" s="71"/>
      <c r="IKL28" s="71"/>
      <c r="IKM28" s="71"/>
      <c r="IKN28" s="71"/>
      <c r="IKO28" s="71"/>
      <c r="IKP28" s="71"/>
      <c r="IKQ28" s="71"/>
      <c r="IKR28" s="71"/>
      <c r="IKS28" s="71"/>
      <c r="IKT28" s="71"/>
      <c r="IKU28" s="71"/>
      <c r="IKV28" s="71"/>
      <c r="IKW28" s="71"/>
      <c r="IKX28" s="71"/>
      <c r="IKY28" s="71"/>
      <c r="IKZ28" s="71"/>
      <c r="ILA28" s="71"/>
      <c r="ILB28" s="71"/>
      <c r="ILC28" s="71"/>
      <c r="ILD28" s="71"/>
      <c r="ILE28" s="71"/>
      <c r="ILF28" s="71"/>
      <c r="ILG28" s="71"/>
      <c r="ILH28" s="71"/>
      <c r="ILI28" s="71"/>
      <c r="ILJ28" s="71"/>
      <c r="ILK28" s="71"/>
      <c r="ILL28" s="71"/>
      <c r="ILM28" s="71"/>
      <c r="ILN28" s="71"/>
      <c r="ILO28" s="71"/>
      <c r="ILP28" s="71"/>
      <c r="ILQ28" s="71"/>
      <c r="ILR28" s="71"/>
      <c r="ILS28" s="71"/>
      <c r="ILT28" s="71"/>
      <c r="ILU28" s="71"/>
      <c r="ILV28" s="71"/>
      <c r="ILW28" s="71"/>
      <c r="ILX28" s="71"/>
      <c r="ILY28" s="71"/>
      <c r="ILZ28" s="71"/>
      <c r="IMA28" s="71"/>
      <c r="IMB28" s="71"/>
      <c r="IMC28" s="71"/>
      <c r="IMD28" s="71"/>
      <c r="IME28" s="71"/>
      <c r="IMF28" s="71"/>
      <c r="IMG28" s="71"/>
      <c r="IMH28" s="71"/>
      <c r="IMI28" s="71"/>
      <c r="IMJ28" s="71"/>
      <c r="IMK28" s="71"/>
      <c r="IML28" s="71"/>
      <c r="IMM28" s="71"/>
      <c r="IMN28" s="71"/>
      <c r="IMO28" s="71"/>
      <c r="IMP28" s="71"/>
      <c r="IMQ28" s="71"/>
      <c r="IMR28" s="71"/>
      <c r="IMS28" s="71"/>
      <c r="IMT28" s="71"/>
      <c r="IMU28" s="71"/>
      <c r="IMV28" s="71"/>
      <c r="IMW28" s="71"/>
      <c r="IMX28" s="71"/>
      <c r="IMY28" s="71"/>
      <c r="IMZ28" s="71"/>
      <c r="INA28" s="71"/>
      <c r="INB28" s="71"/>
      <c r="INC28" s="71"/>
      <c r="IND28" s="71"/>
      <c r="INE28" s="71"/>
      <c r="INF28" s="71"/>
      <c r="ING28" s="71"/>
      <c r="INH28" s="71"/>
      <c r="INI28" s="71"/>
      <c r="INJ28" s="71"/>
      <c r="INK28" s="71"/>
      <c r="INL28" s="71"/>
      <c r="INM28" s="71"/>
      <c r="INN28" s="71"/>
      <c r="INO28" s="71"/>
      <c r="INP28" s="71"/>
      <c r="INQ28" s="71"/>
      <c r="INR28" s="71"/>
      <c r="INS28" s="71"/>
      <c r="INT28" s="71"/>
      <c r="INU28" s="71"/>
      <c r="INV28" s="71"/>
      <c r="INW28" s="71"/>
      <c r="INX28" s="71"/>
      <c r="INY28" s="71"/>
      <c r="INZ28" s="71"/>
      <c r="IOA28" s="71"/>
      <c r="IOB28" s="71"/>
      <c r="IOC28" s="71"/>
      <c r="IOD28" s="71"/>
      <c r="IOE28" s="71"/>
      <c r="IOF28" s="71"/>
      <c r="IOG28" s="71"/>
      <c r="IOH28" s="71"/>
      <c r="IOI28" s="71"/>
      <c r="IOJ28" s="71"/>
      <c r="IOK28" s="71"/>
      <c r="IOL28" s="71"/>
      <c r="IOM28" s="71"/>
      <c r="ION28" s="71"/>
      <c r="IOO28" s="71"/>
      <c r="IOP28" s="71"/>
      <c r="IOQ28" s="71"/>
      <c r="IOR28" s="71"/>
      <c r="IOS28" s="71"/>
      <c r="IOT28" s="71"/>
      <c r="IOU28" s="71"/>
      <c r="IOV28" s="71"/>
      <c r="IOW28" s="71"/>
      <c r="IOX28" s="71"/>
      <c r="IOY28" s="71"/>
      <c r="IOZ28" s="71"/>
      <c r="IPA28" s="71"/>
      <c r="IPB28" s="71"/>
      <c r="IPC28" s="71"/>
      <c r="IPD28" s="71"/>
      <c r="IPE28" s="71"/>
      <c r="IPF28" s="71"/>
      <c r="IPG28" s="71"/>
      <c r="IPH28" s="71"/>
      <c r="IPI28" s="71"/>
      <c r="IPJ28" s="71"/>
      <c r="IPK28" s="71"/>
      <c r="IPL28" s="71"/>
      <c r="IPM28" s="71"/>
      <c r="IPN28" s="71"/>
      <c r="IPO28" s="71"/>
      <c r="IPP28" s="71"/>
      <c r="IPQ28" s="71"/>
      <c r="IPR28" s="71"/>
      <c r="IPS28" s="71"/>
      <c r="IPT28" s="71"/>
      <c r="IPU28" s="71"/>
      <c r="IPV28" s="71"/>
      <c r="IPW28" s="71"/>
      <c r="IPX28" s="71"/>
      <c r="IPY28" s="71"/>
      <c r="IPZ28" s="71"/>
      <c r="IQA28" s="71"/>
      <c r="IQB28" s="71"/>
      <c r="IQC28" s="71"/>
      <c r="IQD28" s="71"/>
      <c r="IQE28" s="71"/>
      <c r="IQF28" s="71"/>
      <c r="IQG28" s="71"/>
      <c r="IQH28" s="71"/>
      <c r="IQI28" s="71"/>
      <c r="IQJ28" s="71"/>
      <c r="IQK28" s="71"/>
      <c r="IQL28" s="71"/>
      <c r="IQM28" s="71"/>
      <c r="IQN28" s="71"/>
      <c r="IQO28" s="71"/>
      <c r="IQP28" s="71"/>
      <c r="IQQ28" s="71"/>
      <c r="IQR28" s="71"/>
      <c r="IQS28" s="71"/>
      <c r="IQT28" s="71"/>
      <c r="IQU28" s="71"/>
      <c r="IQV28" s="71"/>
      <c r="IQW28" s="71"/>
      <c r="IQX28" s="71"/>
      <c r="IQY28" s="71"/>
      <c r="IQZ28" s="71"/>
      <c r="IRA28" s="71"/>
      <c r="IRB28" s="71"/>
      <c r="IRC28" s="71"/>
      <c r="IRD28" s="71"/>
      <c r="IRE28" s="71"/>
      <c r="IRF28" s="71"/>
      <c r="IRG28" s="71"/>
      <c r="IRH28" s="71"/>
      <c r="IRI28" s="71"/>
      <c r="IRJ28" s="71"/>
      <c r="IRK28" s="71"/>
      <c r="IRL28" s="71"/>
      <c r="IRM28" s="71"/>
      <c r="IRN28" s="71"/>
      <c r="IRO28" s="71"/>
      <c r="IRP28" s="71"/>
      <c r="IRQ28" s="71"/>
      <c r="IRR28" s="71"/>
      <c r="IRS28" s="71"/>
      <c r="IRT28" s="71"/>
      <c r="IRU28" s="71"/>
      <c r="IRV28" s="71"/>
      <c r="IRW28" s="71"/>
      <c r="IRX28" s="71"/>
      <c r="IRY28" s="71"/>
      <c r="IRZ28" s="71"/>
      <c r="ISA28" s="71"/>
      <c r="ISB28" s="71"/>
      <c r="ISC28" s="71"/>
      <c r="ISD28" s="71"/>
      <c r="ISE28" s="71"/>
      <c r="ISF28" s="71"/>
      <c r="ISG28" s="71"/>
      <c r="ISH28" s="71"/>
      <c r="ISI28" s="71"/>
      <c r="ISJ28" s="71"/>
      <c r="ISK28" s="71"/>
      <c r="ISL28" s="71"/>
      <c r="ISM28" s="71"/>
      <c r="ISN28" s="71"/>
      <c r="ISO28" s="71"/>
      <c r="ISP28" s="71"/>
      <c r="ISQ28" s="71"/>
      <c r="ISR28" s="71"/>
      <c r="ISS28" s="71"/>
      <c r="IST28" s="71"/>
      <c r="ISU28" s="71"/>
      <c r="ISV28" s="71"/>
      <c r="ISW28" s="71"/>
      <c r="ISX28" s="71"/>
      <c r="ISY28" s="71"/>
      <c r="ISZ28" s="71"/>
      <c r="ITA28" s="71"/>
      <c r="ITB28" s="71"/>
      <c r="ITC28" s="71"/>
      <c r="ITD28" s="71"/>
      <c r="ITE28" s="71"/>
      <c r="ITF28" s="71"/>
      <c r="ITG28" s="71"/>
      <c r="ITH28" s="71"/>
      <c r="ITI28" s="71"/>
      <c r="ITJ28" s="71"/>
      <c r="ITK28" s="71"/>
      <c r="ITL28" s="71"/>
      <c r="ITM28" s="71"/>
      <c r="ITN28" s="71"/>
      <c r="ITO28" s="71"/>
      <c r="ITP28" s="71"/>
      <c r="ITQ28" s="71"/>
      <c r="ITR28" s="71"/>
      <c r="ITS28" s="71"/>
      <c r="ITT28" s="71"/>
      <c r="ITU28" s="71"/>
      <c r="ITV28" s="71"/>
      <c r="ITW28" s="71"/>
      <c r="ITX28" s="71"/>
      <c r="ITY28" s="71"/>
      <c r="ITZ28" s="71"/>
      <c r="IUA28" s="71"/>
      <c r="IUB28" s="71"/>
      <c r="IUC28" s="71"/>
      <c r="IUD28" s="71"/>
      <c r="IUE28" s="71"/>
      <c r="IUF28" s="71"/>
      <c r="IUG28" s="71"/>
      <c r="IUH28" s="71"/>
      <c r="IUI28" s="71"/>
      <c r="IUJ28" s="71"/>
      <c r="IUK28" s="71"/>
      <c r="IUL28" s="71"/>
      <c r="IUM28" s="71"/>
      <c r="IUN28" s="71"/>
      <c r="IUO28" s="71"/>
      <c r="IUP28" s="71"/>
      <c r="IUQ28" s="71"/>
      <c r="IUR28" s="71"/>
      <c r="IUS28" s="71"/>
      <c r="IUT28" s="71"/>
      <c r="IUU28" s="71"/>
      <c r="IUV28" s="71"/>
      <c r="IUW28" s="71"/>
      <c r="IUX28" s="71"/>
      <c r="IUY28" s="71"/>
      <c r="IUZ28" s="71"/>
      <c r="IVA28" s="71"/>
      <c r="IVB28" s="71"/>
      <c r="IVC28" s="71"/>
      <c r="IVD28" s="71"/>
      <c r="IVE28" s="71"/>
      <c r="IVF28" s="71"/>
      <c r="IVG28" s="71"/>
      <c r="IVH28" s="71"/>
      <c r="IVI28" s="71"/>
      <c r="IVJ28" s="71"/>
      <c r="IVK28" s="71"/>
      <c r="IVL28" s="71"/>
      <c r="IVM28" s="71"/>
      <c r="IVN28" s="71"/>
      <c r="IVO28" s="71"/>
      <c r="IVP28" s="71"/>
      <c r="IVQ28" s="71"/>
      <c r="IVR28" s="71"/>
      <c r="IVS28" s="71"/>
      <c r="IVT28" s="71"/>
      <c r="IVU28" s="71"/>
      <c r="IVV28" s="71"/>
      <c r="IVW28" s="71"/>
      <c r="IVX28" s="71"/>
      <c r="IVY28" s="71"/>
      <c r="IVZ28" s="71"/>
      <c r="IWA28" s="71"/>
      <c r="IWB28" s="71"/>
      <c r="IWC28" s="71"/>
      <c r="IWD28" s="71"/>
      <c r="IWE28" s="71"/>
      <c r="IWF28" s="71"/>
      <c r="IWG28" s="71"/>
      <c r="IWH28" s="71"/>
      <c r="IWI28" s="71"/>
      <c r="IWJ28" s="71"/>
      <c r="IWK28" s="71"/>
      <c r="IWL28" s="71"/>
      <c r="IWM28" s="71"/>
      <c r="IWN28" s="71"/>
      <c r="IWO28" s="71"/>
      <c r="IWP28" s="71"/>
      <c r="IWQ28" s="71"/>
      <c r="IWR28" s="71"/>
      <c r="IWS28" s="71"/>
      <c r="IWT28" s="71"/>
      <c r="IWU28" s="71"/>
      <c r="IWV28" s="71"/>
      <c r="IWW28" s="71"/>
      <c r="IWX28" s="71"/>
      <c r="IWY28" s="71"/>
      <c r="IWZ28" s="71"/>
      <c r="IXA28" s="71"/>
      <c r="IXB28" s="71"/>
      <c r="IXC28" s="71"/>
      <c r="IXD28" s="71"/>
      <c r="IXE28" s="71"/>
      <c r="IXF28" s="71"/>
      <c r="IXG28" s="71"/>
      <c r="IXH28" s="71"/>
      <c r="IXI28" s="71"/>
      <c r="IXJ28" s="71"/>
      <c r="IXK28" s="71"/>
      <c r="IXL28" s="71"/>
      <c r="IXM28" s="71"/>
      <c r="IXN28" s="71"/>
      <c r="IXO28" s="71"/>
      <c r="IXP28" s="71"/>
      <c r="IXQ28" s="71"/>
      <c r="IXR28" s="71"/>
      <c r="IXS28" s="71"/>
      <c r="IXT28" s="71"/>
      <c r="IXU28" s="71"/>
      <c r="IXV28" s="71"/>
      <c r="IXW28" s="71"/>
      <c r="IXX28" s="71"/>
      <c r="IXY28" s="71"/>
      <c r="IXZ28" s="71"/>
      <c r="IYA28" s="71"/>
      <c r="IYB28" s="71"/>
      <c r="IYC28" s="71"/>
      <c r="IYD28" s="71"/>
      <c r="IYE28" s="71"/>
      <c r="IYF28" s="71"/>
      <c r="IYG28" s="71"/>
      <c r="IYH28" s="71"/>
      <c r="IYI28" s="71"/>
      <c r="IYJ28" s="71"/>
      <c r="IYK28" s="71"/>
      <c r="IYL28" s="71"/>
      <c r="IYM28" s="71"/>
      <c r="IYN28" s="71"/>
      <c r="IYO28" s="71"/>
      <c r="IYP28" s="71"/>
      <c r="IYQ28" s="71"/>
      <c r="IYR28" s="71"/>
      <c r="IYS28" s="71"/>
      <c r="IYT28" s="71"/>
      <c r="IYU28" s="71"/>
      <c r="IYV28" s="71"/>
      <c r="IYW28" s="71"/>
      <c r="IYX28" s="71"/>
      <c r="IYY28" s="71"/>
      <c r="IYZ28" s="71"/>
      <c r="IZA28" s="71"/>
      <c r="IZB28" s="71"/>
      <c r="IZC28" s="71"/>
      <c r="IZD28" s="71"/>
      <c r="IZE28" s="71"/>
      <c r="IZF28" s="71"/>
      <c r="IZG28" s="71"/>
      <c r="IZH28" s="71"/>
      <c r="IZI28" s="71"/>
      <c r="IZJ28" s="71"/>
      <c r="IZK28" s="71"/>
      <c r="IZL28" s="71"/>
      <c r="IZM28" s="71"/>
      <c r="IZN28" s="71"/>
      <c r="IZO28" s="71"/>
      <c r="IZP28" s="71"/>
      <c r="IZQ28" s="71"/>
      <c r="IZR28" s="71"/>
      <c r="IZS28" s="71"/>
      <c r="IZT28" s="71"/>
      <c r="IZU28" s="71"/>
      <c r="IZV28" s="71"/>
      <c r="IZW28" s="71"/>
      <c r="IZX28" s="71"/>
      <c r="IZY28" s="71"/>
      <c r="IZZ28" s="71"/>
      <c r="JAA28" s="71"/>
      <c r="JAB28" s="71"/>
      <c r="JAC28" s="71"/>
      <c r="JAD28" s="71"/>
      <c r="JAE28" s="71"/>
      <c r="JAF28" s="71"/>
      <c r="JAG28" s="71"/>
      <c r="JAH28" s="71"/>
      <c r="JAI28" s="71"/>
      <c r="JAJ28" s="71"/>
      <c r="JAK28" s="71"/>
      <c r="JAL28" s="71"/>
      <c r="JAM28" s="71"/>
      <c r="JAN28" s="71"/>
      <c r="JAO28" s="71"/>
      <c r="JAP28" s="71"/>
      <c r="JAQ28" s="71"/>
      <c r="JAR28" s="71"/>
      <c r="JAS28" s="71"/>
      <c r="JAT28" s="71"/>
      <c r="JAU28" s="71"/>
      <c r="JAV28" s="71"/>
      <c r="JAW28" s="71"/>
      <c r="JAX28" s="71"/>
      <c r="JAY28" s="71"/>
      <c r="JAZ28" s="71"/>
      <c r="JBA28" s="71"/>
      <c r="JBB28" s="71"/>
      <c r="JBC28" s="71"/>
      <c r="JBD28" s="71"/>
      <c r="JBE28" s="71"/>
      <c r="JBF28" s="71"/>
      <c r="JBG28" s="71"/>
      <c r="JBH28" s="71"/>
      <c r="JBI28" s="71"/>
      <c r="JBJ28" s="71"/>
      <c r="JBK28" s="71"/>
      <c r="JBL28" s="71"/>
      <c r="JBM28" s="71"/>
      <c r="JBN28" s="71"/>
      <c r="JBO28" s="71"/>
      <c r="JBP28" s="71"/>
      <c r="JBQ28" s="71"/>
      <c r="JBR28" s="71"/>
      <c r="JBS28" s="71"/>
      <c r="JBT28" s="71"/>
      <c r="JBU28" s="71"/>
      <c r="JBV28" s="71"/>
      <c r="JBW28" s="71"/>
      <c r="JBX28" s="71"/>
      <c r="JBY28" s="71"/>
      <c r="JBZ28" s="71"/>
      <c r="JCA28" s="71"/>
      <c r="JCB28" s="71"/>
      <c r="JCC28" s="71"/>
      <c r="JCD28" s="71"/>
      <c r="JCE28" s="71"/>
      <c r="JCF28" s="71"/>
      <c r="JCG28" s="71"/>
      <c r="JCH28" s="71"/>
      <c r="JCI28" s="71"/>
      <c r="JCJ28" s="71"/>
      <c r="JCK28" s="71"/>
      <c r="JCL28" s="71"/>
      <c r="JCM28" s="71"/>
      <c r="JCN28" s="71"/>
      <c r="JCO28" s="71"/>
      <c r="JCP28" s="71"/>
      <c r="JCQ28" s="71"/>
      <c r="JCR28" s="71"/>
      <c r="JCS28" s="71"/>
      <c r="JCT28" s="71"/>
      <c r="JCU28" s="71"/>
      <c r="JCV28" s="71"/>
      <c r="JCW28" s="71"/>
      <c r="JCX28" s="71"/>
      <c r="JCY28" s="71"/>
      <c r="JCZ28" s="71"/>
      <c r="JDA28" s="71"/>
      <c r="JDB28" s="71"/>
      <c r="JDC28" s="71"/>
      <c r="JDD28" s="71"/>
      <c r="JDE28" s="71"/>
      <c r="JDF28" s="71"/>
      <c r="JDG28" s="71"/>
      <c r="JDH28" s="71"/>
      <c r="JDI28" s="71"/>
      <c r="JDJ28" s="71"/>
      <c r="JDK28" s="71"/>
      <c r="JDL28" s="71"/>
      <c r="JDM28" s="71"/>
      <c r="JDN28" s="71"/>
      <c r="JDO28" s="71"/>
      <c r="JDP28" s="71"/>
      <c r="JDQ28" s="71"/>
      <c r="JDR28" s="71"/>
      <c r="JDS28" s="71"/>
      <c r="JDT28" s="71"/>
      <c r="JDU28" s="71"/>
      <c r="JDV28" s="71"/>
      <c r="JDW28" s="71"/>
      <c r="JDX28" s="71"/>
      <c r="JDY28" s="71"/>
      <c r="JDZ28" s="71"/>
      <c r="JEA28" s="71"/>
      <c r="JEB28" s="71"/>
      <c r="JEC28" s="71"/>
      <c r="JED28" s="71"/>
      <c r="JEE28" s="71"/>
      <c r="JEF28" s="71"/>
      <c r="JEG28" s="71"/>
      <c r="JEH28" s="71"/>
      <c r="JEI28" s="71"/>
      <c r="JEJ28" s="71"/>
      <c r="JEK28" s="71"/>
      <c r="JEL28" s="71"/>
      <c r="JEM28" s="71"/>
      <c r="JEN28" s="71"/>
      <c r="JEO28" s="71"/>
      <c r="JEP28" s="71"/>
      <c r="JEQ28" s="71"/>
      <c r="JER28" s="71"/>
      <c r="JES28" s="71"/>
      <c r="JET28" s="71"/>
      <c r="JEU28" s="71"/>
      <c r="JEV28" s="71"/>
      <c r="JEW28" s="71"/>
      <c r="JEX28" s="71"/>
      <c r="JEY28" s="71"/>
      <c r="JEZ28" s="71"/>
      <c r="JFA28" s="71"/>
      <c r="JFB28" s="71"/>
      <c r="JFC28" s="71"/>
      <c r="JFD28" s="71"/>
      <c r="JFE28" s="71"/>
      <c r="JFF28" s="71"/>
      <c r="JFG28" s="71"/>
      <c r="JFH28" s="71"/>
      <c r="JFI28" s="71"/>
      <c r="JFJ28" s="71"/>
      <c r="JFK28" s="71"/>
      <c r="JFL28" s="71"/>
      <c r="JFM28" s="71"/>
      <c r="JFN28" s="71"/>
      <c r="JFO28" s="71"/>
      <c r="JFP28" s="71"/>
      <c r="JFQ28" s="71"/>
      <c r="JFR28" s="71"/>
      <c r="JFS28" s="71"/>
      <c r="JFT28" s="71"/>
      <c r="JFU28" s="71"/>
      <c r="JFV28" s="71"/>
      <c r="JFW28" s="71"/>
      <c r="JFX28" s="71"/>
      <c r="JFY28" s="71"/>
      <c r="JFZ28" s="71"/>
      <c r="JGA28" s="71"/>
      <c r="JGB28" s="71"/>
      <c r="JGC28" s="71"/>
      <c r="JGD28" s="71"/>
      <c r="JGE28" s="71"/>
      <c r="JGF28" s="71"/>
      <c r="JGG28" s="71"/>
      <c r="JGH28" s="71"/>
      <c r="JGI28" s="71"/>
      <c r="JGJ28" s="71"/>
      <c r="JGK28" s="71"/>
      <c r="JGL28" s="71"/>
      <c r="JGM28" s="71"/>
      <c r="JGN28" s="71"/>
      <c r="JGO28" s="71"/>
      <c r="JGP28" s="71"/>
      <c r="JGQ28" s="71"/>
      <c r="JGR28" s="71"/>
      <c r="JGS28" s="71"/>
      <c r="JGT28" s="71"/>
      <c r="JGU28" s="71"/>
      <c r="JGV28" s="71"/>
      <c r="JGW28" s="71"/>
      <c r="JGX28" s="71"/>
      <c r="JGY28" s="71"/>
      <c r="JGZ28" s="71"/>
      <c r="JHA28" s="71"/>
      <c r="JHB28" s="71"/>
      <c r="JHC28" s="71"/>
      <c r="JHD28" s="71"/>
      <c r="JHE28" s="71"/>
      <c r="JHF28" s="71"/>
      <c r="JHG28" s="71"/>
      <c r="JHH28" s="71"/>
      <c r="JHI28" s="71"/>
      <c r="JHJ28" s="71"/>
      <c r="JHK28" s="71"/>
      <c r="JHL28" s="71"/>
      <c r="JHM28" s="71"/>
      <c r="JHN28" s="71"/>
      <c r="JHO28" s="71"/>
      <c r="JHP28" s="71"/>
      <c r="JHQ28" s="71"/>
      <c r="JHR28" s="71"/>
      <c r="JHS28" s="71"/>
      <c r="JHT28" s="71"/>
      <c r="JHU28" s="71"/>
      <c r="JHV28" s="71"/>
      <c r="JHW28" s="71"/>
      <c r="JHX28" s="71"/>
      <c r="JHY28" s="71"/>
      <c r="JHZ28" s="71"/>
      <c r="JIA28" s="71"/>
      <c r="JIB28" s="71"/>
      <c r="JIC28" s="71"/>
      <c r="JID28" s="71"/>
      <c r="JIE28" s="71"/>
      <c r="JIF28" s="71"/>
      <c r="JIG28" s="71"/>
      <c r="JIH28" s="71"/>
      <c r="JII28" s="71"/>
      <c r="JIJ28" s="71"/>
      <c r="JIK28" s="71"/>
      <c r="JIL28" s="71"/>
      <c r="JIM28" s="71"/>
      <c r="JIN28" s="71"/>
      <c r="JIO28" s="71"/>
      <c r="JIP28" s="71"/>
      <c r="JIQ28" s="71"/>
      <c r="JIR28" s="71"/>
      <c r="JIS28" s="71"/>
      <c r="JIT28" s="71"/>
      <c r="JIU28" s="71"/>
      <c r="JIV28" s="71"/>
      <c r="JIW28" s="71"/>
      <c r="JIX28" s="71"/>
      <c r="JIY28" s="71"/>
      <c r="JIZ28" s="71"/>
      <c r="JJA28" s="71"/>
      <c r="JJB28" s="71"/>
      <c r="JJC28" s="71"/>
      <c r="JJD28" s="71"/>
      <c r="JJE28" s="71"/>
      <c r="JJF28" s="71"/>
      <c r="JJG28" s="71"/>
      <c r="JJH28" s="71"/>
      <c r="JJI28" s="71"/>
      <c r="JJJ28" s="71"/>
      <c r="JJK28" s="71"/>
      <c r="JJL28" s="71"/>
      <c r="JJM28" s="71"/>
      <c r="JJN28" s="71"/>
      <c r="JJO28" s="71"/>
      <c r="JJP28" s="71"/>
      <c r="JJQ28" s="71"/>
      <c r="JJR28" s="71"/>
      <c r="JJS28" s="71"/>
      <c r="JJT28" s="71"/>
      <c r="JJU28" s="71"/>
      <c r="JJV28" s="71"/>
      <c r="JJW28" s="71"/>
      <c r="JJX28" s="71"/>
      <c r="JJY28" s="71"/>
      <c r="JJZ28" s="71"/>
      <c r="JKA28" s="71"/>
      <c r="JKB28" s="71"/>
      <c r="JKC28" s="71"/>
      <c r="JKD28" s="71"/>
      <c r="JKE28" s="71"/>
      <c r="JKF28" s="71"/>
      <c r="JKG28" s="71"/>
      <c r="JKH28" s="71"/>
      <c r="JKI28" s="71"/>
      <c r="JKJ28" s="71"/>
      <c r="JKK28" s="71"/>
      <c r="JKL28" s="71"/>
      <c r="JKM28" s="71"/>
      <c r="JKN28" s="71"/>
      <c r="JKO28" s="71"/>
      <c r="JKP28" s="71"/>
      <c r="JKQ28" s="71"/>
      <c r="JKR28" s="71"/>
      <c r="JKS28" s="71"/>
      <c r="JKT28" s="71"/>
      <c r="JKU28" s="71"/>
      <c r="JKV28" s="71"/>
      <c r="JKW28" s="71"/>
      <c r="JKX28" s="71"/>
      <c r="JKY28" s="71"/>
      <c r="JKZ28" s="71"/>
      <c r="JLA28" s="71"/>
      <c r="JLB28" s="71"/>
      <c r="JLC28" s="71"/>
      <c r="JLD28" s="71"/>
      <c r="JLE28" s="71"/>
      <c r="JLF28" s="71"/>
      <c r="JLG28" s="71"/>
      <c r="JLH28" s="71"/>
      <c r="JLI28" s="71"/>
      <c r="JLJ28" s="71"/>
      <c r="JLK28" s="71"/>
      <c r="JLL28" s="71"/>
      <c r="JLM28" s="71"/>
      <c r="JLN28" s="71"/>
      <c r="JLO28" s="71"/>
      <c r="JLP28" s="71"/>
      <c r="JLQ28" s="71"/>
      <c r="JLR28" s="71"/>
      <c r="JLS28" s="71"/>
      <c r="JLT28" s="71"/>
      <c r="JLU28" s="71"/>
      <c r="JLV28" s="71"/>
      <c r="JLW28" s="71"/>
      <c r="JLX28" s="71"/>
      <c r="JLY28" s="71"/>
      <c r="JLZ28" s="71"/>
      <c r="JMA28" s="71"/>
      <c r="JMB28" s="71"/>
      <c r="JMC28" s="71"/>
      <c r="JMD28" s="71"/>
      <c r="JME28" s="71"/>
      <c r="JMF28" s="71"/>
      <c r="JMG28" s="71"/>
      <c r="JMH28" s="71"/>
      <c r="JMI28" s="71"/>
      <c r="JMJ28" s="71"/>
      <c r="JMK28" s="71"/>
      <c r="JML28" s="71"/>
      <c r="JMM28" s="71"/>
      <c r="JMN28" s="71"/>
      <c r="JMO28" s="71"/>
      <c r="JMP28" s="71"/>
      <c r="JMQ28" s="71"/>
      <c r="JMR28" s="71"/>
      <c r="JMS28" s="71"/>
      <c r="JMT28" s="71"/>
      <c r="JMU28" s="71"/>
      <c r="JMV28" s="71"/>
      <c r="JMW28" s="71"/>
      <c r="JMX28" s="71"/>
      <c r="JMY28" s="71"/>
      <c r="JMZ28" s="71"/>
      <c r="JNA28" s="71"/>
      <c r="JNB28" s="71"/>
      <c r="JNC28" s="71"/>
      <c r="JND28" s="71"/>
      <c r="JNE28" s="71"/>
      <c r="JNF28" s="71"/>
      <c r="JNG28" s="71"/>
      <c r="JNH28" s="71"/>
      <c r="JNI28" s="71"/>
      <c r="JNJ28" s="71"/>
      <c r="JNK28" s="71"/>
      <c r="JNL28" s="71"/>
      <c r="JNM28" s="71"/>
      <c r="JNN28" s="71"/>
      <c r="JNO28" s="71"/>
      <c r="JNP28" s="71"/>
      <c r="JNQ28" s="71"/>
      <c r="JNR28" s="71"/>
      <c r="JNS28" s="71"/>
      <c r="JNT28" s="71"/>
      <c r="JNU28" s="71"/>
      <c r="JNV28" s="71"/>
      <c r="JNW28" s="71"/>
      <c r="JNX28" s="71"/>
      <c r="JNY28" s="71"/>
      <c r="JNZ28" s="71"/>
      <c r="JOA28" s="71"/>
      <c r="JOB28" s="71"/>
      <c r="JOC28" s="71"/>
      <c r="JOD28" s="71"/>
      <c r="JOE28" s="71"/>
      <c r="JOF28" s="71"/>
      <c r="JOG28" s="71"/>
      <c r="JOH28" s="71"/>
      <c r="JOI28" s="71"/>
      <c r="JOJ28" s="71"/>
      <c r="JOK28" s="71"/>
      <c r="JOL28" s="71"/>
      <c r="JOM28" s="71"/>
      <c r="JON28" s="71"/>
      <c r="JOO28" s="71"/>
      <c r="JOP28" s="71"/>
      <c r="JOQ28" s="71"/>
      <c r="JOR28" s="71"/>
      <c r="JOS28" s="71"/>
      <c r="JOT28" s="71"/>
      <c r="JOU28" s="71"/>
      <c r="JOV28" s="71"/>
      <c r="JOW28" s="71"/>
      <c r="JOX28" s="71"/>
      <c r="JOY28" s="71"/>
      <c r="JOZ28" s="71"/>
      <c r="JPA28" s="71"/>
      <c r="JPB28" s="71"/>
      <c r="JPC28" s="71"/>
      <c r="JPD28" s="71"/>
      <c r="JPE28" s="71"/>
      <c r="JPF28" s="71"/>
      <c r="JPG28" s="71"/>
      <c r="JPH28" s="71"/>
      <c r="JPI28" s="71"/>
      <c r="JPJ28" s="71"/>
      <c r="JPK28" s="71"/>
      <c r="JPL28" s="71"/>
      <c r="JPM28" s="71"/>
      <c r="JPN28" s="71"/>
      <c r="JPO28" s="71"/>
      <c r="JPP28" s="71"/>
      <c r="JPQ28" s="71"/>
      <c r="JPR28" s="71"/>
      <c r="JPS28" s="71"/>
      <c r="JPT28" s="71"/>
      <c r="JPU28" s="71"/>
      <c r="JPV28" s="71"/>
      <c r="JPW28" s="71"/>
      <c r="JPX28" s="71"/>
      <c r="JPY28" s="71"/>
      <c r="JPZ28" s="71"/>
      <c r="JQA28" s="71"/>
      <c r="JQB28" s="71"/>
      <c r="JQC28" s="71"/>
      <c r="JQD28" s="71"/>
      <c r="JQE28" s="71"/>
      <c r="JQF28" s="71"/>
      <c r="JQG28" s="71"/>
      <c r="JQH28" s="71"/>
      <c r="JQI28" s="71"/>
      <c r="JQJ28" s="71"/>
      <c r="JQK28" s="71"/>
      <c r="JQL28" s="71"/>
      <c r="JQM28" s="71"/>
      <c r="JQN28" s="71"/>
      <c r="JQO28" s="71"/>
      <c r="JQP28" s="71"/>
      <c r="JQQ28" s="71"/>
      <c r="JQR28" s="71"/>
      <c r="JQS28" s="71"/>
      <c r="JQT28" s="71"/>
      <c r="JQU28" s="71"/>
      <c r="JQV28" s="71"/>
      <c r="JQW28" s="71"/>
      <c r="JQX28" s="71"/>
      <c r="JQY28" s="71"/>
      <c r="JQZ28" s="71"/>
      <c r="JRA28" s="71"/>
      <c r="JRB28" s="71"/>
      <c r="JRC28" s="71"/>
      <c r="JRD28" s="71"/>
      <c r="JRE28" s="71"/>
      <c r="JRF28" s="71"/>
      <c r="JRG28" s="71"/>
      <c r="JRH28" s="71"/>
      <c r="JRI28" s="71"/>
      <c r="JRJ28" s="71"/>
      <c r="JRK28" s="71"/>
      <c r="JRL28" s="71"/>
      <c r="JRM28" s="71"/>
      <c r="JRN28" s="71"/>
      <c r="JRO28" s="71"/>
      <c r="JRP28" s="71"/>
      <c r="JRQ28" s="71"/>
      <c r="JRR28" s="71"/>
      <c r="JRS28" s="71"/>
      <c r="JRT28" s="71"/>
      <c r="JRU28" s="71"/>
      <c r="JRV28" s="71"/>
      <c r="JRW28" s="71"/>
      <c r="JRX28" s="71"/>
      <c r="JRY28" s="71"/>
      <c r="JRZ28" s="71"/>
      <c r="JSA28" s="71"/>
      <c r="JSB28" s="71"/>
      <c r="JSC28" s="71"/>
      <c r="JSD28" s="71"/>
      <c r="JSE28" s="71"/>
      <c r="JSF28" s="71"/>
      <c r="JSG28" s="71"/>
      <c r="JSH28" s="71"/>
      <c r="JSI28" s="71"/>
      <c r="JSJ28" s="71"/>
      <c r="JSK28" s="71"/>
      <c r="JSL28" s="71"/>
      <c r="JSM28" s="71"/>
      <c r="JSN28" s="71"/>
      <c r="JSO28" s="71"/>
      <c r="JSP28" s="71"/>
      <c r="JSQ28" s="71"/>
      <c r="JSR28" s="71"/>
      <c r="JSS28" s="71"/>
      <c r="JST28" s="71"/>
      <c r="JSU28" s="71"/>
      <c r="JSV28" s="71"/>
      <c r="JSW28" s="71"/>
      <c r="JSX28" s="71"/>
      <c r="JSY28" s="71"/>
      <c r="JSZ28" s="71"/>
      <c r="JTA28" s="71"/>
      <c r="JTB28" s="71"/>
      <c r="JTC28" s="71"/>
      <c r="JTD28" s="71"/>
      <c r="JTE28" s="71"/>
      <c r="JTF28" s="71"/>
      <c r="JTG28" s="71"/>
      <c r="JTH28" s="71"/>
      <c r="JTI28" s="71"/>
      <c r="JTJ28" s="71"/>
      <c r="JTK28" s="71"/>
      <c r="JTL28" s="71"/>
      <c r="JTM28" s="71"/>
      <c r="JTN28" s="71"/>
      <c r="JTO28" s="71"/>
      <c r="JTP28" s="71"/>
      <c r="JTQ28" s="71"/>
      <c r="JTR28" s="71"/>
      <c r="JTS28" s="71"/>
      <c r="JTT28" s="71"/>
      <c r="JTU28" s="71"/>
      <c r="JTV28" s="71"/>
      <c r="JTW28" s="71"/>
      <c r="JTX28" s="71"/>
      <c r="JTY28" s="71"/>
      <c r="JTZ28" s="71"/>
      <c r="JUA28" s="71"/>
      <c r="JUB28" s="71"/>
      <c r="JUC28" s="71"/>
      <c r="JUD28" s="71"/>
      <c r="JUE28" s="71"/>
      <c r="JUF28" s="71"/>
      <c r="JUG28" s="71"/>
      <c r="JUH28" s="71"/>
      <c r="JUI28" s="71"/>
      <c r="JUJ28" s="71"/>
      <c r="JUK28" s="71"/>
      <c r="JUL28" s="71"/>
      <c r="JUM28" s="71"/>
      <c r="JUN28" s="71"/>
      <c r="JUO28" s="71"/>
      <c r="JUP28" s="71"/>
      <c r="JUQ28" s="71"/>
      <c r="JUR28" s="71"/>
      <c r="JUS28" s="71"/>
      <c r="JUT28" s="71"/>
      <c r="JUU28" s="71"/>
      <c r="JUV28" s="71"/>
      <c r="JUW28" s="71"/>
      <c r="JUX28" s="71"/>
      <c r="JUY28" s="71"/>
      <c r="JUZ28" s="71"/>
      <c r="JVA28" s="71"/>
      <c r="JVB28" s="71"/>
      <c r="JVC28" s="71"/>
      <c r="JVD28" s="71"/>
      <c r="JVE28" s="71"/>
      <c r="JVF28" s="71"/>
      <c r="JVG28" s="71"/>
      <c r="JVH28" s="71"/>
      <c r="JVI28" s="71"/>
      <c r="JVJ28" s="71"/>
      <c r="JVK28" s="71"/>
      <c r="JVL28" s="71"/>
      <c r="JVM28" s="71"/>
      <c r="JVN28" s="71"/>
      <c r="JVO28" s="71"/>
      <c r="JVP28" s="71"/>
      <c r="JVQ28" s="71"/>
      <c r="JVR28" s="71"/>
      <c r="JVS28" s="71"/>
      <c r="JVT28" s="71"/>
      <c r="JVU28" s="71"/>
      <c r="JVV28" s="71"/>
      <c r="JVW28" s="71"/>
      <c r="JVX28" s="71"/>
      <c r="JVY28" s="71"/>
      <c r="JVZ28" s="71"/>
      <c r="JWA28" s="71"/>
      <c r="JWB28" s="71"/>
      <c r="JWC28" s="71"/>
      <c r="JWD28" s="71"/>
      <c r="JWE28" s="71"/>
      <c r="JWF28" s="71"/>
      <c r="JWG28" s="71"/>
      <c r="JWH28" s="71"/>
      <c r="JWI28" s="71"/>
      <c r="JWJ28" s="71"/>
      <c r="JWK28" s="71"/>
      <c r="JWL28" s="71"/>
      <c r="JWM28" s="71"/>
      <c r="JWN28" s="71"/>
      <c r="JWO28" s="71"/>
      <c r="JWP28" s="71"/>
      <c r="JWQ28" s="71"/>
      <c r="JWR28" s="71"/>
      <c r="JWS28" s="71"/>
      <c r="JWT28" s="71"/>
      <c r="JWU28" s="71"/>
      <c r="JWV28" s="71"/>
      <c r="JWW28" s="71"/>
      <c r="JWX28" s="71"/>
      <c r="JWY28" s="71"/>
      <c r="JWZ28" s="71"/>
      <c r="JXA28" s="71"/>
      <c r="JXB28" s="71"/>
      <c r="JXC28" s="71"/>
      <c r="JXD28" s="71"/>
      <c r="JXE28" s="71"/>
      <c r="JXF28" s="71"/>
      <c r="JXG28" s="71"/>
      <c r="JXH28" s="71"/>
      <c r="JXI28" s="71"/>
      <c r="JXJ28" s="71"/>
      <c r="JXK28" s="71"/>
      <c r="JXL28" s="71"/>
      <c r="JXM28" s="71"/>
      <c r="JXN28" s="71"/>
      <c r="JXO28" s="71"/>
      <c r="JXP28" s="71"/>
      <c r="JXQ28" s="71"/>
      <c r="JXR28" s="71"/>
      <c r="JXS28" s="71"/>
      <c r="JXT28" s="71"/>
      <c r="JXU28" s="71"/>
      <c r="JXV28" s="71"/>
      <c r="JXW28" s="71"/>
      <c r="JXX28" s="71"/>
      <c r="JXY28" s="71"/>
      <c r="JXZ28" s="71"/>
      <c r="JYA28" s="71"/>
      <c r="JYB28" s="71"/>
      <c r="JYC28" s="71"/>
      <c r="JYD28" s="71"/>
      <c r="JYE28" s="71"/>
      <c r="JYF28" s="71"/>
      <c r="JYG28" s="71"/>
      <c r="JYH28" s="71"/>
      <c r="JYI28" s="71"/>
      <c r="JYJ28" s="71"/>
      <c r="JYK28" s="71"/>
      <c r="JYL28" s="71"/>
      <c r="JYM28" s="71"/>
      <c r="JYN28" s="71"/>
      <c r="JYO28" s="71"/>
      <c r="JYP28" s="71"/>
      <c r="JYQ28" s="71"/>
      <c r="JYR28" s="71"/>
      <c r="JYS28" s="71"/>
      <c r="JYT28" s="71"/>
      <c r="JYU28" s="71"/>
      <c r="JYV28" s="71"/>
      <c r="JYW28" s="71"/>
      <c r="JYX28" s="71"/>
      <c r="JYY28" s="71"/>
      <c r="JYZ28" s="71"/>
      <c r="JZA28" s="71"/>
      <c r="JZB28" s="71"/>
      <c r="JZC28" s="71"/>
      <c r="JZD28" s="71"/>
      <c r="JZE28" s="71"/>
      <c r="JZF28" s="71"/>
      <c r="JZG28" s="71"/>
      <c r="JZH28" s="71"/>
      <c r="JZI28" s="71"/>
      <c r="JZJ28" s="71"/>
      <c r="JZK28" s="71"/>
      <c r="JZL28" s="71"/>
      <c r="JZM28" s="71"/>
      <c r="JZN28" s="71"/>
      <c r="JZO28" s="71"/>
      <c r="JZP28" s="71"/>
      <c r="JZQ28" s="71"/>
      <c r="JZR28" s="71"/>
      <c r="JZS28" s="71"/>
      <c r="JZT28" s="71"/>
      <c r="JZU28" s="71"/>
      <c r="JZV28" s="71"/>
      <c r="JZW28" s="71"/>
      <c r="JZX28" s="71"/>
      <c r="JZY28" s="71"/>
      <c r="JZZ28" s="71"/>
      <c r="KAA28" s="71"/>
      <c r="KAB28" s="71"/>
      <c r="KAC28" s="71"/>
      <c r="KAD28" s="71"/>
      <c r="KAE28" s="71"/>
      <c r="KAF28" s="71"/>
      <c r="KAG28" s="71"/>
      <c r="KAH28" s="71"/>
      <c r="KAI28" s="71"/>
      <c r="KAJ28" s="71"/>
      <c r="KAK28" s="71"/>
      <c r="KAL28" s="71"/>
      <c r="KAM28" s="71"/>
      <c r="KAN28" s="71"/>
      <c r="KAO28" s="71"/>
      <c r="KAP28" s="71"/>
      <c r="KAQ28" s="71"/>
      <c r="KAR28" s="71"/>
      <c r="KAS28" s="71"/>
      <c r="KAT28" s="71"/>
      <c r="KAU28" s="71"/>
      <c r="KAV28" s="71"/>
      <c r="KAW28" s="71"/>
      <c r="KAX28" s="71"/>
      <c r="KAY28" s="71"/>
      <c r="KAZ28" s="71"/>
      <c r="KBA28" s="71"/>
      <c r="KBB28" s="71"/>
      <c r="KBC28" s="71"/>
      <c r="KBD28" s="71"/>
      <c r="KBE28" s="71"/>
      <c r="KBF28" s="71"/>
      <c r="KBG28" s="71"/>
      <c r="KBH28" s="71"/>
      <c r="KBI28" s="71"/>
      <c r="KBJ28" s="71"/>
      <c r="KBK28" s="71"/>
      <c r="KBL28" s="71"/>
      <c r="KBM28" s="71"/>
      <c r="KBN28" s="71"/>
      <c r="KBO28" s="71"/>
      <c r="KBP28" s="71"/>
      <c r="KBQ28" s="71"/>
      <c r="KBR28" s="71"/>
      <c r="KBS28" s="71"/>
      <c r="KBT28" s="71"/>
      <c r="KBU28" s="71"/>
      <c r="KBV28" s="71"/>
      <c r="KBW28" s="71"/>
      <c r="KBX28" s="71"/>
      <c r="KBY28" s="71"/>
      <c r="KBZ28" s="71"/>
      <c r="KCA28" s="71"/>
      <c r="KCB28" s="71"/>
      <c r="KCC28" s="71"/>
      <c r="KCD28" s="71"/>
      <c r="KCE28" s="71"/>
      <c r="KCF28" s="71"/>
      <c r="KCG28" s="71"/>
      <c r="KCH28" s="71"/>
      <c r="KCI28" s="71"/>
      <c r="KCJ28" s="71"/>
      <c r="KCK28" s="71"/>
      <c r="KCL28" s="71"/>
      <c r="KCM28" s="71"/>
      <c r="KCN28" s="71"/>
      <c r="KCO28" s="71"/>
      <c r="KCP28" s="71"/>
      <c r="KCQ28" s="71"/>
      <c r="KCR28" s="71"/>
      <c r="KCS28" s="71"/>
      <c r="KCT28" s="71"/>
      <c r="KCU28" s="71"/>
      <c r="KCV28" s="71"/>
      <c r="KCW28" s="71"/>
      <c r="KCX28" s="71"/>
      <c r="KCY28" s="71"/>
      <c r="KCZ28" s="71"/>
      <c r="KDA28" s="71"/>
      <c r="KDB28" s="71"/>
      <c r="KDC28" s="71"/>
      <c r="KDD28" s="71"/>
      <c r="KDE28" s="71"/>
      <c r="KDF28" s="71"/>
      <c r="KDG28" s="71"/>
      <c r="KDH28" s="71"/>
      <c r="KDI28" s="71"/>
      <c r="KDJ28" s="71"/>
      <c r="KDK28" s="71"/>
      <c r="KDL28" s="71"/>
      <c r="KDM28" s="71"/>
      <c r="KDN28" s="71"/>
      <c r="KDO28" s="71"/>
      <c r="KDP28" s="71"/>
      <c r="KDQ28" s="71"/>
      <c r="KDR28" s="71"/>
      <c r="KDS28" s="71"/>
      <c r="KDT28" s="71"/>
      <c r="KDU28" s="71"/>
      <c r="KDV28" s="71"/>
      <c r="KDW28" s="71"/>
      <c r="KDX28" s="71"/>
      <c r="KDY28" s="71"/>
      <c r="KDZ28" s="71"/>
      <c r="KEA28" s="71"/>
      <c r="KEB28" s="71"/>
      <c r="KEC28" s="71"/>
      <c r="KED28" s="71"/>
      <c r="KEE28" s="71"/>
      <c r="KEF28" s="71"/>
      <c r="KEG28" s="71"/>
      <c r="KEH28" s="71"/>
      <c r="KEI28" s="71"/>
      <c r="KEJ28" s="71"/>
      <c r="KEK28" s="71"/>
      <c r="KEL28" s="71"/>
      <c r="KEM28" s="71"/>
      <c r="KEN28" s="71"/>
      <c r="KEO28" s="71"/>
      <c r="KEP28" s="71"/>
      <c r="KEQ28" s="71"/>
      <c r="KER28" s="71"/>
      <c r="KES28" s="71"/>
      <c r="KET28" s="71"/>
      <c r="KEU28" s="71"/>
      <c r="KEV28" s="71"/>
      <c r="KEW28" s="71"/>
      <c r="KEX28" s="71"/>
      <c r="KEY28" s="71"/>
      <c r="KEZ28" s="71"/>
      <c r="KFA28" s="71"/>
      <c r="KFB28" s="71"/>
      <c r="KFC28" s="71"/>
      <c r="KFD28" s="71"/>
      <c r="KFE28" s="71"/>
      <c r="KFF28" s="71"/>
      <c r="KFG28" s="71"/>
      <c r="KFH28" s="71"/>
      <c r="KFI28" s="71"/>
      <c r="KFJ28" s="71"/>
      <c r="KFK28" s="71"/>
      <c r="KFL28" s="71"/>
      <c r="KFM28" s="71"/>
      <c r="KFN28" s="71"/>
      <c r="KFO28" s="71"/>
      <c r="KFP28" s="71"/>
      <c r="KFQ28" s="71"/>
      <c r="KFR28" s="71"/>
      <c r="KFS28" s="71"/>
      <c r="KFT28" s="71"/>
      <c r="KFU28" s="71"/>
      <c r="KFV28" s="71"/>
      <c r="KFW28" s="71"/>
      <c r="KFX28" s="71"/>
      <c r="KFY28" s="71"/>
      <c r="KFZ28" s="71"/>
      <c r="KGA28" s="71"/>
      <c r="KGB28" s="71"/>
      <c r="KGC28" s="71"/>
      <c r="KGD28" s="71"/>
      <c r="KGE28" s="71"/>
      <c r="KGF28" s="71"/>
      <c r="KGG28" s="71"/>
      <c r="KGH28" s="71"/>
      <c r="KGI28" s="71"/>
      <c r="KGJ28" s="71"/>
      <c r="KGK28" s="71"/>
      <c r="KGL28" s="71"/>
      <c r="KGM28" s="71"/>
      <c r="KGN28" s="71"/>
      <c r="KGO28" s="71"/>
      <c r="KGP28" s="71"/>
      <c r="KGQ28" s="71"/>
      <c r="KGR28" s="71"/>
      <c r="KGS28" s="71"/>
      <c r="KGT28" s="71"/>
      <c r="KGU28" s="71"/>
      <c r="KGV28" s="71"/>
      <c r="KGW28" s="71"/>
      <c r="KGX28" s="71"/>
      <c r="KGY28" s="71"/>
      <c r="KGZ28" s="71"/>
      <c r="KHA28" s="71"/>
      <c r="KHB28" s="71"/>
      <c r="KHC28" s="71"/>
      <c r="KHD28" s="71"/>
      <c r="KHE28" s="71"/>
      <c r="KHF28" s="71"/>
      <c r="KHG28" s="71"/>
      <c r="KHH28" s="71"/>
      <c r="KHI28" s="71"/>
      <c r="KHJ28" s="71"/>
      <c r="KHK28" s="71"/>
      <c r="KHL28" s="71"/>
      <c r="KHM28" s="71"/>
      <c r="KHN28" s="71"/>
      <c r="KHO28" s="71"/>
      <c r="KHP28" s="71"/>
      <c r="KHQ28" s="71"/>
      <c r="KHR28" s="71"/>
      <c r="KHS28" s="71"/>
      <c r="KHT28" s="71"/>
      <c r="KHU28" s="71"/>
      <c r="KHV28" s="71"/>
      <c r="KHW28" s="71"/>
      <c r="KHX28" s="71"/>
      <c r="KHY28" s="71"/>
      <c r="KHZ28" s="71"/>
      <c r="KIA28" s="71"/>
      <c r="KIB28" s="71"/>
      <c r="KIC28" s="71"/>
      <c r="KID28" s="71"/>
      <c r="KIE28" s="71"/>
      <c r="KIF28" s="71"/>
      <c r="KIG28" s="71"/>
      <c r="KIH28" s="71"/>
      <c r="KII28" s="71"/>
      <c r="KIJ28" s="71"/>
      <c r="KIK28" s="71"/>
      <c r="KIL28" s="71"/>
      <c r="KIM28" s="71"/>
      <c r="KIN28" s="71"/>
      <c r="KIO28" s="71"/>
      <c r="KIP28" s="71"/>
      <c r="KIQ28" s="71"/>
      <c r="KIR28" s="71"/>
      <c r="KIS28" s="71"/>
      <c r="KIT28" s="71"/>
      <c r="KIU28" s="71"/>
      <c r="KIV28" s="71"/>
      <c r="KIW28" s="71"/>
      <c r="KIX28" s="71"/>
      <c r="KIY28" s="71"/>
      <c r="KIZ28" s="71"/>
      <c r="KJA28" s="71"/>
      <c r="KJB28" s="71"/>
      <c r="KJC28" s="71"/>
      <c r="KJD28" s="71"/>
      <c r="KJE28" s="71"/>
      <c r="KJF28" s="71"/>
      <c r="KJG28" s="71"/>
      <c r="KJH28" s="71"/>
      <c r="KJI28" s="71"/>
      <c r="KJJ28" s="71"/>
      <c r="KJK28" s="71"/>
      <c r="KJL28" s="71"/>
      <c r="KJM28" s="71"/>
      <c r="KJN28" s="71"/>
      <c r="KJO28" s="71"/>
      <c r="KJP28" s="71"/>
      <c r="KJQ28" s="71"/>
      <c r="KJR28" s="71"/>
      <c r="KJS28" s="71"/>
      <c r="KJT28" s="71"/>
      <c r="KJU28" s="71"/>
      <c r="KJV28" s="71"/>
      <c r="KJW28" s="71"/>
      <c r="KJX28" s="71"/>
      <c r="KJY28" s="71"/>
      <c r="KJZ28" s="71"/>
      <c r="KKA28" s="71"/>
      <c r="KKB28" s="71"/>
      <c r="KKC28" s="71"/>
      <c r="KKD28" s="71"/>
      <c r="KKE28" s="71"/>
      <c r="KKF28" s="71"/>
      <c r="KKG28" s="71"/>
      <c r="KKH28" s="71"/>
      <c r="KKI28" s="71"/>
      <c r="KKJ28" s="71"/>
      <c r="KKK28" s="71"/>
      <c r="KKL28" s="71"/>
      <c r="KKM28" s="71"/>
      <c r="KKN28" s="71"/>
      <c r="KKO28" s="71"/>
      <c r="KKP28" s="71"/>
      <c r="KKQ28" s="71"/>
      <c r="KKR28" s="71"/>
      <c r="KKS28" s="71"/>
      <c r="KKT28" s="71"/>
      <c r="KKU28" s="71"/>
      <c r="KKV28" s="71"/>
      <c r="KKW28" s="71"/>
      <c r="KKX28" s="71"/>
      <c r="KKY28" s="71"/>
      <c r="KKZ28" s="71"/>
      <c r="KLA28" s="71"/>
      <c r="KLB28" s="71"/>
      <c r="KLC28" s="71"/>
      <c r="KLD28" s="71"/>
      <c r="KLE28" s="71"/>
      <c r="KLF28" s="71"/>
      <c r="KLG28" s="71"/>
      <c r="KLH28" s="71"/>
      <c r="KLI28" s="71"/>
      <c r="KLJ28" s="71"/>
      <c r="KLK28" s="71"/>
      <c r="KLL28" s="71"/>
      <c r="KLM28" s="71"/>
      <c r="KLN28" s="71"/>
      <c r="KLO28" s="71"/>
      <c r="KLP28" s="71"/>
      <c r="KLQ28" s="71"/>
      <c r="KLR28" s="71"/>
      <c r="KLS28" s="71"/>
      <c r="KLT28" s="71"/>
      <c r="KLU28" s="71"/>
      <c r="KLV28" s="71"/>
      <c r="KLW28" s="71"/>
      <c r="KLX28" s="71"/>
      <c r="KLY28" s="71"/>
      <c r="KLZ28" s="71"/>
      <c r="KMA28" s="71"/>
      <c r="KMB28" s="71"/>
      <c r="KMC28" s="71"/>
      <c r="KMD28" s="71"/>
      <c r="KME28" s="71"/>
      <c r="KMF28" s="71"/>
      <c r="KMG28" s="71"/>
      <c r="KMH28" s="71"/>
      <c r="KMI28" s="71"/>
      <c r="KMJ28" s="71"/>
      <c r="KMK28" s="71"/>
      <c r="KML28" s="71"/>
      <c r="KMM28" s="71"/>
      <c r="KMN28" s="71"/>
      <c r="KMO28" s="71"/>
      <c r="KMP28" s="71"/>
      <c r="KMQ28" s="71"/>
      <c r="KMR28" s="71"/>
      <c r="KMS28" s="71"/>
      <c r="KMT28" s="71"/>
      <c r="KMU28" s="71"/>
      <c r="KMV28" s="71"/>
      <c r="KMW28" s="71"/>
      <c r="KMX28" s="71"/>
      <c r="KMY28" s="71"/>
      <c r="KMZ28" s="71"/>
      <c r="KNA28" s="71"/>
      <c r="KNB28" s="71"/>
      <c r="KNC28" s="71"/>
      <c r="KND28" s="71"/>
      <c r="KNE28" s="71"/>
      <c r="KNF28" s="71"/>
      <c r="KNG28" s="71"/>
      <c r="KNH28" s="71"/>
      <c r="KNI28" s="71"/>
      <c r="KNJ28" s="71"/>
      <c r="KNK28" s="71"/>
      <c r="KNL28" s="71"/>
      <c r="KNM28" s="71"/>
      <c r="KNN28" s="71"/>
      <c r="KNO28" s="71"/>
      <c r="KNP28" s="71"/>
      <c r="KNQ28" s="71"/>
      <c r="KNR28" s="71"/>
      <c r="KNS28" s="71"/>
      <c r="KNT28" s="71"/>
      <c r="KNU28" s="71"/>
      <c r="KNV28" s="71"/>
      <c r="KNW28" s="71"/>
      <c r="KNX28" s="71"/>
      <c r="KNY28" s="71"/>
      <c r="KNZ28" s="71"/>
      <c r="KOA28" s="71"/>
      <c r="KOB28" s="71"/>
      <c r="KOC28" s="71"/>
      <c r="KOD28" s="71"/>
      <c r="KOE28" s="71"/>
      <c r="KOF28" s="71"/>
      <c r="KOG28" s="71"/>
      <c r="KOH28" s="71"/>
      <c r="KOI28" s="71"/>
      <c r="KOJ28" s="71"/>
      <c r="KOK28" s="71"/>
      <c r="KOL28" s="71"/>
      <c r="KOM28" s="71"/>
      <c r="KON28" s="71"/>
      <c r="KOO28" s="71"/>
      <c r="KOP28" s="71"/>
      <c r="KOQ28" s="71"/>
      <c r="KOR28" s="71"/>
      <c r="KOS28" s="71"/>
      <c r="KOT28" s="71"/>
      <c r="KOU28" s="71"/>
      <c r="KOV28" s="71"/>
      <c r="KOW28" s="71"/>
      <c r="KOX28" s="71"/>
      <c r="KOY28" s="71"/>
      <c r="KOZ28" s="71"/>
      <c r="KPA28" s="71"/>
      <c r="KPB28" s="71"/>
      <c r="KPC28" s="71"/>
      <c r="KPD28" s="71"/>
      <c r="KPE28" s="71"/>
      <c r="KPF28" s="71"/>
      <c r="KPG28" s="71"/>
      <c r="KPH28" s="71"/>
      <c r="KPI28" s="71"/>
      <c r="KPJ28" s="71"/>
      <c r="KPK28" s="71"/>
      <c r="KPL28" s="71"/>
      <c r="KPM28" s="71"/>
      <c r="KPN28" s="71"/>
      <c r="KPO28" s="71"/>
      <c r="KPP28" s="71"/>
      <c r="KPQ28" s="71"/>
      <c r="KPR28" s="71"/>
      <c r="KPS28" s="71"/>
      <c r="KPT28" s="71"/>
      <c r="KPU28" s="71"/>
      <c r="KPV28" s="71"/>
      <c r="KPW28" s="71"/>
      <c r="KPX28" s="71"/>
      <c r="KPY28" s="71"/>
      <c r="KPZ28" s="71"/>
      <c r="KQA28" s="71"/>
      <c r="KQB28" s="71"/>
      <c r="KQC28" s="71"/>
      <c r="KQD28" s="71"/>
      <c r="KQE28" s="71"/>
      <c r="KQF28" s="71"/>
      <c r="KQG28" s="71"/>
      <c r="KQH28" s="71"/>
      <c r="KQI28" s="71"/>
      <c r="KQJ28" s="71"/>
      <c r="KQK28" s="71"/>
      <c r="KQL28" s="71"/>
      <c r="KQM28" s="71"/>
      <c r="KQN28" s="71"/>
      <c r="KQO28" s="71"/>
      <c r="KQP28" s="71"/>
      <c r="KQQ28" s="71"/>
      <c r="KQR28" s="71"/>
      <c r="KQS28" s="71"/>
      <c r="KQT28" s="71"/>
      <c r="KQU28" s="71"/>
      <c r="KQV28" s="71"/>
      <c r="KQW28" s="71"/>
      <c r="KQX28" s="71"/>
      <c r="KQY28" s="71"/>
      <c r="KQZ28" s="71"/>
      <c r="KRA28" s="71"/>
      <c r="KRB28" s="71"/>
      <c r="KRC28" s="71"/>
      <c r="KRD28" s="71"/>
      <c r="KRE28" s="71"/>
      <c r="KRF28" s="71"/>
      <c r="KRG28" s="71"/>
      <c r="KRH28" s="71"/>
      <c r="KRI28" s="71"/>
      <c r="KRJ28" s="71"/>
      <c r="KRK28" s="71"/>
      <c r="KRL28" s="71"/>
      <c r="KRM28" s="71"/>
      <c r="KRN28" s="71"/>
      <c r="KRO28" s="71"/>
      <c r="KRP28" s="71"/>
      <c r="KRQ28" s="71"/>
      <c r="KRR28" s="71"/>
      <c r="KRS28" s="71"/>
      <c r="KRT28" s="71"/>
      <c r="KRU28" s="71"/>
      <c r="KRV28" s="71"/>
      <c r="KRW28" s="71"/>
      <c r="KRX28" s="71"/>
      <c r="KRY28" s="71"/>
      <c r="KRZ28" s="71"/>
      <c r="KSA28" s="71"/>
      <c r="KSB28" s="71"/>
      <c r="KSC28" s="71"/>
      <c r="KSD28" s="71"/>
      <c r="KSE28" s="71"/>
      <c r="KSF28" s="71"/>
      <c r="KSG28" s="71"/>
      <c r="KSH28" s="71"/>
      <c r="KSI28" s="71"/>
      <c r="KSJ28" s="71"/>
      <c r="KSK28" s="71"/>
      <c r="KSL28" s="71"/>
      <c r="KSM28" s="71"/>
      <c r="KSN28" s="71"/>
      <c r="KSO28" s="71"/>
      <c r="KSP28" s="71"/>
      <c r="KSQ28" s="71"/>
      <c r="KSR28" s="71"/>
      <c r="KSS28" s="71"/>
      <c r="KST28" s="71"/>
      <c r="KSU28" s="71"/>
      <c r="KSV28" s="71"/>
      <c r="KSW28" s="71"/>
      <c r="KSX28" s="71"/>
      <c r="KSY28" s="71"/>
      <c r="KSZ28" s="71"/>
      <c r="KTA28" s="71"/>
      <c r="KTB28" s="71"/>
      <c r="KTC28" s="71"/>
      <c r="KTD28" s="71"/>
      <c r="KTE28" s="71"/>
      <c r="KTF28" s="71"/>
      <c r="KTG28" s="71"/>
      <c r="KTH28" s="71"/>
      <c r="KTI28" s="71"/>
      <c r="KTJ28" s="71"/>
      <c r="KTK28" s="71"/>
      <c r="KTL28" s="71"/>
      <c r="KTM28" s="71"/>
      <c r="KTN28" s="71"/>
      <c r="KTO28" s="71"/>
      <c r="KTP28" s="71"/>
      <c r="KTQ28" s="71"/>
      <c r="KTR28" s="71"/>
      <c r="KTS28" s="71"/>
      <c r="KTT28" s="71"/>
      <c r="KTU28" s="71"/>
      <c r="KTV28" s="71"/>
      <c r="KTW28" s="71"/>
      <c r="KTX28" s="71"/>
      <c r="KTY28" s="71"/>
      <c r="KTZ28" s="71"/>
      <c r="KUA28" s="71"/>
      <c r="KUB28" s="71"/>
      <c r="KUC28" s="71"/>
      <c r="KUD28" s="71"/>
      <c r="KUE28" s="71"/>
      <c r="KUF28" s="71"/>
      <c r="KUG28" s="71"/>
      <c r="KUH28" s="71"/>
      <c r="KUI28" s="71"/>
      <c r="KUJ28" s="71"/>
      <c r="KUK28" s="71"/>
      <c r="KUL28" s="71"/>
      <c r="KUM28" s="71"/>
      <c r="KUN28" s="71"/>
      <c r="KUO28" s="71"/>
      <c r="KUP28" s="71"/>
      <c r="KUQ28" s="71"/>
      <c r="KUR28" s="71"/>
      <c r="KUS28" s="71"/>
      <c r="KUT28" s="71"/>
      <c r="KUU28" s="71"/>
      <c r="KUV28" s="71"/>
      <c r="KUW28" s="71"/>
      <c r="KUX28" s="71"/>
      <c r="KUY28" s="71"/>
      <c r="KUZ28" s="71"/>
      <c r="KVA28" s="71"/>
      <c r="KVB28" s="71"/>
      <c r="KVC28" s="71"/>
      <c r="KVD28" s="71"/>
      <c r="KVE28" s="71"/>
      <c r="KVF28" s="71"/>
      <c r="KVG28" s="71"/>
      <c r="KVH28" s="71"/>
      <c r="KVI28" s="71"/>
      <c r="KVJ28" s="71"/>
      <c r="KVK28" s="71"/>
      <c r="KVL28" s="71"/>
      <c r="KVM28" s="71"/>
      <c r="KVN28" s="71"/>
      <c r="KVO28" s="71"/>
      <c r="KVP28" s="71"/>
      <c r="KVQ28" s="71"/>
      <c r="KVR28" s="71"/>
      <c r="KVS28" s="71"/>
      <c r="KVT28" s="71"/>
      <c r="KVU28" s="71"/>
      <c r="KVV28" s="71"/>
      <c r="KVW28" s="71"/>
      <c r="KVX28" s="71"/>
      <c r="KVY28" s="71"/>
      <c r="KVZ28" s="71"/>
      <c r="KWA28" s="71"/>
      <c r="KWB28" s="71"/>
      <c r="KWC28" s="71"/>
      <c r="KWD28" s="71"/>
      <c r="KWE28" s="71"/>
      <c r="KWF28" s="71"/>
      <c r="KWG28" s="71"/>
      <c r="KWH28" s="71"/>
      <c r="KWI28" s="71"/>
      <c r="KWJ28" s="71"/>
      <c r="KWK28" s="71"/>
      <c r="KWL28" s="71"/>
      <c r="KWM28" s="71"/>
      <c r="KWN28" s="71"/>
      <c r="KWO28" s="71"/>
      <c r="KWP28" s="71"/>
      <c r="KWQ28" s="71"/>
      <c r="KWR28" s="71"/>
      <c r="KWS28" s="71"/>
      <c r="KWT28" s="71"/>
      <c r="KWU28" s="71"/>
      <c r="KWV28" s="71"/>
      <c r="KWW28" s="71"/>
      <c r="KWX28" s="71"/>
      <c r="KWY28" s="71"/>
      <c r="KWZ28" s="71"/>
      <c r="KXA28" s="71"/>
      <c r="KXB28" s="71"/>
      <c r="KXC28" s="71"/>
      <c r="KXD28" s="71"/>
      <c r="KXE28" s="71"/>
      <c r="KXF28" s="71"/>
      <c r="KXG28" s="71"/>
      <c r="KXH28" s="71"/>
      <c r="KXI28" s="71"/>
      <c r="KXJ28" s="71"/>
      <c r="KXK28" s="71"/>
      <c r="KXL28" s="71"/>
      <c r="KXM28" s="71"/>
      <c r="KXN28" s="71"/>
      <c r="KXO28" s="71"/>
      <c r="KXP28" s="71"/>
      <c r="KXQ28" s="71"/>
      <c r="KXR28" s="71"/>
      <c r="KXS28" s="71"/>
      <c r="KXT28" s="71"/>
      <c r="KXU28" s="71"/>
      <c r="KXV28" s="71"/>
      <c r="KXW28" s="71"/>
      <c r="KXX28" s="71"/>
      <c r="KXY28" s="71"/>
      <c r="KXZ28" s="71"/>
      <c r="KYA28" s="71"/>
      <c r="KYB28" s="71"/>
      <c r="KYC28" s="71"/>
      <c r="KYD28" s="71"/>
      <c r="KYE28" s="71"/>
      <c r="KYF28" s="71"/>
      <c r="KYG28" s="71"/>
      <c r="KYH28" s="71"/>
      <c r="KYI28" s="71"/>
      <c r="KYJ28" s="71"/>
      <c r="KYK28" s="71"/>
      <c r="KYL28" s="71"/>
      <c r="KYM28" s="71"/>
      <c r="KYN28" s="71"/>
      <c r="KYO28" s="71"/>
      <c r="KYP28" s="71"/>
      <c r="KYQ28" s="71"/>
      <c r="KYR28" s="71"/>
      <c r="KYS28" s="71"/>
      <c r="KYT28" s="71"/>
      <c r="KYU28" s="71"/>
      <c r="KYV28" s="71"/>
      <c r="KYW28" s="71"/>
      <c r="KYX28" s="71"/>
      <c r="KYY28" s="71"/>
      <c r="KYZ28" s="71"/>
      <c r="KZA28" s="71"/>
      <c r="KZB28" s="71"/>
      <c r="KZC28" s="71"/>
      <c r="KZD28" s="71"/>
      <c r="KZE28" s="71"/>
      <c r="KZF28" s="71"/>
      <c r="KZG28" s="71"/>
      <c r="KZH28" s="71"/>
      <c r="KZI28" s="71"/>
      <c r="KZJ28" s="71"/>
      <c r="KZK28" s="71"/>
      <c r="KZL28" s="71"/>
      <c r="KZM28" s="71"/>
      <c r="KZN28" s="71"/>
      <c r="KZO28" s="71"/>
      <c r="KZP28" s="71"/>
      <c r="KZQ28" s="71"/>
      <c r="KZR28" s="71"/>
      <c r="KZS28" s="71"/>
      <c r="KZT28" s="71"/>
      <c r="KZU28" s="71"/>
      <c r="KZV28" s="71"/>
      <c r="KZW28" s="71"/>
      <c r="KZX28" s="71"/>
      <c r="KZY28" s="71"/>
      <c r="KZZ28" s="71"/>
      <c r="LAA28" s="71"/>
      <c r="LAB28" s="71"/>
      <c r="LAC28" s="71"/>
      <c r="LAD28" s="71"/>
      <c r="LAE28" s="71"/>
      <c r="LAF28" s="71"/>
      <c r="LAG28" s="71"/>
      <c r="LAH28" s="71"/>
      <c r="LAI28" s="71"/>
      <c r="LAJ28" s="71"/>
      <c r="LAK28" s="71"/>
      <c r="LAL28" s="71"/>
      <c r="LAM28" s="71"/>
      <c r="LAN28" s="71"/>
      <c r="LAO28" s="71"/>
      <c r="LAP28" s="71"/>
      <c r="LAQ28" s="71"/>
      <c r="LAR28" s="71"/>
      <c r="LAS28" s="71"/>
      <c r="LAT28" s="71"/>
      <c r="LAU28" s="71"/>
      <c r="LAV28" s="71"/>
      <c r="LAW28" s="71"/>
      <c r="LAX28" s="71"/>
      <c r="LAY28" s="71"/>
      <c r="LAZ28" s="71"/>
      <c r="LBA28" s="71"/>
      <c r="LBB28" s="71"/>
      <c r="LBC28" s="71"/>
      <c r="LBD28" s="71"/>
      <c r="LBE28" s="71"/>
      <c r="LBF28" s="71"/>
      <c r="LBG28" s="71"/>
      <c r="LBH28" s="71"/>
      <c r="LBI28" s="71"/>
      <c r="LBJ28" s="71"/>
      <c r="LBK28" s="71"/>
      <c r="LBL28" s="71"/>
      <c r="LBM28" s="71"/>
      <c r="LBN28" s="71"/>
      <c r="LBO28" s="71"/>
      <c r="LBP28" s="71"/>
      <c r="LBQ28" s="71"/>
      <c r="LBR28" s="71"/>
      <c r="LBS28" s="71"/>
      <c r="LBT28" s="71"/>
      <c r="LBU28" s="71"/>
      <c r="LBV28" s="71"/>
      <c r="LBW28" s="71"/>
      <c r="LBX28" s="71"/>
      <c r="LBY28" s="71"/>
      <c r="LBZ28" s="71"/>
      <c r="LCA28" s="71"/>
      <c r="LCB28" s="71"/>
      <c r="LCC28" s="71"/>
      <c r="LCD28" s="71"/>
      <c r="LCE28" s="71"/>
      <c r="LCF28" s="71"/>
      <c r="LCG28" s="71"/>
      <c r="LCH28" s="71"/>
      <c r="LCI28" s="71"/>
      <c r="LCJ28" s="71"/>
      <c r="LCK28" s="71"/>
      <c r="LCL28" s="71"/>
      <c r="LCM28" s="71"/>
      <c r="LCN28" s="71"/>
      <c r="LCO28" s="71"/>
      <c r="LCP28" s="71"/>
      <c r="LCQ28" s="71"/>
      <c r="LCR28" s="71"/>
      <c r="LCS28" s="71"/>
      <c r="LCT28" s="71"/>
      <c r="LCU28" s="71"/>
      <c r="LCV28" s="71"/>
      <c r="LCW28" s="71"/>
      <c r="LCX28" s="71"/>
      <c r="LCY28" s="71"/>
      <c r="LCZ28" s="71"/>
      <c r="LDA28" s="71"/>
      <c r="LDB28" s="71"/>
      <c r="LDC28" s="71"/>
      <c r="LDD28" s="71"/>
      <c r="LDE28" s="71"/>
      <c r="LDF28" s="71"/>
      <c r="LDG28" s="71"/>
      <c r="LDH28" s="71"/>
      <c r="LDI28" s="71"/>
      <c r="LDJ28" s="71"/>
      <c r="LDK28" s="71"/>
      <c r="LDL28" s="71"/>
      <c r="LDM28" s="71"/>
      <c r="LDN28" s="71"/>
      <c r="LDO28" s="71"/>
      <c r="LDP28" s="71"/>
      <c r="LDQ28" s="71"/>
      <c r="LDR28" s="71"/>
      <c r="LDS28" s="71"/>
      <c r="LDT28" s="71"/>
      <c r="LDU28" s="71"/>
      <c r="LDV28" s="71"/>
      <c r="LDW28" s="71"/>
      <c r="LDX28" s="71"/>
      <c r="LDY28" s="71"/>
      <c r="LDZ28" s="71"/>
      <c r="LEA28" s="71"/>
      <c r="LEB28" s="71"/>
      <c r="LEC28" s="71"/>
      <c r="LED28" s="71"/>
      <c r="LEE28" s="71"/>
      <c r="LEF28" s="71"/>
      <c r="LEG28" s="71"/>
      <c r="LEH28" s="71"/>
      <c r="LEI28" s="71"/>
      <c r="LEJ28" s="71"/>
      <c r="LEK28" s="71"/>
      <c r="LEL28" s="71"/>
      <c r="LEM28" s="71"/>
      <c r="LEN28" s="71"/>
      <c r="LEO28" s="71"/>
      <c r="LEP28" s="71"/>
      <c r="LEQ28" s="71"/>
      <c r="LER28" s="71"/>
      <c r="LES28" s="71"/>
      <c r="LET28" s="71"/>
      <c r="LEU28" s="71"/>
      <c r="LEV28" s="71"/>
      <c r="LEW28" s="71"/>
      <c r="LEX28" s="71"/>
      <c r="LEY28" s="71"/>
      <c r="LEZ28" s="71"/>
      <c r="LFA28" s="71"/>
      <c r="LFB28" s="71"/>
      <c r="LFC28" s="71"/>
      <c r="LFD28" s="71"/>
      <c r="LFE28" s="71"/>
      <c r="LFF28" s="71"/>
      <c r="LFG28" s="71"/>
      <c r="LFH28" s="71"/>
      <c r="LFI28" s="71"/>
      <c r="LFJ28" s="71"/>
      <c r="LFK28" s="71"/>
      <c r="LFL28" s="71"/>
      <c r="LFM28" s="71"/>
      <c r="LFN28" s="71"/>
      <c r="LFO28" s="71"/>
      <c r="LFP28" s="71"/>
      <c r="LFQ28" s="71"/>
      <c r="LFR28" s="71"/>
      <c r="LFS28" s="71"/>
      <c r="LFT28" s="71"/>
      <c r="LFU28" s="71"/>
      <c r="LFV28" s="71"/>
      <c r="LFW28" s="71"/>
      <c r="LFX28" s="71"/>
      <c r="LFY28" s="71"/>
      <c r="LFZ28" s="71"/>
      <c r="LGA28" s="71"/>
      <c r="LGB28" s="71"/>
      <c r="LGC28" s="71"/>
      <c r="LGD28" s="71"/>
      <c r="LGE28" s="71"/>
      <c r="LGF28" s="71"/>
      <c r="LGG28" s="71"/>
      <c r="LGH28" s="71"/>
      <c r="LGI28" s="71"/>
      <c r="LGJ28" s="71"/>
      <c r="LGK28" s="71"/>
      <c r="LGL28" s="71"/>
      <c r="LGM28" s="71"/>
      <c r="LGN28" s="71"/>
      <c r="LGO28" s="71"/>
      <c r="LGP28" s="71"/>
      <c r="LGQ28" s="71"/>
      <c r="LGR28" s="71"/>
      <c r="LGS28" s="71"/>
      <c r="LGT28" s="71"/>
      <c r="LGU28" s="71"/>
      <c r="LGV28" s="71"/>
      <c r="LGW28" s="71"/>
      <c r="LGX28" s="71"/>
      <c r="LGY28" s="71"/>
      <c r="LGZ28" s="71"/>
      <c r="LHA28" s="71"/>
      <c r="LHB28" s="71"/>
      <c r="LHC28" s="71"/>
      <c r="LHD28" s="71"/>
      <c r="LHE28" s="71"/>
      <c r="LHF28" s="71"/>
      <c r="LHG28" s="71"/>
      <c r="LHH28" s="71"/>
      <c r="LHI28" s="71"/>
      <c r="LHJ28" s="71"/>
      <c r="LHK28" s="71"/>
      <c r="LHL28" s="71"/>
      <c r="LHM28" s="71"/>
      <c r="LHN28" s="71"/>
      <c r="LHO28" s="71"/>
      <c r="LHP28" s="71"/>
      <c r="LHQ28" s="71"/>
      <c r="LHR28" s="71"/>
      <c r="LHS28" s="71"/>
      <c r="LHT28" s="71"/>
      <c r="LHU28" s="71"/>
      <c r="LHV28" s="71"/>
      <c r="LHW28" s="71"/>
      <c r="LHX28" s="71"/>
      <c r="LHY28" s="71"/>
      <c r="LHZ28" s="71"/>
      <c r="LIA28" s="71"/>
      <c r="LIB28" s="71"/>
      <c r="LIC28" s="71"/>
      <c r="LID28" s="71"/>
      <c r="LIE28" s="71"/>
      <c r="LIF28" s="71"/>
      <c r="LIG28" s="71"/>
      <c r="LIH28" s="71"/>
      <c r="LII28" s="71"/>
      <c r="LIJ28" s="71"/>
      <c r="LIK28" s="71"/>
      <c r="LIL28" s="71"/>
      <c r="LIM28" s="71"/>
      <c r="LIN28" s="71"/>
      <c r="LIO28" s="71"/>
      <c r="LIP28" s="71"/>
      <c r="LIQ28" s="71"/>
      <c r="LIR28" s="71"/>
      <c r="LIS28" s="71"/>
      <c r="LIT28" s="71"/>
      <c r="LIU28" s="71"/>
      <c r="LIV28" s="71"/>
      <c r="LIW28" s="71"/>
      <c r="LIX28" s="71"/>
      <c r="LIY28" s="71"/>
      <c r="LIZ28" s="71"/>
      <c r="LJA28" s="71"/>
      <c r="LJB28" s="71"/>
      <c r="LJC28" s="71"/>
      <c r="LJD28" s="71"/>
      <c r="LJE28" s="71"/>
      <c r="LJF28" s="71"/>
      <c r="LJG28" s="71"/>
      <c r="LJH28" s="71"/>
      <c r="LJI28" s="71"/>
      <c r="LJJ28" s="71"/>
      <c r="LJK28" s="71"/>
      <c r="LJL28" s="71"/>
      <c r="LJM28" s="71"/>
      <c r="LJN28" s="71"/>
      <c r="LJO28" s="71"/>
      <c r="LJP28" s="71"/>
      <c r="LJQ28" s="71"/>
      <c r="LJR28" s="71"/>
      <c r="LJS28" s="71"/>
      <c r="LJT28" s="71"/>
      <c r="LJU28" s="71"/>
      <c r="LJV28" s="71"/>
      <c r="LJW28" s="71"/>
      <c r="LJX28" s="71"/>
      <c r="LJY28" s="71"/>
      <c r="LJZ28" s="71"/>
      <c r="LKA28" s="71"/>
      <c r="LKB28" s="71"/>
      <c r="LKC28" s="71"/>
      <c r="LKD28" s="71"/>
      <c r="LKE28" s="71"/>
      <c r="LKF28" s="71"/>
      <c r="LKG28" s="71"/>
      <c r="LKH28" s="71"/>
      <c r="LKI28" s="71"/>
      <c r="LKJ28" s="71"/>
      <c r="LKK28" s="71"/>
      <c r="LKL28" s="71"/>
      <c r="LKM28" s="71"/>
      <c r="LKN28" s="71"/>
      <c r="LKO28" s="71"/>
      <c r="LKP28" s="71"/>
      <c r="LKQ28" s="71"/>
      <c r="LKR28" s="71"/>
      <c r="LKS28" s="71"/>
      <c r="LKT28" s="71"/>
      <c r="LKU28" s="71"/>
      <c r="LKV28" s="71"/>
      <c r="LKW28" s="71"/>
      <c r="LKX28" s="71"/>
      <c r="LKY28" s="71"/>
      <c r="LKZ28" s="71"/>
      <c r="LLA28" s="71"/>
      <c r="LLB28" s="71"/>
      <c r="LLC28" s="71"/>
      <c r="LLD28" s="71"/>
      <c r="LLE28" s="71"/>
      <c r="LLF28" s="71"/>
      <c r="LLG28" s="71"/>
      <c r="LLH28" s="71"/>
      <c r="LLI28" s="71"/>
      <c r="LLJ28" s="71"/>
      <c r="LLK28" s="71"/>
      <c r="LLL28" s="71"/>
      <c r="LLM28" s="71"/>
      <c r="LLN28" s="71"/>
      <c r="LLO28" s="71"/>
      <c r="LLP28" s="71"/>
      <c r="LLQ28" s="71"/>
      <c r="LLR28" s="71"/>
      <c r="LLS28" s="71"/>
      <c r="LLT28" s="71"/>
      <c r="LLU28" s="71"/>
      <c r="LLV28" s="71"/>
      <c r="LLW28" s="71"/>
      <c r="LLX28" s="71"/>
      <c r="LLY28" s="71"/>
      <c r="LLZ28" s="71"/>
      <c r="LMA28" s="71"/>
      <c r="LMB28" s="71"/>
      <c r="LMC28" s="71"/>
      <c r="LMD28" s="71"/>
      <c r="LME28" s="71"/>
      <c r="LMF28" s="71"/>
      <c r="LMG28" s="71"/>
      <c r="LMH28" s="71"/>
      <c r="LMI28" s="71"/>
      <c r="LMJ28" s="71"/>
      <c r="LMK28" s="71"/>
      <c r="LML28" s="71"/>
      <c r="LMM28" s="71"/>
      <c r="LMN28" s="71"/>
      <c r="LMO28" s="71"/>
      <c r="LMP28" s="71"/>
      <c r="LMQ28" s="71"/>
      <c r="LMR28" s="71"/>
      <c r="LMS28" s="71"/>
      <c r="LMT28" s="71"/>
      <c r="LMU28" s="71"/>
      <c r="LMV28" s="71"/>
      <c r="LMW28" s="71"/>
      <c r="LMX28" s="71"/>
      <c r="LMY28" s="71"/>
      <c r="LMZ28" s="71"/>
      <c r="LNA28" s="71"/>
      <c r="LNB28" s="71"/>
      <c r="LNC28" s="71"/>
      <c r="LND28" s="71"/>
      <c r="LNE28" s="71"/>
      <c r="LNF28" s="71"/>
      <c r="LNG28" s="71"/>
      <c r="LNH28" s="71"/>
      <c r="LNI28" s="71"/>
      <c r="LNJ28" s="71"/>
      <c r="LNK28" s="71"/>
      <c r="LNL28" s="71"/>
      <c r="LNM28" s="71"/>
      <c r="LNN28" s="71"/>
      <c r="LNO28" s="71"/>
      <c r="LNP28" s="71"/>
      <c r="LNQ28" s="71"/>
      <c r="LNR28" s="71"/>
      <c r="LNS28" s="71"/>
      <c r="LNT28" s="71"/>
      <c r="LNU28" s="71"/>
      <c r="LNV28" s="71"/>
      <c r="LNW28" s="71"/>
      <c r="LNX28" s="71"/>
      <c r="LNY28" s="71"/>
      <c r="LNZ28" s="71"/>
      <c r="LOA28" s="71"/>
      <c r="LOB28" s="71"/>
      <c r="LOC28" s="71"/>
      <c r="LOD28" s="71"/>
      <c r="LOE28" s="71"/>
      <c r="LOF28" s="71"/>
      <c r="LOG28" s="71"/>
      <c r="LOH28" s="71"/>
      <c r="LOI28" s="71"/>
      <c r="LOJ28" s="71"/>
      <c r="LOK28" s="71"/>
      <c r="LOL28" s="71"/>
      <c r="LOM28" s="71"/>
      <c r="LON28" s="71"/>
      <c r="LOO28" s="71"/>
      <c r="LOP28" s="71"/>
      <c r="LOQ28" s="71"/>
      <c r="LOR28" s="71"/>
      <c r="LOS28" s="71"/>
      <c r="LOT28" s="71"/>
      <c r="LOU28" s="71"/>
      <c r="LOV28" s="71"/>
      <c r="LOW28" s="71"/>
      <c r="LOX28" s="71"/>
      <c r="LOY28" s="71"/>
      <c r="LOZ28" s="71"/>
      <c r="LPA28" s="71"/>
      <c r="LPB28" s="71"/>
      <c r="LPC28" s="71"/>
      <c r="LPD28" s="71"/>
      <c r="LPE28" s="71"/>
      <c r="LPF28" s="71"/>
      <c r="LPG28" s="71"/>
      <c r="LPH28" s="71"/>
      <c r="LPI28" s="71"/>
      <c r="LPJ28" s="71"/>
      <c r="LPK28" s="71"/>
      <c r="LPL28" s="71"/>
      <c r="LPM28" s="71"/>
      <c r="LPN28" s="71"/>
      <c r="LPO28" s="71"/>
      <c r="LPP28" s="71"/>
      <c r="LPQ28" s="71"/>
      <c r="LPR28" s="71"/>
      <c r="LPS28" s="71"/>
      <c r="LPT28" s="71"/>
      <c r="LPU28" s="71"/>
      <c r="LPV28" s="71"/>
      <c r="LPW28" s="71"/>
      <c r="LPX28" s="71"/>
      <c r="LPY28" s="71"/>
      <c r="LPZ28" s="71"/>
      <c r="LQA28" s="71"/>
      <c r="LQB28" s="71"/>
      <c r="LQC28" s="71"/>
      <c r="LQD28" s="71"/>
      <c r="LQE28" s="71"/>
      <c r="LQF28" s="71"/>
      <c r="LQG28" s="71"/>
      <c r="LQH28" s="71"/>
      <c r="LQI28" s="71"/>
      <c r="LQJ28" s="71"/>
      <c r="LQK28" s="71"/>
      <c r="LQL28" s="71"/>
      <c r="LQM28" s="71"/>
      <c r="LQN28" s="71"/>
      <c r="LQO28" s="71"/>
      <c r="LQP28" s="71"/>
      <c r="LQQ28" s="71"/>
      <c r="LQR28" s="71"/>
      <c r="LQS28" s="71"/>
      <c r="LQT28" s="71"/>
      <c r="LQU28" s="71"/>
      <c r="LQV28" s="71"/>
      <c r="LQW28" s="71"/>
      <c r="LQX28" s="71"/>
      <c r="LQY28" s="71"/>
      <c r="LQZ28" s="71"/>
      <c r="LRA28" s="71"/>
      <c r="LRB28" s="71"/>
      <c r="LRC28" s="71"/>
      <c r="LRD28" s="71"/>
      <c r="LRE28" s="71"/>
      <c r="LRF28" s="71"/>
      <c r="LRG28" s="71"/>
      <c r="LRH28" s="71"/>
      <c r="LRI28" s="71"/>
      <c r="LRJ28" s="71"/>
      <c r="LRK28" s="71"/>
      <c r="LRL28" s="71"/>
      <c r="LRM28" s="71"/>
      <c r="LRN28" s="71"/>
      <c r="LRO28" s="71"/>
      <c r="LRP28" s="71"/>
      <c r="LRQ28" s="71"/>
      <c r="LRR28" s="71"/>
      <c r="LRS28" s="71"/>
      <c r="LRT28" s="71"/>
      <c r="LRU28" s="71"/>
      <c r="LRV28" s="71"/>
      <c r="LRW28" s="71"/>
      <c r="LRX28" s="71"/>
      <c r="LRY28" s="71"/>
      <c r="LRZ28" s="71"/>
      <c r="LSA28" s="71"/>
      <c r="LSB28" s="71"/>
      <c r="LSC28" s="71"/>
      <c r="LSD28" s="71"/>
      <c r="LSE28" s="71"/>
      <c r="LSF28" s="71"/>
      <c r="LSG28" s="71"/>
      <c r="LSH28" s="71"/>
      <c r="LSI28" s="71"/>
      <c r="LSJ28" s="71"/>
      <c r="LSK28" s="71"/>
      <c r="LSL28" s="71"/>
      <c r="LSM28" s="71"/>
      <c r="LSN28" s="71"/>
      <c r="LSO28" s="71"/>
      <c r="LSP28" s="71"/>
      <c r="LSQ28" s="71"/>
      <c r="LSR28" s="71"/>
      <c r="LSS28" s="71"/>
      <c r="LST28" s="71"/>
      <c r="LSU28" s="71"/>
      <c r="LSV28" s="71"/>
      <c r="LSW28" s="71"/>
      <c r="LSX28" s="71"/>
      <c r="LSY28" s="71"/>
      <c r="LSZ28" s="71"/>
      <c r="LTA28" s="71"/>
      <c r="LTB28" s="71"/>
      <c r="LTC28" s="71"/>
      <c r="LTD28" s="71"/>
      <c r="LTE28" s="71"/>
      <c r="LTF28" s="71"/>
      <c r="LTG28" s="71"/>
      <c r="LTH28" s="71"/>
      <c r="LTI28" s="71"/>
      <c r="LTJ28" s="71"/>
      <c r="LTK28" s="71"/>
      <c r="LTL28" s="71"/>
      <c r="LTM28" s="71"/>
      <c r="LTN28" s="71"/>
      <c r="LTO28" s="71"/>
      <c r="LTP28" s="71"/>
      <c r="LTQ28" s="71"/>
      <c r="LTR28" s="71"/>
      <c r="LTS28" s="71"/>
      <c r="LTT28" s="71"/>
      <c r="LTU28" s="71"/>
      <c r="LTV28" s="71"/>
      <c r="LTW28" s="71"/>
      <c r="LTX28" s="71"/>
      <c r="LTY28" s="71"/>
      <c r="LTZ28" s="71"/>
      <c r="LUA28" s="71"/>
      <c r="LUB28" s="71"/>
      <c r="LUC28" s="71"/>
      <c r="LUD28" s="71"/>
      <c r="LUE28" s="71"/>
      <c r="LUF28" s="71"/>
      <c r="LUG28" s="71"/>
      <c r="LUH28" s="71"/>
      <c r="LUI28" s="71"/>
      <c r="LUJ28" s="71"/>
      <c r="LUK28" s="71"/>
      <c r="LUL28" s="71"/>
      <c r="LUM28" s="71"/>
      <c r="LUN28" s="71"/>
      <c r="LUO28" s="71"/>
      <c r="LUP28" s="71"/>
      <c r="LUQ28" s="71"/>
      <c r="LUR28" s="71"/>
      <c r="LUS28" s="71"/>
      <c r="LUT28" s="71"/>
      <c r="LUU28" s="71"/>
      <c r="LUV28" s="71"/>
      <c r="LUW28" s="71"/>
      <c r="LUX28" s="71"/>
      <c r="LUY28" s="71"/>
      <c r="LUZ28" s="71"/>
      <c r="LVA28" s="71"/>
      <c r="LVB28" s="71"/>
      <c r="LVC28" s="71"/>
      <c r="LVD28" s="71"/>
      <c r="LVE28" s="71"/>
      <c r="LVF28" s="71"/>
      <c r="LVG28" s="71"/>
      <c r="LVH28" s="71"/>
      <c r="LVI28" s="71"/>
      <c r="LVJ28" s="71"/>
      <c r="LVK28" s="71"/>
      <c r="LVL28" s="71"/>
      <c r="LVM28" s="71"/>
      <c r="LVN28" s="71"/>
      <c r="LVO28" s="71"/>
      <c r="LVP28" s="71"/>
      <c r="LVQ28" s="71"/>
      <c r="LVR28" s="71"/>
      <c r="LVS28" s="71"/>
      <c r="LVT28" s="71"/>
      <c r="LVU28" s="71"/>
      <c r="LVV28" s="71"/>
      <c r="LVW28" s="71"/>
      <c r="LVX28" s="71"/>
      <c r="LVY28" s="71"/>
      <c r="LVZ28" s="71"/>
      <c r="LWA28" s="71"/>
      <c r="LWB28" s="71"/>
      <c r="LWC28" s="71"/>
      <c r="LWD28" s="71"/>
      <c r="LWE28" s="71"/>
      <c r="LWF28" s="71"/>
      <c r="LWG28" s="71"/>
      <c r="LWH28" s="71"/>
      <c r="LWI28" s="71"/>
      <c r="LWJ28" s="71"/>
      <c r="LWK28" s="71"/>
      <c r="LWL28" s="71"/>
      <c r="LWM28" s="71"/>
      <c r="LWN28" s="71"/>
      <c r="LWO28" s="71"/>
      <c r="LWP28" s="71"/>
      <c r="LWQ28" s="71"/>
      <c r="LWR28" s="71"/>
      <c r="LWS28" s="71"/>
      <c r="LWT28" s="71"/>
      <c r="LWU28" s="71"/>
      <c r="LWV28" s="71"/>
      <c r="LWW28" s="71"/>
      <c r="LWX28" s="71"/>
      <c r="LWY28" s="71"/>
      <c r="LWZ28" s="71"/>
      <c r="LXA28" s="71"/>
      <c r="LXB28" s="71"/>
      <c r="LXC28" s="71"/>
      <c r="LXD28" s="71"/>
      <c r="LXE28" s="71"/>
      <c r="LXF28" s="71"/>
      <c r="LXG28" s="71"/>
      <c r="LXH28" s="71"/>
      <c r="LXI28" s="71"/>
      <c r="LXJ28" s="71"/>
      <c r="LXK28" s="71"/>
      <c r="LXL28" s="71"/>
      <c r="LXM28" s="71"/>
      <c r="LXN28" s="71"/>
      <c r="LXO28" s="71"/>
      <c r="LXP28" s="71"/>
      <c r="LXQ28" s="71"/>
      <c r="LXR28" s="71"/>
      <c r="LXS28" s="71"/>
      <c r="LXT28" s="71"/>
      <c r="LXU28" s="71"/>
      <c r="LXV28" s="71"/>
      <c r="LXW28" s="71"/>
      <c r="LXX28" s="71"/>
      <c r="LXY28" s="71"/>
      <c r="LXZ28" s="71"/>
      <c r="LYA28" s="71"/>
      <c r="LYB28" s="71"/>
      <c r="LYC28" s="71"/>
      <c r="LYD28" s="71"/>
      <c r="LYE28" s="71"/>
      <c r="LYF28" s="71"/>
      <c r="LYG28" s="71"/>
      <c r="LYH28" s="71"/>
      <c r="LYI28" s="71"/>
      <c r="LYJ28" s="71"/>
      <c r="LYK28" s="71"/>
      <c r="LYL28" s="71"/>
      <c r="LYM28" s="71"/>
      <c r="LYN28" s="71"/>
      <c r="LYO28" s="71"/>
      <c r="LYP28" s="71"/>
      <c r="LYQ28" s="71"/>
      <c r="LYR28" s="71"/>
      <c r="LYS28" s="71"/>
      <c r="LYT28" s="71"/>
      <c r="LYU28" s="71"/>
      <c r="LYV28" s="71"/>
      <c r="LYW28" s="71"/>
      <c r="LYX28" s="71"/>
      <c r="LYY28" s="71"/>
      <c r="LYZ28" s="71"/>
      <c r="LZA28" s="71"/>
      <c r="LZB28" s="71"/>
      <c r="LZC28" s="71"/>
      <c r="LZD28" s="71"/>
      <c r="LZE28" s="71"/>
      <c r="LZF28" s="71"/>
      <c r="LZG28" s="71"/>
      <c r="LZH28" s="71"/>
      <c r="LZI28" s="71"/>
      <c r="LZJ28" s="71"/>
      <c r="LZK28" s="71"/>
      <c r="LZL28" s="71"/>
      <c r="LZM28" s="71"/>
      <c r="LZN28" s="71"/>
      <c r="LZO28" s="71"/>
      <c r="LZP28" s="71"/>
      <c r="LZQ28" s="71"/>
      <c r="LZR28" s="71"/>
      <c r="LZS28" s="71"/>
      <c r="LZT28" s="71"/>
      <c r="LZU28" s="71"/>
      <c r="LZV28" s="71"/>
      <c r="LZW28" s="71"/>
      <c r="LZX28" s="71"/>
      <c r="LZY28" s="71"/>
      <c r="LZZ28" s="71"/>
      <c r="MAA28" s="71"/>
      <c r="MAB28" s="71"/>
      <c r="MAC28" s="71"/>
      <c r="MAD28" s="71"/>
      <c r="MAE28" s="71"/>
      <c r="MAF28" s="71"/>
      <c r="MAG28" s="71"/>
      <c r="MAH28" s="71"/>
      <c r="MAI28" s="71"/>
      <c r="MAJ28" s="71"/>
      <c r="MAK28" s="71"/>
      <c r="MAL28" s="71"/>
      <c r="MAM28" s="71"/>
      <c r="MAN28" s="71"/>
      <c r="MAO28" s="71"/>
      <c r="MAP28" s="71"/>
      <c r="MAQ28" s="71"/>
      <c r="MAR28" s="71"/>
      <c r="MAS28" s="71"/>
      <c r="MAT28" s="71"/>
      <c r="MAU28" s="71"/>
      <c r="MAV28" s="71"/>
      <c r="MAW28" s="71"/>
      <c r="MAX28" s="71"/>
      <c r="MAY28" s="71"/>
      <c r="MAZ28" s="71"/>
      <c r="MBA28" s="71"/>
      <c r="MBB28" s="71"/>
      <c r="MBC28" s="71"/>
      <c r="MBD28" s="71"/>
      <c r="MBE28" s="71"/>
      <c r="MBF28" s="71"/>
      <c r="MBG28" s="71"/>
      <c r="MBH28" s="71"/>
      <c r="MBI28" s="71"/>
      <c r="MBJ28" s="71"/>
      <c r="MBK28" s="71"/>
      <c r="MBL28" s="71"/>
      <c r="MBM28" s="71"/>
      <c r="MBN28" s="71"/>
      <c r="MBO28" s="71"/>
      <c r="MBP28" s="71"/>
      <c r="MBQ28" s="71"/>
      <c r="MBR28" s="71"/>
      <c r="MBS28" s="71"/>
      <c r="MBT28" s="71"/>
      <c r="MBU28" s="71"/>
      <c r="MBV28" s="71"/>
      <c r="MBW28" s="71"/>
      <c r="MBX28" s="71"/>
      <c r="MBY28" s="71"/>
      <c r="MBZ28" s="71"/>
      <c r="MCA28" s="71"/>
      <c r="MCB28" s="71"/>
      <c r="MCC28" s="71"/>
      <c r="MCD28" s="71"/>
      <c r="MCE28" s="71"/>
      <c r="MCF28" s="71"/>
      <c r="MCG28" s="71"/>
      <c r="MCH28" s="71"/>
      <c r="MCI28" s="71"/>
      <c r="MCJ28" s="71"/>
      <c r="MCK28" s="71"/>
      <c r="MCL28" s="71"/>
      <c r="MCM28" s="71"/>
      <c r="MCN28" s="71"/>
      <c r="MCO28" s="71"/>
      <c r="MCP28" s="71"/>
      <c r="MCQ28" s="71"/>
      <c r="MCR28" s="71"/>
      <c r="MCS28" s="71"/>
      <c r="MCT28" s="71"/>
      <c r="MCU28" s="71"/>
      <c r="MCV28" s="71"/>
      <c r="MCW28" s="71"/>
      <c r="MCX28" s="71"/>
      <c r="MCY28" s="71"/>
      <c r="MCZ28" s="71"/>
      <c r="MDA28" s="71"/>
      <c r="MDB28" s="71"/>
      <c r="MDC28" s="71"/>
      <c r="MDD28" s="71"/>
      <c r="MDE28" s="71"/>
      <c r="MDF28" s="71"/>
      <c r="MDG28" s="71"/>
      <c r="MDH28" s="71"/>
      <c r="MDI28" s="71"/>
      <c r="MDJ28" s="71"/>
      <c r="MDK28" s="71"/>
      <c r="MDL28" s="71"/>
      <c r="MDM28" s="71"/>
      <c r="MDN28" s="71"/>
      <c r="MDO28" s="71"/>
      <c r="MDP28" s="71"/>
      <c r="MDQ28" s="71"/>
      <c r="MDR28" s="71"/>
      <c r="MDS28" s="71"/>
      <c r="MDT28" s="71"/>
      <c r="MDU28" s="71"/>
      <c r="MDV28" s="71"/>
      <c r="MDW28" s="71"/>
      <c r="MDX28" s="71"/>
      <c r="MDY28" s="71"/>
      <c r="MDZ28" s="71"/>
      <c r="MEA28" s="71"/>
      <c r="MEB28" s="71"/>
      <c r="MEC28" s="71"/>
      <c r="MED28" s="71"/>
      <c r="MEE28" s="71"/>
      <c r="MEF28" s="71"/>
      <c r="MEG28" s="71"/>
      <c r="MEH28" s="71"/>
      <c r="MEI28" s="71"/>
      <c r="MEJ28" s="71"/>
      <c r="MEK28" s="71"/>
      <c r="MEL28" s="71"/>
      <c r="MEM28" s="71"/>
      <c r="MEN28" s="71"/>
      <c r="MEO28" s="71"/>
      <c r="MEP28" s="71"/>
      <c r="MEQ28" s="71"/>
      <c r="MER28" s="71"/>
      <c r="MES28" s="71"/>
      <c r="MET28" s="71"/>
      <c r="MEU28" s="71"/>
      <c r="MEV28" s="71"/>
      <c r="MEW28" s="71"/>
      <c r="MEX28" s="71"/>
      <c r="MEY28" s="71"/>
      <c r="MEZ28" s="71"/>
      <c r="MFA28" s="71"/>
      <c r="MFB28" s="71"/>
      <c r="MFC28" s="71"/>
      <c r="MFD28" s="71"/>
      <c r="MFE28" s="71"/>
      <c r="MFF28" s="71"/>
      <c r="MFG28" s="71"/>
      <c r="MFH28" s="71"/>
      <c r="MFI28" s="71"/>
      <c r="MFJ28" s="71"/>
      <c r="MFK28" s="71"/>
      <c r="MFL28" s="71"/>
      <c r="MFM28" s="71"/>
      <c r="MFN28" s="71"/>
      <c r="MFO28" s="71"/>
      <c r="MFP28" s="71"/>
      <c r="MFQ28" s="71"/>
      <c r="MFR28" s="71"/>
      <c r="MFS28" s="71"/>
      <c r="MFT28" s="71"/>
      <c r="MFU28" s="71"/>
      <c r="MFV28" s="71"/>
      <c r="MFW28" s="71"/>
      <c r="MFX28" s="71"/>
      <c r="MFY28" s="71"/>
      <c r="MFZ28" s="71"/>
      <c r="MGA28" s="71"/>
      <c r="MGB28" s="71"/>
      <c r="MGC28" s="71"/>
      <c r="MGD28" s="71"/>
      <c r="MGE28" s="71"/>
      <c r="MGF28" s="71"/>
      <c r="MGG28" s="71"/>
      <c r="MGH28" s="71"/>
      <c r="MGI28" s="71"/>
      <c r="MGJ28" s="71"/>
      <c r="MGK28" s="71"/>
      <c r="MGL28" s="71"/>
      <c r="MGM28" s="71"/>
      <c r="MGN28" s="71"/>
      <c r="MGO28" s="71"/>
      <c r="MGP28" s="71"/>
      <c r="MGQ28" s="71"/>
      <c r="MGR28" s="71"/>
      <c r="MGS28" s="71"/>
      <c r="MGT28" s="71"/>
      <c r="MGU28" s="71"/>
      <c r="MGV28" s="71"/>
      <c r="MGW28" s="71"/>
      <c r="MGX28" s="71"/>
      <c r="MGY28" s="71"/>
      <c r="MGZ28" s="71"/>
      <c r="MHA28" s="71"/>
      <c r="MHB28" s="71"/>
      <c r="MHC28" s="71"/>
      <c r="MHD28" s="71"/>
      <c r="MHE28" s="71"/>
      <c r="MHF28" s="71"/>
      <c r="MHG28" s="71"/>
      <c r="MHH28" s="71"/>
      <c r="MHI28" s="71"/>
      <c r="MHJ28" s="71"/>
      <c r="MHK28" s="71"/>
      <c r="MHL28" s="71"/>
      <c r="MHM28" s="71"/>
      <c r="MHN28" s="71"/>
      <c r="MHO28" s="71"/>
      <c r="MHP28" s="71"/>
      <c r="MHQ28" s="71"/>
      <c r="MHR28" s="71"/>
      <c r="MHS28" s="71"/>
      <c r="MHT28" s="71"/>
      <c r="MHU28" s="71"/>
      <c r="MHV28" s="71"/>
      <c r="MHW28" s="71"/>
      <c r="MHX28" s="71"/>
      <c r="MHY28" s="71"/>
      <c r="MHZ28" s="71"/>
      <c r="MIA28" s="71"/>
      <c r="MIB28" s="71"/>
      <c r="MIC28" s="71"/>
      <c r="MID28" s="71"/>
      <c r="MIE28" s="71"/>
      <c r="MIF28" s="71"/>
      <c r="MIG28" s="71"/>
      <c r="MIH28" s="71"/>
      <c r="MII28" s="71"/>
      <c r="MIJ28" s="71"/>
      <c r="MIK28" s="71"/>
      <c r="MIL28" s="71"/>
      <c r="MIM28" s="71"/>
      <c r="MIN28" s="71"/>
      <c r="MIO28" s="71"/>
      <c r="MIP28" s="71"/>
      <c r="MIQ28" s="71"/>
      <c r="MIR28" s="71"/>
      <c r="MIS28" s="71"/>
      <c r="MIT28" s="71"/>
      <c r="MIU28" s="71"/>
      <c r="MIV28" s="71"/>
      <c r="MIW28" s="71"/>
      <c r="MIX28" s="71"/>
      <c r="MIY28" s="71"/>
      <c r="MIZ28" s="71"/>
      <c r="MJA28" s="71"/>
      <c r="MJB28" s="71"/>
      <c r="MJC28" s="71"/>
      <c r="MJD28" s="71"/>
      <c r="MJE28" s="71"/>
      <c r="MJF28" s="71"/>
      <c r="MJG28" s="71"/>
      <c r="MJH28" s="71"/>
      <c r="MJI28" s="71"/>
      <c r="MJJ28" s="71"/>
      <c r="MJK28" s="71"/>
      <c r="MJL28" s="71"/>
      <c r="MJM28" s="71"/>
      <c r="MJN28" s="71"/>
      <c r="MJO28" s="71"/>
      <c r="MJP28" s="71"/>
      <c r="MJQ28" s="71"/>
      <c r="MJR28" s="71"/>
      <c r="MJS28" s="71"/>
      <c r="MJT28" s="71"/>
      <c r="MJU28" s="71"/>
      <c r="MJV28" s="71"/>
      <c r="MJW28" s="71"/>
      <c r="MJX28" s="71"/>
      <c r="MJY28" s="71"/>
      <c r="MJZ28" s="71"/>
      <c r="MKA28" s="71"/>
      <c r="MKB28" s="71"/>
      <c r="MKC28" s="71"/>
      <c r="MKD28" s="71"/>
      <c r="MKE28" s="71"/>
      <c r="MKF28" s="71"/>
      <c r="MKG28" s="71"/>
      <c r="MKH28" s="71"/>
      <c r="MKI28" s="71"/>
      <c r="MKJ28" s="71"/>
      <c r="MKK28" s="71"/>
      <c r="MKL28" s="71"/>
      <c r="MKM28" s="71"/>
      <c r="MKN28" s="71"/>
      <c r="MKO28" s="71"/>
      <c r="MKP28" s="71"/>
      <c r="MKQ28" s="71"/>
      <c r="MKR28" s="71"/>
      <c r="MKS28" s="71"/>
      <c r="MKT28" s="71"/>
      <c r="MKU28" s="71"/>
      <c r="MKV28" s="71"/>
      <c r="MKW28" s="71"/>
      <c r="MKX28" s="71"/>
      <c r="MKY28" s="71"/>
      <c r="MKZ28" s="71"/>
      <c r="MLA28" s="71"/>
      <c r="MLB28" s="71"/>
      <c r="MLC28" s="71"/>
      <c r="MLD28" s="71"/>
      <c r="MLE28" s="71"/>
      <c r="MLF28" s="71"/>
      <c r="MLG28" s="71"/>
      <c r="MLH28" s="71"/>
      <c r="MLI28" s="71"/>
      <c r="MLJ28" s="71"/>
      <c r="MLK28" s="71"/>
      <c r="MLL28" s="71"/>
      <c r="MLM28" s="71"/>
      <c r="MLN28" s="71"/>
      <c r="MLO28" s="71"/>
      <c r="MLP28" s="71"/>
      <c r="MLQ28" s="71"/>
      <c r="MLR28" s="71"/>
      <c r="MLS28" s="71"/>
      <c r="MLT28" s="71"/>
      <c r="MLU28" s="71"/>
      <c r="MLV28" s="71"/>
      <c r="MLW28" s="71"/>
      <c r="MLX28" s="71"/>
      <c r="MLY28" s="71"/>
      <c r="MLZ28" s="71"/>
      <c r="MMA28" s="71"/>
      <c r="MMB28" s="71"/>
      <c r="MMC28" s="71"/>
      <c r="MMD28" s="71"/>
      <c r="MME28" s="71"/>
      <c r="MMF28" s="71"/>
      <c r="MMG28" s="71"/>
      <c r="MMH28" s="71"/>
      <c r="MMI28" s="71"/>
      <c r="MMJ28" s="71"/>
      <c r="MMK28" s="71"/>
      <c r="MML28" s="71"/>
      <c r="MMM28" s="71"/>
      <c r="MMN28" s="71"/>
      <c r="MMO28" s="71"/>
      <c r="MMP28" s="71"/>
      <c r="MMQ28" s="71"/>
      <c r="MMR28" s="71"/>
      <c r="MMS28" s="71"/>
      <c r="MMT28" s="71"/>
      <c r="MMU28" s="71"/>
      <c r="MMV28" s="71"/>
      <c r="MMW28" s="71"/>
      <c r="MMX28" s="71"/>
      <c r="MMY28" s="71"/>
      <c r="MMZ28" s="71"/>
      <c r="MNA28" s="71"/>
      <c r="MNB28" s="71"/>
      <c r="MNC28" s="71"/>
      <c r="MND28" s="71"/>
      <c r="MNE28" s="71"/>
      <c r="MNF28" s="71"/>
      <c r="MNG28" s="71"/>
      <c r="MNH28" s="71"/>
      <c r="MNI28" s="71"/>
      <c r="MNJ28" s="71"/>
      <c r="MNK28" s="71"/>
      <c r="MNL28" s="71"/>
      <c r="MNM28" s="71"/>
      <c r="MNN28" s="71"/>
      <c r="MNO28" s="71"/>
      <c r="MNP28" s="71"/>
      <c r="MNQ28" s="71"/>
      <c r="MNR28" s="71"/>
      <c r="MNS28" s="71"/>
      <c r="MNT28" s="71"/>
      <c r="MNU28" s="71"/>
      <c r="MNV28" s="71"/>
      <c r="MNW28" s="71"/>
      <c r="MNX28" s="71"/>
      <c r="MNY28" s="71"/>
      <c r="MNZ28" s="71"/>
      <c r="MOA28" s="71"/>
      <c r="MOB28" s="71"/>
      <c r="MOC28" s="71"/>
      <c r="MOD28" s="71"/>
      <c r="MOE28" s="71"/>
      <c r="MOF28" s="71"/>
      <c r="MOG28" s="71"/>
      <c r="MOH28" s="71"/>
      <c r="MOI28" s="71"/>
      <c r="MOJ28" s="71"/>
      <c r="MOK28" s="71"/>
      <c r="MOL28" s="71"/>
      <c r="MOM28" s="71"/>
      <c r="MON28" s="71"/>
      <c r="MOO28" s="71"/>
      <c r="MOP28" s="71"/>
      <c r="MOQ28" s="71"/>
      <c r="MOR28" s="71"/>
      <c r="MOS28" s="71"/>
      <c r="MOT28" s="71"/>
      <c r="MOU28" s="71"/>
      <c r="MOV28" s="71"/>
      <c r="MOW28" s="71"/>
      <c r="MOX28" s="71"/>
      <c r="MOY28" s="71"/>
      <c r="MOZ28" s="71"/>
      <c r="MPA28" s="71"/>
      <c r="MPB28" s="71"/>
      <c r="MPC28" s="71"/>
      <c r="MPD28" s="71"/>
      <c r="MPE28" s="71"/>
      <c r="MPF28" s="71"/>
      <c r="MPG28" s="71"/>
      <c r="MPH28" s="71"/>
      <c r="MPI28" s="71"/>
      <c r="MPJ28" s="71"/>
      <c r="MPK28" s="71"/>
      <c r="MPL28" s="71"/>
      <c r="MPM28" s="71"/>
      <c r="MPN28" s="71"/>
      <c r="MPO28" s="71"/>
      <c r="MPP28" s="71"/>
      <c r="MPQ28" s="71"/>
      <c r="MPR28" s="71"/>
      <c r="MPS28" s="71"/>
      <c r="MPT28" s="71"/>
      <c r="MPU28" s="71"/>
      <c r="MPV28" s="71"/>
      <c r="MPW28" s="71"/>
      <c r="MPX28" s="71"/>
      <c r="MPY28" s="71"/>
      <c r="MPZ28" s="71"/>
      <c r="MQA28" s="71"/>
      <c r="MQB28" s="71"/>
      <c r="MQC28" s="71"/>
      <c r="MQD28" s="71"/>
      <c r="MQE28" s="71"/>
      <c r="MQF28" s="71"/>
      <c r="MQG28" s="71"/>
      <c r="MQH28" s="71"/>
      <c r="MQI28" s="71"/>
      <c r="MQJ28" s="71"/>
      <c r="MQK28" s="71"/>
      <c r="MQL28" s="71"/>
      <c r="MQM28" s="71"/>
      <c r="MQN28" s="71"/>
      <c r="MQO28" s="71"/>
      <c r="MQP28" s="71"/>
      <c r="MQQ28" s="71"/>
      <c r="MQR28" s="71"/>
      <c r="MQS28" s="71"/>
      <c r="MQT28" s="71"/>
      <c r="MQU28" s="71"/>
      <c r="MQV28" s="71"/>
      <c r="MQW28" s="71"/>
      <c r="MQX28" s="71"/>
      <c r="MQY28" s="71"/>
      <c r="MQZ28" s="71"/>
      <c r="MRA28" s="71"/>
      <c r="MRB28" s="71"/>
      <c r="MRC28" s="71"/>
      <c r="MRD28" s="71"/>
      <c r="MRE28" s="71"/>
      <c r="MRF28" s="71"/>
      <c r="MRG28" s="71"/>
      <c r="MRH28" s="71"/>
      <c r="MRI28" s="71"/>
      <c r="MRJ28" s="71"/>
      <c r="MRK28" s="71"/>
      <c r="MRL28" s="71"/>
      <c r="MRM28" s="71"/>
      <c r="MRN28" s="71"/>
      <c r="MRO28" s="71"/>
      <c r="MRP28" s="71"/>
      <c r="MRQ28" s="71"/>
      <c r="MRR28" s="71"/>
      <c r="MRS28" s="71"/>
      <c r="MRT28" s="71"/>
      <c r="MRU28" s="71"/>
      <c r="MRV28" s="71"/>
      <c r="MRW28" s="71"/>
      <c r="MRX28" s="71"/>
      <c r="MRY28" s="71"/>
      <c r="MRZ28" s="71"/>
      <c r="MSA28" s="71"/>
      <c r="MSB28" s="71"/>
      <c r="MSC28" s="71"/>
      <c r="MSD28" s="71"/>
      <c r="MSE28" s="71"/>
      <c r="MSF28" s="71"/>
      <c r="MSG28" s="71"/>
      <c r="MSH28" s="71"/>
      <c r="MSI28" s="71"/>
      <c r="MSJ28" s="71"/>
      <c r="MSK28" s="71"/>
      <c r="MSL28" s="71"/>
      <c r="MSM28" s="71"/>
      <c r="MSN28" s="71"/>
      <c r="MSO28" s="71"/>
      <c r="MSP28" s="71"/>
      <c r="MSQ28" s="71"/>
      <c r="MSR28" s="71"/>
      <c r="MSS28" s="71"/>
      <c r="MST28" s="71"/>
      <c r="MSU28" s="71"/>
      <c r="MSV28" s="71"/>
      <c r="MSW28" s="71"/>
      <c r="MSX28" s="71"/>
      <c r="MSY28" s="71"/>
      <c r="MSZ28" s="71"/>
      <c r="MTA28" s="71"/>
      <c r="MTB28" s="71"/>
      <c r="MTC28" s="71"/>
      <c r="MTD28" s="71"/>
      <c r="MTE28" s="71"/>
      <c r="MTF28" s="71"/>
      <c r="MTG28" s="71"/>
      <c r="MTH28" s="71"/>
      <c r="MTI28" s="71"/>
      <c r="MTJ28" s="71"/>
      <c r="MTK28" s="71"/>
      <c r="MTL28" s="71"/>
      <c r="MTM28" s="71"/>
      <c r="MTN28" s="71"/>
      <c r="MTO28" s="71"/>
      <c r="MTP28" s="71"/>
      <c r="MTQ28" s="71"/>
      <c r="MTR28" s="71"/>
      <c r="MTS28" s="71"/>
      <c r="MTT28" s="71"/>
      <c r="MTU28" s="71"/>
      <c r="MTV28" s="71"/>
      <c r="MTW28" s="71"/>
      <c r="MTX28" s="71"/>
      <c r="MTY28" s="71"/>
      <c r="MTZ28" s="71"/>
      <c r="MUA28" s="71"/>
      <c r="MUB28" s="71"/>
      <c r="MUC28" s="71"/>
      <c r="MUD28" s="71"/>
      <c r="MUE28" s="71"/>
      <c r="MUF28" s="71"/>
      <c r="MUG28" s="71"/>
      <c r="MUH28" s="71"/>
      <c r="MUI28" s="71"/>
      <c r="MUJ28" s="71"/>
      <c r="MUK28" s="71"/>
      <c r="MUL28" s="71"/>
      <c r="MUM28" s="71"/>
      <c r="MUN28" s="71"/>
      <c r="MUO28" s="71"/>
      <c r="MUP28" s="71"/>
      <c r="MUQ28" s="71"/>
      <c r="MUR28" s="71"/>
      <c r="MUS28" s="71"/>
      <c r="MUT28" s="71"/>
      <c r="MUU28" s="71"/>
      <c r="MUV28" s="71"/>
      <c r="MUW28" s="71"/>
      <c r="MUX28" s="71"/>
      <c r="MUY28" s="71"/>
      <c r="MUZ28" s="71"/>
      <c r="MVA28" s="71"/>
      <c r="MVB28" s="71"/>
      <c r="MVC28" s="71"/>
      <c r="MVD28" s="71"/>
      <c r="MVE28" s="71"/>
      <c r="MVF28" s="71"/>
      <c r="MVG28" s="71"/>
      <c r="MVH28" s="71"/>
      <c r="MVI28" s="71"/>
      <c r="MVJ28" s="71"/>
      <c r="MVK28" s="71"/>
      <c r="MVL28" s="71"/>
      <c r="MVM28" s="71"/>
      <c r="MVN28" s="71"/>
      <c r="MVO28" s="71"/>
      <c r="MVP28" s="71"/>
      <c r="MVQ28" s="71"/>
      <c r="MVR28" s="71"/>
      <c r="MVS28" s="71"/>
      <c r="MVT28" s="71"/>
      <c r="MVU28" s="71"/>
      <c r="MVV28" s="71"/>
      <c r="MVW28" s="71"/>
      <c r="MVX28" s="71"/>
      <c r="MVY28" s="71"/>
      <c r="MVZ28" s="71"/>
      <c r="MWA28" s="71"/>
      <c r="MWB28" s="71"/>
      <c r="MWC28" s="71"/>
      <c r="MWD28" s="71"/>
      <c r="MWE28" s="71"/>
      <c r="MWF28" s="71"/>
      <c r="MWG28" s="71"/>
      <c r="MWH28" s="71"/>
      <c r="MWI28" s="71"/>
      <c r="MWJ28" s="71"/>
      <c r="MWK28" s="71"/>
      <c r="MWL28" s="71"/>
      <c r="MWM28" s="71"/>
      <c r="MWN28" s="71"/>
      <c r="MWO28" s="71"/>
      <c r="MWP28" s="71"/>
      <c r="MWQ28" s="71"/>
      <c r="MWR28" s="71"/>
      <c r="MWS28" s="71"/>
      <c r="MWT28" s="71"/>
      <c r="MWU28" s="71"/>
      <c r="MWV28" s="71"/>
      <c r="MWW28" s="71"/>
      <c r="MWX28" s="71"/>
      <c r="MWY28" s="71"/>
      <c r="MWZ28" s="71"/>
      <c r="MXA28" s="71"/>
      <c r="MXB28" s="71"/>
      <c r="MXC28" s="71"/>
      <c r="MXD28" s="71"/>
      <c r="MXE28" s="71"/>
      <c r="MXF28" s="71"/>
      <c r="MXG28" s="71"/>
      <c r="MXH28" s="71"/>
      <c r="MXI28" s="71"/>
      <c r="MXJ28" s="71"/>
      <c r="MXK28" s="71"/>
      <c r="MXL28" s="71"/>
      <c r="MXM28" s="71"/>
      <c r="MXN28" s="71"/>
      <c r="MXO28" s="71"/>
      <c r="MXP28" s="71"/>
      <c r="MXQ28" s="71"/>
      <c r="MXR28" s="71"/>
      <c r="MXS28" s="71"/>
      <c r="MXT28" s="71"/>
      <c r="MXU28" s="71"/>
      <c r="MXV28" s="71"/>
      <c r="MXW28" s="71"/>
      <c r="MXX28" s="71"/>
      <c r="MXY28" s="71"/>
      <c r="MXZ28" s="71"/>
      <c r="MYA28" s="71"/>
      <c r="MYB28" s="71"/>
      <c r="MYC28" s="71"/>
      <c r="MYD28" s="71"/>
      <c r="MYE28" s="71"/>
      <c r="MYF28" s="71"/>
      <c r="MYG28" s="71"/>
      <c r="MYH28" s="71"/>
      <c r="MYI28" s="71"/>
      <c r="MYJ28" s="71"/>
      <c r="MYK28" s="71"/>
      <c r="MYL28" s="71"/>
      <c r="MYM28" s="71"/>
      <c r="MYN28" s="71"/>
      <c r="MYO28" s="71"/>
      <c r="MYP28" s="71"/>
      <c r="MYQ28" s="71"/>
      <c r="MYR28" s="71"/>
      <c r="MYS28" s="71"/>
      <c r="MYT28" s="71"/>
      <c r="MYU28" s="71"/>
      <c r="MYV28" s="71"/>
      <c r="MYW28" s="71"/>
      <c r="MYX28" s="71"/>
      <c r="MYY28" s="71"/>
      <c r="MYZ28" s="71"/>
      <c r="MZA28" s="71"/>
      <c r="MZB28" s="71"/>
      <c r="MZC28" s="71"/>
      <c r="MZD28" s="71"/>
      <c r="MZE28" s="71"/>
      <c r="MZF28" s="71"/>
      <c r="MZG28" s="71"/>
      <c r="MZH28" s="71"/>
      <c r="MZI28" s="71"/>
      <c r="MZJ28" s="71"/>
      <c r="MZK28" s="71"/>
      <c r="MZL28" s="71"/>
      <c r="MZM28" s="71"/>
      <c r="MZN28" s="71"/>
      <c r="MZO28" s="71"/>
      <c r="MZP28" s="71"/>
      <c r="MZQ28" s="71"/>
      <c r="MZR28" s="71"/>
      <c r="MZS28" s="71"/>
      <c r="MZT28" s="71"/>
      <c r="MZU28" s="71"/>
      <c r="MZV28" s="71"/>
      <c r="MZW28" s="71"/>
      <c r="MZX28" s="71"/>
      <c r="MZY28" s="71"/>
      <c r="MZZ28" s="71"/>
      <c r="NAA28" s="71"/>
      <c r="NAB28" s="71"/>
      <c r="NAC28" s="71"/>
      <c r="NAD28" s="71"/>
      <c r="NAE28" s="71"/>
      <c r="NAF28" s="71"/>
      <c r="NAG28" s="71"/>
      <c r="NAH28" s="71"/>
      <c r="NAI28" s="71"/>
      <c r="NAJ28" s="71"/>
      <c r="NAK28" s="71"/>
      <c r="NAL28" s="71"/>
      <c r="NAM28" s="71"/>
      <c r="NAN28" s="71"/>
      <c r="NAO28" s="71"/>
      <c r="NAP28" s="71"/>
      <c r="NAQ28" s="71"/>
      <c r="NAR28" s="71"/>
      <c r="NAS28" s="71"/>
      <c r="NAT28" s="71"/>
      <c r="NAU28" s="71"/>
      <c r="NAV28" s="71"/>
      <c r="NAW28" s="71"/>
      <c r="NAX28" s="71"/>
      <c r="NAY28" s="71"/>
      <c r="NAZ28" s="71"/>
      <c r="NBA28" s="71"/>
      <c r="NBB28" s="71"/>
      <c r="NBC28" s="71"/>
      <c r="NBD28" s="71"/>
      <c r="NBE28" s="71"/>
      <c r="NBF28" s="71"/>
      <c r="NBG28" s="71"/>
      <c r="NBH28" s="71"/>
      <c r="NBI28" s="71"/>
      <c r="NBJ28" s="71"/>
      <c r="NBK28" s="71"/>
      <c r="NBL28" s="71"/>
      <c r="NBM28" s="71"/>
      <c r="NBN28" s="71"/>
      <c r="NBO28" s="71"/>
      <c r="NBP28" s="71"/>
      <c r="NBQ28" s="71"/>
      <c r="NBR28" s="71"/>
      <c r="NBS28" s="71"/>
      <c r="NBT28" s="71"/>
      <c r="NBU28" s="71"/>
      <c r="NBV28" s="71"/>
      <c r="NBW28" s="71"/>
      <c r="NBX28" s="71"/>
      <c r="NBY28" s="71"/>
      <c r="NBZ28" s="71"/>
      <c r="NCA28" s="71"/>
      <c r="NCB28" s="71"/>
      <c r="NCC28" s="71"/>
      <c r="NCD28" s="71"/>
      <c r="NCE28" s="71"/>
      <c r="NCF28" s="71"/>
      <c r="NCG28" s="71"/>
      <c r="NCH28" s="71"/>
      <c r="NCI28" s="71"/>
      <c r="NCJ28" s="71"/>
      <c r="NCK28" s="71"/>
      <c r="NCL28" s="71"/>
      <c r="NCM28" s="71"/>
      <c r="NCN28" s="71"/>
      <c r="NCO28" s="71"/>
      <c r="NCP28" s="71"/>
      <c r="NCQ28" s="71"/>
      <c r="NCR28" s="71"/>
      <c r="NCS28" s="71"/>
      <c r="NCT28" s="71"/>
      <c r="NCU28" s="71"/>
      <c r="NCV28" s="71"/>
      <c r="NCW28" s="71"/>
      <c r="NCX28" s="71"/>
      <c r="NCY28" s="71"/>
      <c r="NCZ28" s="71"/>
      <c r="NDA28" s="71"/>
      <c r="NDB28" s="71"/>
      <c r="NDC28" s="71"/>
      <c r="NDD28" s="71"/>
      <c r="NDE28" s="71"/>
      <c r="NDF28" s="71"/>
      <c r="NDG28" s="71"/>
      <c r="NDH28" s="71"/>
      <c r="NDI28" s="71"/>
      <c r="NDJ28" s="71"/>
      <c r="NDK28" s="71"/>
      <c r="NDL28" s="71"/>
      <c r="NDM28" s="71"/>
      <c r="NDN28" s="71"/>
      <c r="NDO28" s="71"/>
      <c r="NDP28" s="71"/>
      <c r="NDQ28" s="71"/>
      <c r="NDR28" s="71"/>
      <c r="NDS28" s="71"/>
      <c r="NDT28" s="71"/>
      <c r="NDU28" s="71"/>
      <c r="NDV28" s="71"/>
      <c r="NDW28" s="71"/>
      <c r="NDX28" s="71"/>
      <c r="NDY28" s="71"/>
      <c r="NDZ28" s="71"/>
      <c r="NEA28" s="71"/>
      <c r="NEB28" s="71"/>
      <c r="NEC28" s="71"/>
      <c r="NED28" s="71"/>
      <c r="NEE28" s="71"/>
      <c r="NEF28" s="71"/>
      <c r="NEG28" s="71"/>
      <c r="NEH28" s="71"/>
      <c r="NEI28" s="71"/>
      <c r="NEJ28" s="71"/>
      <c r="NEK28" s="71"/>
      <c r="NEL28" s="71"/>
      <c r="NEM28" s="71"/>
      <c r="NEN28" s="71"/>
      <c r="NEO28" s="71"/>
      <c r="NEP28" s="71"/>
      <c r="NEQ28" s="71"/>
      <c r="NER28" s="71"/>
      <c r="NES28" s="71"/>
      <c r="NET28" s="71"/>
      <c r="NEU28" s="71"/>
      <c r="NEV28" s="71"/>
      <c r="NEW28" s="71"/>
      <c r="NEX28" s="71"/>
      <c r="NEY28" s="71"/>
      <c r="NEZ28" s="71"/>
      <c r="NFA28" s="71"/>
      <c r="NFB28" s="71"/>
      <c r="NFC28" s="71"/>
      <c r="NFD28" s="71"/>
      <c r="NFE28" s="71"/>
      <c r="NFF28" s="71"/>
      <c r="NFG28" s="71"/>
      <c r="NFH28" s="71"/>
      <c r="NFI28" s="71"/>
      <c r="NFJ28" s="71"/>
      <c r="NFK28" s="71"/>
      <c r="NFL28" s="71"/>
      <c r="NFM28" s="71"/>
      <c r="NFN28" s="71"/>
      <c r="NFO28" s="71"/>
      <c r="NFP28" s="71"/>
      <c r="NFQ28" s="71"/>
      <c r="NFR28" s="71"/>
      <c r="NFS28" s="71"/>
      <c r="NFT28" s="71"/>
      <c r="NFU28" s="71"/>
      <c r="NFV28" s="71"/>
      <c r="NFW28" s="71"/>
      <c r="NFX28" s="71"/>
      <c r="NFY28" s="71"/>
      <c r="NFZ28" s="71"/>
      <c r="NGA28" s="71"/>
      <c r="NGB28" s="71"/>
      <c r="NGC28" s="71"/>
      <c r="NGD28" s="71"/>
      <c r="NGE28" s="71"/>
      <c r="NGF28" s="71"/>
      <c r="NGG28" s="71"/>
      <c r="NGH28" s="71"/>
      <c r="NGI28" s="71"/>
      <c r="NGJ28" s="71"/>
      <c r="NGK28" s="71"/>
      <c r="NGL28" s="71"/>
      <c r="NGM28" s="71"/>
      <c r="NGN28" s="71"/>
      <c r="NGO28" s="71"/>
      <c r="NGP28" s="71"/>
      <c r="NGQ28" s="71"/>
      <c r="NGR28" s="71"/>
      <c r="NGS28" s="71"/>
      <c r="NGT28" s="71"/>
      <c r="NGU28" s="71"/>
      <c r="NGV28" s="71"/>
      <c r="NGW28" s="71"/>
      <c r="NGX28" s="71"/>
      <c r="NGY28" s="71"/>
      <c r="NGZ28" s="71"/>
      <c r="NHA28" s="71"/>
      <c r="NHB28" s="71"/>
      <c r="NHC28" s="71"/>
      <c r="NHD28" s="71"/>
      <c r="NHE28" s="71"/>
      <c r="NHF28" s="71"/>
      <c r="NHG28" s="71"/>
      <c r="NHH28" s="71"/>
      <c r="NHI28" s="71"/>
      <c r="NHJ28" s="71"/>
      <c r="NHK28" s="71"/>
      <c r="NHL28" s="71"/>
      <c r="NHM28" s="71"/>
      <c r="NHN28" s="71"/>
      <c r="NHO28" s="71"/>
      <c r="NHP28" s="71"/>
      <c r="NHQ28" s="71"/>
      <c r="NHR28" s="71"/>
      <c r="NHS28" s="71"/>
      <c r="NHT28" s="71"/>
      <c r="NHU28" s="71"/>
      <c r="NHV28" s="71"/>
      <c r="NHW28" s="71"/>
      <c r="NHX28" s="71"/>
      <c r="NHY28" s="71"/>
      <c r="NHZ28" s="71"/>
      <c r="NIA28" s="71"/>
      <c r="NIB28" s="71"/>
      <c r="NIC28" s="71"/>
      <c r="NID28" s="71"/>
      <c r="NIE28" s="71"/>
      <c r="NIF28" s="71"/>
      <c r="NIG28" s="71"/>
      <c r="NIH28" s="71"/>
      <c r="NII28" s="71"/>
      <c r="NIJ28" s="71"/>
      <c r="NIK28" s="71"/>
      <c r="NIL28" s="71"/>
      <c r="NIM28" s="71"/>
      <c r="NIN28" s="71"/>
      <c r="NIO28" s="71"/>
      <c r="NIP28" s="71"/>
      <c r="NIQ28" s="71"/>
      <c r="NIR28" s="71"/>
      <c r="NIS28" s="71"/>
      <c r="NIT28" s="71"/>
      <c r="NIU28" s="71"/>
      <c r="NIV28" s="71"/>
      <c r="NIW28" s="71"/>
      <c r="NIX28" s="71"/>
      <c r="NIY28" s="71"/>
      <c r="NIZ28" s="71"/>
      <c r="NJA28" s="71"/>
      <c r="NJB28" s="71"/>
      <c r="NJC28" s="71"/>
      <c r="NJD28" s="71"/>
      <c r="NJE28" s="71"/>
      <c r="NJF28" s="71"/>
      <c r="NJG28" s="71"/>
      <c r="NJH28" s="71"/>
      <c r="NJI28" s="71"/>
      <c r="NJJ28" s="71"/>
      <c r="NJK28" s="71"/>
      <c r="NJL28" s="71"/>
      <c r="NJM28" s="71"/>
      <c r="NJN28" s="71"/>
      <c r="NJO28" s="71"/>
      <c r="NJP28" s="71"/>
      <c r="NJQ28" s="71"/>
      <c r="NJR28" s="71"/>
      <c r="NJS28" s="71"/>
      <c r="NJT28" s="71"/>
      <c r="NJU28" s="71"/>
      <c r="NJV28" s="71"/>
      <c r="NJW28" s="71"/>
      <c r="NJX28" s="71"/>
      <c r="NJY28" s="71"/>
      <c r="NJZ28" s="71"/>
      <c r="NKA28" s="71"/>
      <c r="NKB28" s="71"/>
      <c r="NKC28" s="71"/>
      <c r="NKD28" s="71"/>
      <c r="NKE28" s="71"/>
      <c r="NKF28" s="71"/>
      <c r="NKG28" s="71"/>
      <c r="NKH28" s="71"/>
      <c r="NKI28" s="71"/>
      <c r="NKJ28" s="71"/>
      <c r="NKK28" s="71"/>
      <c r="NKL28" s="71"/>
      <c r="NKM28" s="71"/>
      <c r="NKN28" s="71"/>
      <c r="NKO28" s="71"/>
      <c r="NKP28" s="71"/>
      <c r="NKQ28" s="71"/>
      <c r="NKR28" s="71"/>
      <c r="NKS28" s="71"/>
      <c r="NKT28" s="71"/>
      <c r="NKU28" s="71"/>
      <c r="NKV28" s="71"/>
      <c r="NKW28" s="71"/>
      <c r="NKX28" s="71"/>
      <c r="NKY28" s="71"/>
      <c r="NKZ28" s="71"/>
      <c r="NLA28" s="71"/>
      <c r="NLB28" s="71"/>
      <c r="NLC28" s="71"/>
      <c r="NLD28" s="71"/>
      <c r="NLE28" s="71"/>
      <c r="NLF28" s="71"/>
      <c r="NLG28" s="71"/>
      <c r="NLH28" s="71"/>
      <c r="NLI28" s="71"/>
      <c r="NLJ28" s="71"/>
      <c r="NLK28" s="71"/>
      <c r="NLL28" s="71"/>
      <c r="NLM28" s="71"/>
      <c r="NLN28" s="71"/>
      <c r="NLO28" s="71"/>
      <c r="NLP28" s="71"/>
      <c r="NLQ28" s="71"/>
      <c r="NLR28" s="71"/>
      <c r="NLS28" s="71"/>
      <c r="NLT28" s="71"/>
      <c r="NLU28" s="71"/>
      <c r="NLV28" s="71"/>
      <c r="NLW28" s="71"/>
      <c r="NLX28" s="71"/>
      <c r="NLY28" s="71"/>
      <c r="NLZ28" s="71"/>
      <c r="NMA28" s="71"/>
      <c r="NMB28" s="71"/>
      <c r="NMC28" s="71"/>
      <c r="NMD28" s="71"/>
      <c r="NME28" s="71"/>
      <c r="NMF28" s="71"/>
      <c r="NMG28" s="71"/>
      <c r="NMH28" s="71"/>
      <c r="NMI28" s="71"/>
      <c r="NMJ28" s="71"/>
      <c r="NMK28" s="71"/>
      <c r="NML28" s="71"/>
      <c r="NMM28" s="71"/>
      <c r="NMN28" s="71"/>
      <c r="NMO28" s="71"/>
      <c r="NMP28" s="71"/>
      <c r="NMQ28" s="71"/>
      <c r="NMR28" s="71"/>
      <c r="NMS28" s="71"/>
      <c r="NMT28" s="71"/>
      <c r="NMU28" s="71"/>
      <c r="NMV28" s="71"/>
      <c r="NMW28" s="71"/>
      <c r="NMX28" s="71"/>
      <c r="NMY28" s="71"/>
      <c r="NMZ28" s="71"/>
      <c r="NNA28" s="71"/>
      <c r="NNB28" s="71"/>
      <c r="NNC28" s="71"/>
      <c r="NND28" s="71"/>
      <c r="NNE28" s="71"/>
      <c r="NNF28" s="71"/>
      <c r="NNG28" s="71"/>
      <c r="NNH28" s="71"/>
      <c r="NNI28" s="71"/>
      <c r="NNJ28" s="71"/>
      <c r="NNK28" s="71"/>
      <c r="NNL28" s="71"/>
      <c r="NNM28" s="71"/>
      <c r="NNN28" s="71"/>
      <c r="NNO28" s="71"/>
      <c r="NNP28" s="71"/>
      <c r="NNQ28" s="71"/>
      <c r="NNR28" s="71"/>
      <c r="NNS28" s="71"/>
      <c r="NNT28" s="71"/>
      <c r="NNU28" s="71"/>
      <c r="NNV28" s="71"/>
      <c r="NNW28" s="71"/>
      <c r="NNX28" s="71"/>
      <c r="NNY28" s="71"/>
      <c r="NNZ28" s="71"/>
      <c r="NOA28" s="71"/>
      <c r="NOB28" s="71"/>
      <c r="NOC28" s="71"/>
      <c r="NOD28" s="71"/>
      <c r="NOE28" s="71"/>
      <c r="NOF28" s="71"/>
      <c r="NOG28" s="71"/>
      <c r="NOH28" s="71"/>
      <c r="NOI28" s="71"/>
      <c r="NOJ28" s="71"/>
      <c r="NOK28" s="71"/>
      <c r="NOL28" s="71"/>
      <c r="NOM28" s="71"/>
      <c r="NON28" s="71"/>
      <c r="NOO28" s="71"/>
      <c r="NOP28" s="71"/>
      <c r="NOQ28" s="71"/>
      <c r="NOR28" s="71"/>
      <c r="NOS28" s="71"/>
      <c r="NOT28" s="71"/>
      <c r="NOU28" s="71"/>
      <c r="NOV28" s="71"/>
      <c r="NOW28" s="71"/>
      <c r="NOX28" s="71"/>
      <c r="NOY28" s="71"/>
      <c r="NOZ28" s="71"/>
      <c r="NPA28" s="71"/>
      <c r="NPB28" s="71"/>
      <c r="NPC28" s="71"/>
      <c r="NPD28" s="71"/>
      <c r="NPE28" s="71"/>
      <c r="NPF28" s="71"/>
      <c r="NPG28" s="71"/>
      <c r="NPH28" s="71"/>
      <c r="NPI28" s="71"/>
      <c r="NPJ28" s="71"/>
      <c r="NPK28" s="71"/>
      <c r="NPL28" s="71"/>
      <c r="NPM28" s="71"/>
      <c r="NPN28" s="71"/>
      <c r="NPO28" s="71"/>
      <c r="NPP28" s="71"/>
      <c r="NPQ28" s="71"/>
      <c r="NPR28" s="71"/>
      <c r="NPS28" s="71"/>
      <c r="NPT28" s="71"/>
      <c r="NPU28" s="71"/>
      <c r="NPV28" s="71"/>
      <c r="NPW28" s="71"/>
      <c r="NPX28" s="71"/>
      <c r="NPY28" s="71"/>
      <c r="NPZ28" s="71"/>
      <c r="NQA28" s="71"/>
      <c r="NQB28" s="71"/>
      <c r="NQC28" s="71"/>
      <c r="NQD28" s="71"/>
      <c r="NQE28" s="71"/>
      <c r="NQF28" s="71"/>
      <c r="NQG28" s="71"/>
      <c r="NQH28" s="71"/>
      <c r="NQI28" s="71"/>
      <c r="NQJ28" s="71"/>
      <c r="NQK28" s="71"/>
      <c r="NQL28" s="71"/>
      <c r="NQM28" s="71"/>
      <c r="NQN28" s="71"/>
      <c r="NQO28" s="71"/>
      <c r="NQP28" s="71"/>
      <c r="NQQ28" s="71"/>
      <c r="NQR28" s="71"/>
      <c r="NQS28" s="71"/>
      <c r="NQT28" s="71"/>
      <c r="NQU28" s="71"/>
      <c r="NQV28" s="71"/>
      <c r="NQW28" s="71"/>
      <c r="NQX28" s="71"/>
      <c r="NQY28" s="71"/>
      <c r="NQZ28" s="71"/>
      <c r="NRA28" s="71"/>
      <c r="NRB28" s="71"/>
      <c r="NRC28" s="71"/>
      <c r="NRD28" s="71"/>
      <c r="NRE28" s="71"/>
      <c r="NRF28" s="71"/>
      <c r="NRG28" s="71"/>
      <c r="NRH28" s="71"/>
      <c r="NRI28" s="71"/>
      <c r="NRJ28" s="71"/>
      <c r="NRK28" s="71"/>
      <c r="NRL28" s="71"/>
      <c r="NRM28" s="71"/>
      <c r="NRN28" s="71"/>
      <c r="NRO28" s="71"/>
      <c r="NRP28" s="71"/>
      <c r="NRQ28" s="71"/>
      <c r="NRR28" s="71"/>
      <c r="NRS28" s="71"/>
      <c r="NRT28" s="71"/>
      <c r="NRU28" s="71"/>
      <c r="NRV28" s="71"/>
      <c r="NRW28" s="71"/>
      <c r="NRX28" s="71"/>
      <c r="NRY28" s="71"/>
      <c r="NRZ28" s="71"/>
      <c r="NSA28" s="71"/>
      <c r="NSB28" s="71"/>
      <c r="NSC28" s="71"/>
      <c r="NSD28" s="71"/>
      <c r="NSE28" s="71"/>
      <c r="NSF28" s="71"/>
      <c r="NSG28" s="71"/>
      <c r="NSH28" s="71"/>
      <c r="NSI28" s="71"/>
      <c r="NSJ28" s="71"/>
      <c r="NSK28" s="71"/>
      <c r="NSL28" s="71"/>
      <c r="NSM28" s="71"/>
      <c r="NSN28" s="71"/>
      <c r="NSO28" s="71"/>
      <c r="NSP28" s="71"/>
      <c r="NSQ28" s="71"/>
      <c r="NSR28" s="71"/>
      <c r="NSS28" s="71"/>
      <c r="NST28" s="71"/>
      <c r="NSU28" s="71"/>
      <c r="NSV28" s="71"/>
      <c r="NSW28" s="71"/>
      <c r="NSX28" s="71"/>
      <c r="NSY28" s="71"/>
      <c r="NSZ28" s="71"/>
      <c r="NTA28" s="71"/>
      <c r="NTB28" s="71"/>
      <c r="NTC28" s="71"/>
      <c r="NTD28" s="71"/>
      <c r="NTE28" s="71"/>
      <c r="NTF28" s="71"/>
      <c r="NTG28" s="71"/>
      <c r="NTH28" s="71"/>
      <c r="NTI28" s="71"/>
      <c r="NTJ28" s="71"/>
      <c r="NTK28" s="71"/>
      <c r="NTL28" s="71"/>
      <c r="NTM28" s="71"/>
      <c r="NTN28" s="71"/>
      <c r="NTO28" s="71"/>
      <c r="NTP28" s="71"/>
      <c r="NTQ28" s="71"/>
      <c r="NTR28" s="71"/>
      <c r="NTS28" s="71"/>
      <c r="NTT28" s="71"/>
      <c r="NTU28" s="71"/>
      <c r="NTV28" s="71"/>
      <c r="NTW28" s="71"/>
      <c r="NTX28" s="71"/>
      <c r="NTY28" s="71"/>
      <c r="NTZ28" s="71"/>
      <c r="NUA28" s="71"/>
      <c r="NUB28" s="71"/>
      <c r="NUC28" s="71"/>
      <c r="NUD28" s="71"/>
      <c r="NUE28" s="71"/>
      <c r="NUF28" s="71"/>
      <c r="NUG28" s="71"/>
      <c r="NUH28" s="71"/>
      <c r="NUI28" s="71"/>
      <c r="NUJ28" s="71"/>
      <c r="NUK28" s="71"/>
      <c r="NUL28" s="71"/>
      <c r="NUM28" s="71"/>
      <c r="NUN28" s="71"/>
      <c r="NUO28" s="71"/>
      <c r="NUP28" s="71"/>
      <c r="NUQ28" s="71"/>
      <c r="NUR28" s="71"/>
      <c r="NUS28" s="71"/>
      <c r="NUT28" s="71"/>
      <c r="NUU28" s="71"/>
      <c r="NUV28" s="71"/>
      <c r="NUW28" s="71"/>
      <c r="NUX28" s="71"/>
      <c r="NUY28" s="71"/>
      <c r="NUZ28" s="71"/>
      <c r="NVA28" s="71"/>
      <c r="NVB28" s="71"/>
      <c r="NVC28" s="71"/>
      <c r="NVD28" s="71"/>
      <c r="NVE28" s="71"/>
      <c r="NVF28" s="71"/>
      <c r="NVG28" s="71"/>
      <c r="NVH28" s="71"/>
      <c r="NVI28" s="71"/>
      <c r="NVJ28" s="71"/>
      <c r="NVK28" s="71"/>
      <c r="NVL28" s="71"/>
      <c r="NVM28" s="71"/>
      <c r="NVN28" s="71"/>
      <c r="NVO28" s="71"/>
      <c r="NVP28" s="71"/>
      <c r="NVQ28" s="71"/>
      <c r="NVR28" s="71"/>
      <c r="NVS28" s="71"/>
      <c r="NVT28" s="71"/>
      <c r="NVU28" s="71"/>
      <c r="NVV28" s="71"/>
      <c r="NVW28" s="71"/>
      <c r="NVX28" s="71"/>
      <c r="NVY28" s="71"/>
      <c r="NVZ28" s="71"/>
      <c r="NWA28" s="71"/>
      <c r="NWB28" s="71"/>
      <c r="NWC28" s="71"/>
      <c r="NWD28" s="71"/>
      <c r="NWE28" s="71"/>
      <c r="NWF28" s="71"/>
      <c r="NWG28" s="71"/>
      <c r="NWH28" s="71"/>
      <c r="NWI28" s="71"/>
      <c r="NWJ28" s="71"/>
      <c r="NWK28" s="71"/>
      <c r="NWL28" s="71"/>
      <c r="NWM28" s="71"/>
      <c r="NWN28" s="71"/>
      <c r="NWO28" s="71"/>
      <c r="NWP28" s="71"/>
      <c r="NWQ28" s="71"/>
      <c r="NWR28" s="71"/>
      <c r="NWS28" s="71"/>
      <c r="NWT28" s="71"/>
      <c r="NWU28" s="71"/>
      <c r="NWV28" s="71"/>
      <c r="NWW28" s="71"/>
      <c r="NWX28" s="71"/>
      <c r="NWY28" s="71"/>
      <c r="NWZ28" s="71"/>
      <c r="NXA28" s="71"/>
      <c r="NXB28" s="71"/>
      <c r="NXC28" s="71"/>
      <c r="NXD28" s="71"/>
      <c r="NXE28" s="71"/>
      <c r="NXF28" s="71"/>
      <c r="NXG28" s="71"/>
      <c r="NXH28" s="71"/>
      <c r="NXI28" s="71"/>
      <c r="NXJ28" s="71"/>
      <c r="NXK28" s="71"/>
      <c r="NXL28" s="71"/>
      <c r="NXM28" s="71"/>
      <c r="NXN28" s="71"/>
      <c r="NXO28" s="71"/>
      <c r="NXP28" s="71"/>
      <c r="NXQ28" s="71"/>
      <c r="NXR28" s="71"/>
      <c r="NXS28" s="71"/>
      <c r="NXT28" s="71"/>
      <c r="NXU28" s="71"/>
      <c r="NXV28" s="71"/>
      <c r="NXW28" s="71"/>
      <c r="NXX28" s="71"/>
      <c r="NXY28" s="71"/>
      <c r="NXZ28" s="71"/>
      <c r="NYA28" s="71"/>
      <c r="NYB28" s="71"/>
      <c r="NYC28" s="71"/>
      <c r="NYD28" s="71"/>
      <c r="NYE28" s="71"/>
      <c r="NYF28" s="71"/>
      <c r="NYG28" s="71"/>
      <c r="NYH28" s="71"/>
      <c r="NYI28" s="71"/>
      <c r="NYJ28" s="71"/>
      <c r="NYK28" s="71"/>
      <c r="NYL28" s="71"/>
      <c r="NYM28" s="71"/>
      <c r="NYN28" s="71"/>
      <c r="NYO28" s="71"/>
      <c r="NYP28" s="71"/>
      <c r="NYQ28" s="71"/>
      <c r="NYR28" s="71"/>
      <c r="NYS28" s="71"/>
      <c r="NYT28" s="71"/>
      <c r="NYU28" s="71"/>
      <c r="NYV28" s="71"/>
      <c r="NYW28" s="71"/>
      <c r="NYX28" s="71"/>
      <c r="NYY28" s="71"/>
      <c r="NYZ28" s="71"/>
      <c r="NZA28" s="71"/>
      <c r="NZB28" s="71"/>
      <c r="NZC28" s="71"/>
      <c r="NZD28" s="71"/>
      <c r="NZE28" s="71"/>
      <c r="NZF28" s="71"/>
      <c r="NZG28" s="71"/>
      <c r="NZH28" s="71"/>
      <c r="NZI28" s="71"/>
      <c r="NZJ28" s="71"/>
      <c r="NZK28" s="71"/>
      <c r="NZL28" s="71"/>
      <c r="NZM28" s="71"/>
      <c r="NZN28" s="71"/>
      <c r="NZO28" s="71"/>
      <c r="NZP28" s="71"/>
      <c r="NZQ28" s="71"/>
      <c r="NZR28" s="71"/>
      <c r="NZS28" s="71"/>
      <c r="NZT28" s="71"/>
      <c r="NZU28" s="71"/>
      <c r="NZV28" s="71"/>
      <c r="NZW28" s="71"/>
      <c r="NZX28" s="71"/>
      <c r="NZY28" s="71"/>
      <c r="NZZ28" s="71"/>
      <c r="OAA28" s="71"/>
      <c r="OAB28" s="71"/>
      <c r="OAC28" s="71"/>
      <c r="OAD28" s="71"/>
      <c r="OAE28" s="71"/>
      <c r="OAF28" s="71"/>
      <c r="OAG28" s="71"/>
      <c r="OAH28" s="71"/>
      <c r="OAI28" s="71"/>
      <c r="OAJ28" s="71"/>
      <c r="OAK28" s="71"/>
      <c r="OAL28" s="71"/>
      <c r="OAM28" s="71"/>
      <c r="OAN28" s="71"/>
      <c r="OAO28" s="71"/>
      <c r="OAP28" s="71"/>
      <c r="OAQ28" s="71"/>
      <c r="OAR28" s="71"/>
      <c r="OAS28" s="71"/>
      <c r="OAT28" s="71"/>
      <c r="OAU28" s="71"/>
      <c r="OAV28" s="71"/>
      <c r="OAW28" s="71"/>
      <c r="OAX28" s="71"/>
      <c r="OAY28" s="71"/>
      <c r="OAZ28" s="71"/>
      <c r="OBA28" s="71"/>
      <c r="OBB28" s="71"/>
      <c r="OBC28" s="71"/>
      <c r="OBD28" s="71"/>
      <c r="OBE28" s="71"/>
      <c r="OBF28" s="71"/>
      <c r="OBG28" s="71"/>
      <c r="OBH28" s="71"/>
      <c r="OBI28" s="71"/>
      <c r="OBJ28" s="71"/>
      <c r="OBK28" s="71"/>
      <c r="OBL28" s="71"/>
      <c r="OBM28" s="71"/>
      <c r="OBN28" s="71"/>
      <c r="OBO28" s="71"/>
      <c r="OBP28" s="71"/>
      <c r="OBQ28" s="71"/>
      <c r="OBR28" s="71"/>
      <c r="OBS28" s="71"/>
      <c r="OBT28" s="71"/>
      <c r="OBU28" s="71"/>
      <c r="OBV28" s="71"/>
      <c r="OBW28" s="71"/>
      <c r="OBX28" s="71"/>
      <c r="OBY28" s="71"/>
      <c r="OBZ28" s="71"/>
      <c r="OCA28" s="71"/>
      <c r="OCB28" s="71"/>
      <c r="OCC28" s="71"/>
      <c r="OCD28" s="71"/>
      <c r="OCE28" s="71"/>
      <c r="OCF28" s="71"/>
      <c r="OCG28" s="71"/>
      <c r="OCH28" s="71"/>
      <c r="OCI28" s="71"/>
      <c r="OCJ28" s="71"/>
      <c r="OCK28" s="71"/>
      <c r="OCL28" s="71"/>
      <c r="OCM28" s="71"/>
      <c r="OCN28" s="71"/>
      <c r="OCO28" s="71"/>
      <c r="OCP28" s="71"/>
      <c r="OCQ28" s="71"/>
      <c r="OCR28" s="71"/>
      <c r="OCS28" s="71"/>
      <c r="OCT28" s="71"/>
      <c r="OCU28" s="71"/>
      <c r="OCV28" s="71"/>
      <c r="OCW28" s="71"/>
      <c r="OCX28" s="71"/>
      <c r="OCY28" s="71"/>
      <c r="OCZ28" s="71"/>
      <c r="ODA28" s="71"/>
      <c r="ODB28" s="71"/>
      <c r="ODC28" s="71"/>
      <c r="ODD28" s="71"/>
      <c r="ODE28" s="71"/>
      <c r="ODF28" s="71"/>
      <c r="ODG28" s="71"/>
      <c r="ODH28" s="71"/>
      <c r="ODI28" s="71"/>
      <c r="ODJ28" s="71"/>
      <c r="ODK28" s="71"/>
      <c r="ODL28" s="71"/>
      <c r="ODM28" s="71"/>
      <c r="ODN28" s="71"/>
      <c r="ODO28" s="71"/>
      <c r="ODP28" s="71"/>
      <c r="ODQ28" s="71"/>
      <c r="ODR28" s="71"/>
      <c r="ODS28" s="71"/>
      <c r="ODT28" s="71"/>
      <c r="ODU28" s="71"/>
      <c r="ODV28" s="71"/>
      <c r="ODW28" s="71"/>
      <c r="ODX28" s="71"/>
      <c r="ODY28" s="71"/>
      <c r="ODZ28" s="71"/>
      <c r="OEA28" s="71"/>
      <c r="OEB28" s="71"/>
      <c r="OEC28" s="71"/>
      <c r="OED28" s="71"/>
      <c r="OEE28" s="71"/>
      <c r="OEF28" s="71"/>
      <c r="OEG28" s="71"/>
      <c r="OEH28" s="71"/>
      <c r="OEI28" s="71"/>
      <c r="OEJ28" s="71"/>
      <c r="OEK28" s="71"/>
      <c r="OEL28" s="71"/>
      <c r="OEM28" s="71"/>
      <c r="OEN28" s="71"/>
      <c r="OEO28" s="71"/>
      <c r="OEP28" s="71"/>
      <c r="OEQ28" s="71"/>
      <c r="OER28" s="71"/>
      <c r="OES28" s="71"/>
      <c r="OET28" s="71"/>
      <c r="OEU28" s="71"/>
      <c r="OEV28" s="71"/>
      <c r="OEW28" s="71"/>
      <c r="OEX28" s="71"/>
      <c r="OEY28" s="71"/>
      <c r="OEZ28" s="71"/>
      <c r="OFA28" s="71"/>
      <c r="OFB28" s="71"/>
      <c r="OFC28" s="71"/>
      <c r="OFD28" s="71"/>
      <c r="OFE28" s="71"/>
      <c r="OFF28" s="71"/>
      <c r="OFG28" s="71"/>
      <c r="OFH28" s="71"/>
      <c r="OFI28" s="71"/>
      <c r="OFJ28" s="71"/>
      <c r="OFK28" s="71"/>
      <c r="OFL28" s="71"/>
      <c r="OFM28" s="71"/>
      <c r="OFN28" s="71"/>
      <c r="OFO28" s="71"/>
      <c r="OFP28" s="71"/>
      <c r="OFQ28" s="71"/>
      <c r="OFR28" s="71"/>
      <c r="OFS28" s="71"/>
      <c r="OFT28" s="71"/>
      <c r="OFU28" s="71"/>
      <c r="OFV28" s="71"/>
      <c r="OFW28" s="71"/>
      <c r="OFX28" s="71"/>
      <c r="OFY28" s="71"/>
      <c r="OFZ28" s="71"/>
      <c r="OGA28" s="71"/>
      <c r="OGB28" s="71"/>
      <c r="OGC28" s="71"/>
      <c r="OGD28" s="71"/>
      <c r="OGE28" s="71"/>
      <c r="OGF28" s="71"/>
      <c r="OGG28" s="71"/>
      <c r="OGH28" s="71"/>
      <c r="OGI28" s="71"/>
      <c r="OGJ28" s="71"/>
      <c r="OGK28" s="71"/>
      <c r="OGL28" s="71"/>
      <c r="OGM28" s="71"/>
      <c r="OGN28" s="71"/>
      <c r="OGO28" s="71"/>
      <c r="OGP28" s="71"/>
      <c r="OGQ28" s="71"/>
      <c r="OGR28" s="71"/>
      <c r="OGS28" s="71"/>
      <c r="OGT28" s="71"/>
      <c r="OGU28" s="71"/>
      <c r="OGV28" s="71"/>
      <c r="OGW28" s="71"/>
      <c r="OGX28" s="71"/>
      <c r="OGY28" s="71"/>
      <c r="OGZ28" s="71"/>
      <c r="OHA28" s="71"/>
      <c r="OHB28" s="71"/>
      <c r="OHC28" s="71"/>
      <c r="OHD28" s="71"/>
      <c r="OHE28" s="71"/>
      <c r="OHF28" s="71"/>
      <c r="OHG28" s="71"/>
      <c r="OHH28" s="71"/>
      <c r="OHI28" s="71"/>
      <c r="OHJ28" s="71"/>
      <c r="OHK28" s="71"/>
      <c r="OHL28" s="71"/>
      <c r="OHM28" s="71"/>
      <c r="OHN28" s="71"/>
      <c r="OHO28" s="71"/>
      <c r="OHP28" s="71"/>
      <c r="OHQ28" s="71"/>
      <c r="OHR28" s="71"/>
      <c r="OHS28" s="71"/>
      <c r="OHT28" s="71"/>
      <c r="OHU28" s="71"/>
      <c r="OHV28" s="71"/>
      <c r="OHW28" s="71"/>
      <c r="OHX28" s="71"/>
      <c r="OHY28" s="71"/>
      <c r="OHZ28" s="71"/>
      <c r="OIA28" s="71"/>
      <c r="OIB28" s="71"/>
      <c r="OIC28" s="71"/>
      <c r="OID28" s="71"/>
      <c r="OIE28" s="71"/>
      <c r="OIF28" s="71"/>
      <c r="OIG28" s="71"/>
      <c r="OIH28" s="71"/>
      <c r="OII28" s="71"/>
      <c r="OIJ28" s="71"/>
      <c r="OIK28" s="71"/>
      <c r="OIL28" s="71"/>
      <c r="OIM28" s="71"/>
      <c r="OIN28" s="71"/>
      <c r="OIO28" s="71"/>
      <c r="OIP28" s="71"/>
      <c r="OIQ28" s="71"/>
      <c r="OIR28" s="71"/>
      <c r="OIS28" s="71"/>
      <c r="OIT28" s="71"/>
      <c r="OIU28" s="71"/>
      <c r="OIV28" s="71"/>
      <c r="OIW28" s="71"/>
      <c r="OIX28" s="71"/>
      <c r="OIY28" s="71"/>
      <c r="OIZ28" s="71"/>
      <c r="OJA28" s="71"/>
      <c r="OJB28" s="71"/>
      <c r="OJC28" s="71"/>
      <c r="OJD28" s="71"/>
      <c r="OJE28" s="71"/>
      <c r="OJF28" s="71"/>
      <c r="OJG28" s="71"/>
      <c r="OJH28" s="71"/>
      <c r="OJI28" s="71"/>
      <c r="OJJ28" s="71"/>
      <c r="OJK28" s="71"/>
      <c r="OJL28" s="71"/>
      <c r="OJM28" s="71"/>
      <c r="OJN28" s="71"/>
      <c r="OJO28" s="71"/>
      <c r="OJP28" s="71"/>
      <c r="OJQ28" s="71"/>
      <c r="OJR28" s="71"/>
      <c r="OJS28" s="71"/>
      <c r="OJT28" s="71"/>
      <c r="OJU28" s="71"/>
      <c r="OJV28" s="71"/>
      <c r="OJW28" s="71"/>
      <c r="OJX28" s="71"/>
      <c r="OJY28" s="71"/>
      <c r="OJZ28" s="71"/>
      <c r="OKA28" s="71"/>
      <c r="OKB28" s="71"/>
      <c r="OKC28" s="71"/>
      <c r="OKD28" s="71"/>
      <c r="OKE28" s="71"/>
      <c r="OKF28" s="71"/>
      <c r="OKG28" s="71"/>
      <c r="OKH28" s="71"/>
      <c r="OKI28" s="71"/>
      <c r="OKJ28" s="71"/>
      <c r="OKK28" s="71"/>
      <c r="OKL28" s="71"/>
      <c r="OKM28" s="71"/>
      <c r="OKN28" s="71"/>
      <c r="OKO28" s="71"/>
      <c r="OKP28" s="71"/>
      <c r="OKQ28" s="71"/>
      <c r="OKR28" s="71"/>
      <c r="OKS28" s="71"/>
      <c r="OKT28" s="71"/>
      <c r="OKU28" s="71"/>
      <c r="OKV28" s="71"/>
      <c r="OKW28" s="71"/>
      <c r="OKX28" s="71"/>
      <c r="OKY28" s="71"/>
      <c r="OKZ28" s="71"/>
      <c r="OLA28" s="71"/>
      <c r="OLB28" s="71"/>
      <c r="OLC28" s="71"/>
      <c r="OLD28" s="71"/>
      <c r="OLE28" s="71"/>
      <c r="OLF28" s="71"/>
      <c r="OLG28" s="71"/>
      <c r="OLH28" s="71"/>
      <c r="OLI28" s="71"/>
      <c r="OLJ28" s="71"/>
      <c r="OLK28" s="71"/>
      <c r="OLL28" s="71"/>
      <c r="OLM28" s="71"/>
      <c r="OLN28" s="71"/>
      <c r="OLO28" s="71"/>
      <c r="OLP28" s="71"/>
      <c r="OLQ28" s="71"/>
      <c r="OLR28" s="71"/>
      <c r="OLS28" s="71"/>
      <c r="OLT28" s="71"/>
      <c r="OLU28" s="71"/>
      <c r="OLV28" s="71"/>
      <c r="OLW28" s="71"/>
      <c r="OLX28" s="71"/>
      <c r="OLY28" s="71"/>
      <c r="OLZ28" s="71"/>
      <c r="OMA28" s="71"/>
      <c r="OMB28" s="71"/>
      <c r="OMC28" s="71"/>
      <c r="OMD28" s="71"/>
      <c r="OME28" s="71"/>
      <c r="OMF28" s="71"/>
      <c r="OMG28" s="71"/>
      <c r="OMH28" s="71"/>
      <c r="OMI28" s="71"/>
      <c r="OMJ28" s="71"/>
      <c r="OMK28" s="71"/>
      <c r="OML28" s="71"/>
      <c r="OMM28" s="71"/>
      <c r="OMN28" s="71"/>
      <c r="OMO28" s="71"/>
      <c r="OMP28" s="71"/>
      <c r="OMQ28" s="71"/>
      <c r="OMR28" s="71"/>
      <c r="OMS28" s="71"/>
      <c r="OMT28" s="71"/>
      <c r="OMU28" s="71"/>
      <c r="OMV28" s="71"/>
      <c r="OMW28" s="71"/>
      <c r="OMX28" s="71"/>
      <c r="OMY28" s="71"/>
      <c r="OMZ28" s="71"/>
      <c r="ONA28" s="71"/>
      <c r="ONB28" s="71"/>
      <c r="ONC28" s="71"/>
      <c r="OND28" s="71"/>
      <c r="ONE28" s="71"/>
      <c r="ONF28" s="71"/>
      <c r="ONG28" s="71"/>
      <c r="ONH28" s="71"/>
      <c r="ONI28" s="71"/>
      <c r="ONJ28" s="71"/>
      <c r="ONK28" s="71"/>
      <c r="ONL28" s="71"/>
      <c r="ONM28" s="71"/>
      <c r="ONN28" s="71"/>
      <c r="ONO28" s="71"/>
      <c r="ONP28" s="71"/>
      <c r="ONQ28" s="71"/>
      <c r="ONR28" s="71"/>
      <c r="ONS28" s="71"/>
      <c r="ONT28" s="71"/>
      <c r="ONU28" s="71"/>
      <c r="ONV28" s="71"/>
      <c r="ONW28" s="71"/>
      <c r="ONX28" s="71"/>
      <c r="ONY28" s="71"/>
      <c r="ONZ28" s="71"/>
      <c r="OOA28" s="71"/>
      <c r="OOB28" s="71"/>
      <c r="OOC28" s="71"/>
      <c r="OOD28" s="71"/>
      <c r="OOE28" s="71"/>
      <c r="OOF28" s="71"/>
      <c r="OOG28" s="71"/>
      <c r="OOH28" s="71"/>
      <c r="OOI28" s="71"/>
      <c r="OOJ28" s="71"/>
      <c r="OOK28" s="71"/>
      <c r="OOL28" s="71"/>
      <c r="OOM28" s="71"/>
      <c r="OON28" s="71"/>
      <c r="OOO28" s="71"/>
      <c r="OOP28" s="71"/>
      <c r="OOQ28" s="71"/>
      <c r="OOR28" s="71"/>
      <c r="OOS28" s="71"/>
      <c r="OOT28" s="71"/>
      <c r="OOU28" s="71"/>
      <c r="OOV28" s="71"/>
      <c r="OOW28" s="71"/>
      <c r="OOX28" s="71"/>
      <c r="OOY28" s="71"/>
      <c r="OOZ28" s="71"/>
      <c r="OPA28" s="71"/>
      <c r="OPB28" s="71"/>
      <c r="OPC28" s="71"/>
      <c r="OPD28" s="71"/>
      <c r="OPE28" s="71"/>
      <c r="OPF28" s="71"/>
      <c r="OPG28" s="71"/>
      <c r="OPH28" s="71"/>
      <c r="OPI28" s="71"/>
      <c r="OPJ28" s="71"/>
      <c r="OPK28" s="71"/>
      <c r="OPL28" s="71"/>
      <c r="OPM28" s="71"/>
      <c r="OPN28" s="71"/>
      <c r="OPO28" s="71"/>
      <c r="OPP28" s="71"/>
      <c r="OPQ28" s="71"/>
      <c r="OPR28" s="71"/>
      <c r="OPS28" s="71"/>
      <c r="OPT28" s="71"/>
      <c r="OPU28" s="71"/>
      <c r="OPV28" s="71"/>
      <c r="OPW28" s="71"/>
      <c r="OPX28" s="71"/>
      <c r="OPY28" s="71"/>
      <c r="OPZ28" s="71"/>
      <c r="OQA28" s="71"/>
      <c r="OQB28" s="71"/>
      <c r="OQC28" s="71"/>
      <c r="OQD28" s="71"/>
      <c r="OQE28" s="71"/>
      <c r="OQF28" s="71"/>
      <c r="OQG28" s="71"/>
      <c r="OQH28" s="71"/>
      <c r="OQI28" s="71"/>
      <c r="OQJ28" s="71"/>
      <c r="OQK28" s="71"/>
      <c r="OQL28" s="71"/>
      <c r="OQM28" s="71"/>
      <c r="OQN28" s="71"/>
      <c r="OQO28" s="71"/>
      <c r="OQP28" s="71"/>
      <c r="OQQ28" s="71"/>
      <c r="OQR28" s="71"/>
      <c r="OQS28" s="71"/>
      <c r="OQT28" s="71"/>
      <c r="OQU28" s="71"/>
      <c r="OQV28" s="71"/>
      <c r="OQW28" s="71"/>
      <c r="OQX28" s="71"/>
      <c r="OQY28" s="71"/>
      <c r="OQZ28" s="71"/>
      <c r="ORA28" s="71"/>
      <c r="ORB28" s="71"/>
      <c r="ORC28" s="71"/>
      <c r="ORD28" s="71"/>
      <c r="ORE28" s="71"/>
      <c r="ORF28" s="71"/>
      <c r="ORG28" s="71"/>
      <c r="ORH28" s="71"/>
      <c r="ORI28" s="71"/>
      <c r="ORJ28" s="71"/>
      <c r="ORK28" s="71"/>
      <c r="ORL28" s="71"/>
      <c r="ORM28" s="71"/>
      <c r="ORN28" s="71"/>
      <c r="ORO28" s="71"/>
      <c r="ORP28" s="71"/>
      <c r="ORQ28" s="71"/>
      <c r="ORR28" s="71"/>
      <c r="ORS28" s="71"/>
      <c r="ORT28" s="71"/>
      <c r="ORU28" s="71"/>
      <c r="ORV28" s="71"/>
      <c r="ORW28" s="71"/>
      <c r="ORX28" s="71"/>
      <c r="ORY28" s="71"/>
      <c r="ORZ28" s="71"/>
      <c r="OSA28" s="71"/>
      <c r="OSB28" s="71"/>
      <c r="OSC28" s="71"/>
      <c r="OSD28" s="71"/>
      <c r="OSE28" s="71"/>
      <c r="OSF28" s="71"/>
      <c r="OSG28" s="71"/>
      <c r="OSH28" s="71"/>
      <c r="OSI28" s="71"/>
      <c r="OSJ28" s="71"/>
      <c r="OSK28" s="71"/>
      <c r="OSL28" s="71"/>
      <c r="OSM28" s="71"/>
      <c r="OSN28" s="71"/>
      <c r="OSO28" s="71"/>
      <c r="OSP28" s="71"/>
      <c r="OSQ28" s="71"/>
      <c r="OSR28" s="71"/>
      <c r="OSS28" s="71"/>
      <c r="OST28" s="71"/>
      <c r="OSU28" s="71"/>
      <c r="OSV28" s="71"/>
      <c r="OSW28" s="71"/>
      <c r="OSX28" s="71"/>
      <c r="OSY28" s="71"/>
      <c r="OSZ28" s="71"/>
      <c r="OTA28" s="71"/>
      <c r="OTB28" s="71"/>
      <c r="OTC28" s="71"/>
      <c r="OTD28" s="71"/>
      <c r="OTE28" s="71"/>
      <c r="OTF28" s="71"/>
      <c r="OTG28" s="71"/>
      <c r="OTH28" s="71"/>
      <c r="OTI28" s="71"/>
      <c r="OTJ28" s="71"/>
      <c r="OTK28" s="71"/>
      <c r="OTL28" s="71"/>
      <c r="OTM28" s="71"/>
      <c r="OTN28" s="71"/>
      <c r="OTO28" s="71"/>
      <c r="OTP28" s="71"/>
      <c r="OTQ28" s="71"/>
      <c r="OTR28" s="71"/>
      <c r="OTS28" s="71"/>
      <c r="OTT28" s="71"/>
      <c r="OTU28" s="71"/>
      <c r="OTV28" s="71"/>
      <c r="OTW28" s="71"/>
      <c r="OTX28" s="71"/>
      <c r="OTY28" s="71"/>
      <c r="OTZ28" s="71"/>
      <c r="OUA28" s="71"/>
      <c r="OUB28" s="71"/>
      <c r="OUC28" s="71"/>
      <c r="OUD28" s="71"/>
      <c r="OUE28" s="71"/>
      <c r="OUF28" s="71"/>
      <c r="OUG28" s="71"/>
      <c r="OUH28" s="71"/>
      <c r="OUI28" s="71"/>
      <c r="OUJ28" s="71"/>
      <c r="OUK28" s="71"/>
      <c r="OUL28" s="71"/>
      <c r="OUM28" s="71"/>
      <c r="OUN28" s="71"/>
      <c r="OUO28" s="71"/>
      <c r="OUP28" s="71"/>
      <c r="OUQ28" s="71"/>
      <c r="OUR28" s="71"/>
      <c r="OUS28" s="71"/>
      <c r="OUT28" s="71"/>
      <c r="OUU28" s="71"/>
      <c r="OUV28" s="71"/>
      <c r="OUW28" s="71"/>
      <c r="OUX28" s="71"/>
      <c r="OUY28" s="71"/>
      <c r="OUZ28" s="71"/>
      <c r="OVA28" s="71"/>
      <c r="OVB28" s="71"/>
      <c r="OVC28" s="71"/>
      <c r="OVD28" s="71"/>
      <c r="OVE28" s="71"/>
      <c r="OVF28" s="71"/>
      <c r="OVG28" s="71"/>
      <c r="OVH28" s="71"/>
      <c r="OVI28" s="71"/>
      <c r="OVJ28" s="71"/>
      <c r="OVK28" s="71"/>
      <c r="OVL28" s="71"/>
      <c r="OVM28" s="71"/>
      <c r="OVN28" s="71"/>
      <c r="OVO28" s="71"/>
      <c r="OVP28" s="71"/>
      <c r="OVQ28" s="71"/>
      <c r="OVR28" s="71"/>
      <c r="OVS28" s="71"/>
      <c r="OVT28" s="71"/>
      <c r="OVU28" s="71"/>
      <c r="OVV28" s="71"/>
      <c r="OVW28" s="71"/>
      <c r="OVX28" s="71"/>
      <c r="OVY28" s="71"/>
      <c r="OVZ28" s="71"/>
      <c r="OWA28" s="71"/>
      <c r="OWB28" s="71"/>
      <c r="OWC28" s="71"/>
      <c r="OWD28" s="71"/>
      <c r="OWE28" s="71"/>
      <c r="OWF28" s="71"/>
      <c r="OWG28" s="71"/>
      <c r="OWH28" s="71"/>
      <c r="OWI28" s="71"/>
      <c r="OWJ28" s="71"/>
      <c r="OWK28" s="71"/>
      <c r="OWL28" s="71"/>
      <c r="OWM28" s="71"/>
      <c r="OWN28" s="71"/>
      <c r="OWO28" s="71"/>
      <c r="OWP28" s="71"/>
      <c r="OWQ28" s="71"/>
      <c r="OWR28" s="71"/>
      <c r="OWS28" s="71"/>
      <c r="OWT28" s="71"/>
      <c r="OWU28" s="71"/>
      <c r="OWV28" s="71"/>
      <c r="OWW28" s="71"/>
      <c r="OWX28" s="71"/>
      <c r="OWY28" s="71"/>
      <c r="OWZ28" s="71"/>
      <c r="OXA28" s="71"/>
      <c r="OXB28" s="71"/>
      <c r="OXC28" s="71"/>
      <c r="OXD28" s="71"/>
      <c r="OXE28" s="71"/>
      <c r="OXF28" s="71"/>
      <c r="OXG28" s="71"/>
      <c r="OXH28" s="71"/>
      <c r="OXI28" s="71"/>
      <c r="OXJ28" s="71"/>
      <c r="OXK28" s="71"/>
      <c r="OXL28" s="71"/>
      <c r="OXM28" s="71"/>
      <c r="OXN28" s="71"/>
      <c r="OXO28" s="71"/>
      <c r="OXP28" s="71"/>
      <c r="OXQ28" s="71"/>
      <c r="OXR28" s="71"/>
      <c r="OXS28" s="71"/>
      <c r="OXT28" s="71"/>
      <c r="OXU28" s="71"/>
      <c r="OXV28" s="71"/>
      <c r="OXW28" s="71"/>
      <c r="OXX28" s="71"/>
      <c r="OXY28" s="71"/>
      <c r="OXZ28" s="71"/>
      <c r="OYA28" s="71"/>
      <c r="OYB28" s="71"/>
      <c r="OYC28" s="71"/>
      <c r="OYD28" s="71"/>
      <c r="OYE28" s="71"/>
      <c r="OYF28" s="71"/>
      <c r="OYG28" s="71"/>
      <c r="OYH28" s="71"/>
      <c r="OYI28" s="71"/>
      <c r="OYJ28" s="71"/>
      <c r="OYK28" s="71"/>
      <c r="OYL28" s="71"/>
      <c r="OYM28" s="71"/>
      <c r="OYN28" s="71"/>
      <c r="OYO28" s="71"/>
      <c r="OYP28" s="71"/>
      <c r="OYQ28" s="71"/>
      <c r="OYR28" s="71"/>
      <c r="OYS28" s="71"/>
      <c r="OYT28" s="71"/>
      <c r="OYU28" s="71"/>
      <c r="OYV28" s="71"/>
      <c r="OYW28" s="71"/>
      <c r="OYX28" s="71"/>
      <c r="OYY28" s="71"/>
      <c r="OYZ28" s="71"/>
      <c r="OZA28" s="71"/>
      <c r="OZB28" s="71"/>
      <c r="OZC28" s="71"/>
      <c r="OZD28" s="71"/>
      <c r="OZE28" s="71"/>
      <c r="OZF28" s="71"/>
      <c r="OZG28" s="71"/>
      <c r="OZH28" s="71"/>
      <c r="OZI28" s="71"/>
      <c r="OZJ28" s="71"/>
      <c r="OZK28" s="71"/>
      <c r="OZL28" s="71"/>
      <c r="OZM28" s="71"/>
      <c r="OZN28" s="71"/>
      <c r="OZO28" s="71"/>
      <c r="OZP28" s="71"/>
      <c r="OZQ28" s="71"/>
      <c r="OZR28" s="71"/>
      <c r="OZS28" s="71"/>
      <c r="OZT28" s="71"/>
      <c r="OZU28" s="71"/>
      <c r="OZV28" s="71"/>
      <c r="OZW28" s="71"/>
      <c r="OZX28" s="71"/>
      <c r="OZY28" s="71"/>
      <c r="OZZ28" s="71"/>
      <c r="PAA28" s="71"/>
      <c r="PAB28" s="71"/>
      <c r="PAC28" s="71"/>
      <c r="PAD28" s="71"/>
      <c r="PAE28" s="71"/>
      <c r="PAF28" s="71"/>
      <c r="PAG28" s="71"/>
      <c r="PAH28" s="71"/>
      <c r="PAI28" s="71"/>
      <c r="PAJ28" s="71"/>
      <c r="PAK28" s="71"/>
      <c r="PAL28" s="71"/>
      <c r="PAM28" s="71"/>
      <c r="PAN28" s="71"/>
      <c r="PAO28" s="71"/>
      <c r="PAP28" s="71"/>
      <c r="PAQ28" s="71"/>
      <c r="PAR28" s="71"/>
      <c r="PAS28" s="71"/>
      <c r="PAT28" s="71"/>
      <c r="PAU28" s="71"/>
      <c r="PAV28" s="71"/>
      <c r="PAW28" s="71"/>
      <c r="PAX28" s="71"/>
      <c r="PAY28" s="71"/>
      <c r="PAZ28" s="71"/>
      <c r="PBA28" s="71"/>
      <c r="PBB28" s="71"/>
      <c r="PBC28" s="71"/>
      <c r="PBD28" s="71"/>
      <c r="PBE28" s="71"/>
      <c r="PBF28" s="71"/>
      <c r="PBG28" s="71"/>
      <c r="PBH28" s="71"/>
      <c r="PBI28" s="71"/>
      <c r="PBJ28" s="71"/>
      <c r="PBK28" s="71"/>
      <c r="PBL28" s="71"/>
      <c r="PBM28" s="71"/>
      <c r="PBN28" s="71"/>
      <c r="PBO28" s="71"/>
      <c r="PBP28" s="71"/>
      <c r="PBQ28" s="71"/>
      <c r="PBR28" s="71"/>
      <c r="PBS28" s="71"/>
      <c r="PBT28" s="71"/>
      <c r="PBU28" s="71"/>
      <c r="PBV28" s="71"/>
      <c r="PBW28" s="71"/>
      <c r="PBX28" s="71"/>
      <c r="PBY28" s="71"/>
      <c r="PBZ28" s="71"/>
      <c r="PCA28" s="71"/>
      <c r="PCB28" s="71"/>
      <c r="PCC28" s="71"/>
      <c r="PCD28" s="71"/>
      <c r="PCE28" s="71"/>
      <c r="PCF28" s="71"/>
      <c r="PCG28" s="71"/>
      <c r="PCH28" s="71"/>
      <c r="PCI28" s="71"/>
      <c r="PCJ28" s="71"/>
      <c r="PCK28" s="71"/>
      <c r="PCL28" s="71"/>
      <c r="PCM28" s="71"/>
      <c r="PCN28" s="71"/>
      <c r="PCO28" s="71"/>
      <c r="PCP28" s="71"/>
      <c r="PCQ28" s="71"/>
      <c r="PCR28" s="71"/>
      <c r="PCS28" s="71"/>
      <c r="PCT28" s="71"/>
      <c r="PCU28" s="71"/>
      <c r="PCV28" s="71"/>
      <c r="PCW28" s="71"/>
      <c r="PCX28" s="71"/>
      <c r="PCY28" s="71"/>
      <c r="PCZ28" s="71"/>
      <c r="PDA28" s="71"/>
      <c r="PDB28" s="71"/>
      <c r="PDC28" s="71"/>
      <c r="PDD28" s="71"/>
      <c r="PDE28" s="71"/>
      <c r="PDF28" s="71"/>
      <c r="PDG28" s="71"/>
      <c r="PDH28" s="71"/>
      <c r="PDI28" s="71"/>
      <c r="PDJ28" s="71"/>
      <c r="PDK28" s="71"/>
      <c r="PDL28" s="71"/>
      <c r="PDM28" s="71"/>
      <c r="PDN28" s="71"/>
      <c r="PDO28" s="71"/>
      <c r="PDP28" s="71"/>
      <c r="PDQ28" s="71"/>
      <c r="PDR28" s="71"/>
      <c r="PDS28" s="71"/>
      <c r="PDT28" s="71"/>
      <c r="PDU28" s="71"/>
      <c r="PDV28" s="71"/>
      <c r="PDW28" s="71"/>
      <c r="PDX28" s="71"/>
      <c r="PDY28" s="71"/>
      <c r="PDZ28" s="71"/>
      <c r="PEA28" s="71"/>
      <c r="PEB28" s="71"/>
      <c r="PEC28" s="71"/>
      <c r="PED28" s="71"/>
      <c r="PEE28" s="71"/>
      <c r="PEF28" s="71"/>
      <c r="PEG28" s="71"/>
      <c r="PEH28" s="71"/>
      <c r="PEI28" s="71"/>
      <c r="PEJ28" s="71"/>
      <c r="PEK28" s="71"/>
      <c r="PEL28" s="71"/>
      <c r="PEM28" s="71"/>
      <c r="PEN28" s="71"/>
      <c r="PEO28" s="71"/>
      <c r="PEP28" s="71"/>
      <c r="PEQ28" s="71"/>
      <c r="PER28" s="71"/>
      <c r="PES28" s="71"/>
      <c r="PET28" s="71"/>
      <c r="PEU28" s="71"/>
      <c r="PEV28" s="71"/>
      <c r="PEW28" s="71"/>
      <c r="PEX28" s="71"/>
      <c r="PEY28" s="71"/>
      <c r="PEZ28" s="71"/>
      <c r="PFA28" s="71"/>
      <c r="PFB28" s="71"/>
      <c r="PFC28" s="71"/>
      <c r="PFD28" s="71"/>
      <c r="PFE28" s="71"/>
      <c r="PFF28" s="71"/>
      <c r="PFG28" s="71"/>
      <c r="PFH28" s="71"/>
      <c r="PFI28" s="71"/>
      <c r="PFJ28" s="71"/>
      <c r="PFK28" s="71"/>
      <c r="PFL28" s="71"/>
      <c r="PFM28" s="71"/>
      <c r="PFN28" s="71"/>
      <c r="PFO28" s="71"/>
      <c r="PFP28" s="71"/>
      <c r="PFQ28" s="71"/>
      <c r="PFR28" s="71"/>
      <c r="PFS28" s="71"/>
      <c r="PFT28" s="71"/>
      <c r="PFU28" s="71"/>
      <c r="PFV28" s="71"/>
      <c r="PFW28" s="71"/>
      <c r="PFX28" s="71"/>
      <c r="PFY28" s="71"/>
      <c r="PFZ28" s="71"/>
      <c r="PGA28" s="71"/>
      <c r="PGB28" s="71"/>
      <c r="PGC28" s="71"/>
      <c r="PGD28" s="71"/>
      <c r="PGE28" s="71"/>
      <c r="PGF28" s="71"/>
      <c r="PGG28" s="71"/>
      <c r="PGH28" s="71"/>
      <c r="PGI28" s="71"/>
      <c r="PGJ28" s="71"/>
      <c r="PGK28" s="71"/>
      <c r="PGL28" s="71"/>
      <c r="PGM28" s="71"/>
      <c r="PGN28" s="71"/>
      <c r="PGO28" s="71"/>
      <c r="PGP28" s="71"/>
      <c r="PGQ28" s="71"/>
      <c r="PGR28" s="71"/>
      <c r="PGS28" s="71"/>
      <c r="PGT28" s="71"/>
      <c r="PGU28" s="71"/>
      <c r="PGV28" s="71"/>
      <c r="PGW28" s="71"/>
      <c r="PGX28" s="71"/>
      <c r="PGY28" s="71"/>
      <c r="PGZ28" s="71"/>
      <c r="PHA28" s="71"/>
      <c r="PHB28" s="71"/>
      <c r="PHC28" s="71"/>
      <c r="PHD28" s="71"/>
      <c r="PHE28" s="71"/>
      <c r="PHF28" s="71"/>
      <c r="PHG28" s="71"/>
      <c r="PHH28" s="71"/>
      <c r="PHI28" s="71"/>
      <c r="PHJ28" s="71"/>
      <c r="PHK28" s="71"/>
      <c r="PHL28" s="71"/>
      <c r="PHM28" s="71"/>
      <c r="PHN28" s="71"/>
      <c r="PHO28" s="71"/>
      <c r="PHP28" s="71"/>
      <c r="PHQ28" s="71"/>
      <c r="PHR28" s="71"/>
      <c r="PHS28" s="71"/>
      <c r="PHT28" s="71"/>
      <c r="PHU28" s="71"/>
      <c r="PHV28" s="71"/>
      <c r="PHW28" s="71"/>
      <c r="PHX28" s="71"/>
      <c r="PHY28" s="71"/>
      <c r="PHZ28" s="71"/>
      <c r="PIA28" s="71"/>
      <c r="PIB28" s="71"/>
      <c r="PIC28" s="71"/>
      <c r="PID28" s="71"/>
      <c r="PIE28" s="71"/>
      <c r="PIF28" s="71"/>
      <c r="PIG28" s="71"/>
      <c r="PIH28" s="71"/>
      <c r="PII28" s="71"/>
      <c r="PIJ28" s="71"/>
      <c r="PIK28" s="71"/>
      <c r="PIL28" s="71"/>
      <c r="PIM28" s="71"/>
      <c r="PIN28" s="71"/>
      <c r="PIO28" s="71"/>
      <c r="PIP28" s="71"/>
      <c r="PIQ28" s="71"/>
      <c r="PIR28" s="71"/>
      <c r="PIS28" s="71"/>
      <c r="PIT28" s="71"/>
      <c r="PIU28" s="71"/>
      <c r="PIV28" s="71"/>
      <c r="PIW28" s="71"/>
      <c r="PIX28" s="71"/>
      <c r="PIY28" s="71"/>
      <c r="PIZ28" s="71"/>
      <c r="PJA28" s="71"/>
      <c r="PJB28" s="71"/>
      <c r="PJC28" s="71"/>
      <c r="PJD28" s="71"/>
      <c r="PJE28" s="71"/>
      <c r="PJF28" s="71"/>
      <c r="PJG28" s="71"/>
      <c r="PJH28" s="71"/>
      <c r="PJI28" s="71"/>
      <c r="PJJ28" s="71"/>
      <c r="PJK28" s="71"/>
      <c r="PJL28" s="71"/>
      <c r="PJM28" s="71"/>
      <c r="PJN28" s="71"/>
      <c r="PJO28" s="71"/>
      <c r="PJP28" s="71"/>
      <c r="PJQ28" s="71"/>
      <c r="PJR28" s="71"/>
      <c r="PJS28" s="71"/>
      <c r="PJT28" s="71"/>
      <c r="PJU28" s="71"/>
      <c r="PJV28" s="71"/>
      <c r="PJW28" s="71"/>
      <c r="PJX28" s="71"/>
      <c r="PJY28" s="71"/>
      <c r="PJZ28" s="71"/>
      <c r="PKA28" s="71"/>
      <c r="PKB28" s="71"/>
      <c r="PKC28" s="71"/>
      <c r="PKD28" s="71"/>
      <c r="PKE28" s="71"/>
      <c r="PKF28" s="71"/>
      <c r="PKG28" s="71"/>
      <c r="PKH28" s="71"/>
      <c r="PKI28" s="71"/>
      <c r="PKJ28" s="71"/>
      <c r="PKK28" s="71"/>
      <c r="PKL28" s="71"/>
      <c r="PKM28" s="71"/>
      <c r="PKN28" s="71"/>
      <c r="PKO28" s="71"/>
      <c r="PKP28" s="71"/>
      <c r="PKQ28" s="71"/>
      <c r="PKR28" s="71"/>
      <c r="PKS28" s="71"/>
      <c r="PKT28" s="71"/>
      <c r="PKU28" s="71"/>
      <c r="PKV28" s="71"/>
      <c r="PKW28" s="71"/>
      <c r="PKX28" s="71"/>
      <c r="PKY28" s="71"/>
      <c r="PKZ28" s="71"/>
      <c r="PLA28" s="71"/>
      <c r="PLB28" s="71"/>
      <c r="PLC28" s="71"/>
      <c r="PLD28" s="71"/>
      <c r="PLE28" s="71"/>
      <c r="PLF28" s="71"/>
      <c r="PLG28" s="71"/>
      <c r="PLH28" s="71"/>
      <c r="PLI28" s="71"/>
      <c r="PLJ28" s="71"/>
      <c r="PLK28" s="71"/>
      <c r="PLL28" s="71"/>
      <c r="PLM28" s="71"/>
      <c r="PLN28" s="71"/>
      <c r="PLO28" s="71"/>
      <c r="PLP28" s="71"/>
      <c r="PLQ28" s="71"/>
      <c r="PLR28" s="71"/>
      <c r="PLS28" s="71"/>
      <c r="PLT28" s="71"/>
      <c r="PLU28" s="71"/>
      <c r="PLV28" s="71"/>
      <c r="PLW28" s="71"/>
      <c r="PLX28" s="71"/>
      <c r="PLY28" s="71"/>
      <c r="PLZ28" s="71"/>
      <c r="PMA28" s="71"/>
      <c r="PMB28" s="71"/>
      <c r="PMC28" s="71"/>
      <c r="PMD28" s="71"/>
      <c r="PME28" s="71"/>
      <c r="PMF28" s="71"/>
      <c r="PMG28" s="71"/>
      <c r="PMH28" s="71"/>
      <c r="PMI28" s="71"/>
      <c r="PMJ28" s="71"/>
      <c r="PMK28" s="71"/>
      <c r="PML28" s="71"/>
      <c r="PMM28" s="71"/>
      <c r="PMN28" s="71"/>
      <c r="PMO28" s="71"/>
      <c r="PMP28" s="71"/>
      <c r="PMQ28" s="71"/>
      <c r="PMR28" s="71"/>
      <c r="PMS28" s="71"/>
      <c r="PMT28" s="71"/>
      <c r="PMU28" s="71"/>
      <c r="PMV28" s="71"/>
      <c r="PMW28" s="71"/>
      <c r="PMX28" s="71"/>
      <c r="PMY28" s="71"/>
      <c r="PMZ28" s="71"/>
      <c r="PNA28" s="71"/>
      <c r="PNB28" s="71"/>
      <c r="PNC28" s="71"/>
      <c r="PND28" s="71"/>
      <c r="PNE28" s="71"/>
      <c r="PNF28" s="71"/>
      <c r="PNG28" s="71"/>
      <c r="PNH28" s="71"/>
      <c r="PNI28" s="71"/>
      <c r="PNJ28" s="71"/>
      <c r="PNK28" s="71"/>
      <c r="PNL28" s="71"/>
      <c r="PNM28" s="71"/>
      <c r="PNN28" s="71"/>
      <c r="PNO28" s="71"/>
      <c r="PNP28" s="71"/>
      <c r="PNQ28" s="71"/>
      <c r="PNR28" s="71"/>
      <c r="PNS28" s="71"/>
      <c r="PNT28" s="71"/>
      <c r="PNU28" s="71"/>
      <c r="PNV28" s="71"/>
      <c r="PNW28" s="71"/>
      <c r="PNX28" s="71"/>
      <c r="PNY28" s="71"/>
      <c r="PNZ28" s="71"/>
      <c r="POA28" s="71"/>
      <c r="POB28" s="71"/>
      <c r="POC28" s="71"/>
      <c r="POD28" s="71"/>
      <c r="POE28" s="71"/>
      <c r="POF28" s="71"/>
      <c r="POG28" s="71"/>
      <c r="POH28" s="71"/>
      <c r="POI28" s="71"/>
      <c r="POJ28" s="71"/>
      <c r="POK28" s="71"/>
      <c r="POL28" s="71"/>
      <c r="POM28" s="71"/>
      <c r="PON28" s="71"/>
      <c r="POO28" s="71"/>
      <c r="POP28" s="71"/>
      <c r="POQ28" s="71"/>
      <c r="POR28" s="71"/>
      <c r="POS28" s="71"/>
      <c r="POT28" s="71"/>
      <c r="POU28" s="71"/>
      <c r="POV28" s="71"/>
      <c r="POW28" s="71"/>
      <c r="POX28" s="71"/>
      <c r="POY28" s="71"/>
      <c r="POZ28" s="71"/>
      <c r="PPA28" s="71"/>
      <c r="PPB28" s="71"/>
      <c r="PPC28" s="71"/>
      <c r="PPD28" s="71"/>
      <c r="PPE28" s="71"/>
      <c r="PPF28" s="71"/>
      <c r="PPG28" s="71"/>
      <c r="PPH28" s="71"/>
      <c r="PPI28" s="71"/>
      <c r="PPJ28" s="71"/>
      <c r="PPK28" s="71"/>
      <c r="PPL28" s="71"/>
      <c r="PPM28" s="71"/>
      <c r="PPN28" s="71"/>
      <c r="PPO28" s="71"/>
      <c r="PPP28" s="71"/>
      <c r="PPQ28" s="71"/>
      <c r="PPR28" s="71"/>
      <c r="PPS28" s="71"/>
      <c r="PPT28" s="71"/>
      <c r="PPU28" s="71"/>
      <c r="PPV28" s="71"/>
      <c r="PPW28" s="71"/>
      <c r="PPX28" s="71"/>
      <c r="PPY28" s="71"/>
      <c r="PPZ28" s="71"/>
      <c r="PQA28" s="71"/>
      <c r="PQB28" s="71"/>
      <c r="PQC28" s="71"/>
      <c r="PQD28" s="71"/>
      <c r="PQE28" s="71"/>
      <c r="PQF28" s="71"/>
      <c r="PQG28" s="71"/>
      <c r="PQH28" s="71"/>
      <c r="PQI28" s="71"/>
      <c r="PQJ28" s="71"/>
      <c r="PQK28" s="71"/>
      <c r="PQL28" s="71"/>
      <c r="PQM28" s="71"/>
      <c r="PQN28" s="71"/>
      <c r="PQO28" s="71"/>
      <c r="PQP28" s="71"/>
      <c r="PQQ28" s="71"/>
      <c r="PQR28" s="71"/>
      <c r="PQS28" s="71"/>
      <c r="PQT28" s="71"/>
      <c r="PQU28" s="71"/>
      <c r="PQV28" s="71"/>
      <c r="PQW28" s="71"/>
      <c r="PQX28" s="71"/>
      <c r="PQY28" s="71"/>
      <c r="PQZ28" s="71"/>
      <c r="PRA28" s="71"/>
      <c r="PRB28" s="71"/>
      <c r="PRC28" s="71"/>
      <c r="PRD28" s="71"/>
      <c r="PRE28" s="71"/>
      <c r="PRF28" s="71"/>
      <c r="PRG28" s="71"/>
      <c r="PRH28" s="71"/>
      <c r="PRI28" s="71"/>
      <c r="PRJ28" s="71"/>
      <c r="PRK28" s="71"/>
      <c r="PRL28" s="71"/>
      <c r="PRM28" s="71"/>
      <c r="PRN28" s="71"/>
      <c r="PRO28" s="71"/>
      <c r="PRP28" s="71"/>
      <c r="PRQ28" s="71"/>
      <c r="PRR28" s="71"/>
      <c r="PRS28" s="71"/>
      <c r="PRT28" s="71"/>
      <c r="PRU28" s="71"/>
      <c r="PRV28" s="71"/>
      <c r="PRW28" s="71"/>
      <c r="PRX28" s="71"/>
      <c r="PRY28" s="71"/>
      <c r="PRZ28" s="71"/>
      <c r="PSA28" s="71"/>
      <c r="PSB28" s="71"/>
      <c r="PSC28" s="71"/>
      <c r="PSD28" s="71"/>
      <c r="PSE28" s="71"/>
      <c r="PSF28" s="71"/>
      <c r="PSG28" s="71"/>
      <c r="PSH28" s="71"/>
      <c r="PSI28" s="71"/>
      <c r="PSJ28" s="71"/>
      <c r="PSK28" s="71"/>
      <c r="PSL28" s="71"/>
      <c r="PSM28" s="71"/>
      <c r="PSN28" s="71"/>
      <c r="PSO28" s="71"/>
      <c r="PSP28" s="71"/>
      <c r="PSQ28" s="71"/>
      <c r="PSR28" s="71"/>
      <c r="PSS28" s="71"/>
      <c r="PST28" s="71"/>
      <c r="PSU28" s="71"/>
      <c r="PSV28" s="71"/>
      <c r="PSW28" s="71"/>
      <c r="PSX28" s="71"/>
      <c r="PSY28" s="71"/>
      <c r="PSZ28" s="71"/>
      <c r="PTA28" s="71"/>
      <c r="PTB28" s="71"/>
      <c r="PTC28" s="71"/>
      <c r="PTD28" s="71"/>
      <c r="PTE28" s="71"/>
      <c r="PTF28" s="71"/>
      <c r="PTG28" s="71"/>
      <c r="PTH28" s="71"/>
      <c r="PTI28" s="71"/>
      <c r="PTJ28" s="71"/>
      <c r="PTK28" s="71"/>
      <c r="PTL28" s="71"/>
      <c r="PTM28" s="71"/>
      <c r="PTN28" s="71"/>
      <c r="PTO28" s="71"/>
      <c r="PTP28" s="71"/>
      <c r="PTQ28" s="71"/>
      <c r="PTR28" s="71"/>
      <c r="PTS28" s="71"/>
      <c r="PTT28" s="71"/>
      <c r="PTU28" s="71"/>
      <c r="PTV28" s="71"/>
      <c r="PTW28" s="71"/>
      <c r="PTX28" s="71"/>
      <c r="PTY28" s="71"/>
      <c r="PTZ28" s="71"/>
      <c r="PUA28" s="71"/>
      <c r="PUB28" s="71"/>
      <c r="PUC28" s="71"/>
      <c r="PUD28" s="71"/>
      <c r="PUE28" s="71"/>
      <c r="PUF28" s="71"/>
      <c r="PUG28" s="71"/>
      <c r="PUH28" s="71"/>
      <c r="PUI28" s="71"/>
      <c r="PUJ28" s="71"/>
      <c r="PUK28" s="71"/>
      <c r="PUL28" s="71"/>
      <c r="PUM28" s="71"/>
      <c r="PUN28" s="71"/>
      <c r="PUO28" s="71"/>
      <c r="PUP28" s="71"/>
      <c r="PUQ28" s="71"/>
      <c r="PUR28" s="71"/>
      <c r="PUS28" s="71"/>
      <c r="PUT28" s="71"/>
      <c r="PUU28" s="71"/>
      <c r="PUV28" s="71"/>
      <c r="PUW28" s="71"/>
      <c r="PUX28" s="71"/>
      <c r="PUY28" s="71"/>
      <c r="PUZ28" s="71"/>
      <c r="PVA28" s="71"/>
      <c r="PVB28" s="71"/>
      <c r="PVC28" s="71"/>
      <c r="PVD28" s="71"/>
      <c r="PVE28" s="71"/>
      <c r="PVF28" s="71"/>
      <c r="PVG28" s="71"/>
      <c r="PVH28" s="71"/>
      <c r="PVI28" s="71"/>
      <c r="PVJ28" s="71"/>
      <c r="PVK28" s="71"/>
      <c r="PVL28" s="71"/>
      <c r="PVM28" s="71"/>
      <c r="PVN28" s="71"/>
      <c r="PVO28" s="71"/>
      <c r="PVP28" s="71"/>
      <c r="PVQ28" s="71"/>
      <c r="PVR28" s="71"/>
      <c r="PVS28" s="71"/>
      <c r="PVT28" s="71"/>
      <c r="PVU28" s="71"/>
      <c r="PVV28" s="71"/>
      <c r="PVW28" s="71"/>
      <c r="PVX28" s="71"/>
      <c r="PVY28" s="71"/>
      <c r="PVZ28" s="71"/>
      <c r="PWA28" s="71"/>
      <c r="PWB28" s="71"/>
      <c r="PWC28" s="71"/>
      <c r="PWD28" s="71"/>
      <c r="PWE28" s="71"/>
      <c r="PWF28" s="71"/>
      <c r="PWG28" s="71"/>
      <c r="PWH28" s="71"/>
      <c r="PWI28" s="71"/>
      <c r="PWJ28" s="71"/>
      <c r="PWK28" s="71"/>
      <c r="PWL28" s="71"/>
      <c r="PWM28" s="71"/>
      <c r="PWN28" s="71"/>
      <c r="PWO28" s="71"/>
      <c r="PWP28" s="71"/>
      <c r="PWQ28" s="71"/>
      <c r="PWR28" s="71"/>
      <c r="PWS28" s="71"/>
      <c r="PWT28" s="71"/>
      <c r="PWU28" s="71"/>
      <c r="PWV28" s="71"/>
      <c r="PWW28" s="71"/>
      <c r="PWX28" s="71"/>
      <c r="PWY28" s="71"/>
      <c r="PWZ28" s="71"/>
      <c r="PXA28" s="71"/>
      <c r="PXB28" s="71"/>
      <c r="PXC28" s="71"/>
      <c r="PXD28" s="71"/>
      <c r="PXE28" s="71"/>
      <c r="PXF28" s="71"/>
      <c r="PXG28" s="71"/>
      <c r="PXH28" s="71"/>
      <c r="PXI28" s="71"/>
      <c r="PXJ28" s="71"/>
      <c r="PXK28" s="71"/>
      <c r="PXL28" s="71"/>
      <c r="PXM28" s="71"/>
      <c r="PXN28" s="71"/>
      <c r="PXO28" s="71"/>
      <c r="PXP28" s="71"/>
      <c r="PXQ28" s="71"/>
      <c r="PXR28" s="71"/>
      <c r="PXS28" s="71"/>
      <c r="PXT28" s="71"/>
      <c r="PXU28" s="71"/>
      <c r="PXV28" s="71"/>
      <c r="PXW28" s="71"/>
      <c r="PXX28" s="71"/>
      <c r="PXY28" s="71"/>
      <c r="PXZ28" s="71"/>
      <c r="PYA28" s="71"/>
      <c r="PYB28" s="71"/>
      <c r="PYC28" s="71"/>
      <c r="PYD28" s="71"/>
      <c r="PYE28" s="71"/>
      <c r="PYF28" s="71"/>
      <c r="PYG28" s="71"/>
      <c r="PYH28" s="71"/>
      <c r="PYI28" s="71"/>
      <c r="PYJ28" s="71"/>
      <c r="PYK28" s="71"/>
      <c r="PYL28" s="71"/>
      <c r="PYM28" s="71"/>
      <c r="PYN28" s="71"/>
      <c r="PYO28" s="71"/>
      <c r="PYP28" s="71"/>
      <c r="PYQ28" s="71"/>
      <c r="PYR28" s="71"/>
      <c r="PYS28" s="71"/>
      <c r="PYT28" s="71"/>
      <c r="PYU28" s="71"/>
      <c r="PYV28" s="71"/>
      <c r="PYW28" s="71"/>
      <c r="PYX28" s="71"/>
      <c r="PYY28" s="71"/>
      <c r="PYZ28" s="71"/>
      <c r="PZA28" s="71"/>
      <c r="PZB28" s="71"/>
      <c r="PZC28" s="71"/>
      <c r="PZD28" s="71"/>
      <c r="PZE28" s="71"/>
      <c r="PZF28" s="71"/>
      <c r="PZG28" s="71"/>
      <c r="PZH28" s="71"/>
      <c r="PZI28" s="71"/>
      <c r="PZJ28" s="71"/>
      <c r="PZK28" s="71"/>
      <c r="PZL28" s="71"/>
      <c r="PZM28" s="71"/>
      <c r="PZN28" s="71"/>
      <c r="PZO28" s="71"/>
      <c r="PZP28" s="71"/>
      <c r="PZQ28" s="71"/>
      <c r="PZR28" s="71"/>
      <c r="PZS28" s="71"/>
      <c r="PZT28" s="71"/>
      <c r="PZU28" s="71"/>
      <c r="PZV28" s="71"/>
      <c r="PZW28" s="71"/>
      <c r="PZX28" s="71"/>
      <c r="PZY28" s="71"/>
      <c r="PZZ28" s="71"/>
      <c r="QAA28" s="71"/>
      <c r="QAB28" s="71"/>
      <c r="QAC28" s="71"/>
      <c r="QAD28" s="71"/>
      <c r="QAE28" s="71"/>
      <c r="QAF28" s="71"/>
      <c r="QAG28" s="71"/>
      <c r="QAH28" s="71"/>
      <c r="QAI28" s="71"/>
      <c r="QAJ28" s="71"/>
      <c r="QAK28" s="71"/>
      <c r="QAL28" s="71"/>
      <c r="QAM28" s="71"/>
      <c r="QAN28" s="71"/>
      <c r="QAO28" s="71"/>
      <c r="QAP28" s="71"/>
      <c r="QAQ28" s="71"/>
      <c r="QAR28" s="71"/>
      <c r="QAS28" s="71"/>
      <c r="QAT28" s="71"/>
      <c r="QAU28" s="71"/>
      <c r="QAV28" s="71"/>
      <c r="QAW28" s="71"/>
      <c r="QAX28" s="71"/>
      <c r="QAY28" s="71"/>
      <c r="QAZ28" s="71"/>
      <c r="QBA28" s="71"/>
      <c r="QBB28" s="71"/>
      <c r="QBC28" s="71"/>
      <c r="QBD28" s="71"/>
      <c r="QBE28" s="71"/>
      <c r="QBF28" s="71"/>
      <c r="QBG28" s="71"/>
      <c r="QBH28" s="71"/>
      <c r="QBI28" s="71"/>
      <c r="QBJ28" s="71"/>
      <c r="QBK28" s="71"/>
      <c r="QBL28" s="71"/>
      <c r="QBM28" s="71"/>
      <c r="QBN28" s="71"/>
      <c r="QBO28" s="71"/>
      <c r="QBP28" s="71"/>
      <c r="QBQ28" s="71"/>
      <c r="QBR28" s="71"/>
      <c r="QBS28" s="71"/>
      <c r="QBT28" s="71"/>
      <c r="QBU28" s="71"/>
      <c r="QBV28" s="71"/>
      <c r="QBW28" s="71"/>
      <c r="QBX28" s="71"/>
      <c r="QBY28" s="71"/>
      <c r="QBZ28" s="71"/>
      <c r="QCA28" s="71"/>
      <c r="QCB28" s="71"/>
      <c r="QCC28" s="71"/>
      <c r="QCD28" s="71"/>
      <c r="QCE28" s="71"/>
      <c r="QCF28" s="71"/>
      <c r="QCG28" s="71"/>
      <c r="QCH28" s="71"/>
      <c r="QCI28" s="71"/>
      <c r="QCJ28" s="71"/>
      <c r="QCK28" s="71"/>
      <c r="QCL28" s="71"/>
      <c r="QCM28" s="71"/>
      <c r="QCN28" s="71"/>
      <c r="QCO28" s="71"/>
      <c r="QCP28" s="71"/>
      <c r="QCQ28" s="71"/>
      <c r="QCR28" s="71"/>
      <c r="QCS28" s="71"/>
      <c r="QCT28" s="71"/>
      <c r="QCU28" s="71"/>
      <c r="QCV28" s="71"/>
      <c r="QCW28" s="71"/>
      <c r="QCX28" s="71"/>
      <c r="QCY28" s="71"/>
      <c r="QCZ28" s="71"/>
      <c r="QDA28" s="71"/>
      <c r="QDB28" s="71"/>
      <c r="QDC28" s="71"/>
      <c r="QDD28" s="71"/>
      <c r="QDE28" s="71"/>
      <c r="QDF28" s="71"/>
      <c r="QDG28" s="71"/>
      <c r="QDH28" s="71"/>
      <c r="QDI28" s="71"/>
      <c r="QDJ28" s="71"/>
      <c r="QDK28" s="71"/>
      <c r="QDL28" s="71"/>
      <c r="QDM28" s="71"/>
      <c r="QDN28" s="71"/>
      <c r="QDO28" s="71"/>
      <c r="QDP28" s="71"/>
      <c r="QDQ28" s="71"/>
      <c r="QDR28" s="71"/>
      <c r="QDS28" s="71"/>
      <c r="QDT28" s="71"/>
      <c r="QDU28" s="71"/>
      <c r="QDV28" s="71"/>
      <c r="QDW28" s="71"/>
      <c r="QDX28" s="71"/>
      <c r="QDY28" s="71"/>
      <c r="QDZ28" s="71"/>
      <c r="QEA28" s="71"/>
      <c r="QEB28" s="71"/>
      <c r="QEC28" s="71"/>
      <c r="QED28" s="71"/>
      <c r="QEE28" s="71"/>
      <c r="QEF28" s="71"/>
      <c r="QEG28" s="71"/>
      <c r="QEH28" s="71"/>
      <c r="QEI28" s="71"/>
      <c r="QEJ28" s="71"/>
      <c r="QEK28" s="71"/>
      <c r="QEL28" s="71"/>
      <c r="QEM28" s="71"/>
      <c r="QEN28" s="71"/>
      <c r="QEO28" s="71"/>
      <c r="QEP28" s="71"/>
      <c r="QEQ28" s="71"/>
      <c r="QER28" s="71"/>
      <c r="QES28" s="71"/>
      <c r="QET28" s="71"/>
      <c r="QEU28" s="71"/>
      <c r="QEV28" s="71"/>
      <c r="QEW28" s="71"/>
      <c r="QEX28" s="71"/>
      <c r="QEY28" s="71"/>
      <c r="QEZ28" s="71"/>
      <c r="QFA28" s="71"/>
      <c r="QFB28" s="71"/>
      <c r="QFC28" s="71"/>
      <c r="QFD28" s="71"/>
      <c r="QFE28" s="71"/>
      <c r="QFF28" s="71"/>
      <c r="QFG28" s="71"/>
      <c r="QFH28" s="71"/>
      <c r="QFI28" s="71"/>
      <c r="QFJ28" s="71"/>
      <c r="QFK28" s="71"/>
      <c r="QFL28" s="71"/>
      <c r="QFM28" s="71"/>
      <c r="QFN28" s="71"/>
      <c r="QFO28" s="71"/>
      <c r="QFP28" s="71"/>
      <c r="QFQ28" s="71"/>
      <c r="QFR28" s="71"/>
      <c r="QFS28" s="71"/>
      <c r="QFT28" s="71"/>
      <c r="QFU28" s="71"/>
      <c r="QFV28" s="71"/>
      <c r="QFW28" s="71"/>
      <c r="QFX28" s="71"/>
      <c r="QFY28" s="71"/>
      <c r="QFZ28" s="71"/>
      <c r="QGA28" s="71"/>
      <c r="QGB28" s="71"/>
      <c r="QGC28" s="71"/>
      <c r="QGD28" s="71"/>
      <c r="QGE28" s="71"/>
      <c r="QGF28" s="71"/>
      <c r="QGG28" s="71"/>
      <c r="QGH28" s="71"/>
      <c r="QGI28" s="71"/>
      <c r="QGJ28" s="71"/>
      <c r="QGK28" s="71"/>
      <c r="QGL28" s="71"/>
      <c r="QGM28" s="71"/>
      <c r="QGN28" s="71"/>
      <c r="QGO28" s="71"/>
      <c r="QGP28" s="71"/>
      <c r="QGQ28" s="71"/>
      <c r="QGR28" s="71"/>
      <c r="QGS28" s="71"/>
      <c r="QGT28" s="71"/>
      <c r="QGU28" s="71"/>
      <c r="QGV28" s="71"/>
      <c r="QGW28" s="71"/>
      <c r="QGX28" s="71"/>
      <c r="QGY28" s="71"/>
      <c r="QGZ28" s="71"/>
      <c r="QHA28" s="71"/>
      <c r="QHB28" s="71"/>
      <c r="QHC28" s="71"/>
      <c r="QHD28" s="71"/>
      <c r="QHE28" s="71"/>
      <c r="QHF28" s="71"/>
      <c r="QHG28" s="71"/>
      <c r="QHH28" s="71"/>
      <c r="QHI28" s="71"/>
      <c r="QHJ28" s="71"/>
      <c r="QHK28" s="71"/>
      <c r="QHL28" s="71"/>
      <c r="QHM28" s="71"/>
      <c r="QHN28" s="71"/>
      <c r="QHO28" s="71"/>
      <c r="QHP28" s="71"/>
      <c r="QHQ28" s="71"/>
      <c r="QHR28" s="71"/>
      <c r="QHS28" s="71"/>
      <c r="QHT28" s="71"/>
      <c r="QHU28" s="71"/>
      <c r="QHV28" s="71"/>
      <c r="QHW28" s="71"/>
      <c r="QHX28" s="71"/>
      <c r="QHY28" s="71"/>
      <c r="QHZ28" s="71"/>
      <c r="QIA28" s="71"/>
      <c r="QIB28" s="71"/>
      <c r="QIC28" s="71"/>
      <c r="QID28" s="71"/>
      <c r="QIE28" s="71"/>
      <c r="QIF28" s="71"/>
      <c r="QIG28" s="71"/>
      <c r="QIH28" s="71"/>
      <c r="QII28" s="71"/>
      <c r="QIJ28" s="71"/>
      <c r="QIK28" s="71"/>
      <c r="QIL28" s="71"/>
      <c r="QIM28" s="71"/>
      <c r="QIN28" s="71"/>
      <c r="QIO28" s="71"/>
      <c r="QIP28" s="71"/>
      <c r="QIQ28" s="71"/>
      <c r="QIR28" s="71"/>
      <c r="QIS28" s="71"/>
      <c r="QIT28" s="71"/>
      <c r="QIU28" s="71"/>
      <c r="QIV28" s="71"/>
      <c r="QIW28" s="71"/>
      <c r="QIX28" s="71"/>
      <c r="QIY28" s="71"/>
      <c r="QIZ28" s="71"/>
      <c r="QJA28" s="71"/>
      <c r="QJB28" s="71"/>
      <c r="QJC28" s="71"/>
      <c r="QJD28" s="71"/>
      <c r="QJE28" s="71"/>
      <c r="QJF28" s="71"/>
      <c r="QJG28" s="71"/>
      <c r="QJH28" s="71"/>
      <c r="QJI28" s="71"/>
      <c r="QJJ28" s="71"/>
      <c r="QJK28" s="71"/>
      <c r="QJL28" s="71"/>
      <c r="QJM28" s="71"/>
      <c r="QJN28" s="71"/>
      <c r="QJO28" s="71"/>
      <c r="QJP28" s="71"/>
      <c r="QJQ28" s="71"/>
      <c r="QJR28" s="71"/>
      <c r="QJS28" s="71"/>
      <c r="QJT28" s="71"/>
      <c r="QJU28" s="71"/>
      <c r="QJV28" s="71"/>
      <c r="QJW28" s="71"/>
      <c r="QJX28" s="71"/>
      <c r="QJY28" s="71"/>
      <c r="QJZ28" s="71"/>
      <c r="QKA28" s="71"/>
      <c r="QKB28" s="71"/>
      <c r="QKC28" s="71"/>
      <c r="QKD28" s="71"/>
      <c r="QKE28" s="71"/>
      <c r="QKF28" s="71"/>
      <c r="QKG28" s="71"/>
      <c r="QKH28" s="71"/>
      <c r="QKI28" s="71"/>
      <c r="QKJ28" s="71"/>
      <c r="QKK28" s="71"/>
      <c r="QKL28" s="71"/>
      <c r="QKM28" s="71"/>
      <c r="QKN28" s="71"/>
      <c r="QKO28" s="71"/>
      <c r="QKP28" s="71"/>
      <c r="QKQ28" s="71"/>
      <c r="QKR28" s="71"/>
      <c r="QKS28" s="71"/>
      <c r="QKT28" s="71"/>
      <c r="QKU28" s="71"/>
      <c r="QKV28" s="71"/>
      <c r="QKW28" s="71"/>
      <c r="QKX28" s="71"/>
      <c r="QKY28" s="71"/>
      <c r="QKZ28" s="71"/>
      <c r="QLA28" s="71"/>
      <c r="QLB28" s="71"/>
      <c r="QLC28" s="71"/>
      <c r="QLD28" s="71"/>
      <c r="QLE28" s="71"/>
      <c r="QLF28" s="71"/>
      <c r="QLG28" s="71"/>
      <c r="QLH28" s="71"/>
      <c r="QLI28" s="71"/>
      <c r="QLJ28" s="71"/>
      <c r="QLK28" s="71"/>
      <c r="QLL28" s="71"/>
      <c r="QLM28" s="71"/>
      <c r="QLN28" s="71"/>
      <c r="QLO28" s="71"/>
      <c r="QLP28" s="71"/>
      <c r="QLQ28" s="71"/>
      <c r="QLR28" s="71"/>
      <c r="QLS28" s="71"/>
      <c r="QLT28" s="71"/>
      <c r="QLU28" s="71"/>
      <c r="QLV28" s="71"/>
      <c r="QLW28" s="71"/>
      <c r="QLX28" s="71"/>
      <c r="QLY28" s="71"/>
      <c r="QLZ28" s="71"/>
      <c r="QMA28" s="71"/>
      <c r="QMB28" s="71"/>
      <c r="QMC28" s="71"/>
      <c r="QMD28" s="71"/>
      <c r="QME28" s="71"/>
      <c r="QMF28" s="71"/>
      <c r="QMG28" s="71"/>
      <c r="QMH28" s="71"/>
      <c r="QMI28" s="71"/>
      <c r="QMJ28" s="71"/>
      <c r="QMK28" s="71"/>
      <c r="QML28" s="71"/>
      <c r="QMM28" s="71"/>
      <c r="QMN28" s="71"/>
      <c r="QMO28" s="71"/>
      <c r="QMP28" s="71"/>
      <c r="QMQ28" s="71"/>
      <c r="QMR28" s="71"/>
      <c r="QMS28" s="71"/>
      <c r="QMT28" s="71"/>
      <c r="QMU28" s="71"/>
      <c r="QMV28" s="71"/>
      <c r="QMW28" s="71"/>
      <c r="QMX28" s="71"/>
      <c r="QMY28" s="71"/>
      <c r="QMZ28" s="71"/>
      <c r="QNA28" s="71"/>
      <c r="QNB28" s="71"/>
      <c r="QNC28" s="71"/>
      <c r="QND28" s="71"/>
      <c r="QNE28" s="71"/>
      <c r="QNF28" s="71"/>
      <c r="QNG28" s="71"/>
      <c r="QNH28" s="71"/>
      <c r="QNI28" s="71"/>
      <c r="QNJ28" s="71"/>
      <c r="QNK28" s="71"/>
      <c r="QNL28" s="71"/>
      <c r="QNM28" s="71"/>
      <c r="QNN28" s="71"/>
      <c r="QNO28" s="71"/>
      <c r="QNP28" s="71"/>
      <c r="QNQ28" s="71"/>
      <c r="QNR28" s="71"/>
      <c r="QNS28" s="71"/>
      <c r="QNT28" s="71"/>
      <c r="QNU28" s="71"/>
      <c r="QNV28" s="71"/>
      <c r="QNW28" s="71"/>
      <c r="QNX28" s="71"/>
      <c r="QNY28" s="71"/>
      <c r="QNZ28" s="71"/>
      <c r="QOA28" s="71"/>
      <c r="QOB28" s="71"/>
      <c r="QOC28" s="71"/>
      <c r="QOD28" s="71"/>
      <c r="QOE28" s="71"/>
      <c r="QOF28" s="71"/>
      <c r="QOG28" s="71"/>
      <c r="QOH28" s="71"/>
      <c r="QOI28" s="71"/>
      <c r="QOJ28" s="71"/>
      <c r="QOK28" s="71"/>
      <c r="QOL28" s="71"/>
      <c r="QOM28" s="71"/>
      <c r="QON28" s="71"/>
      <c r="QOO28" s="71"/>
      <c r="QOP28" s="71"/>
      <c r="QOQ28" s="71"/>
      <c r="QOR28" s="71"/>
      <c r="QOS28" s="71"/>
      <c r="QOT28" s="71"/>
      <c r="QOU28" s="71"/>
      <c r="QOV28" s="71"/>
      <c r="QOW28" s="71"/>
      <c r="QOX28" s="71"/>
      <c r="QOY28" s="71"/>
      <c r="QOZ28" s="71"/>
      <c r="QPA28" s="71"/>
      <c r="QPB28" s="71"/>
      <c r="QPC28" s="71"/>
      <c r="QPD28" s="71"/>
      <c r="QPE28" s="71"/>
      <c r="QPF28" s="71"/>
      <c r="QPG28" s="71"/>
      <c r="QPH28" s="71"/>
      <c r="QPI28" s="71"/>
      <c r="QPJ28" s="71"/>
      <c r="QPK28" s="71"/>
      <c r="QPL28" s="71"/>
      <c r="QPM28" s="71"/>
      <c r="QPN28" s="71"/>
      <c r="QPO28" s="71"/>
      <c r="QPP28" s="71"/>
      <c r="QPQ28" s="71"/>
      <c r="QPR28" s="71"/>
      <c r="QPS28" s="71"/>
      <c r="QPT28" s="71"/>
      <c r="QPU28" s="71"/>
      <c r="QPV28" s="71"/>
      <c r="QPW28" s="71"/>
      <c r="QPX28" s="71"/>
      <c r="QPY28" s="71"/>
      <c r="QPZ28" s="71"/>
      <c r="QQA28" s="71"/>
      <c r="QQB28" s="71"/>
      <c r="QQC28" s="71"/>
      <c r="QQD28" s="71"/>
      <c r="QQE28" s="71"/>
      <c r="QQF28" s="71"/>
      <c r="QQG28" s="71"/>
      <c r="QQH28" s="71"/>
      <c r="QQI28" s="71"/>
      <c r="QQJ28" s="71"/>
      <c r="QQK28" s="71"/>
      <c r="QQL28" s="71"/>
      <c r="QQM28" s="71"/>
      <c r="QQN28" s="71"/>
      <c r="QQO28" s="71"/>
      <c r="QQP28" s="71"/>
      <c r="QQQ28" s="71"/>
      <c r="QQR28" s="71"/>
      <c r="QQS28" s="71"/>
      <c r="QQT28" s="71"/>
      <c r="QQU28" s="71"/>
      <c r="QQV28" s="71"/>
      <c r="QQW28" s="71"/>
      <c r="QQX28" s="71"/>
      <c r="QQY28" s="71"/>
      <c r="QQZ28" s="71"/>
      <c r="QRA28" s="71"/>
      <c r="QRB28" s="71"/>
      <c r="QRC28" s="71"/>
      <c r="QRD28" s="71"/>
      <c r="QRE28" s="71"/>
      <c r="QRF28" s="71"/>
      <c r="QRG28" s="71"/>
      <c r="QRH28" s="71"/>
      <c r="QRI28" s="71"/>
      <c r="QRJ28" s="71"/>
      <c r="QRK28" s="71"/>
      <c r="QRL28" s="71"/>
      <c r="QRM28" s="71"/>
      <c r="QRN28" s="71"/>
      <c r="QRO28" s="71"/>
      <c r="QRP28" s="71"/>
      <c r="QRQ28" s="71"/>
      <c r="QRR28" s="71"/>
      <c r="QRS28" s="71"/>
      <c r="QRT28" s="71"/>
      <c r="QRU28" s="71"/>
      <c r="QRV28" s="71"/>
      <c r="QRW28" s="71"/>
      <c r="QRX28" s="71"/>
      <c r="QRY28" s="71"/>
      <c r="QRZ28" s="71"/>
      <c r="QSA28" s="71"/>
      <c r="QSB28" s="71"/>
      <c r="QSC28" s="71"/>
      <c r="QSD28" s="71"/>
      <c r="QSE28" s="71"/>
      <c r="QSF28" s="71"/>
      <c r="QSG28" s="71"/>
      <c r="QSH28" s="71"/>
      <c r="QSI28" s="71"/>
      <c r="QSJ28" s="71"/>
      <c r="QSK28" s="71"/>
      <c r="QSL28" s="71"/>
      <c r="QSM28" s="71"/>
      <c r="QSN28" s="71"/>
      <c r="QSO28" s="71"/>
      <c r="QSP28" s="71"/>
      <c r="QSQ28" s="71"/>
      <c r="QSR28" s="71"/>
      <c r="QSS28" s="71"/>
      <c r="QST28" s="71"/>
      <c r="QSU28" s="71"/>
      <c r="QSV28" s="71"/>
      <c r="QSW28" s="71"/>
      <c r="QSX28" s="71"/>
      <c r="QSY28" s="71"/>
      <c r="QSZ28" s="71"/>
      <c r="QTA28" s="71"/>
      <c r="QTB28" s="71"/>
      <c r="QTC28" s="71"/>
      <c r="QTD28" s="71"/>
      <c r="QTE28" s="71"/>
      <c r="QTF28" s="71"/>
      <c r="QTG28" s="71"/>
      <c r="QTH28" s="71"/>
      <c r="QTI28" s="71"/>
      <c r="QTJ28" s="71"/>
      <c r="QTK28" s="71"/>
      <c r="QTL28" s="71"/>
      <c r="QTM28" s="71"/>
      <c r="QTN28" s="71"/>
      <c r="QTO28" s="71"/>
      <c r="QTP28" s="71"/>
      <c r="QTQ28" s="71"/>
      <c r="QTR28" s="71"/>
      <c r="QTS28" s="71"/>
      <c r="QTT28" s="71"/>
      <c r="QTU28" s="71"/>
      <c r="QTV28" s="71"/>
      <c r="QTW28" s="71"/>
      <c r="QTX28" s="71"/>
      <c r="QTY28" s="71"/>
      <c r="QTZ28" s="71"/>
      <c r="QUA28" s="71"/>
      <c r="QUB28" s="71"/>
      <c r="QUC28" s="71"/>
      <c r="QUD28" s="71"/>
      <c r="QUE28" s="71"/>
      <c r="QUF28" s="71"/>
      <c r="QUG28" s="71"/>
      <c r="QUH28" s="71"/>
      <c r="QUI28" s="71"/>
      <c r="QUJ28" s="71"/>
      <c r="QUK28" s="71"/>
      <c r="QUL28" s="71"/>
      <c r="QUM28" s="71"/>
      <c r="QUN28" s="71"/>
      <c r="QUO28" s="71"/>
      <c r="QUP28" s="71"/>
      <c r="QUQ28" s="71"/>
      <c r="QUR28" s="71"/>
      <c r="QUS28" s="71"/>
      <c r="QUT28" s="71"/>
      <c r="QUU28" s="71"/>
      <c r="QUV28" s="71"/>
      <c r="QUW28" s="71"/>
      <c r="QUX28" s="71"/>
      <c r="QUY28" s="71"/>
      <c r="QUZ28" s="71"/>
      <c r="QVA28" s="71"/>
      <c r="QVB28" s="71"/>
      <c r="QVC28" s="71"/>
      <c r="QVD28" s="71"/>
      <c r="QVE28" s="71"/>
      <c r="QVF28" s="71"/>
      <c r="QVG28" s="71"/>
      <c r="QVH28" s="71"/>
      <c r="QVI28" s="71"/>
      <c r="QVJ28" s="71"/>
      <c r="QVK28" s="71"/>
      <c r="QVL28" s="71"/>
      <c r="QVM28" s="71"/>
      <c r="QVN28" s="71"/>
      <c r="QVO28" s="71"/>
      <c r="QVP28" s="71"/>
      <c r="QVQ28" s="71"/>
      <c r="QVR28" s="71"/>
      <c r="QVS28" s="71"/>
      <c r="QVT28" s="71"/>
      <c r="QVU28" s="71"/>
      <c r="QVV28" s="71"/>
      <c r="QVW28" s="71"/>
      <c r="QVX28" s="71"/>
      <c r="QVY28" s="71"/>
      <c r="QVZ28" s="71"/>
      <c r="QWA28" s="71"/>
      <c r="QWB28" s="71"/>
      <c r="QWC28" s="71"/>
      <c r="QWD28" s="71"/>
      <c r="QWE28" s="71"/>
      <c r="QWF28" s="71"/>
      <c r="QWG28" s="71"/>
      <c r="QWH28" s="71"/>
      <c r="QWI28" s="71"/>
      <c r="QWJ28" s="71"/>
      <c r="QWK28" s="71"/>
      <c r="QWL28" s="71"/>
      <c r="QWM28" s="71"/>
      <c r="QWN28" s="71"/>
      <c r="QWO28" s="71"/>
      <c r="QWP28" s="71"/>
      <c r="QWQ28" s="71"/>
      <c r="QWR28" s="71"/>
      <c r="QWS28" s="71"/>
      <c r="QWT28" s="71"/>
      <c r="QWU28" s="71"/>
      <c r="QWV28" s="71"/>
      <c r="QWW28" s="71"/>
      <c r="QWX28" s="71"/>
      <c r="QWY28" s="71"/>
      <c r="QWZ28" s="71"/>
      <c r="QXA28" s="71"/>
      <c r="QXB28" s="71"/>
      <c r="QXC28" s="71"/>
      <c r="QXD28" s="71"/>
      <c r="QXE28" s="71"/>
      <c r="QXF28" s="71"/>
      <c r="QXG28" s="71"/>
      <c r="QXH28" s="71"/>
      <c r="QXI28" s="71"/>
      <c r="QXJ28" s="71"/>
      <c r="QXK28" s="71"/>
      <c r="QXL28" s="71"/>
      <c r="QXM28" s="71"/>
      <c r="QXN28" s="71"/>
      <c r="QXO28" s="71"/>
      <c r="QXP28" s="71"/>
      <c r="QXQ28" s="71"/>
      <c r="QXR28" s="71"/>
      <c r="QXS28" s="71"/>
      <c r="QXT28" s="71"/>
      <c r="QXU28" s="71"/>
      <c r="QXV28" s="71"/>
      <c r="QXW28" s="71"/>
      <c r="QXX28" s="71"/>
      <c r="QXY28" s="71"/>
      <c r="QXZ28" s="71"/>
      <c r="QYA28" s="71"/>
      <c r="QYB28" s="71"/>
      <c r="QYC28" s="71"/>
      <c r="QYD28" s="71"/>
      <c r="QYE28" s="71"/>
      <c r="QYF28" s="71"/>
      <c r="QYG28" s="71"/>
      <c r="QYH28" s="71"/>
      <c r="QYI28" s="71"/>
      <c r="QYJ28" s="71"/>
      <c r="QYK28" s="71"/>
      <c r="QYL28" s="71"/>
      <c r="QYM28" s="71"/>
      <c r="QYN28" s="71"/>
      <c r="QYO28" s="71"/>
      <c r="QYP28" s="71"/>
      <c r="QYQ28" s="71"/>
      <c r="QYR28" s="71"/>
      <c r="QYS28" s="71"/>
      <c r="QYT28" s="71"/>
      <c r="QYU28" s="71"/>
      <c r="QYV28" s="71"/>
      <c r="QYW28" s="71"/>
      <c r="QYX28" s="71"/>
      <c r="QYY28" s="71"/>
      <c r="QYZ28" s="71"/>
      <c r="QZA28" s="71"/>
      <c r="QZB28" s="71"/>
      <c r="QZC28" s="71"/>
      <c r="QZD28" s="71"/>
      <c r="QZE28" s="71"/>
      <c r="QZF28" s="71"/>
      <c r="QZG28" s="71"/>
      <c r="QZH28" s="71"/>
      <c r="QZI28" s="71"/>
      <c r="QZJ28" s="71"/>
      <c r="QZK28" s="71"/>
      <c r="QZL28" s="71"/>
      <c r="QZM28" s="71"/>
      <c r="QZN28" s="71"/>
      <c r="QZO28" s="71"/>
      <c r="QZP28" s="71"/>
      <c r="QZQ28" s="71"/>
      <c r="QZR28" s="71"/>
      <c r="QZS28" s="71"/>
      <c r="QZT28" s="71"/>
      <c r="QZU28" s="71"/>
      <c r="QZV28" s="71"/>
      <c r="QZW28" s="71"/>
      <c r="QZX28" s="71"/>
      <c r="QZY28" s="71"/>
      <c r="QZZ28" s="71"/>
      <c r="RAA28" s="71"/>
      <c r="RAB28" s="71"/>
      <c r="RAC28" s="71"/>
      <c r="RAD28" s="71"/>
      <c r="RAE28" s="71"/>
      <c r="RAF28" s="71"/>
      <c r="RAG28" s="71"/>
      <c r="RAH28" s="71"/>
      <c r="RAI28" s="71"/>
      <c r="RAJ28" s="71"/>
      <c r="RAK28" s="71"/>
      <c r="RAL28" s="71"/>
      <c r="RAM28" s="71"/>
      <c r="RAN28" s="71"/>
      <c r="RAO28" s="71"/>
      <c r="RAP28" s="71"/>
      <c r="RAQ28" s="71"/>
      <c r="RAR28" s="71"/>
      <c r="RAS28" s="71"/>
      <c r="RAT28" s="71"/>
      <c r="RAU28" s="71"/>
      <c r="RAV28" s="71"/>
      <c r="RAW28" s="71"/>
      <c r="RAX28" s="71"/>
      <c r="RAY28" s="71"/>
      <c r="RAZ28" s="71"/>
      <c r="RBA28" s="71"/>
      <c r="RBB28" s="71"/>
      <c r="RBC28" s="71"/>
      <c r="RBD28" s="71"/>
      <c r="RBE28" s="71"/>
      <c r="RBF28" s="71"/>
      <c r="RBG28" s="71"/>
      <c r="RBH28" s="71"/>
      <c r="RBI28" s="71"/>
      <c r="RBJ28" s="71"/>
      <c r="RBK28" s="71"/>
      <c r="RBL28" s="71"/>
      <c r="RBM28" s="71"/>
      <c r="RBN28" s="71"/>
      <c r="RBO28" s="71"/>
      <c r="RBP28" s="71"/>
      <c r="RBQ28" s="71"/>
      <c r="RBR28" s="71"/>
      <c r="RBS28" s="71"/>
      <c r="RBT28" s="71"/>
      <c r="RBU28" s="71"/>
      <c r="RBV28" s="71"/>
      <c r="RBW28" s="71"/>
      <c r="RBX28" s="71"/>
      <c r="RBY28" s="71"/>
      <c r="RBZ28" s="71"/>
      <c r="RCA28" s="71"/>
      <c r="RCB28" s="71"/>
      <c r="RCC28" s="71"/>
      <c r="RCD28" s="71"/>
      <c r="RCE28" s="71"/>
      <c r="RCF28" s="71"/>
      <c r="RCG28" s="71"/>
      <c r="RCH28" s="71"/>
      <c r="RCI28" s="71"/>
      <c r="RCJ28" s="71"/>
      <c r="RCK28" s="71"/>
      <c r="RCL28" s="71"/>
      <c r="RCM28" s="71"/>
      <c r="RCN28" s="71"/>
      <c r="RCO28" s="71"/>
      <c r="RCP28" s="71"/>
      <c r="RCQ28" s="71"/>
      <c r="RCR28" s="71"/>
      <c r="RCS28" s="71"/>
      <c r="RCT28" s="71"/>
      <c r="RCU28" s="71"/>
      <c r="RCV28" s="71"/>
      <c r="RCW28" s="71"/>
      <c r="RCX28" s="71"/>
      <c r="RCY28" s="71"/>
      <c r="RCZ28" s="71"/>
      <c r="RDA28" s="71"/>
      <c r="RDB28" s="71"/>
      <c r="RDC28" s="71"/>
      <c r="RDD28" s="71"/>
      <c r="RDE28" s="71"/>
      <c r="RDF28" s="71"/>
      <c r="RDG28" s="71"/>
      <c r="RDH28" s="71"/>
      <c r="RDI28" s="71"/>
      <c r="RDJ28" s="71"/>
      <c r="RDK28" s="71"/>
      <c r="RDL28" s="71"/>
      <c r="RDM28" s="71"/>
      <c r="RDN28" s="71"/>
      <c r="RDO28" s="71"/>
      <c r="RDP28" s="71"/>
      <c r="RDQ28" s="71"/>
      <c r="RDR28" s="71"/>
      <c r="RDS28" s="71"/>
      <c r="RDT28" s="71"/>
      <c r="RDU28" s="71"/>
      <c r="RDV28" s="71"/>
      <c r="RDW28" s="71"/>
      <c r="RDX28" s="71"/>
      <c r="RDY28" s="71"/>
      <c r="RDZ28" s="71"/>
      <c r="REA28" s="71"/>
      <c r="REB28" s="71"/>
      <c r="REC28" s="71"/>
      <c r="RED28" s="71"/>
      <c r="REE28" s="71"/>
      <c r="REF28" s="71"/>
      <c r="REG28" s="71"/>
      <c r="REH28" s="71"/>
      <c r="REI28" s="71"/>
      <c r="REJ28" s="71"/>
      <c r="REK28" s="71"/>
      <c r="REL28" s="71"/>
      <c r="REM28" s="71"/>
      <c r="REN28" s="71"/>
      <c r="REO28" s="71"/>
      <c r="REP28" s="71"/>
      <c r="REQ28" s="71"/>
      <c r="RER28" s="71"/>
      <c r="RES28" s="71"/>
      <c r="RET28" s="71"/>
      <c r="REU28" s="71"/>
      <c r="REV28" s="71"/>
      <c r="REW28" s="71"/>
      <c r="REX28" s="71"/>
      <c r="REY28" s="71"/>
      <c r="REZ28" s="71"/>
      <c r="RFA28" s="71"/>
      <c r="RFB28" s="71"/>
      <c r="RFC28" s="71"/>
      <c r="RFD28" s="71"/>
      <c r="RFE28" s="71"/>
      <c r="RFF28" s="71"/>
      <c r="RFG28" s="71"/>
      <c r="RFH28" s="71"/>
      <c r="RFI28" s="71"/>
      <c r="RFJ28" s="71"/>
      <c r="RFK28" s="71"/>
      <c r="RFL28" s="71"/>
      <c r="RFM28" s="71"/>
      <c r="RFN28" s="71"/>
      <c r="RFO28" s="71"/>
      <c r="RFP28" s="71"/>
      <c r="RFQ28" s="71"/>
      <c r="RFR28" s="71"/>
      <c r="RFS28" s="71"/>
      <c r="RFT28" s="71"/>
      <c r="RFU28" s="71"/>
      <c r="RFV28" s="71"/>
      <c r="RFW28" s="71"/>
      <c r="RFX28" s="71"/>
      <c r="RFY28" s="71"/>
      <c r="RFZ28" s="71"/>
      <c r="RGA28" s="71"/>
      <c r="RGB28" s="71"/>
      <c r="RGC28" s="71"/>
      <c r="RGD28" s="71"/>
      <c r="RGE28" s="71"/>
      <c r="RGF28" s="71"/>
      <c r="RGG28" s="71"/>
      <c r="RGH28" s="71"/>
      <c r="RGI28" s="71"/>
      <c r="RGJ28" s="71"/>
      <c r="RGK28" s="71"/>
      <c r="RGL28" s="71"/>
      <c r="RGM28" s="71"/>
      <c r="RGN28" s="71"/>
      <c r="RGO28" s="71"/>
      <c r="RGP28" s="71"/>
      <c r="RGQ28" s="71"/>
      <c r="RGR28" s="71"/>
      <c r="RGS28" s="71"/>
      <c r="RGT28" s="71"/>
      <c r="RGU28" s="71"/>
      <c r="RGV28" s="71"/>
      <c r="RGW28" s="71"/>
      <c r="RGX28" s="71"/>
      <c r="RGY28" s="71"/>
      <c r="RGZ28" s="71"/>
      <c r="RHA28" s="71"/>
      <c r="RHB28" s="71"/>
      <c r="RHC28" s="71"/>
      <c r="RHD28" s="71"/>
      <c r="RHE28" s="71"/>
      <c r="RHF28" s="71"/>
      <c r="RHG28" s="71"/>
      <c r="RHH28" s="71"/>
      <c r="RHI28" s="71"/>
      <c r="RHJ28" s="71"/>
      <c r="RHK28" s="71"/>
      <c r="RHL28" s="71"/>
      <c r="RHM28" s="71"/>
      <c r="RHN28" s="71"/>
      <c r="RHO28" s="71"/>
      <c r="RHP28" s="71"/>
      <c r="RHQ28" s="71"/>
      <c r="RHR28" s="71"/>
      <c r="RHS28" s="71"/>
      <c r="RHT28" s="71"/>
      <c r="RHU28" s="71"/>
      <c r="RHV28" s="71"/>
      <c r="RHW28" s="71"/>
      <c r="RHX28" s="71"/>
      <c r="RHY28" s="71"/>
      <c r="RHZ28" s="71"/>
      <c r="RIA28" s="71"/>
      <c r="RIB28" s="71"/>
      <c r="RIC28" s="71"/>
      <c r="RID28" s="71"/>
      <c r="RIE28" s="71"/>
      <c r="RIF28" s="71"/>
      <c r="RIG28" s="71"/>
      <c r="RIH28" s="71"/>
      <c r="RII28" s="71"/>
      <c r="RIJ28" s="71"/>
      <c r="RIK28" s="71"/>
      <c r="RIL28" s="71"/>
      <c r="RIM28" s="71"/>
      <c r="RIN28" s="71"/>
      <c r="RIO28" s="71"/>
      <c r="RIP28" s="71"/>
      <c r="RIQ28" s="71"/>
      <c r="RIR28" s="71"/>
      <c r="RIS28" s="71"/>
      <c r="RIT28" s="71"/>
      <c r="RIU28" s="71"/>
      <c r="RIV28" s="71"/>
      <c r="RIW28" s="71"/>
      <c r="RIX28" s="71"/>
      <c r="RIY28" s="71"/>
      <c r="RIZ28" s="71"/>
      <c r="RJA28" s="71"/>
      <c r="RJB28" s="71"/>
      <c r="RJC28" s="71"/>
      <c r="RJD28" s="71"/>
      <c r="RJE28" s="71"/>
      <c r="RJF28" s="71"/>
      <c r="RJG28" s="71"/>
      <c r="RJH28" s="71"/>
      <c r="RJI28" s="71"/>
      <c r="RJJ28" s="71"/>
      <c r="RJK28" s="71"/>
      <c r="RJL28" s="71"/>
      <c r="RJM28" s="71"/>
      <c r="RJN28" s="71"/>
      <c r="RJO28" s="71"/>
      <c r="RJP28" s="71"/>
      <c r="RJQ28" s="71"/>
      <c r="RJR28" s="71"/>
      <c r="RJS28" s="71"/>
      <c r="RJT28" s="71"/>
      <c r="RJU28" s="71"/>
      <c r="RJV28" s="71"/>
      <c r="RJW28" s="71"/>
      <c r="RJX28" s="71"/>
      <c r="RJY28" s="71"/>
      <c r="RJZ28" s="71"/>
      <c r="RKA28" s="71"/>
      <c r="RKB28" s="71"/>
      <c r="RKC28" s="71"/>
      <c r="RKD28" s="71"/>
      <c r="RKE28" s="71"/>
      <c r="RKF28" s="71"/>
      <c r="RKG28" s="71"/>
      <c r="RKH28" s="71"/>
      <c r="RKI28" s="71"/>
      <c r="RKJ28" s="71"/>
      <c r="RKK28" s="71"/>
      <c r="RKL28" s="71"/>
      <c r="RKM28" s="71"/>
      <c r="RKN28" s="71"/>
      <c r="RKO28" s="71"/>
      <c r="RKP28" s="71"/>
      <c r="RKQ28" s="71"/>
      <c r="RKR28" s="71"/>
      <c r="RKS28" s="71"/>
      <c r="RKT28" s="71"/>
      <c r="RKU28" s="71"/>
      <c r="RKV28" s="71"/>
      <c r="RKW28" s="71"/>
      <c r="RKX28" s="71"/>
      <c r="RKY28" s="71"/>
      <c r="RKZ28" s="71"/>
      <c r="RLA28" s="71"/>
      <c r="RLB28" s="71"/>
      <c r="RLC28" s="71"/>
      <c r="RLD28" s="71"/>
      <c r="RLE28" s="71"/>
      <c r="RLF28" s="71"/>
      <c r="RLG28" s="71"/>
      <c r="RLH28" s="71"/>
      <c r="RLI28" s="71"/>
      <c r="RLJ28" s="71"/>
      <c r="RLK28" s="71"/>
      <c r="RLL28" s="71"/>
      <c r="RLM28" s="71"/>
      <c r="RLN28" s="71"/>
      <c r="RLO28" s="71"/>
      <c r="RLP28" s="71"/>
      <c r="RLQ28" s="71"/>
      <c r="RLR28" s="71"/>
      <c r="RLS28" s="71"/>
      <c r="RLT28" s="71"/>
      <c r="RLU28" s="71"/>
      <c r="RLV28" s="71"/>
      <c r="RLW28" s="71"/>
      <c r="RLX28" s="71"/>
      <c r="RLY28" s="71"/>
      <c r="RLZ28" s="71"/>
      <c r="RMA28" s="71"/>
      <c r="RMB28" s="71"/>
      <c r="RMC28" s="71"/>
      <c r="RMD28" s="71"/>
      <c r="RME28" s="71"/>
      <c r="RMF28" s="71"/>
      <c r="RMG28" s="71"/>
      <c r="RMH28" s="71"/>
      <c r="RMI28" s="71"/>
      <c r="RMJ28" s="71"/>
      <c r="RMK28" s="71"/>
      <c r="RML28" s="71"/>
      <c r="RMM28" s="71"/>
      <c r="RMN28" s="71"/>
      <c r="RMO28" s="71"/>
      <c r="RMP28" s="71"/>
      <c r="RMQ28" s="71"/>
      <c r="RMR28" s="71"/>
      <c r="RMS28" s="71"/>
      <c r="RMT28" s="71"/>
      <c r="RMU28" s="71"/>
      <c r="RMV28" s="71"/>
      <c r="RMW28" s="71"/>
      <c r="RMX28" s="71"/>
      <c r="RMY28" s="71"/>
      <c r="RMZ28" s="71"/>
      <c r="RNA28" s="71"/>
      <c r="RNB28" s="71"/>
      <c r="RNC28" s="71"/>
      <c r="RND28" s="71"/>
      <c r="RNE28" s="71"/>
      <c r="RNF28" s="71"/>
      <c r="RNG28" s="71"/>
      <c r="RNH28" s="71"/>
      <c r="RNI28" s="71"/>
      <c r="RNJ28" s="71"/>
      <c r="RNK28" s="71"/>
      <c r="RNL28" s="71"/>
      <c r="RNM28" s="71"/>
      <c r="RNN28" s="71"/>
      <c r="RNO28" s="71"/>
      <c r="RNP28" s="71"/>
      <c r="RNQ28" s="71"/>
      <c r="RNR28" s="71"/>
      <c r="RNS28" s="71"/>
      <c r="RNT28" s="71"/>
      <c r="RNU28" s="71"/>
      <c r="RNV28" s="71"/>
      <c r="RNW28" s="71"/>
      <c r="RNX28" s="71"/>
      <c r="RNY28" s="71"/>
      <c r="RNZ28" s="71"/>
      <c r="ROA28" s="71"/>
      <c r="ROB28" s="71"/>
      <c r="ROC28" s="71"/>
      <c r="ROD28" s="71"/>
      <c r="ROE28" s="71"/>
      <c r="ROF28" s="71"/>
      <c r="ROG28" s="71"/>
      <c r="ROH28" s="71"/>
      <c r="ROI28" s="71"/>
      <c r="ROJ28" s="71"/>
      <c r="ROK28" s="71"/>
      <c r="ROL28" s="71"/>
      <c r="ROM28" s="71"/>
      <c r="RON28" s="71"/>
      <c r="ROO28" s="71"/>
      <c r="ROP28" s="71"/>
      <c r="ROQ28" s="71"/>
      <c r="ROR28" s="71"/>
      <c r="ROS28" s="71"/>
      <c r="ROT28" s="71"/>
      <c r="ROU28" s="71"/>
      <c r="ROV28" s="71"/>
      <c r="ROW28" s="71"/>
      <c r="ROX28" s="71"/>
      <c r="ROY28" s="71"/>
      <c r="ROZ28" s="71"/>
      <c r="RPA28" s="71"/>
      <c r="RPB28" s="71"/>
      <c r="RPC28" s="71"/>
      <c r="RPD28" s="71"/>
      <c r="RPE28" s="71"/>
      <c r="RPF28" s="71"/>
      <c r="RPG28" s="71"/>
      <c r="RPH28" s="71"/>
      <c r="RPI28" s="71"/>
      <c r="RPJ28" s="71"/>
      <c r="RPK28" s="71"/>
      <c r="RPL28" s="71"/>
      <c r="RPM28" s="71"/>
      <c r="RPN28" s="71"/>
      <c r="RPO28" s="71"/>
      <c r="RPP28" s="71"/>
      <c r="RPQ28" s="71"/>
      <c r="RPR28" s="71"/>
      <c r="RPS28" s="71"/>
      <c r="RPT28" s="71"/>
      <c r="RPU28" s="71"/>
      <c r="RPV28" s="71"/>
      <c r="RPW28" s="71"/>
      <c r="RPX28" s="71"/>
      <c r="RPY28" s="71"/>
      <c r="RPZ28" s="71"/>
      <c r="RQA28" s="71"/>
      <c r="RQB28" s="71"/>
      <c r="RQC28" s="71"/>
      <c r="RQD28" s="71"/>
      <c r="RQE28" s="71"/>
      <c r="RQF28" s="71"/>
      <c r="RQG28" s="71"/>
      <c r="RQH28" s="71"/>
      <c r="RQI28" s="71"/>
      <c r="RQJ28" s="71"/>
      <c r="RQK28" s="71"/>
      <c r="RQL28" s="71"/>
      <c r="RQM28" s="71"/>
      <c r="RQN28" s="71"/>
      <c r="RQO28" s="71"/>
      <c r="RQP28" s="71"/>
      <c r="RQQ28" s="71"/>
      <c r="RQR28" s="71"/>
      <c r="RQS28" s="71"/>
      <c r="RQT28" s="71"/>
      <c r="RQU28" s="71"/>
      <c r="RQV28" s="71"/>
      <c r="RQW28" s="71"/>
      <c r="RQX28" s="71"/>
      <c r="RQY28" s="71"/>
      <c r="RQZ28" s="71"/>
      <c r="RRA28" s="71"/>
      <c r="RRB28" s="71"/>
      <c r="RRC28" s="71"/>
      <c r="RRD28" s="71"/>
      <c r="RRE28" s="71"/>
      <c r="RRF28" s="71"/>
      <c r="RRG28" s="71"/>
      <c r="RRH28" s="71"/>
      <c r="RRI28" s="71"/>
      <c r="RRJ28" s="71"/>
      <c r="RRK28" s="71"/>
      <c r="RRL28" s="71"/>
      <c r="RRM28" s="71"/>
      <c r="RRN28" s="71"/>
      <c r="RRO28" s="71"/>
      <c r="RRP28" s="71"/>
      <c r="RRQ28" s="71"/>
      <c r="RRR28" s="71"/>
      <c r="RRS28" s="71"/>
      <c r="RRT28" s="71"/>
      <c r="RRU28" s="71"/>
      <c r="RRV28" s="71"/>
      <c r="RRW28" s="71"/>
      <c r="RRX28" s="71"/>
      <c r="RRY28" s="71"/>
      <c r="RRZ28" s="71"/>
      <c r="RSA28" s="71"/>
      <c r="RSB28" s="71"/>
      <c r="RSC28" s="71"/>
      <c r="RSD28" s="71"/>
      <c r="RSE28" s="71"/>
      <c r="RSF28" s="71"/>
      <c r="RSG28" s="71"/>
      <c r="RSH28" s="71"/>
      <c r="RSI28" s="71"/>
      <c r="RSJ28" s="71"/>
      <c r="RSK28" s="71"/>
      <c r="RSL28" s="71"/>
      <c r="RSM28" s="71"/>
      <c r="RSN28" s="71"/>
      <c r="RSO28" s="71"/>
      <c r="RSP28" s="71"/>
      <c r="RSQ28" s="71"/>
      <c r="RSR28" s="71"/>
      <c r="RSS28" s="71"/>
      <c r="RST28" s="71"/>
      <c r="RSU28" s="71"/>
      <c r="RSV28" s="71"/>
      <c r="RSW28" s="71"/>
      <c r="RSX28" s="71"/>
      <c r="RSY28" s="71"/>
      <c r="RSZ28" s="71"/>
      <c r="RTA28" s="71"/>
      <c r="RTB28" s="71"/>
      <c r="RTC28" s="71"/>
      <c r="RTD28" s="71"/>
      <c r="RTE28" s="71"/>
      <c r="RTF28" s="71"/>
      <c r="RTG28" s="71"/>
      <c r="RTH28" s="71"/>
      <c r="RTI28" s="71"/>
      <c r="RTJ28" s="71"/>
      <c r="RTK28" s="71"/>
      <c r="RTL28" s="71"/>
      <c r="RTM28" s="71"/>
      <c r="RTN28" s="71"/>
      <c r="RTO28" s="71"/>
      <c r="RTP28" s="71"/>
      <c r="RTQ28" s="71"/>
      <c r="RTR28" s="71"/>
      <c r="RTS28" s="71"/>
      <c r="RTT28" s="71"/>
      <c r="RTU28" s="71"/>
      <c r="RTV28" s="71"/>
      <c r="RTW28" s="71"/>
      <c r="RTX28" s="71"/>
      <c r="RTY28" s="71"/>
      <c r="RTZ28" s="71"/>
      <c r="RUA28" s="71"/>
      <c r="RUB28" s="71"/>
      <c r="RUC28" s="71"/>
      <c r="RUD28" s="71"/>
      <c r="RUE28" s="71"/>
      <c r="RUF28" s="71"/>
      <c r="RUG28" s="71"/>
      <c r="RUH28" s="71"/>
      <c r="RUI28" s="71"/>
      <c r="RUJ28" s="71"/>
      <c r="RUK28" s="71"/>
      <c r="RUL28" s="71"/>
      <c r="RUM28" s="71"/>
      <c r="RUN28" s="71"/>
      <c r="RUO28" s="71"/>
      <c r="RUP28" s="71"/>
      <c r="RUQ28" s="71"/>
      <c r="RUR28" s="71"/>
      <c r="RUS28" s="71"/>
      <c r="RUT28" s="71"/>
      <c r="RUU28" s="71"/>
      <c r="RUV28" s="71"/>
      <c r="RUW28" s="71"/>
      <c r="RUX28" s="71"/>
      <c r="RUY28" s="71"/>
      <c r="RUZ28" s="71"/>
      <c r="RVA28" s="71"/>
      <c r="RVB28" s="71"/>
      <c r="RVC28" s="71"/>
      <c r="RVD28" s="71"/>
      <c r="RVE28" s="71"/>
      <c r="RVF28" s="71"/>
      <c r="RVG28" s="71"/>
      <c r="RVH28" s="71"/>
      <c r="RVI28" s="71"/>
      <c r="RVJ28" s="71"/>
      <c r="RVK28" s="71"/>
      <c r="RVL28" s="71"/>
      <c r="RVM28" s="71"/>
      <c r="RVN28" s="71"/>
      <c r="RVO28" s="71"/>
      <c r="RVP28" s="71"/>
      <c r="RVQ28" s="71"/>
      <c r="RVR28" s="71"/>
      <c r="RVS28" s="71"/>
      <c r="RVT28" s="71"/>
      <c r="RVU28" s="71"/>
      <c r="RVV28" s="71"/>
      <c r="RVW28" s="71"/>
      <c r="RVX28" s="71"/>
      <c r="RVY28" s="71"/>
      <c r="RVZ28" s="71"/>
      <c r="RWA28" s="71"/>
      <c r="RWB28" s="71"/>
      <c r="RWC28" s="71"/>
      <c r="RWD28" s="71"/>
      <c r="RWE28" s="71"/>
      <c r="RWF28" s="71"/>
      <c r="RWG28" s="71"/>
      <c r="RWH28" s="71"/>
      <c r="RWI28" s="71"/>
      <c r="RWJ28" s="71"/>
      <c r="RWK28" s="71"/>
      <c r="RWL28" s="71"/>
      <c r="RWM28" s="71"/>
      <c r="RWN28" s="71"/>
      <c r="RWO28" s="71"/>
      <c r="RWP28" s="71"/>
      <c r="RWQ28" s="71"/>
      <c r="RWR28" s="71"/>
      <c r="RWS28" s="71"/>
      <c r="RWT28" s="71"/>
      <c r="RWU28" s="71"/>
      <c r="RWV28" s="71"/>
      <c r="RWW28" s="71"/>
      <c r="RWX28" s="71"/>
      <c r="RWY28" s="71"/>
      <c r="RWZ28" s="71"/>
      <c r="RXA28" s="71"/>
      <c r="RXB28" s="71"/>
      <c r="RXC28" s="71"/>
      <c r="RXD28" s="71"/>
      <c r="RXE28" s="71"/>
      <c r="RXF28" s="71"/>
      <c r="RXG28" s="71"/>
      <c r="RXH28" s="71"/>
      <c r="RXI28" s="71"/>
      <c r="RXJ28" s="71"/>
      <c r="RXK28" s="71"/>
      <c r="RXL28" s="71"/>
      <c r="RXM28" s="71"/>
      <c r="RXN28" s="71"/>
      <c r="RXO28" s="71"/>
      <c r="RXP28" s="71"/>
      <c r="RXQ28" s="71"/>
      <c r="RXR28" s="71"/>
      <c r="RXS28" s="71"/>
      <c r="RXT28" s="71"/>
      <c r="RXU28" s="71"/>
      <c r="RXV28" s="71"/>
      <c r="RXW28" s="71"/>
      <c r="RXX28" s="71"/>
      <c r="RXY28" s="71"/>
      <c r="RXZ28" s="71"/>
      <c r="RYA28" s="71"/>
      <c r="RYB28" s="71"/>
      <c r="RYC28" s="71"/>
      <c r="RYD28" s="71"/>
      <c r="RYE28" s="71"/>
      <c r="RYF28" s="71"/>
      <c r="RYG28" s="71"/>
      <c r="RYH28" s="71"/>
      <c r="RYI28" s="71"/>
      <c r="RYJ28" s="71"/>
      <c r="RYK28" s="71"/>
      <c r="RYL28" s="71"/>
      <c r="RYM28" s="71"/>
      <c r="RYN28" s="71"/>
      <c r="RYO28" s="71"/>
      <c r="RYP28" s="71"/>
      <c r="RYQ28" s="71"/>
      <c r="RYR28" s="71"/>
      <c r="RYS28" s="71"/>
      <c r="RYT28" s="71"/>
      <c r="RYU28" s="71"/>
      <c r="RYV28" s="71"/>
      <c r="RYW28" s="71"/>
      <c r="RYX28" s="71"/>
      <c r="RYY28" s="71"/>
      <c r="RYZ28" s="71"/>
      <c r="RZA28" s="71"/>
      <c r="RZB28" s="71"/>
      <c r="RZC28" s="71"/>
      <c r="RZD28" s="71"/>
      <c r="RZE28" s="71"/>
      <c r="RZF28" s="71"/>
      <c r="RZG28" s="71"/>
      <c r="RZH28" s="71"/>
      <c r="RZI28" s="71"/>
      <c r="RZJ28" s="71"/>
      <c r="RZK28" s="71"/>
      <c r="RZL28" s="71"/>
      <c r="RZM28" s="71"/>
      <c r="RZN28" s="71"/>
      <c r="RZO28" s="71"/>
      <c r="RZP28" s="71"/>
      <c r="RZQ28" s="71"/>
      <c r="RZR28" s="71"/>
      <c r="RZS28" s="71"/>
      <c r="RZT28" s="71"/>
      <c r="RZU28" s="71"/>
      <c r="RZV28" s="71"/>
      <c r="RZW28" s="71"/>
      <c r="RZX28" s="71"/>
      <c r="RZY28" s="71"/>
      <c r="RZZ28" s="71"/>
      <c r="SAA28" s="71"/>
      <c r="SAB28" s="71"/>
      <c r="SAC28" s="71"/>
      <c r="SAD28" s="71"/>
      <c r="SAE28" s="71"/>
      <c r="SAF28" s="71"/>
      <c r="SAG28" s="71"/>
      <c r="SAH28" s="71"/>
      <c r="SAI28" s="71"/>
      <c r="SAJ28" s="71"/>
      <c r="SAK28" s="71"/>
      <c r="SAL28" s="71"/>
      <c r="SAM28" s="71"/>
      <c r="SAN28" s="71"/>
      <c r="SAO28" s="71"/>
      <c r="SAP28" s="71"/>
      <c r="SAQ28" s="71"/>
      <c r="SAR28" s="71"/>
      <c r="SAS28" s="71"/>
      <c r="SAT28" s="71"/>
      <c r="SAU28" s="71"/>
      <c r="SAV28" s="71"/>
      <c r="SAW28" s="71"/>
      <c r="SAX28" s="71"/>
      <c r="SAY28" s="71"/>
      <c r="SAZ28" s="71"/>
      <c r="SBA28" s="71"/>
      <c r="SBB28" s="71"/>
      <c r="SBC28" s="71"/>
      <c r="SBD28" s="71"/>
      <c r="SBE28" s="71"/>
      <c r="SBF28" s="71"/>
      <c r="SBG28" s="71"/>
      <c r="SBH28" s="71"/>
      <c r="SBI28" s="71"/>
      <c r="SBJ28" s="71"/>
      <c r="SBK28" s="71"/>
      <c r="SBL28" s="71"/>
      <c r="SBM28" s="71"/>
      <c r="SBN28" s="71"/>
      <c r="SBO28" s="71"/>
      <c r="SBP28" s="71"/>
      <c r="SBQ28" s="71"/>
      <c r="SBR28" s="71"/>
      <c r="SBS28" s="71"/>
      <c r="SBT28" s="71"/>
      <c r="SBU28" s="71"/>
      <c r="SBV28" s="71"/>
      <c r="SBW28" s="71"/>
      <c r="SBX28" s="71"/>
      <c r="SBY28" s="71"/>
      <c r="SBZ28" s="71"/>
      <c r="SCA28" s="71"/>
      <c r="SCB28" s="71"/>
      <c r="SCC28" s="71"/>
      <c r="SCD28" s="71"/>
      <c r="SCE28" s="71"/>
      <c r="SCF28" s="71"/>
      <c r="SCG28" s="71"/>
      <c r="SCH28" s="71"/>
      <c r="SCI28" s="71"/>
      <c r="SCJ28" s="71"/>
      <c r="SCK28" s="71"/>
      <c r="SCL28" s="71"/>
      <c r="SCM28" s="71"/>
      <c r="SCN28" s="71"/>
      <c r="SCO28" s="71"/>
      <c r="SCP28" s="71"/>
      <c r="SCQ28" s="71"/>
      <c r="SCR28" s="71"/>
      <c r="SCS28" s="71"/>
      <c r="SCT28" s="71"/>
      <c r="SCU28" s="71"/>
      <c r="SCV28" s="71"/>
      <c r="SCW28" s="71"/>
      <c r="SCX28" s="71"/>
      <c r="SCY28" s="71"/>
      <c r="SCZ28" s="71"/>
      <c r="SDA28" s="71"/>
      <c r="SDB28" s="71"/>
      <c r="SDC28" s="71"/>
      <c r="SDD28" s="71"/>
      <c r="SDE28" s="71"/>
      <c r="SDF28" s="71"/>
      <c r="SDG28" s="71"/>
      <c r="SDH28" s="71"/>
      <c r="SDI28" s="71"/>
      <c r="SDJ28" s="71"/>
      <c r="SDK28" s="71"/>
      <c r="SDL28" s="71"/>
      <c r="SDM28" s="71"/>
      <c r="SDN28" s="71"/>
      <c r="SDO28" s="71"/>
      <c r="SDP28" s="71"/>
      <c r="SDQ28" s="71"/>
      <c r="SDR28" s="71"/>
      <c r="SDS28" s="71"/>
      <c r="SDT28" s="71"/>
      <c r="SDU28" s="71"/>
      <c r="SDV28" s="71"/>
      <c r="SDW28" s="71"/>
      <c r="SDX28" s="71"/>
      <c r="SDY28" s="71"/>
      <c r="SDZ28" s="71"/>
      <c r="SEA28" s="71"/>
      <c r="SEB28" s="71"/>
      <c r="SEC28" s="71"/>
      <c r="SED28" s="71"/>
      <c r="SEE28" s="71"/>
      <c r="SEF28" s="71"/>
      <c r="SEG28" s="71"/>
      <c r="SEH28" s="71"/>
      <c r="SEI28" s="71"/>
      <c r="SEJ28" s="71"/>
      <c r="SEK28" s="71"/>
      <c r="SEL28" s="71"/>
      <c r="SEM28" s="71"/>
      <c r="SEN28" s="71"/>
      <c r="SEO28" s="71"/>
      <c r="SEP28" s="71"/>
      <c r="SEQ28" s="71"/>
      <c r="SER28" s="71"/>
      <c r="SES28" s="71"/>
      <c r="SET28" s="71"/>
      <c r="SEU28" s="71"/>
      <c r="SEV28" s="71"/>
      <c r="SEW28" s="71"/>
      <c r="SEX28" s="71"/>
      <c r="SEY28" s="71"/>
      <c r="SEZ28" s="71"/>
      <c r="SFA28" s="71"/>
      <c r="SFB28" s="71"/>
      <c r="SFC28" s="71"/>
      <c r="SFD28" s="71"/>
      <c r="SFE28" s="71"/>
      <c r="SFF28" s="71"/>
      <c r="SFG28" s="71"/>
      <c r="SFH28" s="71"/>
      <c r="SFI28" s="71"/>
      <c r="SFJ28" s="71"/>
      <c r="SFK28" s="71"/>
      <c r="SFL28" s="71"/>
      <c r="SFM28" s="71"/>
      <c r="SFN28" s="71"/>
      <c r="SFO28" s="71"/>
      <c r="SFP28" s="71"/>
      <c r="SFQ28" s="71"/>
      <c r="SFR28" s="71"/>
      <c r="SFS28" s="71"/>
      <c r="SFT28" s="71"/>
      <c r="SFU28" s="71"/>
      <c r="SFV28" s="71"/>
      <c r="SFW28" s="71"/>
      <c r="SFX28" s="71"/>
      <c r="SFY28" s="71"/>
      <c r="SFZ28" s="71"/>
      <c r="SGA28" s="71"/>
      <c r="SGB28" s="71"/>
      <c r="SGC28" s="71"/>
      <c r="SGD28" s="71"/>
      <c r="SGE28" s="71"/>
      <c r="SGF28" s="71"/>
      <c r="SGG28" s="71"/>
      <c r="SGH28" s="71"/>
      <c r="SGI28" s="71"/>
      <c r="SGJ28" s="71"/>
      <c r="SGK28" s="71"/>
      <c r="SGL28" s="71"/>
      <c r="SGM28" s="71"/>
      <c r="SGN28" s="71"/>
      <c r="SGO28" s="71"/>
      <c r="SGP28" s="71"/>
      <c r="SGQ28" s="71"/>
      <c r="SGR28" s="71"/>
      <c r="SGS28" s="71"/>
      <c r="SGT28" s="71"/>
      <c r="SGU28" s="71"/>
      <c r="SGV28" s="71"/>
      <c r="SGW28" s="71"/>
      <c r="SGX28" s="71"/>
      <c r="SGY28" s="71"/>
      <c r="SGZ28" s="71"/>
      <c r="SHA28" s="71"/>
      <c r="SHB28" s="71"/>
      <c r="SHC28" s="71"/>
      <c r="SHD28" s="71"/>
      <c r="SHE28" s="71"/>
      <c r="SHF28" s="71"/>
      <c r="SHG28" s="71"/>
      <c r="SHH28" s="71"/>
      <c r="SHI28" s="71"/>
      <c r="SHJ28" s="71"/>
      <c r="SHK28" s="71"/>
      <c r="SHL28" s="71"/>
      <c r="SHM28" s="71"/>
      <c r="SHN28" s="71"/>
      <c r="SHO28" s="71"/>
      <c r="SHP28" s="71"/>
      <c r="SHQ28" s="71"/>
      <c r="SHR28" s="71"/>
      <c r="SHS28" s="71"/>
      <c r="SHT28" s="71"/>
      <c r="SHU28" s="71"/>
      <c r="SHV28" s="71"/>
      <c r="SHW28" s="71"/>
      <c r="SHX28" s="71"/>
      <c r="SHY28" s="71"/>
      <c r="SHZ28" s="71"/>
      <c r="SIA28" s="71"/>
      <c r="SIB28" s="71"/>
      <c r="SIC28" s="71"/>
      <c r="SID28" s="71"/>
      <c r="SIE28" s="71"/>
      <c r="SIF28" s="71"/>
      <c r="SIG28" s="71"/>
      <c r="SIH28" s="71"/>
      <c r="SII28" s="71"/>
      <c r="SIJ28" s="71"/>
      <c r="SIK28" s="71"/>
      <c r="SIL28" s="71"/>
      <c r="SIM28" s="71"/>
      <c r="SIN28" s="71"/>
      <c r="SIO28" s="71"/>
      <c r="SIP28" s="71"/>
      <c r="SIQ28" s="71"/>
      <c r="SIR28" s="71"/>
      <c r="SIS28" s="71"/>
      <c r="SIT28" s="71"/>
      <c r="SIU28" s="71"/>
      <c r="SIV28" s="71"/>
      <c r="SIW28" s="71"/>
      <c r="SIX28" s="71"/>
      <c r="SIY28" s="71"/>
      <c r="SIZ28" s="71"/>
      <c r="SJA28" s="71"/>
      <c r="SJB28" s="71"/>
      <c r="SJC28" s="71"/>
      <c r="SJD28" s="71"/>
      <c r="SJE28" s="71"/>
      <c r="SJF28" s="71"/>
      <c r="SJG28" s="71"/>
      <c r="SJH28" s="71"/>
      <c r="SJI28" s="71"/>
      <c r="SJJ28" s="71"/>
      <c r="SJK28" s="71"/>
      <c r="SJL28" s="71"/>
      <c r="SJM28" s="71"/>
      <c r="SJN28" s="71"/>
      <c r="SJO28" s="71"/>
      <c r="SJP28" s="71"/>
      <c r="SJQ28" s="71"/>
      <c r="SJR28" s="71"/>
      <c r="SJS28" s="71"/>
      <c r="SJT28" s="71"/>
      <c r="SJU28" s="71"/>
      <c r="SJV28" s="71"/>
      <c r="SJW28" s="71"/>
      <c r="SJX28" s="71"/>
      <c r="SJY28" s="71"/>
      <c r="SJZ28" s="71"/>
      <c r="SKA28" s="71"/>
      <c r="SKB28" s="71"/>
      <c r="SKC28" s="71"/>
      <c r="SKD28" s="71"/>
      <c r="SKE28" s="71"/>
      <c r="SKF28" s="71"/>
      <c r="SKG28" s="71"/>
      <c r="SKH28" s="71"/>
      <c r="SKI28" s="71"/>
      <c r="SKJ28" s="71"/>
      <c r="SKK28" s="71"/>
      <c r="SKL28" s="71"/>
      <c r="SKM28" s="71"/>
      <c r="SKN28" s="71"/>
      <c r="SKO28" s="71"/>
      <c r="SKP28" s="71"/>
      <c r="SKQ28" s="71"/>
      <c r="SKR28" s="71"/>
      <c r="SKS28" s="71"/>
      <c r="SKT28" s="71"/>
      <c r="SKU28" s="71"/>
      <c r="SKV28" s="71"/>
      <c r="SKW28" s="71"/>
      <c r="SKX28" s="71"/>
      <c r="SKY28" s="71"/>
      <c r="SKZ28" s="71"/>
      <c r="SLA28" s="71"/>
      <c r="SLB28" s="71"/>
      <c r="SLC28" s="71"/>
      <c r="SLD28" s="71"/>
      <c r="SLE28" s="71"/>
      <c r="SLF28" s="71"/>
      <c r="SLG28" s="71"/>
      <c r="SLH28" s="71"/>
      <c r="SLI28" s="71"/>
      <c r="SLJ28" s="71"/>
      <c r="SLK28" s="71"/>
      <c r="SLL28" s="71"/>
      <c r="SLM28" s="71"/>
      <c r="SLN28" s="71"/>
      <c r="SLO28" s="71"/>
      <c r="SLP28" s="71"/>
      <c r="SLQ28" s="71"/>
      <c r="SLR28" s="71"/>
      <c r="SLS28" s="71"/>
      <c r="SLT28" s="71"/>
      <c r="SLU28" s="71"/>
      <c r="SLV28" s="71"/>
      <c r="SLW28" s="71"/>
      <c r="SLX28" s="71"/>
      <c r="SLY28" s="71"/>
      <c r="SLZ28" s="71"/>
      <c r="SMA28" s="71"/>
      <c r="SMB28" s="71"/>
      <c r="SMC28" s="71"/>
      <c r="SMD28" s="71"/>
      <c r="SME28" s="71"/>
      <c r="SMF28" s="71"/>
      <c r="SMG28" s="71"/>
      <c r="SMH28" s="71"/>
      <c r="SMI28" s="71"/>
      <c r="SMJ28" s="71"/>
      <c r="SMK28" s="71"/>
      <c r="SML28" s="71"/>
      <c r="SMM28" s="71"/>
      <c r="SMN28" s="71"/>
      <c r="SMO28" s="71"/>
      <c r="SMP28" s="71"/>
      <c r="SMQ28" s="71"/>
      <c r="SMR28" s="71"/>
      <c r="SMS28" s="71"/>
      <c r="SMT28" s="71"/>
      <c r="SMU28" s="71"/>
      <c r="SMV28" s="71"/>
      <c r="SMW28" s="71"/>
      <c r="SMX28" s="71"/>
      <c r="SMY28" s="71"/>
      <c r="SMZ28" s="71"/>
      <c r="SNA28" s="71"/>
      <c r="SNB28" s="71"/>
      <c r="SNC28" s="71"/>
      <c r="SND28" s="71"/>
      <c r="SNE28" s="71"/>
      <c r="SNF28" s="71"/>
      <c r="SNG28" s="71"/>
      <c r="SNH28" s="71"/>
      <c r="SNI28" s="71"/>
      <c r="SNJ28" s="71"/>
      <c r="SNK28" s="71"/>
      <c r="SNL28" s="71"/>
      <c r="SNM28" s="71"/>
      <c r="SNN28" s="71"/>
      <c r="SNO28" s="71"/>
      <c r="SNP28" s="71"/>
      <c r="SNQ28" s="71"/>
      <c r="SNR28" s="71"/>
      <c r="SNS28" s="71"/>
      <c r="SNT28" s="71"/>
      <c r="SNU28" s="71"/>
      <c r="SNV28" s="71"/>
      <c r="SNW28" s="71"/>
      <c r="SNX28" s="71"/>
      <c r="SNY28" s="71"/>
      <c r="SNZ28" s="71"/>
      <c r="SOA28" s="71"/>
      <c r="SOB28" s="71"/>
      <c r="SOC28" s="71"/>
      <c r="SOD28" s="71"/>
      <c r="SOE28" s="71"/>
      <c r="SOF28" s="71"/>
      <c r="SOG28" s="71"/>
      <c r="SOH28" s="71"/>
      <c r="SOI28" s="71"/>
      <c r="SOJ28" s="71"/>
      <c r="SOK28" s="71"/>
      <c r="SOL28" s="71"/>
      <c r="SOM28" s="71"/>
      <c r="SON28" s="71"/>
      <c r="SOO28" s="71"/>
      <c r="SOP28" s="71"/>
      <c r="SOQ28" s="71"/>
      <c r="SOR28" s="71"/>
      <c r="SOS28" s="71"/>
      <c r="SOT28" s="71"/>
      <c r="SOU28" s="71"/>
      <c r="SOV28" s="71"/>
      <c r="SOW28" s="71"/>
      <c r="SOX28" s="71"/>
      <c r="SOY28" s="71"/>
      <c r="SOZ28" s="71"/>
      <c r="SPA28" s="71"/>
      <c r="SPB28" s="71"/>
      <c r="SPC28" s="71"/>
      <c r="SPD28" s="71"/>
      <c r="SPE28" s="71"/>
      <c r="SPF28" s="71"/>
      <c r="SPG28" s="71"/>
      <c r="SPH28" s="71"/>
      <c r="SPI28" s="71"/>
      <c r="SPJ28" s="71"/>
      <c r="SPK28" s="71"/>
      <c r="SPL28" s="71"/>
      <c r="SPM28" s="71"/>
      <c r="SPN28" s="71"/>
      <c r="SPO28" s="71"/>
      <c r="SPP28" s="71"/>
      <c r="SPQ28" s="71"/>
      <c r="SPR28" s="71"/>
      <c r="SPS28" s="71"/>
      <c r="SPT28" s="71"/>
      <c r="SPU28" s="71"/>
      <c r="SPV28" s="71"/>
      <c r="SPW28" s="71"/>
      <c r="SPX28" s="71"/>
      <c r="SPY28" s="71"/>
      <c r="SPZ28" s="71"/>
      <c r="SQA28" s="71"/>
      <c r="SQB28" s="71"/>
      <c r="SQC28" s="71"/>
      <c r="SQD28" s="71"/>
      <c r="SQE28" s="71"/>
      <c r="SQF28" s="71"/>
      <c r="SQG28" s="71"/>
      <c r="SQH28" s="71"/>
      <c r="SQI28" s="71"/>
      <c r="SQJ28" s="71"/>
      <c r="SQK28" s="71"/>
      <c r="SQL28" s="71"/>
      <c r="SQM28" s="71"/>
      <c r="SQN28" s="71"/>
      <c r="SQO28" s="71"/>
      <c r="SQP28" s="71"/>
      <c r="SQQ28" s="71"/>
      <c r="SQR28" s="71"/>
      <c r="SQS28" s="71"/>
      <c r="SQT28" s="71"/>
      <c r="SQU28" s="71"/>
      <c r="SQV28" s="71"/>
      <c r="SQW28" s="71"/>
      <c r="SQX28" s="71"/>
      <c r="SQY28" s="71"/>
      <c r="SQZ28" s="71"/>
      <c r="SRA28" s="71"/>
      <c r="SRB28" s="71"/>
      <c r="SRC28" s="71"/>
      <c r="SRD28" s="71"/>
      <c r="SRE28" s="71"/>
      <c r="SRF28" s="71"/>
      <c r="SRG28" s="71"/>
      <c r="SRH28" s="71"/>
      <c r="SRI28" s="71"/>
      <c r="SRJ28" s="71"/>
      <c r="SRK28" s="71"/>
      <c r="SRL28" s="71"/>
      <c r="SRM28" s="71"/>
      <c r="SRN28" s="71"/>
      <c r="SRO28" s="71"/>
      <c r="SRP28" s="71"/>
      <c r="SRQ28" s="71"/>
      <c r="SRR28" s="71"/>
      <c r="SRS28" s="71"/>
      <c r="SRT28" s="71"/>
      <c r="SRU28" s="71"/>
      <c r="SRV28" s="71"/>
      <c r="SRW28" s="71"/>
      <c r="SRX28" s="71"/>
      <c r="SRY28" s="71"/>
      <c r="SRZ28" s="71"/>
      <c r="SSA28" s="71"/>
      <c r="SSB28" s="71"/>
      <c r="SSC28" s="71"/>
      <c r="SSD28" s="71"/>
      <c r="SSE28" s="71"/>
      <c r="SSF28" s="71"/>
      <c r="SSG28" s="71"/>
      <c r="SSH28" s="71"/>
      <c r="SSI28" s="71"/>
      <c r="SSJ28" s="71"/>
      <c r="SSK28" s="71"/>
      <c r="SSL28" s="71"/>
      <c r="SSM28" s="71"/>
      <c r="SSN28" s="71"/>
      <c r="SSO28" s="71"/>
      <c r="SSP28" s="71"/>
      <c r="SSQ28" s="71"/>
      <c r="SSR28" s="71"/>
      <c r="SSS28" s="71"/>
      <c r="SST28" s="71"/>
      <c r="SSU28" s="71"/>
      <c r="SSV28" s="71"/>
      <c r="SSW28" s="71"/>
      <c r="SSX28" s="71"/>
      <c r="SSY28" s="71"/>
      <c r="SSZ28" s="71"/>
      <c r="STA28" s="71"/>
      <c r="STB28" s="71"/>
      <c r="STC28" s="71"/>
      <c r="STD28" s="71"/>
      <c r="STE28" s="71"/>
      <c r="STF28" s="71"/>
      <c r="STG28" s="71"/>
      <c r="STH28" s="71"/>
      <c r="STI28" s="71"/>
      <c r="STJ28" s="71"/>
      <c r="STK28" s="71"/>
      <c r="STL28" s="71"/>
      <c r="STM28" s="71"/>
      <c r="STN28" s="71"/>
      <c r="STO28" s="71"/>
      <c r="STP28" s="71"/>
      <c r="STQ28" s="71"/>
      <c r="STR28" s="71"/>
      <c r="STS28" s="71"/>
      <c r="STT28" s="71"/>
      <c r="STU28" s="71"/>
      <c r="STV28" s="71"/>
      <c r="STW28" s="71"/>
      <c r="STX28" s="71"/>
      <c r="STY28" s="71"/>
      <c r="STZ28" s="71"/>
      <c r="SUA28" s="71"/>
      <c r="SUB28" s="71"/>
      <c r="SUC28" s="71"/>
      <c r="SUD28" s="71"/>
      <c r="SUE28" s="71"/>
      <c r="SUF28" s="71"/>
      <c r="SUG28" s="71"/>
      <c r="SUH28" s="71"/>
      <c r="SUI28" s="71"/>
      <c r="SUJ28" s="71"/>
      <c r="SUK28" s="71"/>
      <c r="SUL28" s="71"/>
      <c r="SUM28" s="71"/>
      <c r="SUN28" s="71"/>
      <c r="SUO28" s="71"/>
      <c r="SUP28" s="71"/>
      <c r="SUQ28" s="71"/>
      <c r="SUR28" s="71"/>
      <c r="SUS28" s="71"/>
      <c r="SUT28" s="71"/>
      <c r="SUU28" s="71"/>
      <c r="SUV28" s="71"/>
      <c r="SUW28" s="71"/>
      <c r="SUX28" s="71"/>
      <c r="SUY28" s="71"/>
      <c r="SUZ28" s="71"/>
      <c r="SVA28" s="71"/>
      <c r="SVB28" s="71"/>
      <c r="SVC28" s="71"/>
      <c r="SVD28" s="71"/>
      <c r="SVE28" s="71"/>
      <c r="SVF28" s="71"/>
      <c r="SVG28" s="71"/>
      <c r="SVH28" s="71"/>
      <c r="SVI28" s="71"/>
      <c r="SVJ28" s="71"/>
      <c r="SVK28" s="71"/>
      <c r="SVL28" s="71"/>
      <c r="SVM28" s="71"/>
      <c r="SVN28" s="71"/>
      <c r="SVO28" s="71"/>
      <c r="SVP28" s="71"/>
      <c r="SVQ28" s="71"/>
      <c r="SVR28" s="71"/>
      <c r="SVS28" s="71"/>
      <c r="SVT28" s="71"/>
      <c r="SVU28" s="71"/>
      <c r="SVV28" s="71"/>
      <c r="SVW28" s="71"/>
      <c r="SVX28" s="71"/>
      <c r="SVY28" s="71"/>
      <c r="SVZ28" s="71"/>
      <c r="SWA28" s="71"/>
      <c r="SWB28" s="71"/>
      <c r="SWC28" s="71"/>
      <c r="SWD28" s="71"/>
      <c r="SWE28" s="71"/>
      <c r="SWF28" s="71"/>
      <c r="SWG28" s="71"/>
      <c r="SWH28" s="71"/>
      <c r="SWI28" s="71"/>
      <c r="SWJ28" s="71"/>
      <c r="SWK28" s="71"/>
      <c r="SWL28" s="71"/>
      <c r="SWM28" s="71"/>
      <c r="SWN28" s="71"/>
      <c r="SWO28" s="71"/>
      <c r="SWP28" s="71"/>
      <c r="SWQ28" s="71"/>
      <c r="SWR28" s="71"/>
      <c r="SWS28" s="71"/>
      <c r="SWT28" s="71"/>
      <c r="SWU28" s="71"/>
      <c r="SWV28" s="71"/>
      <c r="SWW28" s="71"/>
      <c r="SWX28" s="71"/>
      <c r="SWY28" s="71"/>
      <c r="SWZ28" s="71"/>
      <c r="SXA28" s="71"/>
      <c r="SXB28" s="71"/>
      <c r="SXC28" s="71"/>
      <c r="SXD28" s="71"/>
      <c r="SXE28" s="71"/>
      <c r="SXF28" s="71"/>
      <c r="SXG28" s="71"/>
      <c r="SXH28" s="71"/>
      <c r="SXI28" s="71"/>
      <c r="SXJ28" s="71"/>
      <c r="SXK28" s="71"/>
      <c r="SXL28" s="71"/>
      <c r="SXM28" s="71"/>
      <c r="SXN28" s="71"/>
      <c r="SXO28" s="71"/>
      <c r="SXP28" s="71"/>
      <c r="SXQ28" s="71"/>
      <c r="SXR28" s="71"/>
      <c r="SXS28" s="71"/>
      <c r="SXT28" s="71"/>
      <c r="SXU28" s="71"/>
      <c r="SXV28" s="71"/>
      <c r="SXW28" s="71"/>
      <c r="SXX28" s="71"/>
      <c r="SXY28" s="71"/>
      <c r="SXZ28" s="71"/>
      <c r="SYA28" s="71"/>
      <c r="SYB28" s="71"/>
      <c r="SYC28" s="71"/>
      <c r="SYD28" s="71"/>
      <c r="SYE28" s="71"/>
      <c r="SYF28" s="71"/>
      <c r="SYG28" s="71"/>
      <c r="SYH28" s="71"/>
      <c r="SYI28" s="71"/>
      <c r="SYJ28" s="71"/>
      <c r="SYK28" s="71"/>
      <c r="SYL28" s="71"/>
      <c r="SYM28" s="71"/>
      <c r="SYN28" s="71"/>
      <c r="SYO28" s="71"/>
      <c r="SYP28" s="71"/>
      <c r="SYQ28" s="71"/>
      <c r="SYR28" s="71"/>
      <c r="SYS28" s="71"/>
      <c r="SYT28" s="71"/>
      <c r="SYU28" s="71"/>
      <c r="SYV28" s="71"/>
      <c r="SYW28" s="71"/>
      <c r="SYX28" s="71"/>
      <c r="SYY28" s="71"/>
      <c r="SYZ28" s="71"/>
      <c r="SZA28" s="71"/>
      <c r="SZB28" s="71"/>
      <c r="SZC28" s="71"/>
      <c r="SZD28" s="71"/>
      <c r="SZE28" s="71"/>
      <c r="SZF28" s="71"/>
      <c r="SZG28" s="71"/>
      <c r="SZH28" s="71"/>
      <c r="SZI28" s="71"/>
      <c r="SZJ28" s="71"/>
      <c r="SZK28" s="71"/>
      <c r="SZL28" s="71"/>
      <c r="SZM28" s="71"/>
      <c r="SZN28" s="71"/>
      <c r="SZO28" s="71"/>
      <c r="SZP28" s="71"/>
      <c r="SZQ28" s="71"/>
      <c r="SZR28" s="71"/>
      <c r="SZS28" s="71"/>
      <c r="SZT28" s="71"/>
      <c r="SZU28" s="71"/>
      <c r="SZV28" s="71"/>
      <c r="SZW28" s="71"/>
      <c r="SZX28" s="71"/>
      <c r="SZY28" s="71"/>
      <c r="SZZ28" s="71"/>
      <c r="TAA28" s="71"/>
      <c r="TAB28" s="71"/>
      <c r="TAC28" s="71"/>
      <c r="TAD28" s="71"/>
      <c r="TAE28" s="71"/>
      <c r="TAF28" s="71"/>
      <c r="TAG28" s="71"/>
      <c r="TAH28" s="71"/>
      <c r="TAI28" s="71"/>
      <c r="TAJ28" s="71"/>
      <c r="TAK28" s="71"/>
      <c r="TAL28" s="71"/>
      <c r="TAM28" s="71"/>
      <c r="TAN28" s="71"/>
      <c r="TAO28" s="71"/>
      <c r="TAP28" s="71"/>
      <c r="TAQ28" s="71"/>
      <c r="TAR28" s="71"/>
      <c r="TAS28" s="71"/>
      <c r="TAT28" s="71"/>
      <c r="TAU28" s="71"/>
      <c r="TAV28" s="71"/>
      <c r="TAW28" s="71"/>
      <c r="TAX28" s="71"/>
      <c r="TAY28" s="71"/>
      <c r="TAZ28" s="71"/>
      <c r="TBA28" s="71"/>
      <c r="TBB28" s="71"/>
      <c r="TBC28" s="71"/>
      <c r="TBD28" s="71"/>
      <c r="TBE28" s="71"/>
      <c r="TBF28" s="71"/>
      <c r="TBG28" s="71"/>
      <c r="TBH28" s="71"/>
      <c r="TBI28" s="71"/>
      <c r="TBJ28" s="71"/>
      <c r="TBK28" s="71"/>
      <c r="TBL28" s="71"/>
      <c r="TBM28" s="71"/>
      <c r="TBN28" s="71"/>
      <c r="TBO28" s="71"/>
      <c r="TBP28" s="71"/>
      <c r="TBQ28" s="71"/>
      <c r="TBR28" s="71"/>
      <c r="TBS28" s="71"/>
      <c r="TBT28" s="71"/>
      <c r="TBU28" s="71"/>
      <c r="TBV28" s="71"/>
      <c r="TBW28" s="71"/>
      <c r="TBX28" s="71"/>
      <c r="TBY28" s="71"/>
      <c r="TBZ28" s="71"/>
      <c r="TCA28" s="71"/>
      <c r="TCB28" s="71"/>
      <c r="TCC28" s="71"/>
      <c r="TCD28" s="71"/>
      <c r="TCE28" s="71"/>
      <c r="TCF28" s="71"/>
      <c r="TCG28" s="71"/>
      <c r="TCH28" s="71"/>
      <c r="TCI28" s="71"/>
      <c r="TCJ28" s="71"/>
      <c r="TCK28" s="71"/>
      <c r="TCL28" s="71"/>
      <c r="TCM28" s="71"/>
      <c r="TCN28" s="71"/>
      <c r="TCO28" s="71"/>
      <c r="TCP28" s="71"/>
      <c r="TCQ28" s="71"/>
      <c r="TCR28" s="71"/>
      <c r="TCS28" s="71"/>
      <c r="TCT28" s="71"/>
      <c r="TCU28" s="71"/>
      <c r="TCV28" s="71"/>
      <c r="TCW28" s="71"/>
      <c r="TCX28" s="71"/>
      <c r="TCY28" s="71"/>
      <c r="TCZ28" s="71"/>
      <c r="TDA28" s="71"/>
      <c r="TDB28" s="71"/>
      <c r="TDC28" s="71"/>
      <c r="TDD28" s="71"/>
      <c r="TDE28" s="71"/>
      <c r="TDF28" s="71"/>
      <c r="TDG28" s="71"/>
      <c r="TDH28" s="71"/>
      <c r="TDI28" s="71"/>
      <c r="TDJ28" s="71"/>
      <c r="TDK28" s="71"/>
      <c r="TDL28" s="71"/>
      <c r="TDM28" s="71"/>
      <c r="TDN28" s="71"/>
      <c r="TDO28" s="71"/>
      <c r="TDP28" s="71"/>
      <c r="TDQ28" s="71"/>
      <c r="TDR28" s="71"/>
      <c r="TDS28" s="71"/>
      <c r="TDT28" s="71"/>
      <c r="TDU28" s="71"/>
      <c r="TDV28" s="71"/>
      <c r="TDW28" s="71"/>
      <c r="TDX28" s="71"/>
      <c r="TDY28" s="71"/>
      <c r="TDZ28" s="71"/>
      <c r="TEA28" s="71"/>
      <c r="TEB28" s="71"/>
      <c r="TEC28" s="71"/>
      <c r="TED28" s="71"/>
      <c r="TEE28" s="71"/>
      <c r="TEF28" s="71"/>
      <c r="TEG28" s="71"/>
      <c r="TEH28" s="71"/>
      <c r="TEI28" s="71"/>
      <c r="TEJ28" s="71"/>
      <c r="TEK28" s="71"/>
      <c r="TEL28" s="71"/>
      <c r="TEM28" s="71"/>
      <c r="TEN28" s="71"/>
      <c r="TEO28" s="71"/>
      <c r="TEP28" s="71"/>
      <c r="TEQ28" s="71"/>
      <c r="TER28" s="71"/>
      <c r="TES28" s="71"/>
      <c r="TET28" s="71"/>
      <c r="TEU28" s="71"/>
      <c r="TEV28" s="71"/>
      <c r="TEW28" s="71"/>
      <c r="TEX28" s="71"/>
      <c r="TEY28" s="71"/>
      <c r="TEZ28" s="71"/>
      <c r="TFA28" s="71"/>
      <c r="TFB28" s="71"/>
      <c r="TFC28" s="71"/>
      <c r="TFD28" s="71"/>
      <c r="TFE28" s="71"/>
      <c r="TFF28" s="71"/>
      <c r="TFG28" s="71"/>
      <c r="TFH28" s="71"/>
      <c r="TFI28" s="71"/>
      <c r="TFJ28" s="71"/>
      <c r="TFK28" s="71"/>
      <c r="TFL28" s="71"/>
      <c r="TFM28" s="71"/>
      <c r="TFN28" s="71"/>
      <c r="TFO28" s="71"/>
      <c r="TFP28" s="71"/>
      <c r="TFQ28" s="71"/>
      <c r="TFR28" s="71"/>
      <c r="TFS28" s="71"/>
      <c r="TFT28" s="71"/>
      <c r="TFU28" s="71"/>
      <c r="TFV28" s="71"/>
      <c r="TFW28" s="71"/>
      <c r="TFX28" s="71"/>
      <c r="TFY28" s="71"/>
      <c r="TFZ28" s="71"/>
      <c r="TGA28" s="71"/>
      <c r="TGB28" s="71"/>
      <c r="TGC28" s="71"/>
      <c r="TGD28" s="71"/>
      <c r="TGE28" s="71"/>
      <c r="TGF28" s="71"/>
      <c r="TGG28" s="71"/>
      <c r="TGH28" s="71"/>
      <c r="TGI28" s="71"/>
      <c r="TGJ28" s="71"/>
      <c r="TGK28" s="71"/>
      <c r="TGL28" s="71"/>
      <c r="TGM28" s="71"/>
      <c r="TGN28" s="71"/>
      <c r="TGO28" s="71"/>
      <c r="TGP28" s="71"/>
      <c r="TGQ28" s="71"/>
      <c r="TGR28" s="71"/>
      <c r="TGS28" s="71"/>
      <c r="TGT28" s="71"/>
      <c r="TGU28" s="71"/>
      <c r="TGV28" s="71"/>
      <c r="TGW28" s="71"/>
      <c r="TGX28" s="71"/>
      <c r="TGY28" s="71"/>
      <c r="TGZ28" s="71"/>
      <c r="THA28" s="71"/>
      <c r="THB28" s="71"/>
      <c r="THC28" s="71"/>
      <c r="THD28" s="71"/>
      <c r="THE28" s="71"/>
      <c r="THF28" s="71"/>
      <c r="THG28" s="71"/>
      <c r="THH28" s="71"/>
      <c r="THI28" s="71"/>
      <c r="THJ28" s="71"/>
      <c r="THK28" s="71"/>
      <c r="THL28" s="71"/>
      <c r="THM28" s="71"/>
      <c r="THN28" s="71"/>
      <c r="THO28" s="71"/>
      <c r="THP28" s="71"/>
      <c r="THQ28" s="71"/>
      <c r="THR28" s="71"/>
      <c r="THS28" s="71"/>
      <c r="THT28" s="71"/>
      <c r="THU28" s="71"/>
      <c r="THV28" s="71"/>
      <c r="THW28" s="71"/>
      <c r="THX28" s="71"/>
      <c r="THY28" s="71"/>
      <c r="THZ28" s="71"/>
      <c r="TIA28" s="71"/>
      <c r="TIB28" s="71"/>
      <c r="TIC28" s="71"/>
      <c r="TID28" s="71"/>
      <c r="TIE28" s="71"/>
      <c r="TIF28" s="71"/>
      <c r="TIG28" s="71"/>
      <c r="TIH28" s="71"/>
      <c r="TII28" s="71"/>
      <c r="TIJ28" s="71"/>
      <c r="TIK28" s="71"/>
      <c r="TIL28" s="71"/>
      <c r="TIM28" s="71"/>
      <c r="TIN28" s="71"/>
      <c r="TIO28" s="71"/>
      <c r="TIP28" s="71"/>
      <c r="TIQ28" s="71"/>
      <c r="TIR28" s="71"/>
      <c r="TIS28" s="71"/>
      <c r="TIT28" s="71"/>
      <c r="TIU28" s="71"/>
      <c r="TIV28" s="71"/>
      <c r="TIW28" s="71"/>
      <c r="TIX28" s="71"/>
      <c r="TIY28" s="71"/>
      <c r="TIZ28" s="71"/>
      <c r="TJA28" s="71"/>
      <c r="TJB28" s="71"/>
      <c r="TJC28" s="71"/>
      <c r="TJD28" s="71"/>
      <c r="TJE28" s="71"/>
      <c r="TJF28" s="71"/>
      <c r="TJG28" s="71"/>
      <c r="TJH28" s="71"/>
      <c r="TJI28" s="71"/>
      <c r="TJJ28" s="71"/>
      <c r="TJK28" s="71"/>
      <c r="TJL28" s="71"/>
      <c r="TJM28" s="71"/>
      <c r="TJN28" s="71"/>
      <c r="TJO28" s="71"/>
      <c r="TJP28" s="71"/>
      <c r="TJQ28" s="71"/>
      <c r="TJR28" s="71"/>
      <c r="TJS28" s="71"/>
      <c r="TJT28" s="71"/>
      <c r="TJU28" s="71"/>
      <c r="TJV28" s="71"/>
      <c r="TJW28" s="71"/>
      <c r="TJX28" s="71"/>
      <c r="TJY28" s="71"/>
      <c r="TJZ28" s="71"/>
      <c r="TKA28" s="71"/>
      <c r="TKB28" s="71"/>
      <c r="TKC28" s="71"/>
      <c r="TKD28" s="71"/>
      <c r="TKE28" s="71"/>
      <c r="TKF28" s="71"/>
      <c r="TKG28" s="71"/>
      <c r="TKH28" s="71"/>
      <c r="TKI28" s="71"/>
      <c r="TKJ28" s="71"/>
      <c r="TKK28" s="71"/>
      <c r="TKL28" s="71"/>
      <c r="TKM28" s="71"/>
      <c r="TKN28" s="71"/>
      <c r="TKO28" s="71"/>
      <c r="TKP28" s="71"/>
      <c r="TKQ28" s="71"/>
      <c r="TKR28" s="71"/>
      <c r="TKS28" s="71"/>
      <c r="TKT28" s="71"/>
      <c r="TKU28" s="71"/>
      <c r="TKV28" s="71"/>
      <c r="TKW28" s="71"/>
      <c r="TKX28" s="71"/>
      <c r="TKY28" s="71"/>
      <c r="TKZ28" s="71"/>
      <c r="TLA28" s="71"/>
      <c r="TLB28" s="71"/>
      <c r="TLC28" s="71"/>
      <c r="TLD28" s="71"/>
      <c r="TLE28" s="71"/>
      <c r="TLF28" s="71"/>
      <c r="TLG28" s="71"/>
      <c r="TLH28" s="71"/>
      <c r="TLI28" s="71"/>
      <c r="TLJ28" s="71"/>
      <c r="TLK28" s="71"/>
      <c r="TLL28" s="71"/>
      <c r="TLM28" s="71"/>
      <c r="TLN28" s="71"/>
      <c r="TLO28" s="71"/>
      <c r="TLP28" s="71"/>
      <c r="TLQ28" s="71"/>
      <c r="TLR28" s="71"/>
      <c r="TLS28" s="71"/>
      <c r="TLT28" s="71"/>
      <c r="TLU28" s="71"/>
      <c r="TLV28" s="71"/>
      <c r="TLW28" s="71"/>
      <c r="TLX28" s="71"/>
      <c r="TLY28" s="71"/>
      <c r="TLZ28" s="71"/>
      <c r="TMA28" s="71"/>
      <c r="TMB28" s="71"/>
      <c r="TMC28" s="71"/>
      <c r="TMD28" s="71"/>
      <c r="TME28" s="71"/>
      <c r="TMF28" s="71"/>
      <c r="TMG28" s="71"/>
      <c r="TMH28" s="71"/>
      <c r="TMI28" s="71"/>
      <c r="TMJ28" s="71"/>
      <c r="TMK28" s="71"/>
      <c r="TML28" s="71"/>
      <c r="TMM28" s="71"/>
      <c r="TMN28" s="71"/>
      <c r="TMO28" s="71"/>
      <c r="TMP28" s="71"/>
      <c r="TMQ28" s="71"/>
      <c r="TMR28" s="71"/>
      <c r="TMS28" s="71"/>
      <c r="TMT28" s="71"/>
      <c r="TMU28" s="71"/>
      <c r="TMV28" s="71"/>
      <c r="TMW28" s="71"/>
      <c r="TMX28" s="71"/>
      <c r="TMY28" s="71"/>
      <c r="TMZ28" s="71"/>
      <c r="TNA28" s="71"/>
      <c r="TNB28" s="71"/>
      <c r="TNC28" s="71"/>
      <c r="TND28" s="71"/>
      <c r="TNE28" s="71"/>
      <c r="TNF28" s="71"/>
      <c r="TNG28" s="71"/>
      <c r="TNH28" s="71"/>
      <c r="TNI28" s="71"/>
      <c r="TNJ28" s="71"/>
      <c r="TNK28" s="71"/>
      <c r="TNL28" s="71"/>
      <c r="TNM28" s="71"/>
      <c r="TNN28" s="71"/>
      <c r="TNO28" s="71"/>
      <c r="TNP28" s="71"/>
      <c r="TNQ28" s="71"/>
      <c r="TNR28" s="71"/>
      <c r="TNS28" s="71"/>
      <c r="TNT28" s="71"/>
      <c r="TNU28" s="71"/>
      <c r="TNV28" s="71"/>
      <c r="TNW28" s="71"/>
      <c r="TNX28" s="71"/>
      <c r="TNY28" s="71"/>
      <c r="TNZ28" s="71"/>
      <c r="TOA28" s="71"/>
      <c r="TOB28" s="71"/>
      <c r="TOC28" s="71"/>
      <c r="TOD28" s="71"/>
      <c r="TOE28" s="71"/>
      <c r="TOF28" s="71"/>
      <c r="TOG28" s="71"/>
      <c r="TOH28" s="71"/>
      <c r="TOI28" s="71"/>
      <c r="TOJ28" s="71"/>
      <c r="TOK28" s="71"/>
      <c r="TOL28" s="71"/>
      <c r="TOM28" s="71"/>
      <c r="TON28" s="71"/>
      <c r="TOO28" s="71"/>
      <c r="TOP28" s="71"/>
      <c r="TOQ28" s="71"/>
      <c r="TOR28" s="71"/>
      <c r="TOS28" s="71"/>
      <c r="TOT28" s="71"/>
      <c r="TOU28" s="71"/>
      <c r="TOV28" s="71"/>
      <c r="TOW28" s="71"/>
      <c r="TOX28" s="71"/>
      <c r="TOY28" s="71"/>
      <c r="TOZ28" s="71"/>
      <c r="TPA28" s="71"/>
      <c r="TPB28" s="71"/>
      <c r="TPC28" s="71"/>
      <c r="TPD28" s="71"/>
      <c r="TPE28" s="71"/>
      <c r="TPF28" s="71"/>
      <c r="TPG28" s="71"/>
      <c r="TPH28" s="71"/>
      <c r="TPI28" s="71"/>
      <c r="TPJ28" s="71"/>
      <c r="TPK28" s="71"/>
      <c r="TPL28" s="71"/>
      <c r="TPM28" s="71"/>
      <c r="TPN28" s="71"/>
      <c r="TPO28" s="71"/>
      <c r="TPP28" s="71"/>
      <c r="TPQ28" s="71"/>
      <c r="TPR28" s="71"/>
      <c r="TPS28" s="71"/>
      <c r="TPT28" s="71"/>
      <c r="TPU28" s="71"/>
      <c r="TPV28" s="71"/>
      <c r="TPW28" s="71"/>
      <c r="TPX28" s="71"/>
      <c r="TPY28" s="71"/>
      <c r="TPZ28" s="71"/>
      <c r="TQA28" s="71"/>
      <c r="TQB28" s="71"/>
      <c r="TQC28" s="71"/>
      <c r="TQD28" s="71"/>
      <c r="TQE28" s="71"/>
      <c r="TQF28" s="71"/>
      <c r="TQG28" s="71"/>
      <c r="TQH28" s="71"/>
      <c r="TQI28" s="71"/>
      <c r="TQJ28" s="71"/>
      <c r="TQK28" s="71"/>
      <c r="TQL28" s="71"/>
      <c r="TQM28" s="71"/>
      <c r="TQN28" s="71"/>
      <c r="TQO28" s="71"/>
      <c r="TQP28" s="71"/>
      <c r="TQQ28" s="71"/>
      <c r="TQR28" s="71"/>
      <c r="TQS28" s="71"/>
      <c r="TQT28" s="71"/>
      <c r="TQU28" s="71"/>
      <c r="TQV28" s="71"/>
      <c r="TQW28" s="71"/>
      <c r="TQX28" s="71"/>
      <c r="TQY28" s="71"/>
      <c r="TQZ28" s="71"/>
      <c r="TRA28" s="71"/>
      <c r="TRB28" s="71"/>
      <c r="TRC28" s="71"/>
      <c r="TRD28" s="71"/>
      <c r="TRE28" s="71"/>
      <c r="TRF28" s="71"/>
      <c r="TRG28" s="71"/>
      <c r="TRH28" s="71"/>
      <c r="TRI28" s="71"/>
      <c r="TRJ28" s="71"/>
      <c r="TRK28" s="71"/>
      <c r="TRL28" s="71"/>
      <c r="TRM28" s="71"/>
      <c r="TRN28" s="71"/>
      <c r="TRO28" s="71"/>
      <c r="TRP28" s="71"/>
      <c r="TRQ28" s="71"/>
      <c r="TRR28" s="71"/>
      <c r="TRS28" s="71"/>
      <c r="TRT28" s="71"/>
      <c r="TRU28" s="71"/>
      <c r="TRV28" s="71"/>
      <c r="TRW28" s="71"/>
      <c r="TRX28" s="71"/>
      <c r="TRY28" s="71"/>
      <c r="TRZ28" s="71"/>
      <c r="TSA28" s="71"/>
      <c r="TSB28" s="71"/>
      <c r="TSC28" s="71"/>
      <c r="TSD28" s="71"/>
      <c r="TSE28" s="71"/>
      <c r="TSF28" s="71"/>
      <c r="TSG28" s="71"/>
      <c r="TSH28" s="71"/>
      <c r="TSI28" s="71"/>
      <c r="TSJ28" s="71"/>
      <c r="TSK28" s="71"/>
      <c r="TSL28" s="71"/>
      <c r="TSM28" s="71"/>
      <c r="TSN28" s="71"/>
      <c r="TSO28" s="71"/>
      <c r="TSP28" s="71"/>
      <c r="TSQ28" s="71"/>
      <c r="TSR28" s="71"/>
      <c r="TSS28" s="71"/>
      <c r="TST28" s="71"/>
      <c r="TSU28" s="71"/>
      <c r="TSV28" s="71"/>
      <c r="TSW28" s="71"/>
      <c r="TSX28" s="71"/>
      <c r="TSY28" s="71"/>
      <c r="TSZ28" s="71"/>
      <c r="TTA28" s="71"/>
      <c r="TTB28" s="71"/>
      <c r="TTC28" s="71"/>
      <c r="TTD28" s="71"/>
      <c r="TTE28" s="71"/>
      <c r="TTF28" s="71"/>
      <c r="TTG28" s="71"/>
      <c r="TTH28" s="71"/>
      <c r="TTI28" s="71"/>
      <c r="TTJ28" s="71"/>
      <c r="TTK28" s="71"/>
      <c r="TTL28" s="71"/>
      <c r="TTM28" s="71"/>
      <c r="TTN28" s="71"/>
      <c r="TTO28" s="71"/>
      <c r="TTP28" s="71"/>
      <c r="TTQ28" s="71"/>
      <c r="TTR28" s="71"/>
      <c r="TTS28" s="71"/>
      <c r="TTT28" s="71"/>
      <c r="TTU28" s="71"/>
      <c r="TTV28" s="71"/>
      <c r="TTW28" s="71"/>
      <c r="TTX28" s="71"/>
      <c r="TTY28" s="71"/>
      <c r="TTZ28" s="71"/>
      <c r="TUA28" s="71"/>
      <c r="TUB28" s="71"/>
      <c r="TUC28" s="71"/>
      <c r="TUD28" s="71"/>
      <c r="TUE28" s="71"/>
      <c r="TUF28" s="71"/>
      <c r="TUG28" s="71"/>
      <c r="TUH28" s="71"/>
      <c r="TUI28" s="71"/>
      <c r="TUJ28" s="71"/>
      <c r="TUK28" s="71"/>
      <c r="TUL28" s="71"/>
      <c r="TUM28" s="71"/>
      <c r="TUN28" s="71"/>
      <c r="TUO28" s="71"/>
      <c r="TUP28" s="71"/>
      <c r="TUQ28" s="71"/>
      <c r="TUR28" s="71"/>
      <c r="TUS28" s="71"/>
      <c r="TUT28" s="71"/>
      <c r="TUU28" s="71"/>
      <c r="TUV28" s="71"/>
      <c r="TUW28" s="71"/>
      <c r="TUX28" s="71"/>
      <c r="TUY28" s="71"/>
      <c r="TUZ28" s="71"/>
      <c r="TVA28" s="71"/>
      <c r="TVB28" s="71"/>
      <c r="TVC28" s="71"/>
      <c r="TVD28" s="71"/>
      <c r="TVE28" s="71"/>
      <c r="TVF28" s="71"/>
      <c r="TVG28" s="71"/>
      <c r="TVH28" s="71"/>
      <c r="TVI28" s="71"/>
      <c r="TVJ28" s="71"/>
      <c r="TVK28" s="71"/>
      <c r="TVL28" s="71"/>
      <c r="TVM28" s="71"/>
      <c r="TVN28" s="71"/>
      <c r="TVO28" s="71"/>
      <c r="TVP28" s="71"/>
      <c r="TVQ28" s="71"/>
      <c r="TVR28" s="71"/>
      <c r="TVS28" s="71"/>
      <c r="TVT28" s="71"/>
      <c r="TVU28" s="71"/>
      <c r="TVV28" s="71"/>
      <c r="TVW28" s="71"/>
      <c r="TVX28" s="71"/>
      <c r="TVY28" s="71"/>
      <c r="TVZ28" s="71"/>
      <c r="TWA28" s="71"/>
      <c r="TWB28" s="71"/>
      <c r="TWC28" s="71"/>
      <c r="TWD28" s="71"/>
      <c r="TWE28" s="71"/>
      <c r="TWF28" s="71"/>
      <c r="TWG28" s="71"/>
      <c r="TWH28" s="71"/>
      <c r="TWI28" s="71"/>
      <c r="TWJ28" s="71"/>
      <c r="TWK28" s="71"/>
      <c r="TWL28" s="71"/>
      <c r="TWM28" s="71"/>
      <c r="TWN28" s="71"/>
      <c r="TWO28" s="71"/>
      <c r="TWP28" s="71"/>
      <c r="TWQ28" s="71"/>
      <c r="TWR28" s="71"/>
      <c r="TWS28" s="71"/>
      <c r="TWT28" s="71"/>
      <c r="TWU28" s="71"/>
      <c r="TWV28" s="71"/>
      <c r="TWW28" s="71"/>
      <c r="TWX28" s="71"/>
      <c r="TWY28" s="71"/>
      <c r="TWZ28" s="71"/>
      <c r="TXA28" s="71"/>
      <c r="TXB28" s="71"/>
      <c r="TXC28" s="71"/>
      <c r="TXD28" s="71"/>
      <c r="TXE28" s="71"/>
      <c r="TXF28" s="71"/>
      <c r="TXG28" s="71"/>
      <c r="TXH28" s="71"/>
      <c r="TXI28" s="71"/>
      <c r="TXJ28" s="71"/>
      <c r="TXK28" s="71"/>
      <c r="TXL28" s="71"/>
      <c r="TXM28" s="71"/>
      <c r="TXN28" s="71"/>
      <c r="TXO28" s="71"/>
      <c r="TXP28" s="71"/>
      <c r="TXQ28" s="71"/>
      <c r="TXR28" s="71"/>
      <c r="TXS28" s="71"/>
      <c r="TXT28" s="71"/>
      <c r="TXU28" s="71"/>
      <c r="TXV28" s="71"/>
      <c r="TXW28" s="71"/>
      <c r="TXX28" s="71"/>
      <c r="TXY28" s="71"/>
      <c r="TXZ28" s="71"/>
      <c r="TYA28" s="71"/>
      <c r="TYB28" s="71"/>
      <c r="TYC28" s="71"/>
      <c r="TYD28" s="71"/>
      <c r="TYE28" s="71"/>
      <c r="TYF28" s="71"/>
      <c r="TYG28" s="71"/>
      <c r="TYH28" s="71"/>
      <c r="TYI28" s="71"/>
      <c r="TYJ28" s="71"/>
      <c r="TYK28" s="71"/>
      <c r="TYL28" s="71"/>
      <c r="TYM28" s="71"/>
      <c r="TYN28" s="71"/>
      <c r="TYO28" s="71"/>
      <c r="TYP28" s="71"/>
      <c r="TYQ28" s="71"/>
      <c r="TYR28" s="71"/>
      <c r="TYS28" s="71"/>
      <c r="TYT28" s="71"/>
      <c r="TYU28" s="71"/>
      <c r="TYV28" s="71"/>
      <c r="TYW28" s="71"/>
      <c r="TYX28" s="71"/>
      <c r="TYY28" s="71"/>
      <c r="TYZ28" s="71"/>
      <c r="TZA28" s="71"/>
      <c r="TZB28" s="71"/>
      <c r="TZC28" s="71"/>
      <c r="TZD28" s="71"/>
      <c r="TZE28" s="71"/>
      <c r="TZF28" s="71"/>
      <c r="TZG28" s="71"/>
      <c r="TZH28" s="71"/>
      <c r="TZI28" s="71"/>
      <c r="TZJ28" s="71"/>
      <c r="TZK28" s="71"/>
      <c r="TZL28" s="71"/>
      <c r="TZM28" s="71"/>
      <c r="TZN28" s="71"/>
      <c r="TZO28" s="71"/>
      <c r="TZP28" s="71"/>
      <c r="TZQ28" s="71"/>
      <c r="TZR28" s="71"/>
      <c r="TZS28" s="71"/>
      <c r="TZT28" s="71"/>
      <c r="TZU28" s="71"/>
      <c r="TZV28" s="71"/>
      <c r="TZW28" s="71"/>
      <c r="TZX28" s="71"/>
      <c r="TZY28" s="71"/>
      <c r="TZZ28" s="71"/>
      <c r="UAA28" s="71"/>
      <c r="UAB28" s="71"/>
      <c r="UAC28" s="71"/>
      <c r="UAD28" s="71"/>
      <c r="UAE28" s="71"/>
      <c r="UAF28" s="71"/>
      <c r="UAG28" s="71"/>
      <c r="UAH28" s="71"/>
      <c r="UAI28" s="71"/>
      <c r="UAJ28" s="71"/>
      <c r="UAK28" s="71"/>
      <c r="UAL28" s="71"/>
      <c r="UAM28" s="71"/>
      <c r="UAN28" s="71"/>
      <c r="UAO28" s="71"/>
      <c r="UAP28" s="71"/>
      <c r="UAQ28" s="71"/>
      <c r="UAR28" s="71"/>
      <c r="UAS28" s="71"/>
      <c r="UAT28" s="71"/>
      <c r="UAU28" s="71"/>
      <c r="UAV28" s="71"/>
      <c r="UAW28" s="71"/>
      <c r="UAX28" s="71"/>
      <c r="UAY28" s="71"/>
      <c r="UAZ28" s="71"/>
      <c r="UBA28" s="71"/>
      <c r="UBB28" s="71"/>
      <c r="UBC28" s="71"/>
      <c r="UBD28" s="71"/>
      <c r="UBE28" s="71"/>
      <c r="UBF28" s="71"/>
      <c r="UBG28" s="71"/>
      <c r="UBH28" s="71"/>
      <c r="UBI28" s="71"/>
      <c r="UBJ28" s="71"/>
      <c r="UBK28" s="71"/>
      <c r="UBL28" s="71"/>
      <c r="UBM28" s="71"/>
      <c r="UBN28" s="71"/>
      <c r="UBO28" s="71"/>
      <c r="UBP28" s="71"/>
      <c r="UBQ28" s="71"/>
      <c r="UBR28" s="71"/>
      <c r="UBS28" s="71"/>
      <c r="UBT28" s="71"/>
      <c r="UBU28" s="71"/>
      <c r="UBV28" s="71"/>
      <c r="UBW28" s="71"/>
      <c r="UBX28" s="71"/>
      <c r="UBY28" s="71"/>
      <c r="UBZ28" s="71"/>
      <c r="UCA28" s="71"/>
      <c r="UCB28" s="71"/>
      <c r="UCC28" s="71"/>
      <c r="UCD28" s="71"/>
      <c r="UCE28" s="71"/>
      <c r="UCF28" s="71"/>
      <c r="UCG28" s="71"/>
      <c r="UCH28" s="71"/>
      <c r="UCI28" s="71"/>
      <c r="UCJ28" s="71"/>
      <c r="UCK28" s="71"/>
      <c r="UCL28" s="71"/>
      <c r="UCM28" s="71"/>
      <c r="UCN28" s="71"/>
      <c r="UCO28" s="71"/>
      <c r="UCP28" s="71"/>
      <c r="UCQ28" s="71"/>
      <c r="UCR28" s="71"/>
      <c r="UCS28" s="71"/>
      <c r="UCT28" s="71"/>
      <c r="UCU28" s="71"/>
      <c r="UCV28" s="71"/>
      <c r="UCW28" s="71"/>
      <c r="UCX28" s="71"/>
      <c r="UCY28" s="71"/>
      <c r="UCZ28" s="71"/>
      <c r="UDA28" s="71"/>
      <c r="UDB28" s="71"/>
      <c r="UDC28" s="71"/>
      <c r="UDD28" s="71"/>
      <c r="UDE28" s="71"/>
      <c r="UDF28" s="71"/>
      <c r="UDG28" s="71"/>
      <c r="UDH28" s="71"/>
      <c r="UDI28" s="71"/>
      <c r="UDJ28" s="71"/>
      <c r="UDK28" s="71"/>
      <c r="UDL28" s="71"/>
      <c r="UDM28" s="71"/>
      <c r="UDN28" s="71"/>
      <c r="UDO28" s="71"/>
      <c r="UDP28" s="71"/>
      <c r="UDQ28" s="71"/>
      <c r="UDR28" s="71"/>
      <c r="UDS28" s="71"/>
      <c r="UDT28" s="71"/>
      <c r="UDU28" s="71"/>
      <c r="UDV28" s="71"/>
      <c r="UDW28" s="71"/>
      <c r="UDX28" s="71"/>
      <c r="UDY28" s="71"/>
      <c r="UDZ28" s="71"/>
      <c r="UEA28" s="71"/>
      <c r="UEB28" s="71"/>
      <c r="UEC28" s="71"/>
      <c r="UED28" s="71"/>
      <c r="UEE28" s="71"/>
      <c r="UEF28" s="71"/>
      <c r="UEG28" s="71"/>
      <c r="UEH28" s="71"/>
      <c r="UEI28" s="71"/>
      <c r="UEJ28" s="71"/>
      <c r="UEK28" s="71"/>
      <c r="UEL28" s="71"/>
      <c r="UEM28" s="71"/>
      <c r="UEN28" s="71"/>
      <c r="UEO28" s="71"/>
      <c r="UEP28" s="71"/>
      <c r="UEQ28" s="71"/>
      <c r="UER28" s="71"/>
      <c r="UES28" s="71"/>
      <c r="UET28" s="71"/>
      <c r="UEU28" s="71"/>
      <c r="UEV28" s="71"/>
      <c r="UEW28" s="71"/>
      <c r="UEX28" s="71"/>
      <c r="UEY28" s="71"/>
      <c r="UEZ28" s="71"/>
      <c r="UFA28" s="71"/>
      <c r="UFB28" s="71"/>
      <c r="UFC28" s="71"/>
      <c r="UFD28" s="71"/>
      <c r="UFE28" s="71"/>
      <c r="UFF28" s="71"/>
      <c r="UFG28" s="71"/>
      <c r="UFH28" s="71"/>
      <c r="UFI28" s="71"/>
      <c r="UFJ28" s="71"/>
      <c r="UFK28" s="71"/>
      <c r="UFL28" s="71"/>
      <c r="UFM28" s="71"/>
      <c r="UFN28" s="71"/>
      <c r="UFO28" s="71"/>
      <c r="UFP28" s="71"/>
      <c r="UFQ28" s="71"/>
      <c r="UFR28" s="71"/>
      <c r="UFS28" s="71"/>
      <c r="UFT28" s="71"/>
      <c r="UFU28" s="71"/>
      <c r="UFV28" s="71"/>
      <c r="UFW28" s="71"/>
      <c r="UFX28" s="71"/>
      <c r="UFY28" s="71"/>
      <c r="UFZ28" s="71"/>
      <c r="UGA28" s="71"/>
      <c r="UGB28" s="71"/>
      <c r="UGC28" s="71"/>
      <c r="UGD28" s="71"/>
      <c r="UGE28" s="71"/>
      <c r="UGF28" s="71"/>
      <c r="UGG28" s="71"/>
      <c r="UGH28" s="71"/>
      <c r="UGI28" s="71"/>
      <c r="UGJ28" s="71"/>
      <c r="UGK28" s="71"/>
      <c r="UGL28" s="71"/>
      <c r="UGM28" s="71"/>
      <c r="UGN28" s="71"/>
      <c r="UGO28" s="71"/>
      <c r="UGP28" s="71"/>
      <c r="UGQ28" s="71"/>
      <c r="UGR28" s="71"/>
      <c r="UGS28" s="71"/>
      <c r="UGT28" s="71"/>
      <c r="UGU28" s="71"/>
      <c r="UGV28" s="71"/>
      <c r="UGW28" s="71"/>
      <c r="UGX28" s="71"/>
      <c r="UGY28" s="71"/>
      <c r="UGZ28" s="71"/>
      <c r="UHA28" s="71"/>
      <c r="UHB28" s="71"/>
      <c r="UHC28" s="71"/>
      <c r="UHD28" s="71"/>
      <c r="UHE28" s="71"/>
      <c r="UHF28" s="71"/>
      <c r="UHG28" s="71"/>
      <c r="UHH28" s="71"/>
      <c r="UHI28" s="71"/>
      <c r="UHJ28" s="71"/>
      <c r="UHK28" s="71"/>
      <c r="UHL28" s="71"/>
      <c r="UHM28" s="71"/>
      <c r="UHN28" s="71"/>
      <c r="UHO28" s="71"/>
      <c r="UHP28" s="71"/>
      <c r="UHQ28" s="71"/>
      <c r="UHR28" s="71"/>
      <c r="UHS28" s="71"/>
      <c r="UHT28" s="71"/>
      <c r="UHU28" s="71"/>
      <c r="UHV28" s="71"/>
      <c r="UHW28" s="71"/>
      <c r="UHX28" s="71"/>
      <c r="UHY28" s="71"/>
      <c r="UHZ28" s="71"/>
      <c r="UIA28" s="71"/>
      <c r="UIB28" s="71"/>
      <c r="UIC28" s="71"/>
      <c r="UID28" s="71"/>
      <c r="UIE28" s="71"/>
      <c r="UIF28" s="71"/>
      <c r="UIG28" s="71"/>
      <c r="UIH28" s="71"/>
      <c r="UII28" s="71"/>
      <c r="UIJ28" s="71"/>
      <c r="UIK28" s="71"/>
      <c r="UIL28" s="71"/>
      <c r="UIM28" s="71"/>
      <c r="UIN28" s="71"/>
      <c r="UIO28" s="71"/>
      <c r="UIP28" s="71"/>
      <c r="UIQ28" s="71"/>
      <c r="UIR28" s="71"/>
      <c r="UIS28" s="71"/>
      <c r="UIT28" s="71"/>
      <c r="UIU28" s="71"/>
      <c r="UIV28" s="71"/>
      <c r="UIW28" s="71"/>
      <c r="UIX28" s="71"/>
      <c r="UIY28" s="71"/>
      <c r="UIZ28" s="71"/>
      <c r="UJA28" s="71"/>
      <c r="UJB28" s="71"/>
      <c r="UJC28" s="71"/>
      <c r="UJD28" s="71"/>
      <c r="UJE28" s="71"/>
      <c r="UJF28" s="71"/>
      <c r="UJG28" s="71"/>
      <c r="UJH28" s="71"/>
      <c r="UJI28" s="71"/>
      <c r="UJJ28" s="71"/>
      <c r="UJK28" s="71"/>
      <c r="UJL28" s="71"/>
      <c r="UJM28" s="71"/>
      <c r="UJN28" s="71"/>
      <c r="UJO28" s="71"/>
      <c r="UJP28" s="71"/>
      <c r="UJQ28" s="71"/>
      <c r="UJR28" s="71"/>
      <c r="UJS28" s="71"/>
      <c r="UJT28" s="71"/>
      <c r="UJU28" s="71"/>
      <c r="UJV28" s="71"/>
      <c r="UJW28" s="71"/>
      <c r="UJX28" s="71"/>
      <c r="UJY28" s="71"/>
      <c r="UJZ28" s="71"/>
      <c r="UKA28" s="71"/>
      <c r="UKB28" s="71"/>
      <c r="UKC28" s="71"/>
      <c r="UKD28" s="71"/>
      <c r="UKE28" s="71"/>
      <c r="UKF28" s="71"/>
      <c r="UKG28" s="71"/>
      <c r="UKH28" s="71"/>
      <c r="UKI28" s="71"/>
      <c r="UKJ28" s="71"/>
      <c r="UKK28" s="71"/>
      <c r="UKL28" s="71"/>
      <c r="UKM28" s="71"/>
      <c r="UKN28" s="71"/>
      <c r="UKO28" s="71"/>
      <c r="UKP28" s="71"/>
      <c r="UKQ28" s="71"/>
      <c r="UKR28" s="71"/>
      <c r="UKS28" s="71"/>
      <c r="UKT28" s="71"/>
      <c r="UKU28" s="71"/>
      <c r="UKV28" s="71"/>
      <c r="UKW28" s="71"/>
      <c r="UKX28" s="71"/>
      <c r="UKY28" s="71"/>
      <c r="UKZ28" s="71"/>
      <c r="ULA28" s="71"/>
      <c r="ULB28" s="71"/>
      <c r="ULC28" s="71"/>
      <c r="ULD28" s="71"/>
      <c r="ULE28" s="71"/>
      <c r="ULF28" s="71"/>
      <c r="ULG28" s="71"/>
      <c r="ULH28" s="71"/>
      <c r="ULI28" s="71"/>
      <c r="ULJ28" s="71"/>
      <c r="ULK28" s="71"/>
      <c r="ULL28" s="71"/>
      <c r="ULM28" s="71"/>
      <c r="ULN28" s="71"/>
      <c r="ULO28" s="71"/>
      <c r="ULP28" s="71"/>
      <c r="ULQ28" s="71"/>
      <c r="ULR28" s="71"/>
      <c r="ULS28" s="71"/>
      <c r="ULT28" s="71"/>
      <c r="ULU28" s="71"/>
      <c r="ULV28" s="71"/>
      <c r="ULW28" s="71"/>
      <c r="ULX28" s="71"/>
      <c r="ULY28" s="71"/>
      <c r="ULZ28" s="71"/>
      <c r="UMA28" s="71"/>
      <c r="UMB28" s="71"/>
      <c r="UMC28" s="71"/>
      <c r="UMD28" s="71"/>
      <c r="UME28" s="71"/>
      <c r="UMF28" s="71"/>
      <c r="UMG28" s="71"/>
      <c r="UMH28" s="71"/>
      <c r="UMI28" s="71"/>
      <c r="UMJ28" s="71"/>
      <c r="UMK28" s="71"/>
      <c r="UML28" s="71"/>
      <c r="UMM28" s="71"/>
      <c r="UMN28" s="71"/>
      <c r="UMO28" s="71"/>
      <c r="UMP28" s="71"/>
      <c r="UMQ28" s="71"/>
      <c r="UMR28" s="71"/>
      <c r="UMS28" s="71"/>
      <c r="UMT28" s="71"/>
      <c r="UMU28" s="71"/>
      <c r="UMV28" s="71"/>
      <c r="UMW28" s="71"/>
      <c r="UMX28" s="71"/>
      <c r="UMY28" s="71"/>
      <c r="UMZ28" s="71"/>
      <c r="UNA28" s="71"/>
      <c r="UNB28" s="71"/>
      <c r="UNC28" s="71"/>
      <c r="UND28" s="71"/>
      <c r="UNE28" s="71"/>
      <c r="UNF28" s="71"/>
      <c r="UNG28" s="71"/>
      <c r="UNH28" s="71"/>
      <c r="UNI28" s="71"/>
      <c r="UNJ28" s="71"/>
      <c r="UNK28" s="71"/>
      <c r="UNL28" s="71"/>
      <c r="UNM28" s="71"/>
      <c r="UNN28" s="71"/>
      <c r="UNO28" s="71"/>
      <c r="UNP28" s="71"/>
      <c r="UNQ28" s="71"/>
      <c r="UNR28" s="71"/>
      <c r="UNS28" s="71"/>
      <c r="UNT28" s="71"/>
      <c r="UNU28" s="71"/>
      <c r="UNV28" s="71"/>
      <c r="UNW28" s="71"/>
      <c r="UNX28" s="71"/>
      <c r="UNY28" s="71"/>
      <c r="UNZ28" s="71"/>
      <c r="UOA28" s="71"/>
      <c r="UOB28" s="71"/>
      <c r="UOC28" s="71"/>
      <c r="UOD28" s="71"/>
      <c r="UOE28" s="71"/>
      <c r="UOF28" s="71"/>
      <c r="UOG28" s="71"/>
      <c r="UOH28" s="71"/>
      <c r="UOI28" s="71"/>
      <c r="UOJ28" s="71"/>
      <c r="UOK28" s="71"/>
      <c r="UOL28" s="71"/>
      <c r="UOM28" s="71"/>
      <c r="UON28" s="71"/>
      <c r="UOO28" s="71"/>
      <c r="UOP28" s="71"/>
      <c r="UOQ28" s="71"/>
      <c r="UOR28" s="71"/>
      <c r="UOS28" s="71"/>
      <c r="UOT28" s="71"/>
      <c r="UOU28" s="71"/>
      <c r="UOV28" s="71"/>
      <c r="UOW28" s="71"/>
      <c r="UOX28" s="71"/>
      <c r="UOY28" s="71"/>
      <c r="UOZ28" s="71"/>
      <c r="UPA28" s="71"/>
      <c r="UPB28" s="71"/>
      <c r="UPC28" s="71"/>
      <c r="UPD28" s="71"/>
      <c r="UPE28" s="71"/>
      <c r="UPF28" s="71"/>
      <c r="UPG28" s="71"/>
      <c r="UPH28" s="71"/>
      <c r="UPI28" s="71"/>
      <c r="UPJ28" s="71"/>
      <c r="UPK28" s="71"/>
      <c r="UPL28" s="71"/>
      <c r="UPM28" s="71"/>
      <c r="UPN28" s="71"/>
      <c r="UPO28" s="71"/>
      <c r="UPP28" s="71"/>
      <c r="UPQ28" s="71"/>
      <c r="UPR28" s="71"/>
      <c r="UPS28" s="71"/>
      <c r="UPT28" s="71"/>
      <c r="UPU28" s="71"/>
      <c r="UPV28" s="71"/>
      <c r="UPW28" s="71"/>
      <c r="UPX28" s="71"/>
      <c r="UPY28" s="71"/>
      <c r="UPZ28" s="71"/>
      <c r="UQA28" s="71"/>
      <c r="UQB28" s="71"/>
      <c r="UQC28" s="71"/>
      <c r="UQD28" s="71"/>
      <c r="UQE28" s="71"/>
      <c r="UQF28" s="71"/>
      <c r="UQG28" s="71"/>
      <c r="UQH28" s="71"/>
      <c r="UQI28" s="71"/>
      <c r="UQJ28" s="71"/>
      <c r="UQK28" s="71"/>
      <c r="UQL28" s="71"/>
      <c r="UQM28" s="71"/>
      <c r="UQN28" s="71"/>
      <c r="UQO28" s="71"/>
      <c r="UQP28" s="71"/>
      <c r="UQQ28" s="71"/>
      <c r="UQR28" s="71"/>
      <c r="UQS28" s="71"/>
      <c r="UQT28" s="71"/>
      <c r="UQU28" s="71"/>
      <c r="UQV28" s="71"/>
      <c r="UQW28" s="71"/>
      <c r="UQX28" s="71"/>
      <c r="UQY28" s="71"/>
      <c r="UQZ28" s="71"/>
      <c r="URA28" s="71"/>
      <c r="URB28" s="71"/>
      <c r="URC28" s="71"/>
      <c r="URD28" s="71"/>
      <c r="URE28" s="71"/>
      <c r="URF28" s="71"/>
      <c r="URG28" s="71"/>
      <c r="URH28" s="71"/>
      <c r="URI28" s="71"/>
      <c r="URJ28" s="71"/>
      <c r="URK28" s="71"/>
      <c r="URL28" s="71"/>
      <c r="URM28" s="71"/>
      <c r="URN28" s="71"/>
      <c r="URO28" s="71"/>
      <c r="URP28" s="71"/>
      <c r="URQ28" s="71"/>
      <c r="URR28" s="71"/>
      <c r="URS28" s="71"/>
      <c r="URT28" s="71"/>
      <c r="URU28" s="71"/>
      <c r="URV28" s="71"/>
      <c r="URW28" s="71"/>
      <c r="URX28" s="71"/>
      <c r="URY28" s="71"/>
      <c r="URZ28" s="71"/>
      <c r="USA28" s="71"/>
      <c r="USB28" s="71"/>
      <c r="USC28" s="71"/>
      <c r="USD28" s="71"/>
      <c r="USE28" s="71"/>
      <c r="USF28" s="71"/>
      <c r="USG28" s="71"/>
      <c r="USH28" s="71"/>
      <c r="USI28" s="71"/>
      <c r="USJ28" s="71"/>
      <c r="USK28" s="71"/>
      <c r="USL28" s="71"/>
      <c r="USM28" s="71"/>
      <c r="USN28" s="71"/>
      <c r="USO28" s="71"/>
      <c r="USP28" s="71"/>
      <c r="USQ28" s="71"/>
      <c r="USR28" s="71"/>
      <c r="USS28" s="71"/>
      <c r="UST28" s="71"/>
      <c r="USU28" s="71"/>
      <c r="USV28" s="71"/>
      <c r="USW28" s="71"/>
      <c r="USX28" s="71"/>
      <c r="USY28" s="71"/>
      <c r="USZ28" s="71"/>
      <c r="UTA28" s="71"/>
      <c r="UTB28" s="71"/>
      <c r="UTC28" s="71"/>
      <c r="UTD28" s="71"/>
      <c r="UTE28" s="71"/>
      <c r="UTF28" s="71"/>
      <c r="UTG28" s="71"/>
      <c r="UTH28" s="71"/>
      <c r="UTI28" s="71"/>
      <c r="UTJ28" s="71"/>
      <c r="UTK28" s="71"/>
      <c r="UTL28" s="71"/>
      <c r="UTM28" s="71"/>
      <c r="UTN28" s="71"/>
      <c r="UTO28" s="71"/>
      <c r="UTP28" s="71"/>
      <c r="UTQ28" s="71"/>
      <c r="UTR28" s="71"/>
      <c r="UTS28" s="71"/>
      <c r="UTT28" s="71"/>
      <c r="UTU28" s="71"/>
      <c r="UTV28" s="71"/>
      <c r="UTW28" s="71"/>
      <c r="UTX28" s="71"/>
      <c r="UTY28" s="71"/>
      <c r="UTZ28" s="71"/>
      <c r="UUA28" s="71"/>
      <c r="UUB28" s="71"/>
      <c r="UUC28" s="71"/>
      <c r="UUD28" s="71"/>
      <c r="UUE28" s="71"/>
      <c r="UUF28" s="71"/>
      <c r="UUG28" s="71"/>
      <c r="UUH28" s="71"/>
      <c r="UUI28" s="71"/>
      <c r="UUJ28" s="71"/>
      <c r="UUK28" s="71"/>
      <c r="UUL28" s="71"/>
      <c r="UUM28" s="71"/>
      <c r="UUN28" s="71"/>
      <c r="UUO28" s="71"/>
      <c r="UUP28" s="71"/>
      <c r="UUQ28" s="71"/>
      <c r="UUR28" s="71"/>
      <c r="UUS28" s="71"/>
      <c r="UUT28" s="71"/>
      <c r="UUU28" s="71"/>
      <c r="UUV28" s="71"/>
      <c r="UUW28" s="71"/>
      <c r="UUX28" s="71"/>
      <c r="UUY28" s="71"/>
      <c r="UUZ28" s="71"/>
      <c r="UVA28" s="71"/>
      <c r="UVB28" s="71"/>
      <c r="UVC28" s="71"/>
      <c r="UVD28" s="71"/>
      <c r="UVE28" s="71"/>
      <c r="UVF28" s="71"/>
      <c r="UVG28" s="71"/>
      <c r="UVH28" s="71"/>
      <c r="UVI28" s="71"/>
      <c r="UVJ28" s="71"/>
      <c r="UVK28" s="71"/>
      <c r="UVL28" s="71"/>
      <c r="UVM28" s="71"/>
      <c r="UVN28" s="71"/>
      <c r="UVO28" s="71"/>
      <c r="UVP28" s="71"/>
      <c r="UVQ28" s="71"/>
      <c r="UVR28" s="71"/>
      <c r="UVS28" s="71"/>
      <c r="UVT28" s="71"/>
      <c r="UVU28" s="71"/>
      <c r="UVV28" s="71"/>
      <c r="UVW28" s="71"/>
      <c r="UVX28" s="71"/>
      <c r="UVY28" s="71"/>
      <c r="UVZ28" s="71"/>
      <c r="UWA28" s="71"/>
      <c r="UWB28" s="71"/>
      <c r="UWC28" s="71"/>
      <c r="UWD28" s="71"/>
      <c r="UWE28" s="71"/>
      <c r="UWF28" s="71"/>
      <c r="UWG28" s="71"/>
      <c r="UWH28" s="71"/>
      <c r="UWI28" s="71"/>
      <c r="UWJ28" s="71"/>
      <c r="UWK28" s="71"/>
      <c r="UWL28" s="71"/>
      <c r="UWM28" s="71"/>
      <c r="UWN28" s="71"/>
      <c r="UWO28" s="71"/>
      <c r="UWP28" s="71"/>
      <c r="UWQ28" s="71"/>
      <c r="UWR28" s="71"/>
      <c r="UWS28" s="71"/>
      <c r="UWT28" s="71"/>
      <c r="UWU28" s="71"/>
      <c r="UWV28" s="71"/>
      <c r="UWW28" s="71"/>
      <c r="UWX28" s="71"/>
      <c r="UWY28" s="71"/>
      <c r="UWZ28" s="71"/>
      <c r="UXA28" s="71"/>
      <c r="UXB28" s="71"/>
      <c r="UXC28" s="71"/>
      <c r="UXD28" s="71"/>
      <c r="UXE28" s="71"/>
      <c r="UXF28" s="71"/>
      <c r="UXG28" s="71"/>
      <c r="UXH28" s="71"/>
      <c r="UXI28" s="71"/>
      <c r="UXJ28" s="71"/>
      <c r="UXK28" s="71"/>
      <c r="UXL28" s="71"/>
      <c r="UXM28" s="71"/>
      <c r="UXN28" s="71"/>
      <c r="UXO28" s="71"/>
      <c r="UXP28" s="71"/>
      <c r="UXQ28" s="71"/>
      <c r="UXR28" s="71"/>
      <c r="UXS28" s="71"/>
      <c r="UXT28" s="71"/>
      <c r="UXU28" s="71"/>
      <c r="UXV28" s="71"/>
      <c r="UXW28" s="71"/>
      <c r="UXX28" s="71"/>
      <c r="UXY28" s="71"/>
      <c r="UXZ28" s="71"/>
      <c r="UYA28" s="71"/>
      <c r="UYB28" s="71"/>
      <c r="UYC28" s="71"/>
      <c r="UYD28" s="71"/>
      <c r="UYE28" s="71"/>
      <c r="UYF28" s="71"/>
      <c r="UYG28" s="71"/>
      <c r="UYH28" s="71"/>
      <c r="UYI28" s="71"/>
      <c r="UYJ28" s="71"/>
      <c r="UYK28" s="71"/>
      <c r="UYL28" s="71"/>
      <c r="UYM28" s="71"/>
      <c r="UYN28" s="71"/>
      <c r="UYO28" s="71"/>
      <c r="UYP28" s="71"/>
      <c r="UYQ28" s="71"/>
      <c r="UYR28" s="71"/>
      <c r="UYS28" s="71"/>
      <c r="UYT28" s="71"/>
      <c r="UYU28" s="71"/>
      <c r="UYV28" s="71"/>
      <c r="UYW28" s="71"/>
      <c r="UYX28" s="71"/>
      <c r="UYY28" s="71"/>
      <c r="UYZ28" s="71"/>
      <c r="UZA28" s="71"/>
      <c r="UZB28" s="71"/>
      <c r="UZC28" s="71"/>
      <c r="UZD28" s="71"/>
      <c r="UZE28" s="71"/>
      <c r="UZF28" s="71"/>
      <c r="UZG28" s="71"/>
      <c r="UZH28" s="71"/>
      <c r="UZI28" s="71"/>
      <c r="UZJ28" s="71"/>
      <c r="UZK28" s="71"/>
      <c r="UZL28" s="71"/>
      <c r="UZM28" s="71"/>
      <c r="UZN28" s="71"/>
      <c r="UZO28" s="71"/>
      <c r="UZP28" s="71"/>
      <c r="UZQ28" s="71"/>
      <c r="UZR28" s="71"/>
      <c r="UZS28" s="71"/>
      <c r="UZT28" s="71"/>
      <c r="UZU28" s="71"/>
      <c r="UZV28" s="71"/>
      <c r="UZW28" s="71"/>
      <c r="UZX28" s="71"/>
      <c r="UZY28" s="71"/>
      <c r="UZZ28" s="71"/>
      <c r="VAA28" s="71"/>
      <c r="VAB28" s="71"/>
      <c r="VAC28" s="71"/>
      <c r="VAD28" s="71"/>
      <c r="VAE28" s="71"/>
      <c r="VAF28" s="71"/>
      <c r="VAG28" s="71"/>
      <c r="VAH28" s="71"/>
      <c r="VAI28" s="71"/>
      <c r="VAJ28" s="71"/>
      <c r="VAK28" s="71"/>
      <c r="VAL28" s="71"/>
      <c r="VAM28" s="71"/>
      <c r="VAN28" s="71"/>
      <c r="VAO28" s="71"/>
      <c r="VAP28" s="71"/>
      <c r="VAQ28" s="71"/>
      <c r="VAR28" s="71"/>
      <c r="VAS28" s="71"/>
      <c r="VAT28" s="71"/>
      <c r="VAU28" s="71"/>
      <c r="VAV28" s="71"/>
      <c r="VAW28" s="71"/>
      <c r="VAX28" s="71"/>
      <c r="VAY28" s="71"/>
      <c r="VAZ28" s="71"/>
      <c r="VBA28" s="71"/>
      <c r="VBB28" s="71"/>
      <c r="VBC28" s="71"/>
      <c r="VBD28" s="71"/>
      <c r="VBE28" s="71"/>
      <c r="VBF28" s="71"/>
      <c r="VBG28" s="71"/>
      <c r="VBH28" s="71"/>
      <c r="VBI28" s="71"/>
      <c r="VBJ28" s="71"/>
      <c r="VBK28" s="71"/>
      <c r="VBL28" s="71"/>
      <c r="VBM28" s="71"/>
      <c r="VBN28" s="71"/>
      <c r="VBO28" s="71"/>
      <c r="VBP28" s="71"/>
      <c r="VBQ28" s="71"/>
      <c r="VBR28" s="71"/>
      <c r="VBS28" s="71"/>
      <c r="VBT28" s="71"/>
      <c r="VBU28" s="71"/>
      <c r="VBV28" s="71"/>
      <c r="VBW28" s="71"/>
      <c r="VBX28" s="71"/>
      <c r="VBY28" s="71"/>
      <c r="VBZ28" s="71"/>
      <c r="VCA28" s="71"/>
      <c r="VCB28" s="71"/>
      <c r="VCC28" s="71"/>
      <c r="VCD28" s="71"/>
      <c r="VCE28" s="71"/>
      <c r="VCF28" s="71"/>
      <c r="VCG28" s="71"/>
      <c r="VCH28" s="71"/>
      <c r="VCI28" s="71"/>
      <c r="VCJ28" s="71"/>
      <c r="VCK28" s="71"/>
      <c r="VCL28" s="71"/>
      <c r="VCM28" s="71"/>
      <c r="VCN28" s="71"/>
      <c r="VCO28" s="71"/>
      <c r="VCP28" s="71"/>
      <c r="VCQ28" s="71"/>
      <c r="VCR28" s="71"/>
      <c r="VCS28" s="71"/>
      <c r="VCT28" s="71"/>
      <c r="VCU28" s="71"/>
      <c r="VCV28" s="71"/>
      <c r="VCW28" s="71"/>
      <c r="VCX28" s="71"/>
      <c r="VCY28" s="71"/>
      <c r="VCZ28" s="71"/>
      <c r="VDA28" s="71"/>
      <c r="VDB28" s="71"/>
      <c r="VDC28" s="71"/>
      <c r="VDD28" s="71"/>
      <c r="VDE28" s="71"/>
      <c r="VDF28" s="71"/>
      <c r="VDG28" s="71"/>
      <c r="VDH28" s="71"/>
      <c r="VDI28" s="71"/>
      <c r="VDJ28" s="71"/>
      <c r="VDK28" s="71"/>
      <c r="VDL28" s="71"/>
      <c r="VDM28" s="71"/>
      <c r="VDN28" s="71"/>
      <c r="VDO28" s="71"/>
      <c r="VDP28" s="71"/>
      <c r="VDQ28" s="71"/>
      <c r="VDR28" s="71"/>
      <c r="VDS28" s="71"/>
      <c r="VDT28" s="71"/>
      <c r="VDU28" s="71"/>
      <c r="VDV28" s="71"/>
      <c r="VDW28" s="71"/>
      <c r="VDX28" s="71"/>
      <c r="VDY28" s="71"/>
      <c r="VDZ28" s="71"/>
      <c r="VEA28" s="71"/>
      <c r="VEB28" s="71"/>
      <c r="VEC28" s="71"/>
      <c r="VED28" s="71"/>
      <c r="VEE28" s="71"/>
      <c r="VEF28" s="71"/>
      <c r="VEG28" s="71"/>
      <c r="VEH28" s="71"/>
      <c r="VEI28" s="71"/>
      <c r="VEJ28" s="71"/>
      <c r="VEK28" s="71"/>
      <c r="VEL28" s="71"/>
      <c r="VEM28" s="71"/>
      <c r="VEN28" s="71"/>
      <c r="VEO28" s="71"/>
      <c r="VEP28" s="71"/>
      <c r="VEQ28" s="71"/>
      <c r="VER28" s="71"/>
      <c r="VES28" s="71"/>
      <c r="VET28" s="71"/>
      <c r="VEU28" s="71"/>
      <c r="VEV28" s="71"/>
      <c r="VEW28" s="71"/>
      <c r="VEX28" s="71"/>
      <c r="VEY28" s="71"/>
      <c r="VEZ28" s="71"/>
      <c r="VFA28" s="71"/>
      <c r="VFB28" s="71"/>
      <c r="VFC28" s="71"/>
      <c r="VFD28" s="71"/>
      <c r="VFE28" s="71"/>
      <c r="VFF28" s="71"/>
      <c r="VFG28" s="71"/>
      <c r="VFH28" s="71"/>
      <c r="VFI28" s="71"/>
      <c r="VFJ28" s="71"/>
      <c r="VFK28" s="71"/>
      <c r="VFL28" s="71"/>
      <c r="VFM28" s="71"/>
      <c r="VFN28" s="71"/>
      <c r="VFO28" s="71"/>
      <c r="VFP28" s="71"/>
      <c r="VFQ28" s="71"/>
      <c r="VFR28" s="71"/>
      <c r="VFS28" s="71"/>
      <c r="VFT28" s="71"/>
      <c r="VFU28" s="71"/>
      <c r="VFV28" s="71"/>
      <c r="VFW28" s="71"/>
      <c r="VFX28" s="71"/>
      <c r="VFY28" s="71"/>
      <c r="VFZ28" s="71"/>
      <c r="VGA28" s="71"/>
      <c r="VGB28" s="71"/>
      <c r="VGC28" s="71"/>
      <c r="VGD28" s="71"/>
      <c r="VGE28" s="71"/>
      <c r="VGF28" s="71"/>
      <c r="VGG28" s="71"/>
      <c r="VGH28" s="71"/>
      <c r="VGI28" s="71"/>
      <c r="VGJ28" s="71"/>
      <c r="VGK28" s="71"/>
      <c r="VGL28" s="71"/>
      <c r="VGM28" s="71"/>
    </row>
    <row r="29" spans="1:15115" x14ac:dyDescent="0.25">
      <c r="C29" s="15"/>
      <c r="D29" s="14" t="s">
        <v>75</v>
      </c>
      <c r="E29" s="267"/>
      <c r="F29" s="20" t="s">
        <v>14</v>
      </c>
      <c r="G29" s="33">
        <f>G30+G31</f>
        <v>0</v>
      </c>
      <c r="H29" s="33">
        <f t="shared" ref="H29:AL29" si="27">H30+H31</f>
        <v>0</v>
      </c>
      <c r="I29" s="33">
        <f t="shared" si="27"/>
        <v>0</v>
      </c>
      <c r="J29" s="33">
        <f t="shared" si="27"/>
        <v>0</v>
      </c>
      <c r="K29" s="33"/>
      <c r="L29" s="33">
        <f t="shared" si="27"/>
        <v>0</v>
      </c>
      <c r="M29" s="33">
        <f t="shared" si="27"/>
        <v>0</v>
      </c>
      <c r="N29" s="33">
        <f t="shared" ref="N29:P29" si="28">N30+N31</f>
        <v>0</v>
      </c>
      <c r="O29" s="33">
        <f t="shared" ref="O29" si="29">O30+O31</f>
        <v>0</v>
      </c>
      <c r="P29" s="33">
        <f t="shared" si="28"/>
        <v>0</v>
      </c>
      <c r="Q29" s="33">
        <f t="shared" si="27"/>
        <v>0</v>
      </c>
      <c r="R29" s="33">
        <f t="shared" si="27"/>
        <v>0</v>
      </c>
      <c r="S29" s="33">
        <f t="shared" si="27"/>
        <v>0</v>
      </c>
      <c r="T29" s="33">
        <f t="shared" si="27"/>
        <v>0</v>
      </c>
      <c r="U29" s="33">
        <f t="shared" si="27"/>
        <v>0</v>
      </c>
      <c r="V29" s="33">
        <f t="shared" si="27"/>
        <v>0</v>
      </c>
      <c r="W29" s="33">
        <f t="shared" si="27"/>
        <v>0</v>
      </c>
      <c r="X29" s="33">
        <f t="shared" si="27"/>
        <v>0</v>
      </c>
      <c r="Y29" s="33">
        <f t="shared" si="27"/>
        <v>0</v>
      </c>
      <c r="Z29" s="33">
        <f t="shared" si="27"/>
        <v>0</v>
      </c>
      <c r="AA29" s="33">
        <f t="shared" si="27"/>
        <v>0</v>
      </c>
      <c r="AB29" s="33">
        <f t="shared" si="27"/>
        <v>0</v>
      </c>
      <c r="AC29" s="33">
        <f t="shared" si="27"/>
        <v>0</v>
      </c>
      <c r="AD29" s="33">
        <f t="shared" si="27"/>
        <v>0</v>
      </c>
      <c r="AE29" s="33">
        <f t="shared" si="27"/>
        <v>0</v>
      </c>
      <c r="AF29" s="33">
        <f t="shared" si="27"/>
        <v>0</v>
      </c>
      <c r="AG29" s="33">
        <f t="shared" si="27"/>
        <v>0</v>
      </c>
      <c r="AH29" s="33">
        <f t="shared" si="27"/>
        <v>0</v>
      </c>
      <c r="AI29" s="33">
        <f t="shared" si="27"/>
        <v>0</v>
      </c>
      <c r="AJ29" s="33">
        <f t="shared" si="27"/>
        <v>0</v>
      </c>
      <c r="AK29" s="33">
        <f t="shared" si="27"/>
        <v>0</v>
      </c>
      <c r="AL29" s="33">
        <f t="shared" si="27"/>
        <v>0</v>
      </c>
      <c r="AN29" s="63">
        <f>SUM(G29:AK29)</f>
        <v>0</v>
      </c>
      <c r="AQ29" s="3"/>
    </row>
    <row r="30" spans="1:15115" x14ac:dyDescent="0.25">
      <c r="C30" s="15"/>
      <c r="D30" s="73" t="s">
        <v>106</v>
      </c>
      <c r="E30" s="267"/>
      <c r="F30" s="74" t="s">
        <v>14</v>
      </c>
      <c r="G30" s="284">
        <v>0</v>
      </c>
      <c r="H30" s="284">
        <v>0</v>
      </c>
      <c r="I30" s="284">
        <v>0</v>
      </c>
      <c r="J30" s="284">
        <v>0</v>
      </c>
      <c r="K30" s="284">
        <v>0</v>
      </c>
      <c r="L30" s="284">
        <v>0</v>
      </c>
      <c r="M30" s="284">
        <v>0</v>
      </c>
      <c r="N30" s="284">
        <v>0</v>
      </c>
      <c r="O30" s="284">
        <v>0</v>
      </c>
      <c r="P30" s="284">
        <v>0</v>
      </c>
      <c r="Q30" s="284">
        <v>0</v>
      </c>
      <c r="R30" s="284">
        <v>0</v>
      </c>
      <c r="S30" s="284">
        <v>0</v>
      </c>
      <c r="T30" s="284">
        <v>0</v>
      </c>
      <c r="U30" s="284">
        <v>0</v>
      </c>
      <c r="V30" s="284">
        <v>0</v>
      </c>
      <c r="W30" s="284">
        <v>0</v>
      </c>
      <c r="X30" s="284">
        <v>0</v>
      </c>
      <c r="Y30" s="284">
        <v>0</v>
      </c>
      <c r="Z30" s="284">
        <v>0</v>
      </c>
      <c r="AA30" s="284">
        <v>0</v>
      </c>
      <c r="AB30" s="284">
        <v>0</v>
      </c>
      <c r="AC30" s="284">
        <v>0</v>
      </c>
      <c r="AD30" s="284">
        <v>0</v>
      </c>
      <c r="AE30" s="284">
        <v>0</v>
      </c>
      <c r="AF30" s="284">
        <v>0</v>
      </c>
      <c r="AG30" s="284">
        <v>0</v>
      </c>
      <c r="AH30" s="284">
        <v>0</v>
      </c>
      <c r="AI30" s="284">
        <v>0</v>
      </c>
      <c r="AJ30" s="284">
        <v>0</v>
      </c>
      <c r="AK30" s="284">
        <v>0</v>
      </c>
      <c r="AL30" s="284">
        <v>0</v>
      </c>
      <c r="AN30" s="66">
        <f>SUM(G30:AK30)</f>
        <v>0</v>
      </c>
    </row>
    <row r="31" spans="1:15115" x14ac:dyDescent="0.25">
      <c r="C31" s="15"/>
      <c r="D31" s="73" t="s">
        <v>73</v>
      </c>
      <c r="E31" s="267"/>
      <c r="F31" s="74" t="s">
        <v>14</v>
      </c>
      <c r="G31" s="284">
        <v>0</v>
      </c>
      <c r="H31" s="284">
        <v>0</v>
      </c>
      <c r="I31" s="284">
        <v>0</v>
      </c>
      <c r="J31" s="284">
        <v>0</v>
      </c>
      <c r="K31" s="284">
        <v>0</v>
      </c>
      <c r="L31" s="284">
        <v>0</v>
      </c>
      <c r="M31" s="284">
        <v>0</v>
      </c>
      <c r="N31" s="284">
        <v>0</v>
      </c>
      <c r="O31" s="284">
        <v>0</v>
      </c>
      <c r="P31" s="284">
        <v>0</v>
      </c>
      <c r="Q31" s="284">
        <v>0</v>
      </c>
      <c r="R31" s="284">
        <v>0</v>
      </c>
      <c r="S31" s="284">
        <v>0</v>
      </c>
      <c r="T31" s="284">
        <v>0</v>
      </c>
      <c r="U31" s="284">
        <v>0</v>
      </c>
      <c r="V31" s="284">
        <v>0</v>
      </c>
      <c r="W31" s="284">
        <v>0</v>
      </c>
      <c r="X31" s="284">
        <v>0</v>
      </c>
      <c r="Y31" s="284">
        <v>0</v>
      </c>
      <c r="Z31" s="284">
        <v>0</v>
      </c>
      <c r="AA31" s="284">
        <v>0</v>
      </c>
      <c r="AB31" s="284">
        <v>0</v>
      </c>
      <c r="AC31" s="284">
        <v>0</v>
      </c>
      <c r="AD31" s="284">
        <v>0</v>
      </c>
      <c r="AE31" s="284">
        <v>0</v>
      </c>
      <c r="AF31" s="284">
        <v>0</v>
      </c>
      <c r="AG31" s="284">
        <v>0</v>
      </c>
      <c r="AH31" s="284">
        <v>0</v>
      </c>
      <c r="AI31" s="284">
        <v>0</v>
      </c>
      <c r="AJ31" s="284">
        <v>0</v>
      </c>
      <c r="AK31" s="284">
        <v>0</v>
      </c>
      <c r="AL31" s="284">
        <v>0</v>
      </c>
      <c r="AN31" s="66">
        <f>SUM(G31:AK31)</f>
        <v>0</v>
      </c>
    </row>
    <row r="32" spans="1:15115" x14ac:dyDescent="0.25">
      <c r="C32" s="15"/>
      <c r="D32" s="242" t="s">
        <v>108</v>
      </c>
      <c r="E32" s="245"/>
      <c r="F32" s="244"/>
      <c r="G32" s="103"/>
      <c r="H32" s="103"/>
      <c r="I32" s="103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  <c r="AG32" s="287"/>
      <c r="AH32" s="287"/>
      <c r="AI32" s="287"/>
      <c r="AJ32" s="287"/>
      <c r="AK32" s="287"/>
      <c r="AL32" s="287"/>
      <c r="AN32" s="75" t="s">
        <v>109</v>
      </c>
    </row>
    <row r="33" spans="1:15067" s="82" customFormat="1" x14ac:dyDescent="0.2">
      <c r="A33" s="16"/>
      <c r="B33" s="16"/>
      <c r="C33" s="17"/>
      <c r="D33" s="11" t="s">
        <v>71</v>
      </c>
      <c r="E33" s="268"/>
      <c r="F33" s="12" t="s">
        <v>14</v>
      </c>
      <c r="G33" s="33"/>
      <c r="H33" s="33"/>
      <c r="I33" s="33"/>
      <c r="J33" s="33"/>
      <c r="K33" s="33"/>
      <c r="L33" s="33"/>
      <c r="M33" s="33"/>
      <c r="N33" s="33"/>
      <c r="O33" s="33"/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16"/>
      <c r="AN33" s="63">
        <f>SUM(G33:AK33)</f>
        <v>0</v>
      </c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54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16"/>
      <c r="PG33" s="16"/>
      <c r="PH33" s="16"/>
      <c r="PI33" s="16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6"/>
      <c r="AIL33" s="16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  <c r="VBP33" s="16"/>
      <c r="VBQ33" s="16"/>
      <c r="VBR33" s="16"/>
      <c r="VBS33" s="16"/>
      <c r="VBT33" s="16"/>
      <c r="VBU33" s="16"/>
      <c r="VBV33" s="16"/>
      <c r="VBW33" s="16"/>
      <c r="VBX33" s="16"/>
      <c r="VBY33" s="16"/>
      <c r="VBZ33" s="16"/>
      <c r="VCA33" s="16"/>
      <c r="VCB33" s="16"/>
      <c r="VCC33" s="16"/>
      <c r="VCD33" s="16"/>
      <c r="VCE33" s="16"/>
      <c r="VCF33" s="16"/>
      <c r="VCG33" s="16"/>
      <c r="VCH33" s="16"/>
      <c r="VCI33" s="16"/>
      <c r="VCJ33" s="16"/>
      <c r="VCK33" s="16"/>
      <c r="VCL33" s="16"/>
      <c r="VCM33" s="16"/>
      <c r="VCN33" s="16"/>
      <c r="VCO33" s="16"/>
      <c r="VCP33" s="16"/>
      <c r="VCQ33" s="16"/>
      <c r="VCR33" s="16"/>
      <c r="VCS33" s="16"/>
      <c r="VCT33" s="16"/>
      <c r="VCU33" s="16"/>
      <c r="VCV33" s="16"/>
      <c r="VCW33" s="16"/>
      <c r="VCX33" s="16"/>
      <c r="VCY33" s="16"/>
      <c r="VCZ33" s="16"/>
      <c r="VDA33" s="16"/>
      <c r="VDB33" s="16"/>
      <c r="VDC33" s="16"/>
      <c r="VDD33" s="16"/>
      <c r="VDE33" s="16"/>
      <c r="VDF33" s="16"/>
      <c r="VDG33" s="16"/>
      <c r="VDH33" s="16"/>
      <c r="VDI33" s="16"/>
      <c r="VDJ33" s="16"/>
      <c r="VDK33" s="16"/>
      <c r="VDL33" s="16"/>
      <c r="VDM33" s="16"/>
      <c r="VDN33" s="16"/>
      <c r="VDO33" s="16"/>
      <c r="VDP33" s="16"/>
      <c r="VDQ33" s="16"/>
      <c r="VDR33" s="16"/>
      <c r="VDS33" s="16"/>
      <c r="VDT33" s="16"/>
      <c r="VDU33" s="16"/>
      <c r="VDV33" s="16"/>
      <c r="VDW33" s="16"/>
      <c r="VDX33" s="16"/>
      <c r="VDY33" s="16"/>
      <c r="VDZ33" s="16"/>
      <c r="VEA33" s="16"/>
      <c r="VEB33" s="16"/>
      <c r="VEC33" s="16"/>
      <c r="VED33" s="16"/>
      <c r="VEE33" s="16"/>
      <c r="VEF33" s="16"/>
      <c r="VEG33" s="16"/>
      <c r="VEH33" s="16"/>
      <c r="VEI33" s="16"/>
      <c r="VEJ33" s="16"/>
      <c r="VEK33" s="16"/>
      <c r="VEL33" s="16"/>
      <c r="VEM33" s="16"/>
      <c r="VEN33" s="16"/>
      <c r="VEO33" s="16"/>
      <c r="VEP33" s="16"/>
      <c r="VEQ33" s="16"/>
      <c r="VER33" s="16"/>
      <c r="VES33" s="16"/>
      <c r="VET33" s="16"/>
      <c r="VEU33" s="16"/>
      <c r="VEV33" s="16"/>
      <c r="VEW33" s="16"/>
      <c r="VEX33" s="16"/>
      <c r="VEY33" s="16"/>
      <c r="VEZ33" s="16"/>
      <c r="VFA33" s="16"/>
      <c r="VFB33" s="16"/>
      <c r="VFC33" s="16"/>
      <c r="VFD33" s="16"/>
      <c r="VFE33" s="16"/>
      <c r="VFF33" s="16"/>
      <c r="VFG33" s="16"/>
      <c r="VFH33" s="16"/>
      <c r="VFI33" s="16"/>
      <c r="VFJ33" s="16"/>
      <c r="VFK33" s="16"/>
      <c r="VFL33" s="16"/>
      <c r="VFM33" s="16"/>
      <c r="VFN33" s="16"/>
      <c r="VFO33" s="16"/>
      <c r="VFP33" s="16"/>
      <c r="VFQ33" s="16"/>
      <c r="VFR33" s="16"/>
      <c r="VFS33" s="16"/>
      <c r="VFT33" s="16"/>
      <c r="VFU33" s="16"/>
      <c r="VFV33" s="16"/>
      <c r="VFW33" s="16"/>
      <c r="VFX33" s="16"/>
      <c r="VFY33" s="16"/>
      <c r="VFZ33" s="16"/>
      <c r="VGA33" s="16"/>
      <c r="VGB33" s="16"/>
      <c r="VGC33" s="16"/>
      <c r="VGD33" s="16"/>
      <c r="VGE33" s="16"/>
      <c r="VGF33" s="16"/>
      <c r="VGG33" s="16"/>
      <c r="VGH33" s="16"/>
      <c r="VGI33" s="16"/>
      <c r="VGJ33" s="16"/>
      <c r="VGK33" s="16"/>
      <c r="VGL33" s="16"/>
      <c r="VGM33" s="16"/>
    </row>
    <row r="34" spans="1:15067" s="1" customFormat="1" x14ac:dyDescent="0.25">
      <c r="C34" s="15"/>
      <c r="D34" s="14" t="s">
        <v>70</v>
      </c>
      <c r="E34" s="267"/>
      <c r="F34" s="20" t="s">
        <v>14</v>
      </c>
      <c r="G34" s="33">
        <f>G35+G36</f>
        <v>0</v>
      </c>
      <c r="H34" s="33">
        <f t="shared" ref="H34:AL34" si="30">H35+H36</f>
        <v>0</v>
      </c>
      <c r="I34" s="33">
        <f t="shared" si="30"/>
        <v>0</v>
      </c>
      <c r="J34" s="33">
        <f t="shared" si="30"/>
        <v>0</v>
      </c>
      <c r="K34" s="33">
        <f t="shared" si="30"/>
        <v>0</v>
      </c>
      <c r="L34" s="33">
        <f t="shared" si="30"/>
        <v>0</v>
      </c>
      <c r="M34" s="33">
        <f t="shared" si="30"/>
        <v>0</v>
      </c>
      <c r="N34" s="33">
        <f t="shared" ref="N34:P34" si="31">N35+N36</f>
        <v>0</v>
      </c>
      <c r="O34" s="33">
        <f t="shared" ref="O34" si="32">O35+O36</f>
        <v>0</v>
      </c>
      <c r="P34" s="33">
        <f t="shared" si="31"/>
        <v>0</v>
      </c>
      <c r="Q34" s="33">
        <f t="shared" si="30"/>
        <v>0</v>
      </c>
      <c r="R34" s="33">
        <f t="shared" si="30"/>
        <v>0</v>
      </c>
      <c r="S34" s="33">
        <f t="shared" si="30"/>
        <v>0</v>
      </c>
      <c r="T34" s="33">
        <f t="shared" si="30"/>
        <v>0</v>
      </c>
      <c r="U34" s="33">
        <f t="shared" si="30"/>
        <v>0</v>
      </c>
      <c r="V34" s="33">
        <f t="shared" si="30"/>
        <v>0</v>
      </c>
      <c r="W34" s="33">
        <f t="shared" si="30"/>
        <v>0</v>
      </c>
      <c r="X34" s="33">
        <f t="shared" si="30"/>
        <v>0</v>
      </c>
      <c r="Y34" s="33">
        <f t="shared" si="30"/>
        <v>0</v>
      </c>
      <c r="Z34" s="33">
        <f t="shared" si="30"/>
        <v>0</v>
      </c>
      <c r="AA34" s="33">
        <f t="shared" si="30"/>
        <v>0</v>
      </c>
      <c r="AB34" s="33">
        <f t="shared" si="30"/>
        <v>0</v>
      </c>
      <c r="AC34" s="33">
        <f t="shared" si="30"/>
        <v>0</v>
      </c>
      <c r="AD34" s="33">
        <f t="shared" si="30"/>
        <v>0</v>
      </c>
      <c r="AE34" s="33">
        <f t="shared" si="30"/>
        <v>0</v>
      </c>
      <c r="AF34" s="33">
        <f t="shared" si="30"/>
        <v>0</v>
      </c>
      <c r="AG34" s="33">
        <f t="shared" si="30"/>
        <v>0</v>
      </c>
      <c r="AH34" s="33">
        <f t="shared" si="30"/>
        <v>0</v>
      </c>
      <c r="AI34" s="33">
        <f t="shared" si="30"/>
        <v>0</v>
      </c>
      <c r="AJ34" s="33">
        <f t="shared" si="30"/>
        <v>0</v>
      </c>
      <c r="AK34" s="33">
        <f t="shared" si="30"/>
        <v>0</v>
      </c>
      <c r="AL34" s="33">
        <f t="shared" si="30"/>
        <v>0</v>
      </c>
      <c r="AN34" s="63">
        <f>SUM(G34:AK34)</f>
        <v>0</v>
      </c>
      <c r="CX34" s="152"/>
    </row>
    <row r="35" spans="1:15067" s="1" customFormat="1" x14ac:dyDescent="0.25">
      <c r="C35" s="15"/>
      <c r="D35" s="73" t="s">
        <v>110</v>
      </c>
      <c r="E35" s="267"/>
      <c r="F35" s="74" t="s">
        <v>14</v>
      </c>
      <c r="G35" s="284">
        <v>0</v>
      </c>
      <c r="H35" s="284">
        <v>0</v>
      </c>
      <c r="I35" s="284">
        <v>0</v>
      </c>
      <c r="J35" s="284">
        <v>0</v>
      </c>
      <c r="K35" s="284">
        <v>0</v>
      </c>
      <c r="L35" s="284">
        <v>0</v>
      </c>
      <c r="M35" s="284">
        <v>0</v>
      </c>
      <c r="N35" s="284">
        <v>0</v>
      </c>
      <c r="O35" s="284">
        <v>0</v>
      </c>
      <c r="P35" s="284">
        <v>0</v>
      </c>
      <c r="Q35" s="284">
        <v>0</v>
      </c>
      <c r="R35" s="284">
        <v>0</v>
      </c>
      <c r="S35" s="284">
        <v>0</v>
      </c>
      <c r="T35" s="284">
        <v>0</v>
      </c>
      <c r="U35" s="284">
        <v>0</v>
      </c>
      <c r="V35" s="284">
        <v>0</v>
      </c>
      <c r="W35" s="284">
        <v>0</v>
      </c>
      <c r="X35" s="284">
        <v>0</v>
      </c>
      <c r="Y35" s="284">
        <v>0</v>
      </c>
      <c r="Z35" s="284">
        <v>0</v>
      </c>
      <c r="AA35" s="284">
        <v>0</v>
      </c>
      <c r="AB35" s="284">
        <v>0</v>
      </c>
      <c r="AC35" s="284">
        <v>0</v>
      </c>
      <c r="AD35" s="284">
        <v>0</v>
      </c>
      <c r="AE35" s="284">
        <v>0</v>
      </c>
      <c r="AF35" s="284">
        <v>0</v>
      </c>
      <c r="AG35" s="284">
        <v>0</v>
      </c>
      <c r="AH35" s="284">
        <v>0</v>
      </c>
      <c r="AI35" s="284">
        <v>0</v>
      </c>
      <c r="AJ35" s="284">
        <v>0</v>
      </c>
      <c r="AK35" s="284"/>
      <c r="AL35" s="284"/>
      <c r="AN35" s="66">
        <f>SUM(G35:AK35)</f>
        <v>0</v>
      </c>
      <c r="CX35" s="152"/>
    </row>
    <row r="36" spans="1:15067" s="1" customFormat="1" x14ac:dyDescent="0.25">
      <c r="C36" s="15"/>
      <c r="D36" s="64" t="s">
        <v>73</v>
      </c>
      <c r="E36" s="267"/>
      <c r="F36" s="74" t="s">
        <v>14</v>
      </c>
      <c r="G36" s="285">
        <v>0</v>
      </c>
      <c r="H36" s="285">
        <v>0</v>
      </c>
      <c r="I36" s="284">
        <v>0</v>
      </c>
      <c r="J36" s="284">
        <v>0</v>
      </c>
      <c r="K36" s="284">
        <v>0</v>
      </c>
      <c r="L36" s="284">
        <v>0</v>
      </c>
      <c r="M36" s="284">
        <v>0</v>
      </c>
      <c r="N36" s="284">
        <v>0</v>
      </c>
      <c r="O36" s="284">
        <v>0</v>
      </c>
      <c r="P36" s="284">
        <v>0</v>
      </c>
      <c r="Q36" s="284">
        <v>0</v>
      </c>
      <c r="R36" s="284">
        <v>0</v>
      </c>
      <c r="S36" s="284">
        <v>0</v>
      </c>
      <c r="T36" s="284">
        <v>0</v>
      </c>
      <c r="U36" s="284">
        <v>0</v>
      </c>
      <c r="V36" s="284">
        <v>0</v>
      </c>
      <c r="W36" s="284">
        <v>0</v>
      </c>
      <c r="X36" s="284">
        <v>0</v>
      </c>
      <c r="Y36" s="284">
        <v>0</v>
      </c>
      <c r="Z36" s="284">
        <v>0</v>
      </c>
      <c r="AA36" s="284">
        <v>0</v>
      </c>
      <c r="AB36" s="284">
        <v>0</v>
      </c>
      <c r="AC36" s="284">
        <v>0</v>
      </c>
      <c r="AD36" s="284">
        <v>0</v>
      </c>
      <c r="AE36" s="284">
        <v>0</v>
      </c>
      <c r="AF36" s="284">
        <v>0</v>
      </c>
      <c r="AG36" s="284">
        <v>0</v>
      </c>
      <c r="AH36" s="284">
        <v>0</v>
      </c>
      <c r="AI36" s="284">
        <v>0</v>
      </c>
      <c r="AJ36" s="284">
        <v>0</v>
      </c>
      <c r="AK36" s="284"/>
      <c r="AL36" s="284"/>
      <c r="AN36" s="66">
        <f>SUM(G36:AK36)</f>
        <v>0</v>
      </c>
      <c r="CX36" s="152"/>
    </row>
    <row r="37" spans="1:15067" s="79" customFormat="1" x14ac:dyDescent="0.25">
      <c r="A37" s="71"/>
      <c r="B37" s="71"/>
      <c r="C37" s="77"/>
      <c r="D37" s="242" t="s">
        <v>111</v>
      </c>
      <c r="E37" s="322"/>
      <c r="F37" s="101"/>
      <c r="G37" s="286"/>
      <c r="H37" s="286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71"/>
      <c r="AN37" s="75" t="s">
        <v>112</v>
      </c>
      <c r="AO37" s="71"/>
      <c r="AP37" s="71"/>
      <c r="AQ37" s="388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153"/>
      <c r="CY37" s="71"/>
      <c r="CZ37" s="71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1"/>
      <c r="EJ37" s="71"/>
      <c r="EK37" s="71"/>
      <c r="EL37" s="71"/>
      <c r="EM37" s="71"/>
      <c r="EN37" s="71"/>
      <c r="EO37" s="71"/>
      <c r="EP37" s="71"/>
      <c r="EQ37" s="71"/>
      <c r="ER37" s="71"/>
      <c r="ES37" s="71"/>
      <c r="ET37" s="71"/>
      <c r="EU37" s="71"/>
      <c r="EV37" s="71"/>
      <c r="EW37" s="71"/>
      <c r="EX37" s="71"/>
      <c r="EY37" s="71"/>
      <c r="EZ37" s="71"/>
      <c r="FA37" s="71"/>
      <c r="FB37" s="71"/>
      <c r="FC37" s="71"/>
      <c r="FD37" s="71"/>
      <c r="FE37" s="71"/>
      <c r="FF37" s="71"/>
      <c r="FG37" s="71"/>
      <c r="FH37" s="71"/>
      <c r="FI37" s="71"/>
      <c r="FJ37" s="71"/>
      <c r="FK37" s="71"/>
      <c r="FL37" s="71"/>
      <c r="FM37" s="71"/>
      <c r="FN37" s="71"/>
      <c r="FO37" s="71"/>
      <c r="FP37" s="71"/>
      <c r="FQ37" s="71"/>
      <c r="FR37" s="71"/>
      <c r="FS37" s="71"/>
      <c r="FT37" s="71"/>
      <c r="FU37" s="71"/>
      <c r="FV37" s="71"/>
      <c r="FW37" s="71"/>
      <c r="FX37" s="71"/>
      <c r="FY37" s="71"/>
      <c r="FZ37" s="71"/>
      <c r="GA37" s="71"/>
      <c r="GB37" s="71"/>
      <c r="GC37" s="71"/>
      <c r="GD37" s="71"/>
      <c r="GE37" s="71"/>
      <c r="GF37" s="71"/>
      <c r="GG37" s="71"/>
      <c r="GH37" s="71"/>
      <c r="GI37" s="71"/>
      <c r="GJ37" s="71"/>
      <c r="GK37" s="71"/>
      <c r="GL37" s="71"/>
      <c r="GM37" s="71"/>
      <c r="GN37" s="71"/>
      <c r="GO37" s="71"/>
      <c r="GP37" s="71"/>
      <c r="GQ37" s="71"/>
      <c r="GR37" s="71"/>
      <c r="GS37" s="71"/>
      <c r="GT37" s="71"/>
      <c r="GU37" s="71"/>
      <c r="GV37" s="71"/>
      <c r="GW37" s="71"/>
      <c r="GX37" s="71"/>
      <c r="GY37" s="71"/>
      <c r="GZ37" s="71"/>
      <c r="HA37" s="71"/>
      <c r="HB37" s="71"/>
      <c r="HC37" s="71"/>
      <c r="HD37" s="71"/>
      <c r="HE37" s="71"/>
      <c r="HF37" s="71"/>
      <c r="HG37" s="71"/>
      <c r="HH37" s="71"/>
      <c r="HI37" s="71"/>
      <c r="HJ37" s="71"/>
      <c r="HK37" s="71"/>
      <c r="HL37" s="71"/>
      <c r="HM37" s="71"/>
      <c r="HN37" s="71"/>
      <c r="HO37" s="71"/>
      <c r="HP37" s="71"/>
      <c r="HQ37" s="71"/>
      <c r="HR37" s="71"/>
      <c r="HS37" s="71"/>
      <c r="HT37" s="71"/>
      <c r="HU37" s="71"/>
      <c r="HV37" s="71"/>
      <c r="HW37" s="71"/>
      <c r="HX37" s="71"/>
      <c r="HY37" s="71"/>
      <c r="HZ37" s="71"/>
      <c r="IA37" s="71"/>
      <c r="IB37" s="71"/>
      <c r="IC37" s="71"/>
      <c r="ID37" s="71"/>
      <c r="IE37" s="71"/>
      <c r="IF37" s="71"/>
      <c r="IG37" s="71"/>
      <c r="IH37" s="71"/>
      <c r="II37" s="71"/>
      <c r="IJ37" s="71"/>
      <c r="IK37" s="71"/>
      <c r="IL37" s="71"/>
      <c r="IM37" s="71"/>
      <c r="IN37" s="71"/>
      <c r="IO37" s="71"/>
      <c r="IP37" s="71"/>
      <c r="IQ37" s="71"/>
      <c r="IR37" s="71"/>
      <c r="IS37" s="71"/>
      <c r="IT37" s="71"/>
      <c r="IU37" s="71"/>
      <c r="IV37" s="71"/>
      <c r="IW37" s="71"/>
      <c r="IX37" s="71"/>
      <c r="IY37" s="71"/>
      <c r="IZ37" s="71"/>
      <c r="JA37" s="71"/>
      <c r="JB37" s="71"/>
      <c r="JC37" s="71"/>
      <c r="JD37" s="71"/>
      <c r="JE37" s="71"/>
      <c r="JF37" s="71"/>
      <c r="JG37" s="71"/>
      <c r="JH37" s="71"/>
      <c r="JI37" s="71"/>
      <c r="JJ37" s="71"/>
      <c r="JK37" s="71"/>
      <c r="JL37" s="71"/>
      <c r="JM37" s="71"/>
      <c r="JN37" s="71"/>
      <c r="JO37" s="71"/>
      <c r="JP37" s="71"/>
      <c r="JQ37" s="71"/>
      <c r="JR37" s="71"/>
      <c r="JS37" s="71"/>
      <c r="JT37" s="71"/>
      <c r="JU37" s="71"/>
      <c r="JV37" s="71"/>
      <c r="JW37" s="71"/>
      <c r="JX37" s="71"/>
      <c r="JY37" s="71"/>
      <c r="JZ37" s="71"/>
      <c r="KA37" s="71"/>
      <c r="KB37" s="71"/>
      <c r="KC37" s="71"/>
      <c r="KD37" s="71"/>
      <c r="KE37" s="71"/>
      <c r="KF37" s="71"/>
      <c r="KG37" s="71"/>
      <c r="KH37" s="71"/>
      <c r="KI37" s="71"/>
      <c r="KJ37" s="71"/>
      <c r="KK37" s="71"/>
      <c r="KL37" s="71"/>
      <c r="KM37" s="71"/>
      <c r="KN37" s="71"/>
      <c r="KO37" s="71"/>
      <c r="KP37" s="71"/>
      <c r="KQ37" s="71"/>
      <c r="KR37" s="71"/>
      <c r="KS37" s="71"/>
      <c r="KT37" s="71"/>
      <c r="KU37" s="71"/>
      <c r="KV37" s="71"/>
      <c r="KW37" s="71"/>
      <c r="KX37" s="71"/>
      <c r="KY37" s="71"/>
      <c r="KZ37" s="71"/>
      <c r="LA37" s="71"/>
      <c r="LB37" s="71"/>
      <c r="LC37" s="71"/>
      <c r="LD37" s="71"/>
      <c r="LE37" s="71"/>
      <c r="LF37" s="71"/>
      <c r="LG37" s="71"/>
      <c r="LH37" s="71"/>
      <c r="LI37" s="71"/>
      <c r="LJ37" s="71"/>
      <c r="LK37" s="71"/>
      <c r="LL37" s="71"/>
      <c r="LM37" s="71"/>
      <c r="LN37" s="71"/>
      <c r="LO37" s="71"/>
      <c r="LP37" s="71"/>
      <c r="LQ37" s="71"/>
      <c r="LR37" s="71"/>
      <c r="LS37" s="71"/>
      <c r="LT37" s="71"/>
      <c r="LU37" s="71"/>
      <c r="LV37" s="71"/>
      <c r="LW37" s="71"/>
      <c r="LX37" s="71"/>
      <c r="LY37" s="71"/>
      <c r="LZ37" s="71"/>
      <c r="MA37" s="71"/>
      <c r="MB37" s="71"/>
      <c r="MC37" s="71"/>
      <c r="MD37" s="71"/>
      <c r="ME37" s="71"/>
      <c r="MF37" s="71"/>
      <c r="MG37" s="71"/>
      <c r="MH37" s="71"/>
      <c r="MI37" s="71"/>
      <c r="MJ37" s="71"/>
      <c r="MK37" s="71"/>
      <c r="ML37" s="71"/>
      <c r="MM37" s="71"/>
      <c r="MN37" s="71"/>
      <c r="MO37" s="71"/>
      <c r="MP37" s="71"/>
      <c r="MQ37" s="71"/>
      <c r="MR37" s="71"/>
      <c r="MS37" s="71"/>
      <c r="MT37" s="71"/>
      <c r="MU37" s="71"/>
      <c r="MV37" s="71"/>
      <c r="MW37" s="71"/>
      <c r="MX37" s="71"/>
      <c r="MY37" s="71"/>
      <c r="MZ37" s="71"/>
      <c r="NA37" s="71"/>
      <c r="NB37" s="71"/>
      <c r="NC37" s="71"/>
      <c r="ND37" s="71"/>
      <c r="NE37" s="71"/>
      <c r="NF37" s="71"/>
      <c r="NG37" s="71"/>
      <c r="NH37" s="71"/>
      <c r="NI37" s="71"/>
      <c r="NJ37" s="71"/>
      <c r="NK37" s="71"/>
      <c r="NL37" s="71"/>
      <c r="NM37" s="71"/>
      <c r="NN37" s="71"/>
      <c r="NO37" s="71"/>
      <c r="NP37" s="71"/>
      <c r="NQ37" s="71"/>
      <c r="NR37" s="71"/>
      <c r="NS37" s="71"/>
      <c r="NT37" s="71"/>
      <c r="NU37" s="71"/>
      <c r="NV37" s="71"/>
      <c r="NW37" s="71"/>
      <c r="NX37" s="71"/>
      <c r="NY37" s="71"/>
      <c r="NZ37" s="71"/>
      <c r="OA37" s="71"/>
      <c r="OB37" s="71"/>
      <c r="OC37" s="71"/>
      <c r="OD37" s="71"/>
      <c r="OE37" s="71"/>
      <c r="OF37" s="71"/>
      <c r="OG37" s="71"/>
      <c r="OH37" s="71"/>
      <c r="OI37" s="71"/>
      <c r="OJ37" s="71"/>
      <c r="OK37" s="71"/>
      <c r="OL37" s="71"/>
      <c r="OM37" s="71"/>
      <c r="ON37" s="71"/>
      <c r="OO37" s="71"/>
      <c r="OP37" s="71"/>
      <c r="OQ37" s="71"/>
      <c r="OR37" s="71"/>
      <c r="OS37" s="71"/>
      <c r="OT37" s="71"/>
      <c r="OU37" s="71"/>
      <c r="OV37" s="71"/>
      <c r="OW37" s="71"/>
      <c r="OX37" s="71"/>
      <c r="OY37" s="71"/>
      <c r="OZ37" s="71"/>
      <c r="PA37" s="71"/>
      <c r="PB37" s="71"/>
      <c r="PC37" s="71"/>
      <c r="PD37" s="71"/>
      <c r="PE37" s="71"/>
      <c r="PF37" s="71"/>
      <c r="PG37" s="71"/>
      <c r="PH37" s="71"/>
      <c r="PI37" s="71"/>
      <c r="PJ37" s="71"/>
      <c r="PK37" s="71"/>
      <c r="PL37" s="71"/>
      <c r="PM37" s="71"/>
      <c r="PN37" s="71"/>
      <c r="PO37" s="71"/>
      <c r="PP37" s="71"/>
      <c r="PQ37" s="71"/>
      <c r="PR37" s="71"/>
      <c r="PS37" s="71"/>
      <c r="PT37" s="71"/>
      <c r="PU37" s="71"/>
      <c r="PV37" s="71"/>
      <c r="PW37" s="71"/>
      <c r="PX37" s="71"/>
      <c r="PY37" s="71"/>
      <c r="PZ37" s="71"/>
      <c r="QA37" s="71"/>
      <c r="QB37" s="71"/>
      <c r="QC37" s="71"/>
      <c r="QD37" s="71"/>
      <c r="QE37" s="71"/>
      <c r="QF37" s="71"/>
      <c r="QG37" s="71"/>
      <c r="QH37" s="71"/>
      <c r="QI37" s="71"/>
      <c r="QJ37" s="71"/>
      <c r="QK37" s="71"/>
      <c r="QL37" s="71"/>
      <c r="QM37" s="71"/>
      <c r="QN37" s="71"/>
      <c r="QO37" s="71"/>
      <c r="QP37" s="71"/>
      <c r="QQ37" s="71"/>
      <c r="QR37" s="71"/>
      <c r="QS37" s="71"/>
      <c r="QT37" s="71"/>
      <c r="QU37" s="71"/>
      <c r="QV37" s="71"/>
      <c r="QW37" s="71"/>
      <c r="QX37" s="71"/>
      <c r="QY37" s="71"/>
      <c r="QZ37" s="71"/>
      <c r="RA37" s="71"/>
      <c r="RB37" s="71"/>
      <c r="RC37" s="71"/>
      <c r="RD37" s="71"/>
      <c r="RE37" s="71"/>
      <c r="RF37" s="71"/>
      <c r="RG37" s="71"/>
      <c r="RH37" s="71"/>
      <c r="RI37" s="71"/>
      <c r="RJ37" s="71"/>
      <c r="RK37" s="71"/>
      <c r="RL37" s="71"/>
      <c r="RM37" s="71"/>
      <c r="RN37" s="71"/>
      <c r="RO37" s="71"/>
      <c r="RP37" s="71"/>
      <c r="RQ37" s="71"/>
      <c r="RR37" s="71"/>
      <c r="RS37" s="71"/>
      <c r="RT37" s="71"/>
      <c r="RU37" s="71"/>
      <c r="RV37" s="71"/>
      <c r="RW37" s="71"/>
      <c r="RX37" s="71"/>
      <c r="RY37" s="71"/>
      <c r="RZ37" s="71"/>
      <c r="SA37" s="71"/>
      <c r="SB37" s="71"/>
      <c r="SC37" s="71"/>
      <c r="SD37" s="71"/>
      <c r="SE37" s="71"/>
      <c r="SF37" s="71"/>
      <c r="SG37" s="71"/>
      <c r="SH37" s="71"/>
      <c r="SI37" s="71"/>
      <c r="SJ37" s="71"/>
      <c r="SK37" s="71"/>
      <c r="SL37" s="71"/>
      <c r="SM37" s="71"/>
      <c r="SN37" s="71"/>
      <c r="SO37" s="71"/>
      <c r="SP37" s="71"/>
      <c r="SQ37" s="71"/>
      <c r="SR37" s="71"/>
      <c r="SS37" s="71"/>
      <c r="ST37" s="71"/>
      <c r="SU37" s="71"/>
      <c r="SV37" s="71"/>
      <c r="SW37" s="71"/>
      <c r="SX37" s="71"/>
      <c r="SY37" s="71"/>
      <c r="SZ37" s="71"/>
      <c r="TA37" s="71"/>
      <c r="TB37" s="71"/>
      <c r="TC37" s="71"/>
      <c r="TD37" s="71"/>
      <c r="TE37" s="71"/>
      <c r="TF37" s="71"/>
      <c r="TG37" s="71"/>
      <c r="TH37" s="71"/>
      <c r="TI37" s="71"/>
      <c r="TJ37" s="71"/>
      <c r="TK37" s="71"/>
      <c r="TL37" s="71"/>
      <c r="TM37" s="71"/>
      <c r="TN37" s="71"/>
      <c r="TO37" s="71"/>
      <c r="TP37" s="71"/>
      <c r="TQ37" s="71"/>
      <c r="TR37" s="71"/>
      <c r="TS37" s="71"/>
      <c r="TT37" s="71"/>
      <c r="TU37" s="71"/>
      <c r="TV37" s="71"/>
      <c r="TW37" s="71"/>
      <c r="TX37" s="71"/>
      <c r="TY37" s="71"/>
      <c r="TZ37" s="71"/>
      <c r="UA37" s="71"/>
      <c r="UB37" s="71"/>
      <c r="UC37" s="71"/>
      <c r="UD37" s="71"/>
      <c r="UE37" s="71"/>
      <c r="UF37" s="71"/>
      <c r="UG37" s="71"/>
      <c r="UH37" s="71"/>
      <c r="UI37" s="71"/>
      <c r="UJ37" s="71"/>
      <c r="UK37" s="71"/>
      <c r="UL37" s="71"/>
      <c r="UM37" s="71"/>
      <c r="UN37" s="71"/>
      <c r="UO37" s="71"/>
      <c r="UP37" s="71"/>
      <c r="UQ37" s="71"/>
      <c r="UR37" s="71"/>
      <c r="US37" s="71"/>
      <c r="UT37" s="71"/>
      <c r="UU37" s="71"/>
      <c r="UV37" s="71"/>
      <c r="UW37" s="71"/>
      <c r="UX37" s="71"/>
      <c r="UY37" s="71"/>
      <c r="UZ37" s="71"/>
      <c r="VA37" s="71"/>
      <c r="VB37" s="71"/>
      <c r="VC37" s="71"/>
      <c r="VD37" s="71"/>
      <c r="VE37" s="71"/>
      <c r="VF37" s="71"/>
      <c r="VG37" s="71"/>
      <c r="VH37" s="71"/>
      <c r="VI37" s="71"/>
      <c r="VJ37" s="71"/>
      <c r="VK37" s="71"/>
      <c r="VL37" s="71"/>
      <c r="VM37" s="71"/>
      <c r="VN37" s="71"/>
      <c r="VO37" s="71"/>
      <c r="VP37" s="71"/>
      <c r="VQ37" s="71"/>
      <c r="VR37" s="71"/>
      <c r="VS37" s="71"/>
      <c r="VT37" s="71"/>
      <c r="VU37" s="71"/>
      <c r="VV37" s="71"/>
      <c r="VW37" s="71"/>
      <c r="VX37" s="71"/>
      <c r="VY37" s="71"/>
      <c r="VZ37" s="71"/>
      <c r="WA37" s="71"/>
      <c r="WB37" s="71"/>
      <c r="WC37" s="71"/>
      <c r="WD37" s="71"/>
      <c r="WE37" s="71"/>
      <c r="WF37" s="71"/>
      <c r="WG37" s="71"/>
      <c r="WH37" s="71"/>
      <c r="WI37" s="71"/>
      <c r="WJ37" s="71"/>
      <c r="WK37" s="71"/>
      <c r="WL37" s="71"/>
      <c r="WM37" s="71"/>
      <c r="WN37" s="71"/>
      <c r="WO37" s="71"/>
      <c r="WP37" s="71"/>
      <c r="WQ37" s="71"/>
      <c r="WR37" s="71"/>
      <c r="WS37" s="71"/>
      <c r="WT37" s="71"/>
      <c r="WU37" s="71"/>
      <c r="WV37" s="71"/>
      <c r="WW37" s="71"/>
      <c r="WX37" s="71"/>
      <c r="WY37" s="71"/>
      <c r="WZ37" s="71"/>
      <c r="XA37" s="71"/>
      <c r="XB37" s="71"/>
      <c r="XC37" s="71"/>
      <c r="XD37" s="71"/>
      <c r="XE37" s="71"/>
      <c r="XF37" s="71"/>
      <c r="XG37" s="71"/>
      <c r="XH37" s="71"/>
      <c r="XI37" s="71"/>
      <c r="XJ37" s="71"/>
      <c r="XK37" s="71"/>
      <c r="XL37" s="71"/>
      <c r="XM37" s="71"/>
      <c r="XN37" s="71"/>
      <c r="XO37" s="71"/>
      <c r="XP37" s="71"/>
      <c r="XQ37" s="71"/>
      <c r="XR37" s="71"/>
      <c r="XS37" s="71"/>
      <c r="XT37" s="71"/>
      <c r="XU37" s="71"/>
      <c r="XV37" s="71"/>
      <c r="XW37" s="71"/>
      <c r="XX37" s="71"/>
      <c r="XY37" s="71"/>
      <c r="XZ37" s="71"/>
      <c r="YA37" s="71"/>
      <c r="YB37" s="71"/>
      <c r="YC37" s="71"/>
      <c r="YD37" s="71"/>
      <c r="YE37" s="71"/>
      <c r="YF37" s="71"/>
      <c r="YG37" s="71"/>
      <c r="YH37" s="71"/>
      <c r="YI37" s="71"/>
      <c r="YJ37" s="71"/>
      <c r="YK37" s="71"/>
      <c r="YL37" s="71"/>
      <c r="YM37" s="71"/>
      <c r="YN37" s="71"/>
      <c r="YO37" s="71"/>
      <c r="YP37" s="71"/>
      <c r="YQ37" s="71"/>
      <c r="YR37" s="71"/>
      <c r="YS37" s="71"/>
      <c r="YT37" s="71"/>
      <c r="YU37" s="71"/>
      <c r="YV37" s="71"/>
      <c r="YW37" s="71"/>
      <c r="YX37" s="71"/>
      <c r="YY37" s="71"/>
      <c r="YZ37" s="71"/>
      <c r="ZA37" s="71"/>
      <c r="ZB37" s="71"/>
      <c r="ZC37" s="71"/>
      <c r="ZD37" s="71"/>
      <c r="ZE37" s="71"/>
      <c r="ZF37" s="71"/>
      <c r="ZG37" s="71"/>
      <c r="ZH37" s="71"/>
      <c r="ZI37" s="71"/>
      <c r="ZJ37" s="71"/>
      <c r="ZK37" s="71"/>
      <c r="ZL37" s="71"/>
      <c r="ZM37" s="71"/>
      <c r="ZN37" s="71"/>
      <c r="ZO37" s="71"/>
      <c r="ZP37" s="71"/>
      <c r="ZQ37" s="71"/>
      <c r="ZR37" s="71"/>
      <c r="ZS37" s="71"/>
      <c r="ZT37" s="71"/>
      <c r="ZU37" s="71"/>
      <c r="ZV37" s="71"/>
      <c r="ZW37" s="71"/>
      <c r="ZX37" s="71"/>
      <c r="ZY37" s="71"/>
      <c r="ZZ37" s="71"/>
      <c r="AAA37" s="71"/>
      <c r="AAB37" s="71"/>
      <c r="AAC37" s="71"/>
      <c r="AAD37" s="71"/>
      <c r="AAE37" s="71"/>
      <c r="AAF37" s="71"/>
      <c r="AAG37" s="71"/>
      <c r="AAH37" s="71"/>
      <c r="AAI37" s="71"/>
      <c r="AAJ37" s="71"/>
      <c r="AAK37" s="71"/>
      <c r="AAL37" s="71"/>
      <c r="AAM37" s="71"/>
      <c r="AAN37" s="71"/>
      <c r="AAO37" s="71"/>
      <c r="AAP37" s="71"/>
      <c r="AAQ37" s="71"/>
      <c r="AAR37" s="71"/>
      <c r="AAS37" s="71"/>
      <c r="AAT37" s="71"/>
      <c r="AAU37" s="71"/>
      <c r="AAV37" s="71"/>
      <c r="AAW37" s="71"/>
      <c r="AAX37" s="71"/>
      <c r="AAY37" s="71"/>
      <c r="AAZ37" s="71"/>
      <c r="ABA37" s="71"/>
      <c r="ABB37" s="71"/>
      <c r="ABC37" s="71"/>
      <c r="ABD37" s="71"/>
      <c r="ABE37" s="71"/>
      <c r="ABF37" s="71"/>
      <c r="ABG37" s="71"/>
      <c r="ABH37" s="71"/>
      <c r="ABI37" s="71"/>
      <c r="ABJ37" s="71"/>
      <c r="ABK37" s="71"/>
      <c r="ABL37" s="71"/>
      <c r="ABM37" s="71"/>
      <c r="ABN37" s="71"/>
      <c r="ABO37" s="71"/>
      <c r="ABP37" s="71"/>
      <c r="ABQ37" s="71"/>
      <c r="ABR37" s="71"/>
      <c r="ABS37" s="71"/>
      <c r="ABT37" s="71"/>
      <c r="ABU37" s="71"/>
      <c r="ABV37" s="71"/>
      <c r="ABW37" s="71"/>
      <c r="ABX37" s="71"/>
      <c r="ABY37" s="71"/>
      <c r="ABZ37" s="71"/>
      <c r="ACA37" s="71"/>
      <c r="ACB37" s="71"/>
      <c r="ACC37" s="71"/>
      <c r="ACD37" s="71"/>
      <c r="ACE37" s="71"/>
      <c r="ACF37" s="71"/>
      <c r="ACG37" s="71"/>
      <c r="ACH37" s="71"/>
      <c r="ACI37" s="71"/>
      <c r="ACJ37" s="71"/>
      <c r="ACK37" s="71"/>
      <c r="ACL37" s="71"/>
      <c r="ACM37" s="71"/>
      <c r="ACN37" s="71"/>
      <c r="ACO37" s="71"/>
      <c r="ACP37" s="71"/>
      <c r="ACQ37" s="71"/>
      <c r="ACR37" s="71"/>
      <c r="ACS37" s="71"/>
      <c r="ACT37" s="71"/>
      <c r="ACU37" s="71"/>
      <c r="ACV37" s="71"/>
      <c r="ACW37" s="71"/>
      <c r="ACX37" s="71"/>
      <c r="ACY37" s="71"/>
      <c r="ACZ37" s="71"/>
      <c r="ADA37" s="71"/>
      <c r="ADB37" s="71"/>
      <c r="ADC37" s="71"/>
      <c r="ADD37" s="71"/>
      <c r="ADE37" s="71"/>
      <c r="ADF37" s="71"/>
      <c r="ADG37" s="71"/>
      <c r="ADH37" s="71"/>
      <c r="ADI37" s="71"/>
      <c r="ADJ37" s="71"/>
      <c r="ADK37" s="71"/>
      <c r="ADL37" s="71"/>
      <c r="ADM37" s="71"/>
      <c r="ADN37" s="71"/>
      <c r="ADO37" s="71"/>
      <c r="ADP37" s="71"/>
      <c r="ADQ37" s="71"/>
      <c r="ADR37" s="71"/>
      <c r="ADS37" s="71"/>
      <c r="ADT37" s="71"/>
      <c r="ADU37" s="71"/>
      <c r="ADV37" s="71"/>
      <c r="ADW37" s="71"/>
      <c r="ADX37" s="71"/>
      <c r="ADY37" s="71"/>
      <c r="ADZ37" s="71"/>
      <c r="AEA37" s="71"/>
      <c r="AEB37" s="71"/>
      <c r="AEC37" s="71"/>
      <c r="AED37" s="71"/>
      <c r="AEE37" s="71"/>
      <c r="AEF37" s="71"/>
      <c r="AEG37" s="71"/>
      <c r="AEH37" s="71"/>
      <c r="AEI37" s="71"/>
      <c r="AEJ37" s="71"/>
      <c r="AEK37" s="71"/>
      <c r="AEL37" s="71"/>
      <c r="AEM37" s="71"/>
      <c r="AEN37" s="71"/>
      <c r="AEO37" s="71"/>
      <c r="AEP37" s="71"/>
      <c r="AEQ37" s="71"/>
      <c r="AER37" s="71"/>
      <c r="AES37" s="71"/>
      <c r="AET37" s="71"/>
      <c r="AEU37" s="71"/>
      <c r="AEV37" s="71"/>
      <c r="AEW37" s="71"/>
      <c r="AEX37" s="71"/>
      <c r="AEY37" s="71"/>
      <c r="AEZ37" s="71"/>
      <c r="AFA37" s="71"/>
      <c r="AFB37" s="71"/>
      <c r="AFC37" s="71"/>
      <c r="AFD37" s="71"/>
      <c r="AFE37" s="71"/>
      <c r="AFF37" s="71"/>
      <c r="AFG37" s="71"/>
      <c r="AFH37" s="71"/>
      <c r="AFI37" s="71"/>
      <c r="AFJ37" s="71"/>
      <c r="AFK37" s="71"/>
      <c r="AFL37" s="71"/>
      <c r="AFM37" s="71"/>
      <c r="AFN37" s="71"/>
      <c r="AFO37" s="71"/>
      <c r="AFP37" s="71"/>
      <c r="AFQ37" s="71"/>
      <c r="AFR37" s="71"/>
      <c r="AFS37" s="71"/>
      <c r="AFT37" s="71"/>
      <c r="AFU37" s="71"/>
      <c r="AFV37" s="71"/>
      <c r="AFW37" s="71"/>
      <c r="AFX37" s="71"/>
      <c r="AFY37" s="71"/>
      <c r="AFZ37" s="71"/>
      <c r="AGA37" s="71"/>
      <c r="AGB37" s="71"/>
      <c r="AGC37" s="71"/>
      <c r="AGD37" s="71"/>
      <c r="AGE37" s="71"/>
      <c r="AGF37" s="71"/>
      <c r="AGG37" s="71"/>
      <c r="AGH37" s="71"/>
      <c r="AGI37" s="71"/>
      <c r="AGJ37" s="71"/>
      <c r="AGK37" s="71"/>
      <c r="AGL37" s="71"/>
      <c r="AGM37" s="71"/>
      <c r="AGN37" s="71"/>
      <c r="AGO37" s="71"/>
      <c r="AGP37" s="71"/>
      <c r="AGQ37" s="71"/>
      <c r="AGR37" s="71"/>
      <c r="AGS37" s="71"/>
      <c r="AGT37" s="71"/>
      <c r="AGU37" s="71"/>
      <c r="AGV37" s="71"/>
      <c r="AGW37" s="71"/>
      <c r="AGX37" s="71"/>
      <c r="AGY37" s="71"/>
      <c r="AGZ37" s="71"/>
      <c r="AHA37" s="71"/>
      <c r="AHB37" s="71"/>
      <c r="AHC37" s="71"/>
      <c r="AHD37" s="71"/>
      <c r="AHE37" s="71"/>
      <c r="AHF37" s="71"/>
      <c r="AHG37" s="71"/>
      <c r="AHH37" s="71"/>
      <c r="AHI37" s="71"/>
      <c r="AHJ37" s="71"/>
      <c r="AHK37" s="71"/>
      <c r="AHL37" s="71"/>
      <c r="AHM37" s="71"/>
      <c r="AHN37" s="71"/>
      <c r="AHO37" s="71"/>
      <c r="AHP37" s="71"/>
      <c r="AHQ37" s="71"/>
      <c r="AHR37" s="71"/>
      <c r="AHS37" s="71"/>
      <c r="AHT37" s="71"/>
      <c r="AHU37" s="71"/>
      <c r="AHV37" s="71"/>
      <c r="AHW37" s="71"/>
      <c r="AHX37" s="71"/>
      <c r="AHY37" s="71"/>
      <c r="AHZ37" s="71"/>
      <c r="AIA37" s="71"/>
      <c r="AIB37" s="71"/>
      <c r="AIC37" s="71"/>
      <c r="AID37" s="71"/>
      <c r="AIE37" s="71"/>
      <c r="AIF37" s="71"/>
      <c r="AIG37" s="71"/>
      <c r="AIH37" s="71"/>
      <c r="AII37" s="71"/>
      <c r="AIJ37" s="71"/>
      <c r="AIK37" s="71"/>
      <c r="AIL37" s="71"/>
      <c r="AIM37" s="71"/>
      <c r="AIN37" s="71"/>
      <c r="AIO37" s="71"/>
      <c r="AIP37" s="71"/>
      <c r="AIQ37" s="71"/>
      <c r="AIR37" s="71"/>
      <c r="AIS37" s="71"/>
      <c r="AIT37" s="71"/>
      <c r="AIU37" s="71"/>
      <c r="AIV37" s="71"/>
      <c r="AIW37" s="71"/>
      <c r="AIX37" s="71"/>
      <c r="AIY37" s="71"/>
      <c r="AIZ37" s="71"/>
      <c r="AJA37" s="71"/>
      <c r="AJB37" s="71"/>
      <c r="AJC37" s="71"/>
      <c r="AJD37" s="71"/>
      <c r="AJE37" s="71"/>
      <c r="AJF37" s="71"/>
      <c r="AJG37" s="71"/>
      <c r="AJH37" s="71"/>
      <c r="AJI37" s="71"/>
      <c r="AJJ37" s="71"/>
      <c r="AJK37" s="71"/>
      <c r="AJL37" s="71"/>
      <c r="AJM37" s="71"/>
      <c r="AJN37" s="71"/>
      <c r="AJO37" s="71"/>
      <c r="AJP37" s="71"/>
      <c r="AJQ37" s="71"/>
      <c r="AJR37" s="71"/>
      <c r="AJS37" s="71"/>
      <c r="AJT37" s="71"/>
      <c r="AJU37" s="71"/>
      <c r="AJV37" s="71"/>
      <c r="AJW37" s="71"/>
      <c r="AJX37" s="71"/>
      <c r="AJY37" s="71"/>
      <c r="AJZ37" s="71"/>
      <c r="AKA37" s="71"/>
      <c r="AKB37" s="71"/>
      <c r="AKC37" s="71"/>
      <c r="AKD37" s="71"/>
      <c r="AKE37" s="71"/>
      <c r="AKF37" s="71"/>
      <c r="AKG37" s="71"/>
      <c r="AKH37" s="71"/>
      <c r="AKI37" s="71"/>
      <c r="AKJ37" s="71"/>
      <c r="AKK37" s="71"/>
      <c r="AKL37" s="71"/>
      <c r="AKM37" s="71"/>
      <c r="AKN37" s="71"/>
      <c r="AKO37" s="71"/>
      <c r="AKP37" s="71"/>
      <c r="AKQ37" s="71"/>
      <c r="AKR37" s="71"/>
      <c r="AKS37" s="71"/>
      <c r="AKT37" s="71"/>
      <c r="AKU37" s="71"/>
      <c r="AKV37" s="71"/>
      <c r="AKW37" s="71"/>
      <c r="AKX37" s="71"/>
      <c r="AKY37" s="71"/>
      <c r="AKZ37" s="71"/>
      <c r="ALA37" s="71"/>
      <c r="ALB37" s="71"/>
      <c r="ALC37" s="71"/>
      <c r="ALD37" s="71"/>
      <c r="ALE37" s="71"/>
      <c r="ALF37" s="71"/>
      <c r="ALG37" s="71"/>
      <c r="ALH37" s="71"/>
      <c r="ALI37" s="71"/>
      <c r="ALJ37" s="71"/>
      <c r="ALK37" s="71"/>
      <c r="ALL37" s="71"/>
      <c r="ALM37" s="71"/>
      <c r="ALN37" s="71"/>
      <c r="ALO37" s="71"/>
      <c r="ALP37" s="71"/>
      <c r="ALQ37" s="71"/>
      <c r="ALR37" s="71"/>
      <c r="ALS37" s="71"/>
      <c r="ALT37" s="71"/>
      <c r="ALU37" s="71"/>
      <c r="ALV37" s="71"/>
      <c r="ALW37" s="71"/>
      <c r="ALX37" s="71"/>
      <c r="ALY37" s="71"/>
      <c r="ALZ37" s="71"/>
      <c r="AMA37" s="71"/>
      <c r="AMB37" s="71"/>
      <c r="AMC37" s="71"/>
      <c r="AMD37" s="71"/>
      <c r="AME37" s="71"/>
      <c r="AMF37" s="71"/>
      <c r="AMG37" s="71"/>
      <c r="AMH37" s="71"/>
      <c r="AMI37" s="71"/>
      <c r="AMJ37" s="71"/>
      <c r="AMK37" s="71"/>
      <c r="AML37" s="71"/>
      <c r="AMM37" s="71"/>
      <c r="AMN37" s="71"/>
      <c r="AMO37" s="71"/>
      <c r="AMP37" s="71"/>
      <c r="AMQ37" s="71"/>
      <c r="AMR37" s="71"/>
      <c r="AMS37" s="71"/>
      <c r="AMT37" s="71"/>
      <c r="AMU37" s="71"/>
      <c r="AMV37" s="71"/>
      <c r="AMW37" s="71"/>
      <c r="AMX37" s="71"/>
      <c r="AMY37" s="71"/>
      <c r="AMZ37" s="71"/>
      <c r="ANA37" s="71"/>
      <c r="ANB37" s="71"/>
      <c r="ANC37" s="71"/>
      <c r="AND37" s="71"/>
      <c r="ANE37" s="71"/>
      <c r="ANF37" s="71"/>
      <c r="ANG37" s="71"/>
      <c r="ANH37" s="71"/>
      <c r="ANI37" s="71"/>
      <c r="ANJ37" s="71"/>
      <c r="ANK37" s="71"/>
      <c r="ANL37" s="71"/>
      <c r="ANM37" s="71"/>
      <c r="ANN37" s="71"/>
      <c r="ANO37" s="71"/>
      <c r="ANP37" s="71"/>
      <c r="ANQ37" s="71"/>
      <c r="ANR37" s="71"/>
      <c r="ANS37" s="71"/>
      <c r="ANT37" s="71"/>
      <c r="ANU37" s="71"/>
      <c r="ANV37" s="71"/>
      <c r="ANW37" s="71"/>
      <c r="ANX37" s="71"/>
      <c r="ANY37" s="71"/>
      <c r="ANZ37" s="71"/>
      <c r="AOA37" s="71"/>
      <c r="AOB37" s="71"/>
      <c r="AOC37" s="71"/>
      <c r="AOD37" s="71"/>
      <c r="AOE37" s="71"/>
      <c r="AOF37" s="71"/>
      <c r="AOG37" s="71"/>
      <c r="AOH37" s="71"/>
      <c r="AOI37" s="71"/>
      <c r="AOJ37" s="71"/>
      <c r="AOK37" s="71"/>
      <c r="AOL37" s="71"/>
      <c r="AOM37" s="71"/>
      <c r="AON37" s="71"/>
      <c r="AOO37" s="71"/>
      <c r="AOP37" s="71"/>
      <c r="AOQ37" s="71"/>
      <c r="AOR37" s="71"/>
      <c r="AOS37" s="71"/>
      <c r="AOT37" s="71"/>
      <c r="AOU37" s="71"/>
      <c r="AOV37" s="71"/>
      <c r="AOW37" s="71"/>
      <c r="AOX37" s="71"/>
      <c r="AOY37" s="71"/>
      <c r="AOZ37" s="71"/>
      <c r="APA37" s="71"/>
      <c r="APB37" s="71"/>
      <c r="APC37" s="71"/>
      <c r="APD37" s="71"/>
      <c r="APE37" s="71"/>
      <c r="APF37" s="71"/>
      <c r="APG37" s="71"/>
      <c r="APH37" s="71"/>
      <c r="API37" s="71"/>
      <c r="APJ37" s="71"/>
      <c r="APK37" s="71"/>
      <c r="APL37" s="71"/>
      <c r="APM37" s="71"/>
      <c r="APN37" s="71"/>
      <c r="APO37" s="71"/>
      <c r="APP37" s="71"/>
      <c r="APQ37" s="71"/>
      <c r="APR37" s="71"/>
      <c r="APS37" s="71"/>
      <c r="APT37" s="71"/>
      <c r="APU37" s="71"/>
      <c r="APV37" s="71"/>
      <c r="APW37" s="71"/>
      <c r="APX37" s="71"/>
      <c r="APY37" s="71"/>
      <c r="APZ37" s="71"/>
      <c r="AQA37" s="71"/>
      <c r="AQB37" s="71"/>
      <c r="AQC37" s="71"/>
      <c r="AQD37" s="71"/>
      <c r="AQE37" s="71"/>
      <c r="AQF37" s="71"/>
      <c r="AQG37" s="71"/>
      <c r="AQH37" s="71"/>
      <c r="AQI37" s="71"/>
      <c r="AQJ37" s="71"/>
      <c r="AQK37" s="71"/>
      <c r="AQL37" s="71"/>
      <c r="AQM37" s="71"/>
      <c r="AQN37" s="71"/>
      <c r="AQO37" s="71"/>
      <c r="AQP37" s="71"/>
      <c r="AQQ37" s="71"/>
      <c r="AQR37" s="71"/>
      <c r="AQS37" s="71"/>
      <c r="AQT37" s="71"/>
      <c r="AQU37" s="71"/>
      <c r="AQV37" s="71"/>
      <c r="AQW37" s="71"/>
      <c r="AQX37" s="71"/>
      <c r="AQY37" s="71"/>
      <c r="AQZ37" s="71"/>
      <c r="ARA37" s="71"/>
      <c r="ARB37" s="71"/>
      <c r="ARC37" s="71"/>
      <c r="ARD37" s="71"/>
      <c r="ARE37" s="71"/>
      <c r="ARF37" s="71"/>
      <c r="ARG37" s="71"/>
      <c r="ARH37" s="71"/>
      <c r="ARI37" s="71"/>
      <c r="ARJ37" s="71"/>
      <c r="ARK37" s="71"/>
      <c r="ARL37" s="71"/>
      <c r="ARM37" s="71"/>
      <c r="ARN37" s="71"/>
      <c r="ARO37" s="71"/>
      <c r="ARP37" s="71"/>
      <c r="ARQ37" s="71"/>
      <c r="ARR37" s="71"/>
      <c r="ARS37" s="71"/>
      <c r="ART37" s="71"/>
      <c r="ARU37" s="71"/>
      <c r="ARV37" s="71"/>
      <c r="ARW37" s="71"/>
      <c r="ARX37" s="71"/>
      <c r="ARY37" s="71"/>
      <c r="ARZ37" s="71"/>
      <c r="ASA37" s="71"/>
      <c r="ASB37" s="71"/>
      <c r="ASC37" s="71"/>
      <c r="ASD37" s="71"/>
      <c r="ASE37" s="71"/>
      <c r="ASF37" s="71"/>
      <c r="ASG37" s="71"/>
      <c r="ASH37" s="71"/>
      <c r="ASI37" s="71"/>
      <c r="ASJ37" s="71"/>
      <c r="ASK37" s="71"/>
      <c r="ASL37" s="71"/>
      <c r="ASM37" s="71"/>
      <c r="ASN37" s="71"/>
      <c r="ASO37" s="71"/>
      <c r="ASP37" s="71"/>
      <c r="ASQ37" s="71"/>
      <c r="ASR37" s="71"/>
      <c r="ASS37" s="71"/>
      <c r="AST37" s="71"/>
      <c r="ASU37" s="71"/>
      <c r="ASV37" s="71"/>
      <c r="ASW37" s="71"/>
      <c r="ASX37" s="71"/>
      <c r="ASY37" s="71"/>
      <c r="ASZ37" s="71"/>
      <c r="ATA37" s="71"/>
      <c r="ATB37" s="71"/>
      <c r="ATC37" s="71"/>
      <c r="ATD37" s="71"/>
      <c r="ATE37" s="71"/>
      <c r="ATF37" s="71"/>
      <c r="ATG37" s="71"/>
      <c r="ATH37" s="71"/>
      <c r="ATI37" s="71"/>
      <c r="ATJ37" s="71"/>
      <c r="ATK37" s="71"/>
      <c r="ATL37" s="71"/>
      <c r="ATM37" s="71"/>
      <c r="ATN37" s="71"/>
      <c r="ATO37" s="71"/>
      <c r="ATP37" s="71"/>
      <c r="ATQ37" s="71"/>
      <c r="ATR37" s="71"/>
      <c r="ATS37" s="71"/>
      <c r="ATT37" s="71"/>
      <c r="ATU37" s="71"/>
      <c r="ATV37" s="71"/>
      <c r="ATW37" s="71"/>
      <c r="ATX37" s="71"/>
      <c r="ATY37" s="71"/>
      <c r="ATZ37" s="71"/>
      <c r="AUA37" s="71"/>
      <c r="AUB37" s="71"/>
      <c r="AUC37" s="71"/>
      <c r="AUD37" s="71"/>
      <c r="AUE37" s="71"/>
      <c r="AUF37" s="71"/>
      <c r="AUG37" s="71"/>
      <c r="AUH37" s="71"/>
      <c r="AUI37" s="71"/>
      <c r="AUJ37" s="71"/>
      <c r="AUK37" s="71"/>
      <c r="AUL37" s="71"/>
      <c r="AUM37" s="71"/>
      <c r="AUN37" s="71"/>
      <c r="AUO37" s="71"/>
      <c r="AUP37" s="71"/>
      <c r="AUQ37" s="71"/>
      <c r="AUR37" s="71"/>
      <c r="AUS37" s="71"/>
      <c r="AUT37" s="71"/>
      <c r="AUU37" s="71"/>
      <c r="AUV37" s="71"/>
      <c r="AUW37" s="71"/>
      <c r="AUX37" s="71"/>
      <c r="AUY37" s="71"/>
      <c r="AUZ37" s="71"/>
      <c r="AVA37" s="71"/>
      <c r="AVB37" s="71"/>
      <c r="AVC37" s="71"/>
      <c r="AVD37" s="71"/>
      <c r="AVE37" s="71"/>
      <c r="AVF37" s="71"/>
      <c r="AVG37" s="71"/>
      <c r="AVH37" s="71"/>
      <c r="AVI37" s="71"/>
      <c r="AVJ37" s="71"/>
      <c r="AVK37" s="71"/>
      <c r="AVL37" s="71"/>
      <c r="AVM37" s="71"/>
      <c r="AVN37" s="71"/>
      <c r="AVO37" s="71"/>
      <c r="AVP37" s="71"/>
      <c r="AVQ37" s="71"/>
      <c r="AVR37" s="71"/>
      <c r="AVS37" s="71"/>
      <c r="AVT37" s="71"/>
      <c r="AVU37" s="71"/>
      <c r="AVV37" s="71"/>
      <c r="AVW37" s="71"/>
      <c r="AVX37" s="71"/>
      <c r="AVY37" s="71"/>
      <c r="AVZ37" s="71"/>
      <c r="AWA37" s="71"/>
      <c r="AWB37" s="71"/>
      <c r="AWC37" s="71"/>
      <c r="AWD37" s="71"/>
      <c r="AWE37" s="71"/>
      <c r="AWF37" s="71"/>
      <c r="AWG37" s="71"/>
      <c r="AWH37" s="71"/>
      <c r="AWI37" s="71"/>
      <c r="AWJ37" s="71"/>
      <c r="AWK37" s="71"/>
      <c r="AWL37" s="71"/>
      <c r="AWM37" s="71"/>
      <c r="AWN37" s="71"/>
      <c r="AWO37" s="71"/>
      <c r="AWP37" s="71"/>
      <c r="AWQ37" s="71"/>
      <c r="AWR37" s="71"/>
      <c r="AWS37" s="71"/>
      <c r="AWT37" s="71"/>
      <c r="AWU37" s="71"/>
      <c r="AWV37" s="71"/>
      <c r="AWW37" s="71"/>
      <c r="AWX37" s="71"/>
      <c r="AWY37" s="71"/>
      <c r="AWZ37" s="71"/>
      <c r="AXA37" s="71"/>
      <c r="AXB37" s="71"/>
      <c r="AXC37" s="71"/>
      <c r="AXD37" s="71"/>
      <c r="AXE37" s="71"/>
      <c r="AXF37" s="71"/>
      <c r="AXG37" s="71"/>
      <c r="AXH37" s="71"/>
      <c r="AXI37" s="71"/>
      <c r="AXJ37" s="71"/>
      <c r="AXK37" s="71"/>
      <c r="AXL37" s="71"/>
      <c r="AXM37" s="71"/>
      <c r="AXN37" s="71"/>
      <c r="AXO37" s="71"/>
      <c r="AXP37" s="71"/>
      <c r="AXQ37" s="71"/>
      <c r="AXR37" s="71"/>
      <c r="AXS37" s="71"/>
      <c r="AXT37" s="71"/>
      <c r="AXU37" s="71"/>
      <c r="AXV37" s="71"/>
      <c r="AXW37" s="71"/>
      <c r="AXX37" s="71"/>
      <c r="AXY37" s="71"/>
      <c r="AXZ37" s="71"/>
      <c r="AYA37" s="71"/>
      <c r="AYB37" s="71"/>
      <c r="AYC37" s="71"/>
      <c r="AYD37" s="71"/>
      <c r="AYE37" s="71"/>
      <c r="AYF37" s="71"/>
      <c r="AYG37" s="71"/>
      <c r="AYH37" s="71"/>
      <c r="AYI37" s="71"/>
      <c r="AYJ37" s="71"/>
      <c r="AYK37" s="71"/>
      <c r="AYL37" s="71"/>
      <c r="AYM37" s="71"/>
      <c r="AYN37" s="71"/>
      <c r="AYO37" s="71"/>
      <c r="AYP37" s="71"/>
      <c r="AYQ37" s="71"/>
      <c r="AYR37" s="71"/>
      <c r="AYS37" s="71"/>
      <c r="AYT37" s="71"/>
      <c r="AYU37" s="71"/>
      <c r="AYV37" s="71"/>
      <c r="AYW37" s="71"/>
      <c r="AYX37" s="71"/>
      <c r="AYY37" s="71"/>
      <c r="AYZ37" s="71"/>
      <c r="AZA37" s="71"/>
      <c r="AZB37" s="71"/>
      <c r="AZC37" s="71"/>
      <c r="AZD37" s="71"/>
      <c r="AZE37" s="71"/>
      <c r="AZF37" s="71"/>
      <c r="AZG37" s="71"/>
      <c r="AZH37" s="71"/>
      <c r="AZI37" s="71"/>
      <c r="AZJ37" s="71"/>
      <c r="AZK37" s="71"/>
      <c r="AZL37" s="71"/>
      <c r="AZM37" s="71"/>
      <c r="AZN37" s="71"/>
      <c r="AZO37" s="71"/>
      <c r="AZP37" s="71"/>
      <c r="AZQ37" s="71"/>
      <c r="AZR37" s="71"/>
      <c r="AZS37" s="71"/>
      <c r="AZT37" s="71"/>
      <c r="AZU37" s="71"/>
      <c r="AZV37" s="71"/>
      <c r="AZW37" s="71"/>
      <c r="AZX37" s="71"/>
      <c r="AZY37" s="71"/>
      <c r="AZZ37" s="71"/>
      <c r="BAA37" s="71"/>
      <c r="BAB37" s="71"/>
      <c r="BAC37" s="71"/>
      <c r="BAD37" s="71"/>
      <c r="BAE37" s="71"/>
      <c r="BAF37" s="71"/>
      <c r="BAG37" s="71"/>
      <c r="BAH37" s="71"/>
      <c r="BAI37" s="71"/>
      <c r="BAJ37" s="71"/>
      <c r="BAK37" s="71"/>
      <c r="BAL37" s="71"/>
      <c r="BAM37" s="71"/>
      <c r="BAN37" s="71"/>
      <c r="BAO37" s="71"/>
      <c r="BAP37" s="71"/>
      <c r="BAQ37" s="71"/>
      <c r="BAR37" s="71"/>
      <c r="BAS37" s="71"/>
      <c r="BAT37" s="71"/>
      <c r="BAU37" s="71"/>
      <c r="BAV37" s="71"/>
      <c r="BAW37" s="71"/>
      <c r="BAX37" s="71"/>
      <c r="BAY37" s="71"/>
      <c r="BAZ37" s="71"/>
      <c r="BBA37" s="71"/>
      <c r="BBB37" s="71"/>
      <c r="BBC37" s="71"/>
      <c r="BBD37" s="71"/>
      <c r="BBE37" s="71"/>
      <c r="BBF37" s="71"/>
      <c r="BBG37" s="71"/>
      <c r="BBH37" s="71"/>
      <c r="BBI37" s="71"/>
      <c r="BBJ37" s="71"/>
      <c r="BBK37" s="71"/>
      <c r="BBL37" s="71"/>
      <c r="BBM37" s="71"/>
      <c r="BBN37" s="71"/>
      <c r="BBO37" s="71"/>
      <c r="BBP37" s="71"/>
      <c r="BBQ37" s="71"/>
      <c r="BBR37" s="71"/>
      <c r="BBS37" s="71"/>
      <c r="BBT37" s="71"/>
      <c r="BBU37" s="71"/>
      <c r="BBV37" s="71"/>
      <c r="BBW37" s="71"/>
      <c r="BBX37" s="71"/>
      <c r="BBY37" s="71"/>
      <c r="BBZ37" s="71"/>
      <c r="BCA37" s="71"/>
      <c r="BCB37" s="71"/>
      <c r="BCC37" s="71"/>
      <c r="BCD37" s="71"/>
      <c r="BCE37" s="71"/>
      <c r="BCF37" s="71"/>
      <c r="BCG37" s="71"/>
      <c r="BCH37" s="71"/>
      <c r="BCI37" s="71"/>
      <c r="BCJ37" s="71"/>
      <c r="BCK37" s="71"/>
      <c r="BCL37" s="71"/>
      <c r="BCM37" s="71"/>
      <c r="BCN37" s="71"/>
      <c r="BCO37" s="71"/>
      <c r="BCP37" s="71"/>
      <c r="BCQ37" s="71"/>
      <c r="BCR37" s="71"/>
      <c r="BCS37" s="71"/>
      <c r="BCT37" s="71"/>
      <c r="BCU37" s="71"/>
      <c r="BCV37" s="71"/>
      <c r="BCW37" s="71"/>
      <c r="BCX37" s="71"/>
      <c r="BCY37" s="71"/>
      <c r="BCZ37" s="71"/>
      <c r="BDA37" s="71"/>
      <c r="BDB37" s="71"/>
      <c r="BDC37" s="71"/>
      <c r="BDD37" s="71"/>
      <c r="BDE37" s="71"/>
      <c r="BDF37" s="71"/>
      <c r="BDG37" s="71"/>
      <c r="BDH37" s="71"/>
      <c r="BDI37" s="71"/>
      <c r="BDJ37" s="71"/>
      <c r="BDK37" s="71"/>
      <c r="BDL37" s="71"/>
      <c r="BDM37" s="71"/>
      <c r="BDN37" s="71"/>
      <c r="BDO37" s="71"/>
      <c r="BDP37" s="71"/>
      <c r="BDQ37" s="71"/>
      <c r="BDR37" s="71"/>
      <c r="BDS37" s="71"/>
      <c r="BDT37" s="71"/>
      <c r="BDU37" s="71"/>
      <c r="BDV37" s="71"/>
      <c r="BDW37" s="71"/>
      <c r="BDX37" s="71"/>
      <c r="BDY37" s="71"/>
      <c r="BDZ37" s="71"/>
      <c r="BEA37" s="71"/>
      <c r="BEB37" s="71"/>
      <c r="BEC37" s="71"/>
      <c r="BED37" s="71"/>
      <c r="BEE37" s="71"/>
      <c r="BEF37" s="71"/>
      <c r="BEG37" s="71"/>
      <c r="BEH37" s="71"/>
      <c r="BEI37" s="71"/>
      <c r="BEJ37" s="71"/>
      <c r="BEK37" s="71"/>
      <c r="BEL37" s="71"/>
      <c r="BEM37" s="71"/>
      <c r="BEN37" s="71"/>
      <c r="BEO37" s="71"/>
      <c r="BEP37" s="71"/>
      <c r="BEQ37" s="71"/>
      <c r="BER37" s="71"/>
      <c r="BES37" s="71"/>
      <c r="BET37" s="71"/>
      <c r="BEU37" s="71"/>
      <c r="BEV37" s="71"/>
      <c r="BEW37" s="71"/>
      <c r="BEX37" s="71"/>
      <c r="BEY37" s="71"/>
      <c r="BEZ37" s="71"/>
      <c r="BFA37" s="71"/>
      <c r="BFB37" s="71"/>
      <c r="BFC37" s="71"/>
      <c r="BFD37" s="71"/>
      <c r="BFE37" s="71"/>
      <c r="BFF37" s="71"/>
      <c r="BFG37" s="71"/>
      <c r="BFH37" s="71"/>
      <c r="BFI37" s="71"/>
      <c r="BFJ37" s="71"/>
      <c r="BFK37" s="71"/>
      <c r="BFL37" s="71"/>
      <c r="BFM37" s="71"/>
      <c r="BFN37" s="71"/>
      <c r="BFO37" s="71"/>
      <c r="BFP37" s="71"/>
      <c r="BFQ37" s="71"/>
      <c r="BFR37" s="71"/>
      <c r="BFS37" s="71"/>
      <c r="BFT37" s="71"/>
      <c r="BFU37" s="71"/>
      <c r="BFV37" s="71"/>
      <c r="BFW37" s="71"/>
      <c r="BFX37" s="71"/>
      <c r="BFY37" s="71"/>
      <c r="BFZ37" s="71"/>
      <c r="BGA37" s="71"/>
      <c r="BGB37" s="71"/>
      <c r="BGC37" s="71"/>
      <c r="BGD37" s="71"/>
      <c r="BGE37" s="71"/>
      <c r="BGF37" s="71"/>
      <c r="BGG37" s="71"/>
      <c r="BGH37" s="71"/>
      <c r="BGI37" s="71"/>
      <c r="BGJ37" s="71"/>
      <c r="BGK37" s="71"/>
      <c r="BGL37" s="71"/>
      <c r="BGM37" s="71"/>
      <c r="BGN37" s="71"/>
      <c r="BGO37" s="71"/>
      <c r="BGP37" s="71"/>
      <c r="BGQ37" s="71"/>
      <c r="BGR37" s="71"/>
      <c r="BGS37" s="71"/>
      <c r="BGT37" s="71"/>
      <c r="BGU37" s="71"/>
      <c r="BGV37" s="71"/>
      <c r="BGW37" s="71"/>
      <c r="BGX37" s="71"/>
      <c r="BGY37" s="71"/>
      <c r="BGZ37" s="71"/>
      <c r="BHA37" s="71"/>
      <c r="BHB37" s="71"/>
      <c r="BHC37" s="71"/>
      <c r="BHD37" s="71"/>
      <c r="BHE37" s="71"/>
      <c r="BHF37" s="71"/>
      <c r="BHG37" s="71"/>
      <c r="BHH37" s="71"/>
      <c r="BHI37" s="71"/>
      <c r="BHJ37" s="71"/>
      <c r="BHK37" s="71"/>
      <c r="BHL37" s="71"/>
      <c r="BHM37" s="71"/>
      <c r="BHN37" s="71"/>
      <c r="BHO37" s="71"/>
      <c r="BHP37" s="71"/>
      <c r="BHQ37" s="71"/>
      <c r="BHR37" s="71"/>
      <c r="BHS37" s="71"/>
      <c r="BHT37" s="71"/>
      <c r="BHU37" s="71"/>
      <c r="BHV37" s="71"/>
      <c r="BHW37" s="71"/>
      <c r="BHX37" s="71"/>
      <c r="BHY37" s="71"/>
      <c r="BHZ37" s="71"/>
      <c r="BIA37" s="71"/>
      <c r="BIB37" s="71"/>
      <c r="BIC37" s="71"/>
      <c r="BID37" s="71"/>
      <c r="BIE37" s="71"/>
      <c r="BIF37" s="71"/>
      <c r="BIG37" s="71"/>
      <c r="BIH37" s="71"/>
      <c r="BII37" s="71"/>
      <c r="BIJ37" s="71"/>
      <c r="BIK37" s="71"/>
      <c r="BIL37" s="71"/>
      <c r="BIM37" s="71"/>
      <c r="BIN37" s="71"/>
      <c r="BIO37" s="71"/>
      <c r="BIP37" s="71"/>
      <c r="BIQ37" s="71"/>
      <c r="BIR37" s="71"/>
      <c r="BIS37" s="71"/>
      <c r="BIT37" s="71"/>
      <c r="BIU37" s="71"/>
      <c r="BIV37" s="71"/>
      <c r="BIW37" s="71"/>
      <c r="BIX37" s="71"/>
      <c r="BIY37" s="71"/>
      <c r="BIZ37" s="71"/>
      <c r="BJA37" s="71"/>
      <c r="BJB37" s="71"/>
      <c r="BJC37" s="71"/>
      <c r="BJD37" s="71"/>
      <c r="BJE37" s="71"/>
      <c r="BJF37" s="71"/>
      <c r="BJG37" s="71"/>
      <c r="BJH37" s="71"/>
      <c r="BJI37" s="71"/>
      <c r="BJJ37" s="71"/>
      <c r="BJK37" s="71"/>
      <c r="BJL37" s="71"/>
      <c r="BJM37" s="71"/>
      <c r="BJN37" s="71"/>
      <c r="BJO37" s="71"/>
      <c r="BJP37" s="71"/>
      <c r="BJQ37" s="71"/>
      <c r="BJR37" s="71"/>
      <c r="BJS37" s="71"/>
      <c r="BJT37" s="71"/>
      <c r="BJU37" s="71"/>
      <c r="BJV37" s="71"/>
      <c r="BJW37" s="71"/>
      <c r="BJX37" s="71"/>
      <c r="BJY37" s="71"/>
      <c r="BJZ37" s="71"/>
      <c r="BKA37" s="71"/>
      <c r="BKB37" s="71"/>
      <c r="BKC37" s="71"/>
      <c r="BKD37" s="71"/>
      <c r="BKE37" s="71"/>
      <c r="BKF37" s="71"/>
      <c r="BKG37" s="71"/>
      <c r="BKH37" s="71"/>
      <c r="BKI37" s="71"/>
      <c r="BKJ37" s="71"/>
      <c r="BKK37" s="71"/>
      <c r="BKL37" s="71"/>
      <c r="BKM37" s="71"/>
      <c r="BKN37" s="71"/>
      <c r="BKO37" s="71"/>
      <c r="BKP37" s="71"/>
      <c r="BKQ37" s="71"/>
      <c r="BKR37" s="71"/>
      <c r="BKS37" s="71"/>
      <c r="BKT37" s="71"/>
      <c r="BKU37" s="71"/>
      <c r="BKV37" s="71"/>
      <c r="BKW37" s="71"/>
      <c r="BKX37" s="71"/>
      <c r="BKY37" s="71"/>
      <c r="BKZ37" s="71"/>
      <c r="BLA37" s="71"/>
      <c r="BLB37" s="71"/>
      <c r="BLC37" s="71"/>
      <c r="BLD37" s="71"/>
      <c r="BLE37" s="71"/>
      <c r="BLF37" s="71"/>
      <c r="BLG37" s="71"/>
      <c r="BLH37" s="71"/>
      <c r="BLI37" s="71"/>
      <c r="BLJ37" s="71"/>
      <c r="BLK37" s="71"/>
      <c r="BLL37" s="71"/>
      <c r="BLM37" s="71"/>
      <c r="BLN37" s="71"/>
      <c r="BLO37" s="71"/>
      <c r="BLP37" s="71"/>
      <c r="BLQ37" s="71"/>
      <c r="BLR37" s="71"/>
      <c r="BLS37" s="71"/>
      <c r="BLT37" s="71"/>
      <c r="BLU37" s="71"/>
      <c r="BLV37" s="71"/>
      <c r="BLW37" s="71"/>
      <c r="BLX37" s="71"/>
      <c r="BLY37" s="71"/>
      <c r="BLZ37" s="71"/>
      <c r="BMA37" s="71"/>
      <c r="BMB37" s="71"/>
      <c r="BMC37" s="71"/>
      <c r="BMD37" s="71"/>
      <c r="BME37" s="71"/>
      <c r="BMF37" s="71"/>
      <c r="BMG37" s="71"/>
      <c r="BMH37" s="71"/>
      <c r="BMI37" s="71"/>
      <c r="BMJ37" s="71"/>
      <c r="BMK37" s="71"/>
      <c r="BML37" s="71"/>
      <c r="BMM37" s="71"/>
      <c r="BMN37" s="71"/>
      <c r="BMO37" s="71"/>
      <c r="BMP37" s="71"/>
      <c r="BMQ37" s="71"/>
      <c r="BMR37" s="71"/>
      <c r="BMS37" s="71"/>
      <c r="BMT37" s="71"/>
      <c r="BMU37" s="71"/>
      <c r="BMV37" s="71"/>
      <c r="BMW37" s="71"/>
      <c r="BMX37" s="71"/>
      <c r="BMY37" s="71"/>
      <c r="BMZ37" s="71"/>
      <c r="BNA37" s="71"/>
      <c r="BNB37" s="71"/>
      <c r="BNC37" s="71"/>
      <c r="BND37" s="71"/>
      <c r="BNE37" s="71"/>
      <c r="BNF37" s="71"/>
      <c r="BNG37" s="71"/>
      <c r="BNH37" s="71"/>
      <c r="BNI37" s="71"/>
      <c r="BNJ37" s="71"/>
      <c r="BNK37" s="71"/>
      <c r="BNL37" s="71"/>
      <c r="BNM37" s="71"/>
      <c r="BNN37" s="71"/>
      <c r="BNO37" s="71"/>
      <c r="BNP37" s="71"/>
      <c r="BNQ37" s="71"/>
      <c r="BNR37" s="71"/>
      <c r="BNS37" s="71"/>
      <c r="BNT37" s="71"/>
      <c r="BNU37" s="71"/>
      <c r="BNV37" s="71"/>
      <c r="BNW37" s="71"/>
      <c r="BNX37" s="71"/>
      <c r="BNY37" s="71"/>
      <c r="BNZ37" s="71"/>
      <c r="BOA37" s="71"/>
      <c r="BOB37" s="71"/>
      <c r="BOC37" s="71"/>
      <c r="BOD37" s="71"/>
      <c r="BOE37" s="71"/>
      <c r="BOF37" s="71"/>
      <c r="BOG37" s="71"/>
      <c r="BOH37" s="71"/>
      <c r="BOI37" s="71"/>
      <c r="BOJ37" s="71"/>
      <c r="BOK37" s="71"/>
      <c r="BOL37" s="71"/>
      <c r="BOM37" s="71"/>
      <c r="BON37" s="71"/>
      <c r="BOO37" s="71"/>
      <c r="BOP37" s="71"/>
      <c r="BOQ37" s="71"/>
      <c r="BOR37" s="71"/>
      <c r="BOS37" s="71"/>
      <c r="BOT37" s="71"/>
      <c r="BOU37" s="71"/>
      <c r="BOV37" s="71"/>
      <c r="BOW37" s="71"/>
      <c r="BOX37" s="71"/>
      <c r="BOY37" s="71"/>
      <c r="BOZ37" s="71"/>
      <c r="BPA37" s="71"/>
      <c r="BPB37" s="71"/>
      <c r="BPC37" s="71"/>
      <c r="BPD37" s="71"/>
      <c r="BPE37" s="71"/>
      <c r="BPF37" s="71"/>
      <c r="BPG37" s="71"/>
      <c r="BPH37" s="71"/>
      <c r="BPI37" s="71"/>
      <c r="BPJ37" s="71"/>
      <c r="BPK37" s="71"/>
      <c r="BPL37" s="71"/>
      <c r="BPM37" s="71"/>
      <c r="BPN37" s="71"/>
      <c r="BPO37" s="71"/>
      <c r="BPP37" s="71"/>
      <c r="BPQ37" s="71"/>
      <c r="BPR37" s="71"/>
      <c r="BPS37" s="71"/>
      <c r="BPT37" s="71"/>
      <c r="BPU37" s="71"/>
      <c r="BPV37" s="71"/>
      <c r="BPW37" s="71"/>
      <c r="BPX37" s="71"/>
      <c r="BPY37" s="71"/>
      <c r="BPZ37" s="71"/>
      <c r="BQA37" s="71"/>
      <c r="BQB37" s="71"/>
      <c r="BQC37" s="71"/>
      <c r="BQD37" s="71"/>
      <c r="BQE37" s="71"/>
      <c r="BQF37" s="71"/>
      <c r="BQG37" s="71"/>
      <c r="BQH37" s="71"/>
      <c r="BQI37" s="71"/>
      <c r="BQJ37" s="71"/>
      <c r="BQK37" s="71"/>
      <c r="BQL37" s="71"/>
      <c r="BQM37" s="71"/>
      <c r="BQN37" s="71"/>
      <c r="BQO37" s="71"/>
      <c r="BQP37" s="71"/>
      <c r="BQQ37" s="71"/>
      <c r="BQR37" s="71"/>
      <c r="BQS37" s="71"/>
      <c r="BQT37" s="71"/>
      <c r="BQU37" s="71"/>
      <c r="BQV37" s="71"/>
      <c r="BQW37" s="71"/>
      <c r="BQX37" s="71"/>
      <c r="BQY37" s="71"/>
      <c r="BQZ37" s="71"/>
      <c r="BRA37" s="71"/>
      <c r="BRB37" s="71"/>
      <c r="BRC37" s="71"/>
      <c r="BRD37" s="71"/>
      <c r="BRE37" s="71"/>
      <c r="BRF37" s="71"/>
      <c r="BRG37" s="71"/>
      <c r="BRH37" s="71"/>
      <c r="BRI37" s="71"/>
      <c r="BRJ37" s="71"/>
      <c r="BRK37" s="71"/>
      <c r="BRL37" s="71"/>
      <c r="BRM37" s="71"/>
      <c r="BRN37" s="71"/>
      <c r="BRO37" s="71"/>
      <c r="BRP37" s="71"/>
      <c r="BRQ37" s="71"/>
      <c r="BRR37" s="71"/>
      <c r="BRS37" s="71"/>
      <c r="BRT37" s="71"/>
      <c r="BRU37" s="71"/>
      <c r="BRV37" s="71"/>
      <c r="BRW37" s="71"/>
      <c r="BRX37" s="71"/>
      <c r="BRY37" s="71"/>
      <c r="BRZ37" s="71"/>
      <c r="BSA37" s="71"/>
      <c r="BSB37" s="71"/>
      <c r="BSC37" s="71"/>
      <c r="BSD37" s="71"/>
      <c r="BSE37" s="71"/>
      <c r="BSF37" s="71"/>
      <c r="BSG37" s="71"/>
      <c r="BSH37" s="71"/>
      <c r="BSI37" s="71"/>
      <c r="BSJ37" s="71"/>
      <c r="BSK37" s="71"/>
      <c r="BSL37" s="71"/>
      <c r="BSM37" s="71"/>
      <c r="BSN37" s="71"/>
      <c r="BSO37" s="71"/>
      <c r="BSP37" s="71"/>
      <c r="BSQ37" s="71"/>
      <c r="BSR37" s="71"/>
      <c r="BSS37" s="71"/>
      <c r="BST37" s="71"/>
      <c r="BSU37" s="71"/>
      <c r="BSV37" s="71"/>
      <c r="BSW37" s="71"/>
      <c r="BSX37" s="71"/>
      <c r="BSY37" s="71"/>
      <c r="BSZ37" s="71"/>
      <c r="BTA37" s="71"/>
      <c r="BTB37" s="71"/>
      <c r="BTC37" s="71"/>
      <c r="BTD37" s="71"/>
      <c r="BTE37" s="71"/>
      <c r="BTF37" s="71"/>
      <c r="BTG37" s="71"/>
      <c r="BTH37" s="71"/>
      <c r="BTI37" s="71"/>
      <c r="BTJ37" s="71"/>
      <c r="BTK37" s="71"/>
      <c r="BTL37" s="71"/>
      <c r="BTM37" s="71"/>
      <c r="BTN37" s="71"/>
      <c r="BTO37" s="71"/>
      <c r="BTP37" s="71"/>
      <c r="BTQ37" s="71"/>
      <c r="BTR37" s="71"/>
      <c r="BTS37" s="71"/>
      <c r="BTT37" s="71"/>
      <c r="BTU37" s="71"/>
      <c r="BTV37" s="71"/>
      <c r="BTW37" s="71"/>
      <c r="BTX37" s="71"/>
      <c r="BTY37" s="71"/>
      <c r="BTZ37" s="71"/>
      <c r="BUA37" s="71"/>
      <c r="BUB37" s="71"/>
      <c r="BUC37" s="71"/>
      <c r="BUD37" s="71"/>
      <c r="BUE37" s="71"/>
      <c r="BUF37" s="71"/>
      <c r="BUG37" s="71"/>
      <c r="BUH37" s="71"/>
      <c r="BUI37" s="71"/>
      <c r="BUJ37" s="71"/>
      <c r="BUK37" s="71"/>
      <c r="BUL37" s="71"/>
      <c r="BUM37" s="71"/>
      <c r="BUN37" s="71"/>
      <c r="BUO37" s="71"/>
      <c r="BUP37" s="71"/>
      <c r="BUQ37" s="71"/>
      <c r="BUR37" s="71"/>
      <c r="BUS37" s="71"/>
      <c r="BUT37" s="71"/>
      <c r="BUU37" s="71"/>
      <c r="BUV37" s="71"/>
      <c r="BUW37" s="71"/>
      <c r="BUX37" s="71"/>
      <c r="BUY37" s="71"/>
      <c r="BUZ37" s="71"/>
      <c r="BVA37" s="71"/>
      <c r="BVB37" s="71"/>
      <c r="BVC37" s="71"/>
      <c r="BVD37" s="71"/>
      <c r="BVE37" s="71"/>
      <c r="BVF37" s="71"/>
      <c r="BVG37" s="71"/>
      <c r="BVH37" s="71"/>
      <c r="BVI37" s="71"/>
      <c r="BVJ37" s="71"/>
      <c r="BVK37" s="71"/>
      <c r="BVL37" s="71"/>
      <c r="BVM37" s="71"/>
      <c r="BVN37" s="71"/>
      <c r="BVO37" s="71"/>
      <c r="BVP37" s="71"/>
      <c r="BVQ37" s="71"/>
      <c r="BVR37" s="71"/>
      <c r="BVS37" s="71"/>
      <c r="BVT37" s="71"/>
      <c r="BVU37" s="71"/>
      <c r="BVV37" s="71"/>
      <c r="BVW37" s="71"/>
      <c r="BVX37" s="71"/>
      <c r="BVY37" s="71"/>
      <c r="BVZ37" s="71"/>
      <c r="BWA37" s="71"/>
      <c r="BWB37" s="71"/>
      <c r="BWC37" s="71"/>
      <c r="BWD37" s="71"/>
      <c r="BWE37" s="71"/>
      <c r="BWF37" s="71"/>
      <c r="BWG37" s="71"/>
      <c r="BWH37" s="71"/>
      <c r="BWI37" s="71"/>
      <c r="BWJ37" s="71"/>
      <c r="BWK37" s="71"/>
      <c r="BWL37" s="71"/>
      <c r="BWM37" s="71"/>
      <c r="BWN37" s="71"/>
      <c r="BWO37" s="71"/>
      <c r="BWP37" s="71"/>
      <c r="BWQ37" s="71"/>
      <c r="BWR37" s="71"/>
      <c r="BWS37" s="71"/>
      <c r="BWT37" s="71"/>
      <c r="BWU37" s="71"/>
      <c r="BWV37" s="71"/>
      <c r="BWW37" s="71"/>
      <c r="BWX37" s="71"/>
      <c r="BWY37" s="71"/>
      <c r="BWZ37" s="71"/>
      <c r="BXA37" s="71"/>
      <c r="BXB37" s="71"/>
      <c r="BXC37" s="71"/>
      <c r="BXD37" s="71"/>
      <c r="BXE37" s="71"/>
      <c r="BXF37" s="71"/>
      <c r="BXG37" s="71"/>
      <c r="BXH37" s="71"/>
      <c r="BXI37" s="71"/>
      <c r="BXJ37" s="71"/>
      <c r="BXK37" s="71"/>
      <c r="BXL37" s="71"/>
      <c r="BXM37" s="71"/>
      <c r="BXN37" s="71"/>
      <c r="BXO37" s="71"/>
      <c r="BXP37" s="71"/>
      <c r="BXQ37" s="71"/>
      <c r="BXR37" s="71"/>
      <c r="BXS37" s="71"/>
      <c r="BXT37" s="71"/>
      <c r="BXU37" s="71"/>
      <c r="BXV37" s="71"/>
      <c r="BXW37" s="71"/>
      <c r="BXX37" s="71"/>
      <c r="BXY37" s="71"/>
      <c r="BXZ37" s="71"/>
      <c r="BYA37" s="71"/>
      <c r="BYB37" s="71"/>
      <c r="BYC37" s="71"/>
      <c r="BYD37" s="71"/>
      <c r="BYE37" s="71"/>
      <c r="BYF37" s="71"/>
      <c r="BYG37" s="71"/>
      <c r="BYH37" s="71"/>
      <c r="BYI37" s="71"/>
      <c r="BYJ37" s="71"/>
      <c r="BYK37" s="71"/>
      <c r="BYL37" s="71"/>
      <c r="BYM37" s="71"/>
      <c r="BYN37" s="71"/>
      <c r="BYO37" s="71"/>
      <c r="BYP37" s="71"/>
      <c r="BYQ37" s="71"/>
      <c r="BYR37" s="71"/>
      <c r="BYS37" s="71"/>
      <c r="BYT37" s="71"/>
      <c r="BYU37" s="71"/>
      <c r="BYV37" s="71"/>
      <c r="BYW37" s="71"/>
      <c r="BYX37" s="71"/>
      <c r="BYY37" s="71"/>
      <c r="BYZ37" s="71"/>
      <c r="BZA37" s="71"/>
      <c r="BZB37" s="71"/>
      <c r="BZC37" s="71"/>
      <c r="BZD37" s="71"/>
      <c r="BZE37" s="71"/>
      <c r="BZF37" s="71"/>
      <c r="BZG37" s="71"/>
      <c r="BZH37" s="71"/>
      <c r="BZI37" s="71"/>
      <c r="BZJ37" s="71"/>
      <c r="BZK37" s="71"/>
      <c r="BZL37" s="71"/>
      <c r="BZM37" s="71"/>
      <c r="BZN37" s="71"/>
      <c r="BZO37" s="71"/>
      <c r="BZP37" s="71"/>
      <c r="BZQ37" s="71"/>
      <c r="BZR37" s="71"/>
      <c r="BZS37" s="71"/>
      <c r="BZT37" s="71"/>
      <c r="BZU37" s="71"/>
      <c r="BZV37" s="71"/>
      <c r="BZW37" s="71"/>
      <c r="BZX37" s="71"/>
      <c r="BZY37" s="71"/>
      <c r="BZZ37" s="71"/>
      <c r="CAA37" s="71"/>
      <c r="CAB37" s="71"/>
      <c r="CAC37" s="71"/>
      <c r="CAD37" s="71"/>
      <c r="CAE37" s="71"/>
      <c r="CAF37" s="71"/>
      <c r="CAG37" s="71"/>
      <c r="CAH37" s="71"/>
      <c r="CAI37" s="71"/>
      <c r="CAJ37" s="71"/>
      <c r="CAK37" s="71"/>
      <c r="CAL37" s="71"/>
      <c r="CAM37" s="71"/>
      <c r="CAN37" s="71"/>
      <c r="CAO37" s="71"/>
      <c r="CAP37" s="71"/>
      <c r="CAQ37" s="71"/>
      <c r="CAR37" s="71"/>
      <c r="CAS37" s="71"/>
      <c r="CAT37" s="71"/>
      <c r="CAU37" s="71"/>
      <c r="CAV37" s="71"/>
      <c r="CAW37" s="71"/>
      <c r="CAX37" s="71"/>
      <c r="CAY37" s="71"/>
      <c r="CAZ37" s="71"/>
      <c r="CBA37" s="71"/>
      <c r="CBB37" s="71"/>
      <c r="CBC37" s="71"/>
      <c r="CBD37" s="71"/>
      <c r="CBE37" s="71"/>
      <c r="CBF37" s="71"/>
      <c r="CBG37" s="71"/>
      <c r="CBH37" s="71"/>
      <c r="CBI37" s="71"/>
      <c r="CBJ37" s="71"/>
      <c r="CBK37" s="71"/>
      <c r="CBL37" s="71"/>
      <c r="CBM37" s="71"/>
      <c r="CBN37" s="71"/>
      <c r="CBO37" s="71"/>
      <c r="CBP37" s="71"/>
      <c r="CBQ37" s="71"/>
      <c r="CBR37" s="71"/>
      <c r="CBS37" s="71"/>
      <c r="CBT37" s="71"/>
      <c r="CBU37" s="71"/>
      <c r="CBV37" s="71"/>
      <c r="CBW37" s="71"/>
      <c r="CBX37" s="71"/>
      <c r="CBY37" s="71"/>
      <c r="CBZ37" s="71"/>
      <c r="CCA37" s="71"/>
      <c r="CCB37" s="71"/>
      <c r="CCC37" s="71"/>
      <c r="CCD37" s="71"/>
      <c r="CCE37" s="71"/>
      <c r="CCF37" s="71"/>
      <c r="CCG37" s="71"/>
      <c r="CCH37" s="71"/>
      <c r="CCI37" s="71"/>
      <c r="CCJ37" s="71"/>
      <c r="CCK37" s="71"/>
      <c r="CCL37" s="71"/>
      <c r="CCM37" s="71"/>
      <c r="CCN37" s="71"/>
      <c r="CCO37" s="71"/>
      <c r="CCP37" s="71"/>
      <c r="CCQ37" s="71"/>
      <c r="CCR37" s="71"/>
      <c r="CCS37" s="71"/>
      <c r="CCT37" s="71"/>
      <c r="CCU37" s="71"/>
      <c r="CCV37" s="71"/>
      <c r="CCW37" s="71"/>
      <c r="CCX37" s="71"/>
      <c r="CCY37" s="71"/>
      <c r="CCZ37" s="71"/>
      <c r="CDA37" s="71"/>
      <c r="CDB37" s="71"/>
      <c r="CDC37" s="71"/>
      <c r="CDD37" s="71"/>
      <c r="CDE37" s="71"/>
      <c r="CDF37" s="71"/>
      <c r="CDG37" s="71"/>
      <c r="CDH37" s="71"/>
      <c r="CDI37" s="71"/>
      <c r="CDJ37" s="71"/>
      <c r="CDK37" s="71"/>
      <c r="CDL37" s="71"/>
      <c r="CDM37" s="71"/>
      <c r="CDN37" s="71"/>
      <c r="CDO37" s="71"/>
      <c r="CDP37" s="71"/>
      <c r="CDQ37" s="71"/>
      <c r="CDR37" s="71"/>
      <c r="CDS37" s="71"/>
      <c r="CDT37" s="71"/>
      <c r="CDU37" s="71"/>
      <c r="CDV37" s="71"/>
      <c r="CDW37" s="71"/>
      <c r="CDX37" s="71"/>
      <c r="CDY37" s="71"/>
      <c r="CDZ37" s="71"/>
      <c r="CEA37" s="71"/>
      <c r="CEB37" s="71"/>
      <c r="CEC37" s="71"/>
      <c r="CED37" s="71"/>
      <c r="CEE37" s="71"/>
      <c r="CEF37" s="71"/>
      <c r="CEG37" s="71"/>
      <c r="CEH37" s="71"/>
      <c r="CEI37" s="71"/>
      <c r="CEJ37" s="71"/>
      <c r="CEK37" s="71"/>
      <c r="CEL37" s="71"/>
      <c r="CEM37" s="71"/>
      <c r="CEN37" s="71"/>
      <c r="CEO37" s="71"/>
      <c r="CEP37" s="71"/>
      <c r="CEQ37" s="71"/>
      <c r="CER37" s="71"/>
      <c r="CES37" s="71"/>
      <c r="CET37" s="71"/>
      <c r="CEU37" s="71"/>
      <c r="CEV37" s="71"/>
      <c r="CEW37" s="71"/>
      <c r="CEX37" s="71"/>
      <c r="CEY37" s="71"/>
      <c r="CEZ37" s="71"/>
      <c r="CFA37" s="71"/>
      <c r="CFB37" s="71"/>
      <c r="CFC37" s="71"/>
      <c r="CFD37" s="71"/>
      <c r="CFE37" s="71"/>
      <c r="CFF37" s="71"/>
      <c r="CFG37" s="71"/>
      <c r="CFH37" s="71"/>
      <c r="CFI37" s="71"/>
      <c r="CFJ37" s="71"/>
      <c r="CFK37" s="71"/>
      <c r="CFL37" s="71"/>
      <c r="CFM37" s="71"/>
      <c r="CFN37" s="71"/>
      <c r="CFO37" s="71"/>
      <c r="CFP37" s="71"/>
      <c r="CFQ37" s="71"/>
      <c r="CFR37" s="71"/>
      <c r="CFS37" s="71"/>
      <c r="CFT37" s="71"/>
      <c r="CFU37" s="71"/>
      <c r="CFV37" s="71"/>
      <c r="CFW37" s="71"/>
      <c r="CFX37" s="71"/>
      <c r="CFY37" s="71"/>
      <c r="CFZ37" s="71"/>
      <c r="CGA37" s="71"/>
      <c r="CGB37" s="71"/>
      <c r="CGC37" s="71"/>
      <c r="CGD37" s="71"/>
      <c r="CGE37" s="71"/>
      <c r="CGF37" s="71"/>
      <c r="CGG37" s="71"/>
      <c r="CGH37" s="71"/>
      <c r="CGI37" s="71"/>
      <c r="CGJ37" s="71"/>
      <c r="CGK37" s="71"/>
      <c r="CGL37" s="71"/>
      <c r="CGM37" s="71"/>
      <c r="CGN37" s="71"/>
      <c r="CGO37" s="71"/>
      <c r="CGP37" s="71"/>
      <c r="CGQ37" s="71"/>
      <c r="CGR37" s="71"/>
      <c r="CGS37" s="71"/>
      <c r="CGT37" s="71"/>
      <c r="CGU37" s="71"/>
      <c r="CGV37" s="71"/>
      <c r="CGW37" s="71"/>
      <c r="CGX37" s="71"/>
      <c r="CGY37" s="71"/>
      <c r="CGZ37" s="71"/>
      <c r="CHA37" s="71"/>
      <c r="CHB37" s="71"/>
      <c r="CHC37" s="71"/>
      <c r="CHD37" s="71"/>
      <c r="CHE37" s="71"/>
      <c r="CHF37" s="71"/>
      <c r="CHG37" s="71"/>
      <c r="CHH37" s="71"/>
      <c r="CHI37" s="71"/>
      <c r="CHJ37" s="71"/>
      <c r="CHK37" s="71"/>
      <c r="CHL37" s="71"/>
      <c r="CHM37" s="71"/>
      <c r="CHN37" s="71"/>
      <c r="CHO37" s="71"/>
      <c r="CHP37" s="71"/>
      <c r="CHQ37" s="71"/>
      <c r="CHR37" s="71"/>
      <c r="CHS37" s="71"/>
      <c r="CHT37" s="71"/>
      <c r="CHU37" s="71"/>
      <c r="CHV37" s="71"/>
      <c r="CHW37" s="71"/>
      <c r="CHX37" s="71"/>
      <c r="CHY37" s="71"/>
      <c r="CHZ37" s="71"/>
      <c r="CIA37" s="71"/>
      <c r="CIB37" s="71"/>
      <c r="CIC37" s="71"/>
      <c r="CID37" s="71"/>
      <c r="CIE37" s="71"/>
      <c r="CIF37" s="71"/>
      <c r="CIG37" s="71"/>
      <c r="CIH37" s="71"/>
      <c r="CII37" s="71"/>
      <c r="CIJ37" s="71"/>
      <c r="CIK37" s="71"/>
      <c r="CIL37" s="71"/>
      <c r="CIM37" s="71"/>
      <c r="CIN37" s="71"/>
      <c r="CIO37" s="71"/>
      <c r="CIP37" s="71"/>
      <c r="CIQ37" s="71"/>
      <c r="CIR37" s="71"/>
      <c r="CIS37" s="71"/>
      <c r="CIT37" s="71"/>
      <c r="CIU37" s="71"/>
      <c r="CIV37" s="71"/>
      <c r="CIW37" s="71"/>
      <c r="CIX37" s="71"/>
      <c r="CIY37" s="71"/>
      <c r="CIZ37" s="71"/>
      <c r="CJA37" s="71"/>
      <c r="CJB37" s="71"/>
      <c r="CJC37" s="71"/>
      <c r="CJD37" s="71"/>
      <c r="CJE37" s="71"/>
      <c r="CJF37" s="71"/>
      <c r="CJG37" s="71"/>
      <c r="CJH37" s="71"/>
      <c r="CJI37" s="71"/>
      <c r="CJJ37" s="71"/>
      <c r="CJK37" s="71"/>
      <c r="CJL37" s="71"/>
      <c r="CJM37" s="71"/>
      <c r="CJN37" s="71"/>
      <c r="CJO37" s="71"/>
      <c r="CJP37" s="71"/>
      <c r="CJQ37" s="71"/>
      <c r="CJR37" s="71"/>
      <c r="CJS37" s="71"/>
      <c r="CJT37" s="71"/>
      <c r="CJU37" s="71"/>
      <c r="CJV37" s="71"/>
      <c r="CJW37" s="71"/>
      <c r="CJX37" s="71"/>
      <c r="CJY37" s="71"/>
      <c r="CJZ37" s="71"/>
      <c r="CKA37" s="71"/>
      <c r="CKB37" s="71"/>
      <c r="CKC37" s="71"/>
      <c r="CKD37" s="71"/>
      <c r="CKE37" s="71"/>
      <c r="CKF37" s="71"/>
      <c r="CKG37" s="71"/>
      <c r="CKH37" s="71"/>
      <c r="CKI37" s="71"/>
      <c r="CKJ37" s="71"/>
      <c r="CKK37" s="71"/>
      <c r="CKL37" s="71"/>
      <c r="CKM37" s="71"/>
      <c r="CKN37" s="71"/>
      <c r="CKO37" s="71"/>
      <c r="CKP37" s="71"/>
      <c r="CKQ37" s="71"/>
      <c r="CKR37" s="71"/>
      <c r="CKS37" s="71"/>
      <c r="CKT37" s="71"/>
      <c r="CKU37" s="71"/>
      <c r="CKV37" s="71"/>
      <c r="CKW37" s="71"/>
      <c r="CKX37" s="71"/>
      <c r="CKY37" s="71"/>
      <c r="CKZ37" s="71"/>
      <c r="CLA37" s="71"/>
      <c r="CLB37" s="71"/>
      <c r="CLC37" s="71"/>
      <c r="CLD37" s="71"/>
      <c r="CLE37" s="71"/>
      <c r="CLF37" s="71"/>
      <c r="CLG37" s="71"/>
      <c r="CLH37" s="71"/>
      <c r="CLI37" s="71"/>
      <c r="CLJ37" s="71"/>
      <c r="CLK37" s="71"/>
      <c r="CLL37" s="71"/>
      <c r="CLM37" s="71"/>
      <c r="CLN37" s="71"/>
      <c r="CLO37" s="71"/>
      <c r="CLP37" s="71"/>
      <c r="CLQ37" s="71"/>
      <c r="CLR37" s="71"/>
      <c r="CLS37" s="71"/>
      <c r="CLT37" s="71"/>
      <c r="CLU37" s="71"/>
      <c r="CLV37" s="71"/>
      <c r="CLW37" s="71"/>
      <c r="CLX37" s="71"/>
      <c r="CLY37" s="71"/>
      <c r="CLZ37" s="71"/>
      <c r="CMA37" s="71"/>
      <c r="CMB37" s="71"/>
      <c r="CMC37" s="71"/>
      <c r="CMD37" s="71"/>
      <c r="CME37" s="71"/>
      <c r="CMF37" s="71"/>
      <c r="CMG37" s="71"/>
      <c r="CMH37" s="71"/>
      <c r="CMI37" s="71"/>
      <c r="CMJ37" s="71"/>
      <c r="CMK37" s="71"/>
      <c r="CML37" s="71"/>
      <c r="CMM37" s="71"/>
      <c r="CMN37" s="71"/>
      <c r="CMO37" s="71"/>
      <c r="CMP37" s="71"/>
      <c r="CMQ37" s="71"/>
      <c r="CMR37" s="71"/>
      <c r="CMS37" s="71"/>
      <c r="CMT37" s="71"/>
      <c r="CMU37" s="71"/>
      <c r="CMV37" s="71"/>
      <c r="CMW37" s="71"/>
      <c r="CMX37" s="71"/>
      <c r="CMY37" s="71"/>
      <c r="CMZ37" s="71"/>
      <c r="CNA37" s="71"/>
      <c r="CNB37" s="71"/>
      <c r="CNC37" s="71"/>
      <c r="CND37" s="71"/>
      <c r="CNE37" s="71"/>
      <c r="CNF37" s="71"/>
      <c r="CNG37" s="71"/>
      <c r="CNH37" s="71"/>
      <c r="CNI37" s="71"/>
      <c r="CNJ37" s="71"/>
      <c r="CNK37" s="71"/>
      <c r="CNL37" s="71"/>
      <c r="CNM37" s="71"/>
      <c r="CNN37" s="71"/>
      <c r="CNO37" s="71"/>
      <c r="CNP37" s="71"/>
      <c r="CNQ37" s="71"/>
      <c r="CNR37" s="71"/>
      <c r="CNS37" s="71"/>
      <c r="CNT37" s="71"/>
      <c r="CNU37" s="71"/>
      <c r="CNV37" s="71"/>
      <c r="CNW37" s="71"/>
      <c r="CNX37" s="71"/>
      <c r="CNY37" s="71"/>
      <c r="CNZ37" s="71"/>
      <c r="COA37" s="71"/>
      <c r="COB37" s="71"/>
      <c r="COC37" s="71"/>
      <c r="COD37" s="71"/>
      <c r="COE37" s="71"/>
      <c r="COF37" s="71"/>
      <c r="COG37" s="71"/>
      <c r="COH37" s="71"/>
      <c r="COI37" s="71"/>
      <c r="COJ37" s="71"/>
      <c r="COK37" s="71"/>
      <c r="COL37" s="71"/>
      <c r="COM37" s="71"/>
      <c r="CON37" s="71"/>
      <c r="COO37" s="71"/>
      <c r="COP37" s="71"/>
      <c r="COQ37" s="71"/>
      <c r="COR37" s="71"/>
      <c r="COS37" s="71"/>
      <c r="COT37" s="71"/>
      <c r="COU37" s="71"/>
      <c r="COV37" s="71"/>
      <c r="COW37" s="71"/>
      <c r="COX37" s="71"/>
      <c r="COY37" s="71"/>
      <c r="COZ37" s="71"/>
      <c r="CPA37" s="71"/>
      <c r="CPB37" s="71"/>
      <c r="CPC37" s="71"/>
      <c r="CPD37" s="71"/>
      <c r="CPE37" s="71"/>
      <c r="CPF37" s="71"/>
      <c r="CPG37" s="71"/>
      <c r="CPH37" s="71"/>
      <c r="CPI37" s="71"/>
      <c r="CPJ37" s="71"/>
      <c r="CPK37" s="71"/>
      <c r="CPL37" s="71"/>
      <c r="CPM37" s="71"/>
      <c r="CPN37" s="71"/>
      <c r="CPO37" s="71"/>
      <c r="CPP37" s="71"/>
      <c r="CPQ37" s="71"/>
      <c r="CPR37" s="71"/>
      <c r="CPS37" s="71"/>
      <c r="CPT37" s="71"/>
      <c r="CPU37" s="71"/>
      <c r="CPV37" s="71"/>
      <c r="CPW37" s="71"/>
      <c r="CPX37" s="71"/>
      <c r="CPY37" s="71"/>
      <c r="CPZ37" s="71"/>
      <c r="CQA37" s="71"/>
      <c r="CQB37" s="71"/>
      <c r="CQC37" s="71"/>
      <c r="CQD37" s="71"/>
      <c r="CQE37" s="71"/>
      <c r="CQF37" s="71"/>
      <c r="CQG37" s="71"/>
      <c r="CQH37" s="71"/>
      <c r="CQI37" s="71"/>
      <c r="CQJ37" s="71"/>
      <c r="CQK37" s="71"/>
      <c r="CQL37" s="71"/>
      <c r="CQM37" s="71"/>
      <c r="CQN37" s="71"/>
      <c r="CQO37" s="71"/>
      <c r="CQP37" s="71"/>
      <c r="CQQ37" s="71"/>
      <c r="CQR37" s="71"/>
      <c r="CQS37" s="71"/>
      <c r="CQT37" s="71"/>
      <c r="CQU37" s="71"/>
      <c r="CQV37" s="71"/>
      <c r="CQW37" s="71"/>
      <c r="CQX37" s="71"/>
      <c r="CQY37" s="71"/>
      <c r="CQZ37" s="71"/>
      <c r="CRA37" s="71"/>
      <c r="CRB37" s="71"/>
      <c r="CRC37" s="71"/>
      <c r="CRD37" s="71"/>
      <c r="CRE37" s="71"/>
      <c r="CRF37" s="71"/>
      <c r="CRG37" s="71"/>
      <c r="CRH37" s="71"/>
      <c r="CRI37" s="71"/>
      <c r="CRJ37" s="71"/>
      <c r="CRK37" s="71"/>
      <c r="CRL37" s="71"/>
      <c r="CRM37" s="71"/>
      <c r="CRN37" s="71"/>
      <c r="CRO37" s="71"/>
      <c r="CRP37" s="71"/>
      <c r="CRQ37" s="71"/>
      <c r="CRR37" s="71"/>
      <c r="CRS37" s="71"/>
      <c r="CRT37" s="71"/>
      <c r="CRU37" s="71"/>
      <c r="CRV37" s="71"/>
      <c r="CRW37" s="71"/>
      <c r="CRX37" s="71"/>
      <c r="CRY37" s="71"/>
      <c r="CRZ37" s="71"/>
      <c r="CSA37" s="71"/>
      <c r="CSB37" s="71"/>
      <c r="CSC37" s="71"/>
      <c r="CSD37" s="71"/>
      <c r="CSE37" s="71"/>
      <c r="CSF37" s="71"/>
      <c r="CSG37" s="71"/>
      <c r="CSH37" s="71"/>
      <c r="CSI37" s="71"/>
      <c r="CSJ37" s="71"/>
      <c r="CSK37" s="71"/>
      <c r="CSL37" s="71"/>
      <c r="CSM37" s="71"/>
      <c r="CSN37" s="71"/>
      <c r="CSO37" s="71"/>
      <c r="CSP37" s="71"/>
      <c r="CSQ37" s="71"/>
      <c r="CSR37" s="71"/>
      <c r="CSS37" s="71"/>
      <c r="CST37" s="71"/>
      <c r="CSU37" s="71"/>
      <c r="CSV37" s="71"/>
      <c r="CSW37" s="71"/>
      <c r="CSX37" s="71"/>
      <c r="CSY37" s="71"/>
      <c r="CSZ37" s="71"/>
      <c r="CTA37" s="71"/>
      <c r="CTB37" s="71"/>
      <c r="CTC37" s="71"/>
      <c r="CTD37" s="71"/>
      <c r="CTE37" s="71"/>
      <c r="CTF37" s="71"/>
      <c r="CTG37" s="71"/>
      <c r="CTH37" s="71"/>
      <c r="CTI37" s="71"/>
      <c r="CTJ37" s="71"/>
      <c r="CTK37" s="71"/>
      <c r="CTL37" s="71"/>
      <c r="CTM37" s="71"/>
      <c r="CTN37" s="71"/>
      <c r="CTO37" s="71"/>
      <c r="CTP37" s="71"/>
      <c r="CTQ37" s="71"/>
      <c r="CTR37" s="71"/>
      <c r="CTS37" s="71"/>
      <c r="CTT37" s="71"/>
      <c r="CTU37" s="71"/>
      <c r="CTV37" s="71"/>
      <c r="CTW37" s="71"/>
      <c r="CTX37" s="71"/>
      <c r="CTY37" s="71"/>
      <c r="CTZ37" s="71"/>
      <c r="CUA37" s="71"/>
      <c r="CUB37" s="71"/>
      <c r="CUC37" s="71"/>
      <c r="CUD37" s="71"/>
      <c r="CUE37" s="71"/>
      <c r="CUF37" s="71"/>
      <c r="CUG37" s="71"/>
      <c r="CUH37" s="71"/>
      <c r="CUI37" s="71"/>
      <c r="CUJ37" s="71"/>
      <c r="CUK37" s="71"/>
      <c r="CUL37" s="71"/>
      <c r="CUM37" s="71"/>
      <c r="CUN37" s="71"/>
      <c r="CUO37" s="71"/>
      <c r="CUP37" s="71"/>
      <c r="CUQ37" s="71"/>
      <c r="CUR37" s="71"/>
      <c r="CUS37" s="71"/>
      <c r="CUT37" s="71"/>
      <c r="CUU37" s="71"/>
      <c r="CUV37" s="71"/>
      <c r="CUW37" s="71"/>
      <c r="CUX37" s="71"/>
      <c r="CUY37" s="71"/>
      <c r="CUZ37" s="71"/>
      <c r="CVA37" s="71"/>
      <c r="CVB37" s="71"/>
      <c r="CVC37" s="71"/>
      <c r="CVD37" s="71"/>
      <c r="CVE37" s="71"/>
      <c r="CVF37" s="71"/>
      <c r="CVG37" s="71"/>
      <c r="CVH37" s="71"/>
      <c r="CVI37" s="71"/>
      <c r="CVJ37" s="71"/>
      <c r="CVK37" s="71"/>
      <c r="CVL37" s="71"/>
      <c r="CVM37" s="71"/>
      <c r="CVN37" s="71"/>
      <c r="CVO37" s="71"/>
      <c r="CVP37" s="71"/>
      <c r="CVQ37" s="71"/>
      <c r="CVR37" s="71"/>
      <c r="CVS37" s="71"/>
      <c r="CVT37" s="71"/>
      <c r="CVU37" s="71"/>
      <c r="CVV37" s="71"/>
      <c r="CVW37" s="71"/>
      <c r="CVX37" s="71"/>
      <c r="CVY37" s="71"/>
      <c r="CVZ37" s="71"/>
      <c r="CWA37" s="71"/>
      <c r="CWB37" s="71"/>
      <c r="CWC37" s="71"/>
      <c r="CWD37" s="71"/>
      <c r="CWE37" s="71"/>
      <c r="CWF37" s="71"/>
      <c r="CWG37" s="71"/>
      <c r="CWH37" s="71"/>
      <c r="CWI37" s="71"/>
      <c r="CWJ37" s="71"/>
      <c r="CWK37" s="71"/>
      <c r="CWL37" s="71"/>
      <c r="CWM37" s="71"/>
      <c r="CWN37" s="71"/>
      <c r="CWO37" s="71"/>
      <c r="CWP37" s="71"/>
      <c r="CWQ37" s="71"/>
      <c r="CWR37" s="71"/>
      <c r="CWS37" s="71"/>
      <c r="CWT37" s="71"/>
      <c r="CWU37" s="71"/>
      <c r="CWV37" s="71"/>
      <c r="CWW37" s="71"/>
      <c r="CWX37" s="71"/>
      <c r="CWY37" s="71"/>
      <c r="CWZ37" s="71"/>
      <c r="CXA37" s="71"/>
      <c r="CXB37" s="71"/>
      <c r="CXC37" s="71"/>
      <c r="CXD37" s="71"/>
      <c r="CXE37" s="71"/>
      <c r="CXF37" s="71"/>
      <c r="CXG37" s="71"/>
      <c r="CXH37" s="71"/>
      <c r="CXI37" s="71"/>
      <c r="CXJ37" s="71"/>
      <c r="CXK37" s="71"/>
      <c r="CXL37" s="71"/>
      <c r="CXM37" s="71"/>
      <c r="CXN37" s="71"/>
      <c r="CXO37" s="71"/>
      <c r="CXP37" s="71"/>
      <c r="CXQ37" s="71"/>
      <c r="CXR37" s="71"/>
      <c r="CXS37" s="71"/>
      <c r="CXT37" s="71"/>
      <c r="CXU37" s="71"/>
      <c r="CXV37" s="71"/>
      <c r="CXW37" s="71"/>
      <c r="CXX37" s="71"/>
      <c r="CXY37" s="71"/>
      <c r="CXZ37" s="71"/>
      <c r="CYA37" s="71"/>
      <c r="CYB37" s="71"/>
      <c r="CYC37" s="71"/>
      <c r="CYD37" s="71"/>
      <c r="CYE37" s="71"/>
      <c r="CYF37" s="71"/>
      <c r="CYG37" s="71"/>
      <c r="CYH37" s="71"/>
      <c r="CYI37" s="71"/>
      <c r="CYJ37" s="71"/>
      <c r="CYK37" s="71"/>
      <c r="CYL37" s="71"/>
      <c r="CYM37" s="71"/>
      <c r="CYN37" s="71"/>
      <c r="CYO37" s="71"/>
      <c r="CYP37" s="71"/>
      <c r="CYQ37" s="71"/>
      <c r="CYR37" s="71"/>
      <c r="CYS37" s="71"/>
      <c r="CYT37" s="71"/>
      <c r="CYU37" s="71"/>
      <c r="CYV37" s="71"/>
      <c r="CYW37" s="71"/>
      <c r="CYX37" s="71"/>
      <c r="CYY37" s="71"/>
      <c r="CYZ37" s="71"/>
      <c r="CZA37" s="71"/>
      <c r="CZB37" s="71"/>
      <c r="CZC37" s="71"/>
      <c r="CZD37" s="71"/>
      <c r="CZE37" s="71"/>
      <c r="CZF37" s="71"/>
      <c r="CZG37" s="71"/>
      <c r="CZH37" s="71"/>
      <c r="CZI37" s="71"/>
      <c r="CZJ37" s="71"/>
      <c r="CZK37" s="71"/>
      <c r="CZL37" s="71"/>
      <c r="CZM37" s="71"/>
      <c r="CZN37" s="71"/>
      <c r="CZO37" s="71"/>
      <c r="CZP37" s="71"/>
      <c r="CZQ37" s="71"/>
      <c r="CZR37" s="71"/>
      <c r="CZS37" s="71"/>
      <c r="CZT37" s="71"/>
      <c r="CZU37" s="71"/>
      <c r="CZV37" s="71"/>
      <c r="CZW37" s="71"/>
      <c r="CZX37" s="71"/>
      <c r="CZY37" s="71"/>
      <c r="CZZ37" s="71"/>
      <c r="DAA37" s="71"/>
      <c r="DAB37" s="71"/>
      <c r="DAC37" s="71"/>
      <c r="DAD37" s="71"/>
      <c r="DAE37" s="71"/>
      <c r="DAF37" s="71"/>
      <c r="DAG37" s="71"/>
      <c r="DAH37" s="71"/>
      <c r="DAI37" s="71"/>
      <c r="DAJ37" s="71"/>
      <c r="DAK37" s="71"/>
      <c r="DAL37" s="71"/>
      <c r="DAM37" s="71"/>
      <c r="DAN37" s="71"/>
      <c r="DAO37" s="71"/>
      <c r="DAP37" s="71"/>
      <c r="DAQ37" s="71"/>
      <c r="DAR37" s="71"/>
      <c r="DAS37" s="71"/>
      <c r="DAT37" s="71"/>
      <c r="DAU37" s="71"/>
      <c r="DAV37" s="71"/>
      <c r="DAW37" s="71"/>
      <c r="DAX37" s="71"/>
      <c r="DAY37" s="71"/>
      <c r="DAZ37" s="71"/>
      <c r="DBA37" s="71"/>
      <c r="DBB37" s="71"/>
      <c r="DBC37" s="71"/>
      <c r="DBD37" s="71"/>
      <c r="DBE37" s="71"/>
      <c r="DBF37" s="71"/>
      <c r="DBG37" s="71"/>
      <c r="DBH37" s="71"/>
      <c r="DBI37" s="71"/>
      <c r="DBJ37" s="71"/>
      <c r="DBK37" s="71"/>
      <c r="DBL37" s="71"/>
      <c r="DBM37" s="71"/>
      <c r="DBN37" s="71"/>
      <c r="DBO37" s="71"/>
      <c r="DBP37" s="71"/>
      <c r="DBQ37" s="71"/>
      <c r="DBR37" s="71"/>
      <c r="DBS37" s="71"/>
      <c r="DBT37" s="71"/>
      <c r="DBU37" s="71"/>
      <c r="DBV37" s="71"/>
      <c r="DBW37" s="71"/>
      <c r="DBX37" s="71"/>
      <c r="DBY37" s="71"/>
      <c r="DBZ37" s="71"/>
      <c r="DCA37" s="71"/>
      <c r="DCB37" s="71"/>
      <c r="DCC37" s="71"/>
      <c r="DCD37" s="71"/>
      <c r="DCE37" s="71"/>
      <c r="DCF37" s="71"/>
      <c r="DCG37" s="71"/>
      <c r="DCH37" s="71"/>
      <c r="DCI37" s="71"/>
      <c r="DCJ37" s="71"/>
      <c r="DCK37" s="71"/>
      <c r="DCL37" s="71"/>
      <c r="DCM37" s="71"/>
      <c r="DCN37" s="71"/>
      <c r="DCO37" s="71"/>
      <c r="DCP37" s="71"/>
      <c r="DCQ37" s="71"/>
      <c r="DCR37" s="71"/>
      <c r="DCS37" s="71"/>
      <c r="DCT37" s="71"/>
      <c r="DCU37" s="71"/>
      <c r="DCV37" s="71"/>
      <c r="DCW37" s="71"/>
      <c r="DCX37" s="71"/>
      <c r="DCY37" s="71"/>
      <c r="DCZ37" s="71"/>
      <c r="DDA37" s="71"/>
      <c r="DDB37" s="71"/>
      <c r="DDC37" s="71"/>
      <c r="DDD37" s="71"/>
      <c r="DDE37" s="71"/>
      <c r="DDF37" s="71"/>
      <c r="DDG37" s="71"/>
      <c r="DDH37" s="71"/>
      <c r="DDI37" s="71"/>
      <c r="DDJ37" s="71"/>
      <c r="DDK37" s="71"/>
      <c r="DDL37" s="71"/>
      <c r="DDM37" s="71"/>
      <c r="DDN37" s="71"/>
      <c r="DDO37" s="71"/>
      <c r="DDP37" s="71"/>
      <c r="DDQ37" s="71"/>
      <c r="DDR37" s="71"/>
      <c r="DDS37" s="71"/>
      <c r="DDT37" s="71"/>
      <c r="DDU37" s="71"/>
      <c r="DDV37" s="71"/>
      <c r="DDW37" s="71"/>
      <c r="DDX37" s="71"/>
      <c r="DDY37" s="71"/>
      <c r="DDZ37" s="71"/>
      <c r="DEA37" s="71"/>
      <c r="DEB37" s="71"/>
      <c r="DEC37" s="71"/>
      <c r="DED37" s="71"/>
      <c r="DEE37" s="71"/>
      <c r="DEF37" s="71"/>
      <c r="DEG37" s="71"/>
      <c r="DEH37" s="71"/>
      <c r="DEI37" s="71"/>
      <c r="DEJ37" s="71"/>
      <c r="DEK37" s="71"/>
      <c r="DEL37" s="71"/>
      <c r="DEM37" s="71"/>
      <c r="DEN37" s="71"/>
      <c r="DEO37" s="71"/>
      <c r="DEP37" s="71"/>
      <c r="DEQ37" s="71"/>
      <c r="DER37" s="71"/>
      <c r="DES37" s="71"/>
      <c r="DET37" s="71"/>
      <c r="DEU37" s="71"/>
      <c r="DEV37" s="71"/>
      <c r="DEW37" s="71"/>
      <c r="DEX37" s="71"/>
      <c r="DEY37" s="71"/>
      <c r="DEZ37" s="71"/>
      <c r="DFA37" s="71"/>
      <c r="DFB37" s="71"/>
      <c r="DFC37" s="71"/>
      <c r="DFD37" s="71"/>
      <c r="DFE37" s="71"/>
      <c r="DFF37" s="71"/>
      <c r="DFG37" s="71"/>
      <c r="DFH37" s="71"/>
      <c r="DFI37" s="71"/>
      <c r="DFJ37" s="71"/>
      <c r="DFK37" s="71"/>
      <c r="DFL37" s="71"/>
      <c r="DFM37" s="71"/>
      <c r="DFN37" s="71"/>
      <c r="DFO37" s="71"/>
      <c r="DFP37" s="71"/>
      <c r="DFQ37" s="71"/>
      <c r="DFR37" s="71"/>
      <c r="DFS37" s="71"/>
      <c r="DFT37" s="71"/>
      <c r="DFU37" s="71"/>
      <c r="DFV37" s="71"/>
      <c r="DFW37" s="71"/>
      <c r="DFX37" s="71"/>
      <c r="DFY37" s="71"/>
      <c r="DFZ37" s="71"/>
      <c r="DGA37" s="71"/>
      <c r="DGB37" s="71"/>
      <c r="DGC37" s="71"/>
      <c r="DGD37" s="71"/>
      <c r="DGE37" s="71"/>
      <c r="DGF37" s="71"/>
      <c r="DGG37" s="71"/>
      <c r="DGH37" s="71"/>
      <c r="DGI37" s="71"/>
      <c r="DGJ37" s="71"/>
      <c r="DGK37" s="71"/>
      <c r="DGL37" s="71"/>
      <c r="DGM37" s="71"/>
      <c r="DGN37" s="71"/>
      <c r="DGO37" s="71"/>
      <c r="DGP37" s="71"/>
      <c r="DGQ37" s="71"/>
      <c r="DGR37" s="71"/>
      <c r="DGS37" s="71"/>
      <c r="DGT37" s="71"/>
      <c r="DGU37" s="71"/>
      <c r="DGV37" s="71"/>
      <c r="DGW37" s="71"/>
      <c r="DGX37" s="71"/>
      <c r="DGY37" s="71"/>
      <c r="DGZ37" s="71"/>
      <c r="DHA37" s="71"/>
      <c r="DHB37" s="71"/>
      <c r="DHC37" s="71"/>
      <c r="DHD37" s="71"/>
      <c r="DHE37" s="71"/>
      <c r="DHF37" s="71"/>
      <c r="DHG37" s="71"/>
      <c r="DHH37" s="71"/>
      <c r="DHI37" s="71"/>
      <c r="DHJ37" s="71"/>
      <c r="DHK37" s="71"/>
      <c r="DHL37" s="71"/>
      <c r="DHM37" s="71"/>
      <c r="DHN37" s="71"/>
      <c r="DHO37" s="71"/>
      <c r="DHP37" s="71"/>
      <c r="DHQ37" s="71"/>
      <c r="DHR37" s="71"/>
      <c r="DHS37" s="71"/>
      <c r="DHT37" s="71"/>
      <c r="DHU37" s="71"/>
      <c r="DHV37" s="71"/>
      <c r="DHW37" s="71"/>
      <c r="DHX37" s="71"/>
      <c r="DHY37" s="71"/>
      <c r="DHZ37" s="71"/>
      <c r="DIA37" s="71"/>
      <c r="DIB37" s="71"/>
      <c r="DIC37" s="71"/>
      <c r="DID37" s="71"/>
      <c r="DIE37" s="71"/>
      <c r="DIF37" s="71"/>
      <c r="DIG37" s="71"/>
      <c r="DIH37" s="71"/>
      <c r="DII37" s="71"/>
      <c r="DIJ37" s="71"/>
      <c r="DIK37" s="71"/>
      <c r="DIL37" s="71"/>
      <c r="DIM37" s="71"/>
      <c r="DIN37" s="71"/>
      <c r="DIO37" s="71"/>
      <c r="DIP37" s="71"/>
      <c r="DIQ37" s="71"/>
      <c r="DIR37" s="71"/>
      <c r="DIS37" s="71"/>
      <c r="DIT37" s="71"/>
      <c r="DIU37" s="71"/>
      <c r="DIV37" s="71"/>
      <c r="DIW37" s="71"/>
      <c r="DIX37" s="71"/>
      <c r="DIY37" s="71"/>
      <c r="DIZ37" s="71"/>
      <c r="DJA37" s="71"/>
      <c r="DJB37" s="71"/>
      <c r="DJC37" s="71"/>
      <c r="DJD37" s="71"/>
      <c r="DJE37" s="71"/>
      <c r="DJF37" s="71"/>
      <c r="DJG37" s="71"/>
      <c r="DJH37" s="71"/>
      <c r="DJI37" s="71"/>
      <c r="DJJ37" s="71"/>
      <c r="DJK37" s="71"/>
      <c r="DJL37" s="71"/>
      <c r="DJM37" s="71"/>
      <c r="DJN37" s="71"/>
      <c r="DJO37" s="71"/>
      <c r="DJP37" s="71"/>
      <c r="DJQ37" s="71"/>
      <c r="DJR37" s="71"/>
      <c r="DJS37" s="71"/>
      <c r="DJT37" s="71"/>
      <c r="DJU37" s="71"/>
      <c r="DJV37" s="71"/>
      <c r="DJW37" s="71"/>
      <c r="DJX37" s="71"/>
      <c r="DJY37" s="71"/>
      <c r="DJZ37" s="71"/>
      <c r="DKA37" s="71"/>
      <c r="DKB37" s="71"/>
      <c r="DKC37" s="71"/>
      <c r="DKD37" s="71"/>
      <c r="DKE37" s="71"/>
      <c r="DKF37" s="71"/>
      <c r="DKG37" s="71"/>
      <c r="DKH37" s="71"/>
      <c r="DKI37" s="71"/>
      <c r="DKJ37" s="71"/>
      <c r="DKK37" s="71"/>
      <c r="DKL37" s="71"/>
      <c r="DKM37" s="71"/>
      <c r="DKN37" s="71"/>
      <c r="DKO37" s="71"/>
      <c r="DKP37" s="71"/>
      <c r="DKQ37" s="71"/>
      <c r="DKR37" s="71"/>
      <c r="DKS37" s="71"/>
      <c r="DKT37" s="71"/>
      <c r="DKU37" s="71"/>
      <c r="DKV37" s="71"/>
      <c r="DKW37" s="71"/>
      <c r="DKX37" s="71"/>
      <c r="DKY37" s="71"/>
      <c r="DKZ37" s="71"/>
      <c r="DLA37" s="71"/>
      <c r="DLB37" s="71"/>
      <c r="DLC37" s="71"/>
      <c r="DLD37" s="71"/>
      <c r="DLE37" s="71"/>
      <c r="DLF37" s="71"/>
      <c r="DLG37" s="71"/>
      <c r="DLH37" s="71"/>
      <c r="DLI37" s="71"/>
      <c r="DLJ37" s="71"/>
      <c r="DLK37" s="71"/>
      <c r="DLL37" s="71"/>
      <c r="DLM37" s="71"/>
      <c r="DLN37" s="71"/>
      <c r="DLO37" s="71"/>
      <c r="DLP37" s="71"/>
      <c r="DLQ37" s="71"/>
      <c r="DLR37" s="71"/>
      <c r="DLS37" s="71"/>
      <c r="DLT37" s="71"/>
      <c r="DLU37" s="71"/>
      <c r="DLV37" s="71"/>
      <c r="DLW37" s="71"/>
      <c r="DLX37" s="71"/>
      <c r="DLY37" s="71"/>
      <c r="DLZ37" s="71"/>
      <c r="DMA37" s="71"/>
      <c r="DMB37" s="71"/>
      <c r="DMC37" s="71"/>
      <c r="DMD37" s="71"/>
      <c r="DME37" s="71"/>
      <c r="DMF37" s="71"/>
      <c r="DMG37" s="71"/>
      <c r="DMH37" s="71"/>
      <c r="DMI37" s="71"/>
      <c r="DMJ37" s="71"/>
      <c r="DMK37" s="71"/>
      <c r="DML37" s="71"/>
      <c r="DMM37" s="71"/>
      <c r="DMN37" s="71"/>
      <c r="DMO37" s="71"/>
      <c r="DMP37" s="71"/>
      <c r="DMQ37" s="71"/>
      <c r="DMR37" s="71"/>
      <c r="DMS37" s="71"/>
      <c r="DMT37" s="71"/>
      <c r="DMU37" s="71"/>
      <c r="DMV37" s="71"/>
      <c r="DMW37" s="71"/>
      <c r="DMX37" s="71"/>
      <c r="DMY37" s="71"/>
      <c r="DMZ37" s="71"/>
      <c r="DNA37" s="71"/>
      <c r="DNB37" s="71"/>
      <c r="DNC37" s="71"/>
      <c r="DND37" s="71"/>
      <c r="DNE37" s="71"/>
      <c r="DNF37" s="71"/>
      <c r="DNG37" s="71"/>
      <c r="DNH37" s="71"/>
      <c r="DNI37" s="71"/>
      <c r="DNJ37" s="71"/>
      <c r="DNK37" s="71"/>
      <c r="DNL37" s="71"/>
      <c r="DNM37" s="71"/>
      <c r="DNN37" s="71"/>
      <c r="DNO37" s="71"/>
      <c r="DNP37" s="71"/>
      <c r="DNQ37" s="71"/>
      <c r="DNR37" s="71"/>
      <c r="DNS37" s="71"/>
      <c r="DNT37" s="71"/>
      <c r="DNU37" s="71"/>
      <c r="DNV37" s="71"/>
      <c r="DNW37" s="71"/>
      <c r="DNX37" s="71"/>
      <c r="DNY37" s="71"/>
      <c r="DNZ37" s="71"/>
      <c r="DOA37" s="71"/>
      <c r="DOB37" s="71"/>
      <c r="DOC37" s="71"/>
      <c r="DOD37" s="71"/>
      <c r="DOE37" s="71"/>
      <c r="DOF37" s="71"/>
      <c r="DOG37" s="71"/>
      <c r="DOH37" s="71"/>
      <c r="DOI37" s="71"/>
      <c r="DOJ37" s="71"/>
      <c r="DOK37" s="71"/>
      <c r="DOL37" s="71"/>
      <c r="DOM37" s="71"/>
      <c r="DON37" s="71"/>
      <c r="DOO37" s="71"/>
      <c r="DOP37" s="71"/>
      <c r="DOQ37" s="71"/>
      <c r="DOR37" s="71"/>
      <c r="DOS37" s="71"/>
      <c r="DOT37" s="71"/>
      <c r="DOU37" s="71"/>
      <c r="DOV37" s="71"/>
      <c r="DOW37" s="71"/>
      <c r="DOX37" s="71"/>
      <c r="DOY37" s="71"/>
      <c r="DOZ37" s="71"/>
      <c r="DPA37" s="71"/>
      <c r="DPB37" s="71"/>
      <c r="DPC37" s="71"/>
      <c r="DPD37" s="71"/>
      <c r="DPE37" s="71"/>
      <c r="DPF37" s="71"/>
      <c r="DPG37" s="71"/>
      <c r="DPH37" s="71"/>
      <c r="DPI37" s="71"/>
      <c r="DPJ37" s="71"/>
      <c r="DPK37" s="71"/>
      <c r="DPL37" s="71"/>
      <c r="DPM37" s="71"/>
      <c r="DPN37" s="71"/>
      <c r="DPO37" s="71"/>
      <c r="DPP37" s="71"/>
      <c r="DPQ37" s="71"/>
      <c r="DPR37" s="71"/>
      <c r="DPS37" s="71"/>
      <c r="DPT37" s="71"/>
      <c r="DPU37" s="71"/>
      <c r="DPV37" s="71"/>
      <c r="DPW37" s="71"/>
      <c r="DPX37" s="71"/>
      <c r="DPY37" s="71"/>
      <c r="DPZ37" s="71"/>
      <c r="DQA37" s="71"/>
      <c r="DQB37" s="71"/>
      <c r="DQC37" s="71"/>
      <c r="DQD37" s="71"/>
      <c r="DQE37" s="71"/>
      <c r="DQF37" s="71"/>
      <c r="DQG37" s="71"/>
      <c r="DQH37" s="71"/>
      <c r="DQI37" s="71"/>
      <c r="DQJ37" s="71"/>
      <c r="DQK37" s="71"/>
      <c r="DQL37" s="71"/>
      <c r="DQM37" s="71"/>
      <c r="DQN37" s="71"/>
      <c r="DQO37" s="71"/>
      <c r="DQP37" s="71"/>
      <c r="DQQ37" s="71"/>
      <c r="DQR37" s="71"/>
      <c r="DQS37" s="71"/>
      <c r="DQT37" s="71"/>
      <c r="DQU37" s="71"/>
      <c r="DQV37" s="71"/>
      <c r="DQW37" s="71"/>
      <c r="DQX37" s="71"/>
      <c r="DQY37" s="71"/>
      <c r="DQZ37" s="71"/>
      <c r="DRA37" s="71"/>
      <c r="DRB37" s="71"/>
      <c r="DRC37" s="71"/>
      <c r="DRD37" s="71"/>
      <c r="DRE37" s="71"/>
      <c r="DRF37" s="71"/>
      <c r="DRG37" s="71"/>
      <c r="DRH37" s="71"/>
      <c r="DRI37" s="71"/>
      <c r="DRJ37" s="71"/>
      <c r="DRK37" s="71"/>
      <c r="DRL37" s="71"/>
      <c r="DRM37" s="71"/>
      <c r="DRN37" s="71"/>
      <c r="DRO37" s="71"/>
      <c r="DRP37" s="71"/>
      <c r="DRQ37" s="71"/>
      <c r="DRR37" s="71"/>
      <c r="DRS37" s="71"/>
      <c r="DRT37" s="71"/>
      <c r="DRU37" s="71"/>
      <c r="DRV37" s="71"/>
      <c r="DRW37" s="71"/>
      <c r="DRX37" s="71"/>
      <c r="DRY37" s="71"/>
      <c r="DRZ37" s="71"/>
      <c r="DSA37" s="71"/>
      <c r="DSB37" s="71"/>
      <c r="DSC37" s="71"/>
      <c r="DSD37" s="71"/>
      <c r="DSE37" s="71"/>
      <c r="DSF37" s="71"/>
      <c r="DSG37" s="71"/>
      <c r="DSH37" s="71"/>
      <c r="DSI37" s="71"/>
      <c r="DSJ37" s="71"/>
      <c r="DSK37" s="71"/>
      <c r="DSL37" s="71"/>
      <c r="DSM37" s="71"/>
      <c r="DSN37" s="71"/>
      <c r="DSO37" s="71"/>
      <c r="DSP37" s="71"/>
      <c r="DSQ37" s="71"/>
      <c r="DSR37" s="71"/>
      <c r="DSS37" s="71"/>
      <c r="DST37" s="71"/>
      <c r="DSU37" s="71"/>
      <c r="DSV37" s="71"/>
      <c r="DSW37" s="71"/>
      <c r="DSX37" s="71"/>
      <c r="DSY37" s="71"/>
      <c r="DSZ37" s="71"/>
      <c r="DTA37" s="71"/>
      <c r="DTB37" s="71"/>
      <c r="DTC37" s="71"/>
      <c r="DTD37" s="71"/>
      <c r="DTE37" s="71"/>
      <c r="DTF37" s="71"/>
      <c r="DTG37" s="71"/>
      <c r="DTH37" s="71"/>
      <c r="DTI37" s="71"/>
      <c r="DTJ37" s="71"/>
      <c r="DTK37" s="71"/>
      <c r="DTL37" s="71"/>
      <c r="DTM37" s="71"/>
      <c r="DTN37" s="71"/>
      <c r="DTO37" s="71"/>
      <c r="DTP37" s="71"/>
      <c r="DTQ37" s="71"/>
      <c r="DTR37" s="71"/>
      <c r="DTS37" s="71"/>
      <c r="DTT37" s="71"/>
      <c r="DTU37" s="71"/>
      <c r="DTV37" s="71"/>
      <c r="DTW37" s="71"/>
      <c r="DTX37" s="71"/>
      <c r="DTY37" s="71"/>
      <c r="DTZ37" s="71"/>
      <c r="DUA37" s="71"/>
      <c r="DUB37" s="71"/>
      <c r="DUC37" s="71"/>
      <c r="DUD37" s="71"/>
      <c r="DUE37" s="71"/>
      <c r="DUF37" s="71"/>
      <c r="DUG37" s="71"/>
      <c r="DUH37" s="71"/>
      <c r="DUI37" s="71"/>
      <c r="DUJ37" s="71"/>
      <c r="DUK37" s="71"/>
      <c r="DUL37" s="71"/>
      <c r="DUM37" s="71"/>
      <c r="DUN37" s="71"/>
      <c r="DUO37" s="71"/>
      <c r="DUP37" s="71"/>
      <c r="DUQ37" s="71"/>
      <c r="DUR37" s="71"/>
      <c r="DUS37" s="71"/>
      <c r="DUT37" s="71"/>
      <c r="DUU37" s="71"/>
      <c r="DUV37" s="71"/>
      <c r="DUW37" s="71"/>
      <c r="DUX37" s="71"/>
      <c r="DUY37" s="71"/>
      <c r="DUZ37" s="71"/>
      <c r="DVA37" s="71"/>
      <c r="DVB37" s="71"/>
      <c r="DVC37" s="71"/>
      <c r="DVD37" s="71"/>
      <c r="DVE37" s="71"/>
      <c r="DVF37" s="71"/>
      <c r="DVG37" s="71"/>
      <c r="DVH37" s="71"/>
      <c r="DVI37" s="71"/>
      <c r="DVJ37" s="71"/>
      <c r="DVK37" s="71"/>
      <c r="DVL37" s="71"/>
      <c r="DVM37" s="71"/>
      <c r="DVN37" s="71"/>
      <c r="DVO37" s="71"/>
      <c r="DVP37" s="71"/>
      <c r="DVQ37" s="71"/>
      <c r="DVR37" s="71"/>
      <c r="DVS37" s="71"/>
      <c r="DVT37" s="71"/>
      <c r="DVU37" s="71"/>
      <c r="DVV37" s="71"/>
      <c r="DVW37" s="71"/>
      <c r="DVX37" s="71"/>
      <c r="DVY37" s="71"/>
      <c r="DVZ37" s="71"/>
      <c r="DWA37" s="71"/>
      <c r="DWB37" s="71"/>
      <c r="DWC37" s="71"/>
      <c r="DWD37" s="71"/>
      <c r="DWE37" s="71"/>
      <c r="DWF37" s="71"/>
      <c r="DWG37" s="71"/>
      <c r="DWH37" s="71"/>
      <c r="DWI37" s="71"/>
      <c r="DWJ37" s="71"/>
      <c r="DWK37" s="71"/>
      <c r="DWL37" s="71"/>
      <c r="DWM37" s="71"/>
      <c r="DWN37" s="71"/>
      <c r="DWO37" s="71"/>
      <c r="DWP37" s="71"/>
      <c r="DWQ37" s="71"/>
      <c r="DWR37" s="71"/>
      <c r="DWS37" s="71"/>
      <c r="DWT37" s="71"/>
      <c r="DWU37" s="71"/>
      <c r="DWV37" s="71"/>
      <c r="DWW37" s="71"/>
      <c r="DWX37" s="71"/>
      <c r="DWY37" s="71"/>
      <c r="DWZ37" s="71"/>
      <c r="DXA37" s="71"/>
      <c r="DXB37" s="71"/>
      <c r="DXC37" s="71"/>
      <c r="DXD37" s="71"/>
      <c r="DXE37" s="71"/>
      <c r="DXF37" s="71"/>
      <c r="DXG37" s="71"/>
      <c r="DXH37" s="71"/>
      <c r="DXI37" s="71"/>
      <c r="DXJ37" s="71"/>
      <c r="DXK37" s="71"/>
      <c r="DXL37" s="71"/>
      <c r="DXM37" s="71"/>
      <c r="DXN37" s="71"/>
      <c r="DXO37" s="71"/>
      <c r="DXP37" s="71"/>
      <c r="DXQ37" s="71"/>
      <c r="DXR37" s="71"/>
      <c r="DXS37" s="71"/>
      <c r="DXT37" s="71"/>
      <c r="DXU37" s="71"/>
      <c r="DXV37" s="71"/>
      <c r="DXW37" s="71"/>
      <c r="DXX37" s="71"/>
      <c r="DXY37" s="71"/>
      <c r="DXZ37" s="71"/>
      <c r="DYA37" s="71"/>
      <c r="DYB37" s="71"/>
      <c r="DYC37" s="71"/>
      <c r="DYD37" s="71"/>
      <c r="DYE37" s="71"/>
      <c r="DYF37" s="71"/>
      <c r="DYG37" s="71"/>
      <c r="DYH37" s="71"/>
      <c r="DYI37" s="71"/>
      <c r="DYJ37" s="71"/>
      <c r="DYK37" s="71"/>
      <c r="DYL37" s="71"/>
      <c r="DYM37" s="71"/>
      <c r="DYN37" s="71"/>
      <c r="DYO37" s="71"/>
      <c r="DYP37" s="71"/>
      <c r="DYQ37" s="71"/>
      <c r="DYR37" s="71"/>
      <c r="DYS37" s="71"/>
      <c r="DYT37" s="71"/>
      <c r="DYU37" s="71"/>
      <c r="DYV37" s="71"/>
      <c r="DYW37" s="71"/>
      <c r="DYX37" s="71"/>
      <c r="DYY37" s="71"/>
      <c r="DYZ37" s="71"/>
      <c r="DZA37" s="71"/>
      <c r="DZB37" s="71"/>
      <c r="DZC37" s="71"/>
      <c r="DZD37" s="71"/>
      <c r="DZE37" s="71"/>
      <c r="DZF37" s="71"/>
      <c r="DZG37" s="71"/>
      <c r="DZH37" s="71"/>
      <c r="DZI37" s="71"/>
      <c r="DZJ37" s="71"/>
      <c r="DZK37" s="71"/>
      <c r="DZL37" s="71"/>
      <c r="DZM37" s="71"/>
      <c r="DZN37" s="71"/>
      <c r="DZO37" s="71"/>
      <c r="DZP37" s="71"/>
      <c r="DZQ37" s="71"/>
      <c r="DZR37" s="71"/>
      <c r="DZS37" s="71"/>
      <c r="DZT37" s="71"/>
      <c r="DZU37" s="71"/>
      <c r="DZV37" s="71"/>
      <c r="DZW37" s="71"/>
      <c r="DZX37" s="71"/>
      <c r="DZY37" s="71"/>
      <c r="DZZ37" s="71"/>
      <c r="EAA37" s="71"/>
      <c r="EAB37" s="71"/>
      <c r="EAC37" s="71"/>
      <c r="EAD37" s="71"/>
      <c r="EAE37" s="71"/>
      <c r="EAF37" s="71"/>
      <c r="EAG37" s="71"/>
      <c r="EAH37" s="71"/>
      <c r="EAI37" s="71"/>
      <c r="EAJ37" s="71"/>
      <c r="EAK37" s="71"/>
      <c r="EAL37" s="71"/>
      <c r="EAM37" s="71"/>
      <c r="EAN37" s="71"/>
      <c r="EAO37" s="71"/>
      <c r="EAP37" s="71"/>
      <c r="EAQ37" s="71"/>
      <c r="EAR37" s="71"/>
      <c r="EAS37" s="71"/>
      <c r="EAT37" s="71"/>
      <c r="EAU37" s="71"/>
      <c r="EAV37" s="71"/>
      <c r="EAW37" s="71"/>
      <c r="EAX37" s="71"/>
      <c r="EAY37" s="71"/>
      <c r="EAZ37" s="71"/>
      <c r="EBA37" s="71"/>
      <c r="EBB37" s="71"/>
      <c r="EBC37" s="71"/>
      <c r="EBD37" s="71"/>
      <c r="EBE37" s="71"/>
      <c r="EBF37" s="71"/>
      <c r="EBG37" s="71"/>
      <c r="EBH37" s="71"/>
      <c r="EBI37" s="71"/>
      <c r="EBJ37" s="71"/>
      <c r="EBK37" s="71"/>
      <c r="EBL37" s="71"/>
      <c r="EBM37" s="71"/>
      <c r="EBN37" s="71"/>
      <c r="EBO37" s="71"/>
      <c r="EBP37" s="71"/>
      <c r="EBQ37" s="71"/>
      <c r="EBR37" s="71"/>
      <c r="EBS37" s="71"/>
      <c r="EBT37" s="71"/>
      <c r="EBU37" s="71"/>
      <c r="EBV37" s="71"/>
      <c r="EBW37" s="71"/>
      <c r="EBX37" s="71"/>
      <c r="EBY37" s="71"/>
      <c r="EBZ37" s="71"/>
      <c r="ECA37" s="71"/>
      <c r="ECB37" s="71"/>
      <c r="ECC37" s="71"/>
      <c r="ECD37" s="71"/>
      <c r="ECE37" s="71"/>
      <c r="ECF37" s="71"/>
      <c r="ECG37" s="71"/>
      <c r="ECH37" s="71"/>
      <c r="ECI37" s="71"/>
      <c r="ECJ37" s="71"/>
      <c r="ECK37" s="71"/>
      <c r="ECL37" s="71"/>
      <c r="ECM37" s="71"/>
      <c r="ECN37" s="71"/>
      <c r="ECO37" s="71"/>
      <c r="ECP37" s="71"/>
      <c r="ECQ37" s="71"/>
      <c r="ECR37" s="71"/>
      <c r="ECS37" s="71"/>
      <c r="ECT37" s="71"/>
      <c r="ECU37" s="71"/>
      <c r="ECV37" s="71"/>
      <c r="ECW37" s="71"/>
      <c r="ECX37" s="71"/>
      <c r="ECY37" s="71"/>
      <c r="ECZ37" s="71"/>
      <c r="EDA37" s="71"/>
      <c r="EDB37" s="71"/>
      <c r="EDC37" s="71"/>
      <c r="EDD37" s="71"/>
      <c r="EDE37" s="71"/>
      <c r="EDF37" s="71"/>
      <c r="EDG37" s="71"/>
      <c r="EDH37" s="71"/>
      <c r="EDI37" s="71"/>
      <c r="EDJ37" s="71"/>
      <c r="EDK37" s="71"/>
      <c r="EDL37" s="71"/>
      <c r="EDM37" s="71"/>
      <c r="EDN37" s="71"/>
      <c r="EDO37" s="71"/>
      <c r="EDP37" s="71"/>
      <c r="EDQ37" s="71"/>
      <c r="EDR37" s="71"/>
      <c r="EDS37" s="71"/>
      <c r="EDT37" s="71"/>
      <c r="EDU37" s="71"/>
      <c r="EDV37" s="71"/>
      <c r="EDW37" s="71"/>
      <c r="EDX37" s="71"/>
      <c r="EDY37" s="71"/>
      <c r="EDZ37" s="71"/>
      <c r="EEA37" s="71"/>
      <c r="EEB37" s="71"/>
      <c r="EEC37" s="71"/>
      <c r="EED37" s="71"/>
      <c r="EEE37" s="71"/>
      <c r="EEF37" s="71"/>
      <c r="EEG37" s="71"/>
      <c r="EEH37" s="71"/>
      <c r="EEI37" s="71"/>
      <c r="EEJ37" s="71"/>
      <c r="EEK37" s="71"/>
      <c r="EEL37" s="71"/>
      <c r="EEM37" s="71"/>
      <c r="EEN37" s="71"/>
      <c r="EEO37" s="71"/>
      <c r="EEP37" s="71"/>
      <c r="EEQ37" s="71"/>
      <c r="EER37" s="71"/>
      <c r="EES37" s="71"/>
      <c r="EET37" s="71"/>
      <c r="EEU37" s="71"/>
      <c r="EEV37" s="71"/>
      <c r="EEW37" s="71"/>
      <c r="EEX37" s="71"/>
      <c r="EEY37" s="71"/>
      <c r="EEZ37" s="71"/>
      <c r="EFA37" s="71"/>
      <c r="EFB37" s="71"/>
      <c r="EFC37" s="71"/>
      <c r="EFD37" s="71"/>
      <c r="EFE37" s="71"/>
      <c r="EFF37" s="71"/>
      <c r="EFG37" s="71"/>
      <c r="EFH37" s="71"/>
      <c r="EFI37" s="71"/>
      <c r="EFJ37" s="71"/>
      <c r="EFK37" s="71"/>
      <c r="EFL37" s="71"/>
      <c r="EFM37" s="71"/>
      <c r="EFN37" s="71"/>
      <c r="EFO37" s="71"/>
      <c r="EFP37" s="71"/>
      <c r="EFQ37" s="71"/>
      <c r="EFR37" s="71"/>
      <c r="EFS37" s="71"/>
      <c r="EFT37" s="71"/>
      <c r="EFU37" s="71"/>
      <c r="EFV37" s="71"/>
      <c r="EFW37" s="71"/>
      <c r="EFX37" s="71"/>
      <c r="EFY37" s="71"/>
      <c r="EFZ37" s="71"/>
      <c r="EGA37" s="71"/>
      <c r="EGB37" s="71"/>
      <c r="EGC37" s="71"/>
      <c r="EGD37" s="71"/>
      <c r="EGE37" s="71"/>
      <c r="EGF37" s="71"/>
      <c r="EGG37" s="71"/>
      <c r="EGH37" s="71"/>
      <c r="EGI37" s="71"/>
      <c r="EGJ37" s="71"/>
      <c r="EGK37" s="71"/>
      <c r="EGL37" s="71"/>
      <c r="EGM37" s="71"/>
      <c r="EGN37" s="71"/>
      <c r="EGO37" s="71"/>
      <c r="EGP37" s="71"/>
      <c r="EGQ37" s="71"/>
      <c r="EGR37" s="71"/>
      <c r="EGS37" s="71"/>
      <c r="EGT37" s="71"/>
      <c r="EGU37" s="71"/>
      <c r="EGV37" s="71"/>
      <c r="EGW37" s="71"/>
      <c r="EGX37" s="71"/>
      <c r="EGY37" s="71"/>
      <c r="EGZ37" s="71"/>
      <c r="EHA37" s="71"/>
      <c r="EHB37" s="71"/>
      <c r="EHC37" s="71"/>
      <c r="EHD37" s="71"/>
      <c r="EHE37" s="71"/>
      <c r="EHF37" s="71"/>
      <c r="EHG37" s="71"/>
      <c r="EHH37" s="71"/>
      <c r="EHI37" s="71"/>
      <c r="EHJ37" s="71"/>
      <c r="EHK37" s="71"/>
      <c r="EHL37" s="71"/>
      <c r="EHM37" s="71"/>
      <c r="EHN37" s="71"/>
      <c r="EHO37" s="71"/>
      <c r="EHP37" s="71"/>
      <c r="EHQ37" s="71"/>
      <c r="EHR37" s="71"/>
      <c r="EHS37" s="71"/>
      <c r="EHT37" s="71"/>
      <c r="EHU37" s="71"/>
      <c r="EHV37" s="71"/>
      <c r="EHW37" s="71"/>
      <c r="EHX37" s="71"/>
      <c r="EHY37" s="71"/>
      <c r="EHZ37" s="71"/>
      <c r="EIA37" s="71"/>
      <c r="EIB37" s="71"/>
      <c r="EIC37" s="71"/>
      <c r="EID37" s="71"/>
      <c r="EIE37" s="71"/>
      <c r="EIF37" s="71"/>
      <c r="EIG37" s="71"/>
      <c r="EIH37" s="71"/>
      <c r="EII37" s="71"/>
      <c r="EIJ37" s="71"/>
      <c r="EIK37" s="71"/>
      <c r="EIL37" s="71"/>
      <c r="EIM37" s="71"/>
      <c r="EIN37" s="71"/>
      <c r="EIO37" s="71"/>
      <c r="EIP37" s="71"/>
      <c r="EIQ37" s="71"/>
      <c r="EIR37" s="71"/>
      <c r="EIS37" s="71"/>
      <c r="EIT37" s="71"/>
      <c r="EIU37" s="71"/>
      <c r="EIV37" s="71"/>
      <c r="EIW37" s="71"/>
      <c r="EIX37" s="71"/>
      <c r="EIY37" s="71"/>
      <c r="EIZ37" s="71"/>
      <c r="EJA37" s="71"/>
      <c r="EJB37" s="71"/>
      <c r="EJC37" s="71"/>
      <c r="EJD37" s="71"/>
      <c r="EJE37" s="71"/>
      <c r="EJF37" s="71"/>
      <c r="EJG37" s="71"/>
      <c r="EJH37" s="71"/>
      <c r="EJI37" s="71"/>
      <c r="EJJ37" s="71"/>
      <c r="EJK37" s="71"/>
      <c r="EJL37" s="71"/>
      <c r="EJM37" s="71"/>
      <c r="EJN37" s="71"/>
      <c r="EJO37" s="71"/>
      <c r="EJP37" s="71"/>
      <c r="EJQ37" s="71"/>
      <c r="EJR37" s="71"/>
      <c r="EJS37" s="71"/>
      <c r="EJT37" s="71"/>
      <c r="EJU37" s="71"/>
      <c r="EJV37" s="71"/>
      <c r="EJW37" s="71"/>
      <c r="EJX37" s="71"/>
      <c r="EJY37" s="71"/>
      <c r="EJZ37" s="71"/>
      <c r="EKA37" s="71"/>
      <c r="EKB37" s="71"/>
      <c r="EKC37" s="71"/>
      <c r="EKD37" s="71"/>
      <c r="EKE37" s="71"/>
      <c r="EKF37" s="71"/>
      <c r="EKG37" s="71"/>
      <c r="EKH37" s="71"/>
      <c r="EKI37" s="71"/>
      <c r="EKJ37" s="71"/>
      <c r="EKK37" s="71"/>
      <c r="EKL37" s="71"/>
      <c r="EKM37" s="71"/>
      <c r="EKN37" s="71"/>
      <c r="EKO37" s="71"/>
      <c r="EKP37" s="71"/>
      <c r="EKQ37" s="71"/>
      <c r="EKR37" s="71"/>
      <c r="EKS37" s="71"/>
      <c r="EKT37" s="71"/>
      <c r="EKU37" s="71"/>
      <c r="EKV37" s="71"/>
      <c r="EKW37" s="71"/>
      <c r="EKX37" s="71"/>
      <c r="EKY37" s="71"/>
      <c r="EKZ37" s="71"/>
      <c r="ELA37" s="71"/>
      <c r="ELB37" s="71"/>
      <c r="ELC37" s="71"/>
      <c r="ELD37" s="71"/>
      <c r="ELE37" s="71"/>
      <c r="ELF37" s="71"/>
      <c r="ELG37" s="71"/>
      <c r="ELH37" s="71"/>
      <c r="ELI37" s="71"/>
      <c r="ELJ37" s="71"/>
      <c r="ELK37" s="71"/>
      <c r="ELL37" s="71"/>
      <c r="ELM37" s="71"/>
      <c r="ELN37" s="71"/>
      <c r="ELO37" s="71"/>
      <c r="ELP37" s="71"/>
      <c r="ELQ37" s="71"/>
      <c r="ELR37" s="71"/>
      <c r="ELS37" s="71"/>
      <c r="ELT37" s="71"/>
      <c r="ELU37" s="71"/>
      <c r="ELV37" s="71"/>
      <c r="ELW37" s="71"/>
      <c r="ELX37" s="71"/>
      <c r="ELY37" s="71"/>
      <c r="ELZ37" s="71"/>
      <c r="EMA37" s="71"/>
      <c r="EMB37" s="71"/>
      <c r="EMC37" s="71"/>
      <c r="EMD37" s="71"/>
      <c r="EME37" s="71"/>
      <c r="EMF37" s="71"/>
      <c r="EMG37" s="71"/>
      <c r="EMH37" s="71"/>
      <c r="EMI37" s="71"/>
      <c r="EMJ37" s="71"/>
      <c r="EMK37" s="71"/>
      <c r="EML37" s="71"/>
      <c r="EMM37" s="71"/>
      <c r="EMN37" s="71"/>
      <c r="EMO37" s="71"/>
      <c r="EMP37" s="71"/>
      <c r="EMQ37" s="71"/>
      <c r="EMR37" s="71"/>
      <c r="EMS37" s="71"/>
      <c r="EMT37" s="71"/>
      <c r="EMU37" s="71"/>
      <c r="EMV37" s="71"/>
      <c r="EMW37" s="71"/>
      <c r="EMX37" s="71"/>
      <c r="EMY37" s="71"/>
      <c r="EMZ37" s="71"/>
      <c r="ENA37" s="71"/>
      <c r="ENB37" s="71"/>
      <c r="ENC37" s="71"/>
      <c r="END37" s="71"/>
      <c r="ENE37" s="71"/>
      <c r="ENF37" s="71"/>
      <c r="ENG37" s="71"/>
      <c r="ENH37" s="71"/>
      <c r="ENI37" s="71"/>
      <c r="ENJ37" s="71"/>
      <c r="ENK37" s="71"/>
      <c r="ENL37" s="71"/>
      <c r="ENM37" s="71"/>
      <c r="ENN37" s="71"/>
      <c r="ENO37" s="71"/>
      <c r="ENP37" s="71"/>
      <c r="ENQ37" s="71"/>
      <c r="ENR37" s="71"/>
      <c r="ENS37" s="71"/>
      <c r="ENT37" s="71"/>
      <c r="ENU37" s="71"/>
      <c r="ENV37" s="71"/>
      <c r="ENW37" s="71"/>
      <c r="ENX37" s="71"/>
      <c r="ENY37" s="71"/>
      <c r="ENZ37" s="71"/>
      <c r="EOA37" s="71"/>
      <c r="EOB37" s="71"/>
      <c r="EOC37" s="71"/>
      <c r="EOD37" s="71"/>
      <c r="EOE37" s="71"/>
      <c r="EOF37" s="71"/>
      <c r="EOG37" s="71"/>
      <c r="EOH37" s="71"/>
      <c r="EOI37" s="71"/>
      <c r="EOJ37" s="71"/>
      <c r="EOK37" s="71"/>
      <c r="EOL37" s="71"/>
      <c r="EOM37" s="71"/>
      <c r="EON37" s="71"/>
      <c r="EOO37" s="71"/>
      <c r="EOP37" s="71"/>
      <c r="EOQ37" s="71"/>
      <c r="EOR37" s="71"/>
      <c r="EOS37" s="71"/>
      <c r="EOT37" s="71"/>
      <c r="EOU37" s="71"/>
      <c r="EOV37" s="71"/>
      <c r="EOW37" s="71"/>
      <c r="EOX37" s="71"/>
      <c r="EOY37" s="71"/>
      <c r="EOZ37" s="71"/>
      <c r="EPA37" s="71"/>
      <c r="EPB37" s="71"/>
      <c r="EPC37" s="71"/>
      <c r="EPD37" s="71"/>
      <c r="EPE37" s="71"/>
      <c r="EPF37" s="71"/>
      <c r="EPG37" s="71"/>
      <c r="EPH37" s="71"/>
      <c r="EPI37" s="71"/>
      <c r="EPJ37" s="71"/>
      <c r="EPK37" s="71"/>
      <c r="EPL37" s="71"/>
      <c r="EPM37" s="71"/>
      <c r="EPN37" s="71"/>
      <c r="EPO37" s="71"/>
      <c r="EPP37" s="71"/>
      <c r="EPQ37" s="71"/>
      <c r="EPR37" s="71"/>
      <c r="EPS37" s="71"/>
      <c r="EPT37" s="71"/>
      <c r="EPU37" s="71"/>
      <c r="EPV37" s="71"/>
      <c r="EPW37" s="71"/>
      <c r="EPX37" s="71"/>
      <c r="EPY37" s="71"/>
      <c r="EPZ37" s="71"/>
      <c r="EQA37" s="71"/>
      <c r="EQB37" s="71"/>
      <c r="EQC37" s="71"/>
      <c r="EQD37" s="71"/>
      <c r="EQE37" s="71"/>
      <c r="EQF37" s="71"/>
      <c r="EQG37" s="71"/>
      <c r="EQH37" s="71"/>
      <c r="EQI37" s="71"/>
      <c r="EQJ37" s="71"/>
      <c r="EQK37" s="71"/>
      <c r="EQL37" s="71"/>
      <c r="EQM37" s="71"/>
      <c r="EQN37" s="71"/>
      <c r="EQO37" s="71"/>
      <c r="EQP37" s="71"/>
      <c r="EQQ37" s="71"/>
      <c r="EQR37" s="71"/>
      <c r="EQS37" s="71"/>
      <c r="EQT37" s="71"/>
      <c r="EQU37" s="71"/>
      <c r="EQV37" s="71"/>
      <c r="EQW37" s="71"/>
      <c r="EQX37" s="71"/>
      <c r="EQY37" s="71"/>
      <c r="EQZ37" s="71"/>
      <c r="ERA37" s="71"/>
      <c r="ERB37" s="71"/>
      <c r="ERC37" s="71"/>
      <c r="ERD37" s="71"/>
      <c r="ERE37" s="71"/>
      <c r="ERF37" s="71"/>
      <c r="ERG37" s="71"/>
      <c r="ERH37" s="71"/>
      <c r="ERI37" s="71"/>
      <c r="ERJ37" s="71"/>
      <c r="ERK37" s="71"/>
      <c r="ERL37" s="71"/>
      <c r="ERM37" s="71"/>
      <c r="ERN37" s="71"/>
      <c r="ERO37" s="71"/>
      <c r="ERP37" s="71"/>
      <c r="ERQ37" s="71"/>
      <c r="ERR37" s="71"/>
      <c r="ERS37" s="71"/>
      <c r="ERT37" s="71"/>
      <c r="ERU37" s="71"/>
      <c r="ERV37" s="71"/>
      <c r="ERW37" s="71"/>
      <c r="ERX37" s="71"/>
      <c r="ERY37" s="71"/>
      <c r="ERZ37" s="71"/>
      <c r="ESA37" s="71"/>
      <c r="ESB37" s="71"/>
      <c r="ESC37" s="71"/>
      <c r="ESD37" s="71"/>
      <c r="ESE37" s="71"/>
      <c r="ESF37" s="71"/>
      <c r="ESG37" s="71"/>
      <c r="ESH37" s="71"/>
      <c r="ESI37" s="71"/>
      <c r="ESJ37" s="71"/>
      <c r="ESK37" s="71"/>
      <c r="ESL37" s="71"/>
      <c r="ESM37" s="71"/>
      <c r="ESN37" s="71"/>
      <c r="ESO37" s="71"/>
      <c r="ESP37" s="71"/>
      <c r="ESQ37" s="71"/>
      <c r="ESR37" s="71"/>
      <c r="ESS37" s="71"/>
      <c r="EST37" s="71"/>
      <c r="ESU37" s="71"/>
      <c r="ESV37" s="71"/>
      <c r="ESW37" s="71"/>
      <c r="ESX37" s="71"/>
      <c r="ESY37" s="71"/>
      <c r="ESZ37" s="71"/>
      <c r="ETA37" s="71"/>
      <c r="ETB37" s="71"/>
      <c r="ETC37" s="71"/>
      <c r="ETD37" s="71"/>
      <c r="ETE37" s="71"/>
      <c r="ETF37" s="71"/>
      <c r="ETG37" s="71"/>
      <c r="ETH37" s="71"/>
      <c r="ETI37" s="71"/>
      <c r="ETJ37" s="71"/>
      <c r="ETK37" s="71"/>
      <c r="ETL37" s="71"/>
      <c r="ETM37" s="71"/>
      <c r="ETN37" s="71"/>
      <c r="ETO37" s="71"/>
      <c r="ETP37" s="71"/>
      <c r="ETQ37" s="71"/>
      <c r="ETR37" s="71"/>
      <c r="ETS37" s="71"/>
      <c r="ETT37" s="71"/>
      <c r="ETU37" s="71"/>
      <c r="ETV37" s="71"/>
      <c r="ETW37" s="71"/>
      <c r="ETX37" s="71"/>
      <c r="ETY37" s="71"/>
      <c r="ETZ37" s="71"/>
      <c r="EUA37" s="71"/>
      <c r="EUB37" s="71"/>
      <c r="EUC37" s="71"/>
      <c r="EUD37" s="71"/>
      <c r="EUE37" s="71"/>
      <c r="EUF37" s="71"/>
      <c r="EUG37" s="71"/>
      <c r="EUH37" s="71"/>
      <c r="EUI37" s="71"/>
      <c r="EUJ37" s="71"/>
      <c r="EUK37" s="71"/>
      <c r="EUL37" s="71"/>
      <c r="EUM37" s="71"/>
      <c r="EUN37" s="71"/>
      <c r="EUO37" s="71"/>
      <c r="EUP37" s="71"/>
      <c r="EUQ37" s="71"/>
      <c r="EUR37" s="71"/>
      <c r="EUS37" s="71"/>
      <c r="EUT37" s="71"/>
      <c r="EUU37" s="71"/>
      <c r="EUV37" s="71"/>
      <c r="EUW37" s="71"/>
      <c r="EUX37" s="71"/>
      <c r="EUY37" s="71"/>
      <c r="EUZ37" s="71"/>
      <c r="EVA37" s="71"/>
      <c r="EVB37" s="71"/>
      <c r="EVC37" s="71"/>
      <c r="EVD37" s="71"/>
      <c r="EVE37" s="71"/>
      <c r="EVF37" s="71"/>
      <c r="EVG37" s="71"/>
      <c r="EVH37" s="71"/>
      <c r="EVI37" s="71"/>
      <c r="EVJ37" s="71"/>
      <c r="EVK37" s="71"/>
      <c r="EVL37" s="71"/>
      <c r="EVM37" s="71"/>
      <c r="EVN37" s="71"/>
      <c r="EVO37" s="71"/>
      <c r="EVP37" s="71"/>
      <c r="EVQ37" s="71"/>
      <c r="EVR37" s="71"/>
      <c r="EVS37" s="71"/>
      <c r="EVT37" s="71"/>
      <c r="EVU37" s="71"/>
      <c r="EVV37" s="71"/>
      <c r="EVW37" s="71"/>
      <c r="EVX37" s="71"/>
      <c r="EVY37" s="71"/>
      <c r="EVZ37" s="71"/>
      <c r="EWA37" s="71"/>
      <c r="EWB37" s="71"/>
      <c r="EWC37" s="71"/>
      <c r="EWD37" s="71"/>
      <c r="EWE37" s="71"/>
      <c r="EWF37" s="71"/>
      <c r="EWG37" s="71"/>
      <c r="EWH37" s="71"/>
      <c r="EWI37" s="71"/>
      <c r="EWJ37" s="71"/>
      <c r="EWK37" s="71"/>
      <c r="EWL37" s="71"/>
      <c r="EWM37" s="71"/>
      <c r="EWN37" s="71"/>
      <c r="EWO37" s="71"/>
      <c r="EWP37" s="71"/>
      <c r="EWQ37" s="71"/>
      <c r="EWR37" s="71"/>
      <c r="EWS37" s="71"/>
      <c r="EWT37" s="71"/>
      <c r="EWU37" s="71"/>
      <c r="EWV37" s="71"/>
      <c r="EWW37" s="71"/>
      <c r="EWX37" s="71"/>
      <c r="EWY37" s="71"/>
      <c r="EWZ37" s="71"/>
      <c r="EXA37" s="71"/>
      <c r="EXB37" s="71"/>
      <c r="EXC37" s="71"/>
      <c r="EXD37" s="71"/>
      <c r="EXE37" s="71"/>
      <c r="EXF37" s="71"/>
      <c r="EXG37" s="71"/>
      <c r="EXH37" s="71"/>
      <c r="EXI37" s="71"/>
      <c r="EXJ37" s="71"/>
      <c r="EXK37" s="71"/>
      <c r="EXL37" s="71"/>
      <c r="EXM37" s="71"/>
      <c r="EXN37" s="71"/>
      <c r="EXO37" s="71"/>
      <c r="EXP37" s="71"/>
      <c r="EXQ37" s="71"/>
      <c r="EXR37" s="71"/>
      <c r="EXS37" s="71"/>
      <c r="EXT37" s="71"/>
      <c r="EXU37" s="71"/>
      <c r="EXV37" s="71"/>
      <c r="EXW37" s="71"/>
      <c r="EXX37" s="71"/>
      <c r="EXY37" s="71"/>
      <c r="EXZ37" s="71"/>
      <c r="EYA37" s="71"/>
      <c r="EYB37" s="71"/>
      <c r="EYC37" s="71"/>
      <c r="EYD37" s="71"/>
      <c r="EYE37" s="71"/>
      <c r="EYF37" s="71"/>
      <c r="EYG37" s="71"/>
      <c r="EYH37" s="71"/>
      <c r="EYI37" s="71"/>
      <c r="EYJ37" s="71"/>
      <c r="EYK37" s="71"/>
      <c r="EYL37" s="71"/>
      <c r="EYM37" s="71"/>
      <c r="EYN37" s="71"/>
      <c r="EYO37" s="71"/>
      <c r="EYP37" s="71"/>
      <c r="EYQ37" s="71"/>
      <c r="EYR37" s="71"/>
      <c r="EYS37" s="71"/>
      <c r="EYT37" s="71"/>
      <c r="EYU37" s="71"/>
      <c r="EYV37" s="71"/>
      <c r="EYW37" s="71"/>
      <c r="EYX37" s="71"/>
      <c r="EYY37" s="71"/>
      <c r="EYZ37" s="71"/>
      <c r="EZA37" s="71"/>
      <c r="EZB37" s="71"/>
      <c r="EZC37" s="71"/>
      <c r="EZD37" s="71"/>
      <c r="EZE37" s="71"/>
      <c r="EZF37" s="71"/>
      <c r="EZG37" s="71"/>
      <c r="EZH37" s="71"/>
      <c r="EZI37" s="71"/>
      <c r="EZJ37" s="71"/>
      <c r="EZK37" s="71"/>
      <c r="EZL37" s="71"/>
      <c r="EZM37" s="71"/>
      <c r="EZN37" s="71"/>
      <c r="EZO37" s="71"/>
      <c r="EZP37" s="71"/>
      <c r="EZQ37" s="71"/>
      <c r="EZR37" s="71"/>
      <c r="EZS37" s="71"/>
      <c r="EZT37" s="71"/>
      <c r="EZU37" s="71"/>
      <c r="EZV37" s="71"/>
      <c r="EZW37" s="71"/>
      <c r="EZX37" s="71"/>
      <c r="EZY37" s="71"/>
      <c r="EZZ37" s="71"/>
      <c r="FAA37" s="71"/>
      <c r="FAB37" s="71"/>
      <c r="FAC37" s="71"/>
      <c r="FAD37" s="71"/>
      <c r="FAE37" s="71"/>
      <c r="FAF37" s="71"/>
      <c r="FAG37" s="71"/>
      <c r="FAH37" s="71"/>
      <c r="FAI37" s="71"/>
      <c r="FAJ37" s="71"/>
      <c r="FAK37" s="71"/>
      <c r="FAL37" s="71"/>
      <c r="FAM37" s="71"/>
      <c r="FAN37" s="71"/>
      <c r="FAO37" s="71"/>
      <c r="FAP37" s="71"/>
      <c r="FAQ37" s="71"/>
      <c r="FAR37" s="71"/>
      <c r="FAS37" s="71"/>
      <c r="FAT37" s="71"/>
      <c r="FAU37" s="71"/>
      <c r="FAV37" s="71"/>
      <c r="FAW37" s="71"/>
      <c r="FAX37" s="71"/>
      <c r="FAY37" s="71"/>
      <c r="FAZ37" s="71"/>
      <c r="FBA37" s="71"/>
      <c r="FBB37" s="71"/>
      <c r="FBC37" s="71"/>
      <c r="FBD37" s="71"/>
      <c r="FBE37" s="71"/>
      <c r="FBF37" s="71"/>
      <c r="FBG37" s="71"/>
      <c r="FBH37" s="71"/>
      <c r="FBI37" s="71"/>
      <c r="FBJ37" s="71"/>
      <c r="FBK37" s="71"/>
      <c r="FBL37" s="71"/>
      <c r="FBM37" s="71"/>
      <c r="FBN37" s="71"/>
      <c r="FBO37" s="71"/>
      <c r="FBP37" s="71"/>
      <c r="FBQ37" s="71"/>
      <c r="FBR37" s="71"/>
      <c r="FBS37" s="71"/>
      <c r="FBT37" s="71"/>
      <c r="FBU37" s="71"/>
      <c r="FBV37" s="71"/>
      <c r="FBW37" s="71"/>
      <c r="FBX37" s="71"/>
      <c r="FBY37" s="71"/>
      <c r="FBZ37" s="71"/>
      <c r="FCA37" s="71"/>
      <c r="FCB37" s="71"/>
      <c r="FCC37" s="71"/>
      <c r="FCD37" s="71"/>
      <c r="FCE37" s="71"/>
      <c r="FCF37" s="71"/>
      <c r="FCG37" s="71"/>
      <c r="FCH37" s="71"/>
      <c r="FCI37" s="71"/>
      <c r="FCJ37" s="71"/>
      <c r="FCK37" s="71"/>
      <c r="FCL37" s="71"/>
      <c r="FCM37" s="71"/>
      <c r="FCN37" s="71"/>
      <c r="FCO37" s="71"/>
      <c r="FCP37" s="71"/>
      <c r="FCQ37" s="71"/>
      <c r="FCR37" s="71"/>
      <c r="FCS37" s="71"/>
      <c r="FCT37" s="71"/>
      <c r="FCU37" s="71"/>
      <c r="FCV37" s="71"/>
      <c r="FCW37" s="71"/>
      <c r="FCX37" s="71"/>
      <c r="FCY37" s="71"/>
      <c r="FCZ37" s="71"/>
      <c r="FDA37" s="71"/>
      <c r="FDB37" s="71"/>
      <c r="FDC37" s="71"/>
      <c r="FDD37" s="71"/>
      <c r="FDE37" s="71"/>
      <c r="FDF37" s="71"/>
      <c r="FDG37" s="71"/>
      <c r="FDH37" s="71"/>
      <c r="FDI37" s="71"/>
      <c r="FDJ37" s="71"/>
      <c r="FDK37" s="71"/>
      <c r="FDL37" s="71"/>
      <c r="FDM37" s="71"/>
      <c r="FDN37" s="71"/>
      <c r="FDO37" s="71"/>
      <c r="FDP37" s="71"/>
      <c r="FDQ37" s="71"/>
      <c r="FDR37" s="71"/>
      <c r="FDS37" s="71"/>
      <c r="FDT37" s="71"/>
      <c r="FDU37" s="71"/>
      <c r="FDV37" s="71"/>
      <c r="FDW37" s="71"/>
      <c r="FDX37" s="71"/>
      <c r="FDY37" s="71"/>
      <c r="FDZ37" s="71"/>
      <c r="FEA37" s="71"/>
      <c r="FEB37" s="71"/>
      <c r="FEC37" s="71"/>
      <c r="FED37" s="71"/>
      <c r="FEE37" s="71"/>
      <c r="FEF37" s="71"/>
      <c r="FEG37" s="71"/>
      <c r="FEH37" s="71"/>
      <c r="FEI37" s="71"/>
      <c r="FEJ37" s="71"/>
      <c r="FEK37" s="71"/>
      <c r="FEL37" s="71"/>
      <c r="FEM37" s="71"/>
      <c r="FEN37" s="71"/>
      <c r="FEO37" s="71"/>
      <c r="FEP37" s="71"/>
      <c r="FEQ37" s="71"/>
      <c r="FER37" s="71"/>
      <c r="FES37" s="71"/>
      <c r="FET37" s="71"/>
      <c r="FEU37" s="71"/>
      <c r="FEV37" s="71"/>
      <c r="FEW37" s="71"/>
      <c r="FEX37" s="71"/>
      <c r="FEY37" s="71"/>
      <c r="FEZ37" s="71"/>
      <c r="FFA37" s="71"/>
      <c r="FFB37" s="71"/>
      <c r="FFC37" s="71"/>
      <c r="FFD37" s="71"/>
      <c r="FFE37" s="71"/>
      <c r="FFF37" s="71"/>
      <c r="FFG37" s="71"/>
      <c r="FFH37" s="71"/>
      <c r="FFI37" s="71"/>
      <c r="FFJ37" s="71"/>
      <c r="FFK37" s="71"/>
      <c r="FFL37" s="71"/>
      <c r="FFM37" s="71"/>
      <c r="FFN37" s="71"/>
      <c r="FFO37" s="71"/>
      <c r="FFP37" s="71"/>
      <c r="FFQ37" s="71"/>
      <c r="FFR37" s="71"/>
      <c r="FFS37" s="71"/>
      <c r="FFT37" s="71"/>
      <c r="FFU37" s="71"/>
      <c r="FFV37" s="71"/>
      <c r="FFW37" s="71"/>
      <c r="FFX37" s="71"/>
      <c r="FFY37" s="71"/>
      <c r="FFZ37" s="71"/>
      <c r="FGA37" s="71"/>
      <c r="FGB37" s="71"/>
      <c r="FGC37" s="71"/>
      <c r="FGD37" s="71"/>
      <c r="FGE37" s="71"/>
      <c r="FGF37" s="71"/>
      <c r="FGG37" s="71"/>
      <c r="FGH37" s="71"/>
      <c r="FGI37" s="71"/>
      <c r="FGJ37" s="71"/>
      <c r="FGK37" s="71"/>
      <c r="FGL37" s="71"/>
      <c r="FGM37" s="71"/>
      <c r="FGN37" s="71"/>
      <c r="FGO37" s="71"/>
      <c r="FGP37" s="71"/>
      <c r="FGQ37" s="71"/>
      <c r="FGR37" s="71"/>
      <c r="FGS37" s="71"/>
      <c r="FGT37" s="71"/>
      <c r="FGU37" s="71"/>
      <c r="FGV37" s="71"/>
      <c r="FGW37" s="71"/>
      <c r="FGX37" s="71"/>
      <c r="FGY37" s="71"/>
      <c r="FGZ37" s="71"/>
      <c r="FHA37" s="71"/>
      <c r="FHB37" s="71"/>
      <c r="FHC37" s="71"/>
      <c r="FHD37" s="71"/>
      <c r="FHE37" s="71"/>
      <c r="FHF37" s="71"/>
      <c r="FHG37" s="71"/>
      <c r="FHH37" s="71"/>
      <c r="FHI37" s="71"/>
      <c r="FHJ37" s="71"/>
      <c r="FHK37" s="71"/>
      <c r="FHL37" s="71"/>
      <c r="FHM37" s="71"/>
      <c r="FHN37" s="71"/>
      <c r="FHO37" s="71"/>
      <c r="FHP37" s="71"/>
      <c r="FHQ37" s="71"/>
      <c r="FHR37" s="71"/>
      <c r="FHS37" s="71"/>
      <c r="FHT37" s="71"/>
      <c r="FHU37" s="71"/>
      <c r="FHV37" s="71"/>
      <c r="FHW37" s="71"/>
      <c r="FHX37" s="71"/>
      <c r="FHY37" s="71"/>
      <c r="FHZ37" s="71"/>
      <c r="FIA37" s="71"/>
      <c r="FIB37" s="71"/>
      <c r="FIC37" s="71"/>
      <c r="FID37" s="71"/>
      <c r="FIE37" s="71"/>
      <c r="FIF37" s="71"/>
      <c r="FIG37" s="71"/>
      <c r="FIH37" s="71"/>
      <c r="FII37" s="71"/>
      <c r="FIJ37" s="71"/>
      <c r="FIK37" s="71"/>
      <c r="FIL37" s="71"/>
      <c r="FIM37" s="71"/>
      <c r="FIN37" s="71"/>
      <c r="FIO37" s="71"/>
      <c r="FIP37" s="71"/>
      <c r="FIQ37" s="71"/>
      <c r="FIR37" s="71"/>
      <c r="FIS37" s="71"/>
      <c r="FIT37" s="71"/>
      <c r="FIU37" s="71"/>
      <c r="FIV37" s="71"/>
      <c r="FIW37" s="71"/>
      <c r="FIX37" s="71"/>
      <c r="FIY37" s="71"/>
      <c r="FIZ37" s="71"/>
      <c r="FJA37" s="71"/>
      <c r="FJB37" s="71"/>
      <c r="FJC37" s="71"/>
      <c r="FJD37" s="71"/>
      <c r="FJE37" s="71"/>
      <c r="FJF37" s="71"/>
      <c r="FJG37" s="71"/>
      <c r="FJH37" s="71"/>
      <c r="FJI37" s="71"/>
      <c r="FJJ37" s="71"/>
      <c r="FJK37" s="71"/>
      <c r="FJL37" s="71"/>
      <c r="FJM37" s="71"/>
      <c r="FJN37" s="71"/>
      <c r="FJO37" s="71"/>
      <c r="FJP37" s="71"/>
      <c r="FJQ37" s="71"/>
      <c r="FJR37" s="71"/>
      <c r="FJS37" s="71"/>
      <c r="FJT37" s="71"/>
      <c r="FJU37" s="71"/>
      <c r="FJV37" s="71"/>
      <c r="FJW37" s="71"/>
      <c r="FJX37" s="71"/>
      <c r="FJY37" s="71"/>
      <c r="FJZ37" s="71"/>
      <c r="FKA37" s="71"/>
      <c r="FKB37" s="71"/>
      <c r="FKC37" s="71"/>
      <c r="FKD37" s="71"/>
      <c r="FKE37" s="71"/>
      <c r="FKF37" s="71"/>
      <c r="FKG37" s="71"/>
      <c r="FKH37" s="71"/>
      <c r="FKI37" s="71"/>
      <c r="FKJ37" s="71"/>
      <c r="FKK37" s="71"/>
      <c r="FKL37" s="71"/>
      <c r="FKM37" s="71"/>
      <c r="FKN37" s="71"/>
      <c r="FKO37" s="71"/>
      <c r="FKP37" s="71"/>
      <c r="FKQ37" s="71"/>
      <c r="FKR37" s="71"/>
      <c r="FKS37" s="71"/>
      <c r="FKT37" s="71"/>
      <c r="FKU37" s="71"/>
      <c r="FKV37" s="71"/>
      <c r="FKW37" s="71"/>
      <c r="FKX37" s="71"/>
      <c r="FKY37" s="71"/>
      <c r="FKZ37" s="71"/>
      <c r="FLA37" s="71"/>
      <c r="FLB37" s="71"/>
      <c r="FLC37" s="71"/>
      <c r="FLD37" s="71"/>
      <c r="FLE37" s="71"/>
      <c r="FLF37" s="71"/>
      <c r="FLG37" s="71"/>
      <c r="FLH37" s="71"/>
      <c r="FLI37" s="71"/>
      <c r="FLJ37" s="71"/>
      <c r="FLK37" s="71"/>
      <c r="FLL37" s="71"/>
      <c r="FLM37" s="71"/>
      <c r="FLN37" s="71"/>
      <c r="FLO37" s="71"/>
      <c r="FLP37" s="71"/>
      <c r="FLQ37" s="71"/>
      <c r="FLR37" s="71"/>
      <c r="FLS37" s="71"/>
      <c r="FLT37" s="71"/>
      <c r="FLU37" s="71"/>
      <c r="FLV37" s="71"/>
      <c r="FLW37" s="71"/>
      <c r="FLX37" s="71"/>
      <c r="FLY37" s="71"/>
      <c r="FLZ37" s="71"/>
      <c r="FMA37" s="71"/>
      <c r="FMB37" s="71"/>
      <c r="FMC37" s="71"/>
      <c r="FMD37" s="71"/>
      <c r="FME37" s="71"/>
      <c r="FMF37" s="71"/>
      <c r="FMG37" s="71"/>
      <c r="FMH37" s="71"/>
      <c r="FMI37" s="71"/>
      <c r="FMJ37" s="71"/>
      <c r="FMK37" s="71"/>
      <c r="FML37" s="71"/>
      <c r="FMM37" s="71"/>
      <c r="FMN37" s="71"/>
      <c r="FMO37" s="71"/>
      <c r="FMP37" s="71"/>
      <c r="FMQ37" s="71"/>
      <c r="FMR37" s="71"/>
      <c r="FMS37" s="71"/>
      <c r="FMT37" s="71"/>
      <c r="FMU37" s="71"/>
      <c r="FMV37" s="71"/>
      <c r="FMW37" s="71"/>
      <c r="FMX37" s="71"/>
      <c r="FMY37" s="71"/>
      <c r="FMZ37" s="71"/>
      <c r="FNA37" s="71"/>
      <c r="FNB37" s="71"/>
      <c r="FNC37" s="71"/>
      <c r="FND37" s="71"/>
      <c r="FNE37" s="71"/>
      <c r="FNF37" s="71"/>
      <c r="FNG37" s="71"/>
      <c r="FNH37" s="71"/>
      <c r="FNI37" s="71"/>
      <c r="FNJ37" s="71"/>
      <c r="FNK37" s="71"/>
      <c r="FNL37" s="71"/>
      <c r="FNM37" s="71"/>
      <c r="FNN37" s="71"/>
      <c r="FNO37" s="71"/>
      <c r="FNP37" s="71"/>
      <c r="FNQ37" s="71"/>
      <c r="FNR37" s="71"/>
      <c r="FNS37" s="71"/>
      <c r="FNT37" s="71"/>
      <c r="FNU37" s="71"/>
      <c r="FNV37" s="71"/>
      <c r="FNW37" s="71"/>
      <c r="FNX37" s="71"/>
      <c r="FNY37" s="71"/>
      <c r="FNZ37" s="71"/>
      <c r="FOA37" s="71"/>
      <c r="FOB37" s="71"/>
      <c r="FOC37" s="71"/>
      <c r="FOD37" s="71"/>
      <c r="FOE37" s="71"/>
      <c r="FOF37" s="71"/>
      <c r="FOG37" s="71"/>
      <c r="FOH37" s="71"/>
      <c r="FOI37" s="71"/>
      <c r="FOJ37" s="71"/>
      <c r="FOK37" s="71"/>
      <c r="FOL37" s="71"/>
      <c r="FOM37" s="71"/>
      <c r="FON37" s="71"/>
      <c r="FOO37" s="71"/>
      <c r="FOP37" s="71"/>
      <c r="FOQ37" s="71"/>
      <c r="FOR37" s="71"/>
      <c r="FOS37" s="71"/>
      <c r="FOT37" s="71"/>
      <c r="FOU37" s="71"/>
      <c r="FOV37" s="71"/>
      <c r="FOW37" s="71"/>
      <c r="FOX37" s="71"/>
      <c r="FOY37" s="71"/>
      <c r="FOZ37" s="71"/>
      <c r="FPA37" s="71"/>
      <c r="FPB37" s="71"/>
      <c r="FPC37" s="71"/>
      <c r="FPD37" s="71"/>
      <c r="FPE37" s="71"/>
      <c r="FPF37" s="71"/>
      <c r="FPG37" s="71"/>
      <c r="FPH37" s="71"/>
      <c r="FPI37" s="71"/>
      <c r="FPJ37" s="71"/>
      <c r="FPK37" s="71"/>
      <c r="FPL37" s="71"/>
      <c r="FPM37" s="71"/>
      <c r="FPN37" s="71"/>
      <c r="FPO37" s="71"/>
      <c r="FPP37" s="71"/>
      <c r="FPQ37" s="71"/>
      <c r="FPR37" s="71"/>
      <c r="FPS37" s="71"/>
      <c r="FPT37" s="71"/>
      <c r="FPU37" s="71"/>
      <c r="FPV37" s="71"/>
      <c r="FPW37" s="71"/>
      <c r="FPX37" s="71"/>
      <c r="FPY37" s="71"/>
      <c r="FPZ37" s="71"/>
      <c r="FQA37" s="71"/>
      <c r="FQB37" s="71"/>
      <c r="FQC37" s="71"/>
      <c r="FQD37" s="71"/>
      <c r="FQE37" s="71"/>
      <c r="FQF37" s="71"/>
      <c r="FQG37" s="71"/>
      <c r="FQH37" s="71"/>
      <c r="FQI37" s="71"/>
      <c r="FQJ37" s="71"/>
      <c r="FQK37" s="71"/>
      <c r="FQL37" s="71"/>
      <c r="FQM37" s="71"/>
      <c r="FQN37" s="71"/>
      <c r="FQO37" s="71"/>
      <c r="FQP37" s="71"/>
      <c r="FQQ37" s="71"/>
      <c r="FQR37" s="71"/>
      <c r="FQS37" s="71"/>
      <c r="FQT37" s="71"/>
      <c r="FQU37" s="71"/>
      <c r="FQV37" s="71"/>
      <c r="FQW37" s="71"/>
      <c r="FQX37" s="71"/>
      <c r="FQY37" s="71"/>
      <c r="FQZ37" s="71"/>
      <c r="FRA37" s="71"/>
      <c r="FRB37" s="71"/>
      <c r="FRC37" s="71"/>
      <c r="FRD37" s="71"/>
      <c r="FRE37" s="71"/>
      <c r="FRF37" s="71"/>
      <c r="FRG37" s="71"/>
      <c r="FRH37" s="71"/>
      <c r="FRI37" s="71"/>
      <c r="FRJ37" s="71"/>
      <c r="FRK37" s="71"/>
      <c r="FRL37" s="71"/>
      <c r="FRM37" s="71"/>
      <c r="FRN37" s="71"/>
      <c r="FRO37" s="71"/>
      <c r="FRP37" s="71"/>
      <c r="FRQ37" s="71"/>
      <c r="FRR37" s="71"/>
      <c r="FRS37" s="71"/>
      <c r="FRT37" s="71"/>
      <c r="FRU37" s="71"/>
      <c r="FRV37" s="71"/>
      <c r="FRW37" s="71"/>
      <c r="FRX37" s="71"/>
      <c r="FRY37" s="71"/>
      <c r="FRZ37" s="71"/>
      <c r="FSA37" s="71"/>
      <c r="FSB37" s="71"/>
      <c r="FSC37" s="71"/>
      <c r="FSD37" s="71"/>
      <c r="FSE37" s="71"/>
      <c r="FSF37" s="71"/>
      <c r="FSG37" s="71"/>
      <c r="FSH37" s="71"/>
      <c r="FSI37" s="71"/>
      <c r="FSJ37" s="71"/>
      <c r="FSK37" s="71"/>
      <c r="FSL37" s="71"/>
      <c r="FSM37" s="71"/>
      <c r="FSN37" s="71"/>
      <c r="FSO37" s="71"/>
      <c r="FSP37" s="71"/>
      <c r="FSQ37" s="71"/>
      <c r="FSR37" s="71"/>
      <c r="FSS37" s="71"/>
      <c r="FST37" s="71"/>
      <c r="FSU37" s="71"/>
      <c r="FSV37" s="71"/>
      <c r="FSW37" s="71"/>
      <c r="FSX37" s="71"/>
      <c r="FSY37" s="71"/>
      <c r="FSZ37" s="71"/>
      <c r="FTA37" s="71"/>
      <c r="FTB37" s="71"/>
      <c r="FTC37" s="71"/>
      <c r="FTD37" s="71"/>
      <c r="FTE37" s="71"/>
      <c r="FTF37" s="71"/>
      <c r="FTG37" s="71"/>
      <c r="FTH37" s="71"/>
      <c r="FTI37" s="71"/>
      <c r="FTJ37" s="71"/>
      <c r="FTK37" s="71"/>
      <c r="FTL37" s="71"/>
      <c r="FTM37" s="71"/>
      <c r="FTN37" s="71"/>
      <c r="FTO37" s="71"/>
      <c r="FTP37" s="71"/>
      <c r="FTQ37" s="71"/>
      <c r="FTR37" s="71"/>
      <c r="FTS37" s="71"/>
      <c r="FTT37" s="71"/>
      <c r="FTU37" s="71"/>
      <c r="FTV37" s="71"/>
      <c r="FTW37" s="71"/>
      <c r="FTX37" s="71"/>
      <c r="FTY37" s="71"/>
      <c r="FTZ37" s="71"/>
      <c r="FUA37" s="71"/>
      <c r="FUB37" s="71"/>
      <c r="FUC37" s="71"/>
      <c r="FUD37" s="71"/>
      <c r="FUE37" s="71"/>
      <c r="FUF37" s="71"/>
      <c r="FUG37" s="71"/>
      <c r="FUH37" s="71"/>
      <c r="FUI37" s="71"/>
      <c r="FUJ37" s="71"/>
      <c r="FUK37" s="71"/>
      <c r="FUL37" s="71"/>
      <c r="FUM37" s="71"/>
      <c r="FUN37" s="71"/>
      <c r="FUO37" s="71"/>
      <c r="FUP37" s="71"/>
      <c r="FUQ37" s="71"/>
      <c r="FUR37" s="71"/>
      <c r="FUS37" s="71"/>
      <c r="FUT37" s="71"/>
      <c r="FUU37" s="71"/>
      <c r="FUV37" s="71"/>
      <c r="FUW37" s="71"/>
      <c r="FUX37" s="71"/>
      <c r="FUY37" s="71"/>
      <c r="FUZ37" s="71"/>
      <c r="FVA37" s="71"/>
      <c r="FVB37" s="71"/>
      <c r="FVC37" s="71"/>
      <c r="FVD37" s="71"/>
      <c r="FVE37" s="71"/>
      <c r="FVF37" s="71"/>
      <c r="FVG37" s="71"/>
      <c r="FVH37" s="71"/>
      <c r="FVI37" s="71"/>
      <c r="FVJ37" s="71"/>
      <c r="FVK37" s="71"/>
      <c r="FVL37" s="71"/>
      <c r="FVM37" s="71"/>
      <c r="FVN37" s="71"/>
      <c r="FVO37" s="71"/>
      <c r="FVP37" s="71"/>
      <c r="FVQ37" s="71"/>
      <c r="FVR37" s="71"/>
      <c r="FVS37" s="71"/>
      <c r="FVT37" s="71"/>
      <c r="FVU37" s="71"/>
      <c r="FVV37" s="71"/>
      <c r="FVW37" s="71"/>
      <c r="FVX37" s="71"/>
      <c r="FVY37" s="71"/>
      <c r="FVZ37" s="71"/>
      <c r="FWA37" s="71"/>
      <c r="FWB37" s="71"/>
      <c r="FWC37" s="71"/>
      <c r="FWD37" s="71"/>
      <c r="FWE37" s="71"/>
      <c r="FWF37" s="71"/>
      <c r="FWG37" s="71"/>
      <c r="FWH37" s="71"/>
      <c r="FWI37" s="71"/>
      <c r="FWJ37" s="71"/>
      <c r="FWK37" s="71"/>
      <c r="FWL37" s="71"/>
      <c r="FWM37" s="71"/>
      <c r="FWN37" s="71"/>
      <c r="FWO37" s="71"/>
      <c r="FWP37" s="71"/>
      <c r="FWQ37" s="71"/>
      <c r="FWR37" s="71"/>
      <c r="FWS37" s="71"/>
      <c r="FWT37" s="71"/>
      <c r="FWU37" s="71"/>
      <c r="FWV37" s="71"/>
      <c r="FWW37" s="71"/>
      <c r="FWX37" s="71"/>
      <c r="FWY37" s="71"/>
      <c r="FWZ37" s="71"/>
      <c r="FXA37" s="71"/>
      <c r="FXB37" s="71"/>
      <c r="FXC37" s="71"/>
      <c r="FXD37" s="71"/>
      <c r="FXE37" s="71"/>
      <c r="FXF37" s="71"/>
      <c r="FXG37" s="71"/>
      <c r="FXH37" s="71"/>
      <c r="FXI37" s="71"/>
      <c r="FXJ37" s="71"/>
      <c r="FXK37" s="71"/>
      <c r="FXL37" s="71"/>
      <c r="FXM37" s="71"/>
      <c r="FXN37" s="71"/>
      <c r="FXO37" s="71"/>
      <c r="FXP37" s="71"/>
      <c r="FXQ37" s="71"/>
      <c r="FXR37" s="71"/>
      <c r="FXS37" s="71"/>
      <c r="FXT37" s="71"/>
      <c r="FXU37" s="71"/>
      <c r="FXV37" s="71"/>
      <c r="FXW37" s="71"/>
      <c r="FXX37" s="71"/>
      <c r="FXY37" s="71"/>
      <c r="FXZ37" s="71"/>
      <c r="FYA37" s="71"/>
      <c r="FYB37" s="71"/>
      <c r="FYC37" s="71"/>
      <c r="FYD37" s="71"/>
      <c r="FYE37" s="71"/>
      <c r="FYF37" s="71"/>
      <c r="FYG37" s="71"/>
      <c r="FYH37" s="71"/>
      <c r="FYI37" s="71"/>
      <c r="FYJ37" s="71"/>
      <c r="FYK37" s="71"/>
      <c r="FYL37" s="71"/>
      <c r="FYM37" s="71"/>
      <c r="FYN37" s="71"/>
      <c r="FYO37" s="71"/>
      <c r="FYP37" s="71"/>
      <c r="FYQ37" s="71"/>
      <c r="FYR37" s="71"/>
      <c r="FYS37" s="71"/>
      <c r="FYT37" s="71"/>
      <c r="FYU37" s="71"/>
      <c r="FYV37" s="71"/>
      <c r="FYW37" s="71"/>
      <c r="FYX37" s="71"/>
      <c r="FYY37" s="71"/>
      <c r="FYZ37" s="71"/>
      <c r="FZA37" s="71"/>
      <c r="FZB37" s="71"/>
      <c r="FZC37" s="71"/>
      <c r="FZD37" s="71"/>
      <c r="FZE37" s="71"/>
      <c r="FZF37" s="71"/>
      <c r="FZG37" s="71"/>
      <c r="FZH37" s="71"/>
      <c r="FZI37" s="71"/>
      <c r="FZJ37" s="71"/>
      <c r="FZK37" s="71"/>
      <c r="FZL37" s="71"/>
      <c r="FZM37" s="71"/>
      <c r="FZN37" s="71"/>
      <c r="FZO37" s="71"/>
      <c r="FZP37" s="71"/>
      <c r="FZQ37" s="71"/>
      <c r="FZR37" s="71"/>
      <c r="FZS37" s="71"/>
      <c r="FZT37" s="71"/>
      <c r="FZU37" s="71"/>
      <c r="FZV37" s="71"/>
      <c r="FZW37" s="71"/>
      <c r="FZX37" s="71"/>
      <c r="FZY37" s="71"/>
      <c r="FZZ37" s="71"/>
      <c r="GAA37" s="71"/>
      <c r="GAB37" s="71"/>
      <c r="GAC37" s="71"/>
      <c r="GAD37" s="71"/>
      <c r="GAE37" s="71"/>
      <c r="GAF37" s="71"/>
      <c r="GAG37" s="71"/>
      <c r="GAH37" s="71"/>
      <c r="GAI37" s="71"/>
      <c r="GAJ37" s="71"/>
      <c r="GAK37" s="71"/>
      <c r="GAL37" s="71"/>
      <c r="GAM37" s="71"/>
      <c r="GAN37" s="71"/>
      <c r="GAO37" s="71"/>
      <c r="GAP37" s="71"/>
      <c r="GAQ37" s="71"/>
      <c r="GAR37" s="71"/>
      <c r="GAS37" s="71"/>
      <c r="GAT37" s="71"/>
      <c r="GAU37" s="71"/>
      <c r="GAV37" s="71"/>
      <c r="GAW37" s="71"/>
      <c r="GAX37" s="71"/>
      <c r="GAY37" s="71"/>
      <c r="GAZ37" s="71"/>
      <c r="GBA37" s="71"/>
      <c r="GBB37" s="71"/>
      <c r="GBC37" s="71"/>
      <c r="GBD37" s="71"/>
      <c r="GBE37" s="71"/>
      <c r="GBF37" s="71"/>
      <c r="GBG37" s="71"/>
      <c r="GBH37" s="71"/>
      <c r="GBI37" s="71"/>
      <c r="GBJ37" s="71"/>
      <c r="GBK37" s="71"/>
      <c r="GBL37" s="71"/>
      <c r="GBM37" s="71"/>
      <c r="GBN37" s="71"/>
      <c r="GBO37" s="71"/>
      <c r="GBP37" s="71"/>
      <c r="GBQ37" s="71"/>
      <c r="GBR37" s="71"/>
      <c r="GBS37" s="71"/>
      <c r="GBT37" s="71"/>
      <c r="GBU37" s="71"/>
      <c r="GBV37" s="71"/>
      <c r="GBW37" s="71"/>
      <c r="GBX37" s="71"/>
      <c r="GBY37" s="71"/>
      <c r="GBZ37" s="71"/>
      <c r="GCA37" s="71"/>
      <c r="GCB37" s="71"/>
      <c r="GCC37" s="71"/>
      <c r="GCD37" s="71"/>
      <c r="GCE37" s="71"/>
      <c r="GCF37" s="71"/>
      <c r="GCG37" s="71"/>
      <c r="GCH37" s="71"/>
      <c r="GCI37" s="71"/>
      <c r="GCJ37" s="71"/>
      <c r="GCK37" s="71"/>
      <c r="GCL37" s="71"/>
      <c r="GCM37" s="71"/>
      <c r="GCN37" s="71"/>
      <c r="GCO37" s="71"/>
      <c r="GCP37" s="71"/>
      <c r="GCQ37" s="71"/>
      <c r="GCR37" s="71"/>
      <c r="GCS37" s="71"/>
      <c r="GCT37" s="71"/>
      <c r="GCU37" s="71"/>
      <c r="GCV37" s="71"/>
      <c r="GCW37" s="71"/>
      <c r="GCX37" s="71"/>
      <c r="GCY37" s="71"/>
      <c r="GCZ37" s="71"/>
      <c r="GDA37" s="71"/>
      <c r="GDB37" s="71"/>
      <c r="GDC37" s="71"/>
      <c r="GDD37" s="71"/>
      <c r="GDE37" s="71"/>
      <c r="GDF37" s="71"/>
      <c r="GDG37" s="71"/>
      <c r="GDH37" s="71"/>
      <c r="GDI37" s="71"/>
      <c r="GDJ37" s="71"/>
      <c r="GDK37" s="71"/>
      <c r="GDL37" s="71"/>
      <c r="GDM37" s="71"/>
      <c r="GDN37" s="71"/>
      <c r="GDO37" s="71"/>
      <c r="GDP37" s="71"/>
      <c r="GDQ37" s="71"/>
      <c r="GDR37" s="71"/>
      <c r="GDS37" s="71"/>
      <c r="GDT37" s="71"/>
      <c r="GDU37" s="71"/>
      <c r="GDV37" s="71"/>
      <c r="GDW37" s="71"/>
      <c r="GDX37" s="71"/>
      <c r="GDY37" s="71"/>
      <c r="GDZ37" s="71"/>
      <c r="GEA37" s="71"/>
      <c r="GEB37" s="71"/>
      <c r="GEC37" s="71"/>
      <c r="GED37" s="71"/>
      <c r="GEE37" s="71"/>
      <c r="GEF37" s="71"/>
      <c r="GEG37" s="71"/>
      <c r="GEH37" s="71"/>
      <c r="GEI37" s="71"/>
      <c r="GEJ37" s="71"/>
      <c r="GEK37" s="71"/>
      <c r="GEL37" s="71"/>
      <c r="GEM37" s="71"/>
      <c r="GEN37" s="71"/>
      <c r="GEO37" s="71"/>
      <c r="GEP37" s="71"/>
      <c r="GEQ37" s="71"/>
      <c r="GER37" s="71"/>
      <c r="GES37" s="71"/>
      <c r="GET37" s="71"/>
      <c r="GEU37" s="71"/>
      <c r="GEV37" s="71"/>
      <c r="GEW37" s="71"/>
      <c r="GEX37" s="71"/>
      <c r="GEY37" s="71"/>
      <c r="GEZ37" s="71"/>
      <c r="GFA37" s="71"/>
      <c r="GFB37" s="71"/>
      <c r="GFC37" s="71"/>
      <c r="GFD37" s="71"/>
      <c r="GFE37" s="71"/>
      <c r="GFF37" s="71"/>
      <c r="GFG37" s="71"/>
      <c r="GFH37" s="71"/>
      <c r="GFI37" s="71"/>
      <c r="GFJ37" s="71"/>
      <c r="GFK37" s="71"/>
      <c r="GFL37" s="71"/>
      <c r="GFM37" s="71"/>
      <c r="GFN37" s="71"/>
      <c r="GFO37" s="71"/>
      <c r="GFP37" s="71"/>
      <c r="GFQ37" s="71"/>
      <c r="GFR37" s="71"/>
      <c r="GFS37" s="71"/>
      <c r="GFT37" s="71"/>
      <c r="GFU37" s="71"/>
      <c r="GFV37" s="71"/>
      <c r="GFW37" s="71"/>
      <c r="GFX37" s="71"/>
      <c r="GFY37" s="71"/>
      <c r="GFZ37" s="71"/>
      <c r="GGA37" s="71"/>
      <c r="GGB37" s="71"/>
      <c r="GGC37" s="71"/>
      <c r="GGD37" s="71"/>
      <c r="GGE37" s="71"/>
      <c r="GGF37" s="71"/>
      <c r="GGG37" s="71"/>
      <c r="GGH37" s="71"/>
      <c r="GGI37" s="71"/>
      <c r="GGJ37" s="71"/>
      <c r="GGK37" s="71"/>
      <c r="GGL37" s="71"/>
      <c r="GGM37" s="71"/>
      <c r="GGN37" s="71"/>
      <c r="GGO37" s="71"/>
      <c r="GGP37" s="71"/>
      <c r="GGQ37" s="71"/>
      <c r="GGR37" s="71"/>
      <c r="GGS37" s="71"/>
      <c r="GGT37" s="71"/>
      <c r="GGU37" s="71"/>
      <c r="GGV37" s="71"/>
      <c r="GGW37" s="71"/>
      <c r="GGX37" s="71"/>
      <c r="GGY37" s="71"/>
      <c r="GGZ37" s="71"/>
      <c r="GHA37" s="71"/>
      <c r="GHB37" s="71"/>
      <c r="GHC37" s="71"/>
      <c r="GHD37" s="71"/>
      <c r="GHE37" s="71"/>
      <c r="GHF37" s="71"/>
      <c r="GHG37" s="71"/>
      <c r="GHH37" s="71"/>
      <c r="GHI37" s="71"/>
      <c r="GHJ37" s="71"/>
      <c r="GHK37" s="71"/>
      <c r="GHL37" s="71"/>
      <c r="GHM37" s="71"/>
      <c r="GHN37" s="71"/>
      <c r="GHO37" s="71"/>
      <c r="GHP37" s="71"/>
      <c r="GHQ37" s="71"/>
      <c r="GHR37" s="71"/>
      <c r="GHS37" s="71"/>
      <c r="GHT37" s="71"/>
      <c r="GHU37" s="71"/>
      <c r="GHV37" s="71"/>
      <c r="GHW37" s="71"/>
      <c r="GHX37" s="71"/>
      <c r="GHY37" s="71"/>
      <c r="GHZ37" s="71"/>
      <c r="GIA37" s="71"/>
      <c r="GIB37" s="71"/>
      <c r="GIC37" s="71"/>
      <c r="GID37" s="71"/>
      <c r="GIE37" s="71"/>
      <c r="GIF37" s="71"/>
      <c r="GIG37" s="71"/>
      <c r="GIH37" s="71"/>
      <c r="GII37" s="71"/>
      <c r="GIJ37" s="71"/>
      <c r="GIK37" s="71"/>
      <c r="GIL37" s="71"/>
      <c r="GIM37" s="71"/>
      <c r="GIN37" s="71"/>
      <c r="GIO37" s="71"/>
      <c r="GIP37" s="71"/>
      <c r="GIQ37" s="71"/>
      <c r="GIR37" s="71"/>
      <c r="GIS37" s="71"/>
      <c r="GIT37" s="71"/>
      <c r="GIU37" s="71"/>
      <c r="GIV37" s="71"/>
      <c r="GIW37" s="71"/>
      <c r="GIX37" s="71"/>
      <c r="GIY37" s="71"/>
      <c r="GIZ37" s="71"/>
      <c r="GJA37" s="71"/>
      <c r="GJB37" s="71"/>
      <c r="GJC37" s="71"/>
      <c r="GJD37" s="71"/>
      <c r="GJE37" s="71"/>
      <c r="GJF37" s="71"/>
      <c r="GJG37" s="71"/>
      <c r="GJH37" s="71"/>
      <c r="GJI37" s="71"/>
      <c r="GJJ37" s="71"/>
      <c r="GJK37" s="71"/>
      <c r="GJL37" s="71"/>
      <c r="GJM37" s="71"/>
      <c r="GJN37" s="71"/>
      <c r="GJO37" s="71"/>
      <c r="GJP37" s="71"/>
      <c r="GJQ37" s="71"/>
      <c r="GJR37" s="71"/>
      <c r="GJS37" s="71"/>
      <c r="GJT37" s="71"/>
      <c r="GJU37" s="71"/>
      <c r="GJV37" s="71"/>
      <c r="GJW37" s="71"/>
      <c r="GJX37" s="71"/>
      <c r="GJY37" s="71"/>
      <c r="GJZ37" s="71"/>
      <c r="GKA37" s="71"/>
      <c r="GKB37" s="71"/>
      <c r="GKC37" s="71"/>
      <c r="GKD37" s="71"/>
      <c r="GKE37" s="71"/>
      <c r="GKF37" s="71"/>
      <c r="GKG37" s="71"/>
      <c r="GKH37" s="71"/>
      <c r="GKI37" s="71"/>
      <c r="GKJ37" s="71"/>
      <c r="GKK37" s="71"/>
      <c r="GKL37" s="71"/>
      <c r="GKM37" s="71"/>
      <c r="GKN37" s="71"/>
      <c r="GKO37" s="71"/>
      <c r="GKP37" s="71"/>
      <c r="GKQ37" s="71"/>
      <c r="GKR37" s="71"/>
      <c r="GKS37" s="71"/>
      <c r="GKT37" s="71"/>
      <c r="GKU37" s="71"/>
      <c r="GKV37" s="71"/>
      <c r="GKW37" s="71"/>
      <c r="GKX37" s="71"/>
      <c r="GKY37" s="71"/>
      <c r="GKZ37" s="71"/>
      <c r="GLA37" s="71"/>
      <c r="GLB37" s="71"/>
      <c r="GLC37" s="71"/>
      <c r="GLD37" s="71"/>
      <c r="GLE37" s="71"/>
      <c r="GLF37" s="71"/>
      <c r="GLG37" s="71"/>
      <c r="GLH37" s="71"/>
      <c r="GLI37" s="71"/>
      <c r="GLJ37" s="71"/>
      <c r="GLK37" s="71"/>
      <c r="GLL37" s="71"/>
      <c r="GLM37" s="71"/>
      <c r="GLN37" s="71"/>
      <c r="GLO37" s="71"/>
      <c r="GLP37" s="71"/>
      <c r="GLQ37" s="71"/>
      <c r="GLR37" s="71"/>
      <c r="GLS37" s="71"/>
      <c r="GLT37" s="71"/>
      <c r="GLU37" s="71"/>
      <c r="GLV37" s="71"/>
      <c r="GLW37" s="71"/>
      <c r="GLX37" s="71"/>
      <c r="GLY37" s="71"/>
      <c r="GLZ37" s="71"/>
      <c r="GMA37" s="71"/>
      <c r="GMB37" s="71"/>
      <c r="GMC37" s="71"/>
      <c r="GMD37" s="71"/>
      <c r="GME37" s="71"/>
      <c r="GMF37" s="71"/>
      <c r="GMG37" s="71"/>
      <c r="GMH37" s="71"/>
      <c r="GMI37" s="71"/>
      <c r="GMJ37" s="71"/>
      <c r="GMK37" s="71"/>
      <c r="GML37" s="71"/>
      <c r="GMM37" s="71"/>
      <c r="GMN37" s="71"/>
      <c r="GMO37" s="71"/>
      <c r="GMP37" s="71"/>
      <c r="GMQ37" s="71"/>
      <c r="GMR37" s="71"/>
      <c r="GMS37" s="71"/>
      <c r="GMT37" s="71"/>
      <c r="GMU37" s="71"/>
      <c r="GMV37" s="71"/>
      <c r="GMW37" s="71"/>
      <c r="GMX37" s="71"/>
      <c r="GMY37" s="71"/>
      <c r="GMZ37" s="71"/>
      <c r="GNA37" s="71"/>
      <c r="GNB37" s="71"/>
      <c r="GNC37" s="71"/>
      <c r="GND37" s="71"/>
      <c r="GNE37" s="71"/>
      <c r="GNF37" s="71"/>
      <c r="GNG37" s="71"/>
      <c r="GNH37" s="71"/>
      <c r="GNI37" s="71"/>
      <c r="GNJ37" s="71"/>
      <c r="GNK37" s="71"/>
      <c r="GNL37" s="71"/>
      <c r="GNM37" s="71"/>
      <c r="GNN37" s="71"/>
      <c r="GNO37" s="71"/>
      <c r="GNP37" s="71"/>
      <c r="GNQ37" s="71"/>
      <c r="GNR37" s="71"/>
      <c r="GNS37" s="71"/>
      <c r="GNT37" s="71"/>
      <c r="GNU37" s="71"/>
      <c r="GNV37" s="71"/>
      <c r="GNW37" s="71"/>
      <c r="GNX37" s="71"/>
      <c r="GNY37" s="71"/>
      <c r="GNZ37" s="71"/>
      <c r="GOA37" s="71"/>
      <c r="GOB37" s="71"/>
      <c r="GOC37" s="71"/>
      <c r="GOD37" s="71"/>
      <c r="GOE37" s="71"/>
      <c r="GOF37" s="71"/>
      <c r="GOG37" s="71"/>
      <c r="GOH37" s="71"/>
      <c r="GOI37" s="71"/>
      <c r="GOJ37" s="71"/>
      <c r="GOK37" s="71"/>
      <c r="GOL37" s="71"/>
      <c r="GOM37" s="71"/>
      <c r="GON37" s="71"/>
      <c r="GOO37" s="71"/>
      <c r="GOP37" s="71"/>
      <c r="GOQ37" s="71"/>
      <c r="GOR37" s="71"/>
      <c r="GOS37" s="71"/>
      <c r="GOT37" s="71"/>
      <c r="GOU37" s="71"/>
      <c r="GOV37" s="71"/>
      <c r="GOW37" s="71"/>
      <c r="GOX37" s="71"/>
      <c r="GOY37" s="71"/>
      <c r="GOZ37" s="71"/>
      <c r="GPA37" s="71"/>
      <c r="GPB37" s="71"/>
      <c r="GPC37" s="71"/>
      <c r="GPD37" s="71"/>
      <c r="GPE37" s="71"/>
      <c r="GPF37" s="71"/>
      <c r="GPG37" s="71"/>
      <c r="GPH37" s="71"/>
      <c r="GPI37" s="71"/>
      <c r="GPJ37" s="71"/>
      <c r="GPK37" s="71"/>
      <c r="GPL37" s="71"/>
      <c r="GPM37" s="71"/>
      <c r="GPN37" s="71"/>
      <c r="GPO37" s="71"/>
      <c r="GPP37" s="71"/>
      <c r="GPQ37" s="71"/>
      <c r="GPR37" s="71"/>
      <c r="GPS37" s="71"/>
      <c r="GPT37" s="71"/>
      <c r="GPU37" s="71"/>
      <c r="GPV37" s="71"/>
      <c r="GPW37" s="71"/>
      <c r="GPX37" s="71"/>
      <c r="GPY37" s="71"/>
      <c r="GPZ37" s="71"/>
      <c r="GQA37" s="71"/>
      <c r="GQB37" s="71"/>
      <c r="GQC37" s="71"/>
      <c r="GQD37" s="71"/>
      <c r="GQE37" s="71"/>
      <c r="GQF37" s="71"/>
      <c r="GQG37" s="71"/>
      <c r="GQH37" s="71"/>
      <c r="GQI37" s="71"/>
      <c r="GQJ37" s="71"/>
      <c r="GQK37" s="71"/>
      <c r="GQL37" s="71"/>
      <c r="GQM37" s="71"/>
      <c r="GQN37" s="71"/>
      <c r="GQO37" s="71"/>
      <c r="GQP37" s="71"/>
      <c r="GQQ37" s="71"/>
      <c r="GQR37" s="71"/>
      <c r="GQS37" s="71"/>
      <c r="GQT37" s="71"/>
      <c r="GQU37" s="71"/>
      <c r="GQV37" s="71"/>
      <c r="GQW37" s="71"/>
      <c r="GQX37" s="71"/>
      <c r="GQY37" s="71"/>
      <c r="GQZ37" s="71"/>
      <c r="GRA37" s="71"/>
      <c r="GRB37" s="71"/>
      <c r="GRC37" s="71"/>
      <c r="GRD37" s="71"/>
      <c r="GRE37" s="71"/>
      <c r="GRF37" s="71"/>
      <c r="GRG37" s="71"/>
      <c r="GRH37" s="71"/>
      <c r="GRI37" s="71"/>
      <c r="GRJ37" s="71"/>
      <c r="GRK37" s="71"/>
      <c r="GRL37" s="71"/>
      <c r="GRM37" s="71"/>
      <c r="GRN37" s="71"/>
      <c r="GRO37" s="71"/>
      <c r="GRP37" s="71"/>
      <c r="GRQ37" s="71"/>
      <c r="GRR37" s="71"/>
      <c r="GRS37" s="71"/>
      <c r="GRT37" s="71"/>
      <c r="GRU37" s="71"/>
      <c r="GRV37" s="71"/>
      <c r="GRW37" s="71"/>
      <c r="GRX37" s="71"/>
      <c r="GRY37" s="71"/>
      <c r="GRZ37" s="71"/>
      <c r="GSA37" s="71"/>
      <c r="GSB37" s="71"/>
      <c r="GSC37" s="71"/>
      <c r="GSD37" s="71"/>
      <c r="GSE37" s="71"/>
      <c r="GSF37" s="71"/>
      <c r="GSG37" s="71"/>
      <c r="GSH37" s="71"/>
      <c r="GSI37" s="71"/>
      <c r="GSJ37" s="71"/>
      <c r="GSK37" s="71"/>
      <c r="GSL37" s="71"/>
      <c r="GSM37" s="71"/>
      <c r="GSN37" s="71"/>
      <c r="GSO37" s="71"/>
      <c r="GSP37" s="71"/>
      <c r="GSQ37" s="71"/>
      <c r="GSR37" s="71"/>
      <c r="GSS37" s="71"/>
      <c r="GST37" s="71"/>
      <c r="GSU37" s="71"/>
      <c r="GSV37" s="71"/>
      <c r="GSW37" s="71"/>
      <c r="GSX37" s="71"/>
      <c r="GSY37" s="71"/>
      <c r="GSZ37" s="71"/>
      <c r="GTA37" s="71"/>
      <c r="GTB37" s="71"/>
      <c r="GTC37" s="71"/>
      <c r="GTD37" s="71"/>
      <c r="GTE37" s="71"/>
      <c r="GTF37" s="71"/>
      <c r="GTG37" s="71"/>
      <c r="GTH37" s="71"/>
      <c r="GTI37" s="71"/>
      <c r="GTJ37" s="71"/>
      <c r="GTK37" s="71"/>
      <c r="GTL37" s="71"/>
      <c r="GTM37" s="71"/>
      <c r="GTN37" s="71"/>
      <c r="GTO37" s="71"/>
      <c r="GTP37" s="71"/>
      <c r="GTQ37" s="71"/>
      <c r="GTR37" s="71"/>
      <c r="GTS37" s="71"/>
      <c r="GTT37" s="71"/>
      <c r="GTU37" s="71"/>
      <c r="GTV37" s="71"/>
      <c r="GTW37" s="71"/>
      <c r="GTX37" s="71"/>
      <c r="GTY37" s="71"/>
      <c r="GTZ37" s="71"/>
      <c r="GUA37" s="71"/>
      <c r="GUB37" s="71"/>
      <c r="GUC37" s="71"/>
      <c r="GUD37" s="71"/>
      <c r="GUE37" s="71"/>
      <c r="GUF37" s="71"/>
      <c r="GUG37" s="71"/>
      <c r="GUH37" s="71"/>
      <c r="GUI37" s="71"/>
      <c r="GUJ37" s="71"/>
      <c r="GUK37" s="71"/>
      <c r="GUL37" s="71"/>
      <c r="GUM37" s="71"/>
      <c r="GUN37" s="71"/>
      <c r="GUO37" s="71"/>
      <c r="GUP37" s="71"/>
      <c r="GUQ37" s="71"/>
      <c r="GUR37" s="71"/>
      <c r="GUS37" s="71"/>
      <c r="GUT37" s="71"/>
      <c r="GUU37" s="71"/>
      <c r="GUV37" s="71"/>
      <c r="GUW37" s="71"/>
      <c r="GUX37" s="71"/>
      <c r="GUY37" s="71"/>
      <c r="GUZ37" s="71"/>
      <c r="GVA37" s="71"/>
      <c r="GVB37" s="71"/>
      <c r="GVC37" s="71"/>
      <c r="GVD37" s="71"/>
      <c r="GVE37" s="71"/>
      <c r="GVF37" s="71"/>
      <c r="GVG37" s="71"/>
      <c r="GVH37" s="71"/>
      <c r="GVI37" s="71"/>
      <c r="GVJ37" s="71"/>
      <c r="GVK37" s="71"/>
      <c r="GVL37" s="71"/>
      <c r="GVM37" s="71"/>
      <c r="GVN37" s="71"/>
      <c r="GVO37" s="71"/>
      <c r="GVP37" s="71"/>
      <c r="GVQ37" s="71"/>
      <c r="GVR37" s="71"/>
      <c r="GVS37" s="71"/>
      <c r="GVT37" s="71"/>
      <c r="GVU37" s="71"/>
      <c r="GVV37" s="71"/>
      <c r="GVW37" s="71"/>
      <c r="GVX37" s="71"/>
      <c r="GVY37" s="71"/>
      <c r="GVZ37" s="71"/>
      <c r="GWA37" s="71"/>
      <c r="GWB37" s="71"/>
      <c r="GWC37" s="71"/>
      <c r="GWD37" s="71"/>
      <c r="GWE37" s="71"/>
      <c r="GWF37" s="71"/>
      <c r="GWG37" s="71"/>
      <c r="GWH37" s="71"/>
      <c r="GWI37" s="71"/>
      <c r="GWJ37" s="71"/>
      <c r="GWK37" s="71"/>
      <c r="GWL37" s="71"/>
      <c r="GWM37" s="71"/>
      <c r="GWN37" s="71"/>
      <c r="GWO37" s="71"/>
      <c r="GWP37" s="71"/>
      <c r="GWQ37" s="71"/>
      <c r="GWR37" s="71"/>
      <c r="GWS37" s="71"/>
      <c r="GWT37" s="71"/>
      <c r="GWU37" s="71"/>
      <c r="GWV37" s="71"/>
      <c r="GWW37" s="71"/>
      <c r="GWX37" s="71"/>
      <c r="GWY37" s="71"/>
      <c r="GWZ37" s="71"/>
      <c r="GXA37" s="71"/>
      <c r="GXB37" s="71"/>
      <c r="GXC37" s="71"/>
      <c r="GXD37" s="71"/>
      <c r="GXE37" s="71"/>
      <c r="GXF37" s="71"/>
      <c r="GXG37" s="71"/>
      <c r="GXH37" s="71"/>
      <c r="GXI37" s="71"/>
      <c r="GXJ37" s="71"/>
      <c r="GXK37" s="71"/>
      <c r="GXL37" s="71"/>
      <c r="GXM37" s="71"/>
      <c r="GXN37" s="71"/>
      <c r="GXO37" s="71"/>
      <c r="GXP37" s="71"/>
      <c r="GXQ37" s="71"/>
      <c r="GXR37" s="71"/>
      <c r="GXS37" s="71"/>
      <c r="GXT37" s="71"/>
      <c r="GXU37" s="71"/>
      <c r="GXV37" s="71"/>
      <c r="GXW37" s="71"/>
      <c r="GXX37" s="71"/>
      <c r="GXY37" s="71"/>
      <c r="GXZ37" s="71"/>
      <c r="GYA37" s="71"/>
      <c r="GYB37" s="71"/>
      <c r="GYC37" s="71"/>
      <c r="GYD37" s="71"/>
      <c r="GYE37" s="71"/>
      <c r="GYF37" s="71"/>
      <c r="GYG37" s="71"/>
      <c r="GYH37" s="71"/>
      <c r="GYI37" s="71"/>
      <c r="GYJ37" s="71"/>
      <c r="GYK37" s="71"/>
      <c r="GYL37" s="71"/>
      <c r="GYM37" s="71"/>
      <c r="GYN37" s="71"/>
      <c r="GYO37" s="71"/>
      <c r="GYP37" s="71"/>
      <c r="GYQ37" s="71"/>
      <c r="GYR37" s="71"/>
      <c r="GYS37" s="71"/>
      <c r="GYT37" s="71"/>
      <c r="GYU37" s="71"/>
      <c r="GYV37" s="71"/>
      <c r="GYW37" s="71"/>
      <c r="GYX37" s="71"/>
      <c r="GYY37" s="71"/>
      <c r="GYZ37" s="71"/>
      <c r="GZA37" s="71"/>
      <c r="GZB37" s="71"/>
      <c r="GZC37" s="71"/>
      <c r="GZD37" s="71"/>
      <c r="GZE37" s="71"/>
      <c r="GZF37" s="71"/>
      <c r="GZG37" s="71"/>
      <c r="GZH37" s="71"/>
      <c r="GZI37" s="71"/>
      <c r="GZJ37" s="71"/>
      <c r="GZK37" s="71"/>
      <c r="GZL37" s="71"/>
      <c r="GZM37" s="71"/>
      <c r="GZN37" s="71"/>
      <c r="GZO37" s="71"/>
      <c r="GZP37" s="71"/>
      <c r="GZQ37" s="71"/>
      <c r="GZR37" s="71"/>
      <c r="GZS37" s="71"/>
      <c r="GZT37" s="71"/>
      <c r="GZU37" s="71"/>
      <c r="GZV37" s="71"/>
      <c r="GZW37" s="71"/>
      <c r="GZX37" s="71"/>
      <c r="GZY37" s="71"/>
      <c r="GZZ37" s="71"/>
      <c r="HAA37" s="71"/>
      <c r="HAB37" s="71"/>
      <c r="HAC37" s="71"/>
      <c r="HAD37" s="71"/>
      <c r="HAE37" s="71"/>
      <c r="HAF37" s="71"/>
      <c r="HAG37" s="71"/>
      <c r="HAH37" s="71"/>
      <c r="HAI37" s="71"/>
      <c r="HAJ37" s="71"/>
      <c r="HAK37" s="71"/>
      <c r="HAL37" s="71"/>
      <c r="HAM37" s="71"/>
      <c r="HAN37" s="71"/>
      <c r="HAO37" s="71"/>
      <c r="HAP37" s="71"/>
      <c r="HAQ37" s="71"/>
      <c r="HAR37" s="71"/>
      <c r="HAS37" s="71"/>
      <c r="HAT37" s="71"/>
      <c r="HAU37" s="71"/>
      <c r="HAV37" s="71"/>
      <c r="HAW37" s="71"/>
      <c r="HAX37" s="71"/>
      <c r="HAY37" s="71"/>
      <c r="HAZ37" s="71"/>
      <c r="HBA37" s="71"/>
      <c r="HBB37" s="71"/>
      <c r="HBC37" s="71"/>
      <c r="HBD37" s="71"/>
      <c r="HBE37" s="71"/>
      <c r="HBF37" s="71"/>
      <c r="HBG37" s="71"/>
      <c r="HBH37" s="71"/>
      <c r="HBI37" s="71"/>
      <c r="HBJ37" s="71"/>
      <c r="HBK37" s="71"/>
      <c r="HBL37" s="71"/>
      <c r="HBM37" s="71"/>
      <c r="HBN37" s="71"/>
      <c r="HBO37" s="71"/>
      <c r="HBP37" s="71"/>
      <c r="HBQ37" s="71"/>
      <c r="HBR37" s="71"/>
      <c r="HBS37" s="71"/>
      <c r="HBT37" s="71"/>
      <c r="HBU37" s="71"/>
      <c r="HBV37" s="71"/>
      <c r="HBW37" s="71"/>
      <c r="HBX37" s="71"/>
      <c r="HBY37" s="71"/>
      <c r="HBZ37" s="71"/>
      <c r="HCA37" s="71"/>
      <c r="HCB37" s="71"/>
      <c r="HCC37" s="71"/>
      <c r="HCD37" s="71"/>
      <c r="HCE37" s="71"/>
      <c r="HCF37" s="71"/>
      <c r="HCG37" s="71"/>
      <c r="HCH37" s="71"/>
      <c r="HCI37" s="71"/>
      <c r="HCJ37" s="71"/>
      <c r="HCK37" s="71"/>
      <c r="HCL37" s="71"/>
      <c r="HCM37" s="71"/>
      <c r="HCN37" s="71"/>
      <c r="HCO37" s="71"/>
      <c r="HCP37" s="71"/>
      <c r="HCQ37" s="71"/>
      <c r="HCR37" s="71"/>
      <c r="HCS37" s="71"/>
      <c r="HCT37" s="71"/>
      <c r="HCU37" s="71"/>
      <c r="HCV37" s="71"/>
      <c r="HCW37" s="71"/>
      <c r="HCX37" s="71"/>
      <c r="HCY37" s="71"/>
      <c r="HCZ37" s="71"/>
      <c r="HDA37" s="71"/>
      <c r="HDB37" s="71"/>
      <c r="HDC37" s="71"/>
      <c r="HDD37" s="71"/>
      <c r="HDE37" s="71"/>
      <c r="HDF37" s="71"/>
      <c r="HDG37" s="71"/>
      <c r="HDH37" s="71"/>
      <c r="HDI37" s="71"/>
      <c r="HDJ37" s="71"/>
      <c r="HDK37" s="71"/>
      <c r="HDL37" s="71"/>
      <c r="HDM37" s="71"/>
      <c r="HDN37" s="71"/>
      <c r="HDO37" s="71"/>
      <c r="HDP37" s="71"/>
      <c r="HDQ37" s="71"/>
      <c r="HDR37" s="71"/>
      <c r="HDS37" s="71"/>
      <c r="HDT37" s="71"/>
      <c r="HDU37" s="71"/>
      <c r="HDV37" s="71"/>
      <c r="HDW37" s="71"/>
      <c r="HDX37" s="71"/>
      <c r="HDY37" s="71"/>
      <c r="HDZ37" s="71"/>
      <c r="HEA37" s="71"/>
      <c r="HEB37" s="71"/>
      <c r="HEC37" s="71"/>
      <c r="HED37" s="71"/>
      <c r="HEE37" s="71"/>
      <c r="HEF37" s="71"/>
      <c r="HEG37" s="71"/>
      <c r="HEH37" s="71"/>
      <c r="HEI37" s="71"/>
      <c r="HEJ37" s="71"/>
      <c r="HEK37" s="71"/>
      <c r="HEL37" s="71"/>
      <c r="HEM37" s="71"/>
      <c r="HEN37" s="71"/>
      <c r="HEO37" s="71"/>
      <c r="HEP37" s="71"/>
      <c r="HEQ37" s="71"/>
      <c r="HER37" s="71"/>
      <c r="HES37" s="71"/>
      <c r="HET37" s="71"/>
      <c r="HEU37" s="71"/>
      <c r="HEV37" s="71"/>
      <c r="HEW37" s="71"/>
      <c r="HEX37" s="71"/>
      <c r="HEY37" s="71"/>
      <c r="HEZ37" s="71"/>
      <c r="HFA37" s="71"/>
      <c r="HFB37" s="71"/>
      <c r="HFC37" s="71"/>
      <c r="HFD37" s="71"/>
      <c r="HFE37" s="71"/>
      <c r="HFF37" s="71"/>
      <c r="HFG37" s="71"/>
      <c r="HFH37" s="71"/>
      <c r="HFI37" s="71"/>
      <c r="HFJ37" s="71"/>
      <c r="HFK37" s="71"/>
      <c r="HFL37" s="71"/>
      <c r="HFM37" s="71"/>
      <c r="HFN37" s="71"/>
      <c r="HFO37" s="71"/>
      <c r="HFP37" s="71"/>
      <c r="HFQ37" s="71"/>
      <c r="HFR37" s="71"/>
      <c r="HFS37" s="71"/>
      <c r="HFT37" s="71"/>
      <c r="HFU37" s="71"/>
      <c r="HFV37" s="71"/>
      <c r="HFW37" s="71"/>
      <c r="HFX37" s="71"/>
      <c r="HFY37" s="71"/>
      <c r="HFZ37" s="71"/>
      <c r="HGA37" s="71"/>
      <c r="HGB37" s="71"/>
      <c r="HGC37" s="71"/>
      <c r="HGD37" s="71"/>
      <c r="HGE37" s="71"/>
      <c r="HGF37" s="71"/>
      <c r="HGG37" s="71"/>
      <c r="HGH37" s="71"/>
      <c r="HGI37" s="71"/>
      <c r="HGJ37" s="71"/>
      <c r="HGK37" s="71"/>
      <c r="HGL37" s="71"/>
      <c r="HGM37" s="71"/>
      <c r="HGN37" s="71"/>
      <c r="HGO37" s="71"/>
      <c r="HGP37" s="71"/>
      <c r="HGQ37" s="71"/>
      <c r="HGR37" s="71"/>
      <c r="HGS37" s="71"/>
      <c r="HGT37" s="71"/>
      <c r="HGU37" s="71"/>
      <c r="HGV37" s="71"/>
      <c r="HGW37" s="71"/>
      <c r="HGX37" s="71"/>
      <c r="HGY37" s="71"/>
      <c r="HGZ37" s="71"/>
      <c r="HHA37" s="71"/>
      <c r="HHB37" s="71"/>
      <c r="HHC37" s="71"/>
      <c r="HHD37" s="71"/>
      <c r="HHE37" s="71"/>
      <c r="HHF37" s="71"/>
      <c r="HHG37" s="71"/>
      <c r="HHH37" s="71"/>
      <c r="HHI37" s="71"/>
      <c r="HHJ37" s="71"/>
      <c r="HHK37" s="71"/>
      <c r="HHL37" s="71"/>
      <c r="HHM37" s="71"/>
      <c r="HHN37" s="71"/>
      <c r="HHO37" s="71"/>
      <c r="HHP37" s="71"/>
      <c r="HHQ37" s="71"/>
      <c r="HHR37" s="71"/>
      <c r="HHS37" s="71"/>
      <c r="HHT37" s="71"/>
      <c r="HHU37" s="71"/>
      <c r="HHV37" s="71"/>
      <c r="HHW37" s="71"/>
      <c r="HHX37" s="71"/>
      <c r="HHY37" s="71"/>
      <c r="HHZ37" s="71"/>
      <c r="HIA37" s="71"/>
      <c r="HIB37" s="71"/>
      <c r="HIC37" s="71"/>
      <c r="HID37" s="71"/>
      <c r="HIE37" s="71"/>
      <c r="HIF37" s="71"/>
      <c r="HIG37" s="71"/>
      <c r="HIH37" s="71"/>
      <c r="HII37" s="71"/>
      <c r="HIJ37" s="71"/>
      <c r="HIK37" s="71"/>
      <c r="HIL37" s="71"/>
      <c r="HIM37" s="71"/>
      <c r="HIN37" s="71"/>
      <c r="HIO37" s="71"/>
      <c r="HIP37" s="71"/>
      <c r="HIQ37" s="71"/>
      <c r="HIR37" s="71"/>
      <c r="HIS37" s="71"/>
      <c r="HIT37" s="71"/>
      <c r="HIU37" s="71"/>
      <c r="HIV37" s="71"/>
      <c r="HIW37" s="71"/>
      <c r="HIX37" s="71"/>
      <c r="HIY37" s="71"/>
      <c r="HIZ37" s="71"/>
      <c r="HJA37" s="71"/>
      <c r="HJB37" s="71"/>
      <c r="HJC37" s="71"/>
      <c r="HJD37" s="71"/>
      <c r="HJE37" s="71"/>
      <c r="HJF37" s="71"/>
      <c r="HJG37" s="71"/>
      <c r="HJH37" s="71"/>
      <c r="HJI37" s="71"/>
      <c r="HJJ37" s="71"/>
      <c r="HJK37" s="71"/>
      <c r="HJL37" s="71"/>
      <c r="HJM37" s="71"/>
      <c r="HJN37" s="71"/>
      <c r="HJO37" s="71"/>
      <c r="HJP37" s="71"/>
      <c r="HJQ37" s="71"/>
      <c r="HJR37" s="71"/>
      <c r="HJS37" s="71"/>
      <c r="HJT37" s="71"/>
      <c r="HJU37" s="71"/>
      <c r="HJV37" s="71"/>
      <c r="HJW37" s="71"/>
      <c r="HJX37" s="71"/>
      <c r="HJY37" s="71"/>
      <c r="HJZ37" s="71"/>
      <c r="HKA37" s="71"/>
      <c r="HKB37" s="71"/>
      <c r="HKC37" s="71"/>
      <c r="HKD37" s="71"/>
      <c r="HKE37" s="71"/>
      <c r="HKF37" s="71"/>
      <c r="HKG37" s="71"/>
      <c r="HKH37" s="71"/>
      <c r="HKI37" s="71"/>
      <c r="HKJ37" s="71"/>
      <c r="HKK37" s="71"/>
      <c r="HKL37" s="71"/>
      <c r="HKM37" s="71"/>
      <c r="HKN37" s="71"/>
      <c r="HKO37" s="71"/>
      <c r="HKP37" s="71"/>
      <c r="HKQ37" s="71"/>
      <c r="HKR37" s="71"/>
      <c r="HKS37" s="71"/>
      <c r="HKT37" s="71"/>
      <c r="HKU37" s="71"/>
      <c r="HKV37" s="71"/>
      <c r="HKW37" s="71"/>
      <c r="HKX37" s="71"/>
      <c r="HKY37" s="71"/>
      <c r="HKZ37" s="71"/>
      <c r="HLA37" s="71"/>
      <c r="HLB37" s="71"/>
      <c r="HLC37" s="71"/>
      <c r="HLD37" s="71"/>
      <c r="HLE37" s="71"/>
      <c r="HLF37" s="71"/>
      <c r="HLG37" s="71"/>
      <c r="HLH37" s="71"/>
      <c r="HLI37" s="71"/>
      <c r="HLJ37" s="71"/>
      <c r="HLK37" s="71"/>
      <c r="HLL37" s="71"/>
      <c r="HLM37" s="71"/>
      <c r="HLN37" s="71"/>
      <c r="HLO37" s="71"/>
      <c r="HLP37" s="71"/>
      <c r="HLQ37" s="71"/>
      <c r="HLR37" s="71"/>
      <c r="HLS37" s="71"/>
      <c r="HLT37" s="71"/>
      <c r="HLU37" s="71"/>
      <c r="HLV37" s="71"/>
      <c r="HLW37" s="71"/>
      <c r="HLX37" s="71"/>
      <c r="HLY37" s="71"/>
      <c r="HLZ37" s="71"/>
      <c r="HMA37" s="71"/>
      <c r="HMB37" s="71"/>
      <c r="HMC37" s="71"/>
      <c r="HMD37" s="71"/>
      <c r="HME37" s="71"/>
      <c r="HMF37" s="71"/>
      <c r="HMG37" s="71"/>
      <c r="HMH37" s="71"/>
      <c r="HMI37" s="71"/>
      <c r="HMJ37" s="71"/>
      <c r="HMK37" s="71"/>
      <c r="HML37" s="71"/>
      <c r="HMM37" s="71"/>
      <c r="HMN37" s="71"/>
      <c r="HMO37" s="71"/>
      <c r="HMP37" s="71"/>
      <c r="HMQ37" s="71"/>
      <c r="HMR37" s="71"/>
      <c r="HMS37" s="71"/>
      <c r="HMT37" s="71"/>
      <c r="HMU37" s="71"/>
      <c r="HMV37" s="71"/>
      <c r="HMW37" s="71"/>
      <c r="HMX37" s="71"/>
      <c r="HMY37" s="71"/>
      <c r="HMZ37" s="71"/>
      <c r="HNA37" s="71"/>
      <c r="HNB37" s="71"/>
      <c r="HNC37" s="71"/>
      <c r="HND37" s="71"/>
      <c r="HNE37" s="71"/>
      <c r="HNF37" s="71"/>
      <c r="HNG37" s="71"/>
      <c r="HNH37" s="71"/>
      <c r="HNI37" s="71"/>
      <c r="HNJ37" s="71"/>
      <c r="HNK37" s="71"/>
      <c r="HNL37" s="71"/>
      <c r="HNM37" s="71"/>
      <c r="HNN37" s="71"/>
      <c r="HNO37" s="71"/>
      <c r="HNP37" s="71"/>
      <c r="HNQ37" s="71"/>
      <c r="HNR37" s="71"/>
      <c r="HNS37" s="71"/>
      <c r="HNT37" s="71"/>
      <c r="HNU37" s="71"/>
      <c r="HNV37" s="71"/>
      <c r="HNW37" s="71"/>
      <c r="HNX37" s="71"/>
      <c r="HNY37" s="71"/>
      <c r="HNZ37" s="71"/>
      <c r="HOA37" s="71"/>
      <c r="HOB37" s="71"/>
      <c r="HOC37" s="71"/>
      <c r="HOD37" s="71"/>
      <c r="HOE37" s="71"/>
      <c r="HOF37" s="71"/>
      <c r="HOG37" s="71"/>
      <c r="HOH37" s="71"/>
      <c r="HOI37" s="71"/>
      <c r="HOJ37" s="71"/>
      <c r="HOK37" s="71"/>
      <c r="HOL37" s="71"/>
      <c r="HOM37" s="71"/>
      <c r="HON37" s="71"/>
      <c r="HOO37" s="71"/>
      <c r="HOP37" s="71"/>
      <c r="HOQ37" s="71"/>
      <c r="HOR37" s="71"/>
      <c r="HOS37" s="71"/>
      <c r="HOT37" s="71"/>
      <c r="HOU37" s="71"/>
      <c r="HOV37" s="71"/>
      <c r="HOW37" s="71"/>
      <c r="HOX37" s="71"/>
      <c r="HOY37" s="71"/>
      <c r="HOZ37" s="71"/>
      <c r="HPA37" s="71"/>
      <c r="HPB37" s="71"/>
      <c r="HPC37" s="71"/>
      <c r="HPD37" s="71"/>
      <c r="HPE37" s="71"/>
      <c r="HPF37" s="71"/>
      <c r="HPG37" s="71"/>
      <c r="HPH37" s="71"/>
      <c r="HPI37" s="71"/>
      <c r="HPJ37" s="71"/>
      <c r="HPK37" s="71"/>
      <c r="HPL37" s="71"/>
      <c r="HPM37" s="71"/>
      <c r="HPN37" s="71"/>
      <c r="HPO37" s="71"/>
      <c r="HPP37" s="71"/>
      <c r="HPQ37" s="71"/>
      <c r="HPR37" s="71"/>
      <c r="HPS37" s="71"/>
      <c r="HPT37" s="71"/>
      <c r="HPU37" s="71"/>
      <c r="HPV37" s="71"/>
      <c r="HPW37" s="71"/>
      <c r="HPX37" s="71"/>
      <c r="HPY37" s="71"/>
      <c r="HPZ37" s="71"/>
      <c r="HQA37" s="71"/>
      <c r="HQB37" s="71"/>
      <c r="HQC37" s="71"/>
      <c r="HQD37" s="71"/>
      <c r="HQE37" s="71"/>
      <c r="HQF37" s="71"/>
      <c r="HQG37" s="71"/>
      <c r="HQH37" s="71"/>
      <c r="HQI37" s="71"/>
      <c r="HQJ37" s="71"/>
      <c r="HQK37" s="71"/>
      <c r="HQL37" s="71"/>
      <c r="HQM37" s="71"/>
      <c r="HQN37" s="71"/>
      <c r="HQO37" s="71"/>
      <c r="HQP37" s="71"/>
      <c r="HQQ37" s="71"/>
      <c r="HQR37" s="71"/>
      <c r="HQS37" s="71"/>
      <c r="HQT37" s="71"/>
      <c r="HQU37" s="71"/>
      <c r="HQV37" s="71"/>
      <c r="HQW37" s="71"/>
      <c r="HQX37" s="71"/>
      <c r="HQY37" s="71"/>
      <c r="HQZ37" s="71"/>
      <c r="HRA37" s="71"/>
      <c r="HRB37" s="71"/>
      <c r="HRC37" s="71"/>
      <c r="HRD37" s="71"/>
      <c r="HRE37" s="71"/>
      <c r="HRF37" s="71"/>
      <c r="HRG37" s="71"/>
      <c r="HRH37" s="71"/>
      <c r="HRI37" s="71"/>
      <c r="HRJ37" s="71"/>
      <c r="HRK37" s="71"/>
      <c r="HRL37" s="71"/>
      <c r="HRM37" s="71"/>
      <c r="HRN37" s="71"/>
      <c r="HRO37" s="71"/>
      <c r="HRP37" s="71"/>
      <c r="HRQ37" s="71"/>
      <c r="HRR37" s="71"/>
      <c r="HRS37" s="71"/>
      <c r="HRT37" s="71"/>
      <c r="HRU37" s="71"/>
      <c r="HRV37" s="71"/>
      <c r="HRW37" s="71"/>
      <c r="HRX37" s="71"/>
      <c r="HRY37" s="71"/>
      <c r="HRZ37" s="71"/>
      <c r="HSA37" s="71"/>
      <c r="HSB37" s="71"/>
      <c r="HSC37" s="71"/>
      <c r="HSD37" s="71"/>
      <c r="HSE37" s="71"/>
      <c r="HSF37" s="71"/>
      <c r="HSG37" s="71"/>
      <c r="HSH37" s="71"/>
      <c r="HSI37" s="71"/>
      <c r="HSJ37" s="71"/>
      <c r="HSK37" s="71"/>
      <c r="HSL37" s="71"/>
      <c r="HSM37" s="71"/>
      <c r="HSN37" s="71"/>
      <c r="HSO37" s="71"/>
      <c r="HSP37" s="71"/>
      <c r="HSQ37" s="71"/>
      <c r="HSR37" s="71"/>
      <c r="HSS37" s="71"/>
      <c r="HST37" s="71"/>
      <c r="HSU37" s="71"/>
      <c r="HSV37" s="71"/>
      <c r="HSW37" s="71"/>
      <c r="HSX37" s="71"/>
      <c r="HSY37" s="71"/>
      <c r="HSZ37" s="71"/>
      <c r="HTA37" s="71"/>
      <c r="HTB37" s="71"/>
      <c r="HTC37" s="71"/>
      <c r="HTD37" s="71"/>
      <c r="HTE37" s="71"/>
      <c r="HTF37" s="71"/>
      <c r="HTG37" s="71"/>
      <c r="HTH37" s="71"/>
      <c r="HTI37" s="71"/>
      <c r="HTJ37" s="71"/>
      <c r="HTK37" s="71"/>
      <c r="HTL37" s="71"/>
      <c r="HTM37" s="71"/>
      <c r="HTN37" s="71"/>
      <c r="HTO37" s="71"/>
      <c r="HTP37" s="71"/>
      <c r="HTQ37" s="71"/>
      <c r="HTR37" s="71"/>
      <c r="HTS37" s="71"/>
      <c r="HTT37" s="71"/>
      <c r="HTU37" s="71"/>
      <c r="HTV37" s="71"/>
      <c r="HTW37" s="71"/>
      <c r="HTX37" s="71"/>
      <c r="HTY37" s="71"/>
      <c r="HTZ37" s="71"/>
      <c r="HUA37" s="71"/>
      <c r="HUB37" s="71"/>
      <c r="HUC37" s="71"/>
      <c r="HUD37" s="71"/>
      <c r="HUE37" s="71"/>
      <c r="HUF37" s="71"/>
      <c r="HUG37" s="71"/>
      <c r="HUH37" s="71"/>
      <c r="HUI37" s="71"/>
      <c r="HUJ37" s="71"/>
      <c r="HUK37" s="71"/>
      <c r="HUL37" s="71"/>
      <c r="HUM37" s="71"/>
      <c r="HUN37" s="71"/>
      <c r="HUO37" s="71"/>
      <c r="HUP37" s="71"/>
      <c r="HUQ37" s="71"/>
      <c r="HUR37" s="71"/>
      <c r="HUS37" s="71"/>
      <c r="HUT37" s="71"/>
      <c r="HUU37" s="71"/>
      <c r="HUV37" s="71"/>
      <c r="HUW37" s="71"/>
      <c r="HUX37" s="71"/>
      <c r="HUY37" s="71"/>
      <c r="HUZ37" s="71"/>
      <c r="HVA37" s="71"/>
      <c r="HVB37" s="71"/>
      <c r="HVC37" s="71"/>
      <c r="HVD37" s="71"/>
      <c r="HVE37" s="71"/>
      <c r="HVF37" s="71"/>
      <c r="HVG37" s="71"/>
      <c r="HVH37" s="71"/>
      <c r="HVI37" s="71"/>
      <c r="HVJ37" s="71"/>
      <c r="HVK37" s="71"/>
      <c r="HVL37" s="71"/>
      <c r="HVM37" s="71"/>
      <c r="HVN37" s="71"/>
      <c r="HVO37" s="71"/>
      <c r="HVP37" s="71"/>
      <c r="HVQ37" s="71"/>
      <c r="HVR37" s="71"/>
      <c r="HVS37" s="71"/>
      <c r="HVT37" s="71"/>
      <c r="HVU37" s="71"/>
      <c r="HVV37" s="71"/>
      <c r="HVW37" s="71"/>
      <c r="HVX37" s="71"/>
      <c r="HVY37" s="71"/>
      <c r="HVZ37" s="71"/>
      <c r="HWA37" s="71"/>
      <c r="HWB37" s="71"/>
      <c r="HWC37" s="71"/>
      <c r="HWD37" s="71"/>
      <c r="HWE37" s="71"/>
      <c r="HWF37" s="71"/>
      <c r="HWG37" s="71"/>
      <c r="HWH37" s="71"/>
      <c r="HWI37" s="71"/>
      <c r="HWJ37" s="71"/>
      <c r="HWK37" s="71"/>
      <c r="HWL37" s="71"/>
      <c r="HWM37" s="71"/>
      <c r="HWN37" s="71"/>
      <c r="HWO37" s="71"/>
      <c r="HWP37" s="71"/>
      <c r="HWQ37" s="71"/>
      <c r="HWR37" s="71"/>
      <c r="HWS37" s="71"/>
      <c r="HWT37" s="71"/>
      <c r="HWU37" s="71"/>
      <c r="HWV37" s="71"/>
      <c r="HWW37" s="71"/>
      <c r="HWX37" s="71"/>
      <c r="HWY37" s="71"/>
      <c r="HWZ37" s="71"/>
      <c r="HXA37" s="71"/>
      <c r="HXB37" s="71"/>
      <c r="HXC37" s="71"/>
      <c r="HXD37" s="71"/>
      <c r="HXE37" s="71"/>
      <c r="HXF37" s="71"/>
      <c r="HXG37" s="71"/>
      <c r="HXH37" s="71"/>
      <c r="HXI37" s="71"/>
      <c r="HXJ37" s="71"/>
      <c r="HXK37" s="71"/>
      <c r="HXL37" s="71"/>
      <c r="HXM37" s="71"/>
      <c r="HXN37" s="71"/>
      <c r="HXO37" s="71"/>
      <c r="HXP37" s="71"/>
      <c r="HXQ37" s="71"/>
      <c r="HXR37" s="71"/>
      <c r="HXS37" s="71"/>
      <c r="HXT37" s="71"/>
      <c r="HXU37" s="71"/>
      <c r="HXV37" s="71"/>
      <c r="HXW37" s="71"/>
      <c r="HXX37" s="71"/>
      <c r="HXY37" s="71"/>
      <c r="HXZ37" s="71"/>
      <c r="HYA37" s="71"/>
      <c r="HYB37" s="71"/>
      <c r="HYC37" s="71"/>
      <c r="HYD37" s="71"/>
      <c r="HYE37" s="71"/>
      <c r="HYF37" s="71"/>
      <c r="HYG37" s="71"/>
      <c r="HYH37" s="71"/>
      <c r="HYI37" s="71"/>
      <c r="HYJ37" s="71"/>
      <c r="HYK37" s="71"/>
      <c r="HYL37" s="71"/>
      <c r="HYM37" s="71"/>
      <c r="HYN37" s="71"/>
      <c r="HYO37" s="71"/>
      <c r="HYP37" s="71"/>
      <c r="HYQ37" s="71"/>
      <c r="HYR37" s="71"/>
      <c r="HYS37" s="71"/>
      <c r="HYT37" s="71"/>
      <c r="HYU37" s="71"/>
      <c r="HYV37" s="71"/>
      <c r="HYW37" s="71"/>
      <c r="HYX37" s="71"/>
      <c r="HYY37" s="71"/>
      <c r="HYZ37" s="71"/>
      <c r="HZA37" s="71"/>
      <c r="HZB37" s="71"/>
      <c r="HZC37" s="71"/>
      <c r="HZD37" s="71"/>
      <c r="HZE37" s="71"/>
      <c r="HZF37" s="71"/>
      <c r="HZG37" s="71"/>
      <c r="HZH37" s="71"/>
      <c r="HZI37" s="71"/>
      <c r="HZJ37" s="71"/>
      <c r="HZK37" s="71"/>
      <c r="HZL37" s="71"/>
      <c r="HZM37" s="71"/>
      <c r="HZN37" s="71"/>
      <c r="HZO37" s="71"/>
      <c r="HZP37" s="71"/>
      <c r="HZQ37" s="71"/>
      <c r="HZR37" s="71"/>
      <c r="HZS37" s="71"/>
      <c r="HZT37" s="71"/>
      <c r="HZU37" s="71"/>
      <c r="HZV37" s="71"/>
      <c r="HZW37" s="71"/>
      <c r="HZX37" s="71"/>
      <c r="HZY37" s="71"/>
      <c r="HZZ37" s="71"/>
      <c r="IAA37" s="71"/>
      <c r="IAB37" s="71"/>
      <c r="IAC37" s="71"/>
      <c r="IAD37" s="71"/>
      <c r="IAE37" s="71"/>
      <c r="IAF37" s="71"/>
      <c r="IAG37" s="71"/>
      <c r="IAH37" s="71"/>
      <c r="IAI37" s="71"/>
      <c r="IAJ37" s="71"/>
      <c r="IAK37" s="71"/>
      <c r="IAL37" s="71"/>
      <c r="IAM37" s="71"/>
      <c r="IAN37" s="71"/>
      <c r="IAO37" s="71"/>
      <c r="IAP37" s="71"/>
      <c r="IAQ37" s="71"/>
      <c r="IAR37" s="71"/>
      <c r="IAS37" s="71"/>
      <c r="IAT37" s="71"/>
      <c r="IAU37" s="71"/>
      <c r="IAV37" s="71"/>
      <c r="IAW37" s="71"/>
      <c r="IAX37" s="71"/>
      <c r="IAY37" s="71"/>
      <c r="IAZ37" s="71"/>
      <c r="IBA37" s="71"/>
      <c r="IBB37" s="71"/>
      <c r="IBC37" s="71"/>
      <c r="IBD37" s="71"/>
      <c r="IBE37" s="71"/>
      <c r="IBF37" s="71"/>
      <c r="IBG37" s="71"/>
      <c r="IBH37" s="71"/>
      <c r="IBI37" s="71"/>
      <c r="IBJ37" s="71"/>
      <c r="IBK37" s="71"/>
      <c r="IBL37" s="71"/>
      <c r="IBM37" s="71"/>
      <c r="IBN37" s="71"/>
      <c r="IBO37" s="71"/>
      <c r="IBP37" s="71"/>
      <c r="IBQ37" s="71"/>
      <c r="IBR37" s="71"/>
      <c r="IBS37" s="71"/>
      <c r="IBT37" s="71"/>
      <c r="IBU37" s="71"/>
      <c r="IBV37" s="71"/>
      <c r="IBW37" s="71"/>
      <c r="IBX37" s="71"/>
      <c r="IBY37" s="71"/>
      <c r="IBZ37" s="71"/>
      <c r="ICA37" s="71"/>
      <c r="ICB37" s="71"/>
      <c r="ICC37" s="71"/>
      <c r="ICD37" s="71"/>
      <c r="ICE37" s="71"/>
      <c r="ICF37" s="71"/>
      <c r="ICG37" s="71"/>
      <c r="ICH37" s="71"/>
      <c r="ICI37" s="71"/>
      <c r="ICJ37" s="71"/>
      <c r="ICK37" s="71"/>
      <c r="ICL37" s="71"/>
      <c r="ICM37" s="71"/>
      <c r="ICN37" s="71"/>
      <c r="ICO37" s="71"/>
      <c r="ICP37" s="71"/>
      <c r="ICQ37" s="71"/>
      <c r="ICR37" s="71"/>
      <c r="ICS37" s="71"/>
      <c r="ICT37" s="71"/>
      <c r="ICU37" s="71"/>
      <c r="ICV37" s="71"/>
      <c r="ICW37" s="71"/>
      <c r="ICX37" s="71"/>
      <c r="ICY37" s="71"/>
      <c r="ICZ37" s="71"/>
      <c r="IDA37" s="71"/>
      <c r="IDB37" s="71"/>
      <c r="IDC37" s="71"/>
      <c r="IDD37" s="71"/>
      <c r="IDE37" s="71"/>
      <c r="IDF37" s="71"/>
      <c r="IDG37" s="71"/>
      <c r="IDH37" s="71"/>
      <c r="IDI37" s="71"/>
      <c r="IDJ37" s="71"/>
      <c r="IDK37" s="71"/>
      <c r="IDL37" s="71"/>
      <c r="IDM37" s="71"/>
      <c r="IDN37" s="71"/>
      <c r="IDO37" s="71"/>
      <c r="IDP37" s="71"/>
      <c r="IDQ37" s="71"/>
      <c r="IDR37" s="71"/>
      <c r="IDS37" s="71"/>
      <c r="IDT37" s="71"/>
      <c r="IDU37" s="71"/>
      <c r="IDV37" s="71"/>
      <c r="IDW37" s="71"/>
      <c r="IDX37" s="71"/>
      <c r="IDY37" s="71"/>
      <c r="IDZ37" s="71"/>
      <c r="IEA37" s="71"/>
      <c r="IEB37" s="71"/>
      <c r="IEC37" s="71"/>
      <c r="IED37" s="71"/>
      <c r="IEE37" s="71"/>
      <c r="IEF37" s="71"/>
      <c r="IEG37" s="71"/>
      <c r="IEH37" s="71"/>
      <c r="IEI37" s="71"/>
      <c r="IEJ37" s="71"/>
      <c r="IEK37" s="71"/>
      <c r="IEL37" s="71"/>
      <c r="IEM37" s="71"/>
      <c r="IEN37" s="71"/>
      <c r="IEO37" s="71"/>
      <c r="IEP37" s="71"/>
      <c r="IEQ37" s="71"/>
      <c r="IER37" s="71"/>
      <c r="IES37" s="71"/>
      <c r="IET37" s="71"/>
      <c r="IEU37" s="71"/>
      <c r="IEV37" s="71"/>
      <c r="IEW37" s="71"/>
      <c r="IEX37" s="71"/>
      <c r="IEY37" s="71"/>
      <c r="IEZ37" s="71"/>
      <c r="IFA37" s="71"/>
      <c r="IFB37" s="71"/>
      <c r="IFC37" s="71"/>
      <c r="IFD37" s="71"/>
      <c r="IFE37" s="71"/>
      <c r="IFF37" s="71"/>
      <c r="IFG37" s="71"/>
      <c r="IFH37" s="71"/>
      <c r="IFI37" s="71"/>
      <c r="IFJ37" s="71"/>
      <c r="IFK37" s="71"/>
      <c r="IFL37" s="71"/>
      <c r="IFM37" s="71"/>
      <c r="IFN37" s="71"/>
      <c r="IFO37" s="71"/>
      <c r="IFP37" s="71"/>
      <c r="IFQ37" s="71"/>
      <c r="IFR37" s="71"/>
      <c r="IFS37" s="71"/>
      <c r="IFT37" s="71"/>
      <c r="IFU37" s="71"/>
      <c r="IFV37" s="71"/>
      <c r="IFW37" s="71"/>
      <c r="IFX37" s="71"/>
      <c r="IFY37" s="71"/>
      <c r="IFZ37" s="71"/>
      <c r="IGA37" s="71"/>
      <c r="IGB37" s="71"/>
      <c r="IGC37" s="71"/>
      <c r="IGD37" s="71"/>
      <c r="IGE37" s="71"/>
      <c r="IGF37" s="71"/>
      <c r="IGG37" s="71"/>
      <c r="IGH37" s="71"/>
      <c r="IGI37" s="71"/>
      <c r="IGJ37" s="71"/>
      <c r="IGK37" s="71"/>
      <c r="IGL37" s="71"/>
      <c r="IGM37" s="71"/>
      <c r="IGN37" s="71"/>
      <c r="IGO37" s="71"/>
      <c r="IGP37" s="71"/>
      <c r="IGQ37" s="71"/>
      <c r="IGR37" s="71"/>
      <c r="IGS37" s="71"/>
      <c r="IGT37" s="71"/>
      <c r="IGU37" s="71"/>
      <c r="IGV37" s="71"/>
      <c r="IGW37" s="71"/>
      <c r="IGX37" s="71"/>
      <c r="IGY37" s="71"/>
      <c r="IGZ37" s="71"/>
      <c r="IHA37" s="71"/>
      <c r="IHB37" s="71"/>
      <c r="IHC37" s="71"/>
      <c r="IHD37" s="71"/>
      <c r="IHE37" s="71"/>
      <c r="IHF37" s="71"/>
      <c r="IHG37" s="71"/>
      <c r="IHH37" s="71"/>
      <c r="IHI37" s="71"/>
      <c r="IHJ37" s="71"/>
      <c r="IHK37" s="71"/>
      <c r="IHL37" s="71"/>
      <c r="IHM37" s="71"/>
      <c r="IHN37" s="71"/>
      <c r="IHO37" s="71"/>
      <c r="IHP37" s="71"/>
      <c r="IHQ37" s="71"/>
      <c r="IHR37" s="71"/>
      <c r="IHS37" s="71"/>
      <c r="IHT37" s="71"/>
      <c r="IHU37" s="71"/>
      <c r="IHV37" s="71"/>
      <c r="IHW37" s="71"/>
      <c r="IHX37" s="71"/>
      <c r="IHY37" s="71"/>
      <c r="IHZ37" s="71"/>
      <c r="IIA37" s="71"/>
      <c r="IIB37" s="71"/>
      <c r="IIC37" s="71"/>
      <c r="IID37" s="71"/>
      <c r="IIE37" s="71"/>
      <c r="IIF37" s="71"/>
      <c r="IIG37" s="71"/>
      <c r="IIH37" s="71"/>
      <c r="III37" s="71"/>
      <c r="IIJ37" s="71"/>
      <c r="IIK37" s="71"/>
      <c r="IIL37" s="71"/>
      <c r="IIM37" s="71"/>
      <c r="IIN37" s="71"/>
      <c r="IIO37" s="71"/>
      <c r="IIP37" s="71"/>
      <c r="IIQ37" s="71"/>
      <c r="IIR37" s="71"/>
      <c r="IIS37" s="71"/>
      <c r="IIT37" s="71"/>
      <c r="IIU37" s="71"/>
      <c r="IIV37" s="71"/>
      <c r="IIW37" s="71"/>
      <c r="IIX37" s="71"/>
      <c r="IIY37" s="71"/>
      <c r="IIZ37" s="71"/>
      <c r="IJA37" s="71"/>
      <c r="IJB37" s="71"/>
      <c r="IJC37" s="71"/>
      <c r="IJD37" s="71"/>
      <c r="IJE37" s="71"/>
      <c r="IJF37" s="71"/>
      <c r="IJG37" s="71"/>
      <c r="IJH37" s="71"/>
      <c r="IJI37" s="71"/>
      <c r="IJJ37" s="71"/>
      <c r="IJK37" s="71"/>
      <c r="IJL37" s="71"/>
      <c r="IJM37" s="71"/>
      <c r="IJN37" s="71"/>
      <c r="IJO37" s="71"/>
      <c r="IJP37" s="71"/>
      <c r="IJQ37" s="71"/>
      <c r="IJR37" s="71"/>
      <c r="IJS37" s="71"/>
      <c r="IJT37" s="71"/>
      <c r="IJU37" s="71"/>
      <c r="IJV37" s="71"/>
      <c r="IJW37" s="71"/>
      <c r="IJX37" s="71"/>
      <c r="IJY37" s="71"/>
      <c r="IJZ37" s="71"/>
      <c r="IKA37" s="71"/>
      <c r="IKB37" s="71"/>
      <c r="IKC37" s="71"/>
      <c r="IKD37" s="71"/>
      <c r="IKE37" s="71"/>
      <c r="IKF37" s="71"/>
      <c r="IKG37" s="71"/>
      <c r="IKH37" s="71"/>
      <c r="IKI37" s="71"/>
      <c r="IKJ37" s="71"/>
      <c r="IKK37" s="71"/>
      <c r="IKL37" s="71"/>
      <c r="IKM37" s="71"/>
      <c r="IKN37" s="71"/>
      <c r="IKO37" s="71"/>
      <c r="IKP37" s="71"/>
      <c r="IKQ37" s="71"/>
      <c r="IKR37" s="71"/>
      <c r="IKS37" s="71"/>
      <c r="IKT37" s="71"/>
      <c r="IKU37" s="71"/>
      <c r="IKV37" s="71"/>
      <c r="IKW37" s="71"/>
      <c r="IKX37" s="71"/>
      <c r="IKY37" s="71"/>
      <c r="IKZ37" s="71"/>
      <c r="ILA37" s="71"/>
      <c r="ILB37" s="71"/>
      <c r="ILC37" s="71"/>
      <c r="ILD37" s="71"/>
      <c r="ILE37" s="71"/>
      <c r="ILF37" s="71"/>
      <c r="ILG37" s="71"/>
      <c r="ILH37" s="71"/>
      <c r="ILI37" s="71"/>
      <c r="ILJ37" s="71"/>
      <c r="ILK37" s="71"/>
      <c r="ILL37" s="71"/>
      <c r="ILM37" s="71"/>
      <c r="ILN37" s="71"/>
      <c r="ILO37" s="71"/>
      <c r="ILP37" s="71"/>
      <c r="ILQ37" s="71"/>
      <c r="ILR37" s="71"/>
      <c r="ILS37" s="71"/>
      <c r="ILT37" s="71"/>
      <c r="ILU37" s="71"/>
      <c r="ILV37" s="71"/>
      <c r="ILW37" s="71"/>
      <c r="ILX37" s="71"/>
      <c r="ILY37" s="71"/>
      <c r="ILZ37" s="71"/>
      <c r="IMA37" s="71"/>
      <c r="IMB37" s="71"/>
      <c r="IMC37" s="71"/>
      <c r="IMD37" s="71"/>
      <c r="IME37" s="71"/>
      <c r="IMF37" s="71"/>
      <c r="IMG37" s="71"/>
      <c r="IMH37" s="71"/>
      <c r="IMI37" s="71"/>
      <c r="IMJ37" s="71"/>
      <c r="IMK37" s="71"/>
      <c r="IML37" s="71"/>
      <c r="IMM37" s="71"/>
      <c r="IMN37" s="71"/>
      <c r="IMO37" s="71"/>
      <c r="IMP37" s="71"/>
      <c r="IMQ37" s="71"/>
      <c r="IMR37" s="71"/>
      <c r="IMS37" s="71"/>
      <c r="IMT37" s="71"/>
      <c r="IMU37" s="71"/>
      <c r="IMV37" s="71"/>
      <c r="IMW37" s="71"/>
      <c r="IMX37" s="71"/>
      <c r="IMY37" s="71"/>
      <c r="IMZ37" s="71"/>
      <c r="INA37" s="71"/>
      <c r="INB37" s="71"/>
      <c r="INC37" s="71"/>
      <c r="IND37" s="71"/>
      <c r="INE37" s="71"/>
      <c r="INF37" s="71"/>
      <c r="ING37" s="71"/>
      <c r="INH37" s="71"/>
      <c r="INI37" s="71"/>
      <c r="INJ37" s="71"/>
      <c r="INK37" s="71"/>
      <c r="INL37" s="71"/>
      <c r="INM37" s="71"/>
      <c r="INN37" s="71"/>
      <c r="INO37" s="71"/>
      <c r="INP37" s="71"/>
      <c r="INQ37" s="71"/>
      <c r="INR37" s="71"/>
      <c r="INS37" s="71"/>
      <c r="INT37" s="71"/>
      <c r="INU37" s="71"/>
      <c r="INV37" s="71"/>
      <c r="INW37" s="71"/>
      <c r="INX37" s="71"/>
      <c r="INY37" s="71"/>
      <c r="INZ37" s="71"/>
      <c r="IOA37" s="71"/>
      <c r="IOB37" s="71"/>
      <c r="IOC37" s="71"/>
      <c r="IOD37" s="71"/>
      <c r="IOE37" s="71"/>
      <c r="IOF37" s="71"/>
      <c r="IOG37" s="71"/>
      <c r="IOH37" s="71"/>
      <c r="IOI37" s="71"/>
      <c r="IOJ37" s="71"/>
      <c r="IOK37" s="71"/>
      <c r="IOL37" s="71"/>
      <c r="IOM37" s="71"/>
      <c r="ION37" s="71"/>
      <c r="IOO37" s="71"/>
      <c r="IOP37" s="71"/>
      <c r="IOQ37" s="71"/>
      <c r="IOR37" s="71"/>
      <c r="IOS37" s="71"/>
      <c r="IOT37" s="71"/>
      <c r="IOU37" s="71"/>
      <c r="IOV37" s="71"/>
      <c r="IOW37" s="71"/>
      <c r="IOX37" s="71"/>
      <c r="IOY37" s="71"/>
      <c r="IOZ37" s="71"/>
      <c r="IPA37" s="71"/>
      <c r="IPB37" s="71"/>
      <c r="IPC37" s="71"/>
      <c r="IPD37" s="71"/>
      <c r="IPE37" s="71"/>
      <c r="IPF37" s="71"/>
      <c r="IPG37" s="71"/>
      <c r="IPH37" s="71"/>
      <c r="IPI37" s="71"/>
      <c r="IPJ37" s="71"/>
      <c r="IPK37" s="71"/>
      <c r="IPL37" s="71"/>
      <c r="IPM37" s="71"/>
      <c r="IPN37" s="71"/>
      <c r="IPO37" s="71"/>
      <c r="IPP37" s="71"/>
      <c r="IPQ37" s="71"/>
      <c r="IPR37" s="71"/>
      <c r="IPS37" s="71"/>
      <c r="IPT37" s="71"/>
      <c r="IPU37" s="71"/>
      <c r="IPV37" s="71"/>
      <c r="IPW37" s="71"/>
      <c r="IPX37" s="71"/>
      <c r="IPY37" s="71"/>
      <c r="IPZ37" s="71"/>
      <c r="IQA37" s="71"/>
      <c r="IQB37" s="71"/>
      <c r="IQC37" s="71"/>
      <c r="IQD37" s="71"/>
      <c r="IQE37" s="71"/>
      <c r="IQF37" s="71"/>
      <c r="IQG37" s="71"/>
      <c r="IQH37" s="71"/>
      <c r="IQI37" s="71"/>
      <c r="IQJ37" s="71"/>
      <c r="IQK37" s="71"/>
      <c r="IQL37" s="71"/>
      <c r="IQM37" s="71"/>
      <c r="IQN37" s="71"/>
      <c r="IQO37" s="71"/>
      <c r="IQP37" s="71"/>
      <c r="IQQ37" s="71"/>
      <c r="IQR37" s="71"/>
      <c r="IQS37" s="71"/>
      <c r="IQT37" s="71"/>
      <c r="IQU37" s="71"/>
      <c r="IQV37" s="71"/>
      <c r="IQW37" s="71"/>
      <c r="IQX37" s="71"/>
      <c r="IQY37" s="71"/>
      <c r="IQZ37" s="71"/>
      <c r="IRA37" s="71"/>
      <c r="IRB37" s="71"/>
      <c r="IRC37" s="71"/>
      <c r="IRD37" s="71"/>
      <c r="IRE37" s="71"/>
      <c r="IRF37" s="71"/>
      <c r="IRG37" s="71"/>
      <c r="IRH37" s="71"/>
      <c r="IRI37" s="71"/>
      <c r="IRJ37" s="71"/>
      <c r="IRK37" s="71"/>
      <c r="IRL37" s="71"/>
      <c r="IRM37" s="71"/>
      <c r="IRN37" s="71"/>
      <c r="IRO37" s="71"/>
      <c r="IRP37" s="71"/>
      <c r="IRQ37" s="71"/>
      <c r="IRR37" s="71"/>
      <c r="IRS37" s="71"/>
      <c r="IRT37" s="71"/>
      <c r="IRU37" s="71"/>
      <c r="IRV37" s="71"/>
      <c r="IRW37" s="71"/>
      <c r="IRX37" s="71"/>
      <c r="IRY37" s="71"/>
      <c r="IRZ37" s="71"/>
      <c r="ISA37" s="71"/>
      <c r="ISB37" s="71"/>
      <c r="ISC37" s="71"/>
      <c r="ISD37" s="71"/>
      <c r="ISE37" s="71"/>
      <c r="ISF37" s="71"/>
      <c r="ISG37" s="71"/>
      <c r="ISH37" s="71"/>
      <c r="ISI37" s="71"/>
      <c r="ISJ37" s="71"/>
      <c r="ISK37" s="71"/>
      <c r="ISL37" s="71"/>
      <c r="ISM37" s="71"/>
      <c r="ISN37" s="71"/>
      <c r="ISO37" s="71"/>
      <c r="ISP37" s="71"/>
      <c r="ISQ37" s="71"/>
      <c r="ISR37" s="71"/>
      <c r="ISS37" s="71"/>
      <c r="IST37" s="71"/>
      <c r="ISU37" s="71"/>
      <c r="ISV37" s="71"/>
      <c r="ISW37" s="71"/>
      <c r="ISX37" s="71"/>
      <c r="ISY37" s="71"/>
      <c r="ISZ37" s="71"/>
      <c r="ITA37" s="71"/>
      <c r="ITB37" s="71"/>
      <c r="ITC37" s="71"/>
      <c r="ITD37" s="71"/>
      <c r="ITE37" s="71"/>
      <c r="ITF37" s="71"/>
      <c r="ITG37" s="71"/>
      <c r="ITH37" s="71"/>
      <c r="ITI37" s="71"/>
      <c r="ITJ37" s="71"/>
      <c r="ITK37" s="71"/>
      <c r="ITL37" s="71"/>
      <c r="ITM37" s="71"/>
      <c r="ITN37" s="71"/>
      <c r="ITO37" s="71"/>
      <c r="ITP37" s="71"/>
      <c r="ITQ37" s="71"/>
      <c r="ITR37" s="71"/>
      <c r="ITS37" s="71"/>
      <c r="ITT37" s="71"/>
      <c r="ITU37" s="71"/>
      <c r="ITV37" s="71"/>
      <c r="ITW37" s="71"/>
      <c r="ITX37" s="71"/>
      <c r="ITY37" s="71"/>
      <c r="ITZ37" s="71"/>
      <c r="IUA37" s="71"/>
      <c r="IUB37" s="71"/>
      <c r="IUC37" s="71"/>
      <c r="IUD37" s="71"/>
      <c r="IUE37" s="71"/>
      <c r="IUF37" s="71"/>
      <c r="IUG37" s="71"/>
      <c r="IUH37" s="71"/>
      <c r="IUI37" s="71"/>
      <c r="IUJ37" s="71"/>
      <c r="IUK37" s="71"/>
      <c r="IUL37" s="71"/>
      <c r="IUM37" s="71"/>
      <c r="IUN37" s="71"/>
      <c r="IUO37" s="71"/>
      <c r="IUP37" s="71"/>
      <c r="IUQ37" s="71"/>
      <c r="IUR37" s="71"/>
      <c r="IUS37" s="71"/>
      <c r="IUT37" s="71"/>
      <c r="IUU37" s="71"/>
      <c r="IUV37" s="71"/>
      <c r="IUW37" s="71"/>
      <c r="IUX37" s="71"/>
      <c r="IUY37" s="71"/>
      <c r="IUZ37" s="71"/>
      <c r="IVA37" s="71"/>
      <c r="IVB37" s="71"/>
      <c r="IVC37" s="71"/>
      <c r="IVD37" s="71"/>
      <c r="IVE37" s="71"/>
      <c r="IVF37" s="71"/>
      <c r="IVG37" s="71"/>
      <c r="IVH37" s="71"/>
      <c r="IVI37" s="71"/>
      <c r="IVJ37" s="71"/>
      <c r="IVK37" s="71"/>
      <c r="IVL37" s="71"/>
      <c r="IVM37" s="71"/>
      <c r="IVN37" s="71"/>
      <c r="IVO37" s="71"/>
      <c r="IVP37" s="71"/>
      <c r="IVQ37" s="71"/>
      <c r="IVR37" s="71"/>
      <c r="IVS37" s="71"/>
      <c r="IVT37" s="71"/>
      <c r="IVU37" s="71"/>
      <c r="IVV37" s="71"/>
      <c r="IVW37" s="71"/>
      <c r="IVX37" s="71"/>
      <c r="IVY37" s="71"/>
      <c r="IVZ37" s="71"/>
      <c r="IWA37" s="71"/>
      <c r="IWB37" s="71"/>
      <c r="IWC37" s="71"/>
      <c r="IWD37" s="71"/>
      <c r="IWE37" s="71"/>
      <c r="IWF37" s="71"/>
      <c r="IWG37" s="71"/>
      <c r="IWH37" s="71"/>
      <c r="IWI37" s="71"/>
      <c r="IWJ37" s="71"/>
      <c r="IWK37" s="71"/>
      <c r="IWL37" s="71"/>
      <c r="IWM37" s="71"/>
      <c r="IWN37" s="71"/>
      <c r="IWO37" s="71"/>
      <c r="IWP37" s="71"/>
      <c r="IWQ37" s="71"/>
      <c r="IWR37" s="71"/>
      <c r="IWS37" s="71"/>
      <c r="IWT37" s="71"/>
      <c r="IWU37" s="71"/>
      <c r="IWV37" s="71"/>
      <c r="IWW37" s="71"/>
      <c r="IWX37" s="71"/>
      <c r="IWY37" s="71"/>
      <c r="IWZ37" s="71"/>
      <c r="IXA37" s="71"/>
      <c r="IXB37" s="71"/>
      <c r="IXC37" s="71"/>
      <c r="IXD37" s="71"/>
      <c r="IXE37" s="71"/>
      <c r="IXF37" s="71"/>
      <c r="IXG37" s="71"/>
      <c r="IXH37" s="71"/>
      <c r="IXI37" s="71"/>
      <c r="IXJ37" s="71"/>
      <c r="IXK37" s="71"/>
      <c r="IXL37" s="71"/>
      <c r="IXM37" s="71"/>
      <c r="IXN37" s="71"/>
      <c r="IXO37" s="71"/>
      <c r="IXP37" s="71"/>
      <c r="IXQ37" s="71"/>
      <c r="IXR37" s="71"/>
      <c r="IXS37" s="71"/>
      <c r="IXT37" s="71"/>
      <c r="IXU37" s="71"/>
      <c r="IXV37" s="71"/>
      <c r="IXW37" s="71"/>
      <c r="IXX37" s="71"/>
      <c r="IXY37" s="71"/>
      <c r="IXZ37" s="71"/>
      <c r="IYA37" s="71"/>
      <c r="IYB37" s="71"/>
      <c r="IYC37" s="71"/>
      <c r="IYD37" s="71"/>
      <c r="IYE37" s="71"/>
      <c r="IYF37" s="71"/>
      <c r="IYG37" s="71"/>
      <c r="IYH37" s="71"/>
      <c r="IYI37" s="71"/>
      <c r="IYJ37" s="71"/>
      <c r="IYK37" s="71"/>
      <c r="IYL37" s="71"/>
      <c r="IYM37" s="71"/>
      <c r="IYN37" s="71"/>
      <c r="IYO37" s="71"/>
      <c r="IYP37" s="71"/>
      <c r="IYQ37" s="71"/>
      <c r="IYR37" s="71"/>
      <c r="IYS37" s="71"/>
      <c r="IYT37" s="71"/>
      <c r="IYU37" s="71"/>
      <c r="IYV37" s="71"/>
      <c r="IYW37" s="71"/>
      <c r="IYX37" s="71"/>
      <c r="IYY37" s="71"/>
      <c r="IYZ37" s="71"/>
      <c r="IZA37" s="71"/>
      <c r="IZB37" s="71"/>
      <c r="IZC37" s="71"/>
      <c r="IZD37" s="71"/>
      <c r="IZE37" s="71"/>
      <c r="IZF37" s="71"/>
      <c r="IZG37" s="71"/>
      <c r="IZH37" s="71"/>
      <c r="IZI37" s="71"/>
      <c r="IZJ37" s="71"/>
      <c r="IZK37" s="71"/>
      <c r="IZL37" s="71"/>
      <c r="IZM37" s="71"/>
      <c r="IZN37" s="71"/>
      <c r="IZO37" s="71"/>
      <c r="IZP37" s="71"/>
      <c r="IZQ37" s="71"/>
      <c r="IZR37" s="71"/>
      <c r="IZS37" s="71"/>
      <c r="IZT37" s="71"/>
      <c r="IZU37" s="71"/>
      <c r="IZV37" s="71"/>
      <c r="IZW37" s="71"/>
      <c r="IZX37" s="71"/>
      <c r="IZY37" s="71"/>
      <c r="IZZ37" s="71"/>
      <c r="JAA37" s="71"/>
      <c r="JAB37" s="71"/>
      <c r="JAC37" s="71"/>
      <c r="JAD37" s="71"/>
      <c r="JAE37" s="71"/>
      <c r="JAF37" s="71"/>
      <c r="JAG37" s="71"/>
      <c r="JAH37" s="71"/>
      <c r="JAI37" s="71"/>
      <c r="JAJ37" s="71"/>
      <c r="JAK37" s="71"/>
      <c r="JAL37" s="71"/>
      <c r="JAM37" s="71"/>
      <c r="JAN37" s="71"/>
      <c r="JAO37" s="71"/>
      <c r="JAP37" s="71"/>
      <c r="JAQ37" s="71"/>
      <c r="JAR37" s="71"/>
      <c r="JAS37" s="71"/>
      <c r="JAT37" s="71"/>
      <c r="JAU37" s="71"/>
      <c r="JAV37" s="71"/>
      <c r="JAW37" s="71"/>
      <c r="JAX37" s="71"/>
      <c r="JAY37" s="71"/>
      <c r="JAZ37" s="71"/>
      <c r="JBA37" s="71"/>
      <c r="JBB37" s="71"/>
      <c r="JBC37" s="71"/>
      <c r="JBD37" s="71"/>
      <c r="JBE37" s="71"/>
      <c r="JBF37" s="71"/>
      <c r="JBG37" s="71"/>
      <c r="JBH37" s="71"/>
      <c r="JBI37" s="71"/>
      <c r="JBJ37" s="71"/>
      <c r="JBK37" s="71"/>
      <c r="JBL37" s="71"/>
      <c r="JBM37" s="71"/>
      <c r="JBN37" s="71"/>
      <c r="JBO37" s="71"/>
      <c r="JBP37" s="71"/>
      <c r="JBQ37" s="71"/>
      <c r="JBR37" s="71"/>
      <c r="JBS37" s="71"/>
      <c r="JBT37" s="71"/>
      <c r="JBU37" s="71"/>
      <c r="JBV37" s="71"/>
      <c r="JBW37" s="71"/>
      <c r="JBX37" s="71"/>
      <c r="JBY37" s="71"/>
      <c r="JBZ37" s="71"/>
      <c r="JCA37" s="71"/>
      <c r="JCB37" s="71"/>
      <c r="JCC37" s="71"/>
      <c r="JCD37" s="71"/>
      <c r="JCE37" s="71"/>
      <c r="JCF37" s="71"/>
      <c r="JCG37" s="71"/>
      <c r="JCH37" s="71"/>
      <c r="JCI37" s="71"/>
      <c r="JCJ37" s="71"/>
      <c r="JCK37" s="71"/>
      <c r="JCL37" s="71"/>
      <c r="JCM37" s="71"/>
      <c r="JCN37" s="71"/>
      <c r="JCO37" s="71"/>
      <c r="JCP37" s="71"/>
      <c r="JCQ37" s="71"/>
      <c r="JCR37" s="71"/>
      <c r="JCS37" s="71"/>
      <c r="JCT37" s="71"/>
      <c r="JCU37" s="71"/>
      <c r="JCV37" s="71"/>
      <c r="JCW37" s="71"/>
      <c r="JCX37" s="71"/>
      <c r="JCY37" s="71"/>
      <c r="JCZ37" s="71"/>
      <c r="JDA37" s="71"/>
      <c r="JDB37" s="71"/>
      <c r="JDC37" s="71"/>
      <c r="JDD37" s="71"/>
      <c r="JDE37" s="71"/>
      <c r="JDF37" s="71"/>
      <c r="JDG37" s="71"/>
      <c r="JDH37" s="71"/>
      <c r="JDI37" s="71"/>
      <c r="JDJ37" s="71"/>
      <c r="JDK37" s="71"/>
      <c r="JDL37" s="71"/>
      <c r="JDM37" s="71"/>
      <c r="JDN37" s="71"/>
      <c r="JDO37" s="71"/>
      <c r="JDP37" s="71"/>
      <c r="JDQ37" s="71"/>
      <c r="JDR37" s="71"/>
      <c r="JDS37" s="71"/>
      <c r="JDT37" s="71"/>
      <c r="JDU37" s="71"/>
      <c r="JDV37" s="71"/>
      <c r="JDW37" s="71"/>
      <c r="JDX37" s="71"/>
      <c r="JDY37" s="71"/>
      <c r="JDZ37" s="71"/>
      <c r="JEA37" s="71"/>
      <c r="JEB37" s="71"/>
      <c r="JEC37" s="71"/>
      <c r="JED37" s="71"/>
      <c r="JEE37" s="71"/>
      <c r="JEF37" s="71"/>
      <c r="JEG37" s="71"/>
      <c r="JEH37" s="71"/>
      <c r="JEI37" s="71"/>
      <c r="JEJ37" s="71"/>
      <c r="JEK37" s="71"/>
      <c r="JEL37" s="71"/>
      <c r="JEM37" s="71"/>
      <c r="JEN37" s="71"/>
      <c r="JEO37" s="71"/>
      <c r="JEP37" s="71"/>
      <c r="JEQ37" s="71"/>
      <c r="JER37" s="71"/>
      <c r="JES37" s="71"/>
      <c r="JET37" s="71"/>
      <c r="JEU37" s="71"/>
      <c r="JEV37" s="71"/>
      <c r="JEW37" s="71"/>
      <c r="JEX37" s="71"/>
      <c r="JEY37" s="71"/>
      <c r="JEZ37" s="71"/>
      <c r="JFA37" s="71"/>
      <c r="JFB37" s="71"/>
      <c r="JFC37" s="71"/>
      <c r="JFD37" s="71"/>
      <c r="JFE37" s="71"/>
      <c r="JFF37" s="71"/>
      <c r="JFG37" s="71"/>
      <c r="JFH37" s="71"/>
      <c r="JFI37" s="71"/>
      <c r="JFJ37" s="71"/>
      <c r="JFK37" s="71"/>
      <c r="JFL37" s="71"/>
      <c r="JFM37" s="71"/>
      <c r="JFN37" s="71"/>
      <c r="JFO37" s="71"/>
      <c r="JFP37" s="71"/>
      <c r="JFQ37" s="71"/>
      <c r="JFR37" s="71"/>
      <c r="JFS37" s="71"/>
      <c r="JFT37" s="71"/>
      <c r="JFU37" s="71"/>
      <c r="JFV37" s="71"/>
      <c r="JFW37" s="71"/>
      <c r="JFX37" s="71"/>
      <c r="JFY37" s="71"/>
      <c r="JFZ37" s="71"/>
      <c r="JGA37" s="71"/>
      <c r="JGB37" s="71"/>
      <c r="JGC37" s="71"/>
      <c r="JGD37" s="71"/>
      <c r="JGE37" s="71"/>
      <c r="JGF37" s="71"/>
      <c r="JGG37" s="71"/>
      <c r="JGH37" s="71"/>
      <c r="JGI37" s="71"/>
      <c r="JGJ37" s="71"/>
      <c r="JGK37" s="71"/>
      <c r="JGL37" s="71"/>
      <c r="JGM37" s="71"/>
      <c r="JGN37" s="71"/>
      <c r="JGO37" s="71"/>
      <c r="JGP37" s="71"/>
      <c r="JGQ37" s="71"/>
      <c r="JGR37" s="71"/>
      <c r="JGS37" s="71"/>
      <c r="JGT37" s="71"/>
      <c r="JGU37" s="71"/>
      <c r="JGV37" s="71"/>
      <c r="JGW37" s="71"/>
      <c r="JGX37" s="71"/>
      <c r="JGY37" s="71"/>
      <c r="JGZ37" s="71"/>
      <c r="JHA37" s="71"/>
      <c r="JHB37" s="71"/>
      <c r="JHC37" s="71"/>
      <c r="JHD37" s="71"/>
      <c r="JHE37" s="71"/>
      <c r="JHF37" s="71"/>
      <c r="JHG37" s="71"/>
      <c r="JHH37" s="71"/>
      <c r="JHI37" s="71"/>
      <c r="JHJ37" s="71"/>
      <c r="JHK37" s="71"/>
      <c r="JHL37" s="71"/>
      <c r="JHM37" s="71"/>
      <c r="JHN37" s="71"/>
      <c r="JHO37" s="71"/>
      <c r="JHP37" s="71"/>
      <c r="JHQ37" s="71"/>
      <c r="JHR37" s="71"/>
      <c r="JHS37" s="71"/>
      <c r="JHT37" s="71"/>
      <c r="JHU37" s="71"/>
      <c r="JHV37" s="71"/>
      <c r="JHW37" s="71"/>
      <c r="JHX37" s="71"/>
      <c r="JHY37" s="71"/>
      <c r="JHZ37" s="71"/>
      <c r="JIA37" s="71"/>
      <c r="JIB37" s="71"/>
      <c r="JIC37" s="71"/>
      <c r="JID37" s="71"/>
      <c r="JIE37" s="71"/>
      <c r="JIF37" s="71"/>
      <c r="JIG37" s="71"/>
      <c r="JIH37" s="71"/>
      <c r="JII37" s="71"/>
      <c r="JIJ37" s="71"/>
      <c r="JIK37" s="71"/>
      <c r="JIL37" s="71"/>
      <c r="JIM37" s="71"/>
      <c r="JIN37" s="71"/>
      <c r="JIO37" s="71"/>
      <c r="JIP37" s="71"/>
      <c r="JIQ37" s="71"/>
      <c r="JIR37" s="71"/>
      <c r="JIS37" s="71"/>
      <c r="JIT37" s="71"/>
      <c r="JIU37" s="71"/>
      <c r="JIV37" s="71"/>
      <c r="JIW37" s="71"/>
      <c r="JIX37" s="71"/>
      <c r="JIY37" s="71"/>
      <c r="JIZ37" s="71"/>
      <c r="JJA37" s="71"/>
      <c r="JJB37" s="71"/>
      <c r="JJC37" s="71"/>
      <c r="JJD37" s="71"/>
      <c r="JJE37" s="71"/>
      <c r="JJF37" s="71"/>
      <c r="JJG37" s="71"/>
      <c r="JJH37" s="71"/>
      <c r="JJI37" s="71"/>
      <c r="JJJ37" s="71"/>
      <c r="JJK37" s="71"/>
      <c r="JJL37" s="71"/>
      <c r="JJM37" s="71"/>
      <c r="JJN37" s="71"/>
      <c r="JJO37" s="71"/>
      <c r="JJP37" s="71"/>
      <c r="JJQ37" s="71"/>
      <c r="JJR37" s="71"/>
      <c r="JJS37" s="71"/>
      <c r="JJT37" s="71"/>
      <c r="JJU37" s="71"/>
      <c r="JJV37" s="71"/>
      <c r="JJW37" s="71"/>
      <c r="JJX37" s="71"/>
      <c r="JJY37" s="71"/>
      <c r="JJZ37" s="71"/>
      <c r="JKA37" s="71"/>
      <c r="JKB37" s="71"/>
      <c r="JKC37" s="71"/>
      <c r="JKD37" s="71"/>
      <c r="JKE37" s="71"/>
      <c r="JKF37" s="71"/>
      <c r="JKG37" s="71"/>
      <c r="JKH37" s="71"/>
      <c r="JKI37" s="71"/>
      <c r="JKJ37" s="71"/>
      <c r="JKK37" s="71"/>
      <c r="JKL37" s="71"/>
      <c r="JKM37" s="71"/>
      <c r="JKN37" s="71"/>
      <c r="JKO37" s="71"/>
      <c r="JKP37" s="71"/>
      <c r="JKQ37" s="71"/>
      <c r="JKR37" s="71"/>
      <c r="JKS37" s="71"/>
      <c r="JKT37" s="71"/>
      <c r="JKU37" s="71"/>
      <c r="JKV37" s="71"/>
      <c r="JKW37" s="71"/>
      <c r="JKX37" s="71"/>
      <c r="JKY37" s="71"/>
      <c r="JKZ37" s="71"/>
      <c r="JLA37" s="71"/>
      <c r="JLB37" s="71"/>
      <c r="JLC37" s="71"/>
      <c r="JLD37" s="71"/>
      <c r="JLE37" s="71"/>
      <c r="JLF37" s="71"/>
      <c r="JLG37" s="71"/>
      <c r="JLH37" s="71"/>
      <c r="JLI37" s="71"/>
      <c r="JLJ37" s="71"/>
      <c r="JLK37" s="71"/>
      <c r="JLL37" s="71"/>
      <c r="JLM37" s="71"/>
      <c r="JLN37" s="71"/>
      <c r="JLO37" s="71"/>
      <c r="JLP37" s="71"/>
      <c r="JLQ37" s="71"/>
      <c r="JLR37" s="71"/>
      <c r="JLS37" s="71"/>
      <c r="JLT37" s="71"/>
      <c r="JLU37" s="71"/>
      <c r="JLV37" s="71"/>
      <c r="JLW37" s="71"/>
      <c r="JLX37" s="71"/>
      <c r="JLY37" s="71"/>
      <c r="JLZ37" s="71"/>
      <c r="JMA37" s="71"/>
      <c r="JMB37" s="71"/>
      <c r="JMC37" s="71"/>
      <c r="JMD37" s="71"/>
      <c r="JME37" s="71"/>
      <c r="JMF37" s="71"/>
      <c r="JMG37" s="71"/>
      <c r="JMH37" s="71"/>
      <c r="JMI37" s="71"/>
      <c r="JMJ37" s="71"/>
      <c r="JMK37" s="71"/>
      <c r="JML37" s="71"/>
      <c r="JMM37" s="71"/>
      <c r="JMN37" s="71"/>
      <c r="JMO37" s="71"/>
      <c r="JMP37" s="71"/>
      <c r="JMQ37" s="71"/>
      <c r="JMR37" s="71"/>
      <c r="JMS37" s="71"/>
      <c r="JMT37" s="71"/>
      <c r="JMU37" s="71"/>
      <c r="JMV37" s="71"/>
      <c r="JMW37" s="71"/>
      <c r="JMX37" s="71"/>
      <c r="JMY37" s="71"/>
      <c r="JMZ37" s="71"/>
      <c r="JNA37" s="71"/>
      <c r="JNB37" s="71"/>
      <c r="JNC37" s="71"/>
      <c r="JND37" s="71"/>
      <c r="JNE37" s="71"/>
      <c r="JNF37" s="71"/>
      <c r="JNG37" s="71"/>
      <c r="JNH37" s="71"/>
      <c r="JNI37" s="71"/>
      <c r="JNJ37" s="71"/>
      <c r="JNK37" s="71"/>
      <c r="JNL37" s="71"/>
      <c r="JNM37" s="71"/>
      <c r="JNN37" s="71"/>
      <c r="JNO37" s="71"/>
      <c r="JNP37" s="71"/>
      <c r="JNQ37" s="71"/>
      <c r="JNR37" s="71"/>
      <c r="JNS37" s="71"/>
      <c r="JNT37" s="71"/>
      <c r="JNU37" s="71"/>
      <c r="JNV37" s="71"/>
      <c r="JNW37" s="71"/>
      <c r="JNX37" s="71"/>
      <c r="JNY37" s="71"/>
      <c r="JNZ37" s="71"/>
      <c r="JOA37" s="71"/>
      <c r="JOB37" s="71"/>
      <c r="JOC37" s="71"/>
      <c r="JOD37" s="71"/>
      <c r="JOE37" s="71"/>
      <c r="JOF37" s="71"/>
      <c r="JOG37" s="71"/>
      <c r="JOH37" s="71"/>
      <c r="JOI37" s="71"/>
      <c r="JOJ37" s="71"/>
      <c r="JOK37" s="71"/>
      <c r="JOL37" s="71"/>
      <c r="JOM37" s="71"/>
      <c r="JON37" s="71"/>
      <c r="JOO37" s="71"/>
      <c r="JOP37" s="71"/>
      <c r="JOQ37" s="71"/>
      <c r="JOR37" s="71"/>
      <c r="JOS37" s="71"/>
      <c r="JOT37" s="71"/>
      <c r="JOU37" s="71"/>
      <c r="JOV37" s="71"/>
      <c r="JOW37" s="71"/>
      <c r="JOX37" s="71"/>
      <c r="JOY37" s="71"/>
      <c r="JOZ37" s="71"/>
      <c r="JPA37" s="71"/>
      <c r="JPB37" s="71"/>
      <c r="JPC37" s="71"/>
      <c r="JPD37" s="71"/>
      <c r="JPE37" s="71"/>
      <c r="JPF37" s="71"/>
      <c r="JPG37" s="71"/>
      <c r="JPH37" s="71"/>
      <c r="JPI37" s="71"/>
      <c r="JPJ37" s="71"/>
      <c r="JPK37" s="71"/>
      <c r="JPL37" s="71"/>
      <c r="JPM37" s="71"/>
      <c r="JPN37" s="71"/>
      <c r="JPO37" s="71"/>
      <c r="JPP37" s="71"/>
      <c r="JPQ37" s="71"/>
      <c r="JPR37" s="71"/>
      <c r="JPS37" s="71"/>
      <c r="JPT37" s="71"/>
      <c r="JPU37" s="71"/>
      <c r="JPV37" s="71"/>
      <c r="JPW37" s="71"/>
      <c r="JPX37" s="71"/>
      <c r="JPY37" s="71"/>
      <c r="JPZ37" s="71"/>
      <c r="JQA37" s="71"/>
      <c r="JQB37" s="71"/>
      <c r="JQC37" s="71"/>
      <c r="JQD37" s="71"/>
      <c r="JQE37" s="71"/>
      <c r="JQF37" s="71"/>
      <c r="JQG37" s="71"/>
      <c r="JQH37" s="71"/>
      <c r="JQI37" s="71"/>
      <c r="JQJ37" s="71"/>
      <c r="JQK37" s="71"/>
      <c r="JQL37" s="71"/>
      <c r="JQM37" s="71"/>
      <c r="JQN37" s="71"/>
      <c r="JQO37" s="71"/>
      <c r="JQP37" s="71"/>
      <c r="JQQ37" s="71"/>
      <c r="JQR37" s="71"/>
      <c r="JQS37" s="71"/>
      <c r="JQT37" s="71"/>
      <c r="JQU37" s="71"/>
      <c r="JQV37" s="71"/>
      <c r="JQW37" s="71"/>
      <c r="JQX37" s="71"/>
      <c r="JQY37" s="71"/>
      <c r="JQZ37" s="71"/>
      <c r="JRA37" s="71"/>
      <c r="JRB37" s="71"/>
      <c r="JRC37" s="71"/>
      <c r="JRD37" s="71"/>
      <c r="JRE37" s="71"/>
      <c r="JRF37" s="71"/>
      <c r="JRG37" s="71"/>
      <c r="JRH37" s="71"/>
      <c r="JRI37" s="71"/>
      <c r="JRJ37" s="71"/>
      <c r="JRK37" s="71"/>
      <c r="JRL37" s="71"/>
      <c r="JRM37" s="71"/>
      <c r="JRN37" s="71"/>
      <c r="JRO37" s="71"/>
      <c r="JRP37" s="71"/>
      <c r="JRQ37" s="71"/>
      <c r="JRR37" s="71"/>
      <c r="JRS37" s="71"/>
      <c r="JRT37" s="71"/>
      <c r="JRU37" s="71"/>
      <c r="JRV37" s="71"/>
      <c r="JRW37" s="71"/>
      <c r="JRX37" s="71"/>
      <c r="JRY37" s="71"/>
      <c r="JRZ37" s="71"/>
      <c r="JSA37" s="71"/>
      <c r="JSB37" s="71"/>
      <c r="JSC37" s="71"/>
      <c r="JSD37" s="71"/>
      <c r="JSE37" s="71"/>
      <c r="JSF37" s="71"/>
      <c r="JSG37" s="71"/>
      <c r="JSH37" s="71"/>
      <c r="JSI37" s="71"/>
      <c r="JSJ37" s="71"/>
      <c r="JSK37" s="71"/>
      <c r="JSL37" s="71"/>
      <c r="JSM37" s="71"/>
      <c r="JSN37" s="71"/>
      <c r="JSO37" s="71"/>
      <c r="JSP37" s="71"/>
      <c r="JSQ37" s="71"/>
      <c r="JSR37" s="71"/>
      <c r="JSS37" s="71"/>
      <c r="JST37" s="71"/>
      <c r="JSU37" s="71"/>
      <c r="JSV37" s="71"/>
      <c r="JSW37" s="71"/>
      <c r="JSX37" s="71"/>
      <c r="JSY37" s="71"/>
      <c r="JSZ37" s="71"/>
      <c r="JTA37" s="71"/>
      <c r="JTB37" s="71"/>
      <c r="JTC37" s="71"/>
      <c r="JTD37" s="71"/>
      <c r="JTE37" s="71"/>
      <c r="JTF37" s="71"/>
      <c r="JTG37" s="71"/>
      <c r="JTH37" s="71"/>
      <c r="JTI37" s="71"/>
      <c r="JTJ37" s="71"/>
      <c r="JTK37" s="71"/>
      <c r="JTL37" s="71"/>
      <c r="JTM37" s="71"/>
      <c r="JTN37" s="71"/>
      <c r="JTO37" s="71"/>
      <c r="JTP37" s="71"/>
      <c r="JTQ37" s="71"/>
      <c r="JTR37" s="71"/>
      <c r="JTS37" s="71"/>
      <c r="JTT37" s="71"/>
      <c r="JTU37" s="71"/>
      <c r="JTV37" s="71"/>
      <c r="JTW37" s="71"/>
      <c r="JTX37" s="71"/>
      <c r="JTY37" s="71"/>
      <c r="JTZ37" s="71"/>
      <c r="JUA37" s="71"/>
      <c r="JUB37" s="71"/>
      <c r="JUC37" s="71"/>
      <c r="JUD37" s="71"/>
      <c r="JUE37" s="71"/>
      <c r="JUF37" s="71"/>
      <c r="JUG37" s="71"/>
      <c r="JUH37" s="71"/>
      <c r="JUI37" s="71"/>
      <c r="JUJ37" s="71"/>
      <c r="JUK37" s="71"/>
      <c r="JUL37" s="71"/>
      <c r="JUM37" s="71"/>
      <c r="JUN37" s="71"/>
      <c r="JUO37" s="71"/>
      <c r="JUP37" s="71"/>
      <c r="JUQ37" s="71"/>
      <c r="JUR37" s="71"/>
      <c r="JUS37" s="71"/>
      <c r="JUT37" s="71"/>
      <c r="JUU37" s="71"/>
      <c r="JUV37" s="71"/>
      <c r="JUW37" s="71"/>
      <c r="JUX37" s="71"/>
      <c r="JUY37" s="71"/>
      <c r="JUZ37" s="71"/>
      <c r="JVA37" s="71"/>
      <c r="JVB37" s="71"/>
      <c r="JVC37" s="71"/>
      <c r="JVD37" s="71"/>
      <c r="JVE37" s="71"/>
      <c r="JVF37" s="71"/>
      <c r="JVG37" s="71"/>
      <c r="JVH37" s="71"/>
      <c r="JVI37" s="71"/>
      <c r="JVJ37" s="71"/>
      <c r="JVK37" s="71"/>
      <c r="JVL37" s="71"/>
      <c r="JVM37" s="71"/>
      <c r="JVN37" s="71"/>
      <c r="JVO37" s="71"/>
      <c r="JVP37" s="71"/>
      <c r="JVQ37" s="71"/>
      <c r="JVR37" s="71"/>
      <c r="JVS37" s="71"/>
      <c r="JVT37" s="71"/>
      <c r="JVU37" s="71"/>
      <c r="JVV37" s="71"/>
      <c r="JVW37" s="71"/>
      <c r="JVX37" s="71"/>
      <c r="JVY37" s="71"/>
      <c r="JVZ37" s="71"/>
      <c r="JWA37" s="71"/>
      <c r="JWB37" s="71"/>
      <c r="JWC37" s="71"/>
      <c r="JWD37" s="71"/>
      <c r="JWE37" s="71"/>
      <c r="JWF37" s="71"/>
      <c r="JWG37" s="71"/>
      <c r="JWH37" s="71"/>
      <c r="JWI37" s="71"/>
      <c r="JWJ37" s="71"/>
      <c r="JWK37" s="71"/>
      <c r="JWL37" s="71"/>
      <c r="JWM37" s="71"/>
      <c r="JWN37" s="71"/>
      <c r="JWO37" s="71"/>
      <c r="JWP37" s="71"/>
      <c r="JWQ37" s="71"/>
      <c r="JWR37" s="71"/>
      <c r="JWS37" s="71"/>
      <c r="JWT37" s="71"/>
      <c r="JWU37" s="71"/>
      <c r="JWV37" s="71"/>
      <c r="JWW37" s="71"/>
      <c r="JWX37" s="71"/>
      <c r="JWY37" s="71"/>
      <c r="JWZ37" s="71"/>
      <c r="JXA37" s="71"/>
      <c r="JXB37" s="71"/>
      <c r="JXC37" s="71"/>
      <c r="JXD37" s="71"/>
      <c r="JXE37" s="71"/>
      <c r="JXF37" s="71"/>
      <c r="JXG37" s="71"/>
      <c r="JXH37" s="71"/>
      <c r="JXI37" s="71"/>
      <c r="JXJ37" s="71"/>
      <c r="JXK37" s="71"/>
      <c r="JXL37" s="71"/>
      <c r="JXM37" s="71"/>
      <c r="JXN37" s="71"/>
      <c r="JXO37" s="71"/>
      <c r="JXP37" s="71"/>
      <c r="JXQ37" s="71"/>
      <c r="JXR37" s="71"/>
      <c r="JXS37" s="71"/>
      <c r="JXT37" s="71"/>
      <c r="JXU37" s="71"/>
      <c r="JXV37" s="71"/>
      <c r="JXW37" s="71"/>
      <c r="JXX37" s="71"/>
      <c r="JXY37" s="71"/>
      <c r="JXZ37" s="71"/>
      <c r="JYA37" s="71"/>
      <c r="JYB37" s="71"/>
      <c r="JYC37" s="71"/>
      <c r="JYD37" s="71"/>
      <c r="JYE37" s="71"/>
      <c r="JYF37" s="71"/>
      <c r="JYG37" s="71"/>
      <c r="JYH37" s="71"/>
      <c r="JYI37" s="71"/>
      <c r="JYJ37" s="71"/>
      <c r="JYK37" s="71"/>
      <c r="JYL37" s="71"/>
      <c r="JYM37" s="71"/>
      <c r="JYN37" s="71"/>
      <c r="JYO37" s="71"/>
      <c r="JYP37" s="71"/>
      <c r="JYQ37" s="71"/>
      <c r="JYR37" s="71"/>
      <c r="JYS37" s="71"/>
      <c r="JYT37" s="71"/>
      <c r="JYU37" s="71"/>
      <c r="JYV37" s="71"/>
      <c r="JYW37" s="71"/>
      <c r="JYX37" s="71"/>
      <c r="JYY37" s="71"/>
      <c r="JYZ37" s="71"/>
      <c r="JZA37" s="71"/>
      <c r="JZB37" s="71"/>
      <c r="JZC37" s="71"/>
      <c r="JZD37" s="71"/>
      <c r="JZE37" s="71"/>
      <c r="JZF37" s="71"/>
      <c r="JZG37" s="71"/>
      <c r="JZH37" s="71"/>
      <c r="JZI37" s="71"/>
      <c r="JZJ37" s="71"/>
      <c r="JZK37" s="71"/>
      <c r="JZL37" s="71"/>
      <c r="JZM37" s="71"/>
      <c r="JZN37" s="71"/>
      <c r="JZO37" s="71"/>
      <c r="JZP37" s="71"/>
      <c r="JZQ37" s="71"/>
      <c r="JZR37" s="71"/>
      <c r="JZS37" s="71"/>
      <c r="JZT37" s="71"/>
      <c r="JZU37" s="71"/>
      <c r="JZV37" s="71"/>
      <c r="JZW37" s="71"/>
      <c r="JZX37" s="71"/>
      <c r="JZY37" s="71"/>
      <c r="JZZ37" s="71"/>
      <c r="KAA37" s="71"/>
      <c r="KAB37" s="71"/>
      <c r="KAC37" s="71"/>
      <c r="KAD37" s="71"/>
      <c r="KAE37" s="71"/>
      <c r="KAF37" s="71"/>
      <c r="KAG37" s="71"/>
      <c r="KAH37" s="71"/>
      <c r="KAI37" s="71"/>
      <c r="KAJ37" s="71"/>
      <c r="KAK37" s="71"/>
      <c r="KAL37" s="71"/>
      <c r="KAM37" s="71"/>
      <c r="KAN37" s="71"/>
      <c r="KAO37" s="71"/>
      <c r="KAP37" s="71"/>
      <c r="KAQ37" s="71"/>
      <c r="KAR37" s="71"/>
      <c r="KAS37" s="71"/>
      <c r="KAT37" s="71"/>
      <c r="KAU37" s="71"/>
      <c r="KAV37" s="71"/>
      <c r="KAW37" s="71"/>
      <c r="KAX37" s="71"/>
      <c r="KAY37" s="71"/>
      <c r="KAZ37" s="71"/>
      <c r="KBA37" s="71"/>
      <c r="KBB37" s="71"/>
      <c r="KBC37" s="71"/>
      <c r="KBD37" s="71"/>
      <c r="KBE37" s="71"/>
      <c r="KBF37" s="71"/>
      <c r="KBG37" s="71"/>
      <c r="KBH37" s="71"/>
      <c r="KBI37" s="71"/>
      <c r="KBJ37" s="71"/>
      <c r="KBK37" s="71"/>
      <c r="KBL37" s="71"/>
      <c r="KBM37" s="71"/>
      <c r="KBN37" s="71"/>
      <c r="KBO37" s="71"/>
      <c r="KBP37" s="71"/>
      <c r="KBQ37" s="71"/>
      <c r="KBR37" s="71"/>
      <c r="KBS37" s="71"/>
      <c r="KBT37" s="71"/>
      <c r="KBU37" s="71"/>
      <c r="KBV37" s="71"/>
      <c r="KBW37" s="71"/>
      <c r="KBX37" s="71"/>
      <c r="KBY37" s="71"/>
      <c r="KBZ37" s="71"/>
      <c r="KCA37" s="71"/>
      <c r="KCB37" s="71"/>
      <c r="KCC37" s="71"/>
      <c r="KCD37" s="71"/>
      <c r="KCE37" s="71"/>
      <c r="KCF37" s="71"/>
      <c r="KCG37" s="71"/>
      <c r="KCH37" s="71"/>
      <c r="KCI37" s="71"/>
      <c r="KCJ37" s="71"/>
      <c r="KCK37" s="71"/>
      <c r="KCL37" s="71"/>
      <c r="KCM37" s="71"/>
      <c r="KCN37" s="71"/>
      <c r="KCO37" s="71"/>
      <c r="KCP37" s="71"/>
      <c r="KCQ37" s="71"/>
      <c r="KCR37" s="71"/>
      <c r="KCS37" s="71"/>
      <c r="KCT37" s="71"/>
      <c r="KCU37" s="71"/>
      <c r="KCV37" s="71"/>
      <c r="KCW37" s="71"/>
      <c r="KCX37" s="71"/>
      <c r="KCY37" s="71"/>
      <c r="KCZ37" s="71"/>
      <c r="KDA37" s="71"/>
      <c r="KDB37" s="71"/>
      <c r="KDC37" s="71"/>
      <c r="KDD37" s="71"/>
      <c r="KDE37" s="71"/>
      <c r="KDF37" s="71"/>
      <c r="KDG37" s="71"/>
      <c r="KDH37" s="71"/>
      <c r="KDI37" s="71"/>
      <c r="KDJ37" s="71"/>
      <c r="KDK37" s="71"/>
      <c r="KDL37" s="71"/>
      <c r="KDM37" s="71"/>
      <c r="KDN37" s="71"/>
      <c r="KDO37" s="71"/>
      <c r="KDP37" s="71"/>
      <c r="KDQ37" s="71"/>
      <c r="KDR37" s="71"/>
      <c r="KDS37" s="71"/>
      <c r="KDT37" s="71"/>
      <c r="KDU37" s="71"/>
      <c r="KDV37" s="71"/>
      <c r="KDW37" s="71"/>
      <c r="KDX37" s="71"/>
      <c r="KDY37" s="71"/>
      <c r="KDZ37" s="71"/>
      <c r="KEA37" s="71"/>
      <c r="KEB37" s="71"/>
      <c r="KEC37" s="71"/>
      <c r="KED37" s="71"/>
      <c r="KEE37" s="71"/>
      <c r="KEF37" s="71"/>
      <c r="KEG37" s="71"/>
      <c r="KEH37" s="71"/>
      <c r="KEI37" s="71"/>
      <c r="KEJ37" s="71"/>
      <c r="KEK37" s="71"/>
      <c r="KEL37" s="71"/>
      <c r="KEM37" s="71"/>
      <c r="KEN37" s="71"/>
      <c r="KEO37" s="71"/>
      <c r="KEP37" s="71"/>
      <c r="KEQ37" s="71"/>
      <c r="KER37" s="71"/>
      <c r="KES37" s="71"/>
      <c r="KET37" s="71"/>
      <c r="KEU37" s="71"/>
      <c r="KEV37" s="71"/>
      <c r="KEW37" s="71"/>
      <c r="KEX37" s="71"/>
      <c r="KEY37" s="71"/>
      <c r="KEZ37" s="71"/>
      <c r="KFA37" s="71"/>
      <c r="KFB37" s="71"/>
      <c r="KFC37" s="71"/>
      <c r="KFD37" s="71"/>
      <c r="KFE37" s="71"/>
      <c r="KFF37" s="71"/>
      <c r="KFG37" s="71"/>
      <c r="KFH37" s="71"/>
      <c r="KFI37" s="71"/>
      <c r="KFJ37" s="71"/>
      <c r="KFK37" s="71"/>
      <c r="KFL37" s="71"/>
      <c r="KFM37" s="71"/>
      <c r="KFN37" s="71"/>
      <c r="KFO37" s="71"/>
      <c r="KFP37" s="71"/>
      <c r="KFQ37" s="71"/>
      <c r="KFR37" s="71"/>
      <c r="KFS37" s="71"/>
      <c r="KFT37" s="71"/>
      <c r="KFU37" s="71"/>
      <c r="KFV37" s="71"/>
      <c r="KFW37" s="71"/>
      <c r="KFX37" s="71"/>
      <c r="KFY37" s="71"/>
      <c r="KFZ37" s="71"/>
      <c r="KGA37" s="71"/>
      <c r="KGB37" s="71"/>
      <c r="KGC37" s="71"/>
      <c r="KGD37" s="71"/>
      <c r="KGE37" s="71"/>
      <c r="KGF37" s="71"/>
      <c r="KGG37" s="71"/>
      <c r="KGH37" s="71"/>
      <c r="KGI37" s="71"/>
      <c r="KGJ37" s="71"/>
      <c r="KGK37" s="71"/>
      <c r="KGL37" s="71"/>
      <c r="KGM37" s="71"/>
      <c r="KGN37" s="71"/>
      <c r="KGO37" s="71"/>
      <c r="KGP37" s="71"/>
      <c r="KGQ37" s="71"/>
      <c r="KGR37" s="71"/>
      <c r="KGS37" s="71"/>
      <c r="KGT37" s="71"/>
      <c r="KGU37" s="71"/>
      <c r="KGV37" s="71"/>
      <c r="KGW37" s="71"/>
      <c r="KGX37" s="71"/>
      <c r="KGY37" s="71"/>
      <c r="KGZ37" s="71"/>
      <c r="KHA37" s="71"/>
      <c r="KHB37" s="71"/>
      <c r="KHC37" s="71"/>
      <c r="KHD37" s="71"/>
      <c r="KHE37" s="71"/>
      <c r="KHF37" s="71"/>
      <c r="KHG37" s="71"/>
      <c r="KHH37" s="71"/>
      <c r="KHI37" s="71"/>
      <c r="KHJ37" s="71"/>
      <c r="KHK37" s="71"/>
      <c r="KHL37" s="71"/>
      <c r="KHM37" s="71"/>
      <c r="KHN37" s="71"/>
      <c r="KHO37" s="71"/>
      <c r="KHP37" s="71"/>
      <c r="KHQ37" s="71"/>
      <c r="KHR37" s="71"/>
      <c r="KHS37" s="71"/>
      <c r="KHT37" s="71"/>
      <c r="KHU37" s="71"/>
      <c r="KHV37" s="71"/>
      <c r="KHW37" s="71"/>
      <c r="KHX37" s="71"/>
      <c r="KHY37" s="71"/>
      <c r="KHZ37" s="71"/>
      <c r="KIA37" s="71"/>
      <c r="KIB37" s="71"/>
      <c r="KIC37" s="71"/>
      <c r="KID37" s="71"/>
      <c r="KIE37" s="71"/>
      <c r="KIF37" s="71"/>
      <c r="KIG37" s="71"/>
      <c r="KIH37" s="71"/>
      <c r="KII37" s="71"/>
      <c r="KIJ37" s="71"/>
      <c r="KIK37" s="71"/>
      <c r="KIL37" s="71"/>
      <c r="KIM37" s="71"/>
      <c r="KIN37" s="71"/>
      <c r="KIO37" s="71"/>
      <c r="KIP37" s="71"/>
      <c r="KIQ37" s="71"/>
      <c r="KIR37" s="71"/>
      <c r="KIS37" s="71"/>
      <c r="KIT37" s="71"/>
      <c r="KIU37" s="71"/>
      <c r="KIV37" s="71"/>
      <c r="KIW37" s="71"/>
      <c r="KIX37" s="71"/>
      <c r="KIY37" s="71"/>
      <c r="KIZ37" s="71"/>
      <c r="KJA37" s="71"/>
      <c r="KJB37" s="71"/>
      <c r="KJC37" s="71"/>
      <c r="KJD37" s="71"/>
      <c r="KJE37" s="71"/>
      <c r="KJF37" s="71"/>
      <c r="KJG37" s="71"/>
      <c r="KJH37" s="71"/>
      <c r="KJI37" s="71"/>
      <c r="KJJ37" s="71"/>
      <c r="KJK37" s="71"/>
      <c r="KJL37" s="71"/>
      <c r="KJM37" s="71"/>
      <c r="KJN37" s="71"/>
      <c r="KJO37" s="71"/>
      <c r="KJP37" s="71"/>
      <c r="KJQ37" s="71"/>
      <c r="KJR37" s="71"/>
      <c r="KJS37" s="71"/>
      <c r="KJT37" s="71"/>
      <c r="KJU37" s="71"/>
      <c r="KJV37" s="71"/>
      <c r="KJW37" s="71"/>
      <c r="KJX37" s="71"/>
      <c r="KJY37" s="71"/>
      <c r="KJZ37" s="71"/>
      <c r="KKA37" s="71"/>
      <c r="KKB37" s="71"/>
      <c r="KKC37" s="71"/>
      <c r="KKD37" s="71"/>
      <c r="KKE37" s="71"/>
      <c r="KKF37" s="71"/>
      <c r="KKG37" s="71"/>
      <c r="KKH37" s="71"/>
      <c r="KKI37" s="71"/>
      <c r="KKJ37" s="71"/>
      <c r="KKK37" s="71"/>
      <c r="KKL37" s="71"/>
      <c r="KKM37" s="71"/>
      <c r="KKN37" s="71"/>
      <c r="KKO37" s="71"/>
      <c r="KKP37" s="71"/>
      <c r="KKQ37" s="71"/>
      <c r="KKR37" s="71"/>
      <c r="KKS37" s="71"/>
      <c r="KKT37" s="71"/>
      <c r="KKU37" s="71"/>
      <c r="KKV37" s="71"/>
      <c r="KKW37" s="71"/>
      <c r="KKX37" s="71"/>
      <c r="KKY37" s="71"/>
      <c r="KKZ37" s="71"/>
      <c r="KLA37" s="71"/>
      <c r="KLB37" s="71"/>
      <c r="KLC37" s="71"/>
      <c r="KLD37" s="71"/>
      <c r="KLE37" s="71"/>
      <c r="KLF37" s="71"/>
      <c r="KLG37" s="71"/>
      <c r="KLH37" s="71"/>
      <c r="KLI37" s="71"/>
      <c r="KLJ37" s="71"/>
      <c r="KLK37" s="71"/>
      <c r="KLL37" s="71"/>
      <c r="KLM37" s="71"/>
      <c r="KLN37" s="71"/>
      <c r="KLO37" s="71"/>
      <c r="KLP37" s="71"/>
      <c r="KLQ37" s="71"/>
      <c r="KLR37" s="71"/>
      <c r="KLS37" s="71"/>
      <c r="KLT37" s="71"/>
      <c r="KLU37" s="71"/>
      <c r="KLV37" s="71"/>
      <c r="KLW37" s="71"/>
      <c r="KLX37" s="71"/>
      <c r="KLY37" s="71"/>
      <c r="KLZ37" s="71"/>
      <c r="KMA37" s="71"/>
      <c r="KMB37" s="71"/>
      <c r="KMC37" s="71"/>
      <c r="KMD37" s="71"/>
      <c r="KME37" s="71"/>
      <c r="KMF37" s="71"/>
      <c r="KMG37" s="71"/>
      <c r="KMH37" s="71"/>
      <c r="KMI37" s="71"/>
      <c r="KMJ37" s="71"/>
      <c r="KMK37" s="71"/>
      <c r="KML37" s="71"/>
      <c r="KMM37" s="71"/>
      <c r="KMN37" s="71"/>
      <c r="KMO37" s="71"/>
      <c r="KMP37" s="71"/>
      <c r="KMQ37" s="71"/>
      <c r="KMR37" s="71"/>
      <c r="KMS37" s="71"/>
      <c r="KMT37" s="71"/>
      <c r="KMU37" s="71"/>
      <c r="KMV37" s="71"/>
      <c r="KMW37" s="71"/>
      <c r="KMX37" s="71"/>
      <c r="KMY37" s="71"/>
      <c r="KMZ37" s="71"/>
      <c r="KNA37" s="71"/>
      <c r="KNB37" s="71"/>
      <c r="KNC37" s="71"/>
      <c r="KND37" s="71"/>
      <c r="KNE37" s="71"/>
      <c r="KNF37" s="71"/>
      <c r="KNG37" s="71"/>
      <c r="KNH37" s="71"/>
      <c r="KNI37" s="71"/>
      <c r="KNJ37" s="71"/>
      <c r="KNK37" s="71"/>
      <c r="KNL37" s="71"/>
      <c r="KNM37" s="71"/>
      <c r="KNN37" s="71"/>
      <c r="KNO37" s="71"/>
      <c r="KNP37" s="71"/>
      <c r="KNQ37" s="71"/>
      <c r="KNR37" s="71"/>
      <c r="KNS37" s="71"/>
      <c r="KNT37" s="71"/>
      <c r="KNU37" s="71"/>
      <c r="KNV37" s="71"/>
      <c r="KNW37" s="71"/>
      <c r="KNX37" s="71"/>
      <c r="KNY37" s="71"/>
      <c r="KNZ37" s="71"/>
      <c r="KOA37" s="71"/>
      <c r="KOB37" s="71"/>
      <c r="KOC37" s="71"/>
      <c r="KOD37" s="71"/>
      <c r="KOE37" s="71"/>
      <c r="KOF37" s="71"/>
      <c r="KOG37" s="71"/>
      <c r="KOH37" s="71"/>
      <c r="KOI37" s="71"/>
      <c r="KOJ37" s="71"/>
      <c r="KOK37" s="71"/>
      <c r="KOL37" s="71"/>
      <c r="KOM37" s="71"/>
      <c r="KON37" s="71"/>
      <c r="KOO37" s="71"/>
      <c r="KOP37" s="71"/>
      <c r="KOQ37" s="71"/>
      <c r="KOR37" s="71"/>
      <c r="KOS37" s="71"/>
      <c r="KOT37" s="71"/>
      <c r="KOU37" s="71"/>
      <c r="KOV37" s="71"/>
      <c r="KOW37" s="71"/>
      <c r="KOX37" s="71"/>
      <c r="KOY37" s="71"/>
      <c r="KOZ37" s="71"/>
      <c r="KPA37" s="71"/>
      <c r="KPB37" s="71"/>
      <c r="KPC37" s="71"/>
      <c r="KPD37" s="71"/>
      <c r="KPE37" s="71"/>
      <c r="KPF37" s="71"/>
      <c r="KPG37" s="71"/>
      <c r="KPH37" s="71"/>
      <c r="KPI37" s="71"/>
      <c r="KPJ37" s="71"/>
      <c r="KPK37" s="71"/>
      <c r="KPL37" s="71"/>
      <c r="KPM37" s="71"/>
      <c r="KPN37" s="71"/>
      <c r="KPO37" s="71"/>
      <c r="KPP37" s="71"/>
      <c r="KPQ37" s="71"/>
      <c r="KPR37" s="71"/>
      <c r="KPS37" s="71"/>
      <c r="KPT37" s="71"/>
      <c r="KPU37" s="71"/>
      <c r="KPV37" s="71"/>
      <c r="KPW37" s="71"/>
      <c r="KPX37" s="71"/>
      <c r="KPY37" s="71"/>
      <c r="KPZ37" s="71"/>
      <c r="KQA37" s="71"/>
      <c r="KQB37" s="71"/>
      <c r="KQC37" s="71"/>
      <c r="KQD37" s="71"/>
      <c r="KQE37" s="71"/>
      <c r="KQF37" s="71"/>
      <c r="KQG37" s="71"/>
      <c r="KQH37" s="71"/>
      <c r="KQI37" s="71"/>
      <c r="KQJ37" s="71"/>
      <c r="KQK37" s="71"/>
      <c r="KQL37" s="71"/>
      <c r="KQM37" s="71"/>
      <c r="KQN37" s="71"/>
      <c r="KQO37" s="71"/>
      <c r="KQP37" s="71"/>
      <c r="KQQ37" s="71"/>
      <c r="KQR37" s="71"/>
      <c r="KQS37" s="71"/>
      <c r="KQT37" s="71"/>
      <c r="KQU37" s="71"/>
      <c r="KQV37" s="71"/>
      <c r="KQW37" s="71"/>
      <c r="KQX37" s="71"/>
      <c r="KQY37" s="71"/>
      <c r="KQZ37" s="71"/>
      <c r="KRA37" s="71"/>
      <c r="KRB37" s="71"/>
      <c r="KRC37" s="71"/>
      <c r="KRD37" s="71"/>
      <c r="KRE37" s="71"/>
      <c r="KRF37" s="71"/>
      <c r="KRG37" s="71"/>
      <c r="KRH37" s="71"/>
      <c r="KRI37" s="71"/>
      <c r="KRJ37" s="71"/>
      <c r="KRK37" s="71"/>
      <c r="KRL37" s="71"/>
      <c r="KRM37" s="71"/>
      <c r="KRN37" s="71"/>
      <c r="KRO37" s="71"/>
      <c r="KRP37" s="71"/>
      <c r="KRQ37" s="71"/>
      <c r="KRR37" s="71"/>
      <c r="KRS37" s="71"/>
      <c r="KRT37" s="71"/>
      <c r="KRU37" s="71"/>
      <c r="KRV37" s="71"/>
      <c r="KRW37" s="71"/>
      <c r="KRX37" s="71"/>
      <c r="KRY37" s="71"/>
      <c r="KRZ37" s="71"/>
      <c r="KSA37" s="71"/>
      <c r="KSB37" s="71"/>
      <c r="KSC37" s="71"/>
      <c r="KSD37" s="71"/>
      <c r="KSE37" s="71"/>
      <c r="KSF37" s="71"/>
      <c r="KSG37" s="71"/>
      <c r="KSH37" s="71"/>
      <c r="KSI37" s="71"/>
      <c r="KSJ37" s="71"/>
      <c r="KSK37" s="71"/>
      <c r="KSL37" s="71"/>
      <c r="KSM37" s="71"/>
      <c r="KSN37" s="71"/>
      <c r="KSO37" s="71"/>
      <c r="KSP37" s="71"/>
      <c r="KSQ37" s="71"/>
      <c r="KSR37" s="71"/>
      <c r="KSS37" s="71"/>
      <c r="KST37" s="71"/>
      <c r="KSU37" s="71"/>
      <c r="KSV37" s="71"/>
      <c r="KSW37" s="71"/>
      <c r="KSX37" s="71"/>
      <c r="KSY37" s="71"/>
      <c r="KSZ37" s="71"/>
      <c r="KTA37" s="71"/>
      <c r="KTB37" s="71"/>
      <c r="KTC37" s="71"/>
      <c r="KTD37" s="71"/>
      <c r="KTE37" s="71"/>
      <c r="KTF37" s="71"/>
      <c r="KTG37" s="71"/>
      <c r="KTH37" s="71"/>
      <c r="KTI37" s="71"/>
      <c r="KTJ37" s="71"/>
      <c r="KTK37" s="71"/>
      <c r="KTL37" s="71"/>
      <c r="KTM37" s="71"/>
      <c r="KTN37" s="71"/>
      <c r="KTO37" s="71"/>
      <c r="KTP37" s="71"/>
      <c r="KTQ37" s="71"/>
      <c r="KTR37" s="71"/>
      <c r="KTS37" s="71"/>
      <c r="KTT37" s="71"/>
      <c r="KTU37" s="71"/>
      <c r="KTV37" s="71"/>
      <c r="KTW37" s="71"/>
      <c r="KTX37" s="71"/>
      <c r="KTY37" s="71"/>
      <c r="KTZ37" s="71"/>
      <c r="KUA37" s="71"/>
      <c r="KUB37" s="71"/>
      <c r="KUC37" s="71"/>
      <c r="KUD37" s="71"/>
      <c r="KUE37" s="71"/>
      <c r="KUF37" s="71"/>
      <c r="KUG37" s="71"/>
      <c r="KUH37" s="71"/>
      <c r="KUI37" s="71"/>
      <c r="KUJ37" s="71"/>
      <c r="KUK37" s="71"/>
      <c r="KUL37" s="71"/>
      <c r="KUM37" s="71"/>
      <c r="KUN37" s="71"/>
      <c r="KUO37" s="71"/>
      <c r="KUP37" s="71"/>
      <c r="KUQ37" s="71"/>
      <c r="KUR37" s="71"/>
      <c r="KUS37" s="71"/>
      <c r="KUT37" s="71"/>
      <c r="KUU37" s="71"/>
      <c r="KUV37" s="71"/>
      <c r="KUW37" s="71"/>
      <c r="KUX37" s="71"/>
      <c r="KUY37" s="71"/>
      <c r="KUZ37" s="71"/>
      <c r="KVA37" s="71"/>
      <c r="KVB37" s="71"/>
      <c r="KVC37" s="71"/>
      <c r="KVD37" s="71"/>
      <c r="KVE37" s="71"/>
      <c r="KVF37" s="71"/>
      <c r="KVG37" s="71"/>
      <c r="KVH37" s="71"/>
      <c r="KVI37" s="71"/>
      <c r="KVJ37" s="71"/>
      <c r="KVK37" s="71"/>
      <c r="KVL37" s="71"/>
      <c r="KVM37" s="71"/>
      <c r="KVN37" s="71"/>
      <c r="KVO37" s="71"/>
      <c r="KVP37" s="71"/>
      <c r="KVQ37" s="71"/>
      <c r="KVR37" s="71"/>
      <c r="KVS37" s="71"/>
      <c r="KVT37" s="71"/>
      <c r="KVU37" s="71"/>
      <c r="KVV37" s="71"/>
      <c r="KVW37" s="71"/>
      <c r="KVX37" s="71"/>
      <c r="KVY37" s="71"/>
      <c r="KVZ37" s="71"/>
      <c r="KWA37" s="71"/>
      <c r="KWB37" s="71"/>
      <c r="KWC37" s="71"/>
      <c r="KWD37" s="71"/>
      <c r="KWE37" s="71"/>
      <c r="KWF37" s="71"/>
      <c r="KWG37" s="71"/>
      <c r="KWH37" s="71"/>
      <c r="KWI37" s="71"/>
      <c r="KWJ37" s="71"/>
      <c r="KWK37" s="71"/>
      <c r="KWL37" s="71"/>
      <c r="KWM37" s="71"/>
      <c r="KWN37" s="71"/>
      <c r="KWO37" s="71"/>
      <c r="KWP37" s="71"/>
      <c r="KWQ37" s="71"/>
      <c r="KWR37" s="71"/>
      <c r="KWS37" s="71"/>
      <c r="KWT37" s="71"/>
      <c r="KWU37" s="71"/>
      <c r="KWV37" s="71"/>
      <c r="KWW37" s="71"/>
      <c r="KWX37" s="71"/>
      <c r="KWY37" s="71"/>
      <c r="KWZ37" s="71"/>
      <c r="KXA37" s="71"/>
      <c r="KXB37" s="71"/>
      <c r="KXC37" s="71"/>
      <c r="KXD37" s="71"/>
      <c r="KXE37" s="71"/>
      <c r="KXF37" s="71"/>
      <c r="KXG37" s="71"/>
      <c r="KXH37" s="71"/>
      <c r="KXI37" s="71"/>
      <c r="KXJ37" s="71"/>
      <c r="KXK37" s="71"/>
      <c r="KXL37" s="71"/>
      <c r="KXM37" s="71"/>
      <c r="KXN37" s="71"/>
      <c r="KXO37" s="71"/>
      <c r="KXP37" s="71"/>
      <c r="KXQ37" s="71"/>
      <c r="KXR37" s="71"/>
      <c r="KXS37" s="71"/>
      <c r="KXT37" s="71"/>
      <c r="KXU37" s="71"/>
      <c r="KXV37" s="71"/>
      <c r="KXW37" s="71"/>
      <c r="KXX37" s="71"/>
      <c r="KXY37" s="71"/>
      <c r="KXZ37" s="71"/>
      <c r="KYA37" s="71"/>
      <c r="KYB37" s="71"/>
      <c r="KYC37" s="71"/>
      <c r="KYD37" s="71"/>
      <c r="KYE37" s="71"/>
      <c r="KYF37" s="71"/>
      <c r="KYG37" s="71"/>
      <c r="KYH37" s="71"/>
      <c r="KYI37" s="71"/>
      <c r="KYJ37" s="71"/>
      <c r="KYK37" s="71"/>
      <c r="KYL37" s="71"/>
      <c r="KYM37" s="71"/>
      <c r="KYN37" s="71"/>
      <c r="KYO37" s="71"/>
      <c r="KYP37" s="71"/>
      <c r="KYQ37" s="71"/>
      <c r="KYR37" s="71"/>
      <c r="KYS37" s="71"/>
      <c r="KYT37" s="71"/>
      <c r="KYU37" s="71"/>
      <c r="KYV37" s="71"/>
      <c r="KYW37" s="71"/>
      <c r="KYX37" s="71"/>
      <c r="KYY37" s="71"/>
      <c r="KYZ37" s="71"/>
      <c r="KZA37" s="71"/>
      <c r="KZB37" s="71"/>
      <c r="KZC37" s="71"/>
      <c r="KZD37" s="71"/>
      <c r="KZE37" s="71"/>
      <c r="KZF37" s="71"/>
      <c r="KZG37" s="71"/>
      <c r="KZH37" s="71"/>
      <c r="KZI37" s="71"/>
      <c r="KZJ37" s="71"/>
      <c r="KZK37" s="71"/>
      <c r="KZL37" s="71"/>
      <c r="KZM37" s="71"/>
      <c r="KZN37" s="71"/>
      <c r="KZO37" s="71"/>
      <c r="KZP37" s="71"/>
      <c r="KZQ37" s="71"/>
      <c r="KZR37" s="71"/>
      <c r="KZS37" s="71"/>
      <c r="KZT37" s="71"/>
      <c r="KZU37" s="71"/>
      <c r="KZV37" s="71"/>
      <c r="KZW37" s="71"/>
      <c r="KZX37" s="71"/>
      <c r="KZY37" s="71"/>
      <c r="KZZ37" s="71"/>
      <c r="LAA37" s="71"/>
      <c r="LAB37" s="71"/>
      <c r="LAC37" s="71"/>
      <c r="LAD37" s="71"/>
      <c r="LAE37" s="71"/>
      <c r="LAF37" s="71"/>
      <c r="LAG37" s="71"/>
      <c r="LAH37" s="71"/>
      <c r="LAI37" s="71"/>
      <c r="LAJ37" s="71"/>
      <c r="LAK37" s="71"/>
      <c r="LAL37" s="71"/>
      <c r="LAM37" s="71"/>
      <c r="LAN37" s="71"/>
      <c r="LAO37" s="71"/>
      <c r="LAP37" s="71"/>
      <c r="LAQ37" s="71"/>
      <c r="LAR37" s="71"/>
      <c r="LAS37" s="71"/>
      <c r="LAT37" s="71"/>
      <c r="LAU37" s="71"/>
      <c r="LAV37" s="71"/>
      <c r="LAW37" s="71"/>
      <c r="LAX37" s="71"/>
      <c r="LAY37" s="71"/>
      <c r="LAZ37" s="71"/>
      <c r="LBA37" s="71"/>
      <c r="LBB37" s="71"/>
      <c r="LBC37" s="71"/>
      <c r="LBD37" s="71"/>
      <c r="LBE37" s="71"/>
      <c r="LBF37" s="71"/>
      <c r="LBG37" s="71"/>
      <c r="LBH37" s="71"/>
      <c r="LBI37" s="71"/>
      <c r="LBJ37" s="71"/>
      <c r="LBK37" s="71"/>
      <c r="LBL37" s="71"/>
      <c r="LBM37" s="71"/>
      <c r="LBN37" s="71"/>
      <c r="LBO37" s="71"/>
      <c r="LBP37" s="71"/>
      <c r="LBQ37" s="71"/>
      <c r="LBR37" s="71"/>
      <c r="LBS37" s="71"/>
      <c r="LBT37" s="71"/>
      <c r="LBU37" s="71"/>
      <c r="LBV37" s="71"/>
      <c r="LBW37" s="71"/>
      <c r="LBX37" s="71"/>
      <c r="LBY37" s="71"/>
      <c r="LBZ37" s="71"/>
      <c r="LCA37" s="71"/>
      <c r="LCB37" s="71"/>
      <c r="LCC37" s="71"/>
      <c r="LCD37" s="71"/>
      <c r="LCE37" s="71"/>
      <c r="LCF37" s="71"/>
      <c r="LCG37" s="71"/>
      <c r="LCH37" s="71"/>
      <c r="LCI37" s="71"/>
      <c r="LCJ37" s="71"/>
      <c r="LCK37" s="71"/>
      <c r="LCL37" s="71"/>
      <c r="LCM37" s="71"/>
      <c r="LCN37" s="71"/>
      <c r="LCO37" s="71"/>
      <c r="LCP37" s="71"/>
      <c r="LCQ37" s="71"/>
      <c r="LCR37" s="71"/>
      <c r="LCS37" s="71"/>
      <c r="LCT37" s="71"/>
      <c r="LCU37" s="71"/>
      <c r="LCV37" s="71"/>
      <c r="LCW37" s="71"/>
      <c r="LCX37" s="71"/>
      <c r="LCY37" s="71"/>
      <c r="LCZ37" s="71"/>
      <c r="LDA37" s="71"/>
      <c r="LDB37" s="71"/>
      <c r="LDC37" s="71"/>
      <c r="LDD37" s="71"/>
      <c r="LDE37" s="71"/>
      <c r="LDF37" s="71"/>
      <c r="LDG37" s="71"/>
      <c r="LDH37" s="71"/>
      <c r="LDI37" s="71"/>
      <c r="LDJ37" s="71"/>
      <c r="LDK37" s="71"/>
      <c r="LDL37" s="71"/>
      <c r="LDM37" s="71"/>
      <c r="LDN37" s="71"/>
      <c r="LDO37" s="71"/>
      <c r="LDP37" s="71"/>
      <c r="LDQ37" s="71"/>
      <c r="LDR37" s="71"/>
      <c r="LDS37" s="71"/>
      <c r="LDT37" s="71"/>
      <c r="LDU37" s="71"/>
      <c r="LDV37" s="71"/>
      <c r="LDW37" s="71"/>
      <c r="LDX37" s="71"/>
      <c r="LDY37" s="71"/>
      <c r="LDZ37" s="71"/>
      <c r="LEA37" s="71"/>
      <c r="LEB37" s="71"/>
      <c r="LEC37" s="71"/>
      <c r="LED37" s="71"/>
      <c r="LEE37" s="71"/>
      <c r="LEF37" s="71"/>
      <c r="LEG37" s="71"/>
      <c r="LEH37" s="71"/>
      <c r="LEI37" s="71"/>
      <c r="LEJ37" s="71"/>
      <c r="LEK37" s="71"/>
      <c r="LEL37" s="71"/>
      <c r="LEM37" s="71"/>
      <c r="LEN37" s="71"/>
      <c r="LEO37" s="71"/>
      <c r="LEP37" s="71"/>
      <c r="LEQ37" s="71"/>
      <c r="LER37" s="71"/>
      <c r="LES37" s="71"/>
      <c r="LET37" s="71"/>
      <c r="LEU37" s="71"/>
      <c r="LEV37" s="71"/>
      <c r="LEW37" s="71"/>
      <c r="LEX37" s="71"/>
      <c r="LEY37" s="71"/>
      <c r="LEZ37" s="71"/>
      <c r="LFA37" s="71"/>
      <c r="LFB37" s="71"/>
      <c r="LFC37" s="71"/>
      <c r="LFD37" s="71"/>
      <c r="LFE37" s="71"/>
      <c r="LFF37" s="71"/>
      <c r="LFG37" s="71"/>
      <c r="LFH37" s="71"/>
      <c r="LFI37" s="71"/>
      <c r="LFJ37" s="71"/>
      <c r="LFK37" s="71"/>
      <c r="LFL37" s="71"/>
      <c r="LFM37" s="71"/>
      <c r="LFN37" s="71"/>
      <c r="LFO37" s="71"/>
      <c r="LFP37" s="71"/>
      <c r="LFQ37" s="71"/>
      <c r="LFR37" s="71"/>
      <c r="LFS37" s="71"/>
      <c r="LFT37" s="71"/>
      <c r="LFU37" s="71"/>
      <c r="LFV37" s="71"/>
      <c r="LFW37" s="71"/>
      <c r="LFX37" s="71"/>
      <c r="LFY37" s="71"/>
      <c r="LFZ37" s="71"/>
      <c r="LGA37" s="71"/>
      <c r="LGB37" s="71"/>
      <c r="LGC37" s="71"/>
      <c r="LGD37" s="71"/>
      <c r="LGE37" s="71"/>
      <c r="LGF37" s="71"/>
      <c r="LGG37" s="71"/>
      <c r="LGH37" s="71"/>
      <c r="LGI37" s="71"/>
      <c r="LGJ37" s="71"/>
      <c r="LGK37" s="71"/>
      <c r="LGL37" s="71"/>
      <c r="LGM37" s="71"/>
      <c r="LGN37" s="71"/>
      <c r="LGO37" s="71"/>
      <c r="LGP37" s="71"/>
      <c r="LGQ37" s="71"/>
      <c r="LGR37" s="71"/>
      <c r="LGS37" s="71"/>
      <c r="LGT37" s="71"/>
      <c r="LGU37" s="71"/>
      <c r="LGV37" s="71"/>
      <c r="LGW37" s="71"/>
      <c r="LGX37" s="71"/>
      <c r="LGY37" s="71"/>
      <c r="LGZ37" s="71"/>
      <c r="LHA37" s="71"/>
      <c r="LHB37" s="71"/>
      <c r="LHC37" s="71"/>
      <c r="LHD37" s="71"/>
      <c r="LHE37" s="71"/>
      <c r="LHF37" s="71"/>
      <c r="LHG37" s="71"/>
      <c r="LHH37" s="71"/>
      <c r="LHI37" s="71"/>
      <c r="LHJ37" s="71"/>
      <c r="LHK37" s="71"/>
      <c r="LHL37" s="71"/>
      <c r="LHM37" s="71"/>
      <c r="LHN37" s="71"/>
      <c r="LHO37" s="71"/>
      <c r="LHP37" s="71"/>
      <c r="LHQ37" s="71"/>
      <c r="LHR37" s="71"/>
      <c r="LHS37" s="71"/>
      <c r="LHT37" s="71"/>
      <c r="LHU37" s="71"/>
      <c r="LHV37" s="71"/>
      <c r="LHW37" s="71"/>
      <c r="LHX37" s="71"/>
      <c r="LHY37" s="71"/>
      <c r="LHZ37" s="71"/>
      <c r="LIA37" s="71"/>
      <c r="LIB37" s="71"/>
      <c r="LIC37" s="71"/>
      <c r="LID37" s="71"/>
      <c r="LIE37" s="71"/>
      <c r="LIF37" s="71"/>
      <c r="LIG37" s="71"/>
      <c r="LIH37" s="71"/>
      <c r="LII37" s="71"/>
      <c r="LIJ37" s="71"/>
      <c r="LIK37" s="71"/>
      <c r="LIL37" s="71"/>
      <c r="LIM37" s="71"/>
      <c r="LIN37" s="71"/>
      <c r="LIO37" s="71"/>
      <c r="LIP37" s="71"/>
      <c r="LIQ37" s="71"/>
      <c r="LIR37" s="71"/>
      <c r="LIS37" s="71"/>
      <c r="LIT37" s="71"/>
      <c r="LIU37" s="71"/>
      <c r="LIV37" s="71"/>
      <c r="LIW37" s="71"/>
      <c r="LIX37" s="71"/>
      <c r="LIY37" s="71"/>
      <c r="LIZ37" s="71"/>
      <c r="LJA37" s="71"/>
      <c r="LJB37" s="71"/>
      <c r="LJC37" s="71"/>
      <c r="LJD37" s="71"/>
      <c r="LJE37" s="71"/>
      <c r="LJF37" s="71"/>
      <c r="LJG37" s="71"/>
      <c r="LJH37" s="71"/>
      <c r="LJI37" s="71"/>
      <c r="LJJ37" s="71"/>
      <c r="LJK37" s="71"/>
      <c r="LJL37" s="71"/>
      <c r="LJM37" s="71"/>
      <c r="LJN37" s="71"/>
      <c r="LJO37" s="71"/>
      <c r="LJP37" s="71"/>
      <c r="LJQ37" s="71"/>
      <c r="LJR37" s="71"/>
      <c r="LJS37" s="71"/>
      <c r="LJT37" s="71"/>
      <c r="LJU37" s="71"/>
      <c r="LJV37" s="71"/>
      <c r="LJW37" s="71"/>
      <c r="LJX37" s="71"/>
      <c r="LJY37" s="71"/>
      <c r="LJZ37" s="71"/>
      <c r="LKA37" s="71"/>
      <c r="LKB37" s="71"/>
      <c r="LKC37" s="71"/>
      <c r="LKD37" s="71"/>
      <c r="LKE37" s="71"/>
      <c r="LKF37" s="71"/>
      <c r="LKG37" s="71"/>
      <c r="LKH37" s="71"/>
      <c r="LKI37" s="71"/>
      <c r="LKJ37" s="71"/>
      <c r="LKK37" s="71"/>
      <c r="LKL37" s="71"/>
      <c r="LKM37" s="71"/>
      <c r="LKN37" s="71"/>
      <c r="LKO37" s="71"/>
      <c r="LKP37" s="71"/>
      <c r="LKQ37" s="71"/>
      <c r="LKR37" s="71"/>
      <c r="LKS37" s="71"/>
      <c r="LKT37" s="71"/>
      <c r="LKU37" s="71"/>
      <c r="LKV37" s="71"/>
      <c r="LKW37" s="71"/>
      <c r="LKX37" s="71"/>
      <c r="LKY37" s="71"/>
      <c r="LKZ37" s="71"/>
      <c r="LLA37" s="71"/>
      <c r="LLB37" s="71"/>
      <c r="LLC37" s="71"/>
      <c r="LLD37" s="71"/>
      <c r="LLE37" s="71"/>
      <c r="LLF37" s="71"/>
      <c r="LLG37" s="71"/>
      <c r="LLH37" s="71"/>
      <c r="LLI37" s="71"/>
      <c r="LLJ37" s="71"/>
      <c r="LLK37" s="71"/>
      <c r="LLL37" s="71"/>
      <c r="LLM37" s="71"/>
      <c r="LLN37" s="71"/>
      <c r="LLO37" s="71"/>
      <c r="LLP37" s="71"/>
      <c r="LLQ37" s="71"/>
      <c r="LLR37" s="71"/>
      <c r="LLS37" s="71"/>
      <c r="LLT37" s="71"/>
      <c r="LLU37" s="71"/>
      <c r="LLV37" s="71"/>
      <c r="LLW37" s="71"/>
      <c r="LLX37" s="71"/>
      <c r="LLY37" s="71"/>
      <c r="LLZ37" s="71"/>
      <c r="LMA37" s="71"/>
      <c r="LMB37" s="71"/>
      <c r="LMC37" s="71"/>
      <c r="LMD37" s="71"/>
      <c r="LME37" s="71"/>
      <c r="LMF37" s="71"/>
      <c r="LMG37" s="71"/>
      <c r="LMH37" s="71"/>
      <c r="LMI37" s="71"/>
      <c r="LMJ37" s="71"/>
      <c r="LMK37" s="71"/>
      <c r="LML37" s="71"/>
      <c r="LMM37" s="71"/>
      <c r="LMN37" s="71"/>
      <c r="LMO37" s="71"/>
      <c r="LMP37" s="71"/>
      <c r="LMQ37" s="71"/>
      <c r="LMR37" s="71"/>
      <c r="LMS37" s="71"/>
      <c r="LMT37" s="71"/>
      <c r="LMU37" s="71"/>
      <c r="LMV37" s="71"/>
      <c r="LMW37" s="71"/>
      <c r="LMX37" s="71"/>
      <c r="LMY37" s="71"/>
      <c r="LMZ37" s="71"/>
      <c r="LNA37" s="71"/>
      <c r="LNB37" s="71"/>
      <c r="LNC37" s="71"/>
      <c r="LND37" s="71"/>
      <c r="LNE37" s="71"/>
      <c r="LNF37" s="71"/>
      <c r="LNG37" s="71"/>
      <c r="LNH37" s="71"/>
      <c r="LNI37" s="71"/>
      <c r="LNJ37" s="71"/>
      <c r="LNK37" s="71"/>
      <c r="LNL37" s="71"/>
      <c r="LNM37" s="71"/>
      <c r="LNN37" s="71"/>
      <c r="LNO37" s="71"/>
      <c r="LNP37" s="71"/>
      <c r="LNQ37" s="71"/>
      <c r="LNR37" s="71"/>
      <c r="LNS37" s="71"/>
      <c r="LNT37" s="71"/>
      <c r="LNU37" s="71"/>
      <c r="LNV37" s="71"/>
      <c r="LNW37" s="71"/>
      <c r="LNX37" s="71"/>
      <c r="LNY37" s="71"/>
      <c r="LNZ37" s="71"/>
      <c r="LOA37" s="71"/>
      <c r="LOB37" s="71"/>
      <c r="LOC37" s="71"/>
      <c r="LOD37" s="71"/>
      <c r="LOE37" s="71"/>
      <c r="LOF37" s="71"/>
      <c r="LOG37" s="71"/>
      <c r="LOH37" s="71"/>
      <c r="LOI37" s="71"/>
      <c r="LOJ37" s="71"/>
      <c r="LOK37" s="71"/>
      <c r="LOL37" s="71"/>
      <c r="LOM37" s="71"/>
      <c r="LON37" s="71"/>
      <c r="LOO37" s="71"/>
      <c r="LOP37" s="71"/>
      <c r="LOQ37" s="71"/>
      <c r="LOR37" s="71"/>
      <c r="LOS37" s="71"/>
      <c r="LOT37" s="71"/>
      <c r="LOU37" s="71"/>
      <c r="LOV37" s="71"/>
      <c r="LOW37" s="71"/>
      <c r="LOX37" s="71"/>
      <c r="LOY37" s="71"/>
      <c r="LOZ37" s="71"/>
      <c r="LPA37" s="71"/>
      <c r="LPB37" s="71"/>
      <c r="LPC37" s="71"/>
      <c r="LPD37" s="71"/>
      <c r="LPE37" s="71"/>
      <c r="LPF37" s="71"/>
      <c r="LPG37" s="71"/>
      <c r="LPH37" s="71"/>
      <c r="LPI37" s="71"/>
      <c r="LPJ37" s="71"/>
      <c r="LPK37" s="71"/>
      <c r="LPL37" s="71"/>
      <c r="LPM37" s="71"/>
      <c r="LPN37" s="71"/>
      <c r="LPO37" s="71"/>
      <c r="LPP37" s="71"/>
      <c r="LPQ37" s="71"/>
      <c r="LPR37" s="71"/>
      <c r="LPS37" s="71"/>
      <c r="LPT37" s="71"/>
      <c r="LPU37" s="71"/>
      <c r="LPV37" s="71"/>
      <c r="LPW37" s="71"/>
      <c r="LPX37" s="71"/>
      <c r="LPY37" s="71"/>
      <c r="LPZ37" s="71"/>
      <c r="LQA37" s="71"/>
      <c r="LQB37" s="71"/>
      <c r="LQC37" s="71"/>
      <c r="LQD37" s="71"/>
      <c r="LQE37" s="71"/>
      <c r="LQF37" s="71"/>
      <c r="LQG37" s="71"/>
      <c r="LQH37" s="71"/>
      <c r="LQI37" s="71"/>
      <c r="LQJ37" s="71"/>
      <c r="LQK37" s="71"/>
      <c r="LQL37" s="71"/>
      <c r="LQM37" s="71"/>
      <c r="LQN37" s="71"/>
      <c r="LQO37" s="71"/>
      <c r="LQP37" s="71"/>
      <c r="LQQ37" s="71"/>
      <c r="LQR37" s="71"/>
      <c r="LQS37" s="71"/>
      <c r="LQT37" s="71"/>
      <c r="LQU37" s="71"/>
      <c r="LQV37" s="71"/>
      <c r="LQW37" s="71"/>
      <c r="LQX37" s="71"/>
      <c r="LQY37" s="71"/>
      <c r="LQZ37" s="71"/>
      <c r="LRA37" s="71"/>
      <c r="LRB37" s="71"/>
      <c r="LRC37" s="71"/>
      <c r="LRD37" s="71"/>
      <c r="LRE37" s="71"/>
      <c r="LRF37" s="71"/>
      <c r="LRG37" s="71"/>
      <c r="LRH37" s="71"/>
      <c r="LRI37" s="71"/>
      <c r="LRJ37" s="71"/>
      <c r="LRK37" s="71"/>
      <c r="LRL37" s="71"/>
      <c r="LRM37" s="71"/>
      <c r="LRN37" s="71"/>
      <c r="LRO37" s="71"/>
      <c r="LRP37" s="71"/>
      <c r="LRQ37" s="71"/>
      <c r="LRR37" s="71"/>
      <c r="LRS37" s="71"/>
      <c r="LRT37" s="71"/>
      <c r="LRU37" s="71"/>
      <c r="LRV37" s="71"/>
      <c r="LRW37" s="71"/>
      <c r="LRX37" s="71"/>
      <c r="LRY37" s="71"/>
      <c r="LRZ37" s="71"/>
      <c r="LSA37" s="71"/>
      <c r="LSB37" s="71"/>
      <c r="LSC37" s="71"/>
      <c r="LSD37" s="71"/>
      <c r="LSE37" s="71"/>
      <c r="LSF37" s="71"/>
      <c r="LSG37" s="71"/>
      <c r="LSH37" s="71"/>
      <c r="LSI37" s="71"/>
      <c r="LSJ37" s="71"/>
      <c r="LSK37" s="71"/>
      <c r="LSL37" s="71"/>
      <c r="LSM37" s="71"/>
      <c r="LSN37" s="71"/>
      <c r="LSO37" s="71"/>
      <c r="LSP37" s="71"/>
      <c r="LSQ37" s="71"/>
      <c r="LSR37" s="71"/>
      <c r="LSS37" s="71"/>
      <c r="LST37" s="71"/>
      <c r="LSU37" s="71"/>
      <c r="LSV37" s="71"/>
      <c r="LSW37" s="71"/>
      <c r="LSX37" s="71"/>
      <c r="LSY37" s="71"/>
      <c r="LSZ37" s="71"/>
      <c r="LTA37" s="71"/>
      <c r="LTB37" s="71"/>
      <c r="LTC37" s="71"/>
      <c r="LTD37" s="71"/>
      <c r="LTE37" s="71"/>
      <c r="LTF37" s="71"/>
      <c r="LTG37" s="71"/>
      <c r="LTH37" s="71"/>
      <c r="LTI37" s="71"/>
      <c r="LTJ37" s="71"/>
      <c r="LTK37" s="71"/>
      <c r="LTL37" s="71"/>
      <c r="LTM37" s="71"/>
      <c r="LTN37" s="71"/>
      <c r="LTO37" s="71"/>
      <c r="LTP37" s="71"/>
      <c r="LTQ37" s="71"/>
      <c r="LTR37" s="71"/>
      <c r="LTS37" s="71"/>
      <c r="LTT37" s="71"/>
      <c r="LTU37" s="71"/>
      <c r="LTV37" s="71"/>
      <c r="LTW37" s="71"/>
      <c r="LTX37" s="71"/>
      <c r="LTY37" s="71"/>
      <c r="LTZ37" s="71"/>
      <c r="LUA37" s="71"/>
      <c r="LUB37" s="71"/>
      <c r="LUC37" s="71"/>
      <c r="LUD37" s="71"/>
      <c r="LUE37" s="71"/>
      <c r="LUF37" s="71"/>
      <c r="LUG37" s="71"/>
      <c r="LUH37" s="71"/>
      <c r="LUI37" s="71"/>
      <c r="LUJ37" s="71"/>
      <c r="LUK37" s="71"/>
      <c r="LUL37" s="71"/>
      <c r="LUM37" s="71"/>
      <c r="LUN37" s="71"/>
      <c r="LUO37" s="71"/>
      <c r="LUP37" s="71"/>
      <c r="LUQ37" s="71"/>
      <c r="LUR37" s="71"/>
      <c r="LUS37" s="71"/>
      <c r="LUT37" s="71"/>
      <c r="LUU37" s="71"/>
      <c r="LUV37" s="71"/>
      <c r="LUW37" s="71"/>
      <c r="LUX37" s="71"/>
      <c r="LUY37" s="71"/>
      <c r="LUZ37" s="71"/>
      <c r="LVA37" s="71"/>
      <c r="LVB37" s="71"/>
      <c r="LVC37" s="71"/>
      <c r="LVD37" s="71"/>
      <c r="LVE37" s="71"/>
      <c r="LVF37" s="71"/>
      <c r="LVG37" s="71"/>
      <c r="LVH37" s="71"/>
      <c r="LVI37" s="71"/>
      <c r="LVJ37" s="71"/>
      <c r="LVK37" s="71"/>
      <c r="LVL37" s="71"/>
      <c r="LVM37" s="71"/>
      <c r="LVN37" s="71"/>
      <c r="LVO37" s="71"/>
      <c r="LVP37" s="71"/>
      <c r="LVQ37" s="71"/>
      <c r="LVR37" s="71"/>
      <c r="LVS37" s="71"/>
      <c r="LVT37" s="71"/>
      <c r="LVU37" s="71"/>
      <c r="LVV37" s="71"/>
      <c r="LVW37" s="71"/>
      <c r="LVX37" s="71"/>
      <c r="LVY37" s="71"/>
      <c r="LVZ37" s="71"/>
      <c r="LWA37" s="71"/>
      <c r="LWB37" s="71"/>
      <c r="LWC37" s="71"/>
      <c r="LWD37" s="71"/>
      <c r="LWE37" s="71"/>
      <c r="LWF37" s="71"/>
      <c r="LWG37" s="71"/>
      <c r="LWH37" s="71"/>
      <c r="LWI37" s="71"/>
      <c r="LWJ37" s="71"/>
      <c r="LWK37" s="71"/>
      <c r="LWL37" s="71"/>
      <c r="LWM37" s="71"/>
      <c r="LWN37" s="71"/>
      <c r="LWO37" s="71"/>
      <c r="LWP37" s="71"/>
      <c r="LWQ37" s="71"/>
      <c r="LWR37" s="71"/>
      <c r="LWS37" s="71"/>
      <c r="LWT37" s="71"/>
      <c r="LWU37" s="71"/>
      <c r="LWV37" s="71"/>
      <c r="LWW37" s="71"/>
      <c r="LWX37" s="71"/>
      <c r="LWY37" s="71"/>
      <c r="LWZ37" s="71"/>
      <c r="LXA37" s="71"/>
      <c r="LXB37" s="71"/>
      <c r="LXC37" s="71"/>
      <c r="LXD37" s="71"/>
      <c r="LXE37" s="71"/>
      <c r="LXF37" s="71"/>
      <c r="LXG37" s="71"/>
      <c r="LXH37" s="71"/>
      <c r="LXI37" s="71"/>
      <c r="LXJ37" s="71"/>
      <c r="LXK37" s="71"/>
      <c r="LXL37" s="71"/>
      <c r="LXM37" s="71"/>
      <c r="LXN37" s="71"/>
      <c r="LXO37" s="71"/>
      <c r="LXP37" s="71"/>
      <c r="LXQ37" s="71"/>
      <c r="LXR37" s="71"/>
      <c r="LXS37" s="71"/>
      <c r="LXT37" s="71"/>
      <c r="LXU37" s="71"/>
      <c r="LXV37" s="71"/>
      <c r="LXW37" s="71"/>
      <c r="LXX37" s="71"/>
      <c r="LXY37" s="71"/>
      <c r="LXZ37" s="71"/>
      <c r="LYA37" s="71"/>
      <c r="LYB37" s="71"/>
      <c r="LYC37" s="71"/>
      <c r="LYD37" s="71"/>
      <c r="LYE37" s="71"/>
      <c r="LYF37" s="71"/>
      <c r="LYG37" s="71"/>
      <c r="LYH37" s="71"/>
      <c r="LYI37" s="71"/>
      <c r="LYJ37" s="71"/>
      <c r="LYK37" s="71"/>
      <c r="LYL37" s="71"/>
      <c r="LYM37" s="71"/>
      <c r="LYN37" s="71"/>
      <c r="LYO37" s="71"/>
      <c r="LYP37" s="71"/>
      <c r="LYQ37" s="71"/>
      <c r="LYR37" s="71"/>
      <c r="LYS37" s="71"/>
      <c r="LYT37" s="71"/>
      <c r="LYU37" s="71"/>
      <c r="LYV37" s="71"/>
      <c r="LYW37" s="71"/>
      <c r="LYX37" s="71"/>
      <c r="LYY37" s="71"/>
      <c r="LYZ37" s="71"/>
      <c r="LZA37" s="71"/>
      <c r="LZB37" s="71"/>
      <c r="LZC37" s="71"/>
      <c r="LZD37" s="71"/>
      <c r="LZE37" s="71"/>
      <c r="LZF37" s="71"/>
      <c r="LZG37" s="71"/>
      <c r="LZH37" s="71"/>
      <c r="LZI37" s="71"/>
      <c r="LZJ37" s="71"/>
      <c r="LZK37" s="71"/>
      <c r="LZL37" s="71"/>
      <c r="LZM37" s="71"/>
      <c r="LZN37" s="71"/>
      <c r="LZO37" s="71"/>
      <c r="LZP37" s="71"/>
      <c r="LZQ37" s="71"/>
      <c r="LZR37" s="71"/>
      <c r="LZS37" s="71"/>
      <c r="LZT37" s="71"/>
      <c r="LZU37" s="71"/>
      <c r="LZV37" s="71"/>
      <c r="LZW37" s="71"/>
      <c r="LZX37" s="71"/>
      <c r="LZY37" s="71"/>
      <c r="LZZ37" s="71"/>
      <c r="MAA37" s="71"/>
      <c r="MAB37" s="71"/>
      <c r="MAC37" s="71"/>
      <c r="MAD37" s="71"/>
      <c r="MAE37" s="71"/>
      <c r="MAF37" s="71"/>
      <c r="MAG37" s="71"/>
      <c r="MAH37" s="71"/>
      <c r="MAI37" s="71"/>
      <c r="MAJ37" s="71"/>
      <c r="MAK37" s="71"/>
      <c r="MAL37" s="71"/>
      <c r="MAM37" s="71"/>
      <c r="MAN37" s="71"/>
      <c r="MAO37" s="71"/>
      <c r="MAP37" s="71"/>
      <c r="MAQ37" s="71"/>
      <c r="MAR37" s="71"/>
      <c r="MAS37" s="71"/>
      <c r="MAT37" s="71"/>
      <c r="MAU37" s="71"/>
      <c r="MAV37" s="71"/>
      <c r="MAW37" s="71"/>
      <c r="MAX37" s="71"/>
      <c r="MAY37" s="71"/>
      <c r="MAZ37" s="71"/>
      <c r="MBA37" s="71"/>
      <c r="MBB37" s="71"/>
      <c r="MBC37" s="71"/>
      <c r="MBD37" s="71"/>
      <c r="MBE37" s="71"/>
      <c r="MBF37" s="71"/>
      <c r="MBG37" s="71"/>
      <c r="MBH37" s="71"/>
      <c r="MBI37" s="71"/>
      <c r="MBJ37" s="71"/>
      <c r="MBK37" s="71"/>
      <c r="MBL37" s="71"/>
      <c r="MBM37" s="71"/>
      <c r="MBN37" s="71"/>
      <c r="MBO37" s="71"/>
      <c r="MBP37" s="71"/>
      <c r="MBQ37" s="71"/>
      <c r="MBR37" s="71"/>
      <c r="MBS37" s="71"/>
      <c r="MBT37" s="71"/>
      <c r="MBU37" s="71"/>
      <c r="MBV37" s="71"/>
      <c r="MBW37" s="71"/>
      <c r="MBX37" s="71"/>
      <c r="MBY37" s="71"/>
      <c r="MBZ37" s="71"/>
      <c r="MCA37" s="71"/>
      <c r="MCB37" s="71"/>
      <c r="MCC37" s="71"/>
      <c r="MCD37" s="71"/>
      <c r="MCE37" s="71"/>
      <c r="MCF37" s="71"/>
      <c r="MCG37" s="71"/>
      <c r="MCH37" s="71"/>
      <c r="MCI37" s="71"/>
      <c r="MCJ37" s="71"/>
      <c r="MCK37" s="71"/>
      <c r="MCL37" s="71"/>
      <c r="MCM37" s="71"/>
      <c r="MCN37" s="71"/>
      <c r="MCO37" s="71"/>
      <c r="MCP37" s="71"/>
      <c r="MCQ37" s="71"/>
      <c r="MCR37" s="71"/>
      <c r="MCS37" s="71"/>
      <c r="MCT37" s="71"/>
      <c r="MCU37" s="71"/>
      <c r="MCV37" s="71"/>
      <c r="MCW37" s="71"/>
      <c r="MCX37" s="71"/>
      <c r="MCY37" s="71"/>
      <c r="MCZ37" s="71"/>
      <c r="MDA37" s="71"/>
      <c r="MDB37" s="71"/>
      <c r="MDC37" s="71"/>
      <c r="MDD37" s="71"/>
      <c r="MDE37" s="71"/>
      <c r="MDF37" s="71"/>
      <c r="MDG37" s="71"/>
      <c r="MDH37" s="71"/>
      <c r="MDI37" s="71"/>
      <c r="MDJ37" s="71"/>
      <c r="MDK37" s="71"/>
      <c r="MDL37" s="71"/>
      <c r="MDM37" s="71"/>
      <c r="MDN37" s="71"/>
      <c r="MDO37" s="71"/>
      <c r="MDP37" s="71"/>
      <c r="MDQ37" s="71"/>
      <c r="MDR37" s="71"/>
      <c r="MDS37" s="71"/>
      <c r="MDT37" s="71"/>
      <c r="MDU37" s="71"/>
      <c r="MDV37" s="71"/>
      <c r="MDW37" s="71"/>
      <c r="MDX37" s="71"/>
      <c r="MDY37" s="71"/>
      <c r="MDZ37" s="71"/>
      <c r="MEA37" s="71"/>
      <c r="MEB37" s="71"/>
      <c r="MEC37" s="71"/>
      <c r="MED37" s="71"/>
      <c r="MEE37" s="71"/>
      <c r="MEF37" s="71"/>
      <c r="MEG37" s="71"/>
      <c r="MEH37" s="71"/>
      <c r="MEI37" s="71"/>
      <c r="MEJ37" s="71"/>
      <c r="MEK37" s="71"/>
      <c r="MEL37" s="71"/>
      <c r="MEM37" s="71"/>
      <c r="MEN37" s="71"/>
      <c r="MEO37" s="71"/>
      <c r="MEP37" s="71"/>
      <c r="MEQ37" s="71"/>
      <c r="MER37" s="71"/>
      <c r="MES37" s="71"/>
      <c r="MET37" s="71"/>
      <c r="MEU37" s="71"/>
      <c r="MEV37" s="71"/>
      <c r="MEW37" s="71"/>
      <c r="MEX37" s="71"/>
      <c r="MEY37" s="71"/>
      <c r="MEZ37" s="71"/>
      <c r="MFA37" s="71"/>
      <c r="MFB37" s="71"/>
      <c r="MFC37" s="71"/>
      <c r="MFD37" s="71"/>
      <c r="MFE37" s="71"/>
      <c r="MFF37" s="71"/>
      <c r="MFG37" s="71"/>
      <c r="MFH37" s="71"/>
      <c r="MFI37" s="71"/>
      <c r="MFJ37" s="71"/>
      <c r="MFK37" s="71"/>
      <c r="MFL37" s="71"/>
      <c r="MFM37" s="71"/>
      <c r="MFN37" s="71"/>
      <c r="MFO37" s="71"/>
      <c r="MFP37" s="71"/>
      <c r="MFQ37" s="71"/>
      <c r="MFR37" s="71"/>
      <c r="MFS37" s="71"/>
      <c r="MFT37" s="71"/>
      <c r="MFU37" s="71"/>
      <c r="MFV37" s="71"/>
      <c r="MFW37" s="71"/>
      <c r="MFX37" s="71"/>
      <c r="MFY37" s="71"/>
      <c r="MFZ37" s="71"/>
      <c r="MGA37" s="71"/>
      <c r="MGB37" s="71"/>
      <c r="MGC37" s="71"/>
      <c r="MGD37" s="71"/>
      <c r="MGE37" s="71"/>
      <c r="MGF37" s="71"/>
      <c r="MGG37" s="71"/>
      <c r="MGH37" s="71"/>
      <c r="MGI37" s="71"/>
      <c r="MGJ37" s="71"/>
      <c r="MGK37" s="71"/>
      <c r="MGL37" s="71"/>
      <c r="MGM37" s="71"/>
      <c r="MGN37" s="71"/>
      <c r="MGO37" s="71"/>
      <c r="MGP37" s="71"/>
      <c r="MGQ37" s="71"/>
      <c r="MGR37" s="71"/>
      <c r="MGS37" s="71"/>
      <c r="MGT37" s="71"/>
      <c r="MGU37" s="71"/>
      <c r="MGV37" s="71"/>
      <c r="MGW37" s="71"/>
      <c r="MGX37" s="71"/>
      <c r="MGY37" s="71"/>
      <c r="MGZ37" s="71"/>
      <c r="MHA37" s="71"/>
      <c r="MHB37" s="71"/>
      <c r="MHC37" s="71"/>
      <c r="MHD37" s="71"/>
      <c r="MHE37" s="71"/>
      <c r="MHF37" s="71"/>
      <c r="MHG37" s="71"/>
      <c r="MHH37" s="71"/>
      <c r="MHI37" s="71"/>
      <c r="MHJ37" s="71"/>
      <c r="MHK37" s="71"/>
      <c r="MHL37" s="71"/>
      <c r="MHM37" s="71"/>
      <c r="MHN37" s="71"/>
      <c r="MHO37" s="71"/>
      <c r="MHP37" s="71"/>
      <c r="MHQ37" s="71"/>
      <c r="MHR37" s="71"/>
      <c r="MHS37" s="71"/>
      <c r="MHT37" s="71"/>
      <c r="MHU37" s="71"/>
      <c r="MHV37" s="71"/>
      <c r="MHW37" s="71"/>
      <c r="MHX37" s="71"/>
      <c r="MHY37" s="71"/>
      <c r="MHZ37" s="71"/>
      <c r="MIA37" s="71"/>
      <c r="MIB37" s="71"/>
      <c r="MIC37" s="71"/>
      <c r="MID37" s="71"/>
      <c r="MIE37" s="71"/>
      <c r="MIF37" s="71"/>
      <c r="MIG37" s="71"/>
      <c r="MIH37" s="71"/>
      <c r="MII37" s="71"/>
      <c r="MIJ37" s="71"/>
      <c r="MIK37" s="71"/>
      <c r="MIL37" s="71"/>
      <c r="MIM37" s="71"/>
      <c r="MIN37" s="71"/>
      <c r="MIO37" s="71"/>
      <c r="MIP37" s="71"/>
      <c r="MIQ37" s="71"/>
      <c r="MIR37" s="71"/>
      <c r="MIS37" s="71"/>
      <c r="MIT37" s="71"/>
      <c r="MIU37" s="71"/>
      <c r="MIV37" s="71"/>
      <c r="MIW37" s="71"/>
      <c r="MIX37" s="71"/>
      <c r="MIY37" s="71"/>
      <c r="MIZ37" s="71"/>
      <c r="MJA37" s="71"/>
      <c r="MJB37" s="71"/>
      <c r="MJC37" s="71"/>
      <c r="MJD37" s="71"/>
      <c r="MJE37" s="71"/>
      <c r="MJF37" s="71"/>
      <c r="MJG37" s="71"/>
      <c r="MJH37" s="71"/>
      <c r="MJI37" s="71"/>
      <c r="MJJ37" s="71"/>
      <c r="MJK37" s="71"/>
      <c r="MJL37" s="71"/>
      <c r="MJM37" s="71"/>
      <c r="MJN37" s="71"/>
      <c r="MJO37" s="71"/>
      <c r="MJP37" s="71"/>
      <c r="MJQ37" s="71"/>
      <c r="MJR37" s="71"/>
      <c r="MJS37" s="71"/>
      <c r="MJT37" s="71"/>
      <c r="MJU37" s="71"/>
      <c r="MJV37" s="71"/>
      <c r="MJW37" s="71"/>
      <c r="MJX37" s="71"/>
      <c r="MJY37" s="71"/>
      <c r="MJZ37" s="71"/>
      <c r="MKA37" s="71"/>
      <c r="MKB37" s="71"/>
      <c r="MKC37" s="71"/>
      <c r="MKD37" s="71"/>
      <c r="MKE37" s="71"/>
      <c r="MKF37" s="71"/>
      <c r="MKG37" s="71"/>
      <c r="MKH37" s="71"/>
      <c r="MKI37" s="71"/>
      <c r="MKJ37" s="71"/>
      <c r="MKK37" s="71"/>
      <c r="MKL37" s="71"/>
      <c r="MKM37" s="71"/>
      <c r="MKN37" s="71"/>
      <c r="MKO37" s="71"/>
      <c r="MKP37" s="71"/>
      <c r="MKQ37" s="71"/>
      <c r="MKR37" s="71"/>
      <c r="MKS37" s="71"/>
      <c r="MKT37" s="71"/>
      <c r="MKU37" s="71"/>
      <c r="MKV37" s="71"/>
      <c r="MKW37" s="71"/>
      <c r="MKX37" s="71"/>
      <c r="MKY37" s="71"/>
      <c r="MKZ37" s="71"/>
      <c r="MLA37" s="71"/>
      <c r="MLB37" s="71"/>
      <c r="MLC37" s="71"/>
      <c r="MLD37" s="71"/>
      <c r="MLE37" s="71"/>
      <c r="MLF37" s="71"/>
      <c r="MLG37" s="71"/>
      <c r="MLH37" s="71"/>
      <c r="MLI37" s="71"/>
      <c r="MLJ37" s="71"/>
      <c r="MLK37" s="71"/>
      <c r="MLL37" s="71"/>
      <c r="MLM37" s="71"/>
      <c r="MLN37" s="71"/>
      <c r="MLO37" s="71"/>
      <c r="MLP37" s="71"/>
      <c r="MLQ37" s="71"/>
      <c r="MLR37" s="71"/>
      <c r="MLS37" s="71"/>
      <c r="MLT37" s="71"/>
      <c r="MLU37" s="71"/>
      <c r="MLV37" s="71"/>
      <c r="MLW37" s="71"/>
      <c r="MLX37" s="71"/>
      <c r="MLY37" s="71"/>
      <c r="MLZ37" s="71"/>
      <c r="MMA37" s="71"/>
      <c r="MMB37" s="71"/>
      <c r="MMC37" s="71"/>
      <c r="MMD37" s="71"/>
      <c r="MME37" s="71"/>
      <c r="MMF37" s="71"/>
      <c r="MMG37" s="71"/>
      <c r="MMH37" s="71"/>
      <c r="MMI37" s="71"/>
      <c r="MMJ37" s="71"/>
      <c r="MMK37" s="71"/>
      <c r="MML37" s="71"/>
      <c r="MMM37" s="71"/>
      <c r="MMN37" s="71"/>
      <c r="MMO37" s="71"/>
      <c r="MMP37" s="71"/>
      <c r="MMQ37" s="71"/>
      <c r="MMR37" s="71"/>
      <c r="MMS37" s="71"/>
      <c r="MMT37" s="71"/>
      <c r="MMU37" s="71"/>
      <c r="MMV37" s="71"/>
      <c r="MMW37" s="71"/>
      <c r="MMX37" s="71"/>
      <c r="MMY37" s="71"/>
      <c r="MMZ37" s="71"/>
      <c r="MNA37" s="71"/>
      <c r="MNB37" s="71"/>
      <c r="MNC37" s="71"/>
      <c r="MND37" s="71"/>
      <c r="MNE37" s="71"/>
      <c r="MNF37" s="71"/>
      <c r="MNG37" s="71"/>
      <c r="MNH37" s="71"/>
      <c r="MNI37" s="71"/>
      <c r="MNJ37" s="71"/>
      <c r="MNK37" s="71"/>
      <c r="MNL37" s="71"/>
      <c r="MNM37" s="71"/>
      <c r="MNN37" s="71"/>
      <c r="MNO37" s="71"/>
      <c r="MNP37" s="71"/>
      <c r="MNQ37" s="71"/>
      <c r="MNR37" s="71"/>
      <c r="MNS37" s="71"/>
      <c r="MNT37" s="71"/>
      <c r="MNU37" s="71"/>
      <c r="MNV37" s="71"/>
      <c r="MNW37" s="71"/>
      <c r="MNX37" s="71"/>
      <c r="MNY37" s="71"/>
      <c r="MNZ37" s="71"/>
      <c r="MOA37" s="71"/>
      <c r="MOB37" s="71"/>
      <c r="MOC37" s="71"/>
      <c r="MOD37" s="71"/>
      <c r="MOE37" s="71"/>
      <c r="MOF37" s="71"/>
      <c r="MOG37" s="71"/>
      <c r="MOH37" s="71"/>
      <c r="MOI37" s="71"/>
      <c r="MOJ37" s="71"/>
      <c r="MOK37" s="71"/>
      <c r="MOL37" s="71"/>
      <c r="MOM37" s="71"/>
      <c r="MON37" s="71"/>
      <c r="MOO37" s="71"/>
      <c r="MOP37" s="71"/>
      <c r="MOQ37" s="71"/>
      <c r="MOR37" s="71"/>
      <c r="MOS37" s="71"/>
      <c r="MOT37" s="71"/>
      <c r="MOU37" s="71"/>
      <c r="MOV37" s="71"/>
      <c r="MOW37" s="71"/>
      <c r="MOX37" s="71"/>
      <c r="MOY37" s="71"/>
      <c r="MOZ37" s="71"/>
      <c r="MPA37" s="71"/>
      <c r="MPB37" s="71"/>
      <c r="MPC37" s="71"/>
      <c r="MPD37" s="71"/>
      <c r="MPE37" s="71"/>
      <c r="MPF37" s="71"/>
      <c r="MPG37" s="71"/>
      <c r="MPH37" s="71"/>
      <c r="MPI37" s="71"/>
      <c r="MPJ37" s="71"/>
      <c r="MPK37" s="71"/>
      <c r="MPL37" s="71"/>
      <c r="MPM37" s="71"/>
      <c r="MPN37" s="71"/>
      <c r="MPO37" s="71"/>
      <c r="MPP37" s="71"/>
      <c r="MPQ37" s="71"/>
      <c r="MPR37" s="71"/>
      <c r="MPS37" s="71"/>
      <c r="MPT37" s="71"/>
      <c r="MPU37" s="71"/>
      <c r="MPV37" s="71"/>
      <c r="MPW37" s="71"/>
      <c r="MPX37" s="71"/>
      <c r="MPY37" s="71"/>
      <c r="MPZ37" s="71"/>
      <c r="MQA37" s="71"/>
      <c r="MQB37" s="71"/>
      <c r="MQC37" s="71"/>
      <c r="MQD37" s="71"/>
      <c r="MQE37" s="71"/>
      <c r="MQF37" s="71"/>
      <c r="MQG37" s="71"/>
      <c r="MQH37" s="71"/>
      <c r="MQI37" s="71"/>
      <c r="MQJ37" s="71"/>
      <c r="MQK37" s="71"/>
      <c r="MQL37" s="71"/>
      <c r="MQM37" s="71"/>
      <c r="MQN37" s="71"/>
      <c r="MQO37" s="71"/>
      <c r="MQP37" s="71"/>
      <c r="MQQ37" s="71"/>
      <c r="MQR37" s="71"/>
      <c r="MQS37" s="71"/>
      <c r="MQT37" s="71"/>
      <c r="MQU37" s="71"/>
      <c r="MQV37" s="71"/>
      <c r="MQW37" s="71"/>
      <c r="MQX37" s="71"/>
      <c r="MQY37" s="71"/>
      <c r="MQZ37" s="71"/>
      <c r="MRA37" s="71"/>
      <c r="MRB37" s="71"/>
      <c r="MRC37" s="71"/>
      <c r="MRD37" s="71"/>
      <c r="MRE37" s="71"/>
      <c r="MRF37" s="71"/>
      <c r="MRG37" s="71"/>
      <c r="MRH37" s="71"/>
      <c r="MRI37" s="71"/>
      <c r="MRJ37" s="71"/>
      <c r="MRK37" s="71"/>
      <c r="MRL37" s="71"/>
      <c r="MRM37" s="71"/>
      <c r="MRN37" s="71"/>
      <c r="MRO37" s="71"/>
      <c r="MRP37" s="71"/>
      <c r="MRQ37" s="71"/>
      <c r="MRR37" s="71"/>
      <c r="MRS37" s="71"/>
      <c r="MRT37" s="71"/>
      <c r="MRU37" s="71"/>
      <c r="MRV37" s="71"/>
      <c r="MRW37" s="71"/>
      <c r="MRX37" s="71"/>
      <c r="MRY37" s="71"/>
      <c r="MRZ37" s="71"/>
      <c r="MSA37" s="71"/>
      <c r="MSB37" s="71"/>
      <c r="MSC37" s="71"/>
      <c r="MSD37" s="71"/>
      <c r="MSE37" s="71"/>
      <c r="MSF37" s="71"/>
      <c r="MSG37" s="71"/>
      <c r="MSH37" s="71"/>
      <c r="MSI37" s="71"/>
      <c r="MSJ37" s="71"/>
      <c r="MSK37" s="71"/>
      <c r="MSL37" s="71"/>
      <c r="MSM37" s="71"/>
      <c r="MSN37" s="71"/>
      <c r="MSO37" s="71"/>
      <c r="MSP37" s="71"/>
      <c r="MSQ37" s="71"/>
      <c r="MSR37" s="71"/>
      <c r="MSS37" s="71"/>
      <c r="MST37" s="71"/>
      <c r="MSU37" s="71"/>
      <c r="MSV37" s="71"/>
      <c r="MSW37" s="71"/>
      <c r="MSX37" s="71"/>
      <c r="MSY37" s="71"/>
      <c r="MSZ37" s="71"/>
      <c r="MTA37" s="71"/>
      <c r="MTB37" s="71"/>
      <c r="MTC37" s="71"/>
      <c r="MTD37" s="71"/>
      <c r="MTE37" s="71"/>
      <c r="MTF37" s="71"/>
      <c r="MTG37" s="71"/>
      <c r="MTH37" s="71"/>
      <c r="MTI37" s="71"/>
      <c r="MTJ37" s="71"/>
      <c r="MTK37" s="71"/>
      <c r="MTL37" s="71"/>
      <c r="MTM37" s="71"/>
      <c r="MTN37" s="71"/>
      <c r="MTO37" s="71"/>
      <c r="MTP37" s="71"/>
      <c r="MTQ37" s="71"/>
      <c r="MTR37" s="71"/>
      <c r="MTS37" s="71"/>
      <c r="MTT37" s="71"/>
      <c r="MTU37" s="71"/>
      <c r="MTV37" s="71"/>
      <c r="MTW37" s="71"/>
      <c r="MTX37" s="71"/>
      <c r="MTY37" s="71"/>
      <c r="MTZ37" s="71"/>
      <c r="MUA37" s="71"/>
      <c r="MUB37" s="71"/>
      <c r="MUC37" s="71"/>
      <c r="MUD37" s="71"/>
      <c r="MUE37" s="71"/>
      <c r="MUF37" s="71"/>
      <c r="MUG37" s="71"/>
      <c r="MUH37" s="71"/>
      <c r="MUI37" s="71"/>
      <c r="MUJ37" s="71"/>
      <c r="MUK37" s="71"/>
      <c r="MUL37" s="71"/>
      <c r="MUM37" s="71"/>
      <c r="MUN37" s="71"/>
      <c r="MUO37" s="71"/>
      <c r="MUP37" s="71"/>
      <c r="MUQ37" s="71"/>
      <c r="MUR37" s="71"/>
      <c r="MUS37" s="71"/>
      <c r="MUT37" s="71"/>
      <c r="MUU37" s="71"/>
      <c r="MUV37" s="71"/>
      <c r="MUW37" s="71"/>
      <c r="MUX37" s="71"/>
      <c r="MUY37" s="71"/>
      <c r="MUZ37" s="71"/>
      <c r="MVA37" s="71"/>
      <c r="MVB37" s="71"/>
      <c r="MVC37" s="71"/>
      <c r="MVD37" s="71"/>
      <c r="MVE37" s="71"/>
      <c r="MVF37" s="71"/>
      <c r="MVG37" s="71"/>
      <c r="MVH37" s="71"/>
      <c r="MVI37" s="71"/>
      <c r="MVJ37" s="71"/>
      <c r="MVK37" s="71"/>
      <c r="MVL37" s="71"/>
      <c r="MVM37" s="71"/>
      <c r="MVN37" s="71"/>
      <c r="MVO37" s="71"/>
      <c r="MVP37" s="71"/>
      <c r="MVQ37" s="71"/>
      <c r="MVR37" s="71"/>
      <c r="MVS37" s="71"/>
      <c r="MVT37" s="71"/>
      <c r="MVU37" s="71"/>
      <c r="MVV37" s="71"/>
      <c r="MVW37" s="71"/>
      <c r="MVX37" s="71"/>
      <c r="MVY37" s="71"/>
      <c r="MVZ37" s="71"/>
      <c r="MWA37" s="71"/>
      <c r="MWB37" s="71"/>
      <c r="MWC37" s="71"/>
      <c r="MWD37" s="71"/>
      <c r="MWE37" s="71"/>
      <c r="MWF37" s="71"/>
      <c r="MWG37" s="71"/>
      <c r="MWH37" s="71"/>
      <c r="MWI37" s="71"/>
      <c r="MWJ37" s="71"/>
      <c r="MWK37" s="71"/>
      <c r="MWL37" s="71"/>
      <c r="MWM37" s="71"/>
      <c r="MWN37" s="71"/>
      <c r="MWO37" s="71"/>
      <c r="MWP37" s="71"/>
      <c r="MWQ37" s="71"/>
      <c r="MWR37" s="71"/>
      <c r="MWS37" s="71"/>
      <c r="MWT37" s="71"/>
      <c r="MWU37" s="71"/>
      <c r="MWV37" s="71"/>
      <c r="MWW37" s="71"/>
      <c r="MWX37" s="71"/>
      <c r="MWY37" s="71"/>
      <c r="MWZ37" s="71"/>
      <c r="MXA37" s="71"/>
      <c r="MXB37" s="71"/>
      <c r="MXC37" s="71"/>
      <c r="MXD37" s="71"/>
      <c r="MXE37" s="71"/>
      <c r="MXF37" s="71"/>
      <c r="MXG37" s="71"/>
      <c r="MXH37" s="71"/>
      <c r="MXI37" s="71"/>
      <c r="MXJ37" s="71"/>
      <c r="MXK37" s="71"/>
      <c r="MXL37" s="71"/>
      <c r="MXM37" s="71"/>
      <c r="MXN37" s="71"/>
      <c r="MXO37" s="71"/>
      <c r="MXP37" s="71"/>
      <c r="MXQ37" s="71"/>
      <c r="MXR37" s="71"/>
      <c r="MXS37" s="71"/>
      <c r="MXT37" s="71"/>
      <c r="MXU37" s="71"/>
      <c r="MXV37" s="71"/>
      <c r="MXW37" s="71"/>
      <c r="MXX37" s="71"/>
      <c r="MXY37" s="71"/>
      <c r="MXZ37" s="71"/>
      <c r="MYA37" s="71"/>
      <c r="MYB37" s="71"/>
      <c r="MYC37" s="71"/>
      <c r="MYD37" s="71"/>
      <c r="MYE37" s="71"/>
      <c r="MYF37" s="71"/>
      <c r="MYG37" s="71"/>
      <c r="MYH37" s="71"/>
      <c r="MYI37" s="71"/>
      <c r="MYJ37" s="71"/>
      <c r="MYK37" s="71"/>
      <c r="MYL37" s="71"/>
      <c r="MYM37" s="71"/>
      <c r="MYN37" s="71"/>
      <c r="MYO37" s="71"/>
      <c r="MYP37" s="71"/>
      <c r="MYQ37" s="71"/>
      <c r="MYR37" s="71"/>
      <c r="MYS37" s="71"/>
      <c r="MYT37" s="71"/>
      <c r="MYU37" s="71"/>
      <c r="MYV37" s="71"/>
      <c r="MYW37" s="71"/>
      <c r="MYX37" s="71"/>
      <c r="MYY37" s="71"/>
      <c r="MYZ37" s="71"/>
      <c r="MZA37" s="71"/>
      <c r="MZB37" s="71"/>
      <c r="MZC37" s="71"/>
      <c r="MZD37" s="71"/>
      <c r="MZE37" s="71"/>
      <c r="MZF37" s="71"/>
      <c r="MZG37" s="71"/>
      <c r="MZH37" s="71"/>
      <c r="MZI37" s="71"/>
      <c r="MZJ37" s="71"/>
      <c r="MZK37" s="71"/>
      <c r="MZL37" s="71"/>
      <c r="MZM37" s="71"/>
      <c r="MZN37" s="71"/>
      <c r="MZO37" s="71"/>
      <c r="MZP37" s="71"/>
      <c r="MZQ37" s="71"/>
      <c r="MZR37" s="71"/>
      <c r="MZS37" s="71"/>
      <c r="MZT37" s="71"/>
      <c r="MZU37" s="71"/>
      <c r="MZV37" s="71"/>
      <c r="MZW37" s="71"/>
      <c r="MZX37" s="71"/>
      <c r="MZY37" s="71"/>
      <c r="MZZ37" s="71"/>
      <c r="NAA37" s="71"/>
      <c r="NAB37" s="71"/>
      <c r="NAC37" s="71"/>
      <c r="NAD37" s="71"/>
      <c r="NAE37" s="71"/>
      <c r="NAF37" s="71"/>
      <c r="NAG37" s="71"/>
      <c r="NAH37" s="71"/>
      <c r="NAI37" s="71"/>
      <c r="NAJ37" s="71"/>
      <c r="NAK37" s="71"/>
      <c r="NAL37" s="71"/>
      <c r="NAM37" s="71"/>
      <c r="NAN37" s="71"/>
      <c r="NAO37" s="71"/>
      <c r="NAP37" s="71"/>
      <c r="NAQ37" s="71"/>
      <c r="NAR37" s="71"/>
      <c r="NAS37" s="71"/>
      <c r="NAT37" s="71"/>
      <c r="NAU37" s="71"/>
      <c r="NAV37" s="71"/>
      <c r="NAW37" s="71"/>
      <c r="NAX37" s="71"/>
      <c r="NAY37" s="71"/>
      <c r="NAZ37" s="71"/>
      <c r="NBA37" s="71"/>
      <c r="NBB37" s="71"/>
      <c r="NBC37" s="71"/>
      <c r="NBD37" s="71"/>
      <c r="NBE37" s="71"/>
      <c r="NBF37" s="71"/>
      <c r="NBG37" s="71"/>
      <c r="NBH37" s="71"/>
      <c r="NBI37" s="71"/>
      <c r="NBJ37" s="71"/>
      <c r="NBK37" s="71"/>
      <c r="NBL37" s="71"/>
      <c r="NBM37" s="71"/>
      <c r="NBN37" s="71"/>
      <c r="NBO37" s="71"/>
      <c r="NBP37" s="71"/>
      <c r="NBQ37" s="71"/>
      <c r="NBR37" s="71"/>
      <c r="NBS37" s="71"/>
      <c r="NBT37" s="71"/>
      <c r="NBU37" s="71"/>
      <c r="NBV37" s="71"/>
      <c r="NBW37" s="71"/>
      <c r="NBX37" s="71"/>
      <c r="NBY37" s="71"/>
      <c r="NBZ37" s="71"/>
      <c r="NCA37" s="71"/>
      <c r="NCB37" s="71"/>
      <c r="NCC37" s="71"/>
      <c r="NCD37" s="71"/>
      <c r="NCE37" s="71"/>
      <c r="NCF37" s="71"/>
      <c r="NCG37" s="71"/>
      <c r="NCH37" s="71"/>
      <c r="NCI37" s="71"/>
      <c r="NCJ37" s="71"/>
      <c r="NCK37" s="71"/>
      <c r="NCL37" s="71"/>
      <c r="NCM37" s="71"/>
      <c r="NCN37" s="71"/>
      <c r="NCO37" s="71"/>
      <c r="NCP37" s="71"/>
      <c r="NCQ37" s="71"/>
      <c r="NCR37" s="71"/>
      <c r="NCS37" s="71"/>
      <c r="NCT37" s="71"/>
      <c r="NCU37" s="71"/>
      <c r="NCV37" s="71"/>
      <c r="NCW37" s="71"/>
      <c r="NCX37" s="71"/>
      <c r="NCY37" s="71"/>
      <c r="NCZ37" s="71"/>
      <c r="NDA37" s="71"/>
      <c r="NDB37" s="71"/>
      <c r="NDC37" s="71"/>
      <c r="NDD37" s="71"/>
      <c r="NDE37" s="71"/>
      <c r="NDF37" s="71"/>
      <c r="NDG37" s="71"/>
      <c r="NDH37" s="71"/>
      <c r="NDI37" s="71"/>
      <c r="NDJ37" s="71"/>
      <c r="NDK37" s="71"/>
      <c r="NDL37" s="71"/>
      <c r="NDM37" s="71"/>
      <c r="NDN37" s="71"/>
      <c r="NDO37" s="71"/>
      <c r="NDP37" s="71"/>
      <c r="NDQ37" s="71"/>
      <c r="NDR37" s="71"/>
      <c r="NDS37" s="71"/>
      <c r="NDT37" s="71"/>
      <c r="NDU37" s="71"/>
      <c r="NDV37" s="71"/>
      <c r="NDW37" s="71"/>
      <c r="NDX37" s="71"/>
      <c r="NDY37" s="71"/>
      <c r="NDZ37" s="71"/>
      <c r="NEA37" s="71"/>
      <c r="NEB37" s="71"/>
      <c r="NEC37" s="71"/>
      <c r="NED37" s="71"/>
      <c r="NEE37" s="71"/>
      <c r="NEF37" s="71"/>
      <c r="NEG37" s="71"/>
      <c r="NEH37" s="71"/>
      <c r="NEI37" s="71"/>
      <c r="NEJ37" s="71"/>
      <c r="NEK37" s="71"/>
      <c r="NEL37" s="71"/>
      <c r="NEM37" s="71"/>
      <c r="NEN37" s="71"/>
      <c r="NEO37" s="71"/>
      <c r="NEP37" s="71"/>
      <c r="NEQ37" s="71"/>
      <c r="NER37" s="71"/>
      <c r="NES37" s="71"/>
      <c r="NET37" s="71"/>
      <c r="NEU37" s="71"/>
      <c r="NEV37" s="71"/>
      <c r="NEW37" s="71"/>
      <c r="NEX37" s="71"/>
      <c r="NEY37" s="71"/>
      <c r="NEZ37" s="71"/>
      <c r="NFA37" s="71"/>
      <c r="NFB37" s="71"/>
      <c r="NFC37" s="71"/>
      <c r="NFD37" s="71"/>
      <c r="NFE37" s="71"/>
      <c r="NFF37" s="71"/>
      <c r="NFG37" s="71"/>
      <c r="NFH37" s="71"/>
      <c r="NFI37" s="71"/>
      <c r="NFJ37" s="71"/>
      <c r="NFK37" s="71"/>
      <c r="NFL37" s="71"/>
      <c r="NFM37" s="71"/>
      <c r="NFN37" s="71"/>
      <c r="NFO37" s="71"/>
      <c r="NFP37" s="71"/>
      <c r="NFQ37" s="71"/>
      <c r="NFR37" s="71"/>
      <c r="NFS37" s="71"/>
      <c r="NFT37" s="71"/>
      <c r="NFU37" s="71"/>
      <c r="NFV37" s="71"/>
      <c r="NFW37" s="71"/>
      <c r="NFX37" s="71"/>
      <c r="NFY37" s="71"/>
      <c r="NFZ37" s="71"/>
      <c r="NGA37" s="71"/>
      <c r="NGB37" s="71"/>
      <c r="NGC37" s="71"/>
      <c r="NGD37" s="71"/>
      <c r="NGE37" s="71"/>
      <c r="NGF37" s="71"/>
      <c r="NGG37" s="71"/>
      <c r="NGH37" s="71"/>
      <c r="NGI37" s="71"/>
      <c r="NGJ37" s="71"/>
      <c r="NGK37" s="71"/>
      <c r="NGL37" s="71"/>
      <c r="NGM37" s="71"/>
      <c r="NGN37" s="71"/>
      <c r="NGO37" s="71"/>
      <c r="NGP37" s="71"/>
      <c r="NGQ37" s="71"/>
      <c r="NGR37" s="71"/>
      <c r="NGS37" s="71"/>
      <c r="NGT37" s="71"/>
      <c r="NGU37" s="71"/>
      <c r="NGV37" s="71"/>
      <c r="NGW37" s="71"/>
      <c r="NGX37" s="71"/>
      <c r="NGY37" s="71"/>
      <c r="NGZ37" s="71"/>
      <c r="NHA37" s="71"/>
      <c r="NHB37" s="71"/>
      <c r="NHC37" s="71"/>
      <c r="NHD37" s="71"/>
      <c r="NHE37" s="71"/>
      <c r="NHF37" s="71"/>
      <c r="NHG37" s="71"/>
      <c r="NHH37" s="71"/>
      <c r="NHI37" s="71"/>
      <c r="NHJ37" s="71"/>
      <c r="NHK37" s="71"/>
      <c r="NHL37" s="71"/>
      <c r="NHM37" s="71"/>
      <c r="NHN37" s="71"/>
      <c r="NHO37" s="71"/>
      <c r="NHP37" s="71"/>
      <c r="NHQ37" s="71"/>
      <c r="NHR37" s="71"/>
      <c r="NHS37" s="71"/>
      <c r="NHT37" s="71"/>
      <c r="NHU37" s="71"/>
      <c r="NHV37" s="71"/>
      <c r="NHW37" s="71"/>
      <c r="NHX37" s="71"/>
      <c r="NHY37" s="71"/>
      <c r="NHZ37" s="71"/>
      <c r="NIA37" s="71"/>
      <c r="NIB37" s="71"/>
      <c r="NIC37" s="71"/>
      <c r="NID37" s="71"/>
      <c r="NIE37" s="71"/>
      <c r="NIF37" s="71"/>
      <c r="NIG37" s="71"/>
      <c r="NIH37" s="71"/>
      <c r="NII37" s="71"/>
      <c r="NIJ37" s="71"/>
      <c r="NIK37" s="71"/>
      <c r="NIL37" s="71"/>
      <c r="NIM37" s="71"/>
      <c r="NIN37" s="71"/>
      <c r="NIO37" s="71"/>
      <c r="NIP37" s="71"/>
      <c r="NIQ37" s="71"/>
      <c r="NIR37" s="71"/>
      <c r="NIS37" s="71"/>
      <c r="NIT37" s="71"/>
      <c r="NIU37" s="71"/>
      <c r="NIV37" s="71"/>
      <c r="NIW37" s="71"/>
      <c r="NIX37" s="71"/>
      <c r="NIY37" s="71"/>
      <c r="NIZ37" s="71"/>
      <c r="NJA37" s="71"/>
      <c r="NJB37" s="71"/>
      <c r="NJC37" s="71"/>
      <c r="NJD37" s="71"/>
      <c r="NJE37" s="71"/>
      <c r="NJF37" s="71"/>
      <c r="NJG37" s="71"/>
      <c r="NJH37" s="71"/>
      <c r="NJI37" s="71"/>
      <c r="NJJ37" s="71"/>
      <c r="NJK37" s="71"/>
      <c r="NJL37" s="71"/>
      <c r="NJM37" s="71"/>
      <c r="NJN37" s="71"/>
      <c r="NJO37" s="71"/>
      <c r="NJP37" s="71"/>
      <c r="NJQ37" s="71"/>
      <c r="NJR37" s="71"/>
      <c r="NJS37" s="71"/>
      <c r="NJT37" s="71"/>
      <c r="NJU37" s="71"/>
      <c r="NJV37" s="71"/>
      <c r="NJW37" s="71"/>
      <c r="NJX37" s="71"/>
      <c r="NJY37" s="71"/>
      <c r="NJZ37" s="71"/>
      <c r="NKA37" s="71"/>
      <c r="NKB37" s="71"/>
      <c r="NKC37" s="71"/>
      <c r="NKD37" s="71"/>
      <c r="NKE37" s="71"/>
      <c r="NKF37" s="71"/>
      <c r="NKG37" s="71"/>
      <c r="NKH37" s="71"/>
      <c r="NKI37" s="71"/>
      <c r="NKJ37" s="71"/>
      <c r="NKK37" s="71"/>
      <c r="NKL37" s="71"/>
      <c r="NKM37" s="71"/>
      <c r="NKN37" s="71"/>
      <c r="NKO37" s="71"/>
      <c r="NKP37" s="71"/>
      <c r="NKQ37" s="71"/>
      <c r="NKR37" s="71"/>
      <c r="NKS37" s="71"/>
      <c r="NKT37" s="71"/>
      <c r="NKU37" s="71"/>
      <c r="NKV37" s="71"/>
      <c r="NKW37" s="71"/>
      <c r="NKX37" s="71"/>
      <c r="NKY37" s="71"/>
      <c r="NKZ37" s="71"/>
      <c r="NLA37" s="71"/>
      <c r="NLB37" s="71"/>
      <c r="NLC37" s="71"/>
      <c r="NLD37" s="71"/>
      <c r="NLE37" s="71"/>
      <c r="NLF37" s="71"/>
      <c r="NLG37" s="71"/>
      <c r="NLH37" s="71"/>
      <c r="NLI37" s="71"/>
      <c r="NLJ37" s="71"/>
      <c r="NLK37" s="71"/>
      <c r="NLL37" s="71"/>
      <c r="NLM37" s="71"/>
      <c r="NLN37" s="71"/>
      <c r="NLO37" s="71"/>
      <c r="NLP37" s="71"/>
      <c r="NLQ37" s="71"/>
      <c r="NLR37" s="71"/>
      <c r="NLS37" s="71"/>
      <c r="NLT37" s="71"/>
      <c r="NLU37" s="71"/>
      <c r="NLV37" s="71"/>
      <c r="NLW37" s="71"/>
      <c r="NLX37" s="71"/>
      <c r="NLY37" s="71"/>
      <c r="NLZ37" s="71"/>
      <c r="NMA37" s="71"/>
      <c r="NMB37" s="71"/>
      <c r="NMC37" s="71"/>
      <c r="NMD37" s="71"/>
      <c r="NME37" s="71"/>
      <c r="NMF37" s="71"/>
      <c r="NMG37" s="71"/>
      <c r="NMH37" s="71"/>
      <c r="NMI37" s="71"/>
      <c r="NMJ37" s="71"/>
      <c r="NMK37" s="71"/>
      <c r="NML37" s="71"/>
      <c r="NMM37" s="71"/>
      <c r="NMN37" s="71"/>
      <c r="NMO37" s="71"/>
      <c r="NMP37" s="71"/>
      <c r="NMQ37" s="71"/>
      <c r="NMR37" s="71"/>
      <c r="NMS37" s="71"/>
      <c r="NMT37" s="71"/>
      <c r="NMU37" s="71"/>
      <c r="NMV37" s="71"/>
      <c r="NMW37" s="71"/>
      <c r="NMX37" s="71"/>
      <c r="NMY37" s="71"/>
      <c r="NMZ37" s="71"/>
      <c r="NNA37" s="71"/>
      <c r="NNB37" s="71"/>
      <c r="NNC37" s="71"/>
      <c r="NND37" s="71"/>
      <c r="NNE37" s="71"/>
      <c r="NNF37" s="71"/>
      <c r="NNG37" s="71"/>
      <c r="NNH37" s="71"/>
      <c r="NNI37" s="71"/>
      <c r="NNJ37" s="71"/>
      <c r="NNK37" s="71"/>
      <c r="NNL37" s="71"/>
      <c r="NNM37" s="71"/>
      <c r="NNN37" s="71"/>
      <c r="NNO37" s="71"/>
      <c r="NNP37" s="71"/>
      <c r="NNQ37" s="71"/>
      <c r="NNR37" s="71"/>
      <c r="NNS37" s="71"/>
      <c r="NNT37" s="71"/>
      <c r="NNU37" s="71"/>
      <c r="NNV37" s="71"/>
      <c r="NNW37" s="71"/>
      <c r="NNX37" s="71"/>
      <c r="NNY37" s="71"/>
      <c r="NNZ37" s="71"/>
      <c r="NOA37" s="71"/>
      <c r="NOB37" s="71"/>
      <c r="NOC37" s="71"/>
      <c r="NOD37" s="71"/>
      <c r="NOE37" s="71"/>
      <c r="NOF37" s="71"/>
      <c r="NOG37" s="71"/>
      <c r="NOH37" s="71"/>
      <c r="NOI37" s="71"/>
      <c r="NOJ37" s="71"/>
      <c r="NOK37" s="71"/>
      <c r="NOL37" s="71"/>
      <c r="NOM37" s="71"/>
      <c r="NON37" s="71"/>
      <c r="NOO37" s="71"/>
      <c r="NOP37" s="71"/>
      <c r="NOQ37" s="71"/>
      <c r="NOR37" s="71"/>
      <c r="NOS37" s="71"/>
      <c r="NOT37" s="71"/>
      <c r="NOU37" s="71"/>
      <c r="NOV37" s="71"/>
      <c r="NOW37" s="71"/>
      <c r="NOX37" s="71"/>
      <c r="NOY37" s="71"/>
      <c r="NOZ37" s="71"/>
      <c r="NPA37" s="71"/>
      <c r="NPB37" s="71"/>
      <c r="NPC37" s="71"/>
      <c r="NPD37" s="71"/>
      <c r="NPE37" s="71"/>
      <c r="NPF37" s="71"/>
      <c r="NPG37" s="71"/>
      <c r="NPH37" s="71"/>
      <c r="NPI37" s="71"/>
      <c r="NPJ37" s="71"/>
      <c r="NPK37" s="71"/>
      <c r="NPL37" s="71"/>
      <c r="NPM37" s="71"/>
      <c r="NPN37" s="71"/>
      <c r="NPO37" s="71"/>
      <c r="NPP37" s="71"/>
      <c r="NPQ37" s="71"/>
      <c r="NPR37" s="71"/>
      <c r="NPS37" s="71"/>
      <c r="NPT37" s="71"/>
      <c r="NPU37" s="71"/>
      <c r="NPV37" s="71"/>
      <c r="NPW37" s="71"/>
      <c r="NPX37" s="71"/>
      <c r="NPY37" s="71"/>
      <c r="NPZ37" s="71"/>
      <c r="NQA37" s="71"/>
      <c r="NQB37" s="71"/>
      <c r="NQC37" s="71"/>
      <c r="NQD37" s="71"/>
      <c r="NQE37" s="71"/>
      <c r="NQF37" s="71"/>
      <c r="NQG37" s="71"/>
      <c r="NQH37" s="71"/>
      <c r="NQI37" s="71"/>
      <c r="NQJ37" s="71"/>
      <c r="NQK37" s="71"/>
      <c r="NQL37" s="71"/>
      <c r="NQM37" s="71"/>
      <c r="NQN37" s="71"/>
      <c r="NQO37" s="71"/>
      <c r="NQP37" s="71"/>
      <c r="NQQ37" s="71"/>
      <c r="NQR37" s="71"/>
      <c r="NQS37" s="71"/>
      <c r="NQT37" s="71"/>
      <c r="NQU37" s="71"/>
      <c r="NQV37" s="71"/>
      <c r="NQW37" s="71"/>
      <c r="NQX37" s="71"/>
      <c r="NQY37" s="71"/>
      <c r="NQZ37" s="71"/>
      <c r="NRA37" s="71"/>
      <c r="NRB37" s="71"/>
      <c r="NRC37" s="71"/>
      <c r="NRD37" s="71"/>
      <c r="NRE37" s="71"/>
      <c r="NRF37" s="71"/>
      <c r="NRG37" s="71"/>
      <c r="NRH37" s="71"/>
      <c r="NRI37" s="71"/>
      <c r="NRJ37" s="71"/>
      <c r="NRK37" s="71"/>
      <c r="NRL37" s="71"/>
      <c r="NRM37" s="71"/>
      <c r="NRN37" s="71"/>
      <c r="NRO37" s="71"/>
      <c r="NRP37" s="71"/>
      <c r="NRQ37" s="71"/>
      <c r="NRR37" s="71"/>
      <c r="NRS37" s="71"/>
      <c r="NRT37" s="71"/>
      <c r="NRU37" s="71"/>
      <c r="NRV37" s="71"/>
      <c r="NRW37" s="71"/>
      <c r="NRX37" s="71"/>
      <c r="NRY37" s="71"/>
      <c r="NRZ37" s="71"/>
      <c r="NSA37" s="71"/>
      <c r="NSB37" s="71"/>
      <c r="NSC37" s="71"/>
      <c r="NSD37" s="71"/>
      <c r="NSE37" s="71"/>
      <c r="NSF37" s="71"/>
      <c r="NSG37" s="71"/>
      <c r="NSH37" s="71"/>
      <c r="NSI37" s="71"/>
      <c r="NSJ37" s="71"/>
      <c r="NSK37" s="71"/>
      <c r="NSL37" s="71"/>
      <c r="NSM37" s="71"/>
      <c r="NSN37" s="71"/>
      <c r="NSO37" s="71"/>
      <c r="NSP37" s="71"/>
      <c r="NSQ37" s="71"/>
      <c r="NSR37" s="71"/>
      <c r="NSS37" s="71"/>
      <c r="NST37" s="71"/>
      <c r="NSU37" s="71"/>
      <c r="NSV37" s="71"/>
      <c r="NSW37" s="71"/>
      <c r="NSX37" s="71"/>
      <c r="NSY37" s="71"/>
      <c r="NSZ37" s="71"/>
      <c r="NTA37" s="71"/>
      <c r="NTB37" s="71"/>
      <c r="NTC37" s="71"/>
      <c r="NTD37" s="71"/>
      <c r="NTE37" s="71"/>
      <c r="NTF37" s="71"/>
      <c r="NTG37" s="71"/>
      <c r="NTH37" s="71"/>
      <c r="NTI37" s="71"/>
      <c r="NTJ37" s="71"/>
      <c r="NTK37" s="71"/>
      <c r="NTL37" s="71"/>
      <c r="NTM37" s="71"/>
      <c r="NTN37" s="71"/>
      <c r="NTO37" s="71"/>
      <c r="NTP37" s="71"/>
      <c r="NTQ37" s="71"/>
      <c r="NTR37" s="71"/>
      <c r="NTS37" s="71"/>
      <c r="NTT37" s="71"/>
      <c r="NTU37" s="71"/>
      <c r="NTV37" s="71"/>
      <c r="NTW37" s="71"/>
      <c r="NTX37" s="71"/>
      <c r="NTY37" s="71"/>
      <c r="NTZ37" s="71"/>
      <c r="NUA37" s="71"/>
      <c r="NUB37" s="71"/>
      <c r="NUC37" s="71"/>
      <c r="NUD37" s="71"/>
      <c r="NUE37" s="71"/>
      <c r="NUF37" s="71"/>
      <c r="NUG37" s="71"/>
      <c r="NUH37" s="71"/>
      <c r="NUI37" s="71"/>
      <c r="NUJ37" s="71"/>
      <c r="NUK37" s="71"/>
      <c r="NUL37" s="71"/>
      <c r="NUM37" s="71"/>
      <c r="NUN37" s="71"/>
      <c r="NUO37" s="71"/>
      <c r="NUP37" s="71"/>
      <c r="NUQ37" s="71"/>
      <c r="NUR37" s="71"/>
      <c r="NUS37" s="71"/>
      <c r="NUT37" s="71"/>
      <c r="NUU37" s="71"/>
      <c r="NUV37" s="71"/>
      <c r="NUW37" s="71"/>
      <c r="NUX37" s="71"/>
      <c r="NUY37" s="71"/>
      <c r="NUZ37" s="71"/>
      <c r="NVA37" s="71"/>
      <c r="NVB37" s="71"/>
      <c r="NVC37" s="71"/>
      <c r="NVD37" s="71"/>
      <c r="NVE37" s="71"/>
      <c r="NVF37" s="71"/>
      <c r="NVG37" s="71"/>
      <c r="NVH37" s="71"/>
      <c r="NVI37" s="71"/>
      <c r="NVJ37" s="71"/>
      <c r="NVK37" s="71"/>
      <c r="NVL37" s="71"/>
      <c r="NVM37" s="71"/>
      <c r="NVN37" s="71"/>
      <c r="NVO37" s="71"/>
      <c r="NVP37" s="71"/>
      <c r="NVQ37" s="71"/>
      <c r="NVR37" s="71"/>
      <c r="NVS37" s="71"/>
      <c r="NVT37" s="71"/>
      <c r="NVU37" s="71"/>
      <c r="NVV37" s="71"/>
      <c r="NVW37" s="71"/>
      <c r="NVX37" s="71"/>
      <c r="NVY37" s="71"/>
      <c r="NVZ37" s="71"/>
      <c r="NWA37" s="71"/>
      <c r="NWB37" s="71"/>
      <c r="NWC37" s="71"/>
      <c r="NWD37" s="71"/>
      <c r="NWE37" s="71"/>
      <c r="NWF37" s="71"/>
      <c r="NWG37" s="71"/>
      <c r="NWH37" s="71"/>
      <c r="NWI37" s="71"/>
      <c r="NWJ37" s="71"/>
      <c r="NWK37" s="71"/>
      <c r="NWL37" s="71"/>
      <c r="NWM37" s="71"/>
      <c r="NWN37" s="71"/>
      <c r="NWO37" s="71"/>
      <c r="NWP37" s="71"/>
      <c r="NWQ37" s="71"/>
      <c r="NWR37" s="71"/>
      <c r="NWS37" s="71"/>
      <c r="NWT37" s="71"/>
      <c r="NWU37" s="71"/>
      <c r="NWV37" s="71"/>
      <c r="NWW37" s="71"/>
      <c r="NWX37" s="71"/>
      <c r="NWY37" s="71"/>
      <c r="NWZ37" s="71"/>
      <c r="NXA37" s="71"/>
      <c r="NXB37" s="71"/>
      <c r="NXC37" s="71"/>
      <c r="NXD37" s="71"/>
      <c r="NXE37" s="71"/>
      <c r="NXF37" s="71"/>
      <c r="NXG37" s="71"/>
      <c r="NXH37" s="71"/>
      <c r="NXI37" s="71"/>
      <c r="NXJ37" s="71"/>
      <c r="NXK37" s="71"/>
      <c r="NXL37" s="71"/>
      <c r="NXM37" s="71"/>
      <c r="NXN37" s="71"/>
      <c r="NXO37" s="71"/>
      <c r="NXP37" s="71"/>
      <c r="NXQ37" s="71"/>
      <c r="NXR37" s="71"/>
      <c r="NXS37" s="71"/>
      <c r="NXT37" s="71"/>
      <c r="NXU37" s="71"/>
      <c r="NXV37" s="71"/>
      <c r="NXW37" s="71"/>
      <c r="NXX37" s="71"/>
      <c r="NXY37" s="71"/>
      <c r="NXZ37" s="71"/>
      <c r="NYA37" s="71"/>
      <c r="NYB37" s="71"/>
      <c r="NYC37" s="71"/>
      <c r="NYD37" s="71"/>
      <c r="NYE37" s="71"/>
      <c r="NYF37" s="71"/>
      <c r="NYG37" s="71"/>
      <c r="NYH37" s="71"/>
      <c r="NYI37" s="71"/>
      <c r="NYJ37" s="71"/>
      <c r="NYK37" s="71"/>
      <c r="NYL37" s="71"/>
      <c r="NYM37" s="71"/>
      <c r="NYN37" s="71"/>
      <c r="NYO37" s="71"/>
      <c r="NYP37" s="71"/>
      <c r="NYQ37" s="71"/>
      <c r="NYR37" s="71"/>
      <c r="NYS37" s="71"/>
      <c r="NYT37" s="71"/>
      <c r="NYU37" s="71"/>
      <c r="NYV37" s="71"/>
      <c r="NYW37" s="71"/>
      <c r="NYX37" s="71"/>
      <c r="NYY37" s="71"/>
      <c r="NYZ37" s="71"/>
      <c r="NZA37" s="71"/>
      <c r="NZB37" s="71"/>
      <c r="NZC37" s="71"/>
      <c r="NZD37" s="71"/>
      <c r="NZE37" s="71"/>
      <c r="NZF37" s="71"/>
      <c r="NZG37" s="71"/>
      <c r="NZH37" s="71"/>
      <c r="NZI37" s="71"/>
      <c r="NZJ37" s="71"/>
      <c r="NZK37" s="71"/>
      <c r="NZL37" s="71"/>
      <c r="NZM37" s="71"/>
      <c r="NZN37" s="71"/>
      <c r="NZO37" s="71"/>
      <c r="NZP37" s="71"/>
      <c r="NZQ37" s="71"/>
      <c r="NZR37" s="71"/>
      <c r="NZS37" s="71"/>
      <c r="NZT37" s="71"/>
      <c r="NZU37" s="71"/>
      <c r="NZV37" s="71"/>
      <c r="NZW37" s="71"/>
      <c r="NZX37" s="71"/>
      <c r="NZY37" s="71"/>
      <c r="NZZ37" s="71"/>
      <c r="OAA37" s="71"/>
      <c r="OAB37" s="71"/>
      <c r="OAC37" s="71"/>
      <c r="OAD37" s="71"/>
      <c r="OAE37" s="71"/>
      <c r="OAF37" s="71"/>
      <c r="OAG37" s="71"/>
      <c r="OAH37" s="71"/>
      <c r="OAI37" s="71"/>
      <c r="OAJ37" s="71"/>
      <c r="OAK37" s="71"/>
      <c r="OAL37" s="71"/>
      <c r="OAM37" s="71"/>
      <c r="OAN37" s="71"/>
      <c r="OAO37" s="71"/>
      <c r="OAP37" s="71"/>
      <c r="OAQ37" s="71"/>
      <c r="OAR37" s="71"/>
      <c r="OAS37" s="71"/>
      <c r="OAT37" s="71"/>
      <c r="OAU37" s="71"/>
      <c r="OAV37" s="71"/>
      <c r="OAW37" s="71"/>
      <c r="OAX37" s="71"/>
      <c r="OAY37" s="71"/>
      <c r="OAZ37" s="71"/>
      <c r="OBA37" s="71"/>
      <c r="OBB37" s="71"/>
      <c r="OBC37" s="71"/>
      <c r="OBD37" s="71"/>
      <c r="OBE37" s="71"/>
      <c r="OBF37" s="71"/>
      <c r="OBG37" s="71"/>
      <c r="OBH37" s="71"/>
      <c r="OBI37" s="71"/>
      <c r="OBJ37" s="71"/>
      <c r="OBK37" s="71"/>
      <c r="OBL37" s="71"/>
      <c r="OBM37" s="71"/>
      <c r="OBN37" s="71"/>
      <c r="OBO37" s="71"/>
      <c r="OBP37" s="71"/>
      <c r="OBQ37" s="71"/>
      <c r="OBR37" s="71"/>
      <c r="OBS37" s="71"/>
      <c r="OBT37" s="71"/>
      <c r="OBU37" s="71"/>
      <c r="OBV37" s="71"/>
      <c r="OBW37" s="71"/>
      <c r="OBX37" s="71"/>
      <c r="OBY37" s="71"/>
      <c r="OBZ37" s="71"/>
      <c r="OCA37" s="71"/>
      <c r="OCB37" s="71"/>
      <c r="OCC37" s="71"/>
      <c r="OCD37" s="71"/>
      <c r="OCE37" s="71"/>
      <c r="OCF37" s="71"/>
      <c r="OCG37" s="71"/>
      <c r="OCH37" s="71"/>
      <c r="OCI37" s="71"/>
      <c r="OCJ37" s="71"/>
      <c r="OCK37" s="71"/>
      <c r="OCL37" s="71"/>
      <c r="OCM37" s="71"/>
      <c r="OCN37" s="71"/>
      <c r="OCO37" s="71"/>
      <c r="OCP37" s="71"/>
      <c r="OCQ37" s="71"/>
      <c r="OCR37" s="71"/>
      <c r="OCS37" s="71"/>
      <c r="OCT37" s="71"/>
      <c r="OCU37" s="71"/>
      <c r="OCV37" s="71"/>
      <c r="OCW37" s="71"/>
      <c r="OCX37" s="71"/>
      <c r="OCY37" s="71"/>
      <c r="OCZ37" s="71"/>
      <c r="ODA37" s="71"/>
      <c r="ODB37" s="71"/>
      <c r="ODC37" s="71"/>
      <c r="ODD37" s="71"/>
      <c r="ODE37" s="71"/>
      <c r="ODF37" s="71"/>
      <c r="ODG37" s="71"/>
      <c r="ODH37" s="71"/>
      <c r="ODI37" s="71"/>
      <c r="ODJ37" s="71"/>
      <c r="ODK37" s="71"/>
      <c r="ODL37" s="71"/>
      <c r="ODM37" s="71"/>
      <c r="ODN37" s="71"/>
      <c r="ODO37" s="71"/>
      <c r="ODP37" s="71"/>
      <c r="ODQ37" s="71"/>
      <c r="ODR37" s="71"/>
      <c r="ODS37" s="71"/>
      <c r="ODT37" s="71"/>
      <c r="ODU37" s="71"/>
      <c r="ODV37" s="71"/>
      <c r="ODW37" s="71"/>
      <c r="ODX37" s="71"/>
      <c r="ODY37" s="71"/>
      <c r="ODZ37" s="71"/>
      <c r="OEA37" s="71"/>
      <c r="OEB37" s="71"/>
      <c r="OEC37" s="71"/>
      <c r="OED37" s="71"/>
      <c r="OEE37" s="71"/>
      <c r="OEF37" s="71"/>
      <c r="OEG37" s="71"/>
      <c r="OEH37" s="71"/>
      <c r="OEI37" s="71"/>
      <c r="OEJ37" s="71"/>
      <c r="OEK37" s="71"/>
      <c r="OEL37" s="71"/>
      <c r="OEM37" s="71"/>
      <c r="OEN37" s="71"/>
      <c r="OEO37" s="71"/>
      <c r="OEP37" s="71"/>
      <c r="OEQ37" s="71"/>
      <c r="OER37" s="71"/>
      <c r="OES37" s="71"/>
      <c r="OET37" s="71"/>
      <c r="OEU37" s="71"/>
      <c r="OEV37" s="71"/>
      <c r="OEW37" s="71"/>
      <c r="OEX37" s="71"/>
      <c r="OEY37" s="71"/>
      <c r="OEZ37" s="71"/>
      <c r="OFA37" s="71"/>
      <c r="OFB37" s="71"/>
      <c r="OFC37" s="71"/>
      <c r="OFD37" s="71"/>
      <c r="OFE37" s="71"/>
      <c r="OFF37" s="71"/>
      <c r="OFG37" s="71"/>
      <c r="OFH37" s="71"/>
      <c r="OFI37" s="71"/>
      <c r="OFJ37" s="71"/>
      <c r="OFK37" s="71"/>
      <c r="OFL37" s="71"/>
      <c r="OFM37" s="71"/>
      <c r="OFN37" s="71"/>
      <c r="OFO37" s="71"/>
      <c r="OFP37" s="71"/>
      <c r="OFQ37" s="71"/>
      <c r="OFR37" s="71"/>
      <c r="OFS37" s="71"/>
      <c r="OFT37" s="71"/>
      <c r="OFU37" s="71"/>
      <c r="OFV37" s="71"/>
      <c r="OFW37" s="71"/>
      <c r="OFX37" s="71"/>
      <c r="OFY37" s="71"/>
      <c r="OFZ37" s="71"/>
      <c r="OGA37" s="71"/>
      <c r="OGB37" s="71"/>
      <c r="OGC37" s="71"/>
      <c r="OGD37" s="71"/>
      <c r="OGE37" s="71"/>
      <c r="OGF37" s="71"/>
      <c r="OGG37" s="71"/>
      <c r="OGH37" s="71"/>
      <c r="OGI37" s="71"/>
      <c r="OGJ37" s="71"/>
      <c r="OGK37" s="71"/>
      <c r="OGL37" s="71"/>
      <c r="OGM37" s="71"/>
      <c r="OGN37" s="71"/>
      <c r="OGO37" s="71"/>
      <c r="OGP37" s="71"/>
      <c r="OGQ37" s="71"/>
      <c r="OGR37" s="71"/>
      <c r="OGS37" s="71"/>
      <c r="OGT37" s="71"/>
      <c r="OGU37" s="71"/>
      <c r="OGV37" s="71"/>
      <c r="OGW37" s="71"/>
      <c r="OGX37" s="71"/>
      <c r="OGY37" s="71"/>
      <c r="OGZ37" s="71"/>
      <c r="OHA37" s="71"/>
      <c r="OHB37" s="71"/>
      <c r="OHC37" s="71"/>
      <c r="OHD37" s="71"/>
      <c r="OHE37" s="71"/>
      <c r="OHF37" s="71"/>
      <c r="OHG37" s="71"/>
      <c r="OHH37" s="71"/>
      <c r="OHI37" s="71"/>
      <c r="OHJ37" s="71"/>
      <c r="OHK37" s="71"/>
      <c r="OHL37" s="71"/>
      <c r="OHM37" s="71"/>
      <c r="OHN37" s="71"/>
      <c r="OHO37" s="71"/>
      <c r="OHP37" s="71"/>
      <c r="OHQ37" s="71"/>
      <c r="OHR37" s="71"/>
      <c r="OHS37" s="71"/>
      <c r="OHT37" s="71"/>
      <c r="OHU37" s="71"/>
      <c r="OHV37" s="71"/>
      <c r="OHW37" s="71"/>
      <c r="OHX37" s="71"/>
      <c r="OHY37" s="71"/>
      <c r="OHZ37" s="71"/>
      <c r="OIA37" s="71"/>
      <c r="OIB37" s="71"/>
      <c r="OIC37" s="71"/>
      <c r="OID37" s="71"/>
      <c r="OIE37" s="71"/>
      <c r="OIF37" s="71"/>
      <c r="OIG37" s="71"/>
      <c r="OIH37" s="71"/>
      <c r="OII37" s="71"/>
      <c r="OIJ37" s="71"/>
      <c r="OIK37" s="71"/>
      <c r="OIL37" s="71"/>
      <c r="OIM37" s="71"/>
      <c r="OIN37" s="71"/>
      <c r="OIO37" s="71"/>
      <c r="OIP37" s="71"/>
      <c r="OIQ37" s="71"/>
      <c r="OIR37" s="71"/>
      <c r="OIS37" s="71"/>
      <c r="OIT37" s="71"/>
      <c r="OIU37" s="71"/>
      <c r="OIV37" s="71"/>
      <c r="OIW37" s="71"/>
      <c r="OIX37" s="71"/>
      <c r="OIY37" s="71"/>
      <c r="OIZ37" s="71"/>
      <c r="OJA37" s="71"/>
      <c r="OJB37" s="71"/>
      <c r="OJC37" s="71"/>
      <c r="OJD37" s="71"/>
      <c r="OJE37" s="71"/>
      <c r="OJF37" s="71"/>
      <c r="OJG37" s="71"/>
      <c r="OJH37" s="71"/>
      <c r="OJI37" s="71"/>
      <c r="OJJ37" s="71"/>
      <c r="OJK37" s="71"/>
      <c r="OJL37" s="71"/>
      <c r="OJM37" s="71"/>
      <c r="OJN37" s="71"/>
      <c r="OJO37" s="71"/>
      <c r="OJP37" s="71"/>
      <c r="OJQ37" s="71"/>
      <c r="OJR37" s="71"/>
      <c r="OJS37" s="71"/>
      <c r="OJT37" s="71"/>
      <c r="OJU37" s="71"/>
      <c r="OJV37" s="71"/>
      <c r="OJW37" s="71"/>
      <c r="OJX37" s="71"/>
      <c r="OJY37" s="71"/>
      <c r="OJZ37" s="71"/>
      <c r="OKA37" s="71"/>
      <c r="OKB37" s="71"/>
      <c r="OKC37" s="71"/>
      <c r="OKD37" s="71"/>
      <c r="OKE37" s="71"/>
      <c r="OKF37" s="71"/>
      <c r="OKG37" s="71"/>
      <c r="OKH37" s="71"/>
      <c r="OKI37" s="71"/>
      <c r="OKJ37" s="71"/>
      <c r="OKK37" s="71"/>
      <c r="OKL37" s="71"/>
      <c r="OKM37" s="71"/>
      <c r="OKN37" s="71"/>
      <c r="OKO37" s="71"/>
      <c r="OKP37" s="71"/>
      <c r="OKQ37" s="71"/>
      <c r="OKR37" s="71"/>
      <c r="OKS37" s="71"/>
      <c r="OKT37" s="71"/>
      <c r="OKU37" s="71"/>
      <c r="OKV37" s="71"/>
      <c r="OKW37" s="71"/>
      <c r="OKX37" s="71"/>
      <c r="OKY37" s="71"/>
      <c r="OKZ37" s="71"/>
      <c r="OLA37" s="71"/>
      <c r="OLB37" s="71"/>
      <c r="OLC37" s="71"/>
      <c r="OLD37" s="71"/>
      <c r="OLE37" s="71"/>
      <c r="OLF37" s="71"/>
      <c r="OLG37" s="71"/>
      <c r="OLH37" s="71"/>
      <c r="OLI37" s="71"/>
      <c r="OLJ37" s="71"/>
      <c r="OLK37" s="71"/>
      <c r="OLL37" s="71"/>
      <c r="OLM37" s="71"/>
      <c r="OLN37" s="71"/>
      <c r="OLO37" s="71"/>
      <c r="OLP37" s="71"/>
      <c r="OLQ37" s="71"/>
      <c r="OLR37" s="71"/>
      <c r="OLS37" s="71"/>
      <c r="OLT37" s="71"/>
      <c r="OLU37" s="71"/>
      <c r="OLV37" s="71"/>
      <c r="OLW37" s="71"/>
      <c r="OLX37" s="71"/>
      <c r="OLY37" s="71"/>
      <c r="OLZ37" s="71"/>
      <c r="OMA37" s="71"/>
      <c r="OMB37" s="71"/>
      <c r="OMC37" s="71"/>
      <c r="OMD37" s="71"/>
      <c r="OME37" s="71"/>
      <c r="OMF37" s="71"/>
      <c r="OMG37" s="71"/>
      <c r="OMH37" s="71"/>
      <c r="OMI37" s="71"/>
      <c r="OMJ37" s="71"/>
      <c r="OMK37" s="71"/>
      <c r="OML37" s="71"/>
      <c r="OMM37" s="71"/>
      <c r="OMN37" s="71"/>
      <c r="OMO37" s="71"/>
      <c r="OMP37" s="71"/>
      <c r="OMQ37" s="71"/>
      <c r="OMR37" s="71"/>
      <c r="OMS37" s="71"/>
      <c r="OMT37" s="71"/>
      <c r="OMU37" s="71"/>
      <c r="OMV37" s="71"/>
      <c r="OMW37" s="71"/>
      <c r="OMX37" s="71"/>
      <c r="OMY37" s="71"/>
      <c r="OMZ37" s="71"/>
      <c r="ONA37" s="71"/>
      <c r="ONB37" s="71"/>
      <c r="ONC37" s="71"/>
      <c r="OND37" s="71"/>
      <c r="ONE37" s="71"/>
      <c r="ONF37" s="71"/>
      <c r="ONG37" s="71"/>
      <c r="ONH37" s="71"/>
      <c r="ONI37" s="71"/>
      <c r="ONJ37" s="71"/>
      <c r="ONK37" s="71"/>
      <c r="ONL37" s="71"/>
      <c r="ONM37" s="71"/>
      <c r="ONN37" s="71"/>
      <c r="ONO37" s="71"/>
      <c r="ONP37" s="71"/>
      <c r="ONQ37" s="71"/>
      <c r="ONR37" s="71"/>
      <c r="ONS37" s="71"/>
      <c r="ONT37" s="71"/>
      <c r="ONU37" s="71"/>
      <c r="ONV37" s="71"/>
      <c r="ONW37" s="71"/>
      <c r="ONX37" s="71"/>
      <c r="ONY37" s="71"/>
      <c r="ONZ37" s="71"/>
      <c r="OOA37" s="71"/>
      <c r="OOB37" s="71"/>
      <c r="OOC37" s="71"/>
      <c r="OOD37" s="71"/>
      <c r="OOE37" s="71"/>
      <c r="OOF37" s="71"/>
      <c r="OOG37" s="71"/>
      <c r="OOH37" s="71"/>
      <c r="OOI37" s="71"/>
      <c r="OOJ37" s="71"/>
      <c r="OOK37" s="71"/>
      <c r="OOL37" s="71"/>
      <c r="OOM37" s="71"/>
      <c r="OON37" s="71"/>
      <c r="OOO37" s="71"/>
      <c r="OOP37" s="71"/>
      <c r="OOQ37" s="71"/>
      <c r="OOR37" s="71"/>
      <c r="OOS37" s="71"/>
      <c r="OOT37" s="71"/>
      <c r="OOU37" s="71"/>
      <c r="OOV37" s="71"/>
      <c r="OOW37" s="71"/>
      <c r="OOX37" s="71"/>
      <c r="OOY37" s="71"/>
      <c r="OOZ37" s="71"/>
      <c r="OPA37" s="71"/>
      <c r="OPB37" s="71"/>
      <c r="OPC37" s="71"/>
      <c r="OPD37" s="71"/>
      <c r="OPE37" s="71"/>
      <c r="OPF37" s="71"/>
      <c r="OPG37" s="71"/>
      <c r="OPH37" s="71"/>
      <c r="OPI37" s="71"/>
      <c r="OPJ37" s="71"/>
      <c r="OPK37" s="71"/>
      <c r="OPL37" s="71"/>
      <c r="OPM37" s="71"/>
      <c r="OPN37" s="71"/>
      <c r="OPO37" s="71"/>
      <c r="OPP37" s="71"/>
      <c r="OPQ37" s="71"/>
      <c r="OPR37" s="71"/>
      <c r="OPS37" s="71"/>
      <c r="OPT37" s="71"/>
      <c r="OPU37" s="71"/>
      <c r="OPV37" s="71"/>
      <c r="OPW37" s="71"/>
      <c r="OPX37" s="71"/>
      <c r="OPY37" s="71"/>
      <c r="OPZ37" s="71"/>
      <c r="OQA37" s="71"/>
      <c r="OQB37" s="71"/>
      <c r="OQC37" s="71"/>
      <c r="OQD37" s="71"/>
      <c r="OQE37" s="71"/>
      <c r="OQF37" s="71"/>
      <c r="OQG37" s="71"/>
      <c r="OQH37" s="71"/>
      <c r="OQI37" s="71"/>
      <c r="OQJ37" s="71"/>
      <c r="OQK37" s="71"/>
      <c r="OQL37" s="71"/>
      <c r="OQM37" s="71"/>
      <c r="OQN37" s="71"/>
      <c r="OQO37" s="71"/>
      <c r="OQP37" s="71"/>
      <c r="OQQ37" s="71"/>
      <c r="OQR37" s="71"/>
      <c r="OQS37" s="71"/>
      <c r="OQT37" s="71"/>
      <c r="OQU37" s="71"/>
      <c r="OQV37" s="71"/>
      <c r="OQW37" s="71"/>
      <c r="OQX37" s="71"/>
      <c r="OQY37" s="71"/>
      <c r="OQZ37" s="71"/>
      <c r="ORA37" s="71"/>
      <c r="ORB37" s="71"/>
      <c r="ORC37" s="71"/>
      <c r="ORD37" s="71"/>
      <c r="ORE37" s="71"/>
      <c r="ORF37" s="71"/>
      <c r="ORG37" s="71"/>
      <c r="ORH37" s="71"/>
      <c r="ORI37" s="71"/>
      <c r="ORJ37" s="71"/>
      <c r="ORK37" s="71"/>
      <c r="ORL37" s="71"/>
      <c r="ORM37" s="71"/>
      <c r="ORN37" s="71"/>
      <c r="ORO37" s="71"/>
      <c r="ORP37" s="71"/>
      <c r="ORQ37" s="71"/>
      <c r="ORR37" s="71"/>
      <c r="ORS37" s="71"/>
      <c r="ORT37" s="71"/>
      <c r="ORU37" s="71"/>
      <c r="ORV37" s="71"/>
      <c r="ORW37" s="71"/>
      <c r="ORX37" s="71"/>
      <c r="ORY37" s="71"/>
      <c r="ORZ37" s="71"/>
      <c r="OSA37" s="71"/>
      <c r="OSB37" s="71"/>
      <c r="OSC37" s="71"/>
      <c r="OSD37" s="71"/>
      <c r="OSE37" s="71"/>
      <c r="OSF37" s="71"/>
      <c r="OSG37" s="71"/>
      <c r="OSH37" s="71"/>
      <c r="OSI37" s="71"/>
      <c r="OSJ37" s="71"/>
      <c r="OSK37" s="71"/>
      <c r="OSL37" s="71"/>
      <c r="OSM37" s="71"/>
      <c r="OSN37" s="71"/>
      <c r="OSO37" s="71"/>
      <c r="OSP37" s="71"/>
      <c r="OSQ37" s="71"/>
      <c r="OSR37" s="71"/>
      <c r="OSS37" s="71"/>
      <c r="OST37" s="71"/>
      <c r="OSU37" s="71"/>
      <c r="OSV37" s="71"/>
      <c r="OSW37" s="71"/>
      <c r="OSX37" s="71"/>
      <c r="OSY37" s="71"/>
      <c r="OSZ37" s="71"/>
      <c r="OTA37" s="71"/>
      <c r="OTB37" s="71"/>
      <c r="OTC37" s="71"/>
      <c r="OTD37" s="71"/>
      <c r="OTE37" s="71"/>
      <c r="OTF37" s="71"/>
      <c r="OTG37" s="71"/>
      <c r="OTH37" s="71"/>
      <c r="OTI37" s="71"/>
      <c r="OTJ37" s="71"/>
      <c r="OTK37" s="71"/>
      <c r="OTL37" s="71"/>
      <c r="OTM37" s="71"/>
      <c r="OTN37" s="71"/>
      <c r="OTO37" s="71"/>
      <c r="OTP37" s="71"/>
      <c r="OTQ37" s="71"/>
      <c r="OTR37" s="71"/>
      <c r="OTS37" s="71"/>
      <c r="OTT37" s="71"/>
      <c r="OTU37" s="71"/>
      <c r="OTV37" s="71"/>
      <c r="OTW37" s="71"/>
      <c r="OTX37" s="71"/>
      <c r="OTY37" s="71"/>
      <c r="OTZ37" s="71"/>
      <c r="OUA37" s="71"/>
      <c r="OUB37" s="71"/>
      <c r="OUC37" s="71"/>
      <c r="OUD37" s="71"/>
      <c r="OUE37" s="71"/>
      <c r="OUF37" s="71"/>
      <c r="OUG37" s="71"/>
      <c r="OUH37" s="71"/>
      <c r="OUI37" s="71"/>
      <c r="OUJ37" s="71"/>
      <c r="OUK37" s="71"/>
      <c r="OUL37" s="71"/>
      <c r="OUM37" s="71"/>
      <c r="OUN37" s="71"/>
      <c r="OUO37" s="71"/>
      <c r="OUP37" s="71"/>
      <c r="OUQ37" s="71"/>
      <c r="OUR37" s="71"/>
      <c r="OUS37" s="71"/>
      <c r="OUT37" s="71"/>
      <c r="OUU37" s="71"/>
      <c r="OUV37" s="71"/>
      <c r="OUW37" s="71"/>
      <c r="OUX37" s="71"/>
      <c r="OUY37" s="71"/>
      <c r="OUZ37" s="71"/>
      <c r="OVA37" s="71"/>
      <c r="OVB37" s="71"/>
      <c r="OVC37" s="71"/>
      <c r="OVD37" s="71"/>
      <c r="OVE37" s="71"/>
      <c r="OVF37" s="71"/>
      <c r="OVG37" s="71"/>
      <c r="OVH37" s="71"/>
      <c r="OVI37" s="71"/>
      <c r="OVJ37" s="71"/>
      <c r="OVK37" s="71"/>
      <c r="OVL37" s="71"/>
      <c r="OVM37" s="71"/>
      <c r="OVN37" s="71"/>
      <c r="OVO37" s="71"/>
      <c r="OVP37" s="71"/>
      <c r="OVQ37" s="71"/>
      <c r="OVR37" s="71"/>
      <c r="OVS37" s="71"/>
      <c r="OVT37" s="71"/>
      <c r="OVU37" s="71"/>
      <c r="OVV37" s="71"/>
      <c r="OVW37" s="71"/>
      <c r="OVX37" s="71"/>
      <c r="OVY37" s="71"/>
      <c r="OVZ37" s="71"/>
      <c r="OWA37" s="71"/>
      <c r="OWB37" s="71"/>
      <c r="OWC37" s="71"/>
      <c r="OWD37" s="71"/>
      <c r="OWE37" s="71"/>
      <c r="OWF37" s="71"/>
      <c r="OWG37" s="71"/>
      <c r="OWH37" s="71"/>
      <c r="OWI37" s="71"/>
      <c r="OWJ37" s="71"/>
      <c r="OWK37" s="71"/>
      <c r="OWL37" s="71"/>
      <c r="OWM37" s="71"/>
      <c r="OWN37" s="71"/>
      <c r="OWO37" s="71"/>
      <c r="OWP37" s="71"/>
      <c r="OWQ37" s="71"/>
      <c r="OWR37" s="71"/>
      <c r="OWS37" s="71"/>
      <c r="OWT37" s="71"/>
      <c r="OWU37" s="71"/>
      <c r="OWV37" s="71"/>
      <c r="OWW37" s="71"/>
      <c r="OWX37" s="71"/>
      <c r="OWY37" s="71"/>
      <c r="OWZ37" s="71"/>
      <c r="OXA37" s="71"/>
      <c r="OXB37" s="71"/>
      <c r="OXC37" s="71"/>
      <c r="OXD37" s="71"/>
      <c r="OXE37" s="71"/>
      <c r="OXF37" s="71"/>
      <c r="OXG37" s="71"/>
      <c r="OXH37" s="71"/>
      <c r="OXI37" s="71"/>
      <c r="OXJ37" s="71"/>
      <c r="OXK37" s="71"/>
      <c r="OXL37" s="71"/>
      <c r="OXM37" s="71"/>
      <c r="OXN37" s="71"/>
      <c r="OXO37" s="71"/>
      <c r="OXP37" s="71"/>
      <c r="OXQ37" s="71"/>
      <c r="OXR37" s="71"/>
      <c r="OXS37" s="71"/>
      <c r="OXT37" s="71"/>
      <c r="OXU37" s="71"/>
      <c r="OXV37" s="71"/>
      <c r="OXW37" s="71"/>
      <c r="OXX37" s="71"/>
      <c r="OXY37" s="71"/>
      <c r="OXZ37" s="71"/>
      <c r="OYA37" s="71"/>
      <c r="OYB37" s="71"/>
      <c r="OYC37" s="71"/>
      <c r="OYD37" s="71"/>
      <c r="OYE37" s="71"/>
      <c r="OYF37" s="71"/>
      <c r="OYG37" s="71"/>
      <c r="OYH37" s="71"/>
      <c r="OYI37" s="71"/>
      <c r="OYJ37" s="71"/>
      <c r="OYK37" s="71"/>
      <c r="OYL37" s="71"/>
      <c r="OYM37" s="71"/>
      <c r="OYN37" s="71"/>
      <c r="OYO37" s="71"/>
      <c r="OYP37" s="71"/>
      <c r="OYQ37" s="71"/>
      <c r="OYR37" s="71"/>
      <c r="OYS37" s="71"/>
      <c r="OYT37" s="71"/>
      <c r="OYU37" s="71"/>
      <c r="OYV37" s="71"/>
      <c r="OYW37" s="71"/>
      <c r="OYX37" s="71"/>
      <c r="OYY37" s="71"/>
      <c r="OYZ37" s="71"/>
      <c r="OZA37" s="71"/>
      <c r="OZB37" s="71"/>
      <c r="OZC37" s="71"/>
      <c r="OZD37" s="71"/>
      <c r="OZE37" s="71"/>
      <c r="OZF37" s="71"/>
      <c r="OZG37" s="71"/>
      <c r="OZH37" s="71"/>
      <c r="OZI37" s="71"/>
      <c r="OZJ37" s="71"/>
      <c r="OZK37" s="71"/>
      <c r="OZL37" s="71"/>
      <c r="OZM37" s="71"/>
      <c r="OZN37" s="71"/>
      <c r="OZO37" s="71"/>
      <c r="OZP37" s="71"/>
      <c r="OZQ37" s="71"/>
      <c r="OZR37" s="71"/>
      <c r="OZS37" s="71"/>
      <c r="OZT37" s="71"/>
      <c r="OZU37" s="71"/>
      <c r="OZV37" s="71"/>
      <c r="OZW37" s="71"/>
      <c r="OZX37" s="71"/>
      <c r="OZY37" s="71"/>
      <c r="OZZ37" s="71"/>
      <c r="PAA37" s="71"/>
      <c r="PAB37" s="71"/>
      <c r="PAC37" s="71"/>
      <c r="PAD37" s="71"/>
      <c r="PAE37" s="71"/>
      <c r="PAF37" s="71"/>
      <c r="PAG37" s="71"/>
      <c r="PAH37" s="71"/>
      <c r="PAI37" s="71"/>
      <c r="PAJ37" s="71"/>
      <c r="PAK37" s="71"/>
      <c r="PAL37" s="71"/>
      <c r="PAM37" s="71"/>
      <c r="PAN37" s="71"/>
      <c r="PAO37" s="71"/>
      <c r="PAP37" s="71"/>
      <c r="PAQ37" s="71"/>
      <c r="PAR37" s="71"/>
      <c r="PAS37" s="71"/>
      <c r="PAT37" s="71"/>
      <c r="PAU37" s="71"/>
      <c r="PAV37" s="71"/>
      <c r="PAW37" s="71"/>
      <c r="PAX37" s="71"/>
      <c r="PAY37" s="71"/>
      <c r="PAZ37" s="71"/>
      <c r="PBA37" s="71"/>
      <c r="PBB37" s="71"/>
      <c r="PBC37" s="71"/>
      <c r="PBD37" s="71"/>
      <c r="PBE37" s="71"/>
      <c r="PBF37" s="71"/>
      <c r="PBG37" s="71"/>
      <c r="PBH37" s="71"/>
      <c r="PBI37" s="71"/>
      <c r="PBJ37" s="71"/>
      <c r="PBK37" s="71"/>
      <c r="PBL37" s="71"/>
      <c r="PBM37" s="71"/>
      <c r="PBN37" s="71"/>
      <c r="PBO37" s="71"/>
      <c r="PBP37" s="71"/>
      <c r="PBQ37" s="71"/>
      <c r="PBR37" s="71"/>
      <c r="PBS37" s="71"/>
      <c r="PBT37" s="71"/>
      <c r="PBU37" s="71"/>
      <c r="PBV37" s="71"/>
      <c r="PBW37" s="71"/>
      <c r="PBX37" s="71"/>
      <c r="PBY37" s="71"/>
      <c r="PBZ37" s="71"/>
      <c r="PCA37" s="71"/>
      <c r="PCB37" s="71"/>
      <c r="PCC37" s="71"/>
      <c r="PCD37" s="71"/>
      <c r="PCE37" s="71"/>
      <c r="PCF37" s="71"/>
      <c r="PCG37" s="71"/>
      <c r="PCH37" s="71"/>
      <c r="PCI37" s="71"/>
      <c r="PCJ37" s="71"/>
      <c r="PCK37" s="71"/>
      <c r="PCL37" s="71"/>
      <c r="PCM37" s="71"/>
      <c r="PCN37" s="71"/>
      <c r="PCO37" s="71"/>
      <c r="PCP37" s="71"/>
      <c r="PCQ37" s="71"/>
      <c r="PCR37" s="71"/>
      <c r="PCS37" s="71"/>
      <c r="PCT37" s="71"/>
      <c r="PCU37" s="71"/>
      <c r="PCV37" s="71"/>
      <c r="PCW37" s="71"/>
      <c r="PCX37" s="71"/>
      <c r="PCY37" s="71"/>
      <c r="PCZ37" s="71"/>
      <c r="PDA37" s="71"/>
      <c r="PDB37" s="71"/>
      <c r="PDC37" s="71"/>
      <c r="PDD37" s="71"/>
      <c r="PDE37" s="71"/>
      <c r="PDF37" s="71"/>
      <c r="PDG37" s="71"/>
      <c r="PDH37" s="71"/>
      <c r="PDI37" s="71"/>
      <c r="PDJ37" s="71"/>
      <c r="PDK37" s="71"/>
      <c r="PDL37" s="71"/>
      <c r="PDM37" s="71"/>
      <c r="PDN37" s="71"/>
      <c r="PDO37" s="71"/>
      <c r="PDP37" s="71"/>
      <c r="PDQ37" s="71"/>
      <c r="PDR37" s="71"/>
      <c r="PDS37" s="71"/>
      <c r="PDT37" s="71"/>
      <c r="PDU37" s="71"/>
      <c r="PDV37" s="71"/>
      <c r="PDW37" s="71"/>
      <c r="PDX37" s="71"/>
      <c r="PDY37" s="71"/>
      <c r="PDZ37" s="71"/>
      <c r="PEA37" s="71"/>
      <c r="PEB37" s="71"/>
      <c r="PEC37" s="71"/>
      <c r="PED37" s="71"/>
      <c r="PEE37" s="71"/>
      <c r="PEF37" s="71"/>
      <c r="PEG37" s="71"/>
      <c r="PEH37" s="71"/>
      <c r="PEI37" s="71"/>
      <c r="PEJ37" s="71"/>
      <c r="PEK37" s="71"/>
      <c r="PEL37" s="71"/>
      <c r="PEM37" s="71"/>
      <c r="PEN37" s="71"/>
      <c r="PEO37" s="71"/>
      <c r="PEP37" s="71"/>
      <c r="PEQ37" s="71"/>
      <c r="PER37" s="71"/>
      <c r="PES37" s="71"/>
      <c r="PET37" s="71"/>
      <c r="PEU37" s="71"/>
      <c r="PEV37" s="71"/>
      <c r="PEW37" s="71"/>
      <c r="PEX37" s="71"/>
      <c r="PEY37" s="71"/>
      <c r="PEZ37" s="71"/>
      <c r="PFA37" s="71"/>
      <c r="PFB37" s="71"/>
      <c r="PFC37" s="71"/>
      <c r="PFD37" s="71"/>
      <c r="PFE37" s="71"/>
      <c r="PFF37" s="71"/>
      <c r="PFG37" s="71"/>
      <c r="PFH37" s="71"/>
      <c r="PFI37" s="71"/>
      <c r="PFJ37" s="71"/>
      <c r="PFK37" s="71"/>
      <c r="PFL37" s="71"/>
      <c r="PFM37" s="71"/>
      <c r="PFN37" s="71"/>
      <c r="PFO37" s="71"/>
      <c r="PFP37" s="71"/>
      <c r="PFQ37" s="71"/>
      <c r="PFR37" s="71"/>
      <c r="PFS37" s="71"/>
      <c r="PFT37" s="71"/>
      <c r="PFU37" s="71"/>
      <c r="PFV37" s="71"/>
      <c r="PFW37" s="71"/>
      <c r="PFX37" s="71"/>
      <c r="PFY37" s="71"/>
      <c r="PFZ37" s="71"/>
      <c r="PGA37" s="71"/>
      <c r="PGB37" s="71"/>
      <c r="PGC37" s="71"/>
      <c r="PGD37" s="71"/>
      <c r="PGE37" s="71"/>
      <c r="PGF37" s="71"/>
      <c r="PGG37" s="71"/>
      <c r="PGH37" s="71"/>
      <c r="PGI37" s="71"/>
      <c r="PGJ37" s="71"/>
      <c r="PGK37" s="71"/>
      <c r="PGL37" s="71"/>
      <c r="PGM37" s="71"/>
      <c r="PGN37" s="71"/>
      <c r="PGO37" s="71"/>
      <c r="PGP37" s="71"/>
      <c r="PGQ37" s="71"/>
      <c r="PGR37" s="71"/>
      <c r="PGS37" s="71"/>
      <c r="PGT37" s="71"/>
      <c r="PGU37" s="71"/>
      <c r="PGV37" s="71"/>
      <c r="PGW37" s="71"/>
      <c r="PGX37" s="71"/>
      <c r="PGY37" s="71"/>
      <c r="PGZ37" s="71"/>
      <c r="PHA37" s="71"/>
      <c r="PHB37" s="71"/>
      <c r="PHC37" s="71"/>
      <c r="PHD37" s="71"/>
      <c r="PHE37" s="71"/>
      <c r="PHF37" s="71"/>
      <c r="PHG37" s="71"/>
      <c r="PHH37" s="71"/>
      <c r="PHI37" s="71"/>
      <c r="PHJ37" s="71"/>
      <c r="PHK37" s="71"/>
      <c r="PHL37" s="71"/>
      <c r="PHM37" s="71"/>
      <c r="PHN37" s="71"/>
      <c r="PHO37" s="71"/>
      <c r="PHP37" s="71"/>
      <c r="PHQ37" s="71"/>
      <c r="PHR37" s="71"/>
      <c r="PHS37" s="71"/>
      <c r="PHT37" s="71"/>
      <c r="PHU37" s="71"/>
      <c r="PHV37" s="71"/>
      <c r="PHW37" s="71"/>
      <c r="PHX37" s="71"/>
      <c r="PHY37" s="71"/>
      <c r="PHZ37" s="71"/>
      <c r="PIA37" s="71"/>
      <c r="PIB37" s="71"/>
      <c r="PIC37" s="71"/>
      <c r="PID37" s="71"/>
      <c r="PIE37" s="71"/>
      <c r="PIF37" s="71"/>
      <c r="PIG37" s="71"/>
      <c r="PIH37" s="71"/>
      <c r="PII37" s="71"/>
      <c r="PIJ37" s="71"/>
      <c r="PIK37" s="71"/>
      <c r="PIL37" s="71"/>
      <c r="PIM37" s="71"/>
      <c r="PIN37" s="71"/>
      <c r="PIO37" s="71"/>
      <c r="PIP37" s="71"/>
      <c r="PIQ37" s="71"/>
      <c r="PIR37" s="71"/>
      <c r="PIS37" s="71"/>
      <c r="PIT37" s="71"/>
      <c r="PIU37" s="71"/>
      <c r="PIV37" s="71"/>
      <c r="PIW37" s="71"/>
      <c r="PIX37" s="71"/>
      <c r="PIY37" s="71"/>
      <c r="PIZ37" s="71"/>
      <c r="PJA37" s="71"/>
      <c r="PJB37" s="71"/>
      <c r="PJC37" s="71"/>
      <c r="PJD37" s="71"/>
      <c r="PJE37" s="71"/>
      <c r="PJF37" s="71"/>
      <c r="PJG37" s="71"/>
      <c r="PJH37" s="71"/>
      <c r="PJI37" s="71"/>
      <c r="PJJ37" s="71"/>
      <c r="PJK37" s="71"/>
      <c r="PJL37" s="71"/>
      <c r="PJM37" s="71"/>
      <c r="PJN37" s="71"/>
      <c r="PJO37" s="71"/>
      <c r="PJP37" s="71"/>
      <c r="PJQ37" s="71"/>
      <c r="PJR37" s="71"/>
      <c r="PJS37" s="71"/>
      <c r="PJT37" s="71"/>
      <c r="PJU37" s="71"/>
      <c r="PJV37" s="71"/>
      <c r="PJW37" s="71"/>
      <c r="PJX37" s="71"/>
      <c r="PJY37" s="71"/>
      <c r="PJZ37" s="71"/>
      <c r="PKA37" s="71"/>
      <c r="PKB37" s="71"/>
      <c r="PKC37" s="71"/>
      <c r="PKD37" s="71"/>
      <c r="PKE37" s="71"/>
      <c r="PKF37" s="71"/>
      <c r="PKG37" s="71"/>
      <c r="PKH37" s="71"/>
      <c r="PKI37" s="71"/>
      <c r="PKJ37" s="71"/>
      <c r="PKK37" s="71"/>
      <c r="PKL37" s="71"/>
      <c r="PKM37" s="71"/>
      <c r="PKN37" s="71"/>
      <c r="PKO37" s="71"/>
      <c r="PKP37" s="71"/>
      <c r="PKQ37" s="71"/>
      <c r="PKR37" s="71"/>
      <c r="PKS37" s="71"/>
      <c r="PKT37" s="71"/>
      <c r="PKU37" s="71"/>
      <c r="PKV37" s="71"/>
      <c r="PKW37" s="71"/>
      <c r="PKX37" s="71"/>
      <c r="PKY37" s="71"/>
      <c r="PKZ37" s="71"/>
      <c r="PLA37" s="71"/>
      <c r="PLB37" s="71"/>
      <c r="PLC37" s="71"/>
      <c r="PLD37" s="71"/>
      <c r="PLE37" s="71"/>
      <c r="PLF37" s="71"/>
      <c r="PLG37" s="71"/>
      <c r="PLH37" s="71"/>
      <c r="PLI37" s="71"/>
      <c r="PLJ37" s="71"/>
      <c r="PLK37" s="71"/>
      <c r="PLL37" s="71"/>
      <c r="PLM37" s="71"/>
      <c r="PLN37" s="71"/>
      <c r="PLO37" s="71"/>
      <c r="PLP37" s="71"/>
      <c r="PLQ37" s="71"/>
      <c r="PLR37" s="71"/>
      <c r="PLS37" s="71"/>
      <c r="PLT37" s="71"/>
      <c r="PLU37" s="71"/>
      <c r="PLV37" s="71"/>
      <c r="PLW37" s="71"/>
      <c r="PLX37" s="71"/>
      <c r="PLY37" s="71"/>
      <c r="PLZ37" s="71"/>
      <c r="PMA37" s="71"/>
      <c r="PMB37" s="71"/>
      <c r="PMC37" s="71"/>
      <c r="PMD37" s="71"/>
      <c r="PME37" s="71"/>
      <c r="PMF37" s="71"/>
      <c r="PMG37" s="71"/>
      <c r="PMH37" s="71"/>
      <c r="PMI37" s="71"/>
      <c r="PMJ37" s="71"/>
      <c r="PMK37" s="71"/>
      <c r="PML37" s="71"/>
      <c r="PMM37" s="71"/>
      <c r="PMN37" s="71"/>
      <c r="PMO37" s="71"/>
      <c r="PMP37" s="71"/>
      <c r="PMQ37" s="71"/>
      <c r="PMR37" s="71"/>
      <c r="PMS37" s="71"/>
      <c r="PMT37" s="71"/>
      <c r="PMU37" s="71"/>
      <c r="PMV37" s="71"/>
      <c r="PMW37" s="71"/>
      <c r="PMX37" s="71"/>
      <c r="PMY37" s="71"/>
      <c r="PMZ37" s="71"/>
      <c r="PNA37" s="71"/>
      <c r="PNB37" s="71"/>
      <c r="PNC37" s="71"/>
      <c r="PND37" s="71"/>
      <c r="PNE37" s="71"/>
      <c r="PNF37" s="71"/>
      <c r="PNG37" s="71"/>
      <c r="PNH37" s="71"/>
      <c r="PNI37" s="71"/>
      <c r="PNJ37" s="71"/>
      <c r="PNK37" s="71"/>
      <c r="PNL37" s="71"/>
      <c r="PNM37" s="71"/>
      <c r="PNN37" s="71"/>
      <c r="PNO37" s="71"/>
      <c r="PNP37" s="71"/>
      <c r="PNQ37" s="71"/>
      <c r="PNR37" s="71"/>
      <c r="PNS37" s="71"/>
      <c r="PNT37" s="71"/>
      <c r="PNU37" s="71"/>
      <c r="PNV37" s="71"/>
      <c r="PNW37" s="71"/>
      <c r="PNX37" s="71"/>
      <c r="PNY37" s="71"/>
      <c r="PNZ37" s="71"/>
      <c r="POA37" s="71"/>
      <c r="POB37" s="71"/>
      <c r="POC37" s="71"/>
      <c r="POD37" s="71"/>
      <c r="POE37" s="71"/>
      <c r="POF37" s="71"/>
      <c r="POG37" s="71"/>
      <c r="POH37" s="71"/>
      <c r="POI37" s="71"/>
      <c r="POJ37" s="71"/>
      <c r="POK37" s="71"/>
      <c r="POL37" s="71"/>
      <c r="POM37" s="71"/>
      <c r="PON37" s="71"/>
      <c r="POO37" s="71"/>
      <c r="POP37" s="71"/>
      <c r="POQ37" s="71"/>
      <c r="POR37" s="71"/>
      <c r="POS37" s="71"/>
      <c r="POT37" s="71"/>
      <c r="POU37" s="71"/>
      <c r="POV37" s="71"/>
      <c r="POW37" s="71"/>
      <c r="POX37" s="71"/>
      <c r="POY37" s="71"/>
      <c r="POZ37" s="71"/>
      <c r="PPA37" s="71"/>
      <c r="PPB37" s="71"/>
      <c r="PPC37" s="71"/>
      <c r="PPD37" s="71"/>
      <c r="PPE37" s="71"/>
      <c r="PPF37" s="71"/>
      <c r="PPG37" s="71"/>
      <c r="PPH37" s="71"/>
      <c r="PPI37" s="71"/>
      <c r="PPJ37" s="71"/>
      <c r="PPK37" s="71"/>
      <c r="PPL37" s="71"/>
      <c r="PPM37" s="71"/>
      <c r="PPN37" s="71"/>
      <c r="PPO37" s="71"/>
      <c r="PPP37" s="71"/>
      <c r="PPQ37" s="71"/>
      <c r="PPR37" s="71"/>
      <c r="PPS37" s="71"/>
      <c r="PPT37" s="71"/>
      <c r="PPU37" s="71"/>
      <c r="PPV37" s="71"/>
      <c r="PPW37" s="71"/>
      <c r="PPX37" s="71"/>
      <c r="PPY37" s="71"/>
      <c r="PPZ37" s="71"/>
      <c r="PQA37" s="71"/>
      <c r="PQB37" s="71"/>
      <c r="PQC37" s="71"/>
      <c r="PQD37" s="71"/>
      <c r="PQE37" s="71"/>
      <c r="PQF37" s="71"/>
      <c r="PQG37" s="71"/>
      <c r="PQH37" s="71"/>
      <c r="PQI37" s="71"/>
      <c r="PQJ37" s="71"/>
      <c r="PQK37" s="71"/>
      <c r="PQL37" s="71"/>
      <c r="PQM37" s="71"/>
      <c r="PQN37" s="71"/>
      <c r="PQO37" s="71"/>
      <c r="PQP37" s="71"/>
      <c r="PQQ37" s="71"/>
      <c r="PQR37" s="71"/>
      <c r="PQS37" s="71"/>
      <c r="PQT37" s="71"/>
      <c r="PQU37" s="71"/>
      <c r="PQV37" s="71"/>
      <c r="PQW37" s="71"/>
      <c r="PQX37" s="71"/>
      <c r="PQY37" s="71"/>
      <c r="PQZ37" s="71"/>
      <c r="PRA37" s="71"/>
      <c r="PRB37" s="71"/>
      <c r="PRC37" s="71"/>
      <c r="PRD37" s="71"/>
      <c r="PRE37" s="71"/>
      <c r="PRF37" s="71"/>
      <c r="PRG37" s="71"/>
      <c r="PRH37" s="71"/>
      <c r="PRI37" s="71"/>
      <c r="PRJ37" s="71"/>
      <c r="PRK37" s="71"/>
      <c r="PRL37" s="71"/>
      <c r="PRM37" s="71"/>
      <c r="PRN37" s="71"/>
      <c r="PRO37" s="71"/>
      <c r="PRP37" s="71"/>
      <c r="PRQ37" s="71"/>
      <c r="PRR37" s="71"/>
      <c r="PRS37" s="71"/>
      <c r="PRT37" s="71"/>
      <c r="PRU37" s="71"/>
      <c r="PRV37" s="71"/>
      <c r="PRW37" s="71"/>
      <c r="PRX37" s="71"/>
      <c r="PRY37" s="71"/>
      <c r="PRZ37" s="71"/>
      <c r="PSA37" s="71"/>
      <c r="PSB37" s="71"/>
      <c r="PSC37" s="71"/>
      <c r="PSD37" s="71"/>
      <c r="PSE37" s="71"/>
      <c r="PSF37" s="71"/>
      <c r="PSG37" s="71"/>
      <c r="PSH37" s="71"/>
      <c r="PSI37" s="71"/>
      <c r="PSJ37" s="71"/>
      <c r="PSK37" s="71"/>
      <c r="PSL37" s="71"/>
      <c r="PSM37" s="71"/>
      <c r="PSN37" s="71"/>
      <c r="PSO37" s="71"/>
      <c r="PSP37" s="71"/>
      <c r="PSQ37" s="71"/>
      <c r="PSR37" s="71"/>
      <c r="PSS37" s="71"/>
      <c r="PST37" s="71"/>
      <c r="PSU37" s="71"/>
      <c r="PSV37" s="71"/>
      <c r="PSW37" s="71"/>
      <c r="PSX37" s="71"/>
      <c r="PSY37" s="71"/>
      <c r="PSZ37" s="71"/>
      <c r="PTA37" s="71"/>
      <c r="PTB37" s="71"/>
      <c r="PTC37" s="71"/>
      <c r="PTD37" s="71"/>
      <c r="PTE37" s="71"/>
      <c r="PTF37" s="71"/>
      <c r="PTG37" s="71"/>
      <c r="PTH37" s="71"/>
      <c r="PTI37" s="71"/>
      <c r="PTJ37" s="71"/>
      <c r="PTK37" s="71"/>
      <c r="PTL37" s="71"/>
      <c r="PTM37" s="71"/>
      <c r="PTN37" s="71"/>
      <c r="PTO37" s="71"/>
      <c r="PTP37" s="71"/>
      <c r="PTQ37" s="71"/>
      <c r="PTR37" s="71"/>
      <c r="PTS37" s="71"/>
      <c r="PTT37" s="71"/>
      <c r="PTU37" s="71"/>
      <c r="PTV37" s="71"/>
      <c r="PTW37" s="71"/>
      <c r="PTX37" s="71"/>
      <c r="PTY37" s="71"/>
      <c r="PTZ37" s="71"/>
      <c r="PUA37" s="71"/>
      <c r="PUB37" s="71"/>
      <c r="PUC37" s="71"/>
      <c r="PUD37" s="71"/>
      <c r="PUE37" s="71"/>
      <c r="PUF37" s="71"/>
      <c r="PUG37" s="71"/>
      <c r="PUH37" s="71"/>
      <c r="PUI37" s="71"/>
      <c r="PUJ37" s="71"/>
      <c r="PUK37" s="71"/>
      <c r="PUL37" s="71"/>
      <c r="PUM37" s="71"/>
      <c r="PUN37" s="71"/>
      <c r="PUO37" s="71"/>
      <c r="PUP37" s="71"/>
      <c r="PUQ37" s="71"/>
      <c r="PUR37" s="71"/>
      <c r="PUS37" s="71"/>
      <c r="PUT37" s="71"/>
      <c r="PUU37" s="71"/>
      <c r="PUV37" s="71"/>
      <c r="PUW37" s="71"/>
      <c r="PUX37" s="71"/>
      <c r="PUY37" s="71"/>
      <c r="PUZ37" s="71"/>
      <c r="PVA37" s="71"/>
      <c r="PVB37" s="71"/>
      <c r="PVC37" s="71"/>
      <c r="PVD37" s="71"/>
      <c r="PVE37" s="71"/>
      <c r="PVF37" s="71"/>
      <c r="PVG37" s="71"/>
      <c r="PVH37" s="71"/>
      <c r="PVI37" s="71"/>
      <c r="PVJ37" s="71"/>
      <c r="PVK37" s="71"/>
      <c r="PVL37" s="71"/>
      <c r="PVM37" s="71"/>
      <c r="PVN37" s="71"/>
      <c r="PVO37" s="71"/>
      <c r="PVP37" s="71"/>
      <c r="PVQ37" s="71"/>
      <c r="PVR37" s="71"/>
      <c r="PVS37" s="71"/>
      <c r="PVT37" s="71"/>
      <c r="PVU37" s="71"/>
      <c r="PVV37" s="71"/>
      <c r="PVW37" s="71"/>
      <c r="PVX37" s="71"/>
      <c r="PVY37" s="71"/>
      <c r="PVZ37" s="71"/>
      <c r="PWA37" s="71"/>
      <c r="PWB37" s="71"/>
      <c r="PWC37" s="71"/>
      <c r="PWD37" s="71"/>
      <c r="PWE37" s="71"/>
      <c r="PWF37" s="71"/>
      <c r="PWG37" s="71"/>
      <c r="PWH37" s="71"/>
      <c r="PWI37" s="71"/>
      <c r="PWJ37" s="71"/>
      <c r="PWK37" s="71"/>
      <c r="PWL37" s="71"/>
      <c r="PWM37" s="71"/>
      <c r="PWN37" s="71"/>
      <c r="PWO37" s="71"/>
      <c r="PWP37" s="71"/>
      <c r="PWQ37" s="71"/>
      <c r="PWR37" s="71"/>
      <c r="PWS37" s="71"/>
      <c r="PWT37" s="71"/>
      <c r="PWU37" s="71"/>
      <c r="PWV37" s="71"/>
      <c r="PWW37" s="71"/>
      <c r="PWX37" s="71"/>
      <c r="PWY37" s="71"/>
      <c r="PWZ37" s="71"/>
      <c r="PXA37" s="71"/>
      <c r="PXB37" s="71"/>
      <c r="PXC37" s="71"/>
      <c r="PXD37" s="71"/>
      <c r="PXE37" s="71"/>
      <c r="PXF37" s="71"/>
      <c r="PXG37" s="71"/>
      <c r="PXH37" s="71"/>
      <c r="PXI37" s="71"/>
      <c r="PXJ37" s="71"/>
      <c r="PXK37" s="71"/>
      <c r="PXL37" s="71"/>
      <c r="PXM37" s="71"/>
      <c r="PXN37" s="71"/>
      <c r="PXO37" s="71"/>
      <c r="PXP37" s="71"/>
      <c r="PXQ37" s="71"/>
      <c r="PXR37" s="71"/>
      <c r="PXS37" s="71"/>
      <c r="PXT37" s="71"/>
      <c r="PXU37" s="71"/>
      <c r="PXV37" s="71"/>
      <c r="PXW37" s="71"/>
      <c r="PXX37" s="71"/>
      <c r="PXY37" s="71"/>
      <c r="PXZ37" s="71"/>
      <c r="PYA37" s="71"/>
      <c r="PYB37" s="71"/>
      <c r="PYC37" s="71"/>
      <c r="PYD37" s="71"/>
      <c r="PYE37" s="71"/>
      <c r="PYF37" s="71"/>
      <c r="PYG37" s="71"/>
      <c r="PYH37" s="71"/>
      <c r="PYI37" s="71"/>
      <c r="PYJ37" s="71"/>
      <c r="PYK37" s="71"/>
      <c r="PYL37" s="71"/>
      <c r="PYM37" s="71"/>
      <c r="PYN37" s="71"/>
      <c r="PYO37" s="71"/>
      <c r="PYP37" s="71"/>
      <c r="PYQ37" s="71"/>
      <c r="PYR37" s="71"/>
      <c r="PYS37" s="71"/>
      <c r="PYT37" s="71"/>
      <c r="PYU37" s="71"/>
      <c r="PYV37" s="71"/>
      <c r="PYW37" s="71"/>
      <c r="PYX37" s="71"/>
      <c r="PYY37" s="71"/>
      <c r="PYZ37" s="71"/>
      <c r="PZA37" s="71"/>
      <c r="PZB37" s="71"/>
      <c r="PZC37" s="71"/>
      <c r="PZD37" s="71"/>
      <c r="PZE37" s="71"/>
      <c r="PZF37" s="71"/>
      <c r="PZG37" s="71"/>
      <c r="PZH37" s="71"/>
      <c r="PZI37" s="71"/>
      <c r="PZJ37" s="71"/>
      <c r="PZK37" s="71"/>
      <c r="PZL37" s="71"/>
      <c r="PZM37" s="71"/>
      <c r="PZN37" s="71"/>
      <c r="PZO37" s="71"/>
      <c r="PZP37" s="71"/>
      <c r="PZQ37" s="71"/>
      <c r="PZR37" s="71"/>
      <c r="PZS37" s="71"/>
      <c r="PZT37" s="71"/>
      <c r="PZU37" s="71"/>
      <c r="PZV37" s="71"/>
      <c r="PZW37" s="71"/>
      <c r="PZX37" s="71"/>
      <c r="PZY37" s="71"/>
      <c r="PZZ37" s="71"/>
      <c r="QAA37" s="71"/>
      <c r="QAB37" s="71"/>
      <c r="QAC37" s="71"/>
      <c r="QAD37" s="71"/>
      <c r="QAE37" s="71"/>
      <c r="QAF37" s="71"/>
      <c r="QAG37" s="71"/>
      <c r="QAH37" s="71"/>
      <c r="QAI37" s="71"/>
      <c r="QAJ37" s="71"/>
      <c r="QAK37" s="71"/>
      <c r="QAL37" s="71"/>
      <c r="QAM37" s="71"/>
      <c r="QAN37" s="71"/>
      <c r="QAO37" s="71"/>
      <c r="QAP37" s="71"/>
      <c r="QAQ37" s="71"/>
      <c r="QAR37" s="71"/>
      <c r="QAS37" s="71"/>
      <c r="QAT37" s="71"/>
      <c r="QAU37" s="71"/>
      <c r="QAV37" s="71"/>
      <c r="QAW37" s="71"/>
      <c r="QAX37" s="71"/>
      <c r="QAY37" s="71"/>
      <c r="QAZ37" s="71"/>
      <c r="QBA37" s="71"/>
      <c r="QBB37" s="71"/>
      <c r="QBC37" s="71"/>
      <c r="QBD37" s="71"/>
      <c r="QBE37" s="71"/>
      <c r="QBF37" s="71"/>
      <c r="QBG37" s="71"/>
      <c r="QBH37" s="71"/>
      <c r="QBI37" s="71"/>
      <c r="QBJ37" s="71"/>
      <c r="QBK37" s="71"/>
      <c r="QBL37" s="71"/>
      <c r="QBM37" s="71"/>
      <c r="QBN37" s="71"/>
      <c r="QBO37" s="71"/>
      <c r="QBP37" s="71"/>
      <c r="QBQ37" s="71"/>
      <c r="QBR37" s="71"/>
      <c r="QBS37" s="71"/>
      <c r="QBT37" s="71"/>
      <c r="QBU37" s="71"/>
      <c r="QBV37" s="71"/>
      <c r="QBW37" s="71"/>
      <c r="QBX37" s="71"/>
      <c r="QBY37" s="71"/>
      <c r="QBZ37" s="71"/>
      <c r="QCA37" s="71"/>
      <c r="QCB37" s="71"/>
      <c r="QCC37" s="71"/>
      <c r="QCD37" s="71"/>
      <c r="QCE37" s="71"/>
      <c r="QCF37" s="71"/>
      <c r="QCG37" s="71"/>
      <c r="QCH37" s="71"/>
      <c r="QCI37" s="71"/>
      <c r="QCJ37" s="71"/>
      <c r="QCK37" s="71"/>
      <c r="QCL37" s="71"/>
      <c r="QCM37" s="71"/>
      <c r="QCN37" s="71"/>
      <c r="QCO37" s="71"/>
      <c r="QCP37" s="71"/>
      <c r="QCQ37" s="71"/>
      <c r="QCR37" s="71"/>
      <c r="QCS37" s="71"/>
      <c r="QCT37" s="71"/>
      <c r="QCU37" s="71"/>
      <c r="QCV37" s="71"/>
      <c r="QCW37" s="71"/>
      <c r="QCX37" s="71"/>
      <c r="QCY37" s="71"/>
      <c r="QCZ37" s="71"/>
      <c r="QDA37" s="71"/>
      <c r="QDB37" s="71"/>
      <c r="QDC37" s="71"/>
      <c r="QDD37" s="71"/>
      <c r="QDE37" s="71"/>
      <c r="QDF37" s="71"/>
      <c r="QDG37" s="71"/>
      <c r="QDH37" s="71"/>
      <c r="QDI37" s="71"/>
      <c r="QDJ37" s="71"/>
      <c r="QDK37" s="71"/>
      <c r="QDL37" s="71"/>
      <c r="QDM37" s="71"/>
      <c r="QDN37" s="71"/>
      <c r="QDO37" s="71"/>
      <c r="QDP37" s="71"/>
      <c r="QDQ37" s="71"/>
      <c r="QDR37" s="71"/>
      <c r="QDS37" s="71"/>
      <c r="QDT37" s="71"/>
      <c r="QDU37" s="71"/>
      <c r="QDV37" s="71"/>
      <c r="QDW37" s="71"/>
      <c r="QDX37" s="71"/>
      <c r="QDY37" s="71"/>
      <c r="QDZ37" s="71"/>
      <c r="QEA37" s="71"/>
      <c r="QEB37" s="71"/>
      <c r="QEC37" s="71"/>
      <c r="QED37" s="71"/>
      <c r="QEE37" s="71"/>
      <c r="QEF37" s="71"/>
      <c r="QEG37" s="71"/>
      <c r="QEH37" s="71"/>
      <c r="QEI37" s="71"/>
      <c r="QEJ37" s="71"/>
      <c r="QEK37" s="71"/>
      <c r="QEL37" s="71"/>
      <c r="QEM37" s="71"/>
      <c r="QEN37" s="71"/>
      <c r="QEO37" s="71"/>
      <c r="QEP37" s="71"/>
      <c r="QEQ37" s="71"/>
      <c r="QER37" s="71"/>
      <c r="QES37" s="71"/>
      <c r="QET37" s="71"/>
      <c r="QEU37" s="71"/>
      <c r="QEV37" s="71"/>
      <c r="QEW37" s="71"/>
      <c r="QEX37" s="71"/>
      <c r="QEY37" s="71"/>
      <c r="QEZ37" s="71"/>
      <c r="QFA37" s="71"/>
      <c r="QFB37" s="71"/>
      <c r="QFC37" s="71"/>
      <c r="QFD37" s="71"/>
      <c r="QFE37" s="71"/>
      <c r="QFF37" s="71"/>
      <c r="QFG37" s="71"/>
      <c r="QFH37" s="71"/>
      <c r="QFI37" s="71"/>
      <c r="QFJ37" s="71"/>
      <c r="QFK37" s="71"/>
      <c r="QFL37" s="71"/>
      <c r="QFM37" s="71"/>
      <c r="QFN37" s="71"/>
      <c r="QFO37" s="71"/>
      <c r="QFP37" s="71"/>
      <c r="QFQ37" s="71"/>
      <c r="QFR37" s="71"/>
      <c r="QFS37" s="71"/>
      <c r="QFT37" s="71"/>
      <c r="QFU37" s="71"/>
      <c r="QFV37" s="71"/>
      <c r="QFW37" s="71"/>
      <c r="QFX37" s="71"/>
      <c r="QFY37" s="71"/>
      <c r="QFZ37" s="71"/>
      <c r="QGA37" s="71"/>
      <c r="QGB37" s="71"/>
      <c r="QGC37" s="71"/>
      <c r="QGD37" s="71"/>
      <c r="QGE37" s="71"/>
      <c r="QGF37" s="71"/>
      <c r="QGG37" s="71"/>
      <c r="QGH37" s="71"/>
      <c r="QGI37" s="71"/>
      <c r="QGJ37" s="71"/>
      <c r="QGK37" s="71"/>
      <c r="QGL37" s="71"/>
      <c r="QGM37" s="71"/>
      <c r="QGN37" s="71"/>
      <c r="QGO37" s="71"/>
      <c r="QGP37" s="71"/>
      <c r="QGQ37" s="71"/>
      <c r="QGR37" s="71"/>
      <c r="QGS37" s="71"/>
      <c r="QGT37" s="71"/>
      <c r="QGU37" s="71"/>
      <c r="QGV37" s="71"/>
      <c r="QGW37" s="71"/>
      <c r="QGX37" s="71"/>
      <c r="QGY37" s="71"/>
      <c r="QGZ37" s="71"/>
      <c r="QHA37" s="71"/>
      <c r="QHB37" s="71"/>
      <c r="QHC37" s="71"/>
      <c r="QHD37" s="71"/>
      <c r="QHE37" s="71"/>
      <c r="QHF37" s="71"/>
      <c r="QHG37" s="71"/>
      <c r="QHH37" s="71"/>
      <c r="QHI37" s="71"/>
      <c r="QHJ37" s="71"/>
      <c r="QHK37" s="71"/>
      <c r="QHL37" s="71"/>
      <c r="QHM37" s="71"/>
      <c r="QHN37" s="71"/>
      <c r="QHO37" s="71"/>
      <c r="QHP37" s="71"/>
      <c r="QHQ37" s="71"/>
      <c r="QHR37" s="71"/>
      <c r="QHS37" s="71"/>
      <c r="QHT37" s="71"/>
      <c r="QHU37" s="71"/>
      <c r="QHV37" s="71"/>
      <c r="QHW37" s="71"/>
      <c r="QHX37" s="71"/>
      <c r="QHY37" s="71"/>
      <c r="QHZ37" s="71"/>
      <c r="QIA37" s="71"/>
      <c r="QIB37" s="71"/>
      <c r="QIC37" s="71"/>
      <c r="QID37" s="71"/>
      <c r="QIE37" s="71"/>
      <c r="QIF37" s="71"/>
      <c r="QIG37" s="71"/>
      <c r="QIH37" s="71"/>
      <c r="QII37" s="71"/>
      <c r="QIJ37" s="71"/>
      <c r="QIK37" s="71"/>
      <c r="QIL37" s="71"/>
      <c r="QIM37" s="71"/>
      <c r="QIN37" s="71"/>
      <c r="QIO37" s="71"/>
      <c r="QIP37" s="71"/>
      <c r="QIQ37" s="71"/>
      <c r="QIR37" s="71"/>
      <c r="QIS37" s="71"/>
      <c r="QIT37" s="71"/>
      <c r="QIU37" s="71"/>
      <c r="QIV37" s="71"/>
      <c r="QIW37" s="71"/>
      <c r="QIX37" s="71"/>
      <c r="QIY37" s="71"/>
      <c r="QIZ37" s="71"/>
      <c r="QJA37" s="71"/>
      <c r="QJB37" s="71"/>
      <c r="QJC37" s="71"/>
      <c r="QJD37" s="71"/>
      <c r="QJE37" s="71"/>
      <c r="QJF37" s="71"/>
      <c r="QJG37" s="71"/>
      <c r="QJH37" s="71"/>
      <c r="QJI37" s="71"/>
      <c r="QJJ37" s="71"/>
      <c r="QJK37" s="71"/>
      <c r="QJL37" s="71"/>
      <c r="QJM37" s="71"/>
      <c r="QJN37" s="71"/>
      <c r="QJO37" s="71"/>
      <c r="QJP37" s="71"/>
      <c r="QJQ37" s="71"/>
      <c r="QJR37" s="71"/>
      <c r="QJS37" s="71"/>
      <c r="QJT37" s="71"/>
      <c r="QJU37" s="71"/>
      <c r="QJV37" s="71"/>
      <c r="QJW37" s="71"/>
      <c r="QJX37" s="71"/>
      <c r="QJY37" s="71"/>
      <c r="QJZ37" s="71"/>
      <c r="QKA37" s="71"/>
      <c r="QKB37" s="71"/>
      <c r="QKC37" s="71"/>
      <c r="QKD37" s="71"/>
      <c r="QKE37" s="71"/>
      <c r="QKF37" s="71"/>
      <c r="QKG37" s="71"/>
      <c r="QKH37" s="71"/>
      <c r="QKI37" s="71"/>
      <c r="QKJ37" s="71"/>
      <c r="QKK37" s="71"/>
      <c r="QKL37" s="71"/>
      <c r="QKM37" s="71"/>
      <c r="QKN37" s="71"/>
      <c r="QKO37" s="71"/>
      <c r="QKP37" s="71"/>
      <c r="QKQ37" s="71"/>
      <c r="QKR37" s="71"/>
      <c r="QKS37" s="71"/>
      <c r="QKT37" s="71"/>
      <c r="QKU37" s="71"/>
      <c r="QKV37" s="71"/>
      <c r="QKW37" s="71"/>
      <c r="QKX37" s="71"/>
      <c r="QKY37" s="71"/>
      <c r="QKZ37" s="71"/>
      <c r="QLA37" s="71"/>
      <c r="QLB37" s="71"/>
      <c r="QLC37" s="71"/>
      <c r="QLD37" s="71"/>
      <c r="QLE37" s="71"/>
      <c r="QLF37" s="71"/>
      <c r="QLG37" s="71"/>
      <c r="QLH37" s="71"/>
      <c r="QLI37" s="71"/>
      <c r="QLJ37" s="71"/>
      <c r="QLK37" s="71"/>
      <c r="QLL37" s="71"/>
      <c r="QLM37" s="71"/>
      <c r="QLN37" s="71"/>
      <c r="QLO37" s="71"/>
      <c r="QLP37" s="71"/>
      <c r="QLQ37" s="71"/>
      <c r="QLR37" s="71"/>
      <c r="QLS37" s="71"/>
      <c r="QLT37" s="71"/>
      <c r="QLU37" s="71"/>
      <c r="QLV37" s="71"/>
      <c r="QLW37" s="71"/>
      <c r="QLX37" s="71"/>
      <c r="QLY37" s="71"/>
      <c r="QLZ37" s="71"/>
      <c r="QMA37" s="71"/>
      <c r="QMB37" s="71"/>
      <c r="QMC37" s="71"/>
      <c r="QMD37" s="71"/>
      <c r="QME37" s="71"/>
      <c r="QMF37" s="71"/>
      <c r="QMG37" s="71"/>
      <c r="QMH37" s="71"/>
      <c r="QMI37" s="71"/>
      <c r="QMJ37" s="71"/>
      <c r="QMK37" s="71"/>
      <c r="QML37" s="71"/>
      <c r="QMM37" s="71"/>
      <c r="QMN37" s="71"/>
      <c r="QMO37" s="71"/>
      <c r="QMP37" s="71"/>
      <c r="QMQ37" s="71"/>
      <c r="QMR37" s="71"/>
      <c r="QMS37" s="71"/>
      <c r="QMT37" s="71"/>
      <c r="QMU37" s="71"/>
      <c r="QMV37" s="71"/>
      <c r="QMW37" s="71"/>
      <c r="QMX37" s="71"/>
      <c r="QMY37" s="71"/>
      <c r="QMZ37" s="71"/>
      <c r="QNA37" s="71"/>
      <c r="QNB37" s="71"/>
      <c r="QNC37" s="71"/>
      <c r="QND37" s="71"/>
      <c r="QNE37" s="71"/>
      <c r="QNF37" s="71"/>
      <c r="QNG37" s="71"/>
      <c r="QNH37" s="71"/>
      <c r="QNI37" s="71"/>
      <c r="QNJ37" s="71"/>
      <c r="QNK37" s="71"/>
      <c r="QNL37" s="71"/>
      <c r="QNM37" s="71"/>
      <c r="QNN37" s="71"/>
      <c r="QNO37" s="71"/>
      <c r="QNP37" s="71"/>
      <c r="QNQ37" s="71"/>
      <c r="QNR37" s="71"/>
      <c r="QNS37" s="71"/>
      <c r="QNT37" s="71"/>
      <c r="QNU37" s="71"/>
      <c r="QNV37" s="71"/>
      <c r="QNW37" s="71"/>
      <c r="QNX37" s="71"/>
      <c r="QNY37" s="71"/>
      <c r="QNZ37" s="71"/>
      <c r="QOA37" s="71"/>
      <c r="QOB37" s="71"/>
      <c r="QOC37" s="71"/>
      <c r="QOD37" s="71"/>
      <c r="QOE37" s="71"/>
      <c r="QOF37" s="71"/>
      <c r="QOG37" s="71"/>
      <c r="QOH37" s="71"/>
      <c r="QOI37" s="71"/>
      <c r="QOJ37" s="71"/>
      <c r="QOK37" s="71"/>
      <c r="QOL37" s="71"/>
      <c r="QOM37" s="71"/>
      <c r="QON37" s="71"/>
      <c r="QOO37" s="71"/>
      <c r="QOP37" s="71"/>
      <c r="QOQ37" s="71"/>
      <c r="QOR37" s="71"/>
      <c r="QOS37" s="71"/>
      <c r="QOT37" s="71"/>
      <c r="QOU37" s="71"/>
      <c r="QOV37" s="71"/>
      <c r="QOW37" s="71"/>
      <c r="QOX37" s="71"/>
      <c r="QOY37" s="71"/>
      <c r="QOZ37" s="71"/>
      <c r="QPA37" s="71"/>
      <c r="QPB37" s="71"/>
      <c r="QPC37" s="71"/>
      <c r="QPD37" s="71"/>
      <c r="QPE37" s="71"/>
      <c r="QPF37" s="71"/>
      <c r="QPG37" s="71"/>
      <c r="QPH37" s="71"/>
      <c r="QPI37" s="71"/>
      <c r="QPJ37" s="71"/>
      <c r="QPK37" s="71"/>
      <c r="QPL37" s="71"/>
      <c r="QPM37" s="71"/>
      <c r="QPN37" s="71"/>
      <c r="QPO37" s="71"/>
      <c r="QPP37" s="71"/>
      <c r="QPQ37" s="71"/>
      <c r="QPR37" s="71"/>
      <c r="QPS37" s="71"/>
      <c r="QPT37" s="71"/>
      <c r="QPU37" s="71"/>
      <c r="QPV37" s="71"/>
      <c r="QPW37" s="71"/>
      <c r="QPX37" s="71"/>
      <c r="QPY37" s="71"/>
      <c r="QPZ37" s="71"/>
      <c r="QQA37" s="71"/>
      <c r="QQB37" s="71"/>
      <c r="QQC37" s="71"/>
      <c r="QQD37" s="71"/>
      <c r="QQE37" s="71"/>
      <c r="QQF37" s="71"/>
      <c r="QQG37" s="71"/>
      <c r="QQH37" s="71"/>
      <c r="QQI37" s="71"/>
      <c r="QQJ37" s="71"/>
      <c r="QQK37" s="71"/>
      <c r="QQL37" s="71"/>
      <c r="QQM37" s="71"/>
      <c r="QQN37" s="71"/>
      <c r="QQO37" s="71"/>
      <c r="QQP37" s="71"/>
      <c r="QQQ37" s="71"/>
      <c r="QQR37" s="71"/>
      <c r="QQS37" s="71"/>
      <c r="QQT37" s="71"/>
      <c r="QQU37" s="71"/>
      <c r="QQV37" s="71"/>
      <c r="QQW37" s="71"/>
      <c r="QQX37" s="71"/>
      <c r="QQY37" s="71"/>
      <c r="QQZ37" s="71"/>
      <c r="QRA37" s="71"/>
      <c r="QRB37" s="71"/>
      <c r="QRC37" s="71"/>
      <c r="QRD37" s="71"/>
      <c r="QRE37" s="71"/>
      <c r="QRF37" s="71"/>
      <c r="QRG37" s="71"/>
      <c r="QRH37" s="71"/>
      <c r="QRI37" s="71"/>
      <c r="QRJ37" s="71"/>
      <c r="QRK37" s="71"/>
      <c r="QRL37" s="71"/>
      <c r="QRM37" s="71"/>
      <c r="QRN37" s="71"/>
      <c r="QRO37" s="71"/>
      <c r="QRP37" s="71"/>
      <c r="QRQ37" s="71"/>
      <c r="QRR37" s="71"/>
      <c r="QRS37" s="71"/>
      <c r="QRT37" s="71"/>
      <c r="QRU37" s="71"/>
      <c r="QRV37" s="71"/>
      <c r="QRW37" s="71"/>
      <c r="QRX37" s="71"/>
      <c r="QRY37" s="71"/>
      <c r="QRZ37" s="71"/>
      <c r="QSA37" s="71"/>
      <c r="QSB37" s="71"/>
      <c r="QSC37" s="71"/>
      <c r="QSD37" s="71"/>
      <c r="QSE37" s="71"/>
      <c r="QSF37" s="71"/>
      <c r="QSG37" s="71"/>
      <c r="QSH37" s="71"/>
      <c r="QSI37" s="71"/>
      <c r="QSJ37" s="71"/>
      <c r="QSK37" s="71"/>
      <c r="QSL37" s="71"/>
      <c r="QSM37" s="71"/>
      <c r="QSN37" s="71"/>
      <c r="QSO37" s="71"/>
      <c r="QSP37" s="71"/>
      <c r="QSQ37" s="71"/>
      <c r="QSR37" s="71"/>
      <c r="QSS37" s="71"/>
      <c r="QST37" s="71"/>
      <c r="QSU37" s="71"/>
      <c r="QSV37" s="71"/>
      <c r="QSW37" s="71"/>
      <c r="QSX37" s="71"/>
      <c r="QSY37" s="71"/>
      <c r="QSZ37" s="71"/>
      <c r="QTA37" s="71"/>
      <c r="QTB37" s="71"/>
      <c r="QTC37" s="71"/>
      <c r="QTD37" s="71"/>
      <c r="QTE37" s="71"/>
      <c r="QTF37" s="71"/>
      <c r="QTG37" s="71"/>
      <c r="QTH37" s="71"/>
      <c r="QTI37" s="71"/>
      <c r="QTJ37" s="71"/>
      <c r="QTK37" s="71"/>
      <c r="QTL37" s="71"/>
      <c r="QTM37" s="71"/>
      <c r="QTN37" s="71"/>
      <c r="QTO37" s="71"/>
      <c r="QTP37" s="71"/>
      <c r="QTQ37" s="71"/>
      <c r="QTR37" s="71"/>
      <c r="QTS37" s="71"/>
      <c r="QTT37" s="71"/>
      <c r="QTU37" s="71"/>
      <c r="QTV37" s="71"/>
      <c r="QTW37" s="71"/>
      <c r="QTX37" s="71"/>
      <c r="QTY37" s="71"/>
      <c r="QTZ37" s="71"/>
      <c r="QUA37" s="71"/>
      <c r="QUB37" s="71"/>
      <c r="QUC37" s="71"/>
      <c r="QUD37" s="71"/>
      <c r="QUE37" s="71"/>
      <c r="QUF37" s="71"/>
      <c r="QUG37" s="71"/>
      <c r="QUH37" s="71"/>
      <c r="QUI37" s="71"/>
      <c r="QUJ37" s="71"/>
      <c r="QUK37" s="71"/>
      <c r="QUL37" s="71"/>
      <c r="QUM37" s="71"/>
      <c r="QUN37" s="71"/>
      <c r="QUO37" s="71"/>
      <c r="QUP37" s="71"/>
      <c r="QUQ37" s="71"/>
      <c r="QUR37" s="71"/>
      <c r="QUS37" s="71"/>
      <c r="QUT37" s="71"/>
      <c r="QUU37" s="71"/>
      <c r="QUV37" s="71"/>
      <c r="QUW37" s="71"/>
      <c r="QUX37" s="71"/>
      <c r="QUY37" s="71"/>
      <c r="QUZ37" s="71"/>
      <c r="QVA37" s="71"/>
      <c r="QVB37" s="71"/>
      <c r="QVC37" s="71"/>
      <c r="QVD37" s="71"/>
      <c r="QVE37" s="71"/>
      <c r="QVF37" s="71"/>
      <c r="QVG37" s="71"/>
      <c r="QVH37" s="71"/>
      <c r="QVI37" s="71"/>
      <c r="QVJ37" s="71"/>
      <c r="QVK37" s="71"/>
      <c r="QVL37" s="71"/>
      <c r="QVM37" s="71"/>
      <c r="QVN37" s="71"/>
      <c r="QVO37" s="71"/>
      <c r="QVP37" s="71"/>
      <c r="QVQ37" s="71"/>
      <c r="QVR37" s="71"/>
      <c r="QVS37" s="71"/>
      <c r="QVT37" s="71"/>
      <c r="QVU37" s="71"/>
      <c r="QVV37" s="71"/>
      <c r="QVW37" s="71"/>
      <c r="QVX37" s="71"/>
      <c r="QVY37" s="71"/>
      <c r="QVZ37" s="71"/>
      <c r="QWA37" s="71"/>
      <c r="QWB37" s="71"/>
      <c r="QWC37" s="71"/>
      <c r="QWD37" s="71"/>
      <c r="QWE37" s="71"/>
      <c r="QWF37" s="71"/>
      <c r="QWG37" s="71"/>
      <c r="QWH37" s="71"/>
      <c r="QWI37" s="71"/>
      <c r="QWJ37" s="71"/>
      <c r="QWK37" s="71"/>
      <c r="QWL37" s="71"/>
      <c r="QWM37" s="71"/>
      <c r="QWN37" s="71"/>
      <c r="QWO37" s="71"/>
      <c r="QWP37" s="71"/>
      <c r="QWQ37" s="71"/>
      <c r="QWR37" s="71"/>
      <c r="QWS37" s="71"/>
      <c r="QWT37" s="71"/>
      <c r="QWU37" s="71"/>
      <c r="QWV37" s="71"/>
      <c r="QWW37" s="71"/>
      <c r="QWX37" s="71"/>
      <c r="QWY37" s="71"/>
      <c r="QWZ37" s="71"/>
      <c r="QXA37" s="71"/>
      <c r="QXB37" s="71"/>
      <c r="QXC37" s="71"/>
      <c r="QXD37" s="71"/>
      <c r="QXE37" s="71"/>
      <c r="QXF37" s="71"/>
      <c r="QXG37" s="71"/>
      <c r="QXH37" s="71"/>
      <c r="QXI37" s="71"/>
      <c r="QXJ37" s="71"/>
      <c r="QXK37" s="71"/>
      <c r="QXL37" s="71"/>
      <c r="QXM37" s="71"/>
      <c r="QXN37" s="71"/>
      <c r="QXO37" s="71"/>
      <c r="QXP37" s="71"/>
      <c r="QXQ37" s="71"/>
      <c r="QXR37" s="71"/>
      <c r="QXS37" s="71"/>
      <c r="QXT37" s="71"/>
      <c r="QXU37" s="71"/>
      <c r="QXV37" s="71"/>
      <c r="QXW37" s="71"/>
      <c r="QXX37" s="71"/>
      <c r="QXY37" s="71"/>
      <c r="QXZ37" s="71"/>
      <c r="QYA37" s="71"/>
      <c r="QYB37" s="71"/>
      <c r="QYC37" s="71"/>
      <c r="QYD37" s="71"/>
      <c r="QYE37" s="71"/>
      <c r="QYF37" s="71"/>
      <c r="QYG37" s="71"/>
      <c r="QYH37" s="71"/>
      <c r="QYI37" s="71"/>
      <c r="QYJ37" s="71"/>
      <c r="QYK37" s="71"/>
      <c r="QYL37" s="71"/>
      <c r="QYM37" s="71"/>
      <c r="QYN37" s="71"/>
      <c r="QYO37" s="71"/>
      <c r="QYP37" s="71"/>
      <c r="QYQ37" s="71"/>
      <c r="QYR37" s="71"/>
      <c r="QYS37" s="71"/>
      <c r="QYT37" s="71"/>
      <c r="QYU37" s="71"/>
      <c r="QYV37" s="71"/>
      <c r="QYW37" s="71"/>
      <c r="QYX37" s="71"/>
      <c r="QYY37" s="71"/>
      <c r="QYZ37" s="71"/>
      <c r="QZA37" s="71"/>
      <c r="QZB37" s="71"/>
      <c r="QZC37" s="71"/>
      <c r="QZD37" s="71"/>
      <c r="QZE37" s="71"/>
      <c r="QZF37" s="71"/>
      <c r="QZG37" s="71"/>
      <c r="QZH37" s="71"/>
      <c r="QZI37" s="71"/>
      <c r="QZJ37" s="71"/>
      <c r="QZK37" s="71"/>
      <c r="QZL37" s="71"/>
      <c r="QZM37" s="71"/>
      <c r="QZN37" s="71"/>
      <c r="QZO37" s="71"/>
      <c r="QZP37" s="71"/>
      <c r="QZQ37" s="71"/>
      <c r="QZR37" s="71"/>
      <c r="QZS37" s="71"/>
      <c r="QZT37" s="71"/>
      <c r="QZU37" s="71"/>
      <c r="QZV37" s="71"/>
      <c r="QZW37" s="71"/>
      <c r="QZX37" s="71"/>
      <c r="QZY37" s="71"/>
      <c r="QZZ37" s="71"/>
      <c r="RAA37" s="71"/>
      <c r="RAB37" s="71"/>
      <c r="RAC37" s="71"/>
      <c r="RAD37" s="71"/>
      <c r="RAE37" s="71"/>
      <c r="RAF37" s="71"/>
      <c r="RAG37" s="71"/>
      <c r="RAH37" s="71"/>
      <c r="RAI37" s="71"/>
      <c r="RAJ37" s="71"/>
      <c r="RAK37" s="71"/>
      <c r="RAL37" s="71"/>
      <c r="RAM37" s="71"/>
      <c r="RAN37" s="71"/>
      <c r="RAO37" s="71"/>
      <c r="RAP37" s="71"/>
      <c r="RAQ37" s="71"/>
      <c r="RAR37" s="71"/>
      <c r="RAS37" s="71"/>
      <c r="RAT37" s="71"/>
      <c r="RAU37" s="71"/>
      <c r="RAV37" s="71"/>
      <c r="RAW37" s="71"/>
      <c r="RAX37" s="71"/>
      <c r="RAY37" s="71"/>
      <c r="RAZ37" s="71"/>
      <c r="RBA37" s="71"/>
      <c r="RBB37" s="71"/>
      <c r="RBC37" s="71"/>
      <c r="RBD37" s="71"/>
      <c r="RBE37" s="71"/>
      <c r="RBF37" s="71"/>
      <c r="RBG37" s="71"/>
      <c r="RBH37" s="71"/>
      <c r="RBI37" s="71"/>
      <c r="RBJ37" s="71"/>
      <c r="RBK37" s="71"/>
      <c r="RBL37" s="71"/>
      <c r="RBM37" s="71"/>
      <c r="RBN37" s="71"/>
      <c r="RBO37" s="71"/>
      <c r="RBP37" s="71"/>
      <c r="RBQ37" s="71"/>
      <c r="RBR37" s="71"/>
      <c r="RBS37" s="71"/>
      <c r="RBT37" s="71"/>
      <c r="RBU37" s="71"/>
      <c r="RBV37" s="71"/>
      <c r="RBW37" s="71"/>
      <c r="RBX37" s="71"/>
      <c r="RBY37" s="71"/>
      <c r="RBZ37" s="71"/>
      <c r="RCA37" s="71"/>
      <c r="RCB37" s="71"/>
      <c r="RCC37" s="71"/>
      <c r="RCD37" s="71"/>
      <c r="RCE37" s="71"/>
      <c r="RCF37" s="71"/>
      <c r="RCG37" s="71"/>
      <c r="RCH37" s="71"/>
      <c r="RCI37" s="71"/>
      <c r="RCJ37" s="71"/>
      <c r="RCK37" s="71"/>
      <c r="RCL37" s="71"/>
      <c r="RCM37" s="71"/>
      <c r="RCN37" s="71"/>
      <c r="RCO37" s="71"/>
      <c r="RCP37" s="71"/>
      <c r="RCQ37" s="71"/>
      <c r="RCR37" s="71"/>
      <c r="RCS37" s="71"/>
      <c r="RCT37" s="71"/>
      <c r="RCU37" s="71"/>
      <c r="RCV37" s="71"/>
      <c r="RCW37" s="71"/>
      <c r="RCX37" s="71"/>
      <c r="RCY37" s="71"/>
      <c r="RCZ37" s="71"/>
      <c r="RDA37" s="71"/>
      <c r="RDB37" s="71"/>
      <c r="RDC37" s="71"/>
      <c r="RDD37" s="71"/>
      <c r="RDE37" s="71"/>
      <c r="RDF37" s="71"/>
      <c r="RDG37" s="71"/>
      <c r="RDH37" s="71"/>
      <c r="RDI37" s="71"/>
      <c r="RDJ37" s="71"/>
      <c r="RDK37" s="71"/>
      <c r="RDL37" s="71"/>
      <c r="RDM37" s="71"/>
      <c r="RDN37" s="71"/>
      <c r="RDO37" s="71"/>
      <c r="RDP37" s="71"/>
      <c r="RDQ37" s="71"/>
      <c r="RDR37" s="71"/>
      <c r="RDS37" s="71"/>
      <c r="RDT37" s="71"/>
      <c r="RDU37" s="71"/>
      <c r="RDV37" s="71"/>
      <c r="RDW37" s="71"/>
      <c r="RDX37" s="71"/>
      <c r="RDY37" s="71"/>
      <c r="RDZ37" s="71"/>
      <c r="REA37" s="71"/>
      <c r="REB37" s="71"/>
      <c r="REC37" s="71"/>
      <c r="RED37" s="71"/>
      <c r="REE37" s="71"/>
      <c r="REF37" s="71"/>
      <c r="REG37" s="71"/>
      <c r="REH37" s="71"/>
      <c r="REI37" s="71"/>
      <c r="REJ37" s="71"/>
      <c r="REK37" s="71"/>
      <c r="REL37" s="71"/>
      <c r="REM37" s="71"/>
      <c r="REN37" s="71"/>
      <c r="REO37" s="71"/>
      <c r="REP37" s="71"/>
      <c r="REQ37" s="71"/>
      <c r="RER37" s="71"/>
      <c r="RES37" s="71"/>
      <c r="RET37" s="71"/>
      <c r="REU37" s="71"/>
      <c r="REV37" s="71"/>
      <c r="REW37" s="71"/>
      <c r="REX37" s="71"/>
      <c r="REY37" s="71"/>
      <c r="REZ37" s="71"/>
      <c r="RFA37" s="71"/>
      <c r="RFB37" s="71"/>
      <c r="RFC37" s="71"/>
      <c r="RFD37" s="71"/>
      <c r="RFE37" s="71"/>
      <c r="RFF37" s="71"/>
      <c r="RFG37" s="71"/>
      <c r="RFH37" s="71"/>
      <c r="RFI37" s="71"/>
      <c r="RFJ37" s="71"/>
      <c r="RFK37" s="71"/>
      <c r="RFL37" s="71"/>
      <c r="RFM37" s="71"/>
      <c r="RFN37" s="71"/>
      <c r="RFO37" s="71"/>
      <c r="RFP37" s="71"/>
      <c r="RFQ37" s="71"/>
      <c r="RFR37" s="71"/>
      <c r="RFS37" s="71"/>
      <c r="RFT37" s="71"/>
      <c r="RFU37" s="71"/>
      <c r="RFV37" s="71"/>
      <c r="RFW37" s="71"/>
      <c r="RFX37" s="71"/>
      <c r="RFY37" s="71"/>
      <c r="RFZ37" s="71"/>
      <c r="RGA37" s="71"/>
      <c r="RGB37" s="71"/>
      <c r="RGC37" s="71"/>
      <c r="RGD37" s="71"/>
      <c r="RGE37" s="71"/>
      <c r="RGF37" s="71"/>
      <c r="RGG37" s="71"/>
      <c r="RGH37" s="71"/>
      <c r="RGI37" s="71"/>
      <c r="RGJ37" s="71"/>
      <c r="RGK37" s="71"/>
      <c r="RGL37" s="71"/>
      <c r="RGM37" s="71"/>
      <c r="RGN37" s="71"/>
      <c r="RGO37" s="71"/>
      <c r="RGP37" s="71"/>
      <c r="RGQ37" s="71"/>
      <c r="RGR37" s="71"/>
      <c r="RGS37" s="71"/>
      <c r="RGT37" s="71"/>
      <c r="RGU37" s="71"/>
      <c r="RGV37" s="71"/>
      <c r="RGW37" s="71"/>
      <c r="RGX37" s="71"/>
      <c r="RGY37" s="71"/>
      <c r="RGZ37" s="71"/>
      <c r="RHA37" s="71"/>
      <c r="RHB37" s="71"/>
      <c r="RHC37" s="71"/>
      <c r="RHD37" s="71"/>
      <c r="RHE37" s="71"/>
      <c r="RHF37" s="71"/>
      <c r="RHG37" s="71"/>
      <c r="RHH37" s="71"/>
      <c r="RHI37" s="71"/>
      <c r="RHJ37" s="71"/>
      <c r="RHK37" s="71"/>
      <c r="RHL37" s="71"/>
      <c r="RHM37" s="71"/>
      <c r="RHN37" s="71"/>
      <c r="RHO37" s="71"/>
      <c r="RHP37" s="71"/>
      <c r="RHQ37" s="71"/>
      <c r="RHR37" s="71"/>
      <c r="RHS37" s="71"/>
      <c r="RHT37" s="71"/>
      <c r="RHU37" s="71"/>
      <c r="RHV37" s="71"/>
      <c r="RHW37" s="71"/>
      <c r="RHX37" s="71"/>
      <c r="RHY37" s="71"/>
      <c r="RHZ37" s="71"/>
      <c r="RIA37" s="71"/>
      <c r="RIB37" s="71"/>
      <c r="RIC37" s="71"/>
      <c r="RID37" s="71"/>
      <c r="RIE37" s="71"/>
      <c r="RIF37" s="71"/>
      <c r="RIG37" s="71"/>
      <c r="RIH37" s="71"/>
      <c r="RII37" s="71"/>
      <c r="RIJ37" s="71"/>
      <c r="RIK37" s="71"/>
      <c r="RIL37" s="71"/>
      <c r="RIM37" s="71"/>
      <c r="RIN37" s="71"/>
      <c r="RIO37" s="71"/>
      <c r="RIP37" s="71"/>
      <c r="RIQ37" s="71"/>
      <c r="RIR37" s="71"/>
      <c r="RIS37" s="71"/>
      <c r="RIT37" s="71"/>
      <c r="RIU37" s="71"/>
      <c r="RIV37" s="71"/>
      <c r="RIW37" s="71"/>
      <c r="RIX37" s="71"/>
      <c r="RIY37" s="71"/>
      <c r="RIZ37" s="71"/>
      <c r="RJA37" s="71"/>
      <c r="RJB37" s="71"/>
      <c r="RJC37" s="71"/>
      <c r="RJD37" s="71"/>
      <c r="RJE37" s="71"/>
      <c r="RJF37" s="71"/>
      <c r="RJG37" s="71"/>
      <c r="RJH37" s="71"/>
      <c r="RJI37" s="71"/>
      <c r="RJJ37" s="71"/>
      <c r="RJK37" s="71"/>
      <c r="RJL37" s="71"/>
      <c r="RJM37" s="71"/>
      <c r="RJN37" s="71"/>
      <c r="RJO37" s="71"/>
      <c r="RJP37" s="71"/>
      <c r="RJQ37" s="71"/>
      <c r="RJR37" s="71"/>
      <c r="RJS37" s="71"/>
      <c r="RJT37" s="71"/>
      <c r="RJU37" s="71"/>
      <c r="RJV37" s="71"/>
      <c r="RJW37" s="71"/>
      <c r="RJX37" s="71"/>
      <c r="RJY37" s="71"/>
      <c r="RJZ37" s="71"/>
      <c r="RKA37" s="71"/>
      <c r="RKB37" s="71"/>
      <c r="RKC37" s="71"/>
      <c r="RKD37" s="71"/>
      <c r="RKE37" s="71"/>
      <c r="RKF37" s="71"/>
      <c r="RKG37" s="71"/>
      <c r="RKH37" s="71"/>
      <c r="RKI37" s="71"/>
      <c r="RKJ37" s="71"/>
      <c r="RKK37" s="71"/>
      <c r="RKL37" s="71"/>
      <c r="RKM37" s="71"/>
      <c r="RKN37" s="71"/>
      <c r="RKO37" s="71"/>
      <c r="RKP37" s="71"/>
      <c r="RKQ37" s="71"/>
      <c r="RKR37" s="71"/>
      <c r="RKS37" s="71"/>
      <c r="RKT37" s="71"/>
      <c r="RKU37" s="71"/>
      <c r="RKV37" s="71"/>
      <c r="RKW37" s="71"/>
      <c r="RKX37" s="71"/>
      <c r="RKY37" s="71"/>
      <c r="RKZ37" s="71"/>
      <c r="RLA37" s="71"/>
      <c r="RLB37" s="71"/>
      <c r="RLC37" s="71"/>
      <c r="RLD37" s="71"/>
      <c r="RLE37" s="71"/>
      <c r="RLF37" s="71"/>
      <c r="RLG37" s="71"/>
      <c r="RLH37" s="71"/>
      <c r="RLI37" s="71"/>
      <c r="RLJ37" s="71"/>
      <c r="RLK37" s="71"/>
      <c r="RLL37" s="71"/>
      <c r="RLM37" s="71"/>
      <c r="RLN37" s="71"/>
      <c r="RLO37" s="71"/>
      <c r="RLP37" s="71"/>
      <c r="RLQ37" s="71"/>
      <c r="RLR37" s="71"/>
      <c r="RLS37" s="71"/>
      <c r="RLT37" s="71"/>
      <c r="RLU37" s="71"/>
      <c r="RLV37" s="71"/>
      <c r="RLW37" s="71"/>
      <c r="RLX37" s="71"/>
      <c r="RLY37" s="71"/>
      <c r="RLZ37" s="71"/>
      <c r="RMA37" s="71"/>
      <c r="RMB37" s="71"/>
      <c r="RMC37" s="71"/>
      <c r="RMD37" s="71"/>
      <c r="RME37" s="71"/>
      <c r="RMF37" s="71"/>
      <c r="RMG37" s="71"/>
      <c r="RMH37" s="71"/>
      <c r="RMI37" s="71"/>
      <c r="RMJ37" s="71"/>
      <c r="RMK37" s="71"/>
      <c r="RML37" s="71"/>
      <c r="RMM37" s="71"/>
      <c r="RMN37" s="71"/>
      <c r="RMO37" s="71"/>
      <c r="RMP37" s="71"/>
      <c r="RMQ37" s="71"/>
      <c r="RMR37" s="71"/>
      <c r="RMS37" s="71"/>
      <c r="RMT37" s="71"/>
      <c r="RMU37" s="71"/>
      <c r="RMV37" s="71"/>
      <c r="RMW37" s="71"/>
      <c r="RMX37" s="71"/>
      <c r="RMY37" s="71"/>
      <c r="RMZ37" s="71"/>
      <c r="RNA37" s="71"/>
      <c r="RNB37" s="71"/>
      <c r="RNC37" s="71"/>
      <c r="RND37" s="71"/>
      <c r="RNE37" s="71"/>
      <c r="RNF37" s="71"/>
      <c r="RNG37" s="71"/>
      <c r="RNH37" s="71"/>
      <c r="RNI37" s="71"/>
      <c r="RNJ37" s="71"/>
      <c r="RNK37" s="71"/>
      <c r="RNL37" s="71"/>
      <c r="RNM37" s="71"/>
      <c r="RNN37" s="71"/>
      <c r="RNO37" s="71"/>
      <c r="RNP37" s="71"/>
      <c r="RNQ37" s="71"/>
      <c r="RNR37" s="71"/>
      <c r="RNS37" s="71"/>
      <c r="RNT37" s="71"/>
      <c r="RNU37" s="71"/>
      <c r="RNV37" s="71"/>
      <c r="RNW37" s="71"/>
      <c r="RNX37" s="71"/>
      <c r="RNY37" s="71"/>
      <c r="RNZ37" s="71"/>
      <c r="ROA37" s="71"/>
      <c r="ROB37" s="71"/>
      <c r="ROC37" s="71"/>
      <c r="ROD37" s="71"/>
      <c r="ROE37" s="71"/>
      <c r="ROF37" s="71"/>
      <c r="ROG37" s="71"/>
      <c r="ROH37" s="71"/>
      <c r="ROI37" s="71"/>
      <c r="ROJ37" s="71"/>
      <c r="ROK37" s="71"/>
      <c r="ROL37" s="71"/>
      <c r="ROM37" s="71"/>
      <c r="RON37" s="71"/>
      <c r="ROO37" s="71"/>
      <c r="ROP37" s="71"/>
      <c r="ROQ37" s="71"/>
      <c r="ROR37" s="71"/>
      <c r="ROS37" s="71"/>
      <c r="ROT37" s="71"/>
      <c r="ROU37" s="71"/>
      <c r="ROV37" s="71"/>
      <c r="ROW37" s="71"/>
      <c r="ROX37" s="71"/>
      <c r="ROY37" s="71"/>
      <c r="ROZ37" s="71"/>
      <c r="RPA37" s="71"/>
      <c r="RPB37" s="71"/>
      <c r="RPC37" s="71"/>
      <c r="RPD37" s="71"/>
      <c r="RPE37" s="71"/>
      <c r="RPF37" s="71"/>
      <c r="RPG37" s="71"/>
      <c r="RPH37" s="71"/>
      <c r="RPI37" s="71"/>
      <c r="RPJ37" s="71"/>
      <c r="RPK37" s="71"/>
      <c r="RPL37" s="71"/>
      <c r="RPM37" s="71"/>
      <c r="RPN37" s="71"/>
      <c r="RPO37" s="71"/>
      <c r="RPP37" s="71"/>
      <c r="RPQ37" s="71"/>
      <c r="RPR37" s="71"/>
      <c r="RPS37" s="71"/>
      <c r="RPT37" s="71"/>
      <c r="RPU37" s="71"/>
      <c r="RPV37" s="71"/>
      <c r="RPW37" s="71"/>
      <c r="RPX37" s="71"/>
      <c r="RPY37" s="71"/>
      <c r="RPZ37" s="71"/>
      <c r="RQA37" s="71"/>
      <c r="RQB37" s="71"/>
      <c r="RQC37" s="71"/>
      <c r="RQD37" s="71"/>
      <c r="RQE37" s="71"/>
      <c r="RQF37" s="71"/>
      <c r="RQG37" s="71"/>
      <c r="RQH37" s="71"/>
      <c r="RQI37" s="71"/>
      <c r="RQJ37" s="71"/>
      <c r="RQK37" s="71"/>
      <c r="RQL37" s="71"/>
      <c r="RQM37" s="71"/>
      <c r="RQN37" s="71"/>
      <c r="RQO37" s="71"/>
      <c r="RQP37" s="71"/>
      <c r="RQQ37" s="71"/>
      <c r="RQR37" s="71"/>
      <c r="RQS37" s="71"/>
      <c r="RQT37" s="71"/>
      <c r="RQU37" s="71"/>
      <c r="RQV37" s="71"/>
      <c r="RQW37" s="71"/>
      <c r="RQX37" s="71"/>
      <c r="RQY37" s="71"/>
      <c r="RQZ37" s="71"/>
      <c r="RRA37" s="71"/>
      <c r="RRB37" s="71"/>
      <c r="RRC37" s="71"/>
      <c r="RRD37" s="71"/>
      <c r="RRE37" s="71"/>
      <c r="RRF37" s="71"/>
      <c r="RRG37" s="71"/>
      <c r="RRH37" s="71"/>
      <c r="RRI37" s="71"/>
      <c r="RRJ37" s="71"/>
      <c r="RRK37" s="71"/>
      <c r="RRL37" s="71"/>
      <c r="RRM37" s="71"/>
      <c r="RRN37" s="71"/>
      <c r="RRO37" s="71"/>
      <c r="RRP37" s="71"/>
      <c r="RRQ37" s="71"/>
      <c r="RRR37" s="71"/>
      <c r="RRS37" s="71"/>
      <c r="RRT37" s="71"/>
      <c r="RRU37" s="71"/>
      <c r="RRV37" s="71"/>
      <c r="RRW37" s="71"/>
      <c r="RRX37" s="71"/>
      <c r="RRY37" s="71"/>
      <c r="RRZ37" s="71"/>
      <c r="RSA37" s="71"/>
      <c r="RSB37" s="71"/>
      <c r="RSC37" s="71"/>
      <c r="RSD37" s="71"/>
      <c r="RSE37" s="71"/>
      <c r="RSF37" s="71"/>
      <c r="RSG37" s="71"/>
      <c r="RSH37" s="71"/>
      <c r="RSI37" s="71"/>
      <c r="RSJ37" s="71"/>
      <c r="RSK37" s="71"/>
      <c r="RSL37" s="71"/>
      <c r="RSM37" s="71"/>
      <c r="RSN37" s="71"/>
      <c r="RSO37" s="71"/>
      <c r="RSP37" s="71"/>
      <c r="RSQ37" s="71"/>
      <c r="RSR37" s="71"/>
      <c r="RSS37" s="71"/>
      <c r="RST37" s="71"/>
      <c r="RSU37" s="71"/>
      <c r="RSV37" s="71"/>
      <c r="RSW37" s="71"/>
      <c r="RSX37" s="71"/>
      <c r="RSY37" s="71"/>
      <c r="RSZ37" s="71"/>
      <c r="RTA37" s="71"/>
      <c r="RTB37" s="71"/>
      <c r="RTC37" s="71"/>
      <c r="RTD37" s="71"/>
      <c r="RTE37" s="71"/>
      <c r="RTF37" s="71"/>
      <c r="RTG37" s="71"/>
      <c r="RTH37" s="71"/>
      <c r="RTI37" s="71"/>
      <c r="RTJ37" s="71"/>
      <c r="RTK37" s="71"/>
      <c r="RTL37" s="71"/>
      <c r="RTM37" s="71"/>
      <c r="RTN37" s="71"/>
      <c r="RTO37" s="71"/>
      <c r="RTP37" s="71"/>
      <c r="RTQ37" s="71"/>
      <c r="RTR37" s="71"/>
      <c r="RTS37" s="71"/>
      <c r="RTT37" s="71"/>
      <c r="RTU37" s="71"/>
      <c r="RTV37" s="71"/>
      <c r="RTW37" s="71"/>
      <c r="RTX37" s="71"/>
      <c r="RTY37" s="71"/>
      <c r="RTZ37" s="71"/>
      <c r="RUA37" s="71"/>
      <c r="RUB37" s="71"/>
      <c r="RUC37" s="71"/>
      <c r="RUD37" s="71"/>
      <c r="RUE37" s="71"/>
      <c r="RUF37" s="71"/>
      <c r="RUG37" s="71"/>
      <c r="RUH37" s="71"/>
      <c r="RUI37" s="71"/>
      <c r="RUJ37" s="71"/>
      <c r="RUK37" s="71"/>
      <c r="RUL37" s="71"/>
      <c r="RUM37" s="71"/>
      <c r="RUN37" s="71"/>
      <c r="RUO37" s="71"/>
      <c r="RUP37" s="71"/>
      <c r="RUQ37" s="71"/>
      <c r="RUR37" s="71"/>
      <c r="RUS37" s="71"/>
      <c r="RUT37" s="71"/>
      <c r="RUU37" s="71"/>
      <c r="RUV37" s="71"/>
      <c r="RUW37" s="71"/>
      <c r="RUX37" s="71"/>
      <c r="RUY37" s="71"/>
      <c r="RUZ37" s="71"/>
      <c r="RVA37" s="71"/>
      <c r="RVB37" s="71"/>
      <c r="RVC37" s="71"/>
      <c r="RVD37" s="71"/>
      <c r="RVE37" s="71"/>
      <c r="RVF37" s="71"/>
      <c r="RVG37" s="71"/>
      <c r="RVH37" s="71"/>
      <c r="RVI37" s="71"/>
      <c r="RVJ37" s="71"/>
      <c r="RVK37" s="71"/>
      <c r="RVL37" s="71"/>
      <c r="RVM37" s="71"/>
      <c r="RVN37" s="71"/>
      <c r="RVO37" s="71"/>
      <c r="RVP37" s="71"/>
      <c r="RVQ37" s="71"/>
      <c r="RVR37" s="71"/>
      <c r="RVS37" s="71"/>
      <c r="RVT37" s="71"/>
      <c r="RVU37" s="71"/>
      <c r="RVV37" s="71"/>
      <c r="RVW37" s="71"/>
      <c r="RVX37" s="71"/>
      <c r="RVY37" s="71"/>
      <c r="RVZ37" s="71"/>
      <c r="RWA37" s="71"/>
      <c r="RWB37" s="71"/>
      <c r="RWC37" s="71"/>
      <c r="RWD37" s="71"/>
      <c r="RWE37" s="71"/>
      <c r="RWF37" s="71"/>
      <c r="RWG37" s="71"/>
      <c r="RWH37" s="71"/>
      <c r="RWI37" s="71"/>
      <c r="RWJ37" s="71"/>
      <c r="RWK37" s="71"/>
      <c r="RWL37" s="71"/>
      <c r="RWM37" s="71"/>
      <c r="RWN37" s="71"/>
      <c r="RWO37" s="71"/>
      <c r="RWP37" s="71"/>
      <c r="RWQ37" s="71"/>
      <c r="RWR37" s="71"/>
      <c r="RWS37" s="71"/>
      <c r="RWT37" s="71"/>
      <c r="RWU37" s="71"/>
      <c r="RWV37" s="71"/>
      <c r="RWW37" s="71"/>
      <c r="RWX37" s="71"/>
      <c r="RWY37" s="71"/>
      <c r="RWZ37" s="71"/>
      <c r="RXA37" s="71"/>
      <c r="RXB37" s="71"/>
      <c r="RXC37" s="71"/>
      <c r="RXD37" s="71"/>
      <c r="RXE37" s="71"/>
      <c r="RXF37" s="71"/>
      <c r="RXG37" s="71"/>
      <c r="RXH37" s="71"/>
      <c r="RXI37" s="71"/>
      <c r="RXJ37" s="71"/>
      <c r="RXK37" s="71"/>
      <c r="RXL37" s="71"/>
      <c r="RXM37" s="71"/>
      <c r="RXN37" s="71"/>
      <c r="RXO37" s="71"/>
      <c r="RXP37" s="71"/>
      <c r="RXQ37" s="71"/>
      <c r="RXR37" s="71"/>
      <c r="RXS37" s="71"/>
      <c r="RXT37" s="71"/>
      <c r="RXU37" s="71"/>
      <c r="RXV37" s="71"/>
      <c r="RXW37" s="71"/>
      <c r="RXX37" s="71"/>
      <c r="RXY37" s="71"/>
      <c r="RXZ37" s="71"/>
      <c r="RYA37" s="71"/>
      <c r="RYB37" s="71"/>
      <c r="RYC37" s="71"/>
      <c r="RYD37" s="71"/>
      <c r="RYE37" s="71"/>
      <c r="RYF37" s="71"/>
      <c r="RYG37" s="71"/>
      <c r="RYH37" s="71"/>
      <c r="RYI37" s="71"/>
      <c r="RYJ37" s="71"/>
      <c r="RYK37" s="71"/>
      <c r="RYL37" s="71"/>
      <c r="RYM37" s="71"/>
      <c r="RYN37" s="71"/>
      <c r="RYO37" s="71"/>
      <c r="RYP37" s="71"/>
      <c r="RYQ37" s="71"/>
      <c r="RYR37" s="71"/>
      <c r="RYS37" s="71"/>
      <c r="RYT37" s="71"/>
      <c r="RYU37" s="71"/>
      <c r="RYV37" s="71"/>
      <c r="RYW37" s="71"/>
      <c r="RYX37" s="71"/>
      <c r="RYY37" s="71"/>
      <c r="RYZ37" s="71"/>
      <c r="RZA37" s="71"/>
      <c r="RZB37" s="71"/>
      <c r="RZC37" s="71"/>
      <c r="RZD37" s="71"/>
      <c r="RZE37" s="71"/>
      <c r="RZF37" s="71"/>
      <c r="RZG37" s="71"/>
      <c r="RZH37" s="71"/>
      <c r="RZI37" s="71"/>
      <c r="RZJ37" s="71"/>
      <c r="RZK37" s="71"/>
      <c r="RZL37" s="71"/>
      <c r="RZM37" s="71"/>
      <c r="RZN37" s="71"/>
      <c r="RZO37" s="71"/>
      <c r="RZP37" s="71"/>
      <c r="RZQ37" s="71"/>
      <c r="RZR37" s="71"/>
      <c r="RZS37" s="71"/>
      <c r="RZT37" s="71"/>
      <c r="RZU37" s="71"/>
      <c r="RZV37" s="71"/>
      <c r="RZW37" s="71"/>
      <c r="RZX37" s="71"/>
      <c r="RZY37" s="71"/>
      <c r="RZZ37" s="71"/>
      <c r="SAA37" s="71"/>
      <c r="SAB37" s="71"/>
      <c r="SAC37" s="71"/>
      <c r="SAD37" s="71"/>
      <c r="SAE37" s="71"/>
      <c r="SAF37" s="71"/>
      <c r="SAG37" s="71"/>
      <c r="SAH37" s="71"/>
      <c r="SAI37" s="71"/>
      <c r="SAJ37" s="71"/>
      <c r="SAK37" s="71"/>
      <c r="SAL37" s="71"/>
      <c r="SAM37" s="71"/>
      <c r="SAN37" s="71"/>
      <c r="SAO37" s="71"/>
      <c r="SAP37" s="71"/>
      <c r="SAQ37" s="71"/>
      <c r="SAR37" s="71"/>
      <c r="SAS37" s="71"/>
      <c r="SAT37" s="71"/>
      <c r="SAU37" s="71"/>
      <c r="SAV37" s="71"/>
      <c r="SAW37" s="71"/>
      <c r="SAX37" s="71"/>
      <c r="SAY37" s="71"/>
      <c r="SAZ37" s="71"/>
      <c r="SBA37" s="71"/>
      <c r="SBB37" s="71"/>
      <c r="SBC37" s="71"/>
      <c r="SBD37" s="71"/>
      <c r="SBE37" s="71"/>
      <c r="SBF37" s="71"/>
      <c r="SBG37" s="71"/>
      <c r="SBH37" s="71"/>
      <c r="SBI37" s="71"/>
      <c r="SBJ37" s="71"/>
      <c r="SBK37" s="71"/>
      <c r="SBL37" s="71"/>
      <c r="SBM37" s="71"/>
      <c r="SBN37" s="71"/>
      <c r="SBO37" s="71"/>
      <c r="SBP37" s="71"/>
      <c r="SBQ37" s="71"/>
      <c r="SBR37" s="71"/>
      <c r="SBS37" s="71"/>
      <c r="SBT37" s="71"/>
      <c r="SBU37" s="71"/>
      <c r="SBV37" s="71"/>
      <c r="SBW37" s="71"/>
      <c r="SBX37" s="71"/>
      <c r="SBY37" s="71"/>
      <c r="SBZ37" s="71"/>
      <c r="SCA37" s="71"/>
      <c r="SCB37" s="71"/>
      <c r="SCC37" s="71"/>
      <c r="SCD37" s="71"/>
      <c r="SCE37" s="71"/>
      <c r="SCF37" s="71"/>
      <c r="SCG37" s="71"/>
      <c r="SCH37" s="71"/>
      <c r="SCI37" s="71"/>
      <c r="SCJ37" s="71"/>
      <c r="SCK37" s="71"/>
      <c r="SCL37" s="71"/>
      <c r="SCM37" s="71"/>
      <c r="SCN37" s="71"/>
      <c r="SCO37" s="71"/>
      <c r="SCP37" s="71"/>
      <c r="SCQ37" s="71"/>
      <c r="SCR37" s="71"/>
      <c r="SCS37" s="71"/>
      <c r="SCT37" s="71"/>
      <c r="SCU37" s="71"/>
      <c r="SCV37" s="71"/>
      <c r="SCW37" s="71"/>
      <c r="SCX37" s="71"/>
      <c r="SCY37" s="71"/>
      <c r="SCZ37" s="71"/>
      <c r="SDA37" s="71"/>
      <c r="SDB37" s="71"/>
      <c r="SDC37" s="71"/>
      <c r="SDD37" s="71"/>
      <c r="SDE37" s="71"/>
      <c r="SDF37" s="71"/>
      <c r="SDG37" s="71"/>
      <c r="SDH37" s="71"/>
      <c r="SDI37" s="71"/>
      <c r="SDJ37" s="71"/>
      <c r="SDK37" s="71"/>
      <c r="SDL37" s="71"/>
      <c r="SDM37" s="71"/>
      <c r="SDN37" s="71"/>
      <c r="SDO37" s="71"/>
      <c r="SDP37" s="71"/>
      <c r="SDQ37" s="71"/>
      <c r="SDR37" s="71"/>
      <c r="SDS37" s="71"/>
      <c r="SDT37" s="71"/>
      <c r="SDU37" s="71"/>
      <c r="SDV37" s="71"/>
      <c r="SDW37" s="71"/>
      <c r="SDX37" s="71"/>
      <c r="SDY37" s="71"/>
      <c r="SDZ37" s="71"/>
      <c r="SEA37" s="71"/>
      <c r="SEB37" s="71"/>
      <c r="SEC37" s="71"/>
      <c r="SED37" s="71"/>
      <c r="SEE37" s="71"/>
      <c r="SEF37" s="71"/>
      <c r="SEG37" s="71"/>
      <c r="SEH37" s="71"/>
      <c r="SEI37" s="71"/>
      <c r="SEJ37" s="71"/>
      <c r="SEK37" s="71"/>
      <c r="SEL37" s="71"/>
      <c r="SEM37" s="71"/>
      <c r="SEN37" s="71"/>
      <c r="SEO37" s="71"/>
      <c r="SEP37" s="71"/>
      <c r="SEQ37" s="71"/>
      <c r="SER37" s="71"/>
      <c r="SES37" s="71"/>
      <c r="SET37" s="71"/>
      <c r="SEU37" s="71"/>
      <c r="SEV37" s="71"/>
      <c r="SEW37" s="71"/>
      <c r="SEX37" s="71"/>
      <c r="SEY37" s="71"/>
      <c r="SEZ37" s="71"/>
      <c r="SFA37" s="71"/>
      <c r="SFB37" s="71"/>
      <c r="SFC37" s="71"/>
      <c r="SFD37" s="71"/>
      <c r="SFE37" s="71"/>
      <c r="SFF37" s="71"/>
      <c r="SFG37" s="71"/>
      <c r="SFH37" s="71"/>
      <c r="SFI37" s="71"/>
      <c r="SFJ37" s="71"/>
      <c r="SFK37" s="71"/>
      <c r="SFL37" s="71"/>
      <c r="SFM37" s="71"/>
      <c r="SFN37" s="71"/>
      <c r="SFO37" s="71"/>
      <c r="SFP37" s="71"/>
      <c r="SFQ37" s="71"/>
      <c r="SFR37" s="71"/>
      <c r="SFS37" s="71"/>
      <c r="SFT37" s="71"/>
      <c r="SFU37" s="71"/>
      <c r="SFV37" s="71"/>
      <c r="SFW37" s="71"/>
      <c r="SFX37" s="71"/>
      <c r="SFY37" s="71"/>
      <c r="SFZ37" s="71"/>
      <c r="SGA37" s="71"/>
      <c r="SGB37" s="71"/>
      <c r="SGC37" s="71"/>
      <c r="SGD37" s="71"/>
      <c r="SGE37" s="71"/>
      <c r="SGF37" s="71"/>
      <c r="SGG37" s="71"/>
      <c r="SGH37" s="71"/>
      <c r="SGI37" s="71"/>
      <c r="SGJ37" s="71"/>
      <c r="SGK37" s="71"/>
      <c r="SGL37" s="71"/>
      <c r="SGM37" s="71"/>
      <c r="SGN37" s="71"/>
      <c r="SGO37" s="71"/>
      <c r="SGP37" s="71"/>
      <c r="SGQ37" s="71"/>
      <c r="SGR37" s="71"/>
      <c r="SGS37" s="71"/>
      <c r="SGT37" s="71"/>
      <c r="SGU37" s="71"/>
      <c r="SGV37" s="71"/>
      <c r="SGW37" s="71"/>
      <c r="SGX37" s="71"/>
      <c r="SGY37" s="71"/>
      <c r="SGZ37" s="71"/>
      <c r="SHA37" s="71"/>
      <c r="SHB37" s="71"/>
      <c r="SHC37" s="71"/>
      <c r="SHD37" s="71"/>
      <c r="SHE37" s="71"/>
      <c r="SHF37" s="71"/>
      <c r="SHG37" s="71"/>
      <c r="SHH37" s="71"/>
      <c r="SHI37" s="71"/>
      <c r="SHJ37" s="71"/>
      <c r="SHK37" s="71"/>
      <c r="SHL37" s="71"/>
      <c r="SHM37" s="71"/>
      <c r="SHN37" s="71"/>
      <c r="SHO37" s="71"/>
      <c r="SHP37" s="71"/>
      <c r="SHQ37" s="71"/>
      <c r="SHR37" s="71"/>
      <c r="SHS37" s="71"/>
      <c r="SHT37" s="71"/>
      <c r="SHU37" s="71"/>
      <c r="SHV37" s="71"/>
      <c r="SHW37" s="71"/>
      <c r="SHX37" s="71"/>
      <c r="SHY37" s="71"/>
      <c r="SHZ37" s="71"/>
      <c r="SIA37" s="71"/>
      <c r="SIB37" s="71"/>
      <c r="SIC37" s="71"/>
      <c r="SID37" s="71"/>
      <c r="SIE37" s="71"/>
      <c r="SIF37" s="71"/>
      <c r="SIG37" s="71"/>
      <c r="SIH37" s="71"/>
      <c r="SII37" s="71"/>
      <c r="SIJ37" s="71"/>
      <c r="SIK37" s="71"/>
      <c r="SIL37" s="71"/>
      <c r="SIM37" s="71"/>
      <c r="SIN37" s="71"/>
      <c r="SIO37" s="71"/>
      <c r="SIP37" s="71"/>
      <c r="SIQ37" s="71"/>
      <c r="SIR37" s="71"/>
      <c r="SIS37" s="71"/>
      <c r="SIT37" s="71"/>
      <c r="SIU37" s="71"/>
      <c r="SIV37" s="71"/>
      <c r="SIW37" s="71"/>
      <c r="SIX37" s="71"/>
      <c r="SIY37" s="71"/>
      <c r="SIZ37" s="71"/>
      <c r="SJA37" s="71"/>
      <c r="SJB37" s="71"/>
      <c r="SJC37" s="71"/>
      <c r="SJD37" s="71"/>
      <c r="SJE37" s="71"/>
      <c r="SJF37" s="71"/>
      <c r="SJG37" s="71"/>
      <c r="SJH37" s="71"/>
      <c r="SJI37" s="71"/>
      <c r="SJJ37" s="71"/>
      <c r="SJK37" s="71"/>
      <c r="SJL37" s="71"/>
      <c r="SJM37" s="71"/>
      <c r="SJN37" s="71"/>
      <c r="SJO37" s="71"/>
      <c r="SJP37" s="71"/>
      <c r="SJQ37" s="71"/>
      <c r="SJR37" s="71"/>
      <c r="SJS37" s="71"/>
      <c r="SJT37" s="71"/>
      <c r="SJU37" s="71"/>
      <c r="SJV37" s="71"/>
      <c r="SJW37" s="71"/>
      <c r="SJX37" s="71"/>
      <c r="SJY37" s="71"/>
      <c r="SJZ37" s="71"/>
      <c r="SKA37" s="71"/>
      <c r="SKB37" s="71"/>
      <c r="SKC37" s="71"/>
      <c r="SKD37" s="71"/>
      <c r="SKE37" s="71"/>
      <c r="SKF37" s="71"/>
      <c r="SKG37" s="71"/>
      <c r="SKH37" s="71"/>
      <c r="SKI37" s="71"/>
      <c r="SKJ37" s="71"/>
      <c r="SKK37" s="71"/>
      <c r="SKL37" s="71"/>
      <c r="SKM37" s="71"/>
      <c r="SKN37" s="71"/>
      <c r="SKO37" s="71"/>
      <c r="SKP37" s="71"/>
      <c r="SKQ37" s="71"/>
      <c r="SKR37" s="71"/>
      <c r="SKS37" s="71"/>
      <c r="SKT37" s="71"/>
      <c r="SKU37" s="71"/>
      <c r="SKV37" s="71"/>
      <c r="SKW37" s="71"/>
      <c r="SKX37" s="71"/>
      <c r="SKY37" s="71"/>
      <c r="SKZ37" s="71"/>
      <c r="SLA37" s="71"/>
      <c r="SLB37" s="71"/>
      <c r="SLC37" s="71"/>
      <c r="SLD37" s="71"/>
      <c r="SLE37" s="71"/>
      <c r="SLF37" s="71"/>
      <c r="SLG37" s="71"/>
      <c r="SLH37" s="71"/>
      <c r="SLI37" s="71"/>
      <c r="SLJ37" s="71"/>
      <c r="SLK37" s="71"/>
      <c r="SLL37" s="71"/>
      <c r="SLM37" s="71"/>
      <c r="SLN37" s="71"/>
      <c r="SLO37" s="71"/>
      <c r="SLP37" s="71"/>
      <c r="SLQ37" s="71"/>
      <c r="SLR37" s="71"/>
      <c r="SLS37" s="71"/>
      <c r="SLT37" s="71"/>
      <c r="SLU37" s="71"/>
      <c r="SLV37" s="71"/>
      <c r="SLW37" s="71"/>
      <c r="SLX37" s="71"/>
      <c r="SLY37" s="71"/>
      <c r="SLZ37" s="71"/>
      <c r="SMA37" s="71"/>
      <c r="SMB37" s="71"/>
      <c r="SMC37" s="71"/>
      <c r="SMD37" s="71"/>
      <c r="SME37" s="71"/>
      <c r="SMF37" s="71"/>
      <c r="SMG37" s="71"/>
      <c r="SMH37" s="71"/>
      <c r="SMI37" s="71"/>
      <c r="SMJ37" s="71"/>
      <c r="SMK37" s="71"/>
      <c r="SML37" s="71"/>
      <c r="SMM37" s="71"/>
      <c r="SMN37" s="71"/>
      <c r="SMO37" s="71"/>
      <c r="SMP37" s="71"/>
      <c r="SMQ37" s="71"/>
      <c r="SMR37" s="71"/>
      <c r="SMS37" s="71"/>
      <c r="SMT37" s="71"/>
      <c r="SMU37" s="71"/>
      <c r="SMV37" s="71"/>
      <c r="SMW37" s="71"/>
      <c r="SMX37" s="71"/>
      <c r="SMY37" s="71"/>
      <c r="SMZ37" s="71"/>
      <c r="SNA37" s="71"/>
      <c r="SNB37" s="71"/>
      <c r="SNC37" s="71"/>
      <c r="SND37" s="71"/>
      <c r="SNE37" s="71"/>
      <c r="SNF37" s="71"/>
      <c r="SNG37" s="71"/>
      <c r="SNH37" s="71"/>
      <c r="SNI37" s="71"/>
      <c r="SNJ37" s="71"/>
      <c r="SNK37" s="71"/>
      <c r="SNL37" s="71"/>
      <c r="SNM37" s="71"/>
      <c r="SNN37" s="71"/>
      <c r="SNO37" s="71"/>
      <c r="SNP37" s="71"/>
      <c r="SNQ37" s="71"/>
      <c r="SNR37" s="71"/>
      <c r="SNS37" s="71"/>
      <c r="SNT37" s="71"/>
      <c r="SNU37" s="71"/>
      <c r="SNV37" s="71"/>
      <c r="SNW37" s="71"/>
      <c r="SNX37" s="71"/>
      <c r="SNY37" s="71"/>
      <c r="SNZ37" s="71"/>
      <c r="SOA37" s="71"/>
      <c r="SOB37" s="71"/>
      <c r="SOC37" s="71"/>
      <c r="SOD37" s="71"/>
      <c r="SOE37" s="71"/>
      <c r="SOF37" s="71"/>
      <c r="SOG37" s="71"/>
      <c r="SOH37" s="71"/>
      <c r="SOI37" s="71"/>
      <c r="SOJ37" s="71"/>
      <c r="SOK37" s="71"/>
      <c r="SOL37" s="71"/>
      <c r="SOM37" s="71"/>
      <c r="SON37" s="71"/>
      <c r="SOO37" s="71"/>
      <c r="SOP37" s="71"/>
      <c r="SOQ37" s="71"/>
      <c r="SOR37" s="71"/>
      <c r="SOS37" s="71"/>
      <c r="SOT37" s="71"/>
      <c r="SOU37" s="71"/>
      <c r="SOV37" s="71"/>
      <c r="SOW37" s="71"/>
      <c r="SOX37" s="71"/>
      <c r="SOY37" s="71"/>
      <c r="SOZ37" s="71"/>
      <c r="SPA37" s="71"/>
      <c r="SPB37" s="71"/>
      <c r="SPC37" s="71"/>
      <c r="SPD37" s="71"/>
      <c r="SPE37" s="71"/>
      <c r="SPF37" s="71"/>
      <c r="SPG37" s="71"/>
      <c r="SPH37" s="71"/>
      <c r="SPI37" s="71"/>
      <c r="SPJ37" s="71"/>
      <c r="SPK37" s="71"/>
      <c r="SPL37" s="71"/>
      <c r="SPM37" s="71"/>
      <c r="SPN37" s="71"/>
      <c r="SPO37" s="71"/>
      <c r="SPP37" s="71"/>
      <c r="SPQ37" s="71"/>
      <c r="SPR37" s="71"/>
      <c r="SPS37" s="71"/>
      <c r="SPT37" s="71"/>
      <c r="SPU37" s="71"/>
      <c r="SPV37" s="71"/>
      <c r="SPW37" s="71"/>
      <c r="SPX37" s="71"/>
      <c r="SPY37" s="71"/>
      <c r="SPZ37" s="71"/>
      <c r="SQA37" s="71"/>
      <c r="SQB37" s="71"/>
      <c r="SQC37" s="71"/>
      <c r="SQD37" s="71"/>
      <c r="SQE37" s="71"/>
      <c r="SQF37" s="71"/>
      <c r="SQG37" s="71"/>
      <c r="SQH37" s="71"/>
      <c r="SQI37" s="71"/>
      <c r="SQJ37" s="71"/>
      <c r="SQK37" s="71"/>
      <c r="SQL37" s="71"/>
      <c r="SQM37" s="71"/>
      <c r="SQN37" s="71"/>
      <c r="SQO37" s="71"/>
      <c r="SQP37" s="71"/>
      <c r="SQQ37" s="71"/>
      <c r="SQR37" s="71"/>
      <c r="SQS37" s="71"/>
      <c r="SQT37" s="71"/>
      <c r="SQU37" s="71"/>
      <c r="SQV37" s="71"/>
      <c r="SQW37" s="71"/>
      <c r="SQX37" s="71"/>
      <c r="SQY37" s="71"/>
      <c r="SQZ37" s="71"/>
      <c r="SRA37" s="71"/>
      <c r="SRB37" s="71"/>
      <c r="SRC37" s="71"/>
      <c r="SRD37" s="71"/>
      <c r="SRE37" s="71"/>
      <c r="SRF37" s="71"/>
      <c r="SRG37" s="71"/>
      <c r="SRH37" s="71"/>
      <c r="SRI37" s="71"/>
      <c r="SRJ37" s="71"/>
      <c r="SRK37" s="71"/>
      <c r="SRL37" s="71"/>
      <c r="SRM37" s="71"/>
      <c r="SRN37" s="71"/>
      <c r="SRO37" s="71"/>
      <c r="SRP37" s="71"/>
      <c r="SRQ37" s="71"/>
      <c r="SRR37" s="71"/>
      <c r="SRS37" s="71"/>
      <c r="SRT37" s="71"/>
      <c r="SRU37" s="71"/>
      <c r="SRV37" s="71"/>
      <c r="SRW37" s="71"/>
      <c r="SRX37" s="71"/>
      <c r="SRY37" s="71"/>
      <c r="SRZ37" s="71"/>
      <c r="SSA37" s="71"/>
      <c r="SSB37" s="71"/>
      <c r="SSC37" s="71"/>
      <c r="SSD37" s="71"/>
      <c r="SSE37" s="71"/>
      <c r="SSF37" s="71"/>
      <c r="SSG37" s="71"/>
      <c r="SSH37" s="71"/>
      <c r="SSI37" s="71"/>
      <c r="SSJ37" s="71"/>
      <c r="SSK37" s="71"/>
      <c r="SSL37" s="71"/>
      <c r="SSM37" s="71"/>
      <c r="SSN37" s="71"/>
      <c r="SSO37" s="71"/>
      <c r="SSP37" s="71"/>
      <c r="SSQ37" s="71"/>
      <c r="SSR37" s="71"/>
      <c r="SSS37" s="71"/>
      <c r="SST37" s="71"/>
      <c r="SSU37" s="71"/>
      <c r="SSV37" s="71"/>
      <c r="SSW37" s="71"/>
      <c r="SSX37" s="71"/>
      <c r="SSY37" s="71"/>
      <c r="SSZ37" s="71"/>
      <c r="STA37" s="71"/>
      <c r="STB37" s="71"/>
      <c r="STC37" s="71"/>
      <c r="STD37" s="71"/>
      <c r="STE37" s="71"/>
      <c r="STF37" s="71"/>
      <c r="STG37" s="71"/>
      <c r="STH37" s="71"/>
      <c r="STI37" s="71"/>
      <c r="STJ37" s="71"/>
      <c r="STK37" s="71"/>
      <c r="STL37" s="71"/>
      <c r="STM37" s="71"/>
      <c r="STN37" s="71"/>
      <c r="STO37" s="71"/>
      <c r="STP37" s="71"/>
      <c r="STQ37" s="71"/>
      <c r="STR37" s="71"/>
      <c r="STS37" s="71"/>
      <c r="STT37" s="71"/>
      <c r="STU37" s="71"/>
      <c r="STV37" s="71"/>
      <c r="STW37" s="71"/>
      <c r="STX37" s="71"/>
      <c r="STY37" s="71"/>
      <c r="STZ37" s="71"/>
      <c r="SUA37" s="71"/>
      <c r="SUB37" s="71"/>
      <c r="SUC37" s="71"/>
      <c r="SUD37" s="71"/>
      <c r="SUE37" s="71"/>
      <c r="SUF37" s="71"/>
      <c r="SUG37" s="71"/>
      <c r="SUH37" s="71"/>
      <c r="SUI37" s="71"/>
      <c r="SUJ37" s="71"/>
      <c r="SUK37" s="71"/>
      <c r="SUL37" s="71"/>
      <c r="SUM37" s="71"/>
      <c r="SUN37" s="71"/>
      <c r="SUO37" s="71"/>
      <c r="SUP37" s="71"/>
      <c r="SUQ37" s="71"/>
      <c r="SUR37" s="71"/>
      <c r="SUS37" s="71"/>
      <c r="SUT37" s="71"/>
      <c r="SUU37" s="71"/>
      <c r="SUV37" s="71"/>
      <c r="SUW37" s="71"/>
      <c r="SUX37" s="71"/>
      <c r="SUY37" s="71"/>
      <c r="SUZ37" s="71"/>
      <c r="SVA37" s="71"/>
      <c r="SVB37" s="71"/>
      <c r="SVC37" s="71"/>
      <c r="SVD37" s="71"/>
      <c r="SVE37" s="71"/>
      <c r="SVF37" s="71"/>
      <c r="SVG37" s="71"/>
      <c r="SVH37" s="71"/>
      <c r="SVI37" s="71"/>
      <c r="SVJ37" s="71"/>
      <c r="SVK37" s="71"/>
      <c r="SVL37" s="71"/>
      <c r="SVM37" s="71"/>
      <c r="SVN37" s="71"/>
      <c r="SVO37" s="71"/>
      <c r="SVP37" s="71"/>
      <c r="SVQ37" s="71"/>
      <c r="SVR37" s="71"/>
      <c r="SVS37" s="71"/>
      <c r="SVT37" s="71"/>
      <c r="SVU37" s="71"/>
      <c r="SVV37" s="71"/>
      <c r="SVW37" s="71"/>
      <c r="SVX37" s="71"/>
      <c r="SVY37" s="71"/>
      <c r="SVZ37" s="71"/>
      <c r="SWA37" s="71"/>
      <c r="SWB37" s="71"/>
      <c r="SWC37" s="71"/>
      <c r="SWD37" s="71"/>
      <c r="SWE37" s="71"/>
      <c r="SWF37" s="71"/>
      <c r="SWG37" s="71"/>
      <c r="SWH37" s="71"/>
      <c r="SWI37" s="71"/>
      <c r="SWJ37" s="71"/>
      <c r="SWK37" s="71"/>
      <c r="SWL37" s="71"/>
      <c r="SWM37" s="71"/>
      <c r="SWN37" s="71"/>
      <c r="SWO37" s="71"/>
      <c r="SWP37" s="71"/>
      <c r="SWQ37" s="71"/>
      <c r="SWR37" s="71"/>
      <c r="SWS37" s="71"/>
      <c r="SWT37" s="71"/>
      <c r="SWU37" s="71"/>
      <c r="SWV37" s="71"/>
      <c r="SWW37" s="71"/>
      <c r="SWX37" s="71"/>
      <c r="SWY37" s="71"/>
      <c r="SWZ37" s="71"/>
      <c r="SXA37" s="71"/>
      <c r="SXB37" s="71"/>
      <c r="SXC37" s="71"/>
      <c r="SXD37" s="71"/>
      <c r="SXE37" s="71"/>
      <c r="SXF37" s="71"/>
      <c r="SXG37" s="71"/>
      <c r="SXH37" s="71"/>
      <c r="SXI37" s="71"/>
      <c r="SXJ37" s="71"/>
      <c r="SXK37" s="71"/>
      <c r="SXL37" s="71"/>
      <c r="SXM37" s="71"/>
      <c r="SXN37" s="71"/>
      <c r="SXO37" s="71"/>
      <c r="SXP37" s="71"/>
      <c r="SXQ37" s="71"/>
      <c r="SXR37" s="71"/>
      <c r="SXS37" s="71"/>
      <c r="SXT37" s="71"/>
      <c r="SXU37" s="71"/>
      <c r="SXV37" s="71"/>
      <c r="SXW37" s="71"/>
      <c r="SXX37" s="71"/>
      <c r="SXY37" s="71"/>
      <c r="SXZ37" s="71"/>
      <c r="SYA37" s="71"/>
      <c r="SYB37" s="71"/>
      <c r="SYC37" s="71"/>
      <c r="SYD37" s="71"/>
      <c r="SYE37" s="71"/>
      <c r="SYF37" s="71"/>
      <c r="SYG37" s="71"/>
      <c r="SYH37" s="71"/>
      <c r="SYI37" s="71"/>
      <c r="SYJ37" s="71"/>
      <c r="SYK37" s="71"/>
      <c r="SYL37" s="71"/>
      <c r="SYM37" s="71"/>
      <c r="SYN37" s="71"/>
      <c r="SYO37" s="71"/>
      <c r="SYP37" s="71"/>
      <c r="SYQ37" s="71"/>
      <c r="SYR37" s="71"/>
      <c r="SYS37" s="71"/>
      <c r="SYT37" s="71"/>
      <c r="SYU37" s="71"/>
      <c r="SYV37" s="71"/>
      <c r="SYW37" s="71"/>
      <c r="SYX37" s="71"/>
      <c r="SYY37" s="71"/>
      <c r="SYZ37" s="71"/>
      <c r="SZA37" s="71"/>
      <c r="SZB37" s="71"/>
      <c r="SZC37" s="71"/>
      <c r="SZD37" s="71"/>
      <c r="SZE37" s="71"/>
      <c r="SZF37" s="71"/>
      <c r="SZG37" s="71"/>
      <c r="SZH37" s="71"/>
      <c r="SZI37" s="71"/>
      <c r="SZJ37" s="71"/>
      <c r="SZK37" s="71"/>
      <c r="SZL37" s="71"/>
      <c r="SZM37" s="71"/>
      <c r="SZN37" s="71"/>
      <c r="SZO37" s="71"/>
      <c r="SZP37" s="71"/>
      <c r="SZQ37" s="71"/>
      <c r="SZR37" s="71"/>
      <c r="SZS37" s="71"/>
      <c r="SZT37" s="71"/>
      <c r="SZU37" s="71"/>
      <c r="SZV37" s="71"/>
      <c r="SZW37" s="71"/>
      <c r="SZX37" s="71"/>
      <c r="SZY37" s="71"/>
      <c r="SZZ37" s="71"/>
      <c r="TAA37" s="71"/>
      <c r="TAB37" s="71"/>
      <c r="TAC37" s="71"/>
      <c r="TAD37" s="71"/>
      <c r="TAE37" s="71"/>
      <c r="TAF37" s="71"/>
      <c r="TAG37" s="71"/>
      <c r="TAH37" s="71"/>
      <c r="TAI37" s="71"/>
      <c r="TAJ37" s="71"/>
      <c r="TAK37" s="71"/>
      <c r="TAL37" s="71"/>
      <c r="TAM37" s="71"/>
      <c r="TAN37" s="71"/>
      <c r="TAO37" s="71"/>
      <c r="TAP37" s="71"/>
      <c r="TAQ37" s="71"/>
      <c r="TAR37" s="71"/>
      <c r="TAS37" s="71"/>
      <c r="TAT37" s="71"/>
      <c r="TAU37" s="71"/>
      <c r="TAV37" s="71"/>
      <c r="TAW37" s="71"/>
      <c r="TAX37" s="71"/>
      <c r="TAY37" s="71"/>
      <c r="TAZ37" s="71"/>
      <c r="TBA37" s="71"/>
      <c r="TBB37" s="71"/>
      <c r="TBC37" s="71"/>
      <c r="TBD37" s="71"/>
      <c r="TBE37" s="71"/>
      <c r="TBF37" s="71"/>
      <c r="TBG37" s="71"/>
      <c r="TBH37" s="71"/>
      <c r="TBI37" s="71"/>
      <c r="TBJ37" s="71"/>
      <c r="TBK37" s="71"/>
      <c r="TBL37" s="71"/>
      <c r="TBM37" s="71"/>
      <c r="TBN37" s="71"/>
      <c r="TBO37" s="71"/>
      <c r="TBP37" s="71"/>
      <c r="TBQ37" s="71"/>
      <c r="TBR37" s="71"/>
      <c r="TBS37" s="71"/>
      <c r="TBT37" s="71"/>
      <c r="TBU37" s="71"/>
      <c r="TBV37" s="71"/>
      <c r="TBW37" s="71"/>
      <c r="TBX37" s="71"/>
      <c r="TBY37" s="71"/>
      <c r="TBZ37" s="71"/>
      <c r="TCA37" s="71"/>
      <c r="TCB37" s="71"/>
      <c r="TCC37" s="71"/>
      <c r="TCD37" s="71"/>
      <c r="TCE37" s="71"/>
      <c r="TCF37" s="71"/>
      <c r="TCG37" s="71"/>
      <c r="TCH37" s="71"/>
      <c r="TCI37" s="71"/>
      <c r="TCJ37" s="71"/>
      <c r="TCK37" s="71"/>
      <c r="TCL37" s="71"/>
      <c r="TCM37" s="71"/>
      <c r="TCN37" s="71"/>
      <c r="TCO37" s="71"/>
      <c r="TCP37" s="71"/>
      <c r="TCQ37" s="71"/>
      <c r="TCR37" s="71"/>
      <c r="TCS37" s="71"/>
      <c r="TCT37" s="71"/>
      <c r="TCU37" s="71"/>
      <c r="TCV37" s="71"/>
      <c r="TCW37" s="71"/>
      <c r="TCX37" s="71"/>
      <c r="TCY37" s="71"/>
      <c r="TCZ37" s="71"/>
      <c r="TDA37" s="71"/>
      <c r="TDB37" s="71"/>
      <c r="TDC37" s="71"/>
      <c r="TDD37" s="71"/>
      <c r="TDE37" s="71"/>
      <c r="TDF37" s="71"/>
      <c r="TDG37" s="71"/>
      <c r="TDH37" s="71"/>
      <c r="TDI37" s="71"/>
      <c r="TDJ37" s="71"/>
      <c r="TDK37" s="71"/>
      <c r="TDL37" s="71"/>
      <c r="TDM37" s="71"/>
      <c r="TDN37" s="71"/>
      <c r="TDO37" s="71"/>
      <c r="TDP37" s="71"/>
      <c r="TDQ37" s="71"/>
      <c r="TDR37" s="71"/>
      <c r="TDS37" s="71"/>
      <c r="TDT37" s="71"/>
      <c r="TDU37" s="71"/>
      <c r="TDV37" s="71"/>
      <c r="TDW37" s="71"/>
      <c r="TDX37" s="71"/>
      <c r="TDY37" s="71"/>
      <c r="TDZ37" s="71"/>
      <c r="TEA37" s="71"/>
      <c r="TEB37" s="71"/>
      <c r="TEC37" s="71"/>
      <c r="TED37" s="71"/>
      <c r="TEE37" s="71"/>
      <c r="TEF37" s="71"/>
      <c r="TEG37" s="71"/>
      <c r="TEH37" s="71"/>
      <c r="TEI37" s="71"/>
      <c r="TEJ37" s="71"/>
      <c r="TEK37" s="71"/>
      <c r="TEL37" s="71"/>
      <c r="TEM37" s="71"/>
      <c r="TEN37" s="71"/>
      <c r="TEO37" s="71"/>
      <c r="TEP37" s="71"/>
      <c r="TEQ37" s="71"/>
      <c r="TER37" s="71"/>
      <c r="TES37" s="71"/>
      <c r="TET37" s="71"/>
      <c r="TEU37" s="71"/>
      <c r="TEV37" s="71"/>
      <c r="TEW37" s="71"/>
      <c r="TEX37" s="71"/>
      <c r="TEY37" s="71"/>
      <c r="TEZ37" s="71"/>
      <c r="TFA37" s="71"/>
      <c r="TFB37" s="71"/>
      <c r="TFC37" s="71"/>
      <c r="TFD37" s="71"/>
      <c r="TFE37" s="71"/>
      <c r="TFF37" s="71"/>
      <c r="TFG37" s="71"/>
      <c r="TFH37" s="71"/>
      <c r="TFI37" s="71"/>
      <c r="TFJ37" s="71"/>
      <c r="TFK37" s="71"/>
      <c r="TFL37" s="71"/>
      <c r="TFM37" s="71"/>
      <c r="TFN37" s="71"/>
      <c r="TFO37" s="71"/>
      <c r="TFP37" s="71"/>
      <c r="TFQ37" s="71"/>
      <c r="TFR37" s="71"/>
      <c r="TFS37" s="71"/>
      <c r="TFT37" s="71"/>
      <c r="TFU37" s="71"/>
      <c r="TFV37" s="71"/>
      <c r="TFW37" s="71"/>
      <c r="TFX37" s="71"/>
      <c r="TFY37" s="71"/>
      <c r="TFZ37" s="71"/>
      <c r="TGA37" s="71"/>
      <c r="TGB37" s="71"/>
      <c r="TGC37" s="71"/>
      <c r="TGD37" s="71"/>
      <c r="TGE37" s="71"/>
      <c r="TGF37" s="71"/>
      <c r="TGG37" s="71"/>
      <c r="TGH37" s="71"/>
      <c r="TGI37" s="71"/>
      <c r="TGJ37" s="71"/>
      <c r="TGK37" s="71"/>
      <c r="TGL37" s="71"/>
      <c r="TGM37" s="71"/>
      <c r="TGN37" s="71"/>
      <c r="TGO37" s="71"/>
      <c r="TGP37" s="71"/>
      <c r="TGQ37" s="71"/>
      <c r="TGR37" s="71"/>
      <c r="TGS37" s="71"/>
      <c r="TGT37" s="71"/>
      <c r="TGU37" s="71"/>
      <c r="TGV37" s="71"/>
      <c r="TGW37" s="71"/>
      <c r="TGX37" s="71"/>
      <c r="TGY37" s="71"/>
      <c r="TGZ37" s="71"/>
      <c r="THA37" s="71"/>
      <c r="THB37" s="71"/>
      <c r="THC37" s="71"/>
      <c r="THD37" s="71"/>
      <c r="THE37" s="71"/>
      <c r="THF37" s="71"/>
      <c r="THG37" s="71"/>
      <c r="THH37" s="71"/>
      <c r="THI37" s="71"/>
      <c r="THJ37" s="71"/>
      <c r="THK37" s="71"/>
      <c r="THL37" s="71"/>
      <c r="THM37" s="71"/>
      <c r="THN37" s="71"/>
      <c r="THO37" s="71"/>
      <c r="THP37" s="71"/>
      <c r="THQ37" s="71"/>
      <c r="THR37" s="71"/>
      <c r="THS37" s="71"/>
      <c r="THT37" s="71"/>
      <c r="THU37" s="71"/>
      <c r="THV37" s="71"/>
      <c r="THW37" s="71"/>
      <c r="THX37" s="71"/>
      <c r="THY37" s="71"/>
      <c r="THZ37" s="71"/>
      <c r="TIA37" s="71"/>
      <c r="TIB37" s="71"/>
      <c r="TIC37" s="71"/>
      <c r="TID37" s="71"/>
      <c r="TIE37" s="71"/>
      <c r="TIF37" s="71"/>
      <c r="TIG37" s="71"/>
      <c r="TIH37" s="71"/>
      <c r="TII37" s="71"/>
      <c r="TIJ37" s="71"/>
      <c r="TIK37" s="71"/>
      <c r="TIL37" s="71"/>
      <c r="TIM37" s="71"/>
      <c r="TIN37" s="71"/>
      <c r="TIO37" s="71"/>
      <c r="TIP37" s="71"/>
      <c r="TIQ37" s="71"/>
      <c r="TIR37" s="71"/>
      <c r="TIS37" s="71"/>
      <c r="TIT37" s="71"/>
      <c r="TIU37" s="71"/>
      <c r="TIV37" s="71"/>
      <c r="TIW37" s="71"/>
      <c r="TIX37" s="71"/>
      <c r="TIY37" s="71"/>
      <c r="TIZ37" s="71"/>
      <c r="TJA37" s="71"/>
      <c r="TJB37" s="71"/>
      <c r="TJC37" s="71"/>
      <c r="TJD37" s="71"/>
      <c r="TJE37" s="71"/>
      <c r="TJF37" s="71"/>
      <c r="TJG37" s="71"/>
      <c r="TJH37" s="71"/>
      <c r="TJI37" s="71"/>
      <c r="TJJ37" s="71"/>
      <c r="TJK37" s="71"/>
      <c r="TJL37" s="71"/>
      <c r="TJM37" s="71"/>
      <c r="TJN37" s="71"/>
      <c r="TJO37" s="71"/>
      <c r="TJP37" s="71"/>
      <c r="TJQ37" s="71"/>
      <c r="TJR37" s="71"/>
      <c r="TJS37" s="71"/>
      <c r="TJT37" s="71"/>
      <c r="TJU37" s="71"/>
      <c r="TJV37" s="71"/>
      <c r="TJW37" s="71"/>
      <c r="TJX37" s="71"/>
      <c r="TJY37" s="71"/>
      <c r="TJZ37" s="71"/>
      <c r="TKA37" s="71"/>
      <c r="TKB37" s="71"/>
      <c r="TKC37" s="71"/>
      <c r="TKD37" s="71"/>
      <c r="TKE37" s="71"/>
      <c r="TKF37" s="71"/>
      <c r="TKG37" s="71"/>
      <c r="TKH37" s="71"/>
      <c r="TKI37" s="71"/>
      <c r="TKJ37" s="71"/>
      <c r="TKK37" s="71"/>
      <c r="TKL37" s="71"/>
      <c r="TKM37" s="71"/>
      <c r="TKN37" s="71"/>
      <c r="TKO37" s="71"/>
      <c r="TKP37" s="71"/>
      <c r="TKQ37" s="71"/>
      <c r="TKR37" s="71"/>
      <c r="TKS37" s="71"/>
      <c r="TKT37" s="71"/>
      <c r="TKU37" s="71"/>
      <c r="TKV37" s="71"/>
      <c r="TKW37" s="71"/>
      <c r="TKX37" s="71"/>
      <c r="TKY37" s="71"/>
      <c r="TKZ37" s="71"/>
      <c r="TLA37" s="71"/>
      <c r="TLB37" s="71"/>
      <c r="TLC37" s="71"/>
      <c r="TLD37" s="71"/>
      <c r="TLE37" s="71"/>
      <c r="TLF37" s="71"/>
      <c r="TLG37" s="71"/>
      <c r="TLH37" s="71"/>
      <c r="TLI37" s="71"/>
      <c r="TLJ37" s="71"/>
      <c r="TLK37" s="71"/>
      <c r="TLL37" s="71"/>
      <c r="TLM37" s="71"/>
      <c r="TLN37" s="71"/>
      <c r="TLO37" s="71"/>
      <c r="TLP37" s="71"/>
      <c r="TLQ37" s="71"/>
      <c r="TLR37" s="71"/>
      <c r="TLS37" s="71"/>
      <c r="TLT37" s="71"/>
      <c r="TLU37" s="71"/>
      <c r="TLV37" s="71"/>
      <c r="TLW37" s="71"/>
      <c r="TLX37" s="71"/>
      <c r="TLY37" s="71"/>
      <c r="TLZ37" s="71"/>
      <c r="TMA37" s="71"/>
      <c r="TMB37" s="71"/>
      <c r="TMC37" s="71"/>
      <c r="TMD37" s="71"/>
      <c r="TME37" s="71"/>
      <c r="TMF37" s="71"/>
      <c r="TMG37" s="71"/>
      <c r="TMH37" s="71"/>
      <c r="TMI37" s="71"/>
      <c r="TMJ37" s="71"/>
      <c r="TMK37" s="71"/>
      <c r="TML37" s="71"/>
      <c r="TMM37" s="71"/>
      <c r="TMN37" s="71"/>
      <c r="TMO37" s="71"/>
      <c r="TMP37" s="71"/>
      <c r="TMQ37" s="71"/>
      <c r="TMR37" s="71"/>
      <c r="TMS37" s="71"/>
      <c r="TMT37" s="71"/>
      <c r="TMU37" s="71"/>
      <c r="TMV37" s="71"/>
      <c r="TMW37" s="71"/>
      <c r="TMX37" s="71"/>
      <c r="TMY37" s="71"/>
      <c r="TMZ37" s="71"/>
      <c r="TNA37" s="71"/>
      <c r="TNB37" s="71"/>
      <c r="TNC37" s="71"/>
      <c r="TND37" s="71"/>
      <c r="TNE37" s="71"/>
      <c r="TNF37" s="71"/>
      <c r="TNG37" s="71"/>
      <c r="TNH37" s="71"/>
      <c r="TNI37" s="71"/>
      <c r="TNJ37" s="71"/>
      <c r="TNK37" s="71"/>
      <c r="TNL37" s="71"/>
      <c r="TNM37" s="71"/>
      <c r="TNN37" s="71"/>
      <c r="TNO37" s="71"/>
      <c r="TNP37" s="71"/>
      <c r="TNQ37" s="71"/>
      <c r="TNR37" s="71"/>
      <c r="TNS37" s="71"/>
      <c r="TNT37" s="71"/>
      <c r="TNU37" s="71"/>
      <c r="TNV37" s="71"/>
      <c r="TNW37" s="71"/>
      <c r="TNX37" s="71"/>
      <c r="TNY37" s="71"/>
      <c r="TNZ37" s="71"/>
      <c r="TOA37" s="71"/>
      <c r="TOB37" s="71"/>
      <c r="TOC37" s="71"/>
      <c r="TOD37" s="71"/>
      <c r="TOE37" s="71"/>
      <c r="TOF37" s="71"/>
      <c r="TOG37" s="71"/>
      <c r="TOH37" s="71"/>
      <c r="TOI37" s="71"/>
      <c r="TOJ37" s="71"/>
      <c r="TOK37" s="71"/>
      <c r="TOL37" s="71"/>
      <c r="TOM37" s="71"/>
      <c r="TON37" s="71"/>
      <c r="TOO37" s="71"/>
      <c r="TOP37" s="71"/>
      <c r="TOQ37" s="71"/>
      <c r="TOR37" s="71"/>
      <c r="TOS37" s="71"/>
      <c r="TOT37" s="71"/>
      <c r="TOU37" s="71"/>
      <c r="TOV37" s="71"/>
      <c r="TOW37" s="71"/>
      <c r="TOX37" s="71"/>
      <c r="TOY37" s="71"/>
      <c r="TOZ37" s="71"/>
      <c r="TPA37" s="71"/>
      <c r="TPB37" s="71"/>
      <c r="TPC37" s="71"/>
      <c r="TPD37" s="71"/>
      <c r="TPE37" s="71"/>
      <c r="TPF37" s="71"/>
      <c r="TPG37" s="71"/>
      <c r="TPH37" s="71"/>
      <c r="TPI37" s="71"/>
      <c r="TPJ37" s="71"/>
      <c r="TPK37" s="71"/>
      <c r="TPL37" s="71"/>
      <c r="TPM37" s="71"/>
      <c r="TPN37" s="71"/>
      <c r="TPO37" s="71"/>
      <c r="TPP37" s="71"/>
      <c r="TPQ37" s="71"/>
      <c r="TPR37" s="71"/>
      <c r="TPS37" s="71"/>
      <c r="TPT37" s="71"/>
      <c r="TPU37" s="71"/>
      <c r="TPV37" s="71"/>
      <c r="TPW37" s="71"/>
      <c r="TPX37" s="71"/>
      <c r="TPY37" s="71"/>
      <c r="TPZ37" s="71"/>
      <c r="TQA37" s="71"/>
      <c r="TQB37" s="71"/>
      <c r="TQC37" s="71"/>
      <c r="TQD37" s="71"/>
      <c r="TQE37" s="71"/>
      <c r="TQF37" s="71"/>
      <c r="TQG37" s="71"/>
      <c r="TQH37" s="71"/>
      <c r="TQI37" s="71"/>
      <c r="TQJ37" s="71"/>
      <c r="TQK37" s="71"/>
      <c r="TQL37" s="71"/>
      <c r="TQM37" s="71"/>
      <c r="TQN37" s="71"/>
      <c r="TQO37" s="71"/>
      <c r="TQP37" s="71"/>
      <c r="TQQ37" s="71"/>
      <c r="TQR37" s="71"/>
      <c r="TQS37" s="71"/>
      <c r="TQT37" s="71"/>
      <c r="TQU37" s="71"/>
      <c r="TQV37" s="71"/>
      <c r="TQW37" s="71"/>
      <c r="TQX37" s="71"/>
      <c r="TQY37" s="71"/>
      <c r="TQZ37" s="71"/>
      <c r="TRA37" s="71"/>
      <c r="TRB37" s="71"/>
      <c r="TRC37" s="71"/>
      <c r="TRD37" s="71"/>
      <c r="TRE37" s="71"/>
      <c r="TRF37" s="71"/>
      <c r="TRG37" s="71"/>
      <c r="TRH37" s="71"/>
      <c r="TRI37" s="71"/>
      <c r="TRJ37" s="71"/>
      <c r="TRK37" s="71"/>
      <c r="TRL37" s="71"/>
      <c r="TRM37" s="71"/>
      <c r="TRN37" s="71"/>
      <c r="TRO37" s="71"/>
      <c r="TRP37" s="71"/>
      <c r="TRQ37" s="71"/>
      <c r="TRR37" s="71"/>
      <c r="TRS37" s="71"/>
      <c r="TRT37" s="71"/>
      <c r="TRU37" s="71"/>
      <c r="TRV37" s="71"/>
      <c r="TRW37" s="71"/>
      <c r="TRX37" s="71"/>
      <c r="TRY37" s="71"/>
      <c r="TRZ37" s="71"/>
      <c r="TSA37" s="71"/>
      <c r="TSB37" s="71"/>
      <c r="TSC37" s="71"/>
      <c r="TSD37" s="71"/>
      <c r="TSE37" s="71"/>
      <c r="TSF37" s="71"/>
      <c r="TSG37" s="71"/>
      <c r="TSH37" s="71"/>
      <c r="TSI37" s="71"/>
      <c r="TSJ37" s="71"/>
      <c r="TSK37" s="71"/>
      <c r="TSL37" s="71"/>
      <c r="TSM37" s="71"/>
      <c r="TSN37" s="71"/>
      <c r="TSO37" s="71"/>
      <c r="TSP37" s="71"/>
      <c r="TSQ37" s="71"/>
      <c r="TSR37" s="71"/>
      <c r="TSS37" s="71"/>
      <c r="TST37" s="71"/>
      <c r="TSU37" s="71"/>
      <c r="TSV37" s="71"/>
      <c r="TSW37" s="71"/>
      <c r="TSX37" s="71"/>
      <c r="TSY37" s="71"/>
      <c r="TSZ37" s="71"/>
      <c r="TTA37" s="71"/>
      <c r="TTB37" s="71"/>
      <c r="TTC37" s="71"/>
      <c r="TTD37" s="71"/>
      <c r="TTE37" s="71"/>
      <c r="TTF37" s="71"/>
      <c r="TTG37" s="71"/>
      <c r="TTH37" s="71"/>
      <c r="TTI37" s="71"/>
      <c r="TTJ37" s="71"/>
      <c r="TTK37" s="71"/>
      <c r="TTL37" s="71"/>
      <c r="TTM37" s="71"/>
      <c r="TTN37" s="71"/>
      <c r="TTO37" s="71"/>
      <c r="TTP37" s="71"/>
      <c r="TTQ37" s="71"/>
      <c r="TTR37" s="71"/>
      <c r="TTS37" s="71"/>
      <c r="TTT37" s="71"/>
      <c r="TTU37" s="71"/>
      <c r="TTV37" s="71"/>
      <c r="TTW37" s="71"/>
      <c r="TTX37" s="71"/>
      <c r="TTY37" s="71"/>
      <c r="TTZ37" s="71"/>
      <c r="TUA37" s="71"/>
      <c r="TUB37" s="71"/>
      <c r="TUC37" s="71"/>
      <c r="TUD37" s="71"/>
      <c r="TUE37" s="71"/>
      <c r="TUF37" s="71"/>
      <c r="TUG37" s="71"/>
      <c r="TUH37" s="71"/>
      <c r="TUI37" s="71"/>
      <c r="TUJ37" s="71"/>
      <c r="TUK37" s="71"/>
      <c r="TUL37" s="71"/>
      <c r="TUM37" s="71"/>
      <c r="TUN37" s="71"/>
      <c r="TUO37" s="71"/>
      <c r="TUP37" s="71"/>
      <c r="TUQ37" s="71"/>
      <c r="TUR37" s="71"/>
      <c r="TUS37" s="71"/>
      <c r="TUT37" s="71"/>
      <c r="TUU37" s="71"/>
      <c r="TUV37" s="71"/>
      <c r="TUW37" s="71"/>
      <c r="TUX37" s="71"/>
      <c r="TUY37" s="71"/>
      <c r="TUZ37" s="71"/>
      <c r="TVA37" s="71"/>
      <c r="TVB37" s="71"/>
      <c r="TVC37" s="71"/>
      <c r="TVD37" s="71"/>
      <c r="TVE37" s="71"/>
      <c r="TVF37" s="71"/>
      <c r="TVG37" s="71"/>
      <c r="TVH37" s="71"/>
      <c r="TVI37" s="71"/>
      <c r="TVJ37" s="71"/>
      <c r="TVK37" s="71"/>
      <c r="TVL37" s="71"/>
      <c r="TVM37" s="71"/>
      <c r="TVN37" s="71"/>
      <c r="TVO37" s="71"/>
      <c r="TVP37" s="71"/>
      <c r="TVQ37" s="71"/>
      <c r="TVR37" s="71"/>
      <c r="TVS37" s="71"/>
      <c r="TVT37" s="71"/>
      <c r="TVU37" s="71"/>
      <c r="TVV37" s="71"/>
      <c r="TVW37" s="71"/>
      <c r="TVX37" s="71"/>
      <c r="TVY37" s="71"/>
      <c r="TVZ37" s="71"/>
      <c r="TWA37" s="71"/>
      <c r="TWB37" s="71"/>
      <c r="TWC37" s="71"/>
      <c r="TWD37" s="71"/>
      <c r="TWE37" s="71"/>
      <c r="TWF37" s="71"/>
      <c r="TWG37" s="71"/>
      <c r="TWH37" s="71"/>
      <c r="TWI37" s="71"/>
      <c r="TWJ37" s="71"/>
      <c r="TWK37" s="71"/>
      <c r="TWL37" s="71"/>
      <c r="TWM37" s="71"/>
      <c r="TWN37" s="71"/>
      <c r="TWO37" s="71"/>
      <c r="TWP37" s="71"/>
      <c r="TWQ37" s="71"/>
      <c r="TWR37" s="71"/>
      <c r="TWS37" s="71"/>
      <c r="TWT37" s="71"/>
      <c r="TWU37" s="71"/>
      <c r="TWV37" s="71"/>
      <c r="TWW37" s="71"/>
      <c r="TWX37" s="71"/>
      <c r="TWY37" s="71"/>
      <c r="TWZ37" s="71"/>
      <c r="TXA37" s="71"/>
      <c r="TXB37" s="71"/>
      <c r="TXC37" s="71"/>
      <c r="TXD37" s="71"/>
      <c r="TXE37" s="71"/>
      <c r="TXF37" s="71"/>
      <c r="TXG37" s="71"/>
      <c r="TXH37" s="71"/>
      <c r="TXI37" s="71"/>
      <c r="TXJ37" s="71"/>
      <c r="TXK37" s="71"/>
      <c r="TXL37" s="71"/>
      <c r="TXM37" s="71"/>
      <c r="TXN37" s="71"/>
      <c r="TXO37" s="71"/>
      <c r="TXP37" s="71"/>
      <c r="TXQ37" s="71"/>
      <c r="TXR37" s="71"/>
      <c r="TXS37" s="71"/>
      <c r="TXT37" s="71"/>
      <c r="TXU37" s="71"/>
      <c r="TXV37" s="71"/>
      <c r="TXW37" s="71"/>
      <c r="TXX37" s="71"/>
      <c r="TXY37" s="71"/>
      <c r="TXZ37" s="71"/>
      <c r="TYA37" s="71"/>
      <c r="TYB37" s="71"/>
      <c r="TYC37" s="71"/>
      <c r="TYD37" s="71"/>
      <c r="TYE37" s="71"/>
      <c r="TYF37" s="71"/>
      <c r="TYG37" s="71"/>
      <c r="TYH37" s="71"/>
      <c r="TYI37" s="71"/>
      <c r="TYJ37" s="71"/>
      <c r="TYK37" s="71"/>
      <c r="TYL37" s="71"/>
      <c r="TYM37" s="71"/>
      <c r="TYN37" s="71"/>
      <c r="TYO37" s="71"/>
      <c r="TYP37" s="71"/>
      <c r="TYQ37" s="71"/>
      <c r="TYR37" s="71"/>
      <c r="TYS37" s="71"/>
      <c r="TYT37" s="71"/>
      <c r="TYU37" s="71"/>
      <c r="TYV37" s="71"/>
      <c r="TYW37" s="71"/>
      <c r="TYX37" s="71"/>
      <c r="TYY37" s="71"/>
      <c r="TYZ37" s="71"/>
      <c r="TZA37" s="71"/>
      <c r="TZB37" s="71"/>
      <c r="TZC37" s="71"/>
      <c r="TZD37" s="71"/>
      <c r="TZE37" s="71"/>
      <c r="TZF37" s="71"/>
      <c r="TZG37" s="71"/>
      <c r="TZH37" s="71"/>
      <c r="TZI37" s="71"/>
      <c r="TZJ37" s="71"/>
      <c r="TZK37" s="71"/>
      <c r="TZL37" s="71"/>
      <c r="TZM37" s="71"/>
      <c r="TZN37" s="71"/>
      <c r="TZO37" s="71"/>
      <c r="TZP37" s="71"/>
      <c r="TZQ37" s="71"/>
      <c r="TZR37" s="71"/>
      <c r="TZS37" s="71"/>
      <c r="TZT37" s="71"/>
      <c r="TZU37" s="71"/>
      <c r="TZV37" s="71"/>
      <c r="TZW37" s="71"/>
      <c r="TZX37" s="71"/>
      <c r="TZY37" s="71"/>
      <c r="TZZ37" s="71"/>
      <c r="UAA37" s="71"/>
      <c r="UAB37" s="71"/>
      <c r="UAC37" s="71"/>
      <c r="UAD37" s="71"/>
      <c r="UAE37" s="71"/>
      <c r="UAF37" s="71"/>
      <c r="UAG37" s="71"/>
      <c r="UAH37" s="71"/>
      <c r="UAI37" s="71"/>
      <c r="UAJ37" s="71"/>
      <c r="UAK37" s="71"/>
      <c r="UAL37" s="71"/>
      <c r="UAM37" s="71"/>
      <c r="UAN37" s="71"/>
      <c r="UAO37" s="71"/>
      <c r="UAP37" s="71"/>
      <c r="UAQ37" s="71"/>
      <c r="UAR37" s="71"/>
      <c r="UAS37" s="71"/>
      <c r="UAT37" s="71"/>
      <c r="UAU37" s="71"/>
      <c r="UAV37" s="71"/>
      <c r="UAW37" s="71"/>
      <c r="UAX37" s="71"/>
      <c r="UAY37" s="71"/>
      <c r="UAZ37" s="71"/>
      <c r="UBA37" s="71"/>
      <c r="UBB37" s="71"/>
      <c r="UBC37" s="71"/>
      <c r="UBD37" s="71"/>
      <c r="UBE37" s="71"/>
      <c r="UBF37" s="71"/>
      <c r="UBG37" s="71"/>
      <c r="UBH37" s="71"/>
      <c r="UBI37" s="71"/>
      <c r="UBJ37" s="71"/>
      <c r="UBK37" s="71"/>
      <c r="UBL37" s="71"/>
      <c r="UBM37" s="71"/>
      <c r="UBN37" s="71"/>
      <c r="UBO37" s="71"/>
      <c r="UBP37" s="71"/>
      <c r="UBQ37" s="71"/>
      <c r="UBR37" s="71"/>
      <c r="UBS37" s="71"/>
      <c r="UBT37" s="71"/>
      <c r="UBU37" s="71"/>
      <c r="UBV37" s="71"/>
      <c r="UBW37" s="71"/>
      <c r="UBX37" s="71"/>
      <c r="UBY37" s="71"/>
      <c r="UBZ37" s="71"/>
      <c r="UCA37" s="71"/>
      <c r="UCB37" s="71"/>
      <c r="UCC37" s="71"/>
      <c r="UCD37" s="71"/>
      <c r="UCE37" s="71"/>
      <c r="UCF37" s="71"/>
      <c r="UCG37" s="71"/>
      <c r="UCH37" s="71"/>
      <c r="UCI37" s="71"/>
      <c r="UCJ37" s="71"/>
      <c r="UCK37" s="71"/>
      <c r="UCL37" s="71"/>
      <c r="UCM37" s="71"/>
      <c r="UCN37" s="71"/>
      <c r="UCO37" s="71"/>
      <c r="UCP37" s="71"/>
      <c r="UCQ37" s="71"/>
      <c r="UCR37" s="71"/>
      <c r="UCS37" s="71"/>
      <c r="UCT37" s="71"/>
      <c r="UCU37" s="71"/>
      <c r="UCV37" s="71"/>
      <c r="UCW37" s="71"/>
      <c r="UCX37" s="71"/>
      <c r="UCY37" s="71"/>
      <c r="UCZ37" s="71"/>
      <c r="UDA37" s="71"/>
      <c r="UDB37" s="71"/>
      <c r="UDC37" s="71"/>
      <c r="UDD37" s="71"/>
      <c r="UDE37" s="71"/>
      <c r="UDF37" s="71"/>
      <c r="UDG37" s="71"/>
      <c r="UDH37" s="71"/>
      <c r="UDI37" s="71"/>
      <c r="UDJ37" s="71"/>
      <c r="UDK37" s="71"/>
      <c r="UDL37" s="71"/>
      <c r="UDM37" s="71"/>
      <c r="UDN37" s="71"/>
      <c r="UDO37" s="71"/>
      <c r="UDP37" s="71"/>
      <c r="UDQ37" s="71"/>
      <c r="UDR37" s="71"/>
      <c r="UDS37" s="71"/>
      <c r="UDT37" s="71"/>
      <c r="UDU37" s="71"/>
      <c r="UDV37" s="71"/>
      <c r="UDW37" s="71"/>
      <c r="UDX37" s="71"/>
      <c r="UDY37" s="71"/>
      <c r="UDZ37" s="71"/>
      <c r="UEA37" s="71"/>
      <c r="UEB37" s="71"/>
      <c r="UEC37" s="71"/>
      <c r="UED37" s="71"/>
      <c r="UEE37" s="71"/>
      <c r="UEF37" s="71"/>
      <c r="UEG37" s="71"/>
      <c r="UEH37" s="71"/>
      <c r="UEI37" s="71"/>
      <c r="UEJ37" s="71"/>
      <c r="UEK37" s="71"/>
      <c r="UEL37" s="71"/>
      <c r="UEM37" s="71"/>
      <c r="UEN37" s="71"/>
      <c r="UEO37" s="71"/>
      <c r="UEP37" s="71"/>
      <c r="UEQ37" s="71"/>
      <c r="UER37" s="71"/>
      <c r="UES37" s="71"/>
      <c r="UET37" s="71"/>
      <c r="UEU37" s="71"/>
      <c r="UEV37" s="71"/>
      <c r="UEW37" s="71"/>
      <c r="UEX37" s="71"/>
      <c r="UEY37" s="71"/>
      <c r="UEZ37" s="71"/>
      <c r="UFA37" s="71"/>
      <c r="UFB37" s="71"/>
      <c r="UFC37" s="71"/>
      <c r="UFD37" s="71"/>
      <c r="UFE37" s="71"/>
      <c r="UFF37" s="71"/>
      <c r="UFG37" s="71"/>
      <c r="UFH37" s="71"/>
      <c r="UFI37" s="71"/>
      <c r="UFJ37" s="71"/>
      <c r="UFK37" s="71"/>
      <c r="UFL37" s="71"/>
      <c r="UFM37" s="71"/>
      <c r="UFN37" s="71"/>
      <c r="UFO37" s="71"/>
      <c r="UFP37" s="71"/>
      <c r="UFQ37" s="71"/>
      <c r="UFR37" s="71"/>
      <c r="UFS37" s="71"/>
      <c r="UFT37" s="71"/>
      <c r="UFU37" s="71"/>
      <c r="UFV37" s="71"/>
      <c r="UFW37" s="71"/>
      <c r="UFX37" s="71"/>
      <c r="UFY37" s="71"/>
      <c r="UFZ37" s="71"/>
      <c r="UGA37" s="71"/>
      <c r="UGB37" s="71"/>
      <c r="UGC37" s="71"/>
      <c r="UGD37" s="71"/>
      <c r="UGE37" s="71"/>
      <c r="UGF37" s="71"/>
      <c r="UGG37" s="71"/>
      <c r="UGH37" s="71"/>
      <c r="UGI37" s="71"/>
      <c r="UGJ37" s="71"/>
      <c r="UGK37" s="71"/>
      <c r="UGL37" s="71"/>
      <c r="UGM37" s="71"/>
      <c r="UGN37" s="71"/>
      <c r="UGO37" s="71"/>
      <c r="UGP37" s="71"/>
      <c r="UGQ37" s="71"/>
      <c r="UGR37" s="71"/>
      <c r="UGS37" s="71"/>
      <c r="UGT37" s="71"/>
      <c r="UGU37" s="71"/>
      <c r="UGV37" s="71"/>
      <c r="UGW37" s="71"/>
      <c r="UGX37" s="71"/>
      <c r="UGY37" s="71"/>
      <c r="UGZ37" s="71"/>
      <c r="UHA37" s="71"/>
      <c r="UHB37" s="71"/>
      <c r="UHC37" s="71"/>
      <c r="UHD37" s="71"/>
      <c r="UHE37" s="71"/>
      <c r="UHF37" s="71"/>
      <c r="UHG37" s="71"/>
      <c r="UHH37" s="71"/>
      <c r="UHI37" s="71"/>
      <c r="UHJ37" s="71"/>
      <c r="UHK37" s="71"/>
      <c r="UHL37" s="71"/>
      <c r="UHM37" s="71"/>
      <c r="UHN37" s="71"/>
      <c r="UHO37" s="71"/>
      <c r="UHP37" s="71"/>
      <c r="UHQ37" s="71"/>
      <c r="UHR37" s="71"/>
      <c r="UHS37" s="71"/>
      <c r="UHT37" s="71"/>
      <c r="UHU37" s="71"/>
      <c r="UHV37" s="71"/>
      <c r="UHW37" s="71"/>
      <c r="UHX37" s="71"/>
      <c r="UHY37" s="71"/>
      <c r="UHZ37" s="71"/>
      <c r="UIA37" s="71"/>
      <c r="UIB37" s="71"/>
      <c r="UIC37" s="71"/>
      <c r="UID37" s="71"/>
      <c r="UIE37" s="71"/>
      <c r="UIF37" s="71"/>
      <c r="UIG37" s="71"/>
      <c r="UIH37" s="71"/>
      <c r="UII37" s="71"/>
      <c r="UIJ37" s="71"/>
      <c r="UIK37" s="71"/>
      <c r="UIL37" s="71"/>
      <c r="UIM37" s="71"/>
      <c r="UIN37" s="71"/>
      <c r="UIO37" s="71"/>
      <c r="UIP37" s="71"/>
      <c r="UIQ37" s="71"/>
      <c r="UIR37" s="71"/>
      <c r="UIS37" s="71"/>
      <c r="UIT37" s="71"/>
      <c r="UIU37" s="71"/>
      <c r="UIV37" s="71"/>
      <c r="UIW37" s="71"/>
      <c r="UIX37" s="71"/>
      <c r="UIY37" s="71"/>
      <c r="UIZ37" s="71"/>
      <c r="UJA37" s="71"/>
      <c r="UJB37" s="71"/>
      <c r="UJC37" s="71"/>
      <c r="UJD37" s="71"/>
      <c r="UJE37" s="71"/>
      <c r="UJF37" s="71"/>
      <c r="UJG37" s="71"/>
      <c r="UJH37" s="71"/>
      <c r="UJI37" s="71"/>
      <c r="UJJ37" s="71"/>
      <c r="UJK37" s="71"/>
      <c r="UJL37" s="71"/>
      <c r="UJM37" s="71"/>
      <c r="UJN37" s="71"/>
      <c r="UJO37" s="71"/>
      <c r="UJP37" s="71"/>
      <c r="UJQ37" s="71"/>
      <c r="UJR37" s="71"/>
      <c r="UJS37" s="71"/>
      <c r="UJT37" s="71"/>
      <c r="UJU37" s="71"/>
      <c r="UJV37" s="71"/>
      <c r="UJW37" s="71"/>
      <c r="UJX37" s="71"/>
      <c r="UJY37" s="71"/>
      <c r="UJZ37" s="71"/>
      <c r="UKA37" s="71"/>
      <c r="UKB37" s="71"/>
      <c r="UKC37" s="71"/>
      <c r="UKD37" s="71"/>
      <c r="UKE37" s="71"/>
      <c r="UKF37" s="71"/>
      <c r="UKG37" s="71"/>
      <c r="UKH37" s="71"/>
      <c r="UKI37" s="71"/>
      <c r="UKJ37" s="71"/>
      <c r="UKK37" s="71"/>
      <c r="UKL37" s="71"/>
      <c r="UKM37" s="71"/>
      <c r="UKN37" s="71"/>
      <c r="UKO37" s="71"/>
      <c r="UKP37" s="71"/>
      <c r="UKQ37" s="71"/>
      <c r="UKR37" s="71"/>
      <c r="UKS37" s="71"/>
      <c r="UKT37" s="71"/>
      <c r="UKU37" s="71"/>
      <c r="UKV37" s="71"/>
      <c r="UKW37" s="71"/>
      <c r="UKX37" s="71"/>
      <c r="UKY37" s="71"/>
      <c r="UKZ37" s="71"/>
      <c r="ULA37" s="71"/>
      <c r="ULB37" s="71"/>
      <c r="ULC37" s="71"/>
      <c r="ULD37" s="71"/>
      <c r="ULE37" s="71"/>
      <c r="ULF37" s="71"/>
      <c r="ULG37" s="71"/>
      <c r="ULH37" s="71"/>
      <c r="ULI37" s="71"/>
      <c r="ULJ37" s="71"/>
      <c r="ULK37" s="71"/>
      <c r="ULL37" s="71"/>
      <c r="ULM37" s="71"/>
      <c r="ULN37" s="71"/>
      <c r="ULO37" s="71"/>
      <c r="ULP37" s="71"/>
      <c r="ULQ37" s="71"/>
      <c r="ULR37" s="71"/>
      <c r="ULS37" s="71"/>
      <c r="ULT37" s="71"/>
      <c r="ULU37" s="71"/>
      <c r="ULV37" s="71"/>
      <c r="ULW37" s="71"/>
      <c r="ULX37" s="71"/>
      <c r="ULY37" s="71"/>
      <c r="ULZ37" s="71"/>
      <c r="UMA37" s="71"/>
      <c r="UMB37" s="71"/>
      <c r="UMC37" s="71"/>
      <c r="UMD37" s="71"/>
      <c r="UME37" s="71"/>
      <c r="UMF37" s="71"/>
      <c r="UMG37" s="71"/>
      <c r="UMH37" s="71"/>
      <c r="UMI37" s="71"/>
      <c r="UMJ37" s="71"/>
      <c r="UMK37" s="71"/>
      <c r="UML37" s="71"/>
      <c r="UMM37" s="71"/>
      <c r="UMN37" s="71"/>
      <c r="UMO37" s="71"/>
      <c r="UMP37" s="71"/>
      <c r="UMQ37" s="71"/>
      <c r="UMR37" s="71"/>
      <c r="UMS37" s="71"/>
      <c r="UMT37" s="71"/>
      <c r="UMU37" s="71"/>
      <c r="UMV37" s="71"/>
      <c r="UMW37" s="71"/>
      <c r="UMX37" s="71"/>
      <c r="UMY37" s="71"/>
      <c r="UMZ37" s="71"/>
      <c r="UNA37" s="71"/>
      <c r="UNB37" s="71"/>
      <c r="UNC37" s="71"/>
      <c r="UND37" s="71"/>
      <c r="UNE37" s="71"/>
      <c r="UNF37" s="71"/>
      <c r="UNG37" s="71"/>
      <c r="UNH37" s="71"/>
      <c r="UNI37" s="71"/>
      <c r="UNJ37" s="71"/>
      <c r="UNK37" s="71"/>
      <c r="UNL37" s="71"/>
      <c r="UNM37" s="71"/>
      <c r="UNN37" s="71"/>
      <c r="UNO37" s="71"/>
      <c r="UNP37" s="71"/>
      <c r="UNQ37" s="71"/>
      <c r="UNR37" s="71"/>
      <c r="UNS37" s="71"/>
      <c r="UNT37" s="71"/>
      <c r="UNU37" s="71"/>
      <c r="UNV37" s="71"/>
      <c r="UNW37" s="71"/>
      <c r="UNX37" s="71"/>
      <c r="UNY37" s="71"/>
      <c r="UNZ37" s="71"/>
      <c r="UOA37" s="71"/>
      <c r="UOB37" s="71"/>
      <c r="UOC37" s="71"/>
      <c r="UOD37" s="71"/>
      <c r="UOE37" s="71"/>
      <c r="UOF37" s="71"/>
      <c r="UOG37" s="71"/>
      <c r="UOH37" s="71"/>
      <c r="UOI37" s="71"/>
      <c r="UOJ37" s="71"/>
      <c r="UOK37" s="71"/>
      <c r="UOL37" s="71"/>
      <c r="UOM37" s="71"/>
      <c r="UON37" s="71"/>
      <c r="UOO37" s="71"/>
      <c r="UOP37" s="71"/>
      <c r="UOQ37" s="71"/>
      <c r="UOR37" s="71"/>
      <c r="UOS37" s="71"/>
      <c r="UOT37" s="71"/>
      <c r="UOU37" s="71"/>
      <c r="UOV37" s="71"/>
      <c r="UOW37" s="71"/>
      <c r="UOX37" s="71"/>
      <c r="UOY37" s="71"/>
      <c r="UOZ37" s="71"/>
      <c r="UPA37" s="71"/>
      <c r="UPB37" s="71"/>
      <c r="UPC37" s="71"/>
      <c r="UPD37" s="71"/>
      <c r="UPE37" s="71"/>
      <c r="UPF37" s="71"/>
      <c r="UPG37" s="71"/>
      <c r="UPH37" s="71"/>
      <c r="UPI37" s="71"/>
      <c r="UPJ37" s="71"/>
      <c r="UPK37" s="71"/>
      <c r="UPL37" s="71"/>
      <c r="UPM37" s="71"/>
      <c r="UPN37" s="71"/>
      <c r="UPO37" s="71"/>
      <c r="UPP37" s="71"/>
      <c r="UPQ37" s="71"/>
      <c r="UPR37" s="71"/>
      <c r="UPS37" s="71"/>
      <c r="UPT37" s="71"/>
      <c r="UPU37" s="71"/>
      <c r="UPV37" s="71"/>
      <c r="UPW37" s="71"/>
      <c r="UPX37" s="71"/>
      <c r="UPY37" s="71"/>
      <c r="UPZ37" s="71"/>
      <c r="UQA37" s="71"/>
      <c r="UQB37" s="71"/>
      <c r="UQC37" s="71"/>
      <c r="UQD37" s="71"/>
      <c r="UQE37" s="71"/>
      <c r="UQF37" s="71"/>
      <c r="UQG37" s="71"/>
      <c r="UQH37" s="71"/>
      <c r="UQI37" s="71"/>
      <c r="UQJ37" s="71"/>
      <c r="UQK37" s="71"/>
      <c r="UQL37" s="71"/>
      <c r="UQM37" s="71"/>
      <c r="UQN37" s="71"/>
      <c r="UQO37" s="71"/>
      <c r="UQP37" s="71"/>
      <c r="UQQ37" s="71"/>
      <c r="UQR37" s="71"/>
      <c r="UQS37" s="71"/>
      <c r="UQT37" s="71"/>
      <c r="UQU37" s="71"/>
      <c r="UQV37" s="71"/>
      <c r="UQW37" s="71"/>
      <c r="UQX37" s="71"/>
      <c r="UQY37" s="71"/>
      <c r="UQZ37" s="71"/>
      <c r="URA37" s="71"/>
      <c r="URB37" s="71"/>
      <c r="URC37" s="71"/>
      <c r="URD37" s="71"/>
      <c r="URE37" s="71"/>
      <c r="URF37" s="71"/>
      <c r="URG37" s="71"/>
      <c r="URH37" s="71"/>
      <c r="URI37" s="71"/>
      <c r="URJ37" s="71"/>
      <c r="URK37" s="71"/>
      <c r="URL37" s="71"/>
      <c r="URM37" s="71"/>
      <c r="URN37" s="71"/>
      <c r="URO37" s="71"/>
      <c r="URP37" s="71"/>
      <c r="URQ37" s="71"/>
      <c r="URR37" s="71"/>
      <c r="URS37" s="71"/>
      <c r="URT37" s="71"/>
      <c r="URU37" s="71"/>
      <c r="URV37" s="71"/>
      <c r="URW37" s="71"/>
      <c r="URX37" s="71"/>
      <c r="URY37" s="71"/>
      <c r="URZ37" s="71"/>
      <c r="USA37" s="71"/>
      <c r="USB37" s="71"/>
      <c r="USC37" s="71"/>
      <c r="USD37" s="71"/>
      <c r="USE37" s="71"/>
      <c r="USF37" s="71"/>
      <c r="USG37" s="71"/>
      <c r="USH37" s="71"/>
      <c r="USI37" s="71"/>
      <c r="USJ37" s="71"/>
      <c r="USK37" s="71"/>
      <c r="USL37" s="71"/>
      <c r="USM37" s="71"/>
      <c r="USN37" s="71"/>
      <c r="USO37" s="71"/>
      <c r="USP37" s="71"/>
      <c r="USQ37" s="71"/>
      <c r="USR37" s="71"/>
      <c r="USS37" s="71"/>
      <c r="UST37" s="71"/>
      <c r="USU37" s="71"/>
      <c r="USV37" s="71"/>
      <c r="USW37" s="71"/>
      <c r="USX37" s="71"/>
      <c r="USY37" s="71"/>
      <c r="USZ37" s="71"/>
      <c r="UTA37" s="71"/>
      <c r="UTB37" s="71"/>
      <c r="UTC37" s="71"/>
      <c r="UTD37" s="71"/>
      <c r="UTE37" s="71"/>
      <c r="UTF37" s="71"/>
      <c r="UTG37" s="71"/>
      <c r="UTH37" s="71"/>
      <c r="UTI37" s="71"/>
      <c r="UTJ37" s="71"/>
      <c r="UTK37" s="71"/>
      <c r="UTL37" s="71"/>
      <c r="UTM37" s="71"/>
      <c r="UTN37" s="71"/>
      <c r="UTO37" s="71"/>
      <c r="UTP37" s="71"/>
      <c r="UTQ37" s="71"/>
      <c r="UTR37" s="71"/>
      <c r="UTS37" s="71"/>
      <c r="UTT37" s="71"/>
      <c r="UTU37" s="71"/>
      <c r="UTV37" s="71"/>
      <c r="UTW37" s="71"/>
      <c r="UTX37" s="71"/>
      <c r="UTY37" s="71"/>
      <c r="UTZ37" s="71"/>
      <c r="UUA37" s="71"/>
      <c r="UUB37" s="71"/>
      <c r="UUC37" s="71"/>
      <c r="UUD37" s="71"/>
      <c r="UUE37" s="71"/>
      <c r="UUF37" s="71"/>
      <c r="UUG37" s="71"/>
      <c r="UUH37" s="71"/>
      <c r="UUI37" s="71"/>
      <c r="UUJ37" s="71"/>
      <c r="UUK37" s="71"/>
      <c r="UUL37" s="71"/>
      <c r="UUM37" s="71"/>
      <c r="UUN37" s="71"/>
      <c r="UUO37" s="71"/>
      <c r="UUP37" s="71"/>
      <c r="UUQ37" s="71"/>
      <c r="UUR37" s="71"/>
      <c r="UUS37" s="71"/>
      <c r="UUT37" s="71"/>
      <c r="UUU37" s="71"/>
      <c r="UUV37" s="71"/>
      <c r="UUW37" s="71"/>
      <c r="UUX37" s="71"/>
      <c r="UUY37" s="71"/>
      <c r="UUZ37" s="71"/>
      <c r="UVA37" s="71"/>
      <c r="UVB37" s="71"/>
      <c r="UVC37" s="71"/>
      <c r="UVD37" s="71"/>
      <c r="UVE37" s="71"/>
      <c r="UVF37" s="71"/>
      <c r="UVG37" s="71"/>
      <c r="UVH37" s="71"/>
      <c r="UVI37" s="71"/>
      <c r="UVJ37" s="71"/>
      <c r="UVK37" s="71"/>
      <c r="UVL37" s="71"/>
      <c r="UVM37" s="71"/>
      <c r="UVN37" s="71"/>
      <c r="UVO37" s="71"/>
      <c r="UVP37" s="71"/>
      <c r="UVQ37" s="71"/>
      <c r="UVR37" s="71"/>
      <c r="UVS37" s="71"/>
      <c r="UVT37" s="71"/>
      <c r="UVU37" s="71"/>
      <c r="UVV37" s="71"/>
      <c r="UVW37" s="71"/>
      <c r="UVX37" s="71"/>
      <c r="UVY37" s="71"/>
      <c r="UVZ37" s="71"/>
      <c r="UWA37" s="71"/>
      <c r="UWB37" s="71"/>
      <c r="UWC37" s="71"/>
      <c r="UWD37" s="71"/>
      <c r="UWE37" s="71"/>
      <c r="UWF37" s="71"/>
      <c r="UWG37" s="71"/>
      <c r="UWH37" s="71"/>
      <c r="UWI37" s="71"/>
      <c r="UWJ37" s="71"/>
      <c r="UWK37" s="71"/>
      <c r="UWL37" s="71"/>
      <c r="UWM37" s="71"/>
      <c r="UWN37" s="71"/>
      <c r="UWO37" s="71"/>
      <c r="UWP37" s="71"/>
      <c r="UWQ37" s="71"/>
      <c r="UWR37" s="71"/>
      <c r="UWS37" s="71"/>
      <c r="UWT37" s="71"/>
      <c r="UWU37" s="71"/>
      <c r="UWV37" s="71"/>
      <c r="UWW37" s="71"/>
      <c r="UWX37" s="71"/>
      <c r="UWY37" s="71"/>
      <c r="UWZ37" s="71"/>
      <c r="UXA37" s="71"/>
      <c r="UXB37" s="71"/>
      <c r="UXC37" s="71"/>
      <c r="UXD37" s="71"/>
      <c r="UXE37" s="71"/>
      <c r="UXF37" s="71"/>
      <c r="UXG37" s="71"/>
      <c r="UXH37" s="71"/>
      <c r="UXI37" s="71"/>
      <c r="UXJ37" s="71"/>
      <c r="UXK37" s="71"/>
      <c r="UXL37" s="71"/>
      <c r="UXM37" s="71"/>
      <c r="UXN37" s="71"/>
      <c r="UXO37" s="71"/>
      <c r="UXP37" s="71"/>
      <c r="UXQ37" s="71"/>
      <c r="UXR37" s="71"/>
      <c r="UXS37" s="71"/>
      <c r="UXT37" s="71"/>
      <c r="UXU37" s="71"/>
      <c r="UXV37" s="71"/>
      <c r="UXW37" s="71"/>
      <c r="UXX37" s="71"/>
      <c r="UXY37" s="71"/>
      <c r="UXZ37" s="71"/>
      <c r="UYA37" s="71"/>
      <c r="UYB37" s="71"/>
      <c r="UYC37" s="71"/>
      <c r="UYD37" s="71"/>
      <c r="UYE37" s="71"/>
      <c r="UYF37" s="71"/>
      <c r="UYG37" s="71"/>
      <c r="UYH37" s="71"/>
      <c r="UYI37" s="71"/>
      <c r="UYJ37" s="71"/>
      <c r="UYK37" s="71"/>
      <c r="UYL37" s="71"/>
      <c r="UYM37" s="71"/>
      <c r="UYN37" s="71"/>
      <c r="UYO37" s="71"/>
      <c r="UYP37" s="71"/>
      <c r="UYQ37" s="71"/>
      <c r="UYR37" s="71"/>
      <c r="UYS37" s="71"/>
      <c r="UYT37" s="71"/>
      <c r="UYU37" s="71"/>
      <c r="UYV37" s="71"/>
      <c r="UYW37" s="71"/>
      <c r="UYX37" s="71"/>
      <c r="UYY37" s="71"/>
      <c r="UYZ37" s="71"/>
      <c r="UZA37" s="71"/>
      <c r="UZB37" s="71"/>
      <c r="UZC37" s="71"/>
      <c r="UZD37" s="71"/>
      <c r="UZE37" s="71"/>
      <c r="UZF37" s="71"/>
      <c r="UZG37" s="71"/>
      <c r="UZH37" s="71"/>
      <c r="UZI37" s="71"/>
      <c r="UZJ37" s="71"/>
      <c r="UZK37" s="71"/>
      <c r="UZL37" s="71"/>
      <c r="UZM37" s="71"/>
      <c r="UZN37" s="71"/>
      <c r="UZO37" s="71"/>
      <c r="UZP37" s="71"/>
      <c r="UZQ37" s="71"/>
      <c r="UZR37" s="71"/>
      <c r="UZS37" s="71"/>
      <c r="UZT37" s="71"/>
      <c r="UZU37" s="71"/>
      <c r="UZV37" s="71"/>
      <c r="UZW37" s="71"/>
      <c r="UZX37" s="71"/>
      <c r="UZY37" s="71"/>
      <c r="UZZ37" s="71"/>
      <c r="VAA37" s="71"/>
      <c r="VAB37" s="71"/>
      <c r="VAC37" s="71"/>
      <c r="VAD37" s="71"/>
      <c r="VAE37" s="71"/>
      <c r="VAF37" s="71"/>
      <c r="VAG37" s="71"/>
      <c r="VAH37" s="71"/>
      <c r="VAI37" s="71"/>
      <c r="VAJ37" s="71"/>
      <c r="VAK37" s="71"/>
      <c r="VAL37" s="71"/>
      <c r="VAM37" s="71"/>
      <c r="VAN37" s="71"/>
      <c r="VAO37" s="71"/>
      <c r="VAP37" s="71"/>
      <c r="VAQ37" s="71"/>
      <c r="VAR37" s="71"/>
      <c r="VAS37" s="71"/>
      <c r="VAT37" s="71"/>
      <c r="VAU37" s="71"/>
      <c r="VAV37" s="71"/>
      <c r="VAW37" s="71"/>
      <c r="VAX37" s="71"/>
      <c r="VAY37" s="71"/>
      <c r="VAZ37" s="71"/>
      <c r="VBA37" s="71"/>
      <c r="VBB37" s="71"/>
      <c r="VBC37" s="71"/>
      <c r="VBD37" s="71"/>
      <c r="VBE37" s="71"/>
      <c r="VBF37" s="71"/>
      <c r="VBG37" s="71"/>
      <c r="VBH37" s="71"/>
      <c r="VBI37" s="71"/>
      <c r="VBJ37" s="71"/>
      <c r="VBK37" s="71"/>
      <c r="VBL37" s="71"/>
      <c r="VBM37" s="71"/>
      <c r="VBN37" s="71"/>
      <c r="VBO37" s="71"/>
      <c r="VBP37" s="71"/>
      <c r="VBQ37" s="71"/>
      <c r="VBR37" s="71"/>
      <c r="VBS37" s="71"/>
      <c r="VBT37" s="71"/>
      <c r="VBU37" s="71"/>
      <c r="VBV37" s="71"/>
      <c r="VBW37" s="71"/>
      <c r="VBX37" s="71"/>
      <c r="VBY37" s="71"/>
      <c r="VBZ37" s="71"/>
      <c r="VCA37" s="71"/>
      <c r="VCB37" s="71"/>
      <c r="VCC37" s="71"/>
      <c r="VCD37" s="71"/>
      <c r="VCE37" s="71"/>
      <c r="VCF37" s="71"/>
      <c r="VCG37" s="71"/>
      <c r="VCH37" s="71"/>
      <c r="VCI37" s="71"/>
      <c r="VCJ37" s="71"/>
      <c r="VCK37" s="71"/>
      <c r="VCL37" s="71"/>
      <c r="VCM37" s="71"/>
      <c r="VCN37" s="71"/>
      <c r="VCO37" s="71"/>
      <c r="VCP37" s="71"/>
      <c r="VCQ37" s="71"/>
      <c r="VCR37" s="71"/>
      <c r="VCS37" s="71"/>
      <c r="VCT37" s="71"/>
      <c r="VCU37" s="71"/>
      <c r="VCV37" s="71"/>
      <c r="VCW37" s="71"/>
      <c r="VCX37" s="71"/>
      <c r="VCY37" s="71"/>
      <c r="VCZ37" s="71"/>
      <c r="VDA37" s="71"/>
      <c r="VDB37" s="71"/>
      <c r="VDC37" s="71"/>
      <c r="VDD37" s="71"/>
      <c r="VDE37" s="71"/>
      <c r="VDF37" s="71"/>
      <c r="VDG37" s="71"/>
      <c r="VDH37" s="71"/>
      <c r="VDI37" s="71"/>
      <c r="VDJ37" s="71"/>
      <c r="VDK37" s="71"/>
      <c r="VDL37" s="71"/>
      <c r="VDM37" s="71"/>
      <c r="VDN37" s="71"/>
      <c r="VDO37" s="71"/>
      <c r="VDP37" s="71"/>
      <c r="VDQ37" s="71"/>
      <c r="VDR37" s="71"/>
      <c r="VDS37" s="71"/>
      <c r="VDT37" s="71"/>
      <c r="VDU37" s="71"/>
      <c r="VDV37" s="71"/>
      <c r="VDW37" s="71"/>
      <c r="VDX37" s="71"/>
      <c r="VDY37" s="71"/>
      <c r="VDZ37" s="71"/>
      <c r="VEA37" s="71"/>
      <c r="VEB37" s="71"/>
      <c r="VEC37" s="71"/>
      <c r="VED37" s="71"/>
      <c r="VEE37" s="71"/>
      <c r="VEF37" s="71"/>
      <c r="VEG37" s="71"/>
      <c r="VEH37" s="71"/>
      <c r="VEI37" s="71"/>
      <c r="VEJ37" s="71"/>
      <c r="VEK37" s="71"/>
      <c r="VEL37" s="71"/>
      <c r="VEM37" s="71"/>
      <c r="VEN37" s="71"/>
      <c r="VEO37" s="71"/>
      <c r="VEP37" s="71"/>
      <c r="VEQ37" s="71"/>
      <c r="VER37" s="71"/>
      <c r="VES37" s="71"/>
      <c r="VET37" s="71"/>
      <c r="VEU37" s="71"/>
      <c r="VEV37" s="71"/>
      <c r="VEW37" s="71"/>
      <c r="VEX37" s="71"/>
      <c r="VEY37" s="71"/>
      <c r="VEZ37" s="71"/>
      <c r="VFA37" s="71"/>
      <c r="VFB37" s="71"/>
      <c r="VFC37" s="71"/>
      <c r="VFD37" s="71"/>
      <c r="VFE37" s="71"/>
      <c r="VFF37" s="71"/>
      <c r="VFG37" s="71"/>
      <c r="VFH37" s="71"/>
      <c r="VFI37" s="71"/>
      <c r="VFJ37" s="71"/>
      <c r="VFK37" s="71"/>
      <c r="VFL37" s="71"/>
      <c r="VFM37" s="71"/>
      <c r="VFN37" s="71"/>
      <c r="VFO37" s="71"/>
      <c r="VFP37" s="71"/>
      <c r="VFQ37" s="71"/>
      <c r="VFR37" s="71"/>
      <c r="VFS37" s="71"/>
      <c r="VFT37" s="71"/>
      <c r="VFU37" s="71"/>
      <c r="VFV37" s="71"/>
      <c r="VFW37" s="71"/>
      <c r="VFX37" s="71"/>
      <c r="VFY37" s="71"/>
      <c r="VFZ37" s="71"/>
      <c r="VGA37" s="71"/>
      <c r="VGB37" s="71"/>
      <c r="VGC37" s="71"/>
      <c r="VGD37" s="71"/>
      <c r="VGE37" s="71"/>
      <c r="VGF37" s="71"/>
      <c r="VGG37" s="71"/>
      <c r="VGH37" s="71"/>
      <c r="VGI37" s="71"/>
      <c r="VGJ37" s="71"/>
      <c r="VGK37" s="71"/>
      <c r="VGL37" s="71"/>
      <c r="VGM37" s="71"/>
    </row>
    <row r="38" spans="1:15067" x14ac:dyDescent="0.25">
      <c r="C38" s="15"/>
      <c r="D38" s="14" t="s">
        <v>75</v>
      </c>
      <c r="E38" s="241">
        <f>E39+E40</f>
        <v>21429000</v>
      </c>
      <c r="F38" s="20" t="s">
        <v>14</v>
      </c>
      <c r="G38" s="33">
        <f>G39+G40</f>
        <v>579175</v>
      </c>
      <c r="H38" s="33">
        <f>H39+H40</f>
        <v>393236</v>
      </c>
      <c r="I38" s="33">
        <f t="shared" ref="I38:U38" si="33">I39+I40</f>
        <v>860808</v>
      </c>
      <c r="J38" s="33">
        <f t="shared" si="33"/>
        <v>963967</v>
      </c>
      <c r="K38" s="33">
        <f>K39+K40</f>
        <v>620511</v>
      </c>
      <c r="L38" s="33">
        <f t="shared" si="33"/>
        <v>0</v>
      </c>
      <c r="M38" s="33">
        <f t="shared" si="33"/>
        <v>0</v>
      </c>
      <c r="N38" s="33">
        <f t="shared" si="33"/>
        <v>0</v>
      </c>
      <c r="O38" s="33">
        <f t="shared" si="33"/>
        <v>0</v>
      </c>
      <c r="P38" s="33">
        <f t="shared" si="33"/>
        <v>0</v>
      </c>
      <c r="Q38" s="33">
        <f t="shared" si="33"/>
        <v>0</v>
      </c>
      <c r="R38" s="33">
        <f t="shared" si="33"/>
        <v>0</v>
      </c>
      <c r="S38" s="33">
        <f t="shared" si="33"/>
        <v>0</v>
      </c>
      <c r="T38" s="33">
        <f t="shared" si="33"/>
        <v>0</v>
      </c>
      <c r="U38" s="33">
        <f t="shared" si="33"/>
        <v>0</v>
      </c>
      <c r="V38" s="33">
        <f t="shared" ref="V38:AL38" si="34">V39+V40</f>
        <v>0</v>
      </c>
      <c r="W38" s="33">
        <f t="shared" si="34"/>
        <v>0</v>
      </c>
      <c r="X38" s="33">
        <f t="shared" si="34"/>
        <v>0</v>
      </c>
      <c r="Y38" s="33">
        <f t="shared" si="34"/>
        <v>0</v>
      </c>
      <c r="Z38" s="33">
        <f t="shared" si="34"/>
        <v>0</v>
      </c>
      <c r="AA38" s="33">
        <f t="shared" si="34"/>
        <v>0</v>
      </c>
      <c r="AB38" s="33">
        <f t="shared" si="34"/>
        <v>0</v>
      </c>
      <c r="AC38" s="33">
        <f>AC39+AC40</f>
        <v>246399</v>
      </c>
      <c r="AD38" s="33">
        <f t="shared" si="34"/>
        <v>654697</v>
      </c>
      <c r="AE38" s="33">
        <f t="shared" si="34"/>
        <v>788694</v>
      </c>
      <c r="AF38" s="33">
        <f t="shared" si="34"/>
        <v>831508</v>
      </c>
      <c r="AG38" s="33">
        <f t="shared" si="34"/>
        <v>781493</v>
      </c>
      <c r="AH38" s="33">
        <f t="shared" si="34"/>
        <v>931022</v>
      </c>
      <c r="AI38" s="33">
        <f>AI39+AI40</f>
        <v>285399</v>
      </c>
      <c r="AJ38" s="33">
        <f t="shared" ref="AJ38" si="35">AJ39+AJ40</f>
        <v>917275</v>
      </c>
      <c r="AK38" s="33">
        <f t="shared" si="34"/>
        <v>983160</v>
      </c>
      <c r="AL38" s="33">
        <f t="shared" si="34"/>
        <v>0</v>
      </c>
      <c r="AN38" s="63">
        <f>SUM(G38:AL38)</f>
        <v>9837344</v>
      </c>
      <c r="AT38" s="323"/>
    </row>
    <row r="39" spans="1:15067" x14ac:dyDescent="0.25">
      <c r="C39" s="15"/>
      <c r="D39" s="73" t="s">
        <v>113</v>
      </c>
      <c r="E39" s="76">
        <v>15000000</v>
      </c>
      <c r="F39" s="74" t="s">
        <v>14</v>
      </c>
      <c r="G39" s="284">
        <f>'[1]01'!$P$21</f>
        <v>396390</v>
      </c>
      <c r="H39" s="284">
        <f>'[2]02'!$P$21</f>
        <v>273297</v>
      </c>
      <c r="I39" s="284">
        <f>'[2]03'!$P$21</f>
        <v>637018</v>
      </c>
      <c r="J39" s="284">
        <f>'[2]04'!$P$21</f>
        <v>714860</v>
      </c>
      <c r="K39" s="284">
        <f>'[3]05'!$P$21</f>
        <v>443511</v>
      </c>
      <c r="L39" s="284">
        <v>0</v>
      </c>
      <c r="M39" s="284">
        <v>0</v>
      </c>
      <c r="N39" s="284">
        <v>0</v>
      </c>
      <c r="O39" s="284">
        <v>0</v>
      </c>
      <c r="P39" s="284">
        <v>0</v>
      </c>
      <c r="Q39" s="284">
        <v>0</v>
      </c>
      <c r="R39" s="284">
        <v>0</v>
      </c>
      <c r="S39" s="284">
        <v>0</v>
      </c>
      <c r="T39" s="284">
        <v>0</v>
      </c>
      <c r="U39" s="284">
        <v>0</v>
      </c>
      <c r="V39" s="284">
        <v>0</v>
      </c>
      <c r="W39" s="284">
        <v>0</v>
      </c>
      <c r="X39" s="284">
        <v>0</v>
      </c>
      <c r="Y39" s="284">
        <v>0</v>
      </c>
      <c r="Z39" s="284">
        <v>0</v>
      </c>
      <c r="AA39" s="284">
        <v>0</v>
      </c>
      <c r="AB39" s="284">
        <v>0</v>
      </c>
      <c r="AC39" s="284">
        <f>'[9]23'!$P$22</f>
        <v>158029</v>
      </c>
      <c r="AD39" s="284">
        <f>'[9]24'!$P$22</f>
        <v>449001</v>
      </c>
      <c r="AE39" s="284">
        <f>'[9]25'!$P$22</f>
        <v>547847</v>
      </c>
      <c r="AF39" s="284">
        <v>598477</v>
      </c>
      <c r="AG39" s="284">
        <f>'[10]27'!$P$22</f>
        <v>558944</v>
      </c>
      <c r="AH39" s="284">
        <f>'[11]28'!$P$22</f>
        <v>644632</v>
      </c>
      <c r="AI39" s="284">
        <f>'[12]29'!$P$22</f>
        <v>193043</v>
      </c>
      <c r="AJ39" s="284">
        <f>'[13]30'!$P$22</f>
        <v>670371</v>
      </c>
      <c r="AK39" s="284">
        <f>'[5]31 Stok Opname'!$P$22</f>
        <v>706516</v>
      </c>
      <c r="AL39" s="284"/>
      <c r="AN39" s="66">
        <f>SUM(G39:AL39)</f>
        <v>6991936</v>
      </c>
      <c r="AO39" s="3"/>
      <c r="AP39" s="3"/>
      <c r="AQ39" s="3"/>
      <c r="AS39" s="3"/>
    </row>
    <row r="40" spans="1:15067" x14ac:dyDescent="0.25">
      <c r="C40" s="15"/>
      <c r="D40" s="73" t="s">
        <v>73</v>
      </c>
      <c r="E40" s="76">
        <v>6429000</v>
      </c>
      <c r="F40" s="74" t="s">
        <v>14</v>
      </c>
      <c r="G40" s="284">
        <f>'[1]01'!$P$30-G27</f>
        <v>182785</v>
      </c>
      <c r="H40" s="284">
        <f>'[2]02'!$P$30-H27</f>
        <v>119939</v>
      </c>
      <c r="I40" s="284">
        <f>'[2]03'!$P$30</f>
        <v>223790</v>
      </c>
      <c r="J40" s="284">
        <f>'[2]04'!$P$30</f>
        <v>249107</v>
      </c>
      <c r="K40" s="284">
        <f>'[9]05'!$P$30-K27</f>
        <v>177000</v>
      </c>
      <c r="L40" s="284">
        <v>0</v>
      </c>
      <c r="M40" s="284">
        <v>0</v>
      </c>
      <c r="N40" s="284">
        <v>0</v>
      </c>
      <c r="O40" s="284">
        <v>0</v>
      </c>
      <c r="P40" s="284">
        <v>0</v>
      </c>
      <c r="Q40" s="284">
        <v>0</v>
      </c>
      <c r="R40" s="284">
        <v>0</v>
      </c>
      <c r="S40" s="284">
        <v>0</v>
      </c>
      <c r="T40" s="284">
        <v>0</v>
      </c>
      <c r="U40" s="284">
        <v>0</v>
      </c>
      <c r="V40" s="284">
        <v>0</v>
      </c>
      <c r="W40" s="284">
        <v>0</v>
      </c>
      <c r="X40" s="284">
        <v>0</v>
      </c>
      <c r="Y40" s="284">
        <v>0</v>
      </c>
      <c r="Z40" s="284">
        <v>0</v>
      </c>
      <c r="AA40" s="284">
        <v>0</v>
      </c>
      <c r="AB40" s="284">
        <v>0</v>
      </c>
      <c r="AC40" s="284">
        <f>'[9]23'!$P$30-AC27</f>
        <v>88370</v>
      </c>
      <c r="AD40" s="284">
        <f>'[9]24'!$P$30</f>
        <v>205696</v>
      </c>
      <c r="AE40" s="284">
        <f>'[9]25'!$P$30</f>
        <v>240847</v>
      </c>
      <c r="AF40" s="284">
        <v>233031</v>
      </c>
      <c r="AG40" s="284">
        <f>'[10]27'!$P$28</f>
        <v>222549</v>
      </c>
      <c r="AH40" s="284">
        <f>'[11]28'!$P$30</f>
        <v>286390</v>
      </c>
      <c r="AI40" s="284">
        <f>'[12]29'!$P$30-AI46</f>
        <v>92356</v>
      </c>
      <c r="AJ40" s="284">
        <f>'[13]30'!$P$28</f>
        <v>246904</v>
      </c>
      <c r="AK40" s="284">
        <f>'[5]31 Stok Opname'!$P$30</f>
        <v>276644</v>
      </c>
      <c r="AL40" s="284"/>
      <c r="AN40" s="66">
        <f>SUM(G40:AL40)</f>
        <v>2845408</v>
      </c>
      <c r="AO40" s="3"/>
      <c r="AP40" s="3"/>
    </row>
    <row r="41" spans="1:15067" x14ac:dyDescent="0.25">
      <c r="C41" s="15"/>
      <c r="D41" s="242" t="s">
        <v>72</v>
      </c>
      <c r="E41" s="245"/>
      <c r="F41" s="244"/>
      <c r="G41" s="103"/>
      <c r="H41" s="103"/>
      <c r="I41" s="103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N41" s="75" t="s">
        <v>61</v>
      </c>
      <c r="AO41" s="3"/>
      <c r="AP41" s="3"/>
    </row>
    <row r="42" spans="1:15067" s="82" customFormat="1" x14ac:dyDescent="0.2">
      <c r="A42" s="16"/>
      <c r="B42" s="16"/>
      <c r="C42" s="17"/>
      <c r="D42" s="11" t="s">
        <v>71</v>
      </c>
      <c r="E42" s="268"/>
      <c r="F42" s="12" t="s">
        <v>14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16"/>
      <c r="AN42" s="63">
        <f t="shared" ref="AN42:AN47" si="36">SUM(G42:AL42)</f>
        <v>0</v>
      </c>
      <c r="AO42" s="154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49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54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6"/>
      <c r="AIK42" s="16"/>
      <c r="AIL42" s="16"/>
      <c r="AIM42" s="16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6"/>
      <c r="AJQ42" s="16"/>
      <c r="AJR42" s="16"/>
      <c r="AJS42" s="16"/>
      <c r="AJT42" s="16"/>
      <c r="AJU42" s="16"/>
      <c r="AJV42" s="16"/>
      <c r="AJW42" s="16"/>
      <c r="AJX42" s="16"/>
      <c r="AJY42" s="16"/>
      <c r="AJZ42" s="16"/>
      <c r="AKA42" s="16"/>
      <c r="AKB42" s="16"/>
      <c r="AKC42" s="16"/>
      <c r="AKD42" s="16"/>
      <c r="AKE42" s="16"/>
      <c r="AKF42" s="16"/>
      <c r="AKG42" s="16"/>
      <c r="AKH42" s="16"/>
      <c r="AKI42" s="16"/>
      <c r="AKJ42" s="16"/>
      <c r="AKK42" s="16"/>
      <c r="AKL42" s="16"/>
      <c r="AKM42" s="16"/>
      <c r="AKN42" s="16"/>
      <c r="AKO42" s="16"/>
      <c r="AKP42" s="16"/>
      <c r="AKQ42" s="16"/>
      <c r="AKR42" s="16"/>
      <c r="AKS42" s="16"/>
      <c r="AKT42" s="16"/>
      <c r="AKU42" s="16"/>
      <c r="AKV42" s="16"/>
      <c r="AKW42" s="16"/>
      <c r="AKX42" s="16"/>
      <c r="AKY42" s="16"/>
      <c r="AKZ42" s="16"/>
      <c r="ALA42" s="16"/>
      <c r="ALB42" s="16"/>
      <c r="ALC42" s="16"/>
      <c r="ALD42" s="16"/>
      <c r="ALE42" s="16"/>
      <c r="ALF42" s="16"/>
      <c r="ALG42" s="16"/>
      <c r="ALH42" s="16"/>
      <c r="ALI42" s="16"/>
      <c r="ALJ42" s="16"/>
      <c r="ALK42" s="16"/>
      <c r="ALL42" s="16"/>
      <c r="ALM42" s="16"/>
      <c r="ALN42" s="16"/>
      <c r="ALO42" s="16"/>
      <c r="ALP42" s="16"/>
      <c r="ALQ42" s="16"/>
      <c r="ALR42" s="16"/>
      <c r="ALS42" s="16"/>
      <c r="ALT42" s="16"/>
      <c r="ALU42" s="16"/>
      <c r="ALV42" s="16"/>
      <c r="ALW42" s="16"/>
      <c r="ALX42" s="16"/>
      <c r="ALY42" s="16"/>
      <c r="ALZ42" s="16"/>
      <c r="AMA42" s="16"/>
      <c r="AMB42" s="16"/>
      <c r="AMC42" s="16"/>
      <c r="AMD42" s="16"/>
      <c r="AME42" s="16"/>
      <c r="AMF42" s="16"/>
      <c r="AMG42" s="16"/>
      <c r="AMH42" s="16"/>
      <c r="AMI42" s="16"/>
      <c r="AMJ42" s="16"/>
      <c r="AMK42" s="16"/>
      <c r="AML42" s="16"/>
      <c r="AMM42" s="16"/>
      <c r="AMN42" s="16"/>
      <c r="AMO42" s="16"/>
      <c r="AMP42" s="16"/>
      <c r="AMQ42" s="16"/>
      <c r="AMR42" s="16"/>
      <c r="AMS42" s="16"/>
      <c r="AMT42" s="16"/>
      <c r="AMU42" s="16"/>
      <c r="AMV42" s="16"/>
      <c r="AMW42" s="16"/>
      <c r="AMX42" s="16"/>
      <c r="AMY42" s="16"/>
      <c r="AMZ42" s="16"/>
      <c r="ANA42" s="16"/>
      <c r="ANB42" s="16"/>
      <c r="ANC42" s="16"/>
      <c r="AND42" s="16"/>
      <c r="ANE42" s="16"/>
      <c r="ANF42" s="16"/>
      <c r="ANG42" s="16"/>
      <c r="ANH42" s="16"/>
      <c r="ANI42" s="16"/>
      <c r="ANJ42" s="16"/>
      <c r="ANK42" s="16"/>
      <c r="ANL42" s="16"/>
      <c r="ANM42" s="16"/>
      <c r="ANN42" s="16"/>
      <c r="ANO42" s="16"/>
      <c r="ANP42" s="16"/>
      <c r="ANQ42" s="16"/>
      <c r="ANR42" s="16"/>
      <c r="ANS42" s="16"/>
      <c r="ANT42" s="16"/>
      <c r="ANU42" s="16"/>
      <c r="ANV42" s="16"/>
      <c r="ANW42" s="16"/>
      <c r="ANX42" s="16"/>
      <c r="ANY42" s="16"/>
      <c r="ANZ42" s="16"/>
      <c r="AOA42" s="16"/>
      <c r="AOB42" s="16"/>
      <c r="AOC42" s="16"/>
      <c r="AOD42" s="16"/>
      <c r="AOE42" s="16"/>
      <c r="AOF42" s="16"/>
      <c r="AOG42" s="16"/>
      <c r="AOH42" s="16"/>
      <c r="AOI42" s="16"/>
      <c r="AOJ42" s="16"/>
      <c r="AOK42" s="16"/>
      <c r="AOL42" s="16"/>
      <c r="AOM42" s="16"/>
      <c r="AON42" s="16"/>
      <c r="AOO42" s="16"/>
      <c r="AOP42" s="16"/>
      <c r="AOQ42" s="16"/>
      <c r="AOR42" s="16"/>
      <c r="AOS42" s="16"/>
      <c r="AOT42" s="16"/>
      <c r="AOU42" s="16"/>
      <c r="AOV42" s="16"/>
      <c r="AOW42" s="16"/>
      <c r="AOX42" s="16"/>
      <c r="AOY42" s="16"/>
      <c r="AOZ42" s="16"/>
      <c r="APA42" s="16"/>
      <c r="APB42" s="16"/>
      <c r="APC42" s="16"/>
      <c r="APD42" s="16"/>
      <c r="APE42" s="16"/>
      <c r="APF42" s="16"/>
      <c r="APG42" s="16"/>
      <c r="APH42" s="16"/>
      <c r="API42" s="16"/>
      <c r="APJ42" s="16"/>
      <c r="APK42" s="16"/>
      <c r="APL42" s="16"/>
      <c r="APM42" s="16"/>
      <c r="APN42" s="16"/>
      <c r="APO42" s="16"/>
      <c r="APP42" s="16"/>
      <c r="APQ42" s="16"/>
      <c r="APR42" s="16"/>
      <c r="APS42" s="16"/>
      <c r="APT42" s="16"/>
      <c r="APU42" s="16"/>
      <c r="APV42" s="16"/>
      <c r="APW42" s="16"/>
      <c r="APX42" s="16"/>
      <c r="APY42" s="16"/>
      <c r="APZ42" s="16"/>
      <c r="AQA42" s="16"/>
      <c r="AQB42" s="16"/>
      <c r="AQC42" s="16"/>
      <c r="AQD42" s="16"/>
      <c r="AQE42" s="16"/>
      <c r="AQF42" s="16"/>
      <c r="AQG42" s="16"/>
      <c r="AQH42" s="16"/>
      <c r="AQI42" s="16"/>
      <c r="AQJ42" s="16"/>
      <c r="AQK42" s="16"/>
      <c r="AQL42" s="16"/>
      <c r="AQM42" s="16"/>
      <c r="AQN42" s="16"/>
      <c r="AQO42" s="16"/>
      <c r="AQP42" s="16"/>
      <c r="AQQ42" s="16"/>
      <c r="AQR42" s="16"/>
      <c r="AQS42" s="16"/>
      <c r="AQT42" s="16"/>
      <c r="AQU42" s="16"/>
      <c r="AQV42" s="16"/>
      <c r="AQW42" s="16"/>
      <c r="AQX42" s="16"/>
      <c r="AQY42" s="16"/>
      <c r="AQZ42" s="16"/>
      <c r="ARA42" s="16"/>
      <c r="ARB42" s="16"/>
      <c r="ARC42" s="16"/>
      <c r="ARD42" s="16"/>
      <c r="ARE42" s="16"/>
      <c r="ARF42" s="16"/>
      <c r="ARG42" s="16"/>
      <c r="ARH42" s="16"/>
      <c r="ARI42" s="16"/>
      <c r="ARJ42" s="16"/>
      <c r="ARK42" s="16"/>
      <c r="ARL42" s="16"/>
      <c r="ARM42" s="16"/>
      <c r="ARN42" s="16"/>
      <c r="ARO42" s="16"/>
      <c r="ARP42" s="16"/>
      <c r="ARQ42" s="16"/>
      <c r="ARR42" s="16"/>
      <c r="ARS42" s="16"/>
      <c r="ART42" s="16"/>
      <c r="ARU42" s="16"/>
      <c r="ARV42" s="16"/>
      <c r="ARW42" s="16"/>
      <c r="ARX42" s="16"/>
      <c r="ARY42" s="16"/>
      <c r="ARZ42" s="16"/>
      <c r="ASA42" s="16"/>
      <c r="ASB42" s="16"/>
      <c r="ASC42" s="16"/>
      <c r="ASD42" s="16"/>
      <c r="ASE42" s="16"/>
      <c r="ASF42" s="16"/>
      <c r="ASG42" s="16"/>
      <c r="ASH42" s="16"/>
      <c r="ASI42" s="16"/>
      <c r="ASJ42" s="16"/>
      <c r="ASK42" s="16"/>
      <c r="ASL42" s="16"/>
      <c r="ASM42" s="16"/>
      <c r="ASN42" s="16"/>
      <c r="ASO42" s="16"/>
      <c r="ASP42" s="16"/>
      <c r="ASQ42" s="16"/>
      <c r="ASR42" s="16"/>
      <c r="ASS42" s="16"/>
      <c r="AST42" s="16"/>
      <c r="ASU42" s="16"/>
      <c r="ASV42" s="16"/>
      <c r="ASW42" s="16"/>
      <c r="ASX42" s="16"/>
      <c r="ASY42" s="16"/>
      <c r="ASZ42" s="16"/>
      <c r="ATA42" s="16"/>
      <c r="ATB42" s="16"/>
      <c r="ATC42" s="16"/>
      <c r="ATD42" s="16"/>
      <c r="ATE42" s="16"/>
      <c r="ATF42" s="16"/>
      <c r="ATG42" s="16"/>
      <c r="ATH42" s="16"/>
      <c r="ATI42" s="16"/>
      <c r="ATJ42" s="16"/>
      <c r="ATK42" s="16"/>
      <c r="ATL42" s="16"/>
      <c r="ATM42" s="16"/>
      <c r="ATN42" s="16"/>
      <c r="ATO42" s="16"/>
      <c r="ATP42" s="16"/>
      <c r="ATQ42" s="16"/>
      <c r="ATR42" s="16"/>
      <c r="ATS42" s="16"/>
      <c r="ATT42" s="16"/>
      <c r="ATU42" s="16"/>
      <c r="ATV42" s="16"/>
      <c r="ATW42" s="16"/>
      <c r="ATX42" s="16"/>
      <c r="ATY42" s="16"/>
      <c r="ATZ42" s="16"/>
      <c r="AUA42" s="16"/>
      <c r="AUB42" s="16"/>
      <c r="AUC42" s="16"/>
      <c r="AUD42" s="16"/>
      <c r="AUE42" s="16"/>
      <c r="AUF42" s="16"/>
      <c r="AUG42" s="16"/>
      <c r="AUH42" s="16"/>
      <c r="AUI42" s="16"/>
      <c r="AUJ42" s="16"/>
      <c r="AUK42" s="16"/>
      <c r="AUL42" s="16"/>
      <c r="AUM42" s="16"/>
      <c r="AUN42" s="16"/>
      <c r="AUO42" s="16"/>
      <c r="AUP42" s="16"/>
      <c r="AUQ42" s="16"/>
      <c r="AUR42" s="16"/>
      <c r="AUS42" s="16"/>
      <c r="AUT42" s="16"/>
      <c r="AUU42" s="16"/>
      <c r="AUV42" s="16"/>
      <c r="AUW42" s="16"/>
      <c r="AUX42" s="16"/>
      <c r="AUY42" s="16"/>
      <c r="AUZ42" s="16"/>
      <c r="AVA42" s="16"/>
      <c r="AVB42" s="16"/>
      <c r="AVC42" s="16"/>
      <c r="AVD42" s="16"/>
      <c r="AVE42" s="16"/>
      <c r="AVF42" s="16"/>
      <c r="AVG42" s="16"/>
      <c r="AVH42" s="16"/>
      <c r="AVI42" s="16"/>
      <c r="AVJ42" s="16"/>
      <c r="AVK42" s="16"/>
      <c r="AVL42" s="16"/>
      <c r="AVM42" s="16"/>
      <c r="AVN42" s="16"/>
      <c r="AVO42" s="16"/>
      <c r="AVP42" s="16"/>
      <c r="AVQ42" s="16"/>
      <c r="AVR42" s="16"/>
      <c r="AVS42" s="16"/>
      <c r="AVT42" s="16"/>
      <c r="AVU42" s="16"/>
      <c r="AVV42" s="16"/>
      <c r="AVW42" s="16"/>
      <c r="AVX42" s="16"/>
      <c r="AVY42" s="16"/>
      <c r="AVZ42" s="16"/>
      <c r="AWA42" s="16"/>
      <c r="AWB42" s="16"/>
      <c r="AWC42" s="16"/>
      <c r="AWD42" s="16"/>
      <c r="AWE42" s="16"/>
      <c r="AWF42" s="16"/>
      <c r="AWG42" s="16"/>
      <c r="AWH42" s="16"/>
      <c r="AWI42" s="16"/>
      <c r="AWJ42" s="16"/>
      <c r="AWK42" s="16"/>
      <c r="AWL42" s="16"/>
      <c r="AWM42" s="16"/>
      <c r="AWN42" s="16"/>
      <c r="AWO42" s="16"/>
      <c r="AWP42" s="16"/>
      <c r="AWQ42" s="16"/>
      <c r="AWR42" s="16"/>
      <c r="AWS42" s="16"/>
      <c r="AWT42" s="16"/>
      <c r="AWU42" s="16"/>
      <c r="AWV42" s="16"/>
      <c r="AWW42" s="16"/>
      <c r="AWX42" s="16"/>
      <c r="AWY42" s="16"/>
      <c r="AWZ42" s="16"/>
      <c r="AXA42" s="16"/>
      <c r="AXB42" s="16"/>
      <c r="AXC42" s="16"/>
      <c r="AXD42" s="16"/>
      <c r="AXE42" s="16"/>
      <c r="AXF42" s="16"/>
      <c r="AXG42" s="16"/>
      <c r="AXH42" s="16"/>
      <c r="AXI42" s="16"/>
      <c r="AXJ42" s="16"/>
      <c r="AXK42" s="16"/>
      <c r="AXL42" s="16"/>
      <c r="AXM42" s="16"/>
      <c r="AXN42" s="16"/>
      <c r="AXO42" s="16"/>
      <c r="AXP42" s="16"/>
      <c r="AXQ42" s="16"/>
      <c r="AXR42" s="16"/>
      <c r="AXS42" s="16"/>
      <c r="AXT42" s="16"/>
      <c r="AXU42" s="16"/>
      <c r="AXV42" s="16"/>
      <c r="AXW42" s="16"/>
      <c r="AXX42" s="16"/>
      <c r="AXY42" s="16"/>
      <c r="AXZ42" s="16"/>
      <c r="AYA42" s="16"/>
      <c r="AYB42" s="16"/>
      <c r="AYC42" s="16"/>
      <c r="AYD42" s="16"/>
      <c r="AYE42" s="16"/>
      <c r="AYF42" s="16"/>
      <c r="AYG42" s="16"/>
      <c r="AYH42" s="16"/>
      <c r="AYI42" s="16"/>
      <c r="AYJ42" s="16"/>
      <c r="AYK42" s="16"/>
      <c r="AYL42" s="16"/>
      <c r="AYM42" s="16"/>
      <c r="AYN42" s="16"/>
      <c r="AYO42" s="16"/>
      <c r="AYP42" s="16"/>
      <c r="AYQ42" s="16"/>
      <c r="AYR42" s="16"/>
      <c r="AYS42" s="16"/>
      <c r="AYT42" s="16"/>
      <c r="AYU42" s="16"/>
      <c r="AYV42" s="16"/>
      <c r="AYW42" s="16"/>
      <c r="AYX42" s="16"/>
      <c r="AYY42" s="16"/>
      <c r="AYZ42" s="16"/>
      <c r="AZA42" s="16"/>
      <c r="AZB42" s="16"/>
      <c r="AZC42" s="16"/>
      <c r="AZD42" s="16"/>
      <c r="AZE42" s="16"/>
      <c r="AZF42" s="16"/>
      <c r="AZG42" s="16"/>
      <c r="AZH42" s="16"/>
      <c r="AZI42" s="16"/>
      <c r="AZJ42" s="16"/>
      <c r="AZK42" s="16"/>
      <c r="AZL42" s="16"/>
      <c r="AZM42" s="16"/>
      <c r="AZN42" s="16"/>
      <c r="AZO42" s="16"/>
      <c r="AZP42" s="16"/>
      <c r="AZQ42" s="16"/>
      <c r="AZR42" s="16"/>
      <c r="AZS42" s="16"/>
      <c r="AZT42" s="16"/>
      <c r="AZU42" s="16"/>
      <c r="AZV42" s="16"/>
      <c r="AZW42" s="16"/>
      <c r="AZX42" s="16"/>
      <c r="AZY42" s="16"/>
      <c r="AZZ42" s="16"/>
      <c r="BAA42" s="16"/>
      <c r="BAB42" s="16"/>
      <c r="BAC42" s="16"/>
      <c r="BAD42" s="16"/>
      <c r="BAE42" s="16"/>
      <c r="BAF42" s="16"/>
      <c r="BAG42" s="16"/>
      <c r="BAH42" s="16"/>
      <c r="BAI42" s="16"/>
      <c r="BAJ42" s="16"/>
      <c r="BAK42" s="16"/>
      <c r="BAL42" s="16"/>
      <c r="BAM42" s="16"/>
      <c r="BAN42" s="16"/>
      <c r="BAO42" s="16"/>
      <c r="BAP42" s="16"/>
      <c r="BAQ42" s="16"/>
      <c r="BAR42" s="16"/>
      <c r="BAS42" s="16"/>
      <c r="BAT42" s="16"/>
      <c r="BAU42" s="16"/>
      <c r="BAV42" s="16"/>
      <c r="BAW42" s="16"/>
      <c r="BAX42" s="16"/>
      <c r="BAY42" s="16"/>
      <c r="BAZ42" s="16"/>
      <c r="BBA42" s="16"/>
      <c r="BBB42" s="16"/>
      <c r="BBC42" s="16"/>
      <c r="BBD42" s="16"/>
      <c r="BBE42" s="16"/>
      <c r="BBF42" s="16"/>
      <c r="BBG42" s="16"/>
      <c r="BBH42" s="16"/>
      <c r="BBI42" s="16"/>
      <c r="BBJ42" s="16"/>
      <c r="BBK42" s="16"/>
      <c r="BBL42" s="16"/>
      <c r="BBM42" s="16"/>
      <c r="BBN42" s="16"/>
      <c r="BBO42" s="16"/>
      <c r="BBP42" s="16"/>
      <c r="BBQ42" s="16"/>
      <c r="BBR42" s="16"/>
      <c r="BBS42" s="16"/>
      <c r="BBT42" s="16"/>
      <c r="BBU42" s="16"/>
      <c r="BBV42" s="16"/>
      <c r="BBW42" s="16"/>
      <c r="BBX42" s="16"/>
      <c r="BBY42" s="16"/>
      <c r="BBZ42" s="16"/>
      <c r="BCA42" s="16"/>
      <c r="BCB42" s="16"/>
      <c r="BCC42" s="16"/>
      <c r="BCD42" s="16"/>
      <c r="BCE42" s="16"/>
      <c r="BCF42" s="16"/>
      <c r="BCG42" s="16"/>
      <c r="BCH42" s="16"/>
      <c r="BCI42" s="16"/>
      <c r="BCJ42" s="16"/>
      <c r="BCK42" s="16"/>
      <c r="BCL42" s="16"/>
      <c r="BCM42" s="16"/>
      <c r="BCN42" s="16"/>
      <c r="BCO42" s="16"/>
      <c r="BCP42" s="16"/>
      <c r="BCQ42" s="16"/>
      <c r="BCR42" s="16"/>
      <c r="BCS42" s="16"/>
      <c r="BCT42" s="16"/>
      <c r="BCU42" s="16"/>
      <c r="BCV42" s="16"/>
      <c r="BCW42" s="16"/>
      <c r="BCX42" s="16"/>
      <c r="BCY42" s="16"/>
      <c r="BCZ42" s="16"/>
      <c r="BDA42" s="16"/>
      <c r="BDB42" s="16"/>
      <c r="BDC42" s="16"/>
      <c r="BDD42" s="16"/>
      <c r="BDE42" s="16"/>
      <c r="BDF42" s="16"/>
      <c r="BDG42" s="16"/>
      <c r="BDH42" s="16"/>
      <c r="BDI42" s="16"/>
      <c r="BDJ42" s="16"/>
      <c r="BDK42" s="16"/>
      <c r="BDL42" s="16"/>
      <c r="BDM42" s="16"/>
      <c r="BDN42" s="16"/>
      <c r="BDO42" s="16"/>
      <c r="BDP42" s="16"/>
      <c r="BDQ42" s="16"/>
      <c r="BDR42" s="16"/>
      <c r="BDS42" s="16"/>
      <c r="BDT42" s="16"/>
      <c r="BDU42" s="16"/>
      <c r="BDV42" s="16"/>
      <c r="BDW42" s="16"/>
      <c r="BDX42" s="16"/>
      <c r="BDY42" s="16"/>
      <c r="BDZ42" s="16"/>
      <c r="BEA42" s="16"/>
      <c r="BEB42" s="16"/>
      <c r="BEC42" s="16"/>
      <c r="BED42" s="16"/>
      <c r="BEE42" s="16"/>
      <c r="BEF42" s="16"/>
      <c r="BEG42" s="16"/>
      <c r="BEH42" s="16"/>
      <c r="BEI42" s="16"/>
      <c r="BEJ42" s="16"/>
      <c r="BEK42" s="16"/>
      <c r="BEL42" s="16"/>
      <c r="BEM42" s="16"/>
      <c r="BEN42" s="16"/>
      <c r="BEO42" s="16"/>
      <c r="BEP42" s="16"/>
      <c r="BEQ42" s="16"/>
      <c r="BER42" s="16"/>
      <c r="BES42" s="16"/>
      <c r="BET42" s="16"/>
      <c r="BEU42" s="16"/>
      <c r="BEV42" s="16"/>
      <c r="BEW42" s="16"/>
      <c r="BEX42" s="16"/>
      <c r="BEY42" s="16"/>
      <c r="BEZ42" s="16"/>
      <c r="BFA42" s="16"/>
      <c r="BFB42" s="16"/>
      <c r="BFC42" s="16"/>
      <c r="BFD42" s="16"/>
      <c r="BFE42" s="16"/>
      <c r="BFF42" s="16"/>
      <c r="BFG42" s="16"/>
      <c r="BFH42" s="16"/>
      <c r="BFI42" s="16"/>
      <c r="BFJ42" s="16"/>
      <c r="BFK42" s="16"/>
      <c r="BFL42" s="16"/>
      <c r="BFM42" s="16"/>
      <c r="BFN42" s="16"/>
      <c r="BFO42" s="16"/>
      <c r="BFP42" s="16"/>
      <c r="BFQ42" s="16"/>
      <c r="BFR42" s="16"/>
      <c r="BFS42" s="16"/>
      <c r="BFT42" s="16"/>
      <c r="BFU42" s="16"/>
      <c r="BFV42" s="16"/>
      <c r="BFW42" s="16"/>
      <c r="BFX42" s="16"/>
      <c r="BFY42" s="16"/>
      <c r="BFZ42" s="16"/>
      <c r="BGA42" s="16"/>
      <c r="BGB42" s="16"/>
      <c r="BGC42" s="16"/>
      <c r="BGD42" s="16"/>
      <c r="BGE42" s="16"/>
      <c r="BGF42" s="16"/>
      <c r="BGG42" s="16"/>
      <c r="BGH42" s="16"/>
      <c r="BGI42" s="16"/>
      <c r="BGJ42" s="16"/>
      <c r="BGK42" s="16"/>
      <c r="BGL42" s="16"/>
      <c r="BGM42" s="16"/>
      <c r="BGN42" s="16"/>
      <c r="BGO42" s="16"/>
      <c r="BGP42" s="16"/>
      <c r="BGQ42" s="16"/>
      <c r="BGR42" s="16"/>
      <c r="BGS42" s="16"/>
      <c r="BGT42" s="16"/>
      <c r="BGU42" s="16"/>
      <c r="BGV42" s="16"/>
      <c r="BGW42" s="16"/>
      <c r="BGX42" s="16"/>
      <c r="BGY42" s="16"/>
      <c r="BGZ42" s="16"/>
      <c r="BHA42" s="16"/>
      <c r="BHB42" s="16"/>
      <c r="BHC42" s="16"/>
      <c r="BHD42" s="16"/>
      <c r="BHE42" s="16"/>
      <c r="BHF42" s="16"/>
      <c r="BHG42" s="16"/>
      <c r="BHH42" s="16"/>
      <c r="BHI42" s="16"/>
      <c r="BHJ42" s="16"/>
      <c r="BHK42" s="16"/>
      <c r="BHL42" s="16"/>
      <c r="BHM42" s="16"/>
      <c r="BHN42" s="16"/>
      <c r="BHO42" s="16"/>
      <c r="BHP42" s="16"/>
      <c r="BHQ42" s="16"/>
      <c r="BHR42" s="16"/>
      <c r="BHS42" s="16"/>
      <c r="BHT42" s="16"/>
      <c r="BHU42" s="16"/>
      <c r="BHV42" s="16"/>
      <c r="BHW42" s="16"/>
      <c r="BHX42" s="16"/>
      <c r="BHY42" s="16"/>
      <c r="BHZ42" s="16"/>
      <c r="BIA42" s="16"/>
      <c r="BIB42" s="16"/>
      <c r="BIC42" s="16"/>
      <c r="BID42" s="16"/>
      <c r="BIE42" s="16"/>
      <c r="BIF42" s="16"/>
      <c r="BIG42" s="16"/>
      <c r="BIH42" s="16"/>
      <c r="BII42" s="16"/>
      <c r="BIJ42" s="16"/>
      <c r="BIK42" s="16"/>
      <c r="BIL42" s="16"/>
      <c r="BIM42" s="16"/>
      <c r="BIN42" s="16"/>
      <c r="BIO42" s="16"/>
      <c r="BIP42" s="16"/>
      <c r="BIQ42" s="16"/>
      <c r="BIR42" s="16"/>
      <c r="BIS42" s="16"/>
      <c r="BIT42" s="16"/>
      <c r="BIU42" s="16"/>
      <c r="BIV42" s="16"/>
      <c r="BIW42" s="16"/>
      <c r="BIX42" s="16"/>
      <c r="BIY42" s="16"/>
      <c r="BIZ42" s="16"/>
      <c r="BJA42" s="16"/>
      <c r="BJB42" s="16"/>
      <c r="BJC42" s="16"/>
      <c r="BJD42" s="16"/>
      <c r="BJE42" s="16"/>
      <c r="BJF42" s="16"/>
      <c r="BJG42" s="16"/>
      <c r="BJH42" s="16"/>
      <c r="BJI42" s="16"/>
      <c r="BJJ42" s="16"/>
      <c r="BJK42" s="16"/>
      <c r="BJL42" s="16"/>
      <c r="BJM42" s="16"/>
      <c r="BJN42" s="16"/>
      <c r="BJO42" s="16"/>
      <c r="BJP42" s="16"/>
      <c r="BJQ42" s="16"/>
      <c r="BJR42" s="16"/>
      <c r="BJS42" s="16"/>
      <c r="BJT42" s="16"/>
      <c r="BJU42" s="16"/>
      <c r="BJV42" s="16"/>
      <c r="BJW42" s="16"/>
      <c r="BJX42" s="16"/>
      <c r="BJY42" s="16"/>
      <c r="BJZ42" s="16"/>
      <c r="BKA42" s="16"/>
      <c r="BKB42" s="16"/>
      <c r="BKC42" s="16"/>
      <c r="BKD42" s="16"/>
      <c r="BKE42" s="16"/>
      <c r="BKF42" s="16"/>
      <c r="BKG42" s="16"/>
      <c r="BKH42" s="16"/>
      <c r="BKI42" s="16"/>
      <c r="BKJ42" s="16"/>
      <c r="BKK42" s="16"/>
      <c r="BKL42" s="16"/>
      <c r="BKM42" s="16"/>
      <c r="BKN42" s="16"/>
      <c r="BKO42" s="16"/>
      <c r="BKP42" s="16"/>
      <c r="BKQ42" s="16"/>
      <c r="BKR42" s="16"/>
      <c r="BKS42" s="16"/>
      <c r="BKT42" s="16"/>
      <c r="BKU42" s="16"/>
      <c r="BKV42" s="16"/>
      <c r="BKW42" s="16"/>
      <c r="BKX42" s="16"/>
      <c r="BKY42" s="16"/>
      <c r="BKZ42" s="16"/>
      <c r="BLA42" s="16"/>
      <c r="BLB42" s="16"/>
      <c r="BLC42" s="16"/>
      <c r="BLD42" s="16"/>
      <c r="BLE42" s="16"/>
      <c r="BLF42" s="16"/>
      <c r="BLG42" s="16"/>
      <c r="BLH42" s="16"/>
      <c r="BLI42" s="16"/>
      <c r="BLJ42" s="16"/>
      <c r="BLK42" s="16"/>
      <c r="BLL42" s="16"/>
      <c r="BLM42" s="16"/>
      <c r="BLN42" s="16"/>
      <c r="BLO42" s="16"/>
      <c r="BLP42" s="16"/>
      <c r="BLQ42" s="16"/>
      <c r="BLR42" s="16"/>
      <c r="BLS42" s="16"/>
      <c r="BLT42" s="16"/>
      <c r="BLU42" s="16"/>
      <c r="BLV42" s="16"/>
      <c r="BLW42" s="16"/>
      <c r="BLX42" s="16"/>
      <c r="BLY42" s="16"/>
      <c r="BLZ42" s="16"/>
      <c r="BMA42" s="16"/>
      <c r="BMB42" s="16"/>
      <c r="BMC42" s="16"/>
      <c r="BMD42" s="16"/>
      <c r="BME42" s="16"/>
      <c r="BMF42" s="16"/>
      <c r="BMG42" s="16"/>
      <c r="BMH42" s="16"/>
      <c r="BMI42" s="16"/>
      <c r="BMJ42" s="16"/>
      <c r="BMK42" s="16"/>
      <c r="BML42" s="16"/>
      <c r="BMM42" s="16"/>
      <c r="BMN42" s="16"/>
      <c r="BMO42" s="16"/>
      <c r="BMP42" s="16"/>
      <c r="BMQ42" s="16"/>
      <c r="BMR42" s="16"/>
      <c r="BMS42" s="16"/>
      <c r="BMT42" s="16"/>
      <c r="BMU42" s="16"/>
      <c r="BMV42" s="16"/>
      <c r="BMW42" s="16"/>
      <c r="BMX42" s="16"/>
      <c r="BMY42" s="16"/>
      <c r="BMZ42" s="16"/>
      <c r="BNA42" s="16"/>
      <c r="BNB42" s="16"/>
      <c r="BNC42" s="16"/>
      <c r="BND42" s="16"/>
      <c r="BNE42" s="16"/>
      <c r="BNF42" s="16"/>
      <c r="BNG42" s="16"/>
      <c r="BNH42" s="16"/>
      <c r="BNI42" s="16"/>
      <c r="BNJ42" s="16"/>
      <c r="BNK42" s="16"/>
      <c r="BNL42" s="16"/>
      <c r="BNM42" s="16"/>
      <c r="BNN42" s="16"/>
      <c r="BNO42" s="16"/>
      <c r="BNP42" s="16"/>
      <c r="BNQ42" s="16"/>
      <c r="BNR42" s="16"/>
      <c r="BNS42" s="16"/>
      <c r="BNT42" s="16"/>
      <c r="BNU42" s="16"/>
      <c r="BNV42" s="16"/>
      <c r="BNW42" s="16"/>
      <c r="BNX42" s="16"/>
      <c r="BNY42" s="16"/>
      <c r="BNZ42" s="16"/>
      <c r="BOA42" s="16"/>
      <c r="BOB42" s="16"/>
      <c r="BOC42" s="16"/>
      <c r="BOD42" s="16"/>
      <c r="BOE42" s="16"/>
      <c r="BOF42" s="16"/>
      <c r="BOG42" s="16"/>
      <c r="BOH42" s="16"/>
      <c r="BOI42" s="16"/>
      <c r="BOJ42" s="16"/>
      <c r="BOK42" s="16"/>
      <c r="BOL42" s="16"/>
      <c r="BOM42" s="16"/>
      <c r="BON42" s="16"/>
      <c r="BOO42" s="16"/>
      <c r="BOP42" s="16"/>
      <c r="BOQ42" s="16"/>
      <c r="BOR42" s="16"/>
      <c r="BOS42" s="16"/>
      <c r="BOT42" s="16"/>
      <c r="BOU42" s="16"/>
      <c r="BOV42" s="16"/>
      <c r="BOW42" s="16"/>
      <c r="BOX42" s="16"/>
      <c r="BOY42" s="16"/>
      <c r="BOZ42" s="16"/>
      <c r="BPA42" s="16"/>
      <c r="BPB42" s="16"/>
      <c r="BPC42" s="16"/>
      <c r="BPD42" s="16"/>
      <c r="BPE42" s="16"/>
      <c r="BPF42" s="16"/>
      <c r="BPG42" s="16"/>
      <c r="BPH42" s="16"/>
      <c r="BPI42" s="16"/>
      <c r="BPJ42" s="16"/>
      <c r="BPK42" s="16"/>
      <c r="BPL42" s="16"/>
      <c r="BPM42" s="16"/>
      <c r="BPN42" s="16"/>
      <c r="BPO42" s="16"/>
      <c r="BPP42" s="16"/>
      <c r="BPQ42" s="16"/>
      <c r="BPR42" s="16"/>
      <c r="BPS42" s="16"/>
      <c r="BPT42" s="16"/>
      <c r="BPU42" s="16"/>
      <c r="BPV42" s="16"/>
      <c r="BPW42" s="16"/>
      <c r="BPX42" s="16"/>
      <c r="BPY42" s="16"/>
      <c r="BPZ42" s="16"/>
      <c r="BQA42" s="16"/>
      <c r="BQB42" s="16"/>
      <c r="BQC42" s="16"/>
      <c r="BQD42" s="16"/>
      <c r="BQE42" s="16"/>
      <c r="BQF42" s="16"/>
      <c r="BQG42" s="16"/>
      <c r="BQH42" s="16"/>
      <c r="BQI42" s="16"/>
      <c r="BQJ42" s="16"/>
      <c r="BQK42" s="16"/>
      <c r="BQL42" s="16"/>
      <c r="BQM42" s="16"/>
      <c r="BQN42" s="16"/>
      <c r="BQO42" s="16"/>
      <c r="BQP42" s="16"/>
      <c r="BQQ42" s="16"/>
      <c r="BQR42" s="16"/>
      <c r="BQS42" s="16"/>
      <c r="BQT42" s="16"/>
      <c r="BQU42" s="16"/>
      <c r="BQV42" s="16"/>
      <c r="BQW42" s="16"/>
      <c r="BQX42" s="16"/>
      <c r="BQY42" s="16"/>
      <c r="BQZ42" s="16"/>
      <c r="BRA42" s="16"/>
      <c r="BRB42" s="16"/>
      <c r="BRC42" s="16"/>
      <c r="BRD42" s="16"/>
      <c r="BRE42" s="16"/>
      <c r="BRF42" s="16"/>
      <c r="BRG42" s="16"/>
      <c r="BRH42" s="16"/>
      <c r="BRI42" s="16"/>
      <c r="BRJ42" s="16"/>
      <c r="BRK42" s="16"/>
      <c r="BRL42" s="16"/>
      <c r="BRM42" s="16"/>
      <c r="BRN42" s="16"/>
      <c r="BRO42" s="16"/>
      <c r="BRP42" s="16"/>
      <c r="BRQ42" s="16"/>
      <c r="BRR42" s="16"/>
      <c r="BRS42" s="16"/>
      <c r="BRT42" s="16"/>
      <c r="BRU42" s="16"/>
      <c r="BRV42" s="16"/>
      <c r="BRW42" s="16"/>
      <c r="BRX42" s="16"/>
      <c r="BRY42" s="16"/>
      <c r="BRZ42" s="16"/>
      <c r="BSA42" s="16"/>
      <c r="BSB42" s="16"/>
      <c r="BSC42" s="16"/>
      <c r="BSD42" s="16"/>
      <c r="BSE42" s="16"/>
      <c r="BSF42" s="16"/>
      <c r="BSG42" s="16"/>
      <c r="BSH42" s="16"/>
      <c r="BSI42" s="16"/>
      <c r="BSJ42" s="16"/>
      <c r="BSK42" s="16"/>
      <c r="BSL42" s="16"/>
      <c r="BSM42" s="16"/>
      <c r="BSN42" s="16"/>
      <c r="BSO42" s="16"/>
      <c r="BSP42" s="16"/>
      <c r="BSQ42" s="16"/>
      <c r="BSR42" s="16"/>
      <c r="BSS42" s="16"/>
      <c r="BST42" s="16"/>
      <c r="BSU42" s="16"/>
      <c r="BSV42" s="16"/>
      <c r="BSW42" s="16"/>
      <c r="BSX42" s="16"/>
      <c r="BSY42" s="16"/>
      <c r="BSZ42" s="16"/>
      <c r="BTA42" s="16"/>
      <c r="BTB42" s="16"/>
      <c r="BTC42" s="16"/>
      <c r="BTD42" s="16"/>
      <c r="BTE42" s="16"/>
      <c r="BTF42" s="16"/>
      <c r="BTG42" s="16"/>
      <c r="BTH42" s="16"/>
      <c r="BTI42" s="16"/>
      <c r="BTJ42" s="16"/>
      <c r="BTK42" s="16"/>
      <c r="BTL42" s="16"/>
      <c r="BTM42" s="16"/>
      <c r="BTN42" s="16"/>
      <c r="BTO42" s="16"/>
      <c r="BTP42" s="16"/>
      <c r="BTQ42" s="16"/>
      <c r="BTR42" s="16"/>
      <c r="BTS42" s="16"/>
      <c r="BTT42" s="16"/>
      <c r="BTU42" s="16"/>
      <c r="BTV42" s="16"/>
      <c r="BTW42" s="16"/>
      <c r="BTX42" s="16"/>
      <c r="BTY42" s="16"/>
      <c r="BTZ42" s="16"/>
      <c r="BUA42" s="16"/>
      <c r="BUB42" s="16"/>
      <c r="BUC42" s="16"/>
      <c r="BUD42" s="16"/>
      <c r="BUE42" s="16"/>
      <c r="BUF42" s="16"/>
      <c r="BUG42" s="16"/>
      <c r="BUH42" s="16"/>
      <c r="BUI42" s="16"/>
      <c r="BUJ42" s="16"/>
      <c r="BUK42" s="16"/>
      <c r="BUL42" s="16"/>
      <c r="BUM42" s="16"/>
      <c r="BUN42" s="16"/>
      <c r="BUO42" s="16"/>
      <c r="BUP42" s="16"/>
      <c r="BUQ42" s="16"/>
      <c r="BUR42" s="16"/>
      <c r="BUS42" s="16"/>
      <c r="BUT42" s="16"/>
      <c r="BUU42" s="16"/>
      <c r="BUV42" s="16"/>
      <c r="BUW42" s="16"/>
      <c r="BUX42" s="16"/>
      <c r="BUY42" s="16"/>
      <c r="BUZ42" s="16"/>
      <c r="BVA42" s="16"/>
      <c r="BVB42" s="16"/>
      <c r="BVC42" s="16"/>
      <c r="BVD42" s="16"/>
      <c r="BVE42" s="16"/>
      <c r="BVF42" s="16"/>
      <c r="BVG42" s="16"/>
      <c r="BVH42" s="16"/>
      <c r="BVI42" s="16"/>
      <c r="BVJ42" s="16"/>
      <c r="BVK42" s="16"/>
      <c r="BVL42" s="16"/>
      <c r="BVM42" s="16"/>
      <c r="BVN42" s="16"/>
      <c r="BVO42" s="16"/>
      <c r="BVP42" s="16"/>
      <c r="BVQ42" s="16"/>
      <c r="BVR42" s="16"/>
      <c r="BVS42" s="16"/>
      <c r="BVT42" s="16"/>
      <c r="BVU42" s="16"/>
      <c r="BVV42" s="16"/>
      <c r="BVW42" s="16"/>
      <c r="BVX42" s="16"/>
      <c r="BVY42" s="16"/>
      <c r="BVZ42" s="16"/>
      <c r="BWA42" s="16"/>
      <c r="BWB42" s="16"/>
      <c r="BWC42" s="16"/>
      <c r="BWD42" s="16"/>
      <c r="BWE42" s="16"/>
      <c r="BWF42" s="16"/>
      <c r="BWG42" s="16"/>
      <c r="BWH42" s="16"/>
      <c r="BWI42" s="16"/>
      <c r="BWJ42" s="16"/>
      <c r="BWK42" s="16"/>
      <c r="BWL42" s="16"/>
      <c r="BWM42" s="16"/>
      <c r="BWN42" s="16"/>
      <c r="BWO42" s="16"/>
      <c r="BWP42" s="16"/>
      <c r="BWQ42" s="16"/>
      <c r="BWR42" s="16"/>
      <c r="BWS42" s="16"/>
      <c r="BWT42" s="16"/>
      <c r="BWU42" s="16"/>
      <c r="BWV42" s="16"/>
      <c r="BWW42" s="16"/>
      <c r="BWX42" s="16"/>
      <c r="BWY42" s="16"/>
      <c r="BWZ42" s="16"/>
      <c r="BXA42" s="16"/>
      <c r="BXB42" s="16"/>
      <c r="BXC42" s="16"/>
      <c r="BXD42" s="16"/>
      <c r="BXE42" s="16"/>
      <c r="BXF42" s="16"/>
      <c r="BXG42" s="16"/>
      <c r="BXH42" s="16"/>
      <c r="BXI42" s="16"/>
      <c r="BXJ42" s="16"/>
      <c r="BXK42" s="16"/>
      <c r="BXL42" s="16"/>
      <c r="BXM42" s="16"/>
      <c r="BXN42" s="16"/>
      <c r="BXO42" s="16"/>
      <c r="BXP42" s="16"/>
      <c r="BXQ42" s="16"/>
      <c r="BXR42" s="16"/>
      <c r="BXS42" s="16"/>
      <c r="BXT42" s="16"/>
      <c r="BXU42" s="16"/>
      <c r="BXV42" s="16"/>
      <c r="BXW42" s="16"/>
      <c r="BXX42" s="16"/>
      <c r="BXY42" s="16"/>
      <c r="BXZ42" s="16"/>
      <c r="BYA42" s="16"/>
      <c r="BYB42" s="16"/>
      <c r="BYC42" s="16"/>
      <c r="BYD42" s="16"/>
      <c r="BYE42" s="16"/>
      <c r="BYF42" s="16"/>
      <c r="BYG42" s="16"/>
      <c r="BYH42" s="16"/>
      <c r="BYI42" s="16"/>
      <c r="BYJ42" s="16"/>
      <c r="BYK42" s="16"/>
      <c r="BYL42" s="16"/>
      <c r="BYM42" s="16"/>
      <c r="BYN42" s="16"/>
      <c r="BYO42" s="16"/>
      <c r="BYP42" s="16"/>
      <c r="BYQ42" s="16"/>
      <c r="BYR42" s="16"/>
      <c r="BYS42" s="16"/>
      <c r="BYT42" s="16"/>
      <c r="BYU42" s="16"/>
      <c r="BYV42" s="16"/>
      <c r="BYW42" s="16"/>
      <c r="BYX42" s="16"/>
      <c r="BYY42" s="16"/>
      <c r="BYZ42" s="16"/>
      <c r="BZA42" s="16"/>
      <c r="BZB42" s="16"/>
      <c r="BZC42" s="16"/>
      <c r="BZD42" s="16"/>
      <c r="BZE42" s="16"/>
      <c r="BZF42" s="16"/>
      <c r="BZG42" s="16"/>
      <c r="BZH42" s="16"/>
      <c r="BZI42" s="16"/>
      <c r="BZJ42" s="16"/>
      <c r="BZK42" s="16"/>
      <c r="BZL42" s="16"/>
      <c r="BZM42" s="16"/>
      <c r="BZN42" s="16"/>
      <c r="BZO42" s="16"/>
      <c r="BZP42" s="16"/>
      <c r="BZQ42" s="16"/>
      <c r="BZR42" s="16"/>
      <c r="BZS42" s="16"/>
      <c r="BZT42" s="16"/>
      <c r="BZU42" s="16"/>
      <c r="BZV42" s="16"/>
      <c r="BZW42" s="16"/>
      <c r="BZX42" s="16"/>
      <c r="BZY42" s="16"/>
      <c r="BZZ42" s="16"/>
      <c r="CAA42" s="16"/>
      <c r="CAB42" s="16"/>
      <c r="CAC42" s="16"/>
      <c r="CAD42" s="16"/>
      <c r="CAE42" s="16"/>
      <c r="CAF42" s="16"/>
      <c r="CAG42" s="16"/>
      <c r="CAH42" s="16"/>
      <c r="CAI42" s="16"/>
      <c r="CAJ42" s="16"/>
      <c r="CAK42" s="16"/>
      <c r="CAL42" s="16"/>
      <c r="CAM42" s="16"/>
      <c r="CAN42" s="16"/>
      <c r="CAO42" s="16"/>
      <c r="CAP42" s="16"/>
      <c r="CAQ42" s="16"/>
      <c r="CAR42" s="16"/>
      <c r="CAS42" s="16"/>
      <c r="CAT42" s="16"/>
      <c r="CAU42" s="16"/>
      <c r="CAV42" s="16"/>
      <c r="CAW42" s="16"/>
      <c r="CAX42" s="16"/>
      <c r="CAY42" s="16"/>
      <c r="CAZ42" s="16"/>
      <c r="CBA42" s="16"/>
      <c r="CBB42" s="16"/>
      <c r="CBC42" s="16"/>
      <c r="CBD42" s="16"/>
      <c r="CBE42" s="16"/>
      <c r="CBF42" s="16"/>
      <c r="CBG42" s="16"/>
      <c r="CBH42" s="16"/>
      <c r="CBI42" s="16"/>
      <c r="CBJ42" s="16"/>
      <c r="CBK42" s="16"/>
      <c r="CBL42" s="16"/>
      <c r="CBM42" s="16"/>
      <c r="CBN42" s="16"/>
      <c r="CBO42" s="16"/>
      <c r="CBP42" s="16"/>
      <c r="CBQ42" s="16"/>
      <c r="CBR42" s="16"/>
      <c r="CBS42" s="16"/>
      <c r="CBT42" s="16"/>
      <c r="CBU42" s="16"/>
      <c r="CBV42" s="16"/>
      <c r="CBW42" s="16"/>
      <c r="CBX42" s="16"/>
      <c r="CBY42" s="16"/>
      <c r="CBZ42" s="16"/>
      <c r="CCA42" s="16"/>
      <c r="CCB42" s="16"/>
      <c r="CCC42" s="16"/>
      <c r="CCD42" s="16"/>
      <c r="CCE42" s="16"/>
      <c r="CCF42" s="16"/>
      <c r="CCG42" s="16"/>
      <c r="CCH42" s="16"/>
      <c r="CCI42" s="16"/>
      <c r="CCJ42" s="16"/>
      <c r="CCK42" s="16"/>
      <c r="CCL42" s="16"/>
      <c r="CCM42" s="16"/>
      <c r="CCN42" s="16"/>
      <c r="CCO42" s="16"/>
      <c r="CCP42" s="16"/>
      <c r="CCQ42" s="16"/>
      <c r="CCR42" s="16"/>
      <c r="CCS42" s="16"/>
      <c r="CCT42" s="16"/>
      <c r="CCU42" s="16"/>
      <c r="CCV42" s="16"/>
      <c r="CCW42" s="16"/>
      <c r="CCX42" s="16"/>
      <c r="CCY42" s="16"/>
      <c r="CCZ42" s="16"/>
      <c r="CDA42" s="16"/>
      <c r="CDB42" s="16"/>
      <c r="CDC42" s="16"/>
      <c r="CDD42" s="16"/>
      <c r="CDE42" s="16"/>
      <c r="CDF42" s="16"/>
      <c r="CDG42" s="16"/>
      <c r="CDH42" s="16"/>
      <c r="CDI42" s="16"/>
      <c r="CDJ42" s="16"/>
      <c r="CDK42" s="16"/>
      <c r="CDL42" s="16"/>
      <c r="CDM42" s="16"/>
      <c r="CDN42" s="16"/>
      <c r="CDO42" s="16"/>
      <c r="CDP42" s="16"/>
      <c r="CDQ42" s="16"/>
      <c r="CDR42" s="16"/>
      <c r="CDS42" s="16"/>
      <c r="CDT42" s="16"/>
      <c r="CDU42" s="16"/>
      <c r="CDV42" s="16"/>
      <c r="CDW42" s="16"/>
      <c r="CDX42" s="16"/>
      <c r="CDY42" s="16"/>
      <c r="CDZ42" s="16"/>
      <c r="CEA42" s="16"/>
      <c r="CEB42" s="16"/>
      <c r="CEC42" s="16"/>
      <c r="CED42" s="16"/>
      <c r="CEE42" s="16"/>
      <c r="CEF42" s="16"/>
      <c r="CEG42" s="16"/>
      <c r="CEH42" s="16"/>
      <c r="CEI42" s="16"/>
      <c r="CEJ42" s="16"/>
      <c r="CEK42" s="16"/>
      <c r="CEL42" s="16"/>
      <c r="CEM42" s="16"/>
      <c r="CEN42" s="16"/>
      <c r="CEO42" s="16"/>
      <c r="CEP42" s="16"/>
      <c r="CEQ42" s="16"/>
      <c r="CER42" s="16"/>
      <c r="CES42" s="16"/>
      <c r="CET42" s="16"/>
      <c r="CEU42" s="16"/>
      <c r="CEV42" s="16"/>
      <c r="CEW42" s="16"/>
      <c r="CEX42" s="16"/>
      <c r="CEY42" s="16"/>
      <c r="CEZ42" s="16"/>
      <c r="CFA42" s="16"/>
      <c r="CFB42" s="16"/>
      <c r="CFC42" s="16"/>
      <c r="CFD42" s="16"/>
      <c r="CFE42" s="16"/>
      <c r="CFF42" s="16"/>
      <c r="CFG42" s="16"/>
      <c r="CFH42" s="16"/>
      <c r="CFI42" s="16"/>
      <c r="CFJ42" s="16"/>
      <c r="CFK42" s="16"/>
      <c r="CFL42" s="16"/>
      <c r="CFM42" s="16"/>
      <c r="CFN42" s="16"/>
      <c r="CFO42" s="16"/>
      <c r="CFP42" s="16"/>
      <c r="CFQ42" s="16"/>
      <c r="CFR42" s="16"/>
      <c r="CFS42" s="16"/>
      <c r="CFT42" s="16"/>
      <c r="CFU42" s="16"/>
      <c r="CFV42" s="16"/>
      <c r="CFW42" s="16"/>
      <c r="CFX42" s="16"/>
      <c r="CFY42" s="16"/>
      <c r="CFZ42" s="16"/>
      <c r="CGA42" s="16"/>
      <c r="CGB42" s="16"/>
      <c r="CGC42" s="16"/>
      <c r="CGD42" s="16"/>
      <c r="CGE42" s="16"/>
      <c r="CGF42" s="16"/>
      <c r="CGG42" s="16"/>
      <c r="CGH42" s="16"/>
      <c r="CGI42" s="16"/>
      <c r="CGJ42" s="16"/>
      <c r="CGK42" s="16"/>
      <c r="CGL42" s="16"/>
      <c r="CGM42" s="16"/>
      <c r="CGN42" s="16"/>
      <c r="CGO42" s="16"/>
      <c r="CGP42" s="16"/>
      <c r="CGQ42" s="16"/>
      <c r="CGR42" s="16"/>
      <c r="CGS42" s="16"/>
      <c r="CGT42" s="16"/>
      <c r="CGU42" s="16"/>
      <c r="CGV42" s="16"/>
      <c r="CGW42" s="16"/>
      <c r="CGX42" s="16"/>
      <c r="CGY42" s="16"/>
      <c r="CGZ42" s="16"/>
      <c r="CHA42" s="16"/>
      <c r="CHB42" s="16"/>
      <c r="CHC42" s="16"/>
      <c r="CHD42" s="16"/>
      <c r="CHE42" s="16"/>
      <c r="CHF42" s="16"/>
      <c r="CHG42" s="16"/>
      <c r="CHH42" s="16"/>
      <c r="CHI42" s="16"/>
      <c r="CHJ42" s="16"/>
      <c r="CHK42" s="16"/>
      <c r="CHL42" s="16"/>
      <c r="CHM42" s="16"/>
      <c r="CHN42" s="16"/>
      <c r="CHO42" s="16"/>
      <c r="CHP42" s="16"/>
      <c r="CHQ42" s="16"/>
      <c r="CHR42" s="16"/>
      <c r="CHS42" s="16"/>
      <c r="CHT42" s="16"/>
      <c r="CHU42" s="16"/>
      <c r="CHV42" s="16"/>
      <c r="CHW42" s="16"/>
      <c r="CHX42" s="16"/>
      <c r="CHY42" s="16"/>
      <c r="CHZ42" s="16"/>
      <c r="CIA42" s="16"/>
      <c r="CIB42" s="16"/>
      <c r="CIC42" s="16"/>
      <c r="CID42" s="16"/>
      <c r="CIE42" s="16"/>
      <c r="CIF42" s="16"/>
      <c r="CIG42" s="16"/>
      <c r="CIH42" s="16"/>
      <c r="CII42" s="16"/>
      <c r="CIJ42" s="16"/>
      <c r="CIK42" s="16"/>
      <c r="CIL42" s="16"/>
      <c r="CIM42" s="16"/>
      <c r="CIN42" s="16"/>
      <c r="CIO42" s="16"/>
      <c r="CIP42" s="16"/>
      <c r="CIQ42" s="16"/>
      <c r="CIR42" s="16"/>
      <c r="CIS42" s="16"/>
      <c r="CIT42" s="16"/>
      <c r="CIU42" s="16"/>
      <c r="CIV42" s="16"/>
      <c r="CIW42" s="16"/>
      <c r="CIX42" s="16"/>
      <c r="CIY42" s="16"/>
      <c r="CIZ42" s="16"/>
      <c r="CJA42" s="16"/>
      <c r="CJB42" s="16"/>
      <c r="CJC42" s="16"/>
      <c r="CJD42" s="16"/>
      <c r="CJE42" s="16"/>
      <c r="CJF42" s="16"/>
      <c r="CJG42" s="16"/>
      <c r="CJH42" s="16"/>
      <c r="CJI42" s="16"/>
      <c r="CJJ42" s="16"/>
      <c r="CJK42" s="16"/>
      <c r="CJL42" s="16"/>
      <c r="CJM42" s="16"/>
      <c r="CJN42" s="16"/>
      <c r="CJO42" s="16"/>
      <c r="CJP42" s="16"/>
      <c r="CJQ42" s="16"/>
      <c r="CJR42" s="16"/>
      <c r="CJS42" s="16"/>
      <c r="CJT42" s="16"/>
      <c r="CJU42" s="16"/>
      <c r="CJV42" s="16"/>
      <c r="CJW42" s="16"/>
      <c r="CJX42" s="16"/>
      <c r="CJY42" s="16"/>
      <c r="CJZ42" s="16"/>
      <c r="CKA42" s="16"/>
      <c r="CKB42" s="16"/>
      <c r="CKC42" s="16"/>
      <c r="CKD42" s="16"/>
      <c r="CKE42" s="16"/>
      <c r="CKF42" s="16"/>
      <c r="CKG42" s="16"/>
      <c r="CKH42" s="16"/>
      <c r="CKI42" s="16"/>
      <c r="CKJ42" s="16"/>
      <c r="CKK42" s="16"/>
      <c r="CKL42" s="16"/>
      <c r="CKM42" s="16"/>
      <c r="CKN42" s="16"/>
      <c r="CKO42" s="16"/>
      <c r="CKP42" s="16"/>
      <c r="CKQ42" s="16"/>
      <c r="CKR42" s="16"/>
      <c r="CKS42" s="16"/>
      <c r="CKT42" s="16"/>
      <c r="CKU42" s="16"/>
      <c r="CKV42" s="16"/>
      <c r="CKW42" s="16"/>
      <c r="CKX42" s="16"/>
      <c r="CKY42" s="16"/>
      <c r="CKZ42" s="16"/>
      <c r="CLA42" s="16"/>
      <c r="CLB42" s="16"/>
      <c r="CLC42" s="16"/>
      <c r="CLD42" s="16"/>
      <c r="CLE42" s="16"/>
      <c r="CLF42" s="16"/>
      <c r="CLG42" s="16"/>
      <c r="CLH42" s="16"/>
      <c r="CLI42" s="16"/>
      <c r="CLJ42" s="16"/>
      <c r="CLK42" s="16"/>
      <c r="CLL42" s="16"/>
      <c r="CLM42" s="16"/>
      <c r="CLN42" s="16"/>
      <c r="CLO42" s="16"/>
      <c r="CLP42" s="16"/>
      <c r="CLQ42" s="16"/>
      <c r="CLR42" s="16"/>
      <c r="CLS42" s="16"/>
      <c r="CLT42" s="16"/>
      <c r="CLU42" s="16"/>
      <c r="CLV42" s="16"/>
      <c r="CLW42" s="16"/>
      <c r="CLX42" s="16"/>
      <c r="CLY42" s="16"/>
      <c r="CLZ42" s="16"/>
      <c r="CMA42" s="16"/>
      <c r="CMB42" s="16"/>
      <c r="CMC42" s="16"/>
      <c r="CMD42" s="16"/>
      <c r="CME42" s="16"/>
      <c r="CMF42" s="16"/>
      <c r="CMG42" s="16"/>
      <c r="CMH42" s="16"/>
      <c r="CMI42" s="16"/>
      <c r="CMJ42" s="16"/>
      <c r="CMK42" s="16"/>
      <c r="CML42" s="16"/>
      <c r="CMM42" s="16"/>
      <c r="CMN42" s="16"/>
      <c r="CMO42" s="16"/>
      <c r="CMP42" s="16"/>
      <c r="CMQ42" s="16"/>
      <c r="CMR42" s="16"/>
      <c r="CMS42" s="16"/>
      <c r="CMT42" s="16"/>
      <c r="CMU42" s="16"/>
      <c r="CMV42" s="16"/>
      <c r="CMW42" s="16"/>
      <c r="CMX42" s="16"/>
      <c r="CMY42" s="16"/>
      <c r="CMZ42" s="16"/>
      <c r="CNA42" s="16"/>
      <c r="CNB42" s="16"/>
      <c r="CNC42" s="16"/>
      <c r="CND42" s="16"/>
      <c r="CNE42" s="16"/>
      <c r="CNF42" s="16"/>
      <c r="CNG42" s="16"/>
      <c r="CNH42" s="16"/>
      <c r="CNI42" s="16"/>
      <c r="CNJ42" s="16"/>
      <c r="CNK42" s="16"/>
      <c r="CNL42" s="16"/>
      <c r="CNM42" s="16"/>
      <c r="CNN42" s="16"/>
      <c r="CNO42" s="16"/>
      <c r="CNP42" s="16"/>
      <c r="CNQ42" s="16"/>
      <c r="CNR42" s="16"/>
      <c r="CNS42" s="16"/>
      <c r="CNT42" s="16"/>
      <c r="CNU42" s="16"/>
      <c r="CNV42" s="16"/>
      <c r="CNW42" s="16"/>
      <c r="CNX42" s="16"/>
      <c r="CNY42" s="16"/>
      <c r="CNZ42" s="16"/>
      <c r="COA42" s="16"/>
      <c r="COB42" s="16"/>
      <c r="COC42" s="16"/>
      <c r="COD42" s="16"/>
      <c r="COE42" s="16"/>
      <c r="COF42" s="16"/>
      <c r="COG42" s="16"/>
      <c r="COH42" s="16"/>
      <c r="COI42" s="16"/>
      <c r="COJ42" s="16"/>
      <c r="COK42" s="16"/>
      <c r="COL42" s="16"/>
      <c r="COM42" s="16"/>
      <c r="CON42" s="16"/>
      <c r="COO42" s="16"/>
      <c r="COP42" s="16"/>
      <c r="COQ42" s="16"/>
      <c r="COR42" s="16"/>
      <c r="COS42" s="16"/>
      <c r="COT42" s="16"/>
      <c r="COU42" s="16"/>
      <c r="COV42" s="16"/>
      <c r="COW42" s="16"/>
      <c r="COX42" s="16"/>
      <c r="COY42" s="16"/>
      <c r="COZ42" s="16"/>
      <c r="CPA42" s="16"/>
      <c r="CPB42" s="16"/>
      <c r="CPC42" s="16"/>
      <c r="CPD42" s="16"/>
      <c r="CPE42" s="16"/>
      <c r="CPF42" s="16"/>
      <c r="CPG42" s="16"/>
      <c r="CPH42" s="16"/>
      <c r="CPI42" s="16"/>
      <c r="CPJ42" s="16"/>
      <c r="CPK42" s="16"/>
      <c r="CPL42" s="16"/>
      <c r="CPM42" s="16"/>
      <c r="CPN42" s="16"/>
      <c r="CPO42" s="16"/>
      <c r="CPP42" s="16"/>
      <c r="CPQ42" s="16"/>
      <c r="CPR42" s="16"/>
      <c r="CPS42" s="16"/>
      <c r="CPT42" s="16"/>
      <c r="CPU42" s="16"/>
      <c r="CPV42" s="16"/>
      <c r="CPW42" s="16"/>
      <c r="CPX42" s="16"/>
      <c r="CPY42" s="16"/>
      <c r="CPZ42" s="16"/>
      <c r="CQA42" s="16"/>
      <c r="CQB42" s="16"/>
      <c r="CQC42" s="16"/>
      <c r="CQD42" s="16"/>
      <c r="CQE42" s="16"/>
      <c r="CQF42" s="16"/>
      <c r="CQG42" s="16"/>
      <c r="CQH42" s="16"/>
      <c r="CQI42" s="16"/>
      <c r="CQJ42" s="16"/>
      <c r="CQK42" s="16"/>
      <c r="CQL42" s="16"/>
      <c r="CQM42" s="16"/>
      <c r="CQN42" s="16"/>
      <c r="CQO42" s="16"/>
      <c r="CQP42" s="16"/>
      <c r="CQQ42" s="16"/>
      <c r="CQR42" s="16"/>
      <c r="CQS42" s="16"/>
      <c r="CQT42" s="16"/>
      <c r="CQU42" s="16"/>
      <c r="CQV42" s="16"/>
      <c r="CQW42" s="16"/>
      <c r="CQX42" s="16"/>
      <c r="CQY42" s="16"/>
      <c r="CQZ42" s="16"/>
      <c r="CRA42" s="16"/>
      <c r="CRB42" s="16"/>
      <c r="CRC42" s="16"/>
      <c r="CRD42" s="16"/>
      <c r="CRE42" s="16"/>
      <c r="CRF42" s="16"/>
      <c r="CRG42" s="16"/>
      <c r="CRH42" s="16"/>
      <c r="CRI42" s="16"/>
      <c r="CRJ42" s="16"/>
      <c r="CRK42" s="16"/>
      <c r="CRL42" s="16"/>
      <c r="CRM42" s="16"/>
      <c r="CRN42" s="16"/>
      <c r="CRO42" s="16"/>
      <c r="CRP42" s="16"/>
      <c r="CRQ42" s="16"/>
      <c r="CRR42" s="16"/>
      <c r="CRS42" s="16"/>
      <c r="CRT42" s="16"/>
      <c r="CRU42" s="16"/>
      <c r="CRV42" s="16"/>
      <c r="CRW42" s="16"/>
      <c r="CRX42" s="16"/>
      <c r="CRY42" s="16"/>
      <c r="CRZ42" s="16"/>
      <c r="CSA42" s="16"/>
      <c r="CSB42" s="16"/>
      <c r="CSC42" s="16"/>
      <c r="CSD42" s="16"/>
      <c r="CSE42" s="16"/>
      <c r="CSF42" s="16"/>
      <c r="CSG42" s="16"/>
      <c r="CSH42" s="16"/>
      <c r="CSI42" s="16"/>
      <c r="CSJ42" s="16"/>
      <c r="CSK42" s="16"/>
      <c r="CSL42" s="16"/>
      <c r="CSM42" s="16"/>
      <c r="CSN42" s="16"/>
      <c r="CSO42" s="16"/>
      <c r="CSP42" s="16"/>
      <c r="CSQ42" s="16"/>
      <c r="CSR42" s="16"/>
      <c r="CSS42" s="16"/>
      <c r="CST42" s="16"/>
      <c r="CSU42" s="16"/>
      <c r="CSV42" s="16"/>
      <c r="CSW42" s="16"/>
      <c r="CSX42" s="16"/>
      <c r="CSY42" s="16"/>
      <c r="CSZ42" s="16"/>
      <c r="CTA42" s="16"/>
      <c r="CTB42" s="16"/>
      <c r="CTC42" s="16"/>
      <c r="CTD42" s="16"/>
      <c r="CTE42" s="16"/>
      <c r="CTF42" s="16"/>
      <c r="CTG42" s="16"/>
      <c r="CTH42" s="16"/>
      <c r="CTI42" s="16"/>
      <c r="CTJ42" s="16"/>
      <c r="CTK42" s="16"/>
      <c r="CTL42" s="16"/>
      <c r="CTM42" s="16"/>
      <c r="CTN42" s="16"/>
      <c r="CTO42" s="16"/>
      <c r="CTP42" s="16"/>
      <c r="CTQ42" s="16"/>
      <c r="CTR42" s="16"/>
      <c r="CTS42" s="16"/>
      <c r="CTT42" s="16"/>
      <c r="CTU42" s="16"/>
      <c r="CTV42" s="16"/>
      <c r="CTW42" s="16"/>
      <c r="CTX42" s="16"/>
      <c r="CTY42" s="16"/>
      <c r="CTZ42" s="16"/>
      <c r="CUA42" s="16"/>
      <c r="CUB42" s="16"/>
      <c r="CUC42" s="16"/>
      <c r="CUD42" s="16"/>
      <c r="CUE42" s="16"/>
      <c r="CUF42" s="16"/>
      <c r="CUG42" s="16"/>
      <c r="CUH42" s="16"/>
      <c r="CUI42" s="16"/>
      <c r="CUJ42" s="16"/>
      <c r="CUK42" s="16"/>
      <c r="CUL42" s="16"/>
      <c r="CUM42" s="16"/>
      <c r="CUN42" s="16"/>
      <c r="CUO42" s="16"/>
      <c r="CUP42" s="16"/>
      <c r="CUQ42" s="16"/>
      <c r="CUR42" s="16"/>
      <c r="CUS42" s="16"/>
      <c r="CUT42" s="16"/>
      <c r="CUU42" s="16"/>
      <c r="CUV42" s="16"/>
      <c r="CUW42" s="16"/>
      <c r="CUX42" s="16"/>
      <c r="CUY42" s="16"/>
      <c r="CUZ42" s="16"/>
      <c r="CVA42" s="16"/>
      <c r="CVB42" s="16"/>
      <c r="CVC42" s="16"/>
      <c r="CVD42" s="16"/>
      <c r="CVE42" s="16"/>
      <c r="CVF42" s="16"/>
      <c r="CVG42" s="16"/>
      <c r="CVH42" s="16"/>
      <c r="CVI42" s="16"/>
      <c r="CVJ42" s="16"/>
      <c r="CVK42" s="16"/>
      <c r="CVL42" s="16"/>
      <c r="CVM42" s="16"/>
      <c r="CVN42" s="16"/>
      <c r="CVO42" s="16"/>
      <c r="CVP42" s="16"/>
      <c r="CVQ42" s="16"/>
      <c r="CVR42" s="16"/>
      <c r="CVS42" s="16"/>
      <c r="CVT42" s="16"/>
      <c r="CVU42" s="16"/>
      <c r="CVV42" s="16"/>
      <c r="CVW42" s="16"/>
      <c r="CVX42" s="16"/>
      <c r="CVY42" s="16"/>
      <c r="CVZ42" s="16"/>
      <c r="CWA42" s="16"/>
      <c r="CWB42" s="16"/>
      <c r="CWC42" s="16"/>
      <c r="CWD42" s="16"/>
      <c r="CWE42" s="16"/>
      <c r="CWF42" s="16"/>
      <c r="CWG42" s="16"/>
      <c r="CWH42" s="16"/>
      <c r="CWI42" s="16"/>
      <c r="CWJ42" s="16"/>
      <c r="CWK42" s="16"/>
      <c r="CWL42" s="16"/>
      <c r="CWM42" s="16"/>
      <c r="CWN42" s="16"/>
      <c r="CWO42" s="16"/>
      <c r="CWP42" s="16"/>
      <c r="CWQ42" s="16"/>
      <c r="CWR42" s="16"/>
      <c r="CWS42" s="16"/>
      <c r="CWT42" s="16"/>
      <c r="CWU42" s="16"/>
      <c r="CWV42" s="16"/>
      <c r="CWW42" s="16"/>
      <c r="CWX42" s="16"/>
      <c r="CWY42" s="16"/>
      <c r="CWZ42" s="16"/>
      <c r="CXA42" s="16"/>
      <c r="CXB42" s="16"/>
      <c r="CXC42" s="16"/>
      <c r="CXD42" s="16"/>
      <c r="CXE42" s="16"/>
      <c r="CXF42" s="16"/>
      <c r="CXG42" s="16"/>
      <c r="CXH42" s="16"/>
      <c r="CXI42" s="16"/>
      <c r="CXJ42" s="16"/>
      <c r="CXK42" s="16"/>
      <c r="CXL42" s="16"/>
      <c r="CXM42" s="16"/>
      <c r="CXN42" s="16"/>
      <c r="CXO42" s="16"/>
      <c r="CXP42" s="16"/>
      <c r="CXQ42" s="16"/>
      <c r="CXR42" s="16"/>
      <c r="CXS42" s="16"/>
      <c r="CXT42" s="16"/>
      <c r="CXU42" s="16"/>
      <c r="CXV42" s="16"/>
      <c r="CXW42" s="16"/>
      <c r="CXX42" s="16"/>
      <c r="CXY42" s="16"/>
      <c r="CXZ42" s="16"/>
      <c r="CYA42" s="16"/>
      <c r="CYB42" s="16"/>
      <c r="CYC42" s="16"/>
      <c r="CYD42" s="16"/>
      <c r="CYE42" s="16"/>
      <c r="CYF42" s="16"/>
      <c r="CYG42" s="16"/>
      <c r="CYH42" s="16"/>
      <c r="CYI42" s="16"/>
      <c r="CYJ42" s="16"/>
      <c r="CYK42" s="16"/>
      <c r="CYL42" s="16"/>
      <c r="CYM42" s="16"/>
      <c r="CYN42" s="16"/>
      <c r="CYO42" s="16"/>
      <c r="CYP42" s="16"/>
      <c r="CYQ42" s="16"/>
      <c r="CYR42" s="16"/>
      <c r="CYS42" s="16"/>
      <c r="CYT42" s="16"/>
      <c r="CYU42" s="16"/>
      <c r="CYV42" s="16"/>
      <c r="CYW42" s="16"/>
      <c r="CYX42" s="16"/>
      <c r="CYY42" s="16"/>
      <c r="CYZ42" s="16"/>
      <c r="CZA42" s="16"/>
      <c r="CZB42" s="16"/>
      <c r="CZC42" s="16"/>
      <c r="CZD42" s="16"/>
      <c r="CZE42" s="16"/>
      <c r="CZF42" s="16"/>
      <c r="CZG42" s="16"/>
      <c r="CZH42" s="16"/>
      <c r="CZI42" s="16"/>
      <c r="CZJ42" s="16"/>
      <c r="CZK42" s="16"/>
      <c r="CZL42" s="16"/>
      <c r="CZM42" s="16"/>
      <c r="CZN42" s="16"/>
      <c r="CZO42" s="16"/>
      <c r="CZP42" s="16"/>
      <c r="CZQ42" s="16"/>
      <c r="CZR42" s="16"/>
      <c r="CZS42" s="16"/>
      <c r="CZT42" s="16"/>
      <c r="CZU42" s="16"/>
      <c r="CZV42" s="16"/>
      <c r="CZW42" s="16"/>
      <c r="CZX42" s="16"/>
      <c r="CZY42" s="16"/>
      <c r="CZZ42" s="16"/>
      <c r="DAA42" s="16"/>
      <c r="DAB42" s="16"/>
      <c r="DAC42" s="16"/>
      <c r="DAD42" s="16"/>
      <c r="DAE42" s="16"/>
      <c r="DAF42" s="16"/>
      <c r="DAG42" s="16"/>
      <c r="DAH42" s="16"/>
      <c r="DAI42" s="16"/>
      <c r="DAJ42" s="16"/>
      <c r="DAK42" s="16"/>
      <c r="DAL42" s="16"/>
      <c r="DAM42" s="16"/>
      <c r="DAN42" s="16"/>
      <c r="DAO42" s="16"/>
      <c r="DAP42" s="16"/>
      <c r="DAQ42" s="16"/>
      <c r="DAR42" s="16"/>
      <c r="DAS42" s="16"/>
      <c r="DAT42" s="16"/>
      <c r="DAU42" s="16"/>
      <c r="DAV42" s="16"/>
      <c r="DAW42" s="16"/>
      <c r="DAX42" s="16"/>
      <c r="DAY42" s="16"/>
      <c r="DAZ42" s="16"/>
      <c r="DBA42" s="16"/>
      <c r="DBB42" s="16"/>
      <c r="DBC42" s="16"/>
      <c r="DBD42" s="16"/>
      <c r="DBE42" s="16"/>
      <c r="DBF42" s="16"/>
      <c r="DBG42" s="16"/>
      <c r="DBH42" s="16"/>
      <c r="DBI42" s="16"/>
      <c r="DBJ42" s="16"/>
      <c r="DBK42" s="16"/>
      <c r="DBL42" s="16"/>
      <c r="DBM42" s="16"/>
      <c r="DBN42" s="16"/>
      <c r="DBO42" s="16"/>
      <c r="DBP42" s="16"/>
      <c r="DBQ42" s="16"/>
      <c r="DBR42" s="16"/>
      <c r="DBS42" s="16"/>
      <c r="DBT42" s="16"/>
      <c r="DBU42" s="16"/>
      <c r="DBV42" s="16"/>
      <c r="DBW42" s="16"/>
      <c r="DBX42" s="16"/>
      <c r="DBY42" s="16"/>
      <c r="DBZ42" s="16"/>
      <c r="DCA42" s="16"/>
      <c r="DCB42" s="16"/>
      <c r="DCC42" s="16"/>
      <c r="DCD42" s="16"/>
      <c r="DCE42" s="16"/>
      <c r="DCF42" s="16"/>
      <c r="DCG42" s="16"/>
      <c r="DCH42" s="16"/>
      <c r="DCI42" s="16"/>
      <c r="DCJ42" s="16"/>
      <c r="DCK42" s="16"/>
      <c r="DCL42" s="16"/>
      <c r="DCM42" s="16"/>
      <c r="DCN42" s="16"/>
      <c r="DCO42" s="16"/>
      <c r="DCP42" s="16"/>
      <c r="DCQ42" s="16"/>
      <c r="DCR42" s="16"/>
      <c r="DCS42" s="16"/>
      <c r="DCT42" s="16"/>
      <c r="DCU42" s="16"/>
      <c r="DCV42" s="16"/>
      <c r="DCW42" s="16"/>
      <c r="DCX42" s="16"/>
      <c r="DCY42" s="16"/>
      <c r="DCZ42" s="16"/>
      <c r="DDA42" s="16"/>
      <c r="DDB42" s="16"/>
      <c r="DDC42" s="16"/>
      <c r="DDD42" s="16"/>
      <c r="DDE42" s="16"/>
      <c r="DDF42" s="16"/>
      <c r="DDG42" s="16"/>
      <c r="DDH42" s="16"/>
      <c r="DDI42" s="16"/>
      <c r="DDJ42" s="16"/>
      <c r="DDK42" s="16"/>
      <c r="DDL42" s="16"/>
      <c r="DDM42" s="16"/>
      <c r="DDN42" s="16"/>
      <c r="DDO42" s="16"/>
      <c r="DDP42" s="16"/>
      <c r="DDQ42" s="16"/>
      <c r="DDR42" s="16"/>
      <c r="DDS42" s="16"/>
      <c r="DDT42" s="16"/>
      <c r="DDU42" s="16"/>
      <c r="DDV42" s="16"/>
      <c r="DDW42" s="16"/>
      <c r="DDX42" s="16"/>
      <c r="DDY42" s="16"/>
      <c r="DDZ42" s="16"/>
      <c r="DEA42" s="16"/>
      <c r="DEB42" s="16"/>
      <c r="DEC42" s="16"/>
      <c r="DED42" s="16"/>
      <c r="DEE42" s="16"/>
      <c r="DEF42" s="16"/>
      <c r="DEG42" s="16"/>
      <c r="DEH42" s="16"/>
      <c r="DEI42" s="16"/>
      <c r="DEJ42" s="16"/>
      <c r="DEK42" s="16"/>
      <c r="DEL42" s="16"/>
      <c r="DEM42" s="16"/>
      <c r="DEN42" s="16"/>
      <c r="DEO42" s="16"/>
      <c r="DEP42" s="16"/>
      <c r="DEQ42" s="16"/>
      <c r="DER42" s="16"/>
      <c r="DES42" s="16"/>
      <c r="DET42" s="16"/>
      <c r="DEU42" s="16"/>
      <c r="DEV42" s="16"/>
      <c r="DEW42" s="16"/>
      <c r="DEX42" s="16"/>
      <c r="DEY42" s="16"/>
      <c r="DEZ42" s="16"/>
      <c r="DFA42" s="16"/>
      <c r="DFB42" s="16"/>
      <c r="DFC42" s="16"/>
      <c r="DFD42" s="16"/>
      <c r="DFE42" s="16"/>
      <c r="DFF42" s="16"/>
      <c r="DFG42" s="16"/>
      <c r="DFH42" s="16"/>
      <c r="DFI42" s="16"/>
      <c r="DFJ42" s="16"/>
      <c r="DFK42" s="16"/>
      <c r="DFL42" s="16"/>
      <c r="DFM42" s="16"/>
      <c r="DFN42" s="16"/>
      <c r="DFO42" s="16"/>
      <c r="DFP42" s="16"/>
      <c r="DFQ42" s="16"/>
      <c r="DFR42" s="16"/>
      <c r="DFS42" s="16"/>
      <c r="DFT42" s="16"/>
      <c r="DFU42" s="16"/>
      <c r="DFV42" s="16"/>
      <c r="DFW42" s="16"/>
      <c r="DFX42" s="16"/>
      <c r="DFY42" s="16"/>
      <c r="DFZ42" s="16"/>
      <c r="DGA42" s="16"/>
      <c r="DGB42" s="16"/>
      <c r="DGC42" s="16"/>
      <c r="DGD42" s="16"/>
      <c r="DGE42" s="16"/>
      <c r="DGF42" s="16"/>
      <c r="DGG42" s="16"/>
      <c r="DGH42" s="16"/>
      <c r="DGI42" s="16"/>
      <c r="DGJ42" s="16"/>
      <c r="DGK42" s="16"/>
      <c r="DGL42" s="16"/>
      <c r="DGM42" s="16"/>
      <c r="DGN42" s="16"/>
      <c r="DGO42" s="16"/>
      <c r="DGP42" s="16"/>
      <c r="DGQ42" s="16"/>
      <c r="DGR42" s="16"/>
      <c r="DGS42" s="16"/>
      <c r="DGT42" s="16"/>
      <c r="DGU42" s="16"/>
      <c r="DGV42" s="16"/>
      <c r="DGW42" s="16"/>
      <c r="DGX42" s="16"/>
      <c r="DGY42" s="16"/>
      <c r="DGZ42" s="16"/>
      <c r="DHA42" s="16"/>
      <c r="DHB42" s="16"/>
      <c r="DHC42" s="16"/>
      <c r="DHD42" s="16"/>
      <c r="DHE42" s="16"/>
      <c r="DHF42" s="16"/>
      <c r="DHG42" s="16"/>
      <c r="DHH42" s="16"/>
      <c r="DHI42" s="16"/>
      <c r="DHJ42" s="16"/>
      <c r="DHK42" s="16"/>
      <c r="DHL42" s="16"/>
      <c r="DHM42" s="16"/>
      <c r="DHN42" s="16"/>
      <c r="DHO42" s="16"/>
      <c r="DHP42" s="16"/>
      <c r="DHQ42" s="16"/>
      <c r="DHR42" s="16"/>
      <c r="DHS42" s="16"/>
      <c r="DHT42" s="16"/>
      <c r="DHU42" s="16"/>
      <c r="DHV42" s="16"/>
      <c r="DHW42" s="16"/>
      <c r="DHX42" s="16"/>
      <c r="DHY42" s="16"/>
      <c r="DHZ42" s="16"/>
      <c r="DIA42" s="16"/>
      <c r="DIB42" s="16"/>
      <c r="DIC42" s="16"/>
      <c r="DID42" s="16"/>
      <c r="DIE42" s="16"/>
      <c r="DIF42" s="16"/>
      <c r="DIG42" s="16"/>
      <c r="DIH42" s="16"/>
      <c r="DII42" s="16"/>
      <c r="DIJ42" s="16"/>
      <c r="DIK42" s="16"/>
      <c r="DIL42" s="16"/>
      <c r="DIM42" s="16"/>
      <c r="DIN42" s="16"/>
      <c r="DIO42" s="16"/>
      <c r="DIP42" s="16"/>
      <c r="DIQ42" s="16"/>
      <c r="DIR42" s="16"/>
      <c r="DIS42" s="16"/>
      <c r="DIT42" s="16"/>
      <c r="DIU42" s="16"/>
      <c r="DIV42" s="16"/>
      <c r="DIW42" s="16"/>
      <c r="DIX42" s="16"/>
      <c r="DIY42" s="16"/>
      <c r="DIZ42" s="16"/>
      <c r="DJA42" s="16"/>
      <c r="DJB42" s="16"/>
      <c r="DJC42" s="16"/>
      <c r="DJD42" s="16"/>
      <c r="DJE42" s="16"/>
      <c r="DJF42" s="16"/>
      <c r="DJG42" s="16"/>
      <c r="DJH42" s="16"/>
      <c r="DJI42" s="16"/>
      <c r="DJJ42" s="16"/>
      <c r="DJK42" s="16"/>
      <c r="DJL42" s="16"/>
      <c r="DJM42" s="16"/>
      <c r="DJN42" s="16"/>
      <c r="DJO42" s="16"/>
      <c r="DJP42" s="16"/>
      <c r="DJQ42" s="16"/>
      <c r="DJR42" s="16"/>
      <c r="DJS42" s="16"/>
      <c r="DJT42" s="16"/>
      <c r="DJU42" s="16"/>
      <c r="DJV42" s="16"/>
      <c r="DJW42" s="16"/>
      <c r="DJX42" s="16"/>
      <c r="DJY42" s="16"/>
      <c r="DJZ42" s="16"/>
      <c r="DKA42" s="16"/>
      <c r="DKB42" s="16"/>
      <c r="DKC42" s="16"/>
      <c r="DKD42" s="16"/>
      <c r="DKE42" s="16"/>
      <c r="DKF42" s="16"/>
      <c r="DKG42" s="16"/>
      <c r="DKH42" s="16"/>
      <c r="DKI42" s="16"/>
      <c r="DKJ42" s="16"/>
      <c r="DKK42" s="16"/>
      <c r="DKL42" s="16"/>
      <c r="DKM42" s="16"/>
      <c r="DKN42" s="16"/>
      <c r="DKO42" s="16"/>
      <c r="DKP42" s="16"/>
      <c r="DKQ42" s="16"/>
      <c r="DKR42" s="16"/>
      <c r="DKS42" s="16"/>
      <c r="DKT42" s="16"/>
      <c r="DKU42" s="16"/>
      <c r="DKV42" s="16"/>
      <c r="DKW42" s="16"/>
      <c r="DKX42" s="16"/>
      <c r="DKY42" s="16"/>
      <c r="DKZ42" s="16"/>
      <c r="DLA42" s="16"/>
      <c r="DLB42" s="16"/>
      <c r="DLC42" s="16"/>
      <c r="DLD42" s="16"/>
      <c r="DLE42" s="16"/>
      <c r="DLF42" s="16"/>
      <c r="DLG42" s="16"/>
      <c r="DLH42" s="16"/>
      <c r="DLI42" s="16"/>
      <c r="DLJ42" s="16"/>
      <c r="DLK42" s="16"/>
      <c r="DLL42" s="16"/>
      <c r="DLM42" s="16"/>
      <c r="DLN42" s="16"/>
      <c r="DLO42" s="16"/>
      <c r="DLP42" s="16"/>
      <c r="DLQ42" s="16"/>
      <c r="DLR42" s="16"/>
      <c r="DLS42" s="16"/>
      <c r="DLT42" s="16"/>
      <c r="DLU42" s="16"/>
      <c r="DLV42" s="16"/>
      <c r="DLW42" s="16"/>
      <c r="DLX42" s="16"/>
      <c r="DLY42" s="16"/>
      <c r="DLZ42" s="16"/>
      <c r="DMA42" s="16"/>
      <c r="DMB42" s="16"/>
      <c r="DMC42" s="16"/>
      <c r="DMD42" s="16"/>
      <c r="DME42" s="16"/>
      <c r="DMF42" s="16"/>
      <c r="DMG42" s="16"/>
      <c r="DMH42" s="16"/>
      <c r="DMI42" s="16"/>
      <c r="DMJ42" s="16"/>
      <c r="DMK42" s="16"/>
      <c r="DML42" s="16"/>
      <c r="DMM42" s="16"/>
      <c r="DMN42" s="16"/>
      <c r="DMO42" s="16"/>
      <c r="DMP42" s="16"/>
      <c r="DMQ42" s="16"/>
      <c r="DMR42" s="16"/>
      <c r="DMS42" s="16"/>
      <c r="DMT42" s="16"/>
      <c r="DMU42" s="16"/>
      <c r="DMV42" s="16"/>
      <c r="DMW42" s="16"/>
      <c r="DMX42" s="16"/>
      <c r="DMY42" s="16"/>
      <c r="DMZ42" s="16"/>
      <c r="DNA42" s="16"/>
      <c r="DNB42" s="16"/>
      <c r="DNC42" s="16"/>
      <c r="DND42" s="16"/>
      <c r="DNE42" s="16"/>
      <c r="DNF42" s="16"/>
      <c r="DNG42" s="16"/>
      <c r="DNH42" s="16"/>
      <c r="DNI42" s="16"/>
      <c r="DNJ42" s="16"/>
      <c r="DNK42" s="16"/>
      <c r="DNL42" s="16"/>
      <c r="DNM42" s="16"/>
      <c r="DNN42" s="16"/>
      <c r="DNO42" s="16"/>
      <c r="DNP42" s="16"/>
      <c r="DNQ42" s="16"/>
      <c r="DNR42" s="16"/>
      <c r="DNS42" s="16"/>
      <c r="DNT42" s="16"/>
      <c r="DNU42" s="16"/>
      <c r="DNV42" s="16"/>
      <c r="DNW42" s="16"/>
      <c r="DNX42" s="16"/>
      <c r="DNY42" s="16"/>
      <c r="DNZ42" s="16"/>
      <c r="DOA42" s="16"/>
      <c r="DOB42" s="16"/>
      <c r="DOC42" s="16"/>
      <c r="DOD42" s="16"/>
      <c r="DOE42" s="16"/>
      <c r="DOF42" s="16"/>
      <c r="DOG42" s="16"/>
      <c r="DOH42" s="16"/>
      <c r="DOI42" s="16"/>
      <c r="DOJ42" s="16"/>
      <c r="DOK42" s="16"/>
      <c r="DOL42" s="16"/>
      <c r="DOM42" s="16"/>
      <c r="DON42" s="16"/>
      <c r="DOO42" s="16"/>
      <c r="DOP42" s="16"/>
      <c r="DOQ42" s="16"/>
      <c r="DOR42" s="16"/>
      <c r="DOS42" s="16"/>
      <c r="DOT42" s="16"/>
      <c r="DOU42" s="16"/>
      <c r="DOV42" s="16"/>
      <c r="DOW42" s="16"/>
      <c r="DOX42" s="16"/>
      <c r="DOY42" s="16"/>
      <c r="DOZ42" s="16"/>
      <c r="DPA42" s="16"/>
      <c r="DPB42" s="16"/>
      <c r="DPC42" s="16"/>
      <c r="DPD42" s="16"/>
      <c r="DPE42" s="16"/>
      <c r="DPF42" s="16"/>
      <c r="DPG42" s="16"/>
      <c r="DPH42" s="16"/>
      <c r="DPI42" s="16"/>
      <c r="DPJ42" s="16"/>
      <c r="DPK42" s="16"/>
      <c r="DPL42" s="16"/>
      <c r="DPM42" s="16"/>
      <c r="DPN42" s="16"/>
      <c r="DPO42" s="16"/>
      <c r="DPP42" s="16"/>
      <c r="DPQ42" s="16"/>
      <c r="DPR42" s="16"/>
      <c r="DPS42" s="16"/>
      <c r="DPT42" s="16"/>
      <c r="DPU42" s="16"/>
      <c r="DPV42" s="16"/>
      <c r="DPW42" s="16"/>
      <c r="DPX42" s="16"/>
      <c r="DPY42" s="16"/>
      <c r="DPZ42" s="16"/>
      <c r="DQA42" s="16"/>
      <c r="DQB42" s="16"/>
      <c r="DQC42" s="16"/>
      <c r="DQD42" s="16"/>
      <c r="DQE42" s="16"/>
      <c r="DQF42" s="16"/>
      <c r="DQG42" s="16"/>
      <c r="DQH42" s="16"/>
      <c r="DQI42" s="16"/>
      <c r="DQJ42" s="16"/>
      <c r="DQK42" s="16"/>
      <c r="DQL42" s="16"/>
      <c r="DQM42" s="16"/>
      <c r="DQN42" s="16"/>
      <c r="DQO42" s="16"/>
      <c r="DQP42" s="16"/>
      <c r="DQQ42" s="16"/>
      <c r="DQR42" s="16"/>
      <c r="DQS42" s="16"/>
      <c r="DQT42" s="16"/>
      <c r="DQU42" s="16"/>
      <c r="DQV42" s="16"/>
      <c r="DQW42" s="16"/>
      <c r="DQX42" s="16"/>
      <c r="DQY42" s="16"/>
      <c r="DQZ42" s="16"/>
      <c r="DRA42" s="16"/>
      <c r="DRB42" s="16"/>
      <c r="DRC42" s="16"/>
      <c r="DRD42" s="16"/>
      <c r="DRE42" s="16"/>
      <c r="DRF42" s="16"/>
      <c r="DRG42" s="16"/>
      <c r="DRH42" s="16"/>
      <c r="DRI42" s="16"/>
      <c r="DRJ42" s="16"/>
      <c r="DRK42" s="16"/>
      <c r="DRL42" s="16"/>
      <c r="DRM42" s="16"/>
      <c r="DRN42" s="16"/>
      <c r="DRO42" s="16"/>
      <c r="DRP42" s="16"/>
      <c r="DRQ42" s="16"/>
      <c r="DRR42" s="16"/>
      <c r="DRS42" s="16"/>
      <c r="DRT42" s="16"/>
      <c r="DRU42" s="16"/>
      <c r="DRV42" s="16"/>
      <c r="DRW42" s="16"/>
      <c r="DRX42" s="16"/>
      <c r="DRY42" s="16"/>
      <c r="DRZ42" s="16"/>
      <c r="DSA42" s="16"/>
      <c r="DSB42" s="16"/>
      <c r="DSC42" s="16"/>
      <c r="DSD42" s="16"/>
      <c r="DSE42" s="16"/>
      <c r="DSF42" s="16"/>
      <c r="DSG42" s="16"/>
      <c r="DSH42" s="16"/>
      <c r="DSI42" s="16"/>
      <c r="DSJ42" s="16"/>
      <c r="DSK42" s="16"/>
      <c r="DSL42" s="16"/>
      <c r="DSM42" s="16"/>
      <c r="DSN42" s="16"/>
      <c r="DSO42" s="16"/>
      <c r="DSP42" s="16"/>
      <c r="DSQ42" s="16"/>
      <c r="DSR42" s="16"/>
      <c r="DSS42" s="16"/>
      <c r="DST42" s="16"/>
      <c r="DSU42" s="16"/>
      <c r="DSV42" s="16"/>
      <c r="DSW42" s="16"/>
      <c r="DSX42" s="16"/>
      <c r="DSY42" s="16"/>
      <c r="DSZ42" s="16"/>
      <c r="DTA42" s="16"/>
      <c r="DTB42" s="16"/>
      <c r="DTC42" s="16"/>
      <c r="DTD42" s="16"/>
      <c r="DTE42" s="16"/>
      <c r="DTF42" s="16"/>
      <c r="DTG42" s="16"/>
      <c r="DTH42" s="16"/>
      <c r="DTI42" s="16"/>
      <c r="DTJ42" s="16"/>
      <c r="DTK42" s="16"/>
      <c r="DTL42" s="16"/>
      <c r="DTM42" s="16"/>
      <c r="DTN42" s="16"/>
      <c r="DTO42" s="16"/>
      <c r="DTP42" s="16"/>
      <c r="DTQ42" s="16"/>
      <c r="DTR42" s="16"/>
      <c r="DTS42" s="16"/>
      <c r="DTT42" s="16"/>
      <c r="DTU42" s="16"/>
      <c r="DTV42" s="16"/>
      <c r="DTW42" s="16"/>
      <c r="DTX42" s="16"/>
      <c r="DTY42" s="16"/>
      <c r="DTZ42" s="16"/>
      <c r="DUA42" s="16"/>
      <c r="DUB42" s="16"/>
      <c r="DUC42" s="16"/>
      <c r="DUD42" s="16"/>
      <c r="DUE42" s="16"/>
      <c r="DUF42" s="16"/>
      <c r="DUG42" s="16"/>
      <c r="DUH42" s="16"/>
      <c r="DUI42" s="16"/>
      <c r="DUJ42" s="16"/>
      <c r="DUK42" s="16"/>
      <c r="DUL42" s="16"/>
      <c r="DUM42" s="16"/>
      <c r="DUN42" s="16"/>
      <c r="DUO42" s="16"/>
      <c r="DUP42" s="16"/>
      <c r="DUQ42" s="16"/>
      <c r="DUR42" s="16"/>
      <c r="DUS42" s="16"/>
      <c r="DUT42" s="16"/>
      <c r="DUU42" s="16"/>
      <c r="DUV42" s="16"/>
      <c r="DUW42" s="16"/>
      <c r="DUX42" s="16"/>
      <c r="DUY42" s="16"/>
      <c r="DUZ42" s="16"/>
      <c r="DVA42" s="16"/>
      <c r="DVB42" s="16"/>
      <c r="DVC42" s="16"/>
      <c r="DVD42" s="16"/>
      <c r="DVE42" s="16"/>
      <c r="DVF42" s="16"/>
      <c r="DVG42" s="16"/>
      <c r="DVH42" s="16"/>
      <c r="DVI42" s="16"/>
      <c r="DVJ42" s="16"/>
      <c r="DVK42" s="16"/>
      <c r="DVL42" s="16"/>
      <c r="DVM42" s="16"/>
      <c r="DVN42" s="16"/>
      <c r="DVO42" s="16"/>
      <c r="DVP42" s="16"/>
      <c r="DVQ42" s="16"/>
      <c r="DVR42" s="16"/>
      <c r="DVS42" s="16"/>
      <c r="DVT42" s="16"/>
      <c r="DVU42" s="16"/>
      <c r="DVV42" s="16"/>
      <c r="DVW42" s="16"/>
      <c r="DVX42" s="16"/>
      <c r="DVY42" s="16"/>
      <c r="DVZ42" s="16"/>
      <c r="DWA42" s="16"/>
      <c r="DWB42" s="16"/>
      <c r="DWC42" s="16"/>
      <c r="DWD42" s="16"/>
      <c r="DWE42" s="16"/>
      <c r="DWF42" s="16"/>
      <c r="DWG42" s="16"/>
      <c r="DWH42" s="16"/>
      <c r="DWI42" s="16"/>
      <c r="DWJ42" s="16"/>
      <c r="DWK42" s="16"/>
      <c r="DWL42" s="16"/>
      <c r="DWM42" s="16"/>
      <c r="DWN42" s="16"/>
      <c r="DWO42" s="16"/>
      <c r="DWP42" s="16"/>
      <c r="DWQ42" s="16"/>
      <c r="DWR42" s="16"/>
      <c r="DWS42" s="16"/>
      <c r="DWT42" s="16"/>
      <c r="DWU42" s="16"/>
      <c r="DWV42" s="16"/>
      <c r="DWW42" s="16"/>
      <c r="DWX42" s="16"/>
      <c r="DWY42" s="16"/>
      <c r="DWZ42" s="16"/>
      <c r="DXA42" s="16"/>
      <c r="DXB42" s="16"/>
      <c r="DXC42" s="16"/>
      <c r="DXD42" s="16"/>
      <c r="DXE42" s="16"/>
      <c r="DXF42" s="16"/>
      <c r="DXG42" s="16"/>
      <c r="DXH42" s="16"/>
      <c r="DXI42" s="16"/>
      <c r="DXJ42" s="16"/>
      <c r="DXK42" s="16"/>
      <c r="DXL42" s="16"/>
      <c r="DXM42" s="16"/>
      <c r="DXN42" s="16"/>
      <c r="DXO42" s="16"/>
      <c r="DXP42" s="16"/>
      <c r="DXQ42" s="16"/>
      <c r="DXR42" s="16"/>
      <c r="DXS42" s="16"/>
      <c r="DXT42" s="16"/>
      <c r="DXU42" s="16"/>
      <c r="DXV42" s="16"/>
      <c r="DXW42" s="16"/>
      <c r="DXX42" s="16"/>
      <c r="DXY42" s="16"/>
      <c r="DXZ42" s="16"/>
      <c r="DYA42" s="16"/>
      <c r="DYB42" s="16"/>
      <c r="DYC42" s="16"/>
      <c r="DYD42" s="16"/>
      <c r="DYE42" s="16"/>
      <c r="DYF42" s="16"/>
      <c r="DYG42" s="16"/>
      <c r="DYH42" s="16"/>
      <c r="DYI42" s="16"/>
      <c r="DYJ42" s="16"/>
      <c r="DYK42" s="16"/>
      <c r="DYL42" s="16"/>
      <c r="DYM42" s="16"/>
      <c r="DYN42" s="16"/>
      <c r="DYO42" s="16"/>
      <c r="DYP42" s="16"/>
      <c r="DYQ42" s="16"/>
      <c r="DYR42" s="16"/>
      <c r="DYS42" s="16"/>
      <c r="DYT42" s="16"/>
      <c r="DYU42" s="16"/>
      <c r="DYV42" s="16"/>
      <c r="DYW42" s="16"/>
      <c r="DYX42" s="16"/>
      <c r="DYY42" s="16"/>
      <c r="DYZ42" s="16"/>
      <c r="DZA42" s="16"/>
      <c r="DZB42" s="16"/>
      <c r="DZC42" s="16"/>
      <c r="DZD42" s="16"/>
      <c r="DZE42" s="16"/>
      <c r="DZF42" s="16"/>
      <c r="DZG42" s="16"/>
      <c r="DZH42" s="16"/>
      <c r="DZI42" s="16"/>
      <c r="DZJ42" s="16"/>
      <c r="DZK42" s="16"/>
      <c r="DZL42" s="16"/>
      <c r="DZM42" s="16"/>
      <c r="DZN42" s="16"/>
      <c r="DZO42" s="16"/>
      <c r="DZP42" s="16"/>
      <c r="DZQ42" s="16"/>
      <c r="DZR42" s="16"/>
      <c r="DZS42" s="16"/>
      <c r="DZT42" s="16"/>
      <c r="DZU42" s="16"/>
      <c r="DZV42" s="16"/>
      <c r="DZW42" s="16"/>
      <c r="DZX42" s="16"/>
      <c r="DZY42" s="16"/>
      <c r="DZZ42" s="16"/>
      <c r="EAA42" s="16"/>
      <c r="EAB42" s="16"/>
      <c r="EAC42" s="16"/>
      <c r="EAD42" s="16"/>
      <c r="EAE42" s="16"/>
      <c r="EAF42" s="16"/>
      <c r="EAG42" s="16"/>
      <c r="EAH42" s="16"/>
      <c r="EAI42" s="16"/>
      <c r="EAJ42" s="16"/>
      <c r="EAK42" s="16"/>
      <c r="EAL42" s="16"/>
      <c r="EAM42" s="16"/>
      <c r="EAN42" s="16"/>
      <c r="EAO42" s="16"/>
      <c r="EAP42" s="16"/>
      <c r="EAQ42" s="16"/>
      <c r="EAR42" s="16"/>
      <c r="EAS42" s="16"/>
      <c r="EAT42" s="16"/>
      <c r="EAU42" s="16"/>
      <c r="EAV42" s="16"/>
      <c r="EAW42" s="16"/>
      <c r="EAX42" s="16"/>
      <c r="EAY42" s="16"/>
      <c r="EAZ42" s="16"/>
      <c r="EBA42" s="16"/>
      <c r="EBB42" s="16"/>
      <c r="EBC42" s="16"/>
      <c r="EBD42" s="16"/>
      <c r="EBE42" s="16"/>
      <c r="EBF42" s="16"/>
      <c r="EBG42" s="16"/>
      <c r="EBH42" s="16"/>
      <c r="EBI42" s="16"/>
      <c r="EBJ42" s="16"/>
      <c r="EBK42" s="16"/>
      <c r="EBL42" s="16"/>
      <c r="EBM42" s="16"/>
      <c r="EBN42" s="16"/>
      <c r="EBO42" s="16"/>
      <c r="EBP42" s="16"/>
      <c r="EBQ42" s="16"/>
      <c r="EBR42" s="16"/>
      <c r="EBS42" s="16"/>
      <c r="EBT42" s="16"/>
      <c r="EBU42" s="16"/>
      <c r="EBV42" s="16"/>
      <c r="EBW42" s="16"/>
      <c r="EBX42" s="16"/>
      <c r="EBY42" s="16"/>
      <c r="EBZ42" s="16"/>
      <c r="ECA42" s="16"/>
      <c r="ECB42" s="16"/>
      <c r="ECC42" s="16"/>
      <c r="ECD42" s="16"/>
      <c r="ECE42" s="16"/>
      <c r="ECF42" s="16"/>
      <c r="ECG42" s="16"/>
      <c r="ECH42" s="16"/>
      <c r="ECI42" s="16"/>
      <c r="ECJ42" s="16"/>
      <c r="ECK42" s="16"/>
      <c r="ECL42" s="16"/>
      <c r="ECM42" s="16"/>
      <c r="ECN42" s="16"/>
      <c r="ECO42" s="16"/>
      <c r="ECP42" s="16"/>
      <c r="ECQ42" s="16"/>
      <c r="ECR42" s="16"/>
      <c r="ECS42" s="16"/>
      <c r="ECT42" s="16"/>
      <c r="ECU42" s="16"/>
      <c r="ECV42" s="16"/>
      <c r="ECW42" s="16"/>
      <c r="ECX42" s="16"/>
      <c r="ECY42" s="16"/>
      <c r="ECZ42" s="16"/>
      <c r="EDA42" s="16"/>
      <c r="EDB42" s="16"/>
      <c r="EDC42" s="16"/>
      <c r="EDD42" s="16"/>
      <c r="EDE42" s="16"/>
      <c r="EDF42" s="16"/>
      <c r="EDG42" s="16"/>
      <c r="EDH42" s="16"/>
      <c r="EDI42" s="16"/>
      <c r="EDJ42" s="16"/>
      <c r="EDK42" s="16"/>
      <c r="EDL42" s="16"/>
      <c r="EDM42" s="16"/>
      <c r="EDN42" s="16"/>
      <c r="EDO42" s="16"/>
      <c r="EDP42" s="16"/>
      <c r="EDQ42" s="16"/>
      <c r="EDR42" s="16"/>
      <c r="EDS42" s="16"/>
      <c r="EDT42" s="16"/>
      <c r="EDU42" s="16"/>
      <c r="EDV42" s="16"/>
      <c r="EDW42" s="16"/>
      <c r="EDX42" s="16"/>
      <c r="EDY42" s="16"/>
      <c r="EDZ42" s="16"/>
      <c r="EEA42" s="16"/>
      <c r="EEB42" s="16"/>
      <c r="EEC42" s="16"/>
      <c r="EED42" s="16"/>
      <c r="EEE42" s="16"/>
      <c r="EEF42" s="16"/>
      <c r="EEG42" s="16"/>
      <c r="EEH42" s="16"/>
      <c r="EEI42" s="16"/>
      <c r="EEJ42" s="16"/>
      <c r="EEK42" s="16"/>
      <c r="EEL42" s="16"/>
      <c r="EEM42" s="16"/>
      <c r="EEN42" s="16"/>
      <c r="EEO42" s="16"/>
      <c r="EEP42" s="16"/>
      <c r="EEQ42" s="16"/>
      <c r="EER42" s="16"/>
      <c r="EES42" s="16"/>
      <c r="EET42" s="16"/>
      <c r="EEU42" s="16"/>
      <c r="EEV42" s="16"/>
      <c r="EEW42" s="16"/>
      <c r="EEX42" s="16"/>
      <c r="EEY42" s="16"/>
      <c r="EEZ42" s="16"/>
      <c r="EFA42" s="16"/>
      <c r="EFB42" s="16"/>
      <c r="EFC42" s="16"/>
      <c r="EFD42" s="16"/>
      <c r="EFE42" s="16"/>
      <c r="EFF42" s="16"/>
      <c r="EFG42" s="16"/>
      <c r="EFH42" s="16"/>
      <c r="EFI42" s="16"/>
      <c r="EFJ42" s="16"/>
      <c r="EFK42" s="16"/>
      <c r="EFL42" s="16"/>
      <c r="EFM42" s="16"/>
      <c r="EFN42" s="16"/>
      <c r="EFO42" s="16"/>
      <c r="EFP42" s="16"/>
      <c r="EFQ42" s="16"/>
      <c r="EFR42" s="16"/>
      <c r="EFS42" s="16"/>
      <c r="EFT42" s="16"/>
      <c r="EFU42" s="16"/>
      <c r="EFV42" s="16"/>
      <c r="EFW42" s="16"/>
      <c r="EFX42" s="16"/>
      <c r="EFY42" s="16"/>
      <c r="EFZ42" s="16"/>
      <c r="EGA42" s="16"/>
      <c r="EGB42" s="16"/>
      <c r="EGC42" s="16"/>
      <c r="EGD42" s="16"/>
      <c r="EGE42" s="16"/>
      <c r="EGF42" s="16"/>
      <c r="EGG42" s="16"/>
      <c r="EGH42" s="16"/>
      <c r="EGI42" s="16"/>
      <c r="EGJ42" s="16"/>
      <c r="EGK42" s="16"/>
      <c r="EGL42" s="16"/>
      <c r="EGM42" s="16"/>
      <c r="EGN42" s="16"/>
      <c r="EGO42" s="16"/>
      <c r="EGP42" s="16"/>
      <c r="EGQ42" s="16"/>
      <c r="EGR42" s="16"/>
      <c r="EGS42" s="16"/>
      <c r="EGT42" s="16"/>
      <c r="EGU42" s="16"/>
      <c r="EGV42" s="16"/>
      <c r="EGW42" s="16"/>
      <c r="EGX42" s="16"/>
      <c r="EGY42" s="16"/>
      <c r="EGZ42" s="16"/>
      <c r="EHA42" s="16"/>
      <c r="EHB42" s="16"/>
      <c r="EHC42" s="16"/>
      <c r="EHD42" s="16"/>
      <c r="EHE42" s="16"/>
      <c r="EHF42" s="16"/>
      <c r="EHG42" s="16"/>
      <c r="EHH42" s="16"/>
      <c r="EHI42" s="16"/>
      <c r="EHJ42" s="16"/>
      <c r="EHK42" s="16"/>
      <c r="EHL42" s="16"/>
      <c r="EHM42" s="16"/>
      <c r="EHN42" s="16"/>
      <c r="EHO42" s="16"/>
      <c r="EHP42" s="16"/>
      <c r="EHQ42" s="16"/>
      <c r="EHR42" s="16"/>
      <c r="EHS42" s="16"/>
      <c r="EHT42" s="16"/>
      <c r="EHU42" s="16"/>
      <c r="EHV42" s="16"/>
      <c r="EHW42" s="16"/>
      <c r="EHX42" s="16"/>
      <c r="EHY42" s="16"/>
      <c r="EHZ42" s="16"/>
      <c r="EIA42" s="16"/>
      <c r="EIB42" s="16"/>
      <c r="EIC42" s="16"/>
      <c r="EID42" s="16"/>
      <c r="EIE42" s="16"/>
      <c r="EIF42" s="16"/>
      <c r="EIG42" s="16"/>
      <c r="EIH42" s="16"/>
      <c r="EII42" s="16"/>
      <c r="EIJ42" s="16"/>
      <c r="EIK42" s="16"/>
      <c r="EIL42" s="16"/>
      <c r="EIM42" s="16"/>
      <c r="EIN42" s="16"/>
      <c r="EIO42" s="16"/>
      <c r="EIP42" s="16"/>
      <c r="EIQ42" s="16"/>
      <c r="EIR42" s="16"/>
      <c r="EIS42" s="16"/>
      <c r="EIT42" s="16"/>
      <c r="EIU42" s="16"/>
      <c r="EIV42" s="16"/>
      <c r="EIW42" s="16"/>
      <c r="EIX42" s="16"/>
      <c r="EIY42" s="16"/>
      <c r="EIZ42" s="16"/>
      <c r="EJA42" s="16"/>
      <c r="EJB42" s="16"/>
      <c r="EJC42" s="16"/>
      <c r="EJD42" s="16"/>
      <c r="EJE42" s="16"/>
      <c r="EJF42" s="16"/>
      <c r="EJG42" s="16"/>
      <c r="EJH42" s="16"/>
      <c r="EJI42" s="16"/>
      <c r="EJJ42" s="16"/>
      <c r="EJK42" s="16"/>
      <c r="EJL42" s="16"/>
      <c r="EJM42" s="16"/>
      <c r="EJN42" s="16"/>
      <c r="EJO42" s="16"/>
      <c r="EJP42" s="16"/>
      <c r="EJQ42" s="16"/>
      <c r="EJR42" s="16"/>
      <c r="EJS42" s="16"/>
      <c r="EJT42" s="16"/>
      <c r="EJU42" s="16"/>
      <c r="EJV42" s="16"/>
      <c r="EJW42" s="16"/>
      <c r="EJX42" s="16"/>
      <c r="EJY42" s="16"/>
      <c r="EJZ42" s="16"/>
      <c r="EKA42" s="16"/>
      <c r="EKB42" s="16"/>
      <c r="EKC42" s="16"/>
      <c r="EKD42" s="16"/>
      <c r="EKE42" s="16"/>
      <c r="EKF42" s="16"/>
      <c r="EKG42" s="16"/>
      <c r="EKH42" s="16"/>
      <c r="EKI42" s="16"/>
      <c r="EKJ42" s="16"/>
      <c r="EKK42" s="16"/>
      <c r="EKL42" s="16"/>
      <c r="EKM42" s="16"/>
      <c r="EKN42" s="16"/>
      <c r="EKO42" s="16"/>
      <c r="EKP42" s="16"/>
      <c r="EKQ42" s="16"/>
      <c r="EKR42" s="16"/>
      <c r="EKS42" s="16"/>
      <c r="EKT42" s="16"/>
      <c r="EKU42" s="16"/>
      <c r="EKV42" s="16"/>
      <c r="EKW42" s="16"/>
      <c r="EKX42" s="16"/>
      <c r="EKY42" s="16"/>
      <c r="EKZ42" s="16"/>
      <c r="ELA42" s="16"/>
      <c r="ELB42" s="16"/>
      <c r="ELC42" s="16"/>
      <c r="ELD42" s="16"/>
      <c r="ELE42" s="16"/>
      <c r="ELF42" s="16"/>
      <c r="ELG42" s="16"/>
      <c r="ELH42" s="16"/>
      <c r="ELI42" s="16"/>
      <c r="ELJ42" s="16"/>
      <c r="ELK42" s="16"/>
      <c r="ELL42" s="16"/>
      <c r="ELM42" s="16"/>
      <c r="ELN42" s="16"/>
      <c r="ELO42" s="16"/>
      <c r="ELP42" s="16"/>
      <c r="ELQ42" s="16"/>
      <c r="ELR42" s="16"/>
      <c r="ELS42" s="16"/>
      <c r="ELT42" s="16"/>
      <c r="ELU42" s="16"/>
      <c r="ELV42" s="16"/>
      <c r="ELW42" s="16"/>
      <c r="ELX42" s="16"/>
      <c r="ELY42" s="16"/>
      <c r="ELZ42" s="16"/>
      <c r="EMA42" s="16"/>
      <c r="EMB42" s="16"/>
      <c r="EMC42" s="16"/>
      <c r="EMD42" s="16"/>
      <c r="EME42" s="16"/>
      <c r="EMF42" s="16"/>
      <c r="EMG42" s="16"/>
      <c r="EMH42" s="16"/>
      <c r="EMI42" s="16"/>
      <c r="EMJ42" s="16"/>
      <c r="EMK42" s="16"/>
      <c r="EML42" s="16"/>
      <c r="EMM42" s="16"/>
      <c r="EMN42" s="16"/>
      <c r="EMO42" s="16"/>
      <c r="EMP42" s="16"/>
      <c r="EMQ42" s="16"/>
      <c r="EMR42" s="16"/>
      <c r="EMS42" s="16"/>
      <c r="EMT42" s="16"/>
      <c r="EMU42" s="16"/>
      <c r="EMV42" s="16"/>
      <c r="EMW42" s="16"/>
      <c r="EMX42" s="16"/>
      <c r="EMY42" s="16"/>
      <c r="EMZ42" s="16"/>
      <c r="ENA42" s="16"/>
      <c r="ENB42" s="16"/>
      <c r="ENC42" s="16"/>
      <c r="END42" s="16"/>
      <c r="ENE42" s="16"/>
      <c r="ENF42" s="16"/>
      <c r="ENG42" s="16"/>
      <c r="ENH42" s="16"/>
      <c r="ENI42" s="16"/>
      <c r="ENJ42" s="16"/>
      <c r="ENK42" s="16"/>
      <c r="ENL42" s="16"/>
      <c r="ENM42" s="16"/>
      <c r="ENN42" s="16"/>
      <c r="ENO42" s="16"/>
      <c r="ENP42" s="16"/>
      <c r="ENQ42" s="16"/>
      <c r="ENR42" s="16"/>
      <c r="ENS42" s="16"/>
      <c r="ENT42" s="16"/>
      <c r="ENU42" s="16"/>
      <c r="ENV42" s="16"/>
      <c r="ENW42" s="16"/>
      <c r="ENX42" s="16"/>
      <c r="ENY42" s="16"/>
      <c r="ENZ42" s="16"/>
      <c r="EOA42" s="16"/>
      <c r="EOB42" s="16"/>
      <c r="EOC42" s="16"/>
      <c r="EOD42" s="16"/>
      <c r="EOE42" s="16"/>
      <c r="EOF42" s="16"/>
      <c r="EOG42" s="16"/>
      <c r="EOH42" s="16"/>
      <c r="EOI42" s="16"/>
      <c r="EOJ42" s="16"/>
      <c r="EOK42" s="16"/>
      <c r="EOL42" s="16"/>
      <c r="EOM42" s="16"/>
      <c r="EON42" s="16"/>
      <c r="EOO42" s="16"/>
      <c r="EOP42" s="16"/>
      <c r="EOQ42" s="16"/>
      <c r="EOR42" s="16"/>
      <c r="EOS42" s="16"/>
      <c r="EOT42" s="16"/>
      <c r="EOU42" s="16"/>
      <c r="EOV42" s="16"/>
      <c r="EOW42" s="16"/>
      <c r="EOX42" s="16"/>
      <c r="EOY42" s="16"/>
      <c r="EOZ42" s="16"/>
      <c r="EPA42" s="16"/>
      <c r="EPB42" s="16"/>
      <c r="EPC42" s="16"/>
      <c r="EPD42" s="16"/>
      <c r="EPE42" s="16"/>
      <c r="EPF42" s="16"/>
      <c r="EPG42" s="16"/>
      <c r="EPH42" s="16"/>
      <c r="EPI42" s="16"/>
      <c r="EPJ42" s="16"/>
      <c r="EPK42" s="16"/>
      <c r="EPL42" s="16"/>
      <c r="EPM42" s="16"/>
      <c r="EPN42" s="16"/>
      <c r="EPO42" s="16"/>
      <c r="EPP42" s="16"/>
      <c r="EPQ42" s="16"/>
      <c r="EPR42" s="16"/>
      <c r="EPS42" s="16"/>
      <c r="EPT42" s="16"/>
      <c r="EPU42" s="16"/>
      <c r="EPV42" s="16"/>
      <c r="EPW42" s="16"/>
      <c r="EPX42" s="16"/>
      <c r="EPY42" s="16"/>
      <c r="EPZ42" s="16"/>
      <c r="EQA42" s="16"/>
      <c r="EQB42" s="16"/>
      <c r="EQC42" s="16"/>
      <c r="EQD42" s="16"/>
      <c r="EQE42" s="16"/>
      <c r="EQF42" s="16"/>
      <c r="EQG42" s="16"/>
      <c r="EQH42" s="16"/>
      <c r="EQI42" s="16"/>
      <c r="EQJ42" s="16"/>
      <c r="EQK42" s="16"/>
      <c r="EQL42" s="16"/>
      <c r="EQM42" s="16"/>
      <c r="EQN42" s="16"/>
      <c r="EQO42" s="16"/>
      <c r="EQP42" s="16"/>
      <c r="EQQ42" s="16"/>
      <c r="EQR42" s="16"/>
      <c r="EQS42" s="16"/>
      <c r="EQT42" s="16"/>
      <c r="EQU42" s="16"/>
      <c r="EQV42" s="16"/>
      <c r="EQW42" s="16"/>
      <c r="EQX42" s="16"/>
      <c r="EQY42" s="16"/>
      <c r="EQZ42" s="16"/>
      <c r="ERA42" s="16"/>
      <c r="ERB42" s="16"/>
      <c r="ERC42" s="16"/>
      <c r="ERD42" s="16"/>
      <c r="ERE42" s="16"/>
      <c r="ERF42" s="16"/>
      <c r="ERG42" s="16"/>
      <c r="ERH42" s="16"/>
      <c r="ERI42" s="16"/>
      <c r="ERJ42" s="16"/>
      <c r="ERK42" s="16"/>
      <c r="ERL42" s="16"/>
      <c r="ERM42" s="16"/>
      <c r="ERN42" s="16"/>
      <c r="ERO42" s="16"/>
      <c r="ERP42" s="16"/>
      <c r="ERQ42" s="16"/>
      <c r="ERR42" s="16"/>
      <c r="ERS42" s="16"/>
      <c r="ERT42" s="16"/>
      <c r="ERU42" s="16"/>
      <c r="ERV42" s="16"/>
      <c r="ERW42" s="16"/>
      <c r="ERX42" s="16"/>
      <c r="ERY42" s="16"/>
      <c r="ERZ42" s="16"/>
      <c r="ESA42" s="16"/>
      <c r="ESB42" s="16"/>
      <c r="ESC42" s="16"/>
      <c r="ESD42" s="16"/>
      <c r="ESE42" s="16"/>
      <c r="ESF42" s="16"/>
      <c r="ESG42" s="16"/>
      <c r="ESH42" s="16"/>
      <c r="ESI42" s="16"/>
      <c r="ESJ42" s="16"/>
      <c r="ESK42" s="16"/>
      <c r="ESL42" s="16"/>
      <c r="ESM42" s="16"/>
      <c r="ESN42" s="16"/>
      <c r="ESO42" s="16"/>
      <c r="ESP42" s="16"/>
      <c r="ESQ42" s="16"/>
      <c r="ESR42" s="16"/>
      <c r="ESS42" s="16"/>
      <c r="EST42" s="16"/>
      <c r="ESU42" s="16"/>
      <c r="ESV42" s="16"/>
      <c r="ESW42" s="16"/>
      <c r="ESX42" s="16"/>
      <c r="ESY42" s="16"/>
      <c r="ESZ42" s="16"/>
      <c r="ETA42" s="16"/>
      <c r="ETB42" s="16"/>
      <c r="ETC42" s="16"/>
      <c r="ETD42" s="16"/>
      <c r="ETE42" s="16"/>
      <c r="ETF42" s="16"/>
      <c r="ETG42" s="16"/>
      <c r="ETH42" s="16"/>
      <c r="ETI42" s="16"/>
      <c r="ETJ42" s="16"/>
      <c r="ETK42" s="16"/>
      <c r="ETL42" s="16"/>
      <c r="ETM42" s="16"/>
      <c r="ETN42" s="16"/>
      <c r="ETO42" s="16"/>
      <c r="ETP42" s="16"/>
      <c r="ETQ42" s="16"/>
      <c r="ETR42" s="16"/>
      <c r="ETS42" s="16"/>
      <c r="ETT42" s="16"/>
      <c r="ETU42" s="16"/>
      <c r="ETV42" s="16"/>
      <c r="ETW42" s="16"/>
      <c r="ETX42" s="16"/>
      <c r="ETY42" s="16"/>
      <c r="ETZ42" s="16"/>
      <c r="EUA42" s="16"/>
      <c r="EUB42" s="16"/>
      <c r="EUC42" s="16"/>
      <c r="EUD42" s="16"/>
      <c r="EUE42" s="16"/>
      <c r="EUF42" s="16"/>
      <c r="EUG42" s="16"/>
      <c r="EUH42" s="16"/>
      <c r="EUI42" s="16"/>
      <c r="EUJ42" s="16"/>
      <c r="EUK42" s="16"/>
      <c r="EUL42" s="16"/>
      <c r="EUM42" s="16"/>
      <c r="EUN42" s="16"/>
      <c r="EUO42" s="16"/>
      <c r="EUP42" s="16"/>
      <c r="EUQ42" s="16"/>
      <c r="EUR42" s="16"/>
      <c r="EUS42" s="16"/>
      <c r="EUT42" s="16"/>
      <c r="EUU42" s="16"/>
      <c r="EUV42" s="16"/>
      <c r="EUW42" s="16"/>
      <c r="EUX42" s="16"/>
      <c r="EUY42" s="16"/>
      <c r="EUZ42" s="16"/>
      <c r="EVA42" s="16"/>
      <c r="EVB42" s="16"/>
      <c r="EVC42" s="16"/>
      <c r="EVD42" s="16"/>
      <c r="EVE42" s="16"/>
      <c r="EVF42" s="16"/>
      <c r="EVG42" s="16"/>
      <c r="EVH42" s="16"/>
      <c r="EVI42" s="16"/>
      <c r="EVJ42" s="16"/>
      <c r="EVK42" s="16"/>
      <c r="EVL42" s="16"/>
      <c r="EVM42" s="16"/>
      <c r="EVN42" s="16"/>
      <c r="EVO42" s="16"/>
      <c r="EVP42" s="16"/>
      <c r="EVQ42" s="16"/>
      <c r="EVR42" s="16"/>
      <c r="EVS42" s="16"/>
      <c r="EVT42" s="16"/>
      <c r="EVU42" s="16"/>
      <c r="EVV42" s="16"/>
      <c r="EVW42" s="16"/>
      <c r="EVX42" s="16"/>
      <c r="EVY42" s="16"/>
      <c r="EVZ42" s="16"/>
      <c r="EWA42" s="16"/>
      <c r="EWB42" s="16"/>
      <c r="EWC42" s="16"/>
      <c r="EWD42" s="16"/>
      <c r="EWE42" s="16"/>
      <c r="EWF42" s="16"/>
      <c r="EWG42" s="16"/>
      <c r="EWH42" s="16"/>
      <c r="EWI42" s="16"/>
      <c r="EWJ42" s="16"/>
      <c r="EWK42" s="16"/>
      <c r="EWL42" s="16"/>
      <c r="EWM42" s="16"/>
      <c r="EWN42" s="16"/>
      <c r="EWO42" s="16"/>
      <c r="EWP42" s="16"/>
      <c r="EWQ42" s="16"/>
      <c r="EWR42" s="16"/>
      <c r="EWS42" s="16"/>
      <c r="EWT42" s="16"/>
      <c r="EWU42" s="16"/>
      <c r="EWV42" s="16"/>
      <c r="EWW42" s="16"/>
      <c r="EWX42" s="16"/>
      <c r="EWY42" s="16"/>
      <c r="EWZ42" s="16"/>
      <c r="EXA42" s="16"/>
      <c r="EXB42" s="16"/>
      <c r="EXC42" s="16"/>
      <c r="EXD42" s="16"/>
      <c r="EXE42" s="16"/>
      <c r="EXF42" s="16"/>
      <c r="EXG42" s="16"/>
      <c r="EXH42" s="16"/>
      <c r="EXI42" s="16"/>
      <c r="EXJ42" s="16"/>
      <c r="EXK42" s="16"/>
      <c r="EXL42" s="16"/>
      <c r="EXM42" s="16"/>
      <c r="EXN42" s="16"/>
      <c r="EXO42" s="16"/>
      <c r="EXP42" s="16"/>
      <c r="EXQ42" s="16"/>
      <c r="EXR42" s="16"/>
      <c r="EXS42" s="16"/>
      <c r="EXT42" s="16"/>
      <c r="EXU42" s="16"/>
      <c r="EXV42" s="16"/>
      <c r="EXW42" s="16"/>
      <c r="EXX42" s="16"/>
      <c r="EXY42" s="16"/>
      <c r="EXZ42" s="16"/>
      <c r="EYA42" s="16"/>
      <c r="EYB42" s="16"/>
      <c r="EYC42" s="16"/>
      <c r="EYD42" s="16"/>
      <c r="EYE42" s="16"/>
      <c r="EYF42" s="16"/>
      <c r="EYG42" s="16"/>
      <c r="EYH42" s="16"/>
      <c r="EYI42" s="16"/>
      <c r="EYJ42" s="16"/>
      <c r="EYK42" s="16"/>
      <c r="EYL42" s="16"/>
      <c r="EYM42" s="16"/>
      <c r="EYN42" s="16"/>
      <c r="EYO42" s="16"/>
      <c r="EYP42" s="16"/>
      <c r="EYQ42" s="16"/>
      <c r="EYR42" s="16"/>
      <c r="EYS42" s="16"/>
      <c r="EYT42" s="16"/>
      <c r="EYU42" s="16"/>
      <c r="EYV42" s="16"/>
      <c r="EYW42" s="16"/>
      <c r="EYX42" s="16"/>
      <c r="EYY42" s="16"/>
      <c r="EYZ42" s="16"/>
      <c r="EZA42" s="16"/>
      <c r="EZB42" s="16"/>
      <c r="EZC42" s="16"/>
      <c r="EZD42" s="16"/>
      <c r="EZE42" s="16"/>
      <c r="EZF42" s="16"/>
      <c r="EZG42" s="16"/>
      <c r="EZH42" s="16"/>
      <c r="EZI42" s="16"/>
      <c r="EZJ42" s="16"/>
      <c r="EZK42" s="16"/>
      <c r="EZL42" s="16"/>
      <c r="EZM42" s="16"/>
      <c r="EZN42" s="16"/>
      <c r="EZO42" s="16"/>
      <c r="EZP42" s="16"/>
      <c r="EZQ42" s="16"/>
      <c r="EZR42" s="16"/>
      <c r="EZS42" s="16"/>
      <c r="EZT42" s="16"/>
      <c r="EZU42" s="16"/>
      <c r="EZV42" s="16"/>
      <c r="EZW42" s="16"/>
      <c r="EZX42" s="16"/>
      <c r="EZY42" s="16"/>
      <c r="EZZ42" s="16"/>
      <c r="FAA42" s="16"/>
      <c r="FAB42" s="16"/>
      <c r="FAC42" s="16"/>
      <c r="FAD42" s="16"/>
      <c r="FAE42" s="16"/>
      <c r="FAF42" s="16"/>
      <c r="FAG42" s="16"/>
      <c r="FAH42" s="16"/>
      <c r="FAI42" s="16"/>
      <c r="FAJ42" s="16"/>
      <c r="FAK42" s="16"/>
      <c r="FAL42" s="16"/>
      <c r="FAM42" s="16"/>
      <c r="FAN42" s="16"/>
      <c r="FAO42" s="16"/>
      <c r="FAP42" s="16"/>
      <c r="FAQ42" s="16"/>
      <c r="FAR42" s="16"/>
      <c r="FAS42" s="16"/>
      <c r="FAT42" s="16"/>
      <c r="FAU42" s="16"/>
      <c r="FAV42" s="16"/>
      <c r="FAW42" s="16"/>
      <c r="FAX42" s="16"/>
      <c r="FAY42" s="16"/>
      <c r="FAZ42" s="16"/>
      <c r="FBA42" s="16"/>
      <c r="FBB42" s="16"/>
      <c r="FBC42" s="16"/>
      <c r="FBD42" s="16"/>
      <c r="FBE42" s="16"/>
      <c r="FBF42" s="16"/>
      <c r="FBG42" s="16"/>
      <c r="FBH42" s="16"/>
      <c r="FBI42" s="16"/>
      <c r="FBJ42" s="16"/>
      <c r="FBK42" s="16"/>
      <c r="FBL42" s="16"/>
      <c r="FBM42" s="16"/>
      <c r="FBN42" s="16"/>
      <c r="FBO42" s="16"/>
      <c r="FBP42" s="16"/>
      <c r="FBQ42" s="16"/>
      <c r="FBR42" s="16"/>
      <c r="FBS42" s="16"/>
      <c r="FBT42" s="16"/>
      <c r="FBU42" s="16"/>
      <c r="FBV42" s="16"/>
      <c r="FBW42" s="16"/>
      <c r="FBX42" s="16"/>
      <c r="FBY42" s="16"/>
      <c r="FBZ42" s="16"/>
      <c r="FCA42" s="16"/>
      <c r="FCB42" s="16"/>
      <c r="FCC42" s="16"/>
      <c r="FCD42" s="16"/>
      <c r="FCE42" s="16"/>
      <c r="FCF42" s="16"/>
      <c r="FCG42" s="16"/>
      <c r="FCH42" s="16"/>
      <c r="FCI42" s="16"/>
      <c r="FCJ42" s="16"/>
      <c r="FCK42" s="16"/>
      <c r="FCL42" s="16"/>
      <c r="FCM42" s="16"/>
      <c r="FCN42" s="16"/>
      <c r="FCO42" s="16"/>
      <c r="FCP42" s="16"/>
      <c r="FCQ42" s="16"/>
      <c r="FCR42" s="16"/>
      <c r="FCS42" s="16"/>
      <c r="FCT42" s="16"/>
      <c r="FCU42" s="16"/>
      <c r="FCV42" s="16"/>
      <c r="FCW42" s="16"/>
      <c r="FCX42" s="16"/>
      <c r="FCY42" s="16"/>
      <c r="FCZ42" s="16"/>
      <c r="FDA42" s="16"/>
      <c r="FDB42" s="16"/>
      <c r="FDC42" s="16"/>
      <c r="FDD42" s="16"/>
      <c r="FDE42" s="16"/>
      <c r="FDF42" s="16"/>
      <c r="FDG42" s="16"/>
      <c r="FDH42" s="16"/>
      <c r="FDI42" s="16"/>
      <c r="FDJ42" s="16"/>
      <c r="FDK42" s="16"/>
      <c r="FDL42" s="16"/>
      <c r="FDM42" s="16"/>
      <c r="FDN42" s="16"/>
      <c r="FDO42" s="16"/>
      <c r="FDP42" s="16"/>
      <c r="FDQ42" s="16"/>
      <c r="FDR42" s="16"/>
      <c r="FDS42" s="16"/>
      <c r="FDT42" s="16"/>
      <c r="FDU42" s="16"/>
      <c r="FDV42" s="16"/>
      <c r="FDW42" s="16"/>
      <c r="FDX42" s="16"/>
      <c r="FDY42" s="16"/>
      <c r="FDZ42" s="16"/>
      <c r="FEA42" s="16"/>
      <c r="FEB42" s="16"/>
      <c r="FEC42" s="16"/>
      <c r="FED42" s="16"/>
      <c r="FEE42" s="16"/>
      <c r="FEF42" s="16"/>
      <c r="FEG42" s="16"/>
      <c r="FEH42" s="16"/>
      <c r="FEI42" s="16"/>
      <c r="FEJ42" s="16"/>
      <c r="FEK42" s="16"/>
      <c r="FEL42" s="16"/>
      <c r="FEM42" s="16"/>
      <c r="FEN42" s="16"/>
      <c r="FEO42" s="16"/>
      <c r="FEP42" s="16"/>
      <c r="FEQ42" s="16"/>
      <c r="FER42" s="16"/>
      <c r="FES42" s="16"/>
      <c r="FET42" s="16"/>
      <c r="FEU42" s="16"/>
      <c r="FEV42" s="16"/>
      <c r="FEW42" s="16"/>
      <c r="FEX42" s="16"/>
      <c r="FEY42" s="16"/>
      <c r="FEZ42" s="16"/>
      <c r="FFA42" s="16"/>
      <c r="FFB42" s="16"/>
      <c r="FFC42" s="16"/>
      <c r="FFD42" s="16"/>
      <c r="FFE42" s="16"/>
      <c r="FFF42" s="16"/>
      <c r="FFG42" s="16"/>
      <c r="FFH42" s="16"/>
      <c r="FFI42" s="16"/>
      <c r="FFJ42" s="16"/>
      <c r="FFK42" s="16"/>
      <c r="FFL42" s="16"/>
      <c r="FFM42" s="16"/>
      <c r="FFN42" s="16"/>
      <c r="FFO42" s="16"/>
      <c r="FFP42" s="16"/>
      <c r="FFQ42" s="16"/>
      <c r="FFR42" s="16"/>
      <c r="FFS42" s="16"/>
      <c r="FFT42" s="16"/>
      <c r="FFU42" s="16"/>
      <c r="FFV42" s="16"/>
      <c r="FFW42" s="16"/>
      <c r="FFX42" s="16"/>
      <c r="FFY42" s="16"/>
      <c r="FFZ42" s="16"/>
      <c r="FGA42" s="16"/>
      <c r="FGB42" s="16"/>
      <c r="FGC42" s="16"/>
      <c r="FGD42" s="16"/>
      <c r="FGE42" s="16"/>
      <c r="FGF42" s="16"/>
      <c r="FGG42" s="16"/>
      <c r="FGH42" s="16"/>
      <c r="FGI42" s="16"/>
      <c r="FGJ42" s="16"/>
      <c r="FGK42" s="16"/>
      <c r="FGL42" s="16"/>
      <c r="FGM42" s="16"/>
      <c r="FGN42" s="16"/>
      <c r="FGO42" s="16"/>
      <c r="FGP42" s="16"/>
      <c r="FGQ42" s="16"/>
      <c r="FGR42" s="16"/>
      <c r="FGS42" s="16"/>
      <c r="FGT42" s="16"/>
      <c r="FGU42" s="16"/>
      <c r="FGV42" s="16"/>
      <c r="FGW42" s="16"/>
      <c r="FGX42" s="16"/>
      <c r="FGY42" s="16"/>
      <c r="FGZ42" s="16"/>
      <c r="FHA42" s="16"/>
      <c r="FHB42" s="16"/>
      <c r="FHC42" s="16"/>
      <c r="FHD42" s="16"/>
      <c r="FHE42" s="16"/>
      <c r="FHF42" s="16"/>
      <c r="FHG42" s="16"/>
      <c r="FHH42" s="16"/>
      <c r="FHI42" s="16"/>
      <c r="FHJ42" s="16"/>
      <c r="FHK42" s="16"/>
      <c r="FHL42" s="16"/>
      <c r="FHM42" s="16"/>
      <c r="FHN42" s="16"/>
      <c r="FHO42" s="16"/>
      <c r="FHP42" s="16"/>
      <c r="FHQ42" s="16"/>
      <c r="FHR42" s="16"/>
      <c r="FHS42" s="16"/>
      <c r="FHT42" s="16"/>
      <c r="FHU42" s="16"/>
      <c r="FHV42" s="16"/>
      <c r="FHW42" s="16"/>
      <c r="FHX42" s="16"/>
      <c r="FHY42" s="16"/>
      <c r="FHZ42" s="16"/>
      <c r="FIA42" s="16"/>
      <c r="FIB42" s="16"/>
      <c r="FIC42" s="16"/>
      <c r="FID42" s="16"/>
      <c r="FIE42" s="16"/>
      <c r="FIF42" s="16"/>
      <c r="FIG42" s="16"/>
      <c r="FIH42" s="16"/>
      <c r="FII42" s="16"/>
      <c r="FIJ42" s="16"/>
      <c r="FIK42" s="16"/>
      <c r="FIL42" s="16"/>
      <c r="FIM42" s="16"/>
      <c r="FIN42" s="16"/>
      <c r="FIO42" s="16"/>
      <c r="FIP42" s="16"/>
      <c r="FIQ42" s="16"/>
      <c r="FIR42" s="16"/>
      <c r="FIS42" s="16"/>
      <c r="FIT42" s="16"/>
      <c r="FIU42" s="16"/>
      <c r="FIV42" s="16"/>
      <c r="FIW42" s="16"/>
      <c r="FIX42" s="16"/>
      <c r="FIY42" s="16"/>
      <c r="FIZ42" s="16"/>
      <c r="FJA42" s="16"/>
      <c r="FJB42" s="16"/>
      <c r="FJC42" s="16"/>
      <c r="FJD42" s="16"/>
      <c r="FJE42" s="16"/>
      <c r="FJF42" s="16"/>
      <c r="FJG42" s="16"/>
      <c r="FJH42" s="16"/>
      <c r="FJI42" s="16"/>
      <c r="FJJ42" s="16"/>
      <c r="FJK42" s="16"/>
      <c r="FJL42" s="16"/>
      <c r="FJM42" s="16"/>
      <c r="FJN42" s="16"/>
      <c r="FJO42" s="16"/>
      <c r="FJP42" s="16"/>
      <c r="FJQ42" s="16"/>
      <c r="FJR42" s="16"/>
      <c r="FJS42" s="16"/>
      <c r="FJT42" s="16"/>
      <c r="FJU42" s="16"/>
      <c r="FJV42" s="16"/>
      <c r="FJW42" s="16"/>
      <c r="FJX42" s="16"/>
      <c r="FJY42" s="16"/>
      <c r="FJZ42" s="16"/>
      <c r="FKA42" s="16"/>
      <c r="FKB42" s="16"/>
      <c r="FKC42" s="16"/>
      <c r="FKD42" s="16"/>
      <c r="FKE42" s="16"/>
      <c r="FKF42" s="16"/>
      <c r="FKG42" s="16"/>
      <c r="FKH42" s="16"/>
      <c r="FKI42" s="16"/>
      <c r="FKJ42" s="16"/>
      <c r="FKK42" s="16"/>
      <c r="FKL42" s="16"/>
      <c r="FKM42" s="16"/>
      <c r="FKN42" s="16"/>
      <c r="FKO42" s="16"/>
      <c r="FKP42" s="16"/>
      <c r="FKQ42" s="16"/>
      <c r="FKR42" s="16"/>
      <c r="FKS42" s="16"/>
      <c r="FKT42" s="16"/>
      <c r="FKU42" s="16"/>
      <c r="FKV42" s="16"/>
      <c r="FKW42" s="16"/>
      <c r="FKX42" s="16"/>
      <c r="FKY42" s="16"/>
      <c r="FKZ42" s="16"/>
      <c r="FLA42" s="16"/>
      <c r="FLB42" s="16"/>
      <c r="FLC42" s="16"/>
      <c r="FLD42" s="16"/>
      <c r="FLE42" s="16"/>
      <c r="FLF42" s="16"/>
      <c r="FLG42" s="16"/>
      <c r="FLH42" s="16"/>
      <c r="FLI42" s="16"/>
      <c r="FLJ42" s="16"/>
      <c r="FLK42" s="16"/>
      <c r="FLL42" s="16"/>
      <c r="FLM42" s="16"/>
      <c r="FLN42" s="16"/>
      <c r="FLO42" s="16"/>
      <c r="FLP42" s="16"/>
      <c r="FLQ42" s="16"/>
      <c r="FLR42" s="16"/>
      <c r="FLS42" s="16"/>
      <c r="FLT42" s="16"/>
      <c r="FLU42" s="16"/>
      <c r="FLV42" s="16"/>
      <c r="FLW42" s="16"/>
      <c r="FLX42" s="16"/>
      <c r="FLY42" s="16"/>
      <c r="FLZ42" s="16"/>
      <c r="FMA42" s="16"/>
      <c r="FMB42" s="16"/>
      <c r="FMC42" s="16"/>
      <c r="FMD42" s="16"/>
      <c r="FME42" s="16"/>
      <c r="FMF42" s="16"/>
      <c r="FMG42" s="16"/>
      <c r="FMH42" s="16"/>
      <c r="FMI42" s="16"/>
      <c r="FMJ42" s="16"/>
      <c r="FMK42" s="16"/>
      <c r="FML42" s="16"/>
      <c r="FMM42" s="16"/>
      <c r="FMN42" s="16"/>
      <c r="FMO42" s="16"/>
      <c r="FMP42" s="16"/>
      <c r="FMQ42" s="16"/>
      <c r="FMR42" s="16"/>
      <c r="FMS42" s="16"/>
      <c r="FMT42" s="16"/>
      <c r="FMU42" s="16"/>
      <c r="FMV42" s="16"/>
      <c r="FMW42" s="16"/>
      <c r="FMX42" s="16"/>
      <c r="FMY42" s="16"/>
      <c r="FMZ42" s="16"/>
      <c r="FNA42" s="16"/>
      <c r="FNB42" s="16"/>
      <c r="FNC42" s="16"/>
      <c r="FND42" s="16"/>
      <c r="FNE42" s="16"/>
      <c r="FNF42" s="16"/>
      <c r="FNG42" s="16"/>
      <c r="FNH42" s="16"/>
      <c r="FNI42" s="16"/>
      <c r="FNJ42" s="16"/>
      <c r="FNK42" s="16"/>
      <c r="FNL42" s="16"/>
      <c r="FNM42" s="16"/>
      <c r="FNN42" s="16"/>
      <c r="FNO42" s="16"/>
      <c r="FNP42" s="16"/>
      <c r="FNQ42" s="16"/>
      <c r="FNR42" s="16"/>
      <c r="FNS42" s="16"/>
      <c r="FNT42" s="16"/>
      <c r="FNU42" s="16"/>
      <c r="FNV42" s="16"/>
      <c r="FNW42" s="16"/>
      <c r="FNX42" s="16"/>
      <c r="FNY42" s="16"/>
      <c r="FNZ42" s="16"/>
      <c r="FOA42" s="16"/>
      <c r="FOB42" s="16"/>
      <c r="FOC42" s="16"/>
      <c r="FOD42" s="16"/>
      <c r="FOE42" s="16"/>
      <c r="FOF42" s="16"/>
      <c r="FOG42" s="16"/>
      <c r="FOH42" s="16"/>
      <c r="FOI42" s="16"/>
      <c r="FOJ42" s="16"/>
      <c r="FOK42" s="16"/>
      <c r="FOL42" s="16"/>
      <c r="FOM42" s="16"/>
      <c r="FON42" s="16"/>
      <c r="FOO42" s="16"/>
      <c r="FOP42" s="16"/>
      <c r="FOQ42" s="16"/>
      <c r="FOR42" s="16"/>
      <c r="FOS42" s="16"/>
      <c r="FOT42" s="16"/>
      <c r="FOU42" s="16"/>
      <c r="FOV42" s="16"/>
      <c r="FOW42" s="16"/>
      <c r="FOX42" s="16"/>
      <c r="FOY42" s="16"/>
      <c r="FOZ42" s="16"/>
      <c r="FPA42" s="16"/>
      <c r="FPB42" s="16"/>
      <c r="FPC42" s="16"/>
      <c r="FPD42" s="16"/>
      <c r="FPE42" s="16"/>
      <c r="FPF42" s="16"/>
      <c r="FPG42" s="16"/>
      <c r="FPH42" s="16"/>
      <c r="FPI42" s="16"/>
      <c r="FPJ42" s="16"/>
      <c r="FPK42" s="16"/>
      <c r="FPL42" s="16"/>
      <c r="FPM42" s="16"/>
      <c r="FPN42" s="16"/>
      <c r="FPO42" s="16"/>
      <c r="FPP42" s="16"/>
      <c r="FPQ42" s="16"/>
      <c r="FPR42" s="16"/>
      <c r="FPS42" s="16"/>
      <c r="FPT42" s="16"/>
      <c r="FPU42" s="16"/>
      <c r="FPV42" s="16"/>
      <c r="FPW42" s="16"/>
      <c r="FPX42" s="16"/>
      <c r="FPY42" s="16"/>
      <c r="FPZ42" s="16"/>
      <c r="FQA42" s="16"/>
      <c r="FQB42" s="16"/>
      <c r="FQC42" s="16"/>
      <c r="FQD42" s="16"/>
      <c r="FQE42" s="16"/>
      <c r="FQF42" s="16"/>
      <c r="FQG42" s="16"/>
      <c r="FQH42" s="16"/>
      <c r="FQI42" s="16"/>
      <c r="FQJ42" s="16"/>
      <c r="FQK42" s="16"/>
      <c r="FQL42" s="16"/>
      <c r="FQM42" s="16"/>
      <c r="FQN42" s="16"/>
      <c r="FQO42" s="16"/>
      <c r="FQP42" s="16"/>
      <c r="FQQ42" s="16"/>
      <c r="FQR42" s="16"/>
      <c r="FQS42" s="16"/>
      <c r="FQT42" s="16"/>
      <c r="FQU42" s="16"/>
      <c r="FQV42" s="16"/>
      <c r="FQW42" s="16"/>
      <c r="FQX42" s="16"/>
      <c r="FQY42" s="16"/>
      <c r="FQZ42" s="16"/>
      <c r="FRA42" s="16"/>
      <c r="FRB42" s="16"/>
      <c r="FRC42" s="16"/>
      <c r="FRD42" s="16"/>
      <c r="FRE42" s="16"/>
      <c r="FRF42" s="16"/>
      <c r="FRG42" s="16"/>
      <c r="FRH42" s="16"/>
      <c r="FRI42" s="16"/>
      <c r="FRJ42" s="16"/>
      <c r="FRK42" s="16"/>
      <c r="FRL42" s="16"/>
      <c r="FRM42" s="16"/>
      <c r="FRN42" s="16"/>
      <c r="FRO42" s="16"/>
      <c r="FRP42" s="16"/>
      <c r="FRQ42" s="16"/>
      <c r="FRR42" s="16"/>
      <c r="FRS42" s="16"/>
      <c r="FRT42" s="16"/>
      <c r="FRU42" s="16"/>
      <c r="FRV42" s="16"/>
      <c r="FRW42" s="16"/>
      <c r="FRX42" s="16"/>
      <c r="FRY42" s="16"/>
      <c r="FRZ42" s="16"/>
      <c r="FSA42" s="16"/>
      <c r="FSB42" s="16"/>
      <c r="FSC42" s="16"/>
      <c r="FSD42" s="16"/>
      <c r="FSE42" s="16"/>
      <c r="FSF42" s="16"/>
      <c r="FSG42" s="16"/>
      <c r="FSH42" s="16"/>
      <c r="FSI42" s="16"/>
      <c r="FSJ42" s="16"/>
      <c r="FSK42" s="16"/>
      <c r="FSL42" s="16"/>
      <c r="FSM42" s="16"/>
      <c r="FSN42" s="16"/>
      <c r="FSO42" s="16"/>
      <c r="FSP42" s="16"/>
      <c r="FSQ42" s="16"/>
      <c r="FSR42" s="16"/>
      <c r="FSS42" s="16"/>
      <c r="FST42" s="16"/>
      <c r="FSU42" s="16"/>
      <c r="FSV42" s="16"/>
      <c r="FSW42" s="16"/>
      <c r="FSX42" s="16"/>
      <c r="FSY42" s="16"/>
      <c r="FSZ42" s="16"/>
      <c r="FTA42" s="16"/>
      <c r="FTB42" s="16"/>
      <c r="FTC42" s="16"/>
      <c r="FTD42" s="16"/>
      <c r="FTE42" s="16"/>
      <c r="FTF42" s="16"/>
      <c r="FTG42" s="16"/>
      <c r="FTH42" s="16"/>
      <c r="FTI42" s="16"/>
      <c r="FTJ42" s="16"/>
      <c r="FTK42" s="16"/>
      <c r="FTL42" s="16"/>
      <c r="FTM42" s="16"/>
      <c r="FTN42" s="16"/>
      <c r="FTO42" s="16"/>
      <c r="FTP42" s="16"/>
      <c r="FTQ42" s="16"/>
      <c r="FTR42" s="16"/>
      <c r="FTS42" s="16"/>
      <c r="FTT42" s="16"/>
      <c r="FTU42" s="16"/>
      <c r="FTV42" s="16"/>
      <c r="FTW42" s="16"/>
      <c r="FTX42" s="16"/>
      <c r="FTY42" s="16"/>
      <c r="FTZ42" s="16"/>
      <c r="FUA42" s="16"/>
      <c r="FUB42" s="16"/>
      <c r="FUC42" s="16"/>
      <c r="FUD42" s="16"/>
      <c r="FUE42" s="16"/>
      <c r="FUF42" s="16"/>
      <c r="FUG42" s="16"/>
      <c r="FUH42" s="16"/>
      <c r="FUI42" s="16"/>
      <c r="FUJ42" s="16"/>
      <c r="FUK42" s="16"/>
      <c r="FUL42" s="16"/>
      <c r="FUM42" s="16"/>
      <c r="FUN42" s="16"/>
      <c r="FUO42" s="16"/>
      <c r="FUP42" s="16"/>
      <c r="FUQ42" s="16"/>
      <c r="FUR42" s="16"/>
      <c r="FUS42" s="16"/>
      <c r="FUT42" s="16"/>
      <c r="FUU42" s="16"/>
      <c r="FUV42" s="16"/>
      <c r="FUW42" s="16"/>
      <c r="FUX42" s="16"/>
      <c r="FUY42" s="16"/>
      <c r="FUZ42" s="16"/>
      <c r="FVA42" s="16"/>
      <c r="FVB42" s="16"/>
      <c r="FVC42" s="16"/>
      <c r="FVD42" s="16"/>
      <c r="FVE42" s="16"/>
      <c r="FVF42" s="16"/>
      <c r="FVG42" s="16"/>
      <c r="FVH42" s="16"/>
      <c r="FVI42" s="16"/>
      <c r="FVJ42" s="16"/>
      <c r="FVK42" s="16"/>
      <c r="FVL42" s="16"/>
      <c r="FVM42" s="16"/>
      <c r="FVN42" s="16"/>
      <c r="FVO42" s="16"/>
      <c r="FVP42" s="16"/>
      <c r="FVQ42" s="16"/>
      <c r="FVR42" s="16"/>
      <c r="FVS42" s="16"/>
      <c r="FVT42" s="16"/>
      <c r="FVU42" s="16"/>
      <c r="FVV42" s="16"/>
      <c r="FVW42" s="16"/>
      <c r="FVX42" s="16"/>
      <c r="FVY42" s="16"/>
      <c r="FVZ42" s="16"/>
      <c r="FWA42" s="16"/>
      <c r="FWB42" s="16"/>
      <c r="FWC42" s="16"/>
      <c r="FWD42" s="16"/>
      <c r="FWE42" s="16"/>
      <c r="FWF42" s="16"/>
      <c r="FWG42" s="16"/>
      <c r="FWH42" s="16"/>
      <c r="FWI42" s="16"/>
      <c r="FWJ42" s="16"/>
      <c r="FWK42" s="16"/>
      <c r="FWL42" s="16"/>
      <c r="FWM42" s="16"/>
      <c r="FWN42" s="16"/>
      <c r="FWO42" s="16"/>
      <c r="FWP42" s="16"/>
      <c r="FWQ42" s="16"/>
      <c r="FWR42" s="16"/>
      <c r="FWS42" s="16"/>
      <c r="FWT42" s="16"/>
      <c r="FWU42" s="16"/>
      <c r="FWV42" s="16"/>
      <c r="FWW42" s="16"/>
      <c r="FWX42" s="16"/>
      <c r="FWY42" s="16"/>
      <c r="FWZ42" s="16"/>
      <c r="FXA42" s="16"/>
      <c r="FXB42" s="16"/>
      <c r="FXC42" s="16"/>
      <c r="FXD42" s="16"/>
      <c r="FXE42" s="16"/>
      <c r="FXF42" s="16"/>
      <c r="FXG42" s="16"/>
      <c r="FXH42" s="16"/>
      <c r="FXI42" s="16"/>
      <c r="FXJ42" s="16"/>
      <c r="FXK42" s="16"/>
      <c r="FXL42" s="16"/>
      <c r="FXM42" s="16"/>
      <c r="FXN42" s="16"/>
      <c r="FXO42" s="16"/>
      <c r="FXP42" s="16"/>
      <c r="FXQ42" s="16"/>
      <c r="FXR42" s="16"/>
      <c r="FXS42" s="16"/>
      <c r="FXT42" s="16"/>
      <c r="FXU42" s="16"/>
      <c r="FXV42" s="16"/>
      <c r="FXW42" s="16"/>
      <c r="FXX42" s="16"/>
      <c r="FXY42" s="16"/>
      <c r="FXZ42" s="16"/>
      <c r="FYA42" s="16"/>
      <c r="FYB42" s="16"/>
      <c r="FYC42" s="16"/>
      <c r="FYD42" s="16"/>
      <c r="FYE42" s="16"/>
      <c r="FYF42" s="16"/>
      <c r="FYG42" s="16"/>
      <c r="FYH42" s="16"/>
      <c r="FYI42" s="16"/>
      <c r="FYJ42" s="16"/>
      <c r="FYK42" s="16"/>
      <c r="FYL42" s="16"/>
      <c r="FYM42" s="16"/>
      <c r="FYN42" s="16"/>
      <c r="FYO42" s="16"/>
      <c r="FYP42" s="16"/>
      <c r="FYQ42" s="16"/>
      <c r="FYR42" s="16"/>
      <c r="FYS42" s="16"/>
      <c r="FYT42" s="16"/>
      <c r="FYU42" s="16"/>
      <c r="FYV42" s="16"/>
      <c r="FYW42" s="16"/>
      <c r="FYX42" s="16"/>
      <c r="FYY42" s="16"/>
      <c r="FYZ42" s="16"/>
      <c r="FZA42" s="16"/>
      <c r="FZB42" s="16"/>
      <c r="FZC42" s="16"/>
      <c r="FZD42" s="16"/>
      <c r="FZE42" s="16"/>
      <c r="FZF42" s="16"/>
      <c r="FZG42" s="16"/>
      <c r="FZH42" s="16"/>
      <c r="FZI42" s="16"/>
      <c r="FZJ42" s="16"/>
      <c r="FZK42" s="16"/>
      <c r="FZL42" s="16"/>
      <c r="FZM42" s="16"/>
      <c r="FZN42" s="16"/>
      <c r="FZO42" s="16"/>
      <c r="FZP42" s="16"/>
      <c r="FZQ42" s="16"/>
      <c r="FZR42" s="16"/>
      <c r="FZS42" s="16"/>
      <c r="FZT42" s="16"/>
      <c r="FZU42" s="16"/>
      <c r="FZV42" s="16"/>
      <c r="FZW42" s="16"/>
      <c r="FZX42" s="16"/>
      <c r="FZY42" s="16"/>
      <c r="FZZ42" s="16"/>
      <c r="GAA42" s="16"/>
      <c r="GAB42" s="16"/>
      <c r="GAC42" s="16"/>
      <c r="GAD42" s="16"/>
      <c r="GAE42" s="16"/>
      <c r="GAF42" s="16"/>
      <c r="GAG42" s="16"/>
      <c r="GAH42" s="16"/>
      <c r="GAI42" s="16"/>
      <c r="GAJ42" s="16"/>
      <c r="GAK42" s="16"/>
      <c r="GAL42" s="16"/>
      <c r="GAM42" s="16"/>
      <c r="GAN42" s="16"/>
      <c r="GAO42" s="16"/>
      <c r="GAP42" s="16"/>
      <c r="GAQ42" s="16"/>
      <c r="GAR42" s="16"/>
      <c r="GAS42" s="16"/>
      <c r="GAT42" s="16"/>
      <c r="GAU42" s="16"/>
      <c r="GAV42" s="16"/>
      <c r="GAW42" s="16"/>
      <c r="GAX42" s="16"/>
      <c r="GAY42" s="16"/>
      <c r="GAZ42" s="16"/>
      <c r="GBA42" s="16"/>
      <c r="GBB42" s="16"/>
      <c r="GBC42" s="16"/>
      <c r="GBD42" s="16"/>
      <c r="GBE42" s="16"/>
      <c r="GBF42" s="16"/>
      <c r="GBG42" s="16"/>
      <c r="GBH42" s="16"/>
      <c r="GBI42" s="16"/>
      <c r="GBJ42" s="16"/>
      <c r="GBK42" s="16"/>
      <c r="GBL42" s="16"/>
      <c r="GBM42" s="16"/>
      <c r="GBN42" s="16"/>
      <c r="GBO42" s="16"/>
      <c r="GBP42" s="16"/>
      <c r="GBQ42" s="16"/>
      <c r="GBR42" s="16"/>
      <c r="GBS42" s="16"/>
      <c r="GBT42" s="16"/>
      <c r="GBU42" s="16"/>
      <c r="GBV42" s="16"/>
      <c r="GBW42" s="16"/>
      <c r="GBX42" s="16"/>
      <c r="GBY42" s="16"/>
      <c r="GBZ42" s="16"/>
      <c r="GCA42" s="16"/>
      <c r="GCB42" s="16"/>
      <c r="GCC42" s="16"/>
      <c r="GCD42" s="16"/>
      <c r="GCE42" s="16"/>
      <c r="GCF42" s="16"/>
      <c r="GCG42" s="16"/>
      <c r="GCH42" s="16"/>
      <c r="GCI42" s="16"/>
      <c r="GCJ42" s="16"/>
      <c r="GCK42" s="16"/>
      <c r="GCL42" s="16"/>
      <c r="GCM42" s="16"/>
      <c r="GCN42" s="16"/>
      <c r="GCO42" s="16"/>
      <c r="GCP42" s="16"/>
      <c r="GCQ42" s="16"/>
      <c r="GCR42" s="16"/>
      <c r="GCS42" s="16"/>
      <c r="GCT42" s="16"/>
      <c r="GCU42" s="16"/>
      <c r="GCV42" s="16"/>
      <c r="GCW42" s="16"/>
      <c r="GCX42" s="16"/>
      <c r="GCY42" s="16"/>
      <c r="GCZ42" s="16"/>
      <c r="GDA42" s="16"/>
      <c r="GDB42" s="16"/>
      <c r="GDC42" s="16"/>
      <c r="GDD42" s="16"/>
      <c r="GDE42" s="16"/>
      <c r="GDF42" s="16"/>
      <c r="GDG42" s="16"/>
      <c r="GDH42" s="16"/>
      <c r="GDI42" s="16"/>
      <c r="GDJ42" s="16"/>
      <c r="GDK42" s="16"/>
      <c r="GDL42" s="16"/>
      <c r="GDM42" s="16"/>
      <c r="GDN42" s="16"/>
      <c r="GDO42" s="16"/>
      <c r="GDP42" s="16"/>
      <c r="GDQ42" s="16"/>
      <c r="GDR42" s="16"/>
      <c r="GDS42" s="16"/>
      <c r="GDT42" s="16"/>
      <c r="GDU42" s="16"/>
      <c r="GDV42" s="16"/>
      <c r="GDW42" s="16"/>
      <c r="GDX42" s="16"/>
      <c r="GDY42" s="16"/>
      <c r="GDZ42" s="16"/>
      <c r="GEA42" s="16"/>
      <c r="GEB42" s="16"/>
      <c r="GEC42" s="16"/>
      <c r="GED42" s="16"/>
      <c r="GEE42" s="16"/>
      <c r="GEF42" s="16"/>
      <c r="GEG42" s="16"/>
      <c r="GEH42" s="16"/>
      <c r="GEI42" s="16"/>
      <c r="GEJ42" s="16"/>
      <c r="GEK42" s="16"/>
      <c r="GEL42" s="16"/>
      <c r="GEM42" s="16"/>
      <c r="GEN42" s="16"/>
      <c r="GEO42" s="16"/>
      <c r="GEP42" s="16"/>
      <c r="GEQ42" s="16"/>
      <c r="GER42" s="16"/>
      <c r="GES42" s="16"/>
      <c r="GET42" s="16"/>
      <c r="GEU42" s="16"/>
      <c r="GEV42" s="16"/>
      <c r="GEW42" s="16"/>
      <c r="GEX42" s="16"/>
      <c r="GEY42" s="16"/>
      <c r="GEZ42" s="16"/>
      <c r="GFA42" s="16"/>
      <c r="GFB42" s="16"/>
      <c r="GFC42" s="16"/>
      <c r="GFD42" s="16"/>
      <c r="GFE42" s="16"/>
      <c r="GFF42" s="16"/>
      <c r="GFG42" s="16"/>
      <c r="GFH42" s="16"/>
      <c r="GFI42" s="16"/>
      <c r="GFJ42" s="16"/>
      <c r="GFK42" s="16"/>
      <c r="GFL42" s="16"/>
      <c r="GFM42" s="16"/>
      <c r="GFN42" s="16"/>
      <c r="GFO42" s="16"/>
      <c r="GFP42" s="16"/>
      <c r="GFQ42" s="16"/>
      <c r="GFR42" s="16"/>
      <c r="GFS42" s="16"/>
      <c r="GFT42" s="16"/>
      <c r="GFU42" s="16"/>
      <c r="GFV42" s="16"/>
      <c r="GFW42" s="16"/>
      <c r="GFX42" s="16"/>
      <c r="GFY42" s="16"/>
      <c r="GFZ42" s="16"/>
      <c r="GGA42" s="16"/>
      <c r="GGB42" s="16"/>
      <c r="GGC42" s="16"/>
      <c r="GGD42" s="16"/>
      <c r="GGE42" s="16"/>
      <c r="GGF42" s="16"/>
      <c r="GGG42" s="16"/>
      <c r="GGH42" s="16"/>
      <c r="GGI42" s="16"/>
      <c r="GGJ42" s="16"/>
      <c r="GGK42" s="16"/>
      <c r="GGL42" s="16"/>
      <c r="GGM42" s="16"/>
      <c r="GGN42" s="16"/>
      <c r="GGO42" s="16"/>
      <c r="GGP42" s="16"/>
      <c r="GGQ42" s="16"/>
      <c r="GGR42" s="16"/>
      <c r="GGS42" s="16"/>
      <c r="GGT42" s="16"/>
      <c r="GGU42" s="16"/>
      <c r="GGV42" s="16"/>
      <c r="GGW42" s="16"/>
      <c r="GGX42" s="16"/>
      <c r="GGY42" s="16"/>
      <c r="GGZ42" s="16"/>
      <c r="GHA42" s="16"/>
      <c r="GHB42" s="16"/>
      <c r="GHC42" s="16"/>
      <c r="GHD42" s="16"/>
      <c r="GHE42" s="16"/>
      <c r="GHF42" s="16"/>
      <c r="GHG42" s="16"/>
      <c r="GHH42" s="16"/>
      <c r="GHI42" s="16"/>
      <c r="GHJ42" s="16"/>
      <c r="GHK42" s="16"/>
      <c r="GHL42" s="16"/>
      <c r="GHM42" s="16"/>
      <c r="GHN42" s="16"/>
      <c r="GHO42" s="16"/>
      <c r="GHP42" s="16"/>
      <c r="GHQ42" s="16"/>
      <c r="GHR42" s="16"/>
      <c r="GHS42" s="16"/>
      <c r="GHT42" s="16"/>
      <c r="GHU42" s="16"/>
      <c r="GHV42" s="16"/>
      <c r="GHW42" s="16"/>
      <c r="GHX42" s="16"/>
      <c r="GHY42" s="16"/>
      <c r="GHZ42" s="16"/>
      <c r="GIA42" s="16"/>
      <c r="GIB42" s="16"/>
      <c r="GIC42" s="16"/>
      <c r="GID42" s="16"/>
      <c r="GIE42" s="16"/>
      <c r="GIF42" s="16"/>
      <c r="GIG42" s="16"/>
      <c r="GIH42" s="16"/>
      <c r="GII42" s="16"/>
      <c r="GIJ42" s="16"/>
      <c r="GIK42" s="16"/>
      <c r="GIL42" s="16"/>
      <c r="GIM42" s="16"/>
      <c r="GIN42" s="16"/>
      <c r="GIO42" s="16"/>
      <c r="GIP42" s="16"/>
      <c r="GIQ42" s="16"/>
      <c r="GIR42" s="16"/>
      <c r="GIS42" s="16"/>
      <c r="GIT42" s="16"/>
      <c r="GIU42" s="16"/>
      <c r="GIV42" s="16"/>
      <c r="GIW42" s="16"/>
      <c r="GIX42" s="16"/>
      <c r="GIY42" s="16"/>
      <c r="GIZ42" s="16"/>
      <c r="GJA42" s="16"/>
      <c r="GJB42" s="16"/>
      <c r="GJC42" s="16"/>
      <c r="GJD42" s="16"/>
      <c r="GJE42" s="16"/>
      <c r="GJF42" s="16"/>
      <c r="GJG42" s="16"/>
      <c r="GJH42" s="16"/>
      <c r="GJI42" s="16"/>
      <c r="GJJ42" s="16"/>
      <c r="GJK42" s="16"/>
      <c r="GJL42" s="16"/>
      <c r="GJM42" s="16"/>
      <c r="GJN42" s="16"/>
      <c r="GJO42" s="16"/>
      <c r="GJP42" s="16"/>
      <c r="GJQ42" s="16"/>
      <c r="GJR42" s="16"/>
      <c r="GJS42" s="16"/>
      <c r="GJT42" s="16"/>
      <c r="GJU42" s="16"/>
      <c r="GJV42" s="16"/>
      <c r="GJW42" s="16"/>
      <c r="GJX42" s="16"/>
      <c r="GJY42" s="16"/>
      <c r="GJZ42" s="16"/>
      <c r="GKA42" s="16"/>
      <c r="GKB42" s="16"/>
      <c r="GKC42" s="16"/>
      <c r="GKD42" s="16"/>
      <c r="GKE42" s="16"/>
      <c r="GKF42" s="16"/>
      <c r="GKG42" s="16"/>
      <c r="GKH42" s="16"/>
      <c r="GKI42" s="16"/>
      <c r="GKJ42" s="16"/>
      <c r="GKK42" s="16"/>
      <c r="GKL42" s="16"/>
      <c r="GKM42" s="16"/>
      <c r="GKN42" s="16"/>
      <c r="GKO42" s="16"/>
      <c r="GKP42" s="16"/>
      <c r="GKQ42" s="16"/>
      <c r="GKR42" s="16"/>
      <c r="GKS42" s="16"/>
      <c r="GKT42" s="16"/>
      <c r="GKU42" s="16"/>
      <c r="GKV42" s="16"/>
      <c r="GKW42" s="16"/>
      <c r="GKX42" s="16"/>
      <c r="GKY42" s="16"/>
      <c r="GKZ42" s="16"/>
      <c r="GLA42" s="16"/>
      <c r="GLB42" s="16"/>
      <c r="GLC42" s="16"/>
      <c r="GLD42" s="16"/>
      <c r="GLE42" s="16"/>
      <c r="GLF42" s="16"/>
      <c r="GLG42" s="16"/>
      <c r="GLH42" s="16"/>
      <c r="GLI42" s="16"/>
      <c r="GLJ42" s="16"/>
      <c r="GLK42" s="16"/>
      <c r="GLL42" s="16"/>
      <c r="GLM42" s="16"/>
      <c r="GLN42" s="16"/>
      <c r="GLO42" s="16"/>
      <c r="GLP42" s="16"/>
      <c r="GLQ42" s="16"/>
      <c r="GLR42" s="16"/>
      <c r="GLS42" s="16"/>
      <c r="GLT42" s="16"/>
      <c r="GLU42" s="16"/>
      <c r="GLV42" s="16"/>
      <c r="GLW42" s="16"/>
      <c r="GLX42" s="16"/>
      <c r="GLY42" s="16"/>
      <c r="GLZ42" s="16"/>
      <c r="GMA42" s="16"/>
      <c r="GMB42" s="16"/>
      <c r="GMC42" s="16"/>
      <c r="GMD42" s="16"/>
      <c r="GME42" s="16"/>
      <c r="GMF42" s="16"/>
      <c r="GMG42" s="16"/>
      <c r="GMH42" s="16"/>
      <c r="GMI42" s="16"/>
      <c r="GMJ42" s="16"/>
      <c r="GMK42" s="16"/>
      <c r="GML42" s="16"/>
      <c r="GMM42" s="16"/>
      <c r="GMN42" s="16"/>
      <c r="GMO42" s="16"/>
      <c r="GMP42" s="16"/>
      <c r="GMQ42" s="16"/>
      <c r="GMR42" s="16"/>
      <c r="GMS42" s="16"/>
      <c r="GMT42" s="16"/>
      <c r="GMU42" s="16"/>
      <c r="GMV42" s="16"/>
      <c r="GMW42" s="16"/>
      <c r="GMX42" s="16"/>
      <c r="GMY42" s="16"/>
      <c r="GMZ42" s="16"/>
      <c r="GNA42" s="16"/>
      <c r="GNB42" s="16"/>
      <c r="GNC42" s="16"/>
      <c r="GND42" s="16"/>
      <c r="GNE42" s="16"/>
      <c r="GNF42" s="16"/>
      <c r="GNG42" s="16"/>
      <c r="GNH42" s="16"/>
      <c r="GNI42" s="16"/>
      <c r="GNJ42" s="16"/>
      <c r="GNK42" s="16"/>
      <c r="GNL42" s="16"/>
      <c r="GNM42" s="16"/>
      <c r="GNN42" s="16"/>
      <c r="GNO42" s="16"/>
      <c r="GNP42" s="16"/>
      <c r="GNQ42" s="16"/>
      <c r="GNR42" s="16"/>
      <c r="GNS42" s="16"/>
      <c r="GNT42" s="16"/>
      <c r="GNU42" s="16"/>
      <c r="GNV42" s="16"/>
      <c r="GNW42" s="16"/>
      <c r="GNX42" s="16"/>
      <c r="GNY42" s="16"/>
      <c r="GNZ42" s="16"/>
      <c r="GOA42" s="16"/>
      <c r="GOB42" s="16"/>
      <c r="GOC42" s="16"/>
      <c r="GOD42" s="16"/>
      <c r="GOE42" s="16"/>
      <c r="GOF42" s="16"/>
      <c r="GOG42" s="16"/>
      <c r="GOH42" s="16"/>
      <c r="GOI42" s="16"/>
      <c r="GOJ42" s="16"/>
      <c r="GOK42" s="16"/>
      <c r="GOL42" s="16"/>
      <c r="GOM42" s="16"/>
      <c r="GON42" s="16"/>
      <c r="GOO42" s="16"/>
      <c r="GOP42" s="16"/>
      <c r="GOQ42" s="16"/>
      <c r="GOR42" s="16"/>
      <c r="GOS42" s="16"/>
      <c r="GOT42" s="16"/>
      <c r="GOU42" s="16"/>
      <c r="GOV42" s="16"/>
      <c r="GOW42" s="16"/>
      <c r="GOX42" s="16"/>
      <c r="GOY42" s="16"/>
      <c r="GOZ42" s="16"/>
      <c r="GPA42" s="16"/>
      <c r="GPB42" s="16"/>
      <c r="GPC42" s="16"/>
      <c r="GPD42" s="16"/>
      <c r="GPE42" s="16"/>
      <c r="GPF42" s="16"/>
      <c r="GPG42" s="16"/>
      <c r="GPH42" s="16"/>
      <c r="GPI42" s="16"/>
      <c r="GPJ42" s="16"/>
      <c r="GPK42" s="16"/>
      <c r="GPL42" s="16"/>
      <c r="GPM42" s="16"/>
      <c r="GPN42" s="16"/>
      <c r="GPO42" s="16"/>
      <c r="GPP42" s="16"/>
      <c r="GPQ42" s="16"/>
      <c r="GPR42" s="16"/>
      <c r="GPS42" s="16"/>
      <c r="GPT42" s="16"/>
      <c r="GPU42" s="16"/>
      <c r="GPV42" s="16"/>
      <c r="GPW42" s="16"/>
      <c r="GPX42" s="16"/>
      <c r="GPY42" s="16"/>
      <c r="GPZ42" s="16"/>
      <c r="GQA42" s="16"/>
      <c r="GQB42" s="16"/>
      <c r="GQC42" s="16"/>
      <c r="GQD42" s="16"/>
      <c r="GQE42" s="16"/>
      <c r="GQF42" s="16"/>
      <c r="GQG42" s="16"/>
      <c r="GQH42" s="16"/>
      <c r="GQI42" s="16"/>
      <c r="GQJ42" s="16"/>
      <c r="GQK42" s="16"/>
      <c r="GQL42" s="16"/>
      <c r="GQM42" s="16"/>
      <c r="GQN42" s="16"/>
      <c r="GQO42" s="16"/>
      <c r="GQP42" s="16"/>
      <c r="GQQ42" s="16"/>
      <c r="GQR42" s="16"/>
      <c r="GQS42" s="16"/>
      <c r="GQT42" s="16"/>
      <c r="GQU42" s="16"/>
      <c r="GQV42" s="16"/>
      <c r="GQW42" s="16"/>
      <c r="GQX42" s="16"/>
      <c r="GQY42" s="16"/>
      <c r="GQZ42" s="16"/>
      <c r="GRA42" s="16"/>
      <c r="GRB42" s="16"/>
      <c r="GRC42" s="16"/>
      <c r="GRD42" s="16"/>
      <c r="GRE42" s="16"/>
      <c r="GRF42" s="16"/>
      <c r="GRG42" s="16"/>
      <c r="GRH42" s="16"/>
      <c r="GRI42" s="16"/>
      <c r="GRJ42" s="16"/>
      <c r="GRK42" s="16"/>
      <c r="GRL42" s="16"/>
      <c r="GRM42" s="16"/>
      <c r="GRN42" s="16"/>
      <c r="GRO42" s="16"/>
      <c r="GRP42" s="16"/>
      <c r="GRQ42" s="16"/>
      <c r="GRR42" s="16"/>
      <c r="GRS42" s="16"/>
      <c r="GRT42" s="16"/>
      <c r="GRU42" s="16"/>
      <c r="GRV42" s="16"/>
      <c r="GRW42" s="16"/>
      <c r="GRX42" s="16"/>
      <c r="GRY42" s="16"/>
      <c r="GRZ42" s="16"/>
      <c r="GSA42" s="16"/>
      <c r="GSB42" s="16"/>
      <c r="GSC42" s="16"/>
      <c r="GSD42" s="16"/>
      <c r="GSE42" s="16"/>
      <c r="GSF42" s="16"/>
      <c r="GSG42" s="16"/>
      <c r="GSH42" s="16"/>
      <c r="GSI42" s="16"/>
      <c r="GSJ42" s="16"/>
      <c r="GSK42" s="16"/>
      <c r="GSL42" s="16"/>
      <c r="GSM42" s="16"/>
      <c r="GSN42" s="16"/>
      <c r="GSO42" s="16"/>
      <c r="GSP42" s="16"/>
      <c r="GSQ42" s="16"/>
      <c r="GSR42" s="16"/>
      <c r="GSS42" s="16"/>
      <c r="GST42" s="16"/>
      <c r="GSU42" s="16"/>
      <c r="GSV42" s="16"/>
      <c r="GSW42" s="16"/>
      <c r="GSX42" s="16"/>
      <c r="GSY42" s="16"/>
      <c r="GSZ42" s="16"/>
      <c r="GTA42" s="16"/>
      <c r="GTB42" s="16"/>
      <c r="GTC42" s="16"/>
      <c r="GTD42" s="16"/>
      <c r="GTE42" s="16"/>
      <c r="GTF42" s="16"/>
      <c r="GTG42" s="16"/>
      <c r="GTH42" s="16"/>
      <c r="GTI42" s="16"/>
      <c r="GTJ42" s="16"/>
      <c r="GTK42" s="16"/>
      <c r="GTL42" s="16"/>
      <c r="GTM42" s="16"/>
      <c r="GTN42" s="16"/>
      <c r="GTO42" s="16"/>
      <c r="GTP42" s="16"/>
      <c r="GTQ42" s="16"/>
      <c r="GTR42" s="16"/>
      <c r="GTS42" s="16"/>
      <c r="GTT42" s="16"/>
      <c r="GTU42" s="16"/>
      <c r="GTV42" s="16"/>
      <c r="GTW42" s="16"/>
      <c r="GTX42" s="16"/>
      <c r="GTY42" s="16"/>
      <c r="GTZ42" s="16"/>
      <c r="GUA42" s="16"/>
      <c r="GUB42" s="16"/>
      <c r="GUC42" s="16"/>
      <c r="GUD42" s="16"/>
      <c r="GUE42" s="16"/>
      <c r="GUF42" s="16"/>
      <c r="GUG42" s="16"/>
      <c r="GUH42" s="16"/>
      <c r="GUI42" s="16"/>
      <c r="GUJ42" s="16"/>
      <c r="GUK42" s="16"/>
      <c r="GUL42" s="16"/>
      <c r="GUM42" s="16"/>
      <c r="GUN42" s="16"/>
      <c r="GUO42" s="16"/>
      <c r="GUP42" s="16"/>
      <c r="GUQ42" s="16"/>
      <c r="GUR42" s="16"/>
      <c r="GUS42" s="16"/>
      <c r="GUT42" s="16"/>
      <c r="GUU42" s="16"/>
      <c r="GUV42" s="16"/>
      <c r="GUW42" s="16"/>
      <c r="GUX42" s="16"/>
      <c r="GUY42" s="16"/>
      <c r="GUZ42" s="16"/>
      <c r="GVA42" s="16"/>
      <c r="GVB42" s="16"/>
      <c r="GVC42" s="16"/>
      <c r="GVD42" s="16"/>
      <c r="GVE42" s="16"/>
      <c r="GVF42" s="16"/>
      <c r="GVG42" s="16"/>
      <c r="GVH42" s="16"/>
      <c r="GVI42" s="16"/>
      <c r="GVJ42" s="16"/>
      <c r="GVK42" s="16"/>
      <c r="GVL42" s="16"/>
      <c r="GVM42" s="16"/>
      <c r="GVN42" s="16"/>
      <c r="GVO42" s="16"/>
      <c r="GVP42" s="16"/>
      <c r="GVQ42" s="16"/>
      <c r="GVR42" s="16"/>
      <c r="GVS42" s="16"/>
      <c r="GVT42" s="16"/>
      <c r="GVU42" s="16"/>
      <c r="GVV42" s="16"/>
      <c r="GVW42" s="16"/>
      <c r="GVX42" s="16"/>
      <c r="GVY42" s="16"/>
      <c r="GVZ42" s="16"/>
      <c r="GWA42" s="16"/>
      <c r="GWB42" s="16"/>
      <c r="GWC42" s="16"/>
      <c r="GWD42" s="16"/>
      <c r="GWE42" s="16"/>
      <c r="GWF42" s="16"/>
      <c r="GWG42" s="16"/>
      <c r="GWH42" s="16"/>
      <c r="GWI42" s="16"/>
      <c r="GWJ42" s="16"/>
      <c r="GWK42" s="16"/>
      <c r="GWL42" s="16"/>
      <c r="GWM42" s="16"/>
      <c r="GWN42" s="16"/>
      <c r="GWO42" s="16"/>
      <c r="GWP42" s="16"/>
      <c r="GWQ42" s="16"/>
      <c r="GWR42" s="16"/>
      <c r="GWS42" s="16"/>
      <c r="GWT42" s="16"/>
      <c r="GWU42" s="16"/>
      <c r="GWV42" s="16"/>
      <c r="GWW42" s="16"/>
      <c r="GWX42" s="16"/>
      <c r="GWY42" s="16"/>
      <c r="GWZ42" s="16"/>
      <c r="GXA42" s="16"/>
      <c r="GXB42" s="16"/>
      <c r="GXC42" s="16"/>
      <c r="GXD42" s="16"/>
      <c r="GXE42" s="16"/>
      <c r="GXF42" s="16"/>
      <c r="GXG42" s="16"/>
      <c r="GXH42" s="16"/>
      <c r="GXI42" s="16"/>
      <c r="GXJ42" s="16"/>
      <c r="GXK42" s="16"/>
      <c r="GXL42" s="16"/>
      <c r="GXM42" s="16"/>
      <c r="GXN42" s="16"/>
      <c r="GXO42" s="16"/>
      <c r="GXP42" s="16"/>
      <c r="GXQ42" s="16"/>
      <c r="GXR42" s="16"/>
      <c r="GXS42" s="16"/>
      <c r="GXT42" s="16"/>
      <c r="GXU42" s="16"/>
      <c r="GXV42" s="16"/>
      <c r="GXW42" s="16"/>
      <c r="GXX42" s="16"/>
      <c r="GXY42" s="16"/>
      <c r="GXZ42" s="16"/>
      <c r="GYA42" s="16"/>
      <c r="GYB42" s="16"/>
      <c r="GYC42" s="16"/>
      <c r="GYD42" s="16"/>
      <c r="GYE42" s="16"/>
      <c r="GYF42" s="16"/>
      <c r="GYG42" s="16"/>
      <c r="GYH42" s="16"/>
      <c r="GYI42" s="16"/>
      <c r="GYJ42" s="16"/>
      <c r="GYK42" s="16"/>
      <c r="GYL42" s="16"/>
      <c r="GYM42" s="16"/>
      <c r="GYN42" s="16"/>
      <c r="GYO42" s="16"/>
      <c r="GYP42" s="16"/>
      <c r="GYQ42" s="16"/>
      <c r="GYR42" s="16"/>
      <c r="GYS42" s="16"/>
      <c r="GYT42" s="16"/>
      <c r="GYU42" s="16"/>
      <c r="GYV42" s="16"/>
      <c r="GYW42" s="16"/>
      <c r="GYX42" s="16"/>
      <c r="GYY42" s="16"/>
      <c r="GYZ42" s="16"/>
      <c r="GZA42" s="16"/>
      <c r="GZB42" s="16"/>
      <c r="GZC42" s="16"/>
      <c r="GZD42" s="16"/>
      <c r="GZE42" s="16"/>
      <c r="GZF42" s="16"/>
      <c r="GZG42" s="16"/>
      <c r="GZH42" s="16"/>
      <c r="GZI42" s="16"/>
      <c r="GZJ42" s="16"/>
      <c r="GZK42" s="16"/>
      <c r="GZL42" s="16"/>
      <c r="GZM42" s="16"/>
      <c r="GZN42" s="16"/>
      <c r="GZO42" s="16"/>
      <c r="GZP42" s="16"/>
      <c r="GZQ42" s="16"/>
      <c r="GZR42" s="16"/>
      <c r="GZS42" s="16"/>
      <c r="GZT42" s="16"/>
      <c r="GZU42" s="16"/>
      <c r="GZV42" s="16"/>
      <c r="GZW42" s="16"/>
      <c r="GZX42" s="16"/>
      <c r="GZY42" s="16"/>
      <c r="GZZ42" s="16"/>
      <c r="HAA42" s="16"/>
      <c r="HAB42" s="16"/>
      <c r="HAC42" s="16"/>
      <c r="HAD42" s="16"/>
      <c r="HAE42" s="16"/>
      <c r="HAF42" s="16"/>
      <c r="HAG42" s="16"/>
      <c r="HAH42" s="16"/>
      <c r="HAI42" s="16"/>
      <c r="HAJ42" s="16"/>
      <c r="HAK42" s="16"/>
      <c r="HAL42" s="16"/>
      <c r="HAM42" s="16"/>
      <c r="HAN42" s="16"/>
      <c r="HAO42" s="16"/>
      <c r="HAP42" s="16"/>
      <c r="HAQ42" s="16"/>
      <c r="HAR42" s="16"/>
      <c r="HAS42" s="16"/>
      <c r="HAT42" s="16"/>
      <c r="HAU42" s="16"/>
      <c r="HAV42" s="16"/>
      <c r="HAW42" s="16"/>
      <c r="HAX42" s="16"/>
      <c r="HAY42" s="16"/>
      <c r="HAZ42" s="16"/>
      <c r="HBA42" s="16"/>
      <c r="HBB42" s="16"/>
      <c r="HBC42" s="16"/>
      <c r="HBD42" s="16"/>
      <c r="HBE42" s="16"/>
      <c r="HBF42" s="16"/>
      <c r="HBG42" s="16"/>
      <c r="HBH42" s="16"/>
      <c r="HBI42" s="16"/>
      <c r="HBJ42" s="16"/>
      <c r="HBK42" s="16"/>
      <c r="HBL42" s="16"/>
      <c r="HBM42" s="16"/>
      <c r="HBN42" s="16"/>
      <c r="HBO42" s="16"/>
      <c r="HBP42" s="16"/>
      <c r="HBQ42" s="16"/>
      <c r="HBR42" s="16"/>
      <c r="HBS42" s="16"/>
      <c r="HBT42" s="16"/>
      <c r="HBU42" s="16"/>
      <c r="HBV42" s="16"/>
      <c r="HBW42" s="16"/>
      <c r="HBX42" s="16"/>
      <c r="HBY42" s="16"/>
      <c r="HBZ42" s="16"/>
      <c r="HCA42" s="16"/>
      <c r="HCB42" s="16"/>
      <c r="HCC42" s="16"/>
      <c r="HCD42" s="16"/>
      <c r="HCE42" s="16"/>
      <c r="HCF42" s="16"/>
      <c r="HCG42" s="16"/>
      <c r="HCH42" s="16"/>
      <c r="HCI42" s="16"/>
      <c r="HCJ42" s="16"/>
      <c r="HCK42" s="16"/>
      <c r="HCL42" s="16"/>
      <c r="HCM42" s="16"/>
      <c r="HCN42" s="16"/>
      <c r="HCO42" s="16"/>
      <c r="HCP42" s="16"/>
      <c r="HCQ42" s="16"/>
      <c r="HCR42" s="16"/>
      <c r="HCS42" s="16"/>
      <c r="HCT42" s="16"/>
      <c r="HCU42" s="16"/>
      <c r="HCV42" s="16"/>
      <c r="HCW42" s="16"/>
      <c r="HCX42" s="16"/>
      <c r="HCY42" s="16"/>
      <c r="HCZ42" s="16"/>
      <c r="HDA42" s="16"/>
      <c r="HDB42" s="16"/>
      <c r="HDC42" s="16"/>
      <c r="HDD42" s="16"/>
      <c r="HDE42" s="16"/>
      <c r="HDF42" s="16"/>
      <c r="HDG42" s="16"/>
      <c r="HDH42" s="16"/>
      <c r="HDI42" s="16"/>
      <c r="HDJ42" s="16"/>
      <c r="HDK42" s="16"/>
      <c r="HDL42" s="16"/>
      <c r="HDM42" s="16"/>
      <c r="HDN42" s="16"/>
      <c r="HDO42" s="16"/>
      <c r="HDP42" s="16"/>
      <c r="HDQ42" s="16"/>
      <c r="HDR42" s="16"/>
      <c r="HDS42" s="16"/>
      <c r="HDT42" s="16"/>
      <c r="HDU42" s="16"/>
      <c r="HDV42" s="16"/>
      <c r="HDW42" s="16"/>
      <c r="HDX42" s="16"/>
      <c r="HDY42" s="16"/>
      <c r="HDZ42" s="16"/>
      <c r="HEA42" s="16"/>
      <c r="HEB42" s="16"/>
      <c r="HEC42" s="16"/>
      <c r="HED42" s="16"/>
      <c r="HEE42" s="16"/>
      <c r="HEF42" s="16"/>
      <c r="HEG42" s="16"/>
      <c r="HEH42" s="16"/>
      <c r="HEI42" s="16"/>
      <c r="HEJ42" s="16"/>
      <c r="HEK42" s="16"/>
      <c r="HEL42" s="16"/>
      <c r="HEM42" s="16"/>
      <c r="HEN42" s="16"/>
      <c r="HEO42" s="16"/>
      <c r="HEP42" s="16"/>
      <c r="HEQ42" s="16"/>
      <c r="HER42" s="16"/>
      <c r="HES42" s="16"/>
      <c r="HET42" s="16"/>
      <c r="HEU42" s="16"/>
      <c r="HEV42" s="16"/>
      <c r="HEW42" s="16"/>
      <c r="HEX42" s="16"/>
      <c r="HEY42" s="16"/>
      <c r="HEZ42" s="16"/>
      <c r="HFA42" s="16"/>
      <c r="HFB42" s="16"/>
      <c r="HFC42" s="16"/>
      <c r="HFD42" s="16"/>
      <c r="HFE42" s="16"/>
      <c r="HFF42" s="16"/>
      <c r="HFG42" s="16"/>
      <c r="HFH42" s="16"/>
      <c r="HFI42" s="16"/>
      <c r="HFJ42" s="16"/>
      <c r="HFK42" s="16"/>
      <c r="HFL42" s="16"/>
      <c r="HFM42" s="16"/>
      <c r="HFN42" s="16"/>
      <c r="HFO42" s="16"/>
      <c r="HFP42" s="16"/>
      <c r="HFQ42" s="16"/>
      <c r="HFR42" s="16"/>
      <c r="HFS42" s="16"/>
      <c r="HFT42" s="16"/>
      <c r="HFU42" s="16"/>
      <c r="HFV42" s="16"/>
      <c r="HFW42" s="16"/>
      <c r="HFX42" s="16"/>
      <c r="HFY42" s="16"/>
      <c r="HFZ42" s="16"/>
      <c r="HGA42" s="16"/>
      <c r="HGB42" s="16"/>
      <c r="HGC42" s="16"/>
      <c r="HGD42" s="16"/>
      <c r="HGE42" s="16"/>
      <c r="HGF42" s="16"/>
      <c r="HGG42" s="16"/>
      <c r="HGH42" s="16"/>
      <c r="HGI42" s="16"/>
      <c r="HGJ42" s="16"/>
      <c r="HGK42" s="16"/>
      <c r="HGL42" s="16"/>
      <c r="HGM42" s="16"/>
      <c r="HGN42" s="16"/>
      <c r="HGO42" s="16"/>
      <c r="HGP42" s="16"/>
      <c r="HGQ42" s="16"/>
      <c r="HGR42" s="16"/>
      <c r="HGS42" s="16"/>
      <c r="HGT42" s="16"/>
      <c r="HGU42" s="16"/>
      <c r="HGV42" s="16"/>
      <c r="HGW42" s="16"/>
      <c r="HGX42" s="16"/>
      <c r="HGY42" s="16"/>
      <c r="HGZ42" s="16"/>
      <c r="HHA42" s="16"/>
      <c r="HHB42" s="16"/>
      <c r="HHC42" s="16"/>
      <c r="HHD42" s="16"/>
      <c r="HHE42" s="16"/>
      <c r="HHF42" s="16"/>
      <c r="HHG42" s="16"/>
      <c r="HHH42" s="16"/>
      <c r="HHI42" s="16"/>
      <c r="HHJ42" s="16"/>
      <c r="HHK42" s="16"/>
      <c r="HHL42" s="16"/>
      <c r="HHM42" s="16"/>
      <c r="HHN42" s="16"/>
      <c r="HHO42" s="16"/>
      <c r="HHP42" s="16"/>
      <c r="HHQ42" s="16"/>
      <c r="HHR42" s="16"/>
      <c r="HHS42" s="16"/>
      <c r="HHT42" s="16"/>
      <c r="HHU42" s="16"/>
      <c r="HHV42" s="16"/>
      <c r="HHW42" s="16"/>
      <c r="HHX42" s="16"/>
      <c r="HHY42" s="16"/>
      <c r="HHZ42" s="16"/>
      <c r="HIA42" s="16"/>
      <c r="HIB42" s="16"/>
      <c r="HIC42" s="16"/>
      <c r="HID42" s="16"/>
      <c r="HIE42" s="16"/>
      <c r="HIF42" s="16"/>
      <c r="HIG42" s="16"/>
      <c r="HIH42" s="16"/>
      <c r="HII42" s="16"/>
      <c r="HIJ42" s="16"/>
      <c r="HIK42" s="16"/>
      <c r="HIL42" s="16"/>
      <c r="HIM42" s="16"/>
      <c r="HIN42" s="16"/>
      <c r="HIO42" s="16"/>
      <c r="HIP42" s="16"/>
      <c r="HIQ42" s="16"/>
      <c r="HIR42" s="16"/>
      <c r="HIS42" s="16"/>
      <c r="HIT42" s="16"/>
      <c r="HIU42" s="16"/>
      <c r="HIV42" s="16"/>
      <c r="HIW42" s="16"/>
      <c r="HIX42" s="16"/>
      <c r="HIY42" s="16"/>
      <c r="HIZ42" s="16"/>
      <c r="HJA42" s="16"/>
      <c r="HJB42" s="16"/>
      <c r="HJC42" s="16"/>
      <c r="HJD42" s="16"/>
      <c r="HJE42" s="16"/>
      <c r="HJF42" s="16"/>
      <c r="HJG42" s="16"/>
      <c r="HJH42" s="16"/>
      <c r="HJI42" s="16"/>
      <c r="HJJ42" s="16"/>
      <c r="HJK42" s="16"/>
      <c r="HJL42" s="16"/>
      <c r="HJM42" s="16"/>
      <c r="HJN42" s="16"/>
      <c r="HJO42" s="16"/>
      <c r="HJP42" s="16"/>
      <c r="HJQ42" s="16"/>
      <c r="HJR42" s="16"/>
      <c r="HJS42" s="16"/>
      <c r="HJT42" s="16"/>
      <c r="HJU42" s="16"/>
      <c r="HJV42" s="16"/>
      <c r="HJW42" s="16"/>
      <c r="HJX42" s="16"/>
      <c r="HJY42" s="16"/>
      <c r="HJZ42" s="16"/>
      <c r="HKA42" s="16"/>
      <c r="HKB42" s="16"/>
      <c r="HKC42" s="16"/>
      <c r="HKD42" s="16"/>
      <c r="HKE42" s="16"/>
      <c r="HKF42" s="16"/>
      <c r="HKG42" s="16"/>
      <c r="HKH42" s="16"/>
      <c r="HKI42" s="16"/>
      <c r="HKJ42" s="16"/>
      <c r="HKK42" s="16"/>
      <c r="HKL42" s="16"/>
      <c r="HKM42" s="16"/>
      <c r="HKN42" s="16"/>
      <c r="HKO42" s="16"/>
      <c r="HKP42" s="16"/>
      <c r="HKQ42" s="16"/>
      <c r="HKR42" s="16"/>
      <c r="HKS42" s="16"/>
      <c r="HKT42" s="16"/>
      <c r="HKU42" s="16"/>
      <c r="HKV42" s="16"/>
      <c r="HKW42" s="16"/>
      <c r="HKX42" s="16"/>
      <c r="HKY42" s="16"/>
      <c r="HKZ42" s="16"/>
      <c r="HLA42" s="16"/>
      <c r="HLB42" s="16"/>
      <c r="HLC42" s="16"/>
      <c r="HLD42" s="16"/>
      <c r="HLE42" s="16"/>
      <c r="HLF42" s="16"/>
      <c r="HLG42" s="16"/>
      <c r="HLH42" s="16"/>
      <c r="HLI42" s="16"/>
      <c r="HLJ42" s="16"/>
      <c r="HLK42" s="16"/>
      <c r="HLL42" s="16"/>
      <c r="HLM42" s="16"/>
      <c r="HLN42" s="16"/>
      <c r="HLO42" s="16"/>
      <c r="HLP42" s="16"/>
      <c r="HLQ42" s="16"/>
      <c r="HLR42" s="16"/>
      <c r="HLS42" s="16"/>
      <c r="HLT42" s="16"/>
      <c r="HLU42" s="16"/>
      <c r="HLV42" s="16"/>
      <c r="HLW42" s="16"/>
      <c r="HLX42" s="16"/>
      <c r="HLY42" s="16"/>
      <c r="HLZ42" s="16"/>
      <c r="HMA42" s="16"/>
      <c r="HMB42" s="16"/>
      <c r="HMC42" s="16"/>
      <c r="HMD42" s="16"/>
      <c r="HME42" s="16"/>
      <c r="HMF42" s="16"/>
      <c r="HMG42" s="16"/>
      <c r="HMH42" s="16"/>
      <c r="HMI42" s="16"/>
      <c r="HMJ42" s="16"/>
      <c r="HMK42" s="16"/>
      <c r="HML42" s="16"/>
      <c r="HMM42" s="16"/>
      <c r="HMN42" s="16"/>
      <c r="HMO42" s="16"/>
      <c r="HMP42" s="16"/>
      <c r="HMQ42" s="16"/>
      <c r="HMR42" s="16"/>
      <c r="HMS42" s="16"/>
      <c r="HMT42" s="16"/>
      <c r="HMU42" s="16"/>
      <c r="HMV42" s="16"/>
      <c r="HMW42" s="16"/>
      <c r="HMX42" s="16"/>
      <c r="HMY42" s="16"/>
      <c r="HMZ42" s="16"/>
      <c r="HNA42" s="16"/>
      <c r="HNB42" s="16"/>
      <c r="HNC42" s="16"/>
      <c r="HND42" s="16"/>
      <c r="HNE42" s="16"/>
      <c r="HNF42" s="16"/>
      <c r="HNG42" s="16"/>
      <c r="HNH42" s="16"/>
      <c r="HNI42" s="16"/>
      <c r="HNJ42" s="16"/>
      <c r="HNK42" s="16"/>
      <c r="HNL42" s="16"/>
      <c r="HNM42" s="16"/>
      <c r="HNN42" s="16"/>
      <c r="HNO42" s="16"/>
      <c r="HNP42" s="16"/>
      <c r="HNQ42" s="16"/>
      <c r="HNR42" s="16"/>
      <c r="HNS42" s="16"/>
      <c r="HNT42" s="16"/>
      <c r="HNU42" s="16"/>
      <c r="HNV42" s="16"/>
      <c r="HNW42" s="16"/>
      <c r="HNX42" s="16"/>
      <c r="HNY42" s="16"/>
      <c r="HNZ42" s="16"/>
      <c r="HOA42" s="16"/>
      <c r="HOB42" s="16"/>
      <c r="HOC42" s="16"/>
      <c r="HOD42" s="16"/>
      <c r="HOE42" s="16"/>
      <c r="HOF42" s="16"/>
      <c r="HOG42" s="16"/>
      <c r="HOH42" s="16"/>
      <c r="HOI42" s="16"/>
      <c r="HOJ42" s="16"/>
      <c r="HOK42" s="16"/>
      <c r="HOL42" s="16"/>
      <c r="HOM42" s="16"/>
      <c r="HON42" s="16"/>
      <c r="HOO42" s="16"/>
      <c r="HOP42" s="16"/>
      <c r="HOQ42" s="16"/>
      <c r="HOR42" s="16"/>
      <c r="HOS42" s="16"/>
      <c r="HOT42" s="16"/>
      <c r="HOU42" s="16"/>
      <c r="HOV42" s="16"/>
      <c r="HOW42" s="16"/>
      <c r="HOX42" s="16"/>
      <c r="HOY42" s="16"/>
      <c r="HOZ42" s="16"/>
      <c r="HPA42" s="16"/>
      <c r="HPB42" s="16"/>
      <c r="HPC42" s="16"/>
      <c r="HPD42" s="16"/>
      <c r="HPE42" s="16"/>
      <c r="HPF42" s="16"/>
      <c r="HPG42" s="16"/>
      <c r="HPH42" s="16"/>
      <c r="HPI42" s="16"/>
      <c r="HPJ42" s="16"/>
      <c r="HPK42" s="16"/>
      <c r="HPL42" s="16"/>
      <c r="HPM42" s="16"/>
      <c r="HPN42" s="16"/>
      <c r="HPO42" s="16"/>
      <c r="HPP42" s="16"/>
      <c r="HPQ42" s="16"/>
      <c r="HPR42" s="16"/>
      <c r="HPS42" s="16"/>
      <c r="HPT42" s="16"/>
      <c r="HPU42" s="16"/>
      <c r="HPV42" s="16"/>
      <c r="HPW42" s="16"/>
      <c r="HPX42" s="16"/>
      <c r="HPY42" s="16"/>
      <c r="HPZ42" s="16"/>
      <c r="HQA42" s="16"/>
      <c r="HQB42" s="16"/>
      <c r="HQC42" s="16"/>
      <c r="HQD42" s="16"/>
      <c r="HQE42" s="16"/>
      <c r="HQF42" s="16"/>
      <c r="HQG42" s="16"/>
      <c r="HQH42" s="16"/>
      <c r="HQI42" s="16"/>
      <c r="HQJ42" s="16"/>
      <c r="HQK42" s="16"/>
      <c r="HQL42" s="16"/>
      <c r="HQM42" s="16"/>
      <c r="HQN42" s="16"/>
      <c r="HQO42" s="16"/>
      <c r="HQP42" s="16"/>
      <c r="HQQ42" s="16"/>
      <c r="HQR42" s="16"/>
      <c r="HQS42" s="16"/>
      <c r="HQT42" s="16"/>
      <c r="HQU42" s="16"/>
      <c r="HQV42" s="16"/>
      <c r="HQW42" s="16"/>
      <c r="HQX42" s="16"/>
      <c r="HQY42" s="16"/>
      <c r="HQZ42" s="16"/>
      <c r="HRA42" s="16"/>
      <c r="HRB42" s="16"/>
      <c r="HRC42" s="16"/>
      <c r="HRD42" s="16"/>
      <c r="HRE42" s="16"/>
      <c r="HRF42" s="16"/>
      <c r="HRG42" s="16"/>
      <c r="HRH42" s="16"/>
      <c r="HRI42" s="16"/>
      <c r="HRJ42" s="16"/>
      <c r="HRK42" s="16"/>
      <c r="HRL42" s="16"/>
      <c r="HRM42" s="16"/>
      <c r="HRN42" s="16"/>
      <c r="HRO42" s="16"/>
      <c r="HRP42" s="16"/>
      <c r="HRQ42" s="16"/>
      <c r="HRR42" s="16"/>
      <c r="HRS42" s="16"/>
      <c r="HRT42" s="16"/>
      <c r="HRU42" s="16"/>
      <c r="HRV42" s="16"/>
      <c r="HRW42" s="16"/>
      <c r="HRX42" s="16"/>
      <c r="HRY42" s="16"/>
      <c r="HRZ42" s="16"/>
      <c r="HSA42" s="16"/>
      <c r="HSB42" s="16"/>
      <c r="HSC42" s="16"/>
      <c r="HSD42" s="16"/>
      <c r="HSE42" s="16"/>
      <c r="HSF42" s="16"/>
      <c r="HSG42" s="16"/>
      <c r="HSH42" s="16"/>
      <c r="HSI42" s="16"/>
      <c r="HSJ42" s="16"/>
      <c r="HSK42" s="16"/>
      <c r="HSL42" s="16"/>
      <c r="HSM42" s="16"/>
      <c r="HSN42" s="16"/>
      <c r="HSO42" s="16"/>
      <c r="HSP42" s="16"/>
      <c r="HSQ42" s="16"/>
      <c r="HSR42" s="16"/>
      <c r="HSS42" s="16"/>
      <c r="HST42" s="16"/>
      <c r="HSU42" s="16"/>
      <c r="HSV42" s="16"/>
      <c r="HSW42" s="16"/>
      <c r="HSX42" s="16"/>
      <c r="HSY42" s="16"/>
      <c r="HSZ42" s="16"/>
      <c r="HTA42" s="16"/>
      <c r="HTB42" s="16"/>
      <c r="HTC42" s="16"/>
      <c r="HTD42" s="16"/>
      <c r="HTE42" s="16"/>
      <c r="HTF42" s="16"/>
      <c r="HTG42" s="16"/>
      <c r="HTH42" s="16"/>
      <c r="HTI42" s="16"/>
      <c r="HTJ42" s="16"/>
      <c r="HTK42" s="16"/>
      <c r="HTL42" s="16"/>
      <c r="HTM42" s="16"/>
      <c r="HTN42" s="16"/>
      <c r="HTO42" s="16"/>
      <c r="HTP42" s="16"/>
      <c r="HTQ42" s="16"/>
      <c r="HTR42" s="16"/>
      <c r="HTS42" s="16"/>
      <c r="HTT42" s="16"/>
      <c r="HTU42" s="16"/>
      <c r="HTV42" s="16"/>
      <c r="HTW42" s="16"/>
      <c r="HTX42" s="16"/>
      <c r="HTY42" s="16"/>
      <c r="HTZ42" s="16"/>
      <c r="HUA42" s="16"/>
      <c r="HUB42" s="16"/>
      <c r="HUC42" s="16"/>
      <c r="HUD42" s="16"/>
      <c r="HUE42" s="16"/>
      <c r="HUF42" s="16"/>
      <c r="HUG42" s="16"/>
      <c r="HUH42" s="16"/>
      <c r="HUI42" s="16"/>
      <c r="HUJ42" s="16"/>
      <c r="HUK42" s="16"/>
      <c r="HUL42" s="16"/>
      <c r="HUM42" s="16"/>
      <c r="HUN42" s="16"/>
      <c r="HUO42" s="16"/>
      <c r="HUP42" s="16"/>
      <c r="HUQ42" s="16"/>
      <c r="HUR42" s="16"/>
      <c r="HUS42" s="16"/>
      <c r="HUT42" s="16"/>
      <c r="HUU42" s="16"/>
      <c r="HUV42" s="16"/>
      <c r="HUW42" s="16"/>
      <c r="HUX42" s="16"/>
      <c r="HUY42" s="16"/>
      <c r="HUZ42" s="16"/>
      <c r="HVA42" s="16"/>
      <c r="HVB42" s="16"/>
      <c r="HVC42" s="16"/>
      <c r="HVD42" s="16"/>
      <c r="HVE42" s="16"/>
      <c r="HVF42" s="16"/>
      <c r="HVG42" s="16"/>
      <c r="HVH42" s="16"/>
      <c r="HVI42" s="16"/>
      <c r="HVJ42" s="16"/>
      <c r="HVK42" s="16"/>
      <c r="HVL42" s="16"/>
      <c r="HVM42" s="16"/>
      <c r="HVN42" s="16"/>
      <c r="HVO42" s="16"/>
      <c r="HVP42" s="16"/>
      <c r="HVQ42" s="16"/>
      <c r="HVR42" s="16"/>
      <c r="HVS42" s="16"/>
      <c r="HVT42" s="16"/>
      <c r="HVU42" s="16"/>
      <c r="HVV42" s="16"/>
      <c r="HVW42" s="16"/>
      <c r="HVX42" s="16"/>
      <c r="HVY42" s="16"/>
      <c r="HVZ42" s="16"/>
      <c r="HWA42" s="16"/>
      <c r="HWB42" s="16"/>
      <c r="HWC42" s="16"/>
      <c r="HWD42" s="16"/>
      <c r="HWE42" s="16"/>
      <c r="HWF42" s="16"/>
      <c r="HWG42" s="16"/>
      <c r="HWH42" s="16"/>
      <c r="HWI42" s="16"/>
      <c r="HWJ42" s="16"/>
      <c r="HWK42" s="16"/>
      <c r="HWL42" s="16"/>
      <c r="HWM42" s="16"/>
      <c r="HWN42" s="16"/>
      <c r="HWO42" s="16"/>
      <c r="HWP42" s="16"/>
      <c r="HWQ42" s="16"/>
      <c r="HWR42" s="16"/>
      <c r="HWS42" s="16"/>
      <c r="HWT42" s="16"/>
      <c r="HWU42" s="16"/>
      <c r="HWV42" s="16"/>
      <c r="HWW42" s="16"/>
      <c r="HWX42" s="16"/>
      <c r="HWY42" s="16"/>
      <c r="HWZ42" s="16"/>
      <c r="HXA42" s="16"/>
      <c r="HXB42" s="16"/>
      <c r="HXC42" s="16"/>
      <c r="HXD42" s="16"/>
      <c r="HXE42" s="16"/>
      <c r="HXF42" s="16"/>
      <c r="HXG42" s="16"/>
      <c r="HXH42" s="16"/>
      <c r="HXI42" s="16"/>
      <c r="HXJ42" s="16"/>
      <c r="HXK42" s="16"/>
      <c r="HXL42" s="16"/>
      <c r="HXM42" s="16"/>
      <c r="HXN42" s="16"/>
      <c r="HXO42" s="16"/>
      <c r="HXP42" s="16"/>
      <c r="HXQ42" s="16"/>
      <c r="HXR42" s="16"/>
      <c r="HXS42" s="16"/>
      <c r="HXT42" s="16"/>
      <c r="HXU42" s="16"/>
      <c r="HXV42" s="16"/>
      <c r="HXW42" s="16"/>
      <c r="HXX42" s="16"/>
      <c r="HXY42" s="16"/>
      <c r="HXZ42" s="16"/>
      <c r="HYA42" s="16"/>
      <c r="HYB42" s="16"/>
      <c r="HYC42" s="16"/>
      <c r="HYD42" s="16"/>
      <c r="HYE42" s="16"/>
      <c r="HYF42" s="16"/>
      <c r="HYG42" s="16"/>
      <c r="HYH42" s="16"/>
      <c r="HYI42" s="16"/>
      <c r="HYJ42" s="16"/>
      <c r="HYK42" s="16"/>
      <c r="HYL42" s="16"/>
      <c r="HYM42" s="16"/>
      <c r="HYN42" s="16"/>
      <c r="HYO42" s="16"/>
      <c r="HYP42" s="16"/>
      <c r="HYQ42" s="16"/>
      <c r="HYR42" s="16"/>
      <c r="HYS42" s="16"/>
      <c r="HYT42" s="16"/>
      <c r="HYU42" s="16"/>
      <c r="HYV42" s="16"/>
      <c r="HYW42" s="16"/>
      <c r="HYX42" s="16"/>
      <c r="HYY42" s="16"/>
      <c r="HYZ42" s="16"/>
      <c r="HZA42" s="16"/>
      <c r="HZB42" s="16"/>
      <c r="HZC42" s="16"/>
      <c r="HZD42" s="16"/>
      <c r="HZE42" s="16"/>
      <c r="HZF42" s="16"/>
      <c r="HZG42" s="16"/>
      <c r="HZH42" s="16"/>
      <c r="HZI42" s="16"/>
      <c r="HZJ42" s="16"/>
      <c r="HZK42" s="16"/>
      <c r="HZL42" s="16"/>
      <c r="HZM42" s="16"/>
      <c r="HZN42" s="16"/>
      <c r="HZO42" s="16"/>
      <c r="HZP42" s="16"/>
      <c r="HZQ42" s="16"/>
      <c r="HZR42" s="16"/>
      <c r="HZS42" s="16"/>
      <c r="HZT42" s="16"/>
      <c r="HZU42" s="16"/>
      <c r="HZV42" s="16"/>
      <c r="HZW42" s="16"/>
      <c r="HZX42" s="16"/>
      <c r="HZY42" s="16"/>
      <c r="HZZ42" s="16"/>
      <c r="IAA42" s="16"/>
      <c r="IAB42" s="16"/>
      <c r="IAC42" s="16"/>
      <c r="IAD42" s="16"/>
      <c r="IAE42" s="16"/>
      <c r="IAF42" s="16"/>
      <c r="IAG42" s="16"/>
      <c r="IAH42" s="16"/>
      <c r="IAI42" s="16"/>
      <c r="IAJ42" s="16"/>
      <c r="IAK42" s="16"/>
      <c r="IAL42" s="16"/>
      <c r="IAM42" s="16"/>
      <c r="IAN42" s="16"/>
      <c r="IAO42" s="16"/>
      <c r="IAP42" s="16"/>
      <c r="IAQ42" s="16"/>
      <c r="IAR42" s="16"/>
      <c r="IAS42" s="16"/>
      <c r="IAT42" s="16"/>
      <c r="IAU42" s="16"/>
      <c r="IAV42" s="16"/>
      <c r="IAW42" s="16"/>
      <c r="IAX42" s="16"/>
      <c r="IAY42" s="16"/>
      <c r="IAZ42" s="16"/>
      <c r="IBA42" s="16"/>
      <c r="IBB42" s="16"/>
      <c r="IBC42" s="16"/>
      <c r="IBD42" s="16"/>
      <c r="IBE42" s="16"/>
      <c r="IBF42" s="16"/>
      <c r="IBG42" s="16"/>
      <c r="IBH42" s="16"/>
      <c r="IBI42" s="16"/>
      <c r="IBJ42" s="16"/>
      <c r="IBK42" s="16"/>
      <c r="IBL42" s="16"/>
      <c r="IBM42" s="16"/>
      <c r="IBN42" s="16"/>
      <c r="IBO42" s="16"/>
      <c r="IBP42" s="16"/>
      <c r="IBQ42" s="16"/>
      <c r="IBR42" s="16"/>
      <c r="IBS42" s="16"/>
      <c r="IBT42" s="16"/>
      <c r="IBU42" s="16"/>
      <c r="IBV42" s="16"/>
      <c r="IBW42" s="16"/>
      <c r="IBX42" s="16"/>
      <c r="IBY42" s="16"/>
      <c r="IBZ42" s="16"/>
      <c r="ICA42" s="16"/>
      <c r="ICB42" s="16"/>
      <c r="ICC42" s="16"/>
      <c r="ICD42" s="16"/>
      <c r="ICE42" s="16"/>
      <c r="ICF42" s="16"/>
      <c r="ICG42" s="16"/>
      <c r="ICH42" s="16"/>
      <c r="ICI42" s="16"/>
      <c r="ICJ42" s="16"/>
      <c r="ICK42" s="16"/>
      <c r="ICL42" s="16"/>
      <c r="ICM42" s="16"/>
      <c r="ICN42" s="16"/>
      <c r="ICO42" s="16"/>
      <c r="ICP42" s="16"/>
      <c r="ICQ42" s="16"/>
      <c r="ICR42" s="16"/>
      <c r="ICS42" s="16"/>
      <c r="ICT42" s="16"/>
      <c r="ICU42" s="16"/>
      <c r="ICV42" s="16"/>
      <c r="ICW42" s="16"/>
      <c r="ICX42" s="16"/>
      <c r="ICY42" s="16"/>
      <c r="ICZ42" s="16"/>
      <c r="IDA42" s="16"/>
      <c r="IDB42" s="16"/>
      <c r="IDC42" s="16"/>
      <c r="IDD42" s="16"/>
      <c r="IDE42" s="16"/>
      <c r="IDF42" s="16"/>
      <c r="IDG42" s="16"/>
      <c r="IDH42" s="16"/>
      <c r="IDI42" s="16"/>
      <c r="IDJ42" s="16"/>
      <c r="IDK42" s="16"/>
      <c r="IDL42" s="16"/>
      <c r="IDM42" s="16"/>
      <c r="IDN42" s="16"/>
      <c r="IDO42" s="16"/>
      <c r="IDP42" s="16"/>
      <c r="IDQ42" s="16"/>
      <c r="IDR42" s="16"/>
      <c r="IDS42" s="16"/>
      <c r="IDT42" s="16"/>
      <c r="IDU42" s="16"/>
      <c r="IDV42" s="16"/>
      <c r="IDW42" s="16"/>
      <c r="IDX42" s="16"/>
      <c r="IDY42" s="16"/>
      <c r="IDZ42" s="16"/>
      <c r="IEA42" s="16"/>
      <c r="IEB42" s="16"/>
      <c r="IEC42" s="16"/>
      <c r="IED42" s="16"/>
      <c r="IEE42" s="16"/>
      <c r="IEF42" s="16"/>
      <c r="IEG42" s="16"/>
      <c r="IEH42" s="16"/>
      <c r="IEI42" s="16"/>
      <c r="IEJ42" s="16"/>
      <c r="IEK42" s="16"/>
      <c r="IEL42" s="16"/>
      <c r="IEM42" s="16"/>
      <c r="IEN42" s="16"/>
      <c r="IEO42" s="16"/>
      <c r="IEP42" s="16"/>
      <c r="IEQ42" s="16"/>
      <c r="IER42" s="16"/>
      <c r="IES42" s="16"/>
      <c r="IET42" s="16"/>
      <c r="IEU42" s="16"/>
      <c r="IEV42" s="16"/>
      <c r="IEW42" s="16"/>
      <c r="IEX42" s="16"/>
      <c r="IEY42" s="16"/>
      <c r="IEZ42" s="16"/>
      <c r="IFA42" s="16"/>
      <c r="IFB42" s="16"/>
      <c r="IFC42" s="16"/>
      <c r="IFD42" s="16"/>
      <c r="IFE42" s="16"/>
      <c r="IFF42" s="16"/>
      <c r="IFG42" s="16"/>
      <c r="IFH42" s="16"/>
      <c r="IFI42" s="16"/>
      <c r="IFJ42" s="16"/>
      <c r="IFK42" s="16"/>
      <c r="IFL42" s="16"/>
      <c r="IFM42" s="16"/>
      <c r="IFN42" s="16"/>
      <c r="IFO42" s="16"/>
      <c r="IFP42" s="16"/>
      <c r="IFQ42" s="16"/>
      <c r="IFR42" s="16"/>
      <c r="IFS42" s="16"/>
      <c r="IFT42" s="16"/>
      <c r="IFU42" s="16"/>
      <c r="IFV42" s="16"/>
      <c r="IFW42" s="16"/>
      <c r="IFX42" s="16"/>
      <c r="IFY42" s="16"/>
      <c r="IFZ42" s="16"/>
      <c r="IGA42" s="16"/>
      <c r="IGB42" s="16"/>
      <c r="IGC42" s="16"/>
      <c r="IGD42" s="16"/>
      <c r="IGE42" s="16"/>
      <c r="IGF42" s="16"/>
      <c r="IGG42" s="16"/>
      <c r="IGH42" s="16"/>
      <c r="IGI42" s="16"/>
      <c r="IGJ42" s="16"/>
      <c r="IGK42" s="16"/>
      <c r="IGL42" s="16"/>
      <c r="IGM42" s="16"/>
      <c r="IGN42" s="16"/>
      <c r="IGO42" s="16"/>
      <c r="IGP42" s="16"/>
      <c r="IGQ42" s="16"/>
      <c r="IGR42" s="16"/>
      <c r="IGS42" s="16"/>
      <c r="IGT42" s="16"/>
      <c r="IGU42" s="16"/>
      <c r="IGV42" s="16"/>
      <c r="IGW42" s="16"/>
      <c r="IGX42" s="16"/>
      <c r="IGY42" s="16"/>
      <c r="IGZ42" s="16"/>
      <c r="IHA42" s="16"/>
      <c r="IHB42" s="16"/>
      <c r="IHC42" s="16"/>
      <c r="IHD42" s="16"/>
      <c r="IHE42" s="16"/>
      <c r="IHF42" s="16"/>
      <c r="IHG42" s="16"/>
      <c r="IHH42" s="16"/>
      <c r="IHI42" s="16"/>
      <c r="IHJ42" s="16"/>
      <c r="IHK42" s="16"/>
      <c r="IHL42" s="16"/>
      <c r="IHM42" s="16"/>
      <c r="IHN42" s="16"/>
      <c r="IHO42" s="16"/>
      <c r="IHP42" s="16"/>
      <c r="IHQ42" s="16"/>
      <c r="IHR42" s="16"/>
      <c r="IHS42" s="16"/>
      <c r="IHT42" s="16"/>
      <c r="IHU42" s="16"/>
      <c r="IHV42" s="16"/>
      <c r="IHW42" s="16"/>
      <c r="IHX42" s="16"/>
      <c r="IHY42" s="16"/>
      <c r="IHZ42" s="16"/>
      <c r="IIA42" s="16"/>
      <c r="IIB42" s="16"/>
      <c r="IIC42" s="16"/>
      <c r="IID42" s="16"/>
      <c r="IIE42" s="16"/>
      <c r="IIF42" s="16"/>
      <c r="IIG42" s="16"/>
      <c r="IIH42" s="16"/>
      <c r="III42" s="16"/>
      <c r="IIJ42" s="16"/>
      <c r="IIK42" s="16"/>
      <c r="IIL42" s="16"/>
      <c r="IIM42" s="16"/>
      <c r="IIN42" s="16"/>
      <c r="IIO42" s="16"/>
      <c r="IIP42" s="16"/>
      <c r="IIQ42" s="16"/>
      <c r="IIR42" s="16"/>
      <c r="IIS42" s="16"/>
      <c r="IIT42" s="16"/>
      <c r="IIU42" s="16"/>
      <c r="IIV42" s="16"/>
      <c r="IIW42" s="16"/>
      <c r="IIX42" s="16"/>
      <c r="IIY42" s="16"/>
      <c r="IIZ42" s="16"/>
      <c r="IJA42" s="16"/>
      <c r="IJB42" s="16"/>
      <c r="IJC42" s="16"/>
      <c r="IJD42" s="16"/>
      <c r="IJE42" s="16"/>
      <c r="IJF42" s="16"/>
      <c r="IJG42" s="16"/>
      <c r="IJH42" s="16"/>
      <c r="IJI42" s="16"/>
      <c r="IJJ42" s="16"/>
      <c r="IJK42" s="16"/>
      <c r="IJL42" s="16"/>
      <c r="IJM42" s="16"/>
      <c r="IJN42" s="16"/>
      <c r="IJO42" s="16"/>
      <c r="IJP42" s="16"/>
      <c r="IJQ42" s="16"/>
      <c r="IJR42" s="16"/>
      <c r="IJS42" s="16"/>
      <c r="IJT42" s="16"/>
      <c r="IJU42" s="16"/>
      <c r="IJV42" s="16"/>
      <c r="IJW42" s="16"/>
      <c r="IJX42" s="16"/>
      <c r="IJY42" s="16"/>
      <c r="IJZ42" s="16"/>
      <c r="IKA42" s="16"/>
      <c r="IKB42" s="16"/>
      <c r="IKC42" s="16"/>
      <c r="IKD42" s="16"/>
      <c r="IKE42" s="16"/>
      <c r="IKF42" s="16"/>
      <c r="IKG42" s="16"/>
      <c r="IKH42" s="16"/>
      <c r="IKI42" s="16"/>
      <c r="IKJ42" s="16"/>
      <c r="IKK42" s="16"/>
      <c r="IKL42" s="16"/>
      <c r="IKM42" s="16"/>
      <c r="IKN42" s="16"/>
      <c r="IKO42" s="16"/>
      <c r="IKP42" s="16"/>
      <c r="IKQ42" s="16"/>
      <c r="IKR42" s="16"/>
      <c r="IKS42" s="16"/>
      <c r="IKT42" s="16"/>
      <c r="IKU42" s="16"/>
      <c r="IKV42" s="16"/>
      <c r="IKW42" s="16"/>
      <c r="IKX42" s="16"/>
      <c r="IKY42" s="16"/>
      <c r="IKZ42" s="16"/>
      <c r="ILA42" s="16"/>
      <c r="ILB42" s="16"/>
      <c r="ILC42" s="16"/>
      <c r="ILD42" s="16"/>
      <c r="ILE42" s="16"/>
      <c r="ILF42" s="16"/>
      <c r="ILG42" s="16"/>
      <c r="ILH42" s="16"/>
      <c r="ILI42" s="16"/>
      <c r="ILJ42" s="16"/>
      <c r="ILK42" s="16"/>
      <c r="ILL42" s="16"/>
      <c r="ILM42" s="16"/>
      <c r="ILN42" s="16"/>
      <c r="ILO42" s="16"/>
      <c r="ILP42" s="16"/>
      <c r="ILQ42" s="16"/>
      <c r="ILR42" s="16"/>
      <c r="ILS42" s="16"/>
      <c r="ILT42" s="16"/>
      <c r="ILU42" s="16"/>
      <c r="ILV42" s="16"/>
      <c r="ILW42" s="16"/>
      <c r="ILX42" s="16"/>
      <c r="ILY42" s="16"/>
      <c r="ILZ42" s="16"/>
      <c r="IMA42" s="16"/>
      <c r="IMB42" s="16"/>
      <c r="IMC42" s="16"/>
      <c r="IMD42" s="16"/>
      <c r="IME42" s="16"/>
      <c r="IMF42" s="16"/>
      <c r="IMG42" s="16"/>
      <c r="IMH42" s="16"/>
      <c r="IMI42" s="16"/>
      <c r="IMJ42" s="16"/>
      <c r="IMK42" s="16"/>
      <c r="IML42" s="16"/>
      <c r="IMM42" s="16"/>
      <c r="IMN42" s="16"/>
      <c r="IMO42" s="16"/>
      <c r="IMP42" s="16"/>
      <c r="IMQ42" s="16"/>
      <c r="IMR42" s="16"/>
      <c r="IMS42" s="16"/>
      <c r="IMT42" s="16"/>
      <c r="IMU42" s="16"/>
      <c r="IMV42" s="16"/>
      <c r="IMW42" s="16"/>
      <c r="IMX42" s="16"/>
      <c r="IMY42" s="16"/>
      <c r="IMZ42" s="16"/>
      <c r="INA42" s="16"/>
      <c r="INB42" s="16"/>
      <c r="INC42" s="16"/>
      <c r="IND42" s="16"/>
      <c r="INE42" s="16"/>
      <c r="INF42" s="16"/>
      <c r="ING42" s="16"/>
      <c r="INH42" s="16"/>
      <c r="INI42" s="16"/>
      <c r="INJ42" s="16"/>
      <c r="INK42" s="16"/>
      <c r="INL42" s="16"/>
      <c r="INM42" s="16"/>
      <c r="INN42" s="16"/>
      <c r="INO42" s="16"/>
      <c r="INP42" s="16"/>
      <c r="INQ42" s="16"/>
      <c r="INR42" s="16"/>
      <c r="INS42" s="16"/>
      <c r="INT42" s="16"/>
      <c r="INU42" s="16"/>
      <c r="INV42" s="16"/>
      <c r="INW42" s="16"/>
      <c r="INX42" s="16"/>
      <c r="INY42" s="16"/>
      <c r="INZ42" s="16"/>
      <c r="IOA42" s="16"/>
      <c r="IOB42" s="16"/>
      <c r="IOC42" s="16"/>
      <c r="IOD42" s="16"/>
      <c r="IOE42" s="16"/>
      <c r="IOF42" s="16"/>
      <c r="IOG42" s="16"/>
      <c r="IOH42" s="16"/>
      <c r="IOI42" s="16"/>
      <c r="IOJ42" s="16"/>
      <c r="IOK42" s="16"/>
      <c r="IOL42" s="16"/>
      <c r="IOM42" s="16"/>
      <c r="ION42" s="16"/>
      <c r="IOO42" s="16"/>
      <c r="IOP42" s="16"/>
      <c r="IOQ42" s="16"/>
      <c r="IOR42" s="16"/>
      <c r="IOS42" s="16"/>
      <c r="IOT42" s="16"/>
      <c r="IOU42" s="16"/>
      <c r="IOV42" s="16"/>
      <c r="IOW42" s="16"/>
      <c r="IOX42" s="16"/>
      <c r="IOY42" s="16"/>
      <c r="IOZ42" s="16"/>
      <c r="IPA42" s="16"/>
      <c r="IPB42" s="16"/>
      <c r="IPC42" s="16"/>
      <c r="IPD42" s="16"/>
      <c r="IPE42" s="16"/>
      <c r="IPF42" s="16"/>
      <c r="IPG42" s="16"/>
      <c r="IPH42" s="16"/>
      <c r="IPI42" s="16"/>
      <c r="IPJ42" s="16"/>
      <c r="IPK42" s="16"/>
      <c r="IPL42" s="16"/>
      <c r="IPM42" s="16"/>
      <c r="IPN42" s="16"/>
      <c r="IPO42" s="16"/>
      <c r="IPP42" s="16"/>
      <c r="IPQ42" s="16"/>
      <c r="IPR42" s="16"/>
      <c r="IPS42" s="16"/>
      <c r="IPT42" s="16"/>
      <c r="IPU42" s="16"/>
      <c r="IPV42" s="16"/>
      <c r="IPW42" s="16"/>
      <c r="IPX42" s="16"/>
      <c r="IPY42" s="16"/>
      <c r="IPZ42" s="16"/>
      <c r="IQA42" s="16"/>
      <c r="IQB42" s="16"/>
      <c r="IQC42" s="16"/>
      <c r="IQD42" s="16"/>
      <c r="IQE42" s="16"/>
      <c r="IQF42" s="16"/>
      <c r="IQG42" s="16"/>
      <c r="IQH42" s="16"/>
      <c r="IQI42" s="16"/>
      <c r="IQJ42" s="16"/>
      <c r="IQK42" s="16"/>
      <c r="IQL42" s="16"/>
      <c r="IQM42" s="16"/>
      <c r="IQN42" s="16"/>
      <c r="IQO42" s="16"/>
      <c r="IQP42" s="16"/>
      <c r="IQQ42" s="16"/>
      <c r="IQR42" s="16"/>
      <c r="IQS42" s="16"/>
      <c r="IQT42" s="16"/>
      <c r="IQU42" s="16"/>
      <c r="IQV42" s="16"/>
      <c r="IQW42" s="16"/>
      <c r="IQX42" s="16"/>
      <c r="IQY42" s="16"/>
      <c r="IQZ42" s="16"/>
      <c r="IRA42" s="16"/>
      <c r="IRB42" s="16"/>
      <c r="IRC42" s="16"/>
      <c r="IRD42" s="16"/>
      <c r="IRE42" s="16"/>
      <c r="IRF42" s="16"/>
      <c r="IRG42" s="16"/>
      <c r="IRH42" s="16"/>
      <c r="IRI42" s="16"/>
      <c r="IRJ42" s="16"/>
      <c r="IRK42" s="16"/>
      <c r="IRL42" s="16"/>
      <c r="IRM42" s="16"/>
      <c r="IRN42" s="16"/>
      <c r="IRO42" s="16"/>
      <c r="IRP42" s="16"/>
      <c r="IRQ42" s="16"/>
      <c r="IRR42" s="16"/>
      <c r="IRS42" s="16"/>
      <c r="IRT42" s="16"/>
      <c r="IRU42" s="16"/>
      <c r="IRV42" s="16"/>
      <c r="IRW42" s="16"/>
      <c r="IRX42" s="16"/>
      <c r="IRY42" s="16"/>
      <c r="IRZ42" s="16"/>
      <c r="ISA42" s="16"/>
      <c r="ISB42" s="16"/>
      <c r="ISC42" s="16"/>
      <c r="ISD42" s="16"/>
      <c r="ISE42" s="16"/>
      <c r="ISF42" s="16"/>
      <c r="ISG42" s="16"/>
      <c r="ISH42" s="16"/>
      <c r="ISI42" s="16"/>
      <c r="ISJ42" s="16"/>
      <c r="ISK42" s="16"/>
      <c r="ISL42" s="16"/>
      <c r="ISM42" s="16"/>
      <c r="ISN42" s="16"/>
      <c r="ISO42" s="16"/>
      <c r="ISP42" s="16"/>
      <c r="ISQ42" s="16"/>
      <c r="ISR42" s="16"/>
      <c r="ISS42" s="16"/>
      <c r="IST42" s="16"/>
      <c r="ISU42" s="16"/>
      <c r="ISV42" s="16"/>
      <c r="ISW42" s="16"/>
      <c r="ISX42" s="16"/>
      <c r="ISY42" s="16"/>
      <c r="ISZ42" s="16"/>
      <c r="ITA42" s="16"/>
      <c r="ITB42" s="16"/>
      <c r="ITC42" s="16"/>
      <c r="ITD42" s="16"/>
      <c r="ITE42" s="16"/>
      <c r="ITF42" s="16"/>
      <c r="ITG42" s="16"/>
      <c r="ITH42" s="16"/>
      <c r="ITI42" s="16"/>
      <c r="ITJ42" s="16"/>
      <c r="ITK42" s="16"/>
      <c r="ITL42" s="16"/>
      <c r="ITM42" s="16"/>
      <c r="ITN42" s="16"/>
      <c r="ITO42" s="16"/>
      <c r="ITP42" s="16"/>
      <c r="ITQ42" s="16"/>
      <c r="ITR42" s="16"/>
      <c r="ITS42" s="16"/>
      <c r="ITT42" s="16"/>
      <c r="ITU42" s="16"/>
      <c r="ITV42" s="16"/>
      <c r="ITW42" s="16"/>
      <c r="ITX42" s="16"/>
      <c r="ITY42" s="16"/>
      <c r="ITZ42" s="16"/>
      <c r="IUA42" s="16"/>
      <c r="IUB42" s="16"/>
      <c r="IUC42" s="16"/>
      <c r="IUD42" s="16"/>
      <c r="IUE42" s="16"/>
      <c r="IUF42" s="16"/>
      <c r="IUG42" s="16"/>
      <c r="IUH42" s="16"/>
      <c r="IUI42" s="16"/>
      <c r="IUJ42" s="16"/>
      <c r="IUK42" s="16"/>
      <c r="IUL42" s="16"/>
      <c r="IUM42" s="16"/>
      <c r="IUN42" s="16"/>
      <c r="IUO42" s="16"/>
      <c r="IUP42" s="16"/>
      <c r="IUQ42" s="16"/>
      <c r="IUR42" s="16"/>
      <c r="IUS42" s="16"/>
      <c r="IUT42" s="16"/>
      <c r="IUU42" s="16"/>
      <c r="IUV42" s="16"/>
      <c r="IUW42" s="16"/>
      <c r="IUX42" s="16"/>
      <c r="IUY42" s="16"/>
      <c r="IUZ42" s="16"/>
      <c r="IVA42" s="16"/>
      <c r="IVB42" s="16"/>
      <c r="IVC42" s="16"/>
      <c r="IVD42" s="16"/>
      <c r="IVE42" s="16"/>
      <c r="IVF42" s="16"/>
      <c r="IVG42" s="16"/>
      <c r="IVH42" s="16"/>
      <c r="IVI42" s="16"/>
      <c r="IVJ42" s="16"/>
      <c r="IVK42" s="16"/>
      <c r="IVL42" s="16"/>
      <c r="IVM42" s="16"/>
      <c r="IVN42" s="16"/>
      <c r="IVO42" s="16"/>
      <c r="IVP42" s="16"/>
      <c r="IVQ42" s="16"/>
      <c r="IVR42" s="16"/>
      <c r="IVS42" s="16"/>
      <c r="IVT42" s="16"/>
      <c r="IVU42" s="16"/>
      <c r="IVV42" s="16"/>
      <c r="IVW42" s="16"/>
      <c r="IVX42" s="16"/>
      <c r="IVY42" s="16"/>
      <c r="IVZ42" s="16"/>
      <c r="IWA42" s="16"/>
      <c r="IWB42" s="16"/>
      <c r="IWC42" s="16"/>
      <c r="IWD42" s="16"/>
      <c r="IWE42" s="16"/>
      <c r="IWF42" s="16"/>
      <c r="IWG42" s="16"/>
      <c r="IWH42" s="16"/>
      <c r="IWI42" s="16"/>
      <c r="IWJ42" s="16"/>
      <c r="IWK42" s="16"/>
      <c r="IWL42" s="16"/>
      <c r="IWM42" s="16"/>
      <c r="IWN42" s="16"/>
      <c r="IWO42" s="16"/>
      <c r="IWP42" s="16"/>
      <c r="IWQ42" s="16"/>
      <c r="IWR42" s="16"/>
      <c r="IWS42" s="16"/>
      <c r="IWT42" s="16"/>
      <c r="IWU42" s="16"/>
      <c r="IWV42" s="16"/>
      <c r="IWW42" s="16"/>
      <c r="IWX42" s="16"/>
      <c r="IWY42" s="16"/>
      <c r="IWZ42" s="16"/>
      <c r="IXA42" s="16"/>
      <c r="IXB42" s="16"/>
      <c r="IXC42" s="16"/>
      <c r="IXD42" s="16"/>
      <c r="IXE42" s="16"/>
      <c r="IXF42" s="16"/>
      <c r="IXG42" s="16"/>
      <c r="IXH42" s="16"/>
      <c r="IXI42" s="16"/>
      <c r="IXJ42" s="16"/>
      <c r="IXK42" s="16"/>
      <c r="IXL42" s="16"/>
      <c r="IXM42" s="16"/>
      <c r="IXN42" s="16"/>
      <c r="IXO42" s="16"/>
      <c r="IXP42" s="16"/>
      <c r="IXQ42" s="16"/>
      <c r="IXR42" s="16"/>
      <c r="IXS42" s="16"/>
      <c r="IXT42" s="16"/>
      <c r="IXU42" s="16"/>
      <c r="IXV42" s="16"/>
      <c r="IXW42" s="16"/>
      <c r="IXX42" s="16"/>
      <c r="IXY42" s="16"/>
      <c r="IXZ42" s="16"/>
      <c r="IYA42" s="16"/>
      <c r="IYB42" s="16"/>
      <c r="IYC42" s="16"/>
      <c r="IYD42" s="16"/>
      <c r="IYE42" s="16"/>
      <c r="IYF42" s="16"/>
      <c r="IYG42" s="16"/>
      <c r="IYH42" s="16"/>
      <c r="IYI42" s="16"/>
      <c r="IYJ42" s="16"/>
      <c r="IYK42" s="16"/>
      <c r="IYL42" s="16"/>
      <c r="IYM42" s="16"/>
      <c r="IYN42" s="16"/>
      <c r="IYO42" s="16"/>
      <c r="IYP42" s="16"/>
      <c r="IYQ42" s="16"/>
      <c r="IYR42" s="16"/>
      <c r="IYS42" s="16"/>
      <c r="IYT42" s="16"/>
      <c r="IYU42" s="16"/>
      <c r="IYV42" s="16"/>
      <c r="IYW42" s="16"/>
      <c r="IYX42" s="16"/>
      <c r="IYY42" s="16"/>
      <c r="IYZ42" s="16"/>
      <c r="IZA42" s="16"/>
      <c r="IZB42" s="16"/>
      <c r="IZC42" s="16"/>
      <c r="IZD42" s="16"/>
      <c r="IZE42" s="16"/>
      <c r="IZF42" s="16"/>
      <c r="IZG42" s="16"/>
      <c r="IZH42" s="16"/>
      <c r="IZI42" s="16"/>
      <c r="IZJ42" s="16"/>
      <c r="IZK42" s="16"/>
      <c r="IZL42" s="16"/>
      <c r="IZM42" s="16"/>
      <c r="IZN42" s="16"/>
      <c r="IZO42" s="16"/>
      <c r="IZP42" s="16"/>
      <c r="IZQ42" s="16"/>
      <c r="IZR42" s="16"/>
      <c r="IZS42" s="16"/>
      <c r="IZT42" s="16"/>
      <c r="IZU42" s="16"/>
      <c r="IZV42" s="16"/>
      <c r="IZW42" s="16"/>
      <c r="IZX42" s="16"/>
      <c r="IZY42" s="16"/>
      <c r="IZZ42" s="16"/>
      <c r="JAA42" s="16"/>
      <c r="JAB42" s="16"/>
      <c r="JAC42" s="16"/>
      <c r="JAD42" s="16"/>
      <c r="JAE42" s="16"/>
      <c r="JAF42" s="16"/>
      <c r="JAG42" s="16"/>
      <c r="JAH42" s="16"/>
      <c r="JAI42" s="16"/>
      <c r="JAJ42" s="16"/>
      <c r="JAK42" s="16"/>
      <c r="JAL42" s="16"/>
      <c r="JAM42" s="16"/>
      <c r="JAN42" s="16"/>
      <c r="JAO42" s="16"/>
      <c r="JAP42" s="16"/>
      <c r="JAQ42" s="16"/>
      <c r="JAR42" s="16"/>
      <c r="JAS42" s="16"/>
      <c r="JAT42" s="16"/>
      <c r="JAU42" s="16"/>
      <c r="JAV42" s="16"/>
      <c r="JAW42" s="16"/>
      <c r="JAX42" s="16"/>
      <c r="JAY42" s="16"/>
      <c r="JAZ42" s="16"/>
      <c r="JBA42" s="16"/>
      <c r="JBB42" s="16"/>
      <c r="JBC42" s="16"/>
      <c r="JBD42" s="16"/>
      <c r="JBE42" s="16"/>
      <c r="JBF42" s="16"/>
      <c r="JBG42" s="16"/>
      <c r="JBH42" s="16"/>
      <c r="JBI42" s="16"/>
      <c r="JBJ42" s="16"/>
      <c r="JBK42" s="16"/>
      <c r="JBL42" s="16"/>
      <c r="JBM42" s="16"/>
      <c r="JBN42" s="16"/>
      <c r="JBO42" s="16"/>
      <c r="JBP42" s="16"/>
      <c r="JBQ42" s="16"/>
      <c r="JBR42" s="16"/>
      <c r="JBS42" s="16"/>
      <c r="JBT42" s="16"/>
      <c r="JBU42" s="16"/>
      <c r="JBV42" s="16"/>
      <c r="JBW42" s="16"/>
      <c r="JBX42" s="16"/>
      <c r="JBY42" s="16"/>
      <c r="JBZ42" s="16"/>
      <c r="JCA42" s="16"/>
      <c r="JCB42" s="16"/>
      <c r="JCC42" s="16"/>
      <c r="JCD42" s="16"/>
      <c r="JCE42" s="16"/>
      <c r="JCF42" s="16"/>
      <c r="JCG42" s="16"/>
      <c r="JCH42" s="16"/>
      <c r="JCI42" s="16"/>
      <c r="JCJ42" s="16"/>
      <c r="JCK42" s="16"/>
      <c r="JCL42" s="16"/>
      <c r="JCM42" s="16"/>
      <c r="JCN42" s="16"/>
      <c r="JCO42" s="16"/>
      <c r="JCP42" s="16"/>
      <c r="JCQ42" s="16"/>
      <c r="JCR42" s="16"/>
      <c r="JCS42" s="16"/>
      <c r="JCT42" s="16"/>
      <c r="JCU42" s="16"/>
      <c r="JCV42" s="16"/>
      <c r="JCW42" s="16"/>
      <c r="JCX42" s="16"/>
      <c r="JCY42" s="16"/>
      <c r="JCZ42" s="16"/>
      <c r="JDA42" s="16"/>
      <c r="JDB42" s="16"/>
      <c r="JDC42" s="16"/>
      <c r="JDD42" s="16"/>
      <c r="JDE42" s="16"/>
      <c r="JDF42" s="16"/>
      <c r="JDG42" s="16"/>
      <c r="JDH42" s="16"/>
      <c r="JDI42" s="16"/>
      <c r="JDJ42" s="16"/>
      <c r="JDK42" s="16"/>
      <c r="JDL42" s="16"/>
      <c r="JDM42" s="16"/>
      <c r="JDN42" s="16"/>
      <c r="JDO42" s="16"/>
      <c r="JDP42" s="16"/>
      <c r="JDQ42" s="16"/>
      <c r="JDR42" s="16"/>
      <c r="JDS42" s="16"/>
      <c r="JDT42" s="16"/>
      <c r="JDU42" s="16"/>
      <c r="JDV42" s="16"/>
      <c r="JDW42" s="16"/>
      <c r="JDX42" s="16"/>
      <c r="JDY42" s="16"/>
      <c r="JDZ42" s="16"/>
      <c r="JEA42" s="16"/>
      <c r="JEB42" s="16"/>
      <c r="JEC42" s="16"/>
      <c r="JED42" s="16"/>
      <c r="JEE42" s="16"/>
      <c r="JEF42" s="16"/>
      <c r="JEG42" s="16"/>
      <c r="JEH42" s="16"/>
      <c r="JEI42" s="16"/>
      <c r="JEJ42" s="16"/>
      <c r="JEK42" s="16"/>
      <c r="JEL42" s="16"/>
      <c r="JEM42" s="16"/>
      <c r="JEN42" s="16"/>
      <c r="JEO42" s="16"/>
      <c r="JEP42" s="16"/>
      <c r="JEQ42" s="16"/>
      <c r="JER42" s="16"/>
      <c r="JES42" s="16"/>
      <c r="JET42" s="16"/>
      <c r="JEU42" s="16"/>
      <c r="JEV42" s="16"/>
      <c r="JEW42" s="16"/>
      <c r="JEX42" s="16"/>
      <c r="JEY42" s="16"/>
      <c r="JEZ42" s="16"/>
      <c r="JFA42" s="16"/>
      <c r="JFB42" s="16"/>
      <c r="JFC42" s="16"/>
      <c r="JFD42" s="16"/>
      <c r="JFE42" s="16"/>
      <c r="JFF42" s="16"/>
      <c r="JFG42" s="16"/>
      <c r="JFH42" s="16"/>
      <c r="JFI42" s="16"/>
      <c r="JFJ42" s="16"/>
      <c r="JFK42" s="16"/>
      <c r="JFL42" s="16"/>
      <c r="JFM42" s="16"/>
      <c r="JFN42" s="16"/>
      <c r="JFO42" s="16"/>
      <c r="JFP42" s="16"/>
      <c r="JFQ42" s="16"/>
      <c r="JFR42" s="16"/>
      <c r="JFS42" s="16"/>
      <c r="JFT42" s="16"/>
      <c r="JFU42" s="16"/>
      <c r="JFV42" s="16"/>
      <c r="JFW42" s="16"/>
      <c r="JFX42" s="16"/>
      <c r="JFY42" s="16"/>
      <c r="JFZ42" s="16"/>
      <c r="JGA42" s="16"/>
      <c r="JGB42" s="16"/>
      <c r="JGC42" s="16"/>
      <c r="JGD42" s="16"/>
      <c r="JGE42" s="16"/>
      <c r="JGF42" s="16"/>
      <c r="JGG42" s="16"/>
      <c r="JGH42" s="16"/>
      <c r="JGI42" s="16"/>
      <c r="JGJ42" s="16"/>
      <c r="JGK42" s="16"/>
      <c r="JGL42" s="16"/>
      <c r="JGM42" s="16"/>
      <c r="JGN42" s="16"/>
      <c r="JGO42" s="16"/>
      <c r="JGP42" s="16"/>
      <c r="JGQ42" s="16"/>
      <c r="JGR42" s="16"/>
      <c r="JGS42" s="16"/>
      <c r="JGT42" s="16"/>
      <c r="JGU42" s="16"/>
      <c r="JGV42" s="16"/>
      <c r="JGW42" s="16"/>
      <c r="JGX42" s="16"/>
      <c r="JGY42" s="16"/>
      <c r="JGZ42" s="16"/>
      <c r="JHA42" s="16"/>
      <c r="JHB42" s="16"/>
      <c r="JHC42" s="16"/>
      <c r="JHD42" s="16"/>
      <c r="JHE42" s="16"/>
      <c r="JHF42" s="16"/>
      <c r="JHG42" s="16"/>
      <c r="JHH42" s="16"/>
      <c r="JHI42" s="16"/>
      <c r="JHJ42" s="16"/>
      <c r="JHK42" s="16"/>
      <c r="JHL42" s="16"/>
      <c r="JHM42" s="16"/>
      <c r="JHN42" s="16"/>
      <c r="JHO42" s="16"/>
      <c r="JHP42" s="16"/>
      <c r="JHQ42" s="16"/>
      <c r="JHR42" s="16"/>
      <c r="JHS42" s="16"/>
      <c r="JHT42" s="16"/>
      <c r="JHU42" s="16"/>
      <c r="JHV42" s="16"/>
      <c r="JHW42" s="16"/>
      <c r="JHX42" s="16"/>
      <c r="JHY42" s="16"/>
      <c r="JHZ42" s="16"/>
      <c r="JIA42" s="16"/>
      <c r="JIB42" s="16"/>
      <c r="JIC42" s="16"/>
      <c r="JID42" s="16"/>
      <c r="JIE42" s="16"/>
      <c r="JIF42" s="16"/>
      <c r="JIG42" s="16"/>
      <c r="JIH42" s="16"/>
      <c r="JII42" s="16"/>
      <c r="JIJ42" s="16"/>
      <c r="JIK42" s="16"/>
      <c r="JIL42" s="16"/>
      <c r="JIM42" s="16"/>
      <c r="JIN42" s="16"/>
      <c r="JIO42" s="16"/>
      <c r="JIP42" s="16"/>
      <c r="JIQ42" s="16"/>
      <c r="JIR42" s="16"/>
      <c r="JIS42" s="16"/>
      <c r="JIT42" s="16"/>
      <c r="JIU42" s="16"/>
      <c r="JIV42" s="16"/>
      <c r="JIW42" s="16"/>
      <c r="JIX42" s="16"/>
      <c r="JIY42" s="16"/>
      <c r="JIZ42" s="16"/>
      <c r="JJA42" s="16"/>
      <c r="JJB42" s="16"/>
      <c r="JJC42" s="16"/>
      <c r="JJD42" s="16"/>
      <c r="JJE42" s="16"/>
      <c r="JJF42" s="16"/>
      <c r="JJG42" s="16"/>
      <c r="JJH42" s="16"/>
      <c r="JJI42" s="16"/>
      <c r="JJJ42" s="16"/>
      <c r="JJK42" s="16"/>
      <c r="JJL42" s="16"/>
      <c r="JJM42" s="16"/>
      <c r="JJN42" s="16"/>
      <c r="JJO42" s="16"/>
      <c r="JJP42" s="16"/>
      <c r="JJQ42" s="16"/>
      <c r="JJR42" s="16"/>
      <c r="JJS42" s="16"/>
      <c r="JJT42" s="16"/>
      <c r="JJU42" s="16"/>
      <c r="JJV42" s="16"/>
      <c r="JJW42" s="16"/>
      <c r="JJX42" s="16"/>
      <c r="JJY42" s="16"/>
      <c r="JJZ42" s="16"/>
      <c r="JKA42" s="16"/>
      <c r="JKB42" s="16"/>
      <c r="JKC42" s="16"/>
      <c r="JKD42" s="16"/>
      <c r="JKE42" s="16"/>
      <c r="JKF42" s="16"/>
      <c r="JKG42" s="16"/>
      <c r="JKH42" s="16"/>
      <c r="JKI42" s="16"/>
      <c r="JKJ42" s="16"/>
      <c r="JKK42" s="16"/>
      <c r="JKL42" s="16"/>
      <c r="JKM42" s="16"/>
      <c r="JKN42" s="16"/>
      <c r="JKO42" s="16"/>
      <c r="JKP42" s="16"/>
      <c r="JKQ42" s="16"/>
      <c r="JKR42" s="16"/>
      <c r="JKS42" s="16"/>
      <c r="JKT42" s="16"/>
      <c r="JKU42" s="16"/>
      <c r="JKV42" s="16"/>
      <c r="JKW42" s="16"/>
      <c r="JKX42" s="16"/>
      <c r="JKY42" s="16"/>
      <c r="JKZ42" s="16"/>
      <c r="JLA42" s="16"/>
      <c r="JLB42" s="16"/>
      <c r="JLC42" s="16"/>
      <c r="JLD42" s="16"/>
      <c r="JLE42" s="16"/>
      <c r="JLF42" s="16"/>
      <c r="JLG42" s="16"/>
      <c r="JLH42" s="16"/>
      <c r="JLI42" s="16"/>
      <c r="JLJ42" s="16"/>
      <c r="JLK42" s="16"/>
      <c r="JLL42" s="16"/>
      <c r="JLM42" s="16"/>
      <c r="JLN42" s="16"/>
      <c r="JLO42" s="16"/>
      <c r="JLP42" s="16"/>
      <c r="JLQ42" s="16"/>
      <c r="JLR42" s="16"/>
      <c r="JLS42" s="16"/>
      <c r="JLT42" s="16"/>
      <c r="JLU42" s="16"/>
      <c r="JLV42" s="16"/>
      <c r="JLW42" s="16"/>
      <c r="JLX42" s="16"/>
      <c r="JLY42" s="16"/>
      <c r="JLZ42" s="16"/>
      <c r="JMA42" s="16"/>
      <c r="JMB42" s="16"/>
      <c r="JMC42" s="16"/>
      <c r="JMD42" s="16"/>
      <c r="JME42" s="16"/>
      <c r="JMF42" s="16"/>
      <c r="JMG42" s="16"/>
      <c r="JMH42" s="16"/>
      <c r="JMI42" s="16"/>
      <c r="JMJ42" s="16"/>
      <c r="JMK42" s="16"/>
      <c r="JML42" s="16"/>
      <c r="JMM42" s="16"/>
      <c r="JMN42" s="16"/>
      <c r="JMO42" s="16"/>
      <c r="JMP42" s="16"/>
      <c r="JMQ42" s="16"/>
      <c r="JMR42" s="16"/>
      <c r="JMS42" s="16"/>
      <c r="JMT42" s="16"/>
      <c r="JMU42" s="16"/>
      <c r="JMV42" s="16"/>
      <c r="JMW42" s="16"/>
      <c r="JMX42" s="16"/>
      <c r="JMY42" s="16"/>
      <c r="JMZ42" s="16"/>
      <c r="JNA42" s="16"/>
      <c r="JNB42" s="16"/>
      <c r="JNC42" s="16"/>
      <c r="JND42" s="16"/>
      <c r="JNE42" s="16"/>
      <c r="JNF42" s="16"/>
      <c r="JNG42" s="16"/>
      <c r="JNH42" s="16"/>
      <c r="JNI42" s="16"/>
      <c r="JNJ42" s="16"/>
      <c r="JNK42" s="16"/>
      <c r="JNL42" s="16"/>
      <c r="JNM42" s="16"/>
      <c r="JNN42" s="16"/>
      <c r="JNO42" s="16"/>
      <c r="JNP42" s="16"/>
      <c r="JNQ42" s="16"/>
      <c r="JNR42" s="16"/>
      <c r="JNS42" s="16"/>
      <c r="JNT42" s="16"/>
      <c r="JNU42" s="16"/>
      <c r="JNV42" s="16"/>
      <c r="JNW42" s="16"/>
      <c r="JNX42" s="16"/>
      <c r="JNY42" s="16"/>
      <c r="JNZ42" s="16"/>
      <c r="JOA42" s="16"/>
      <c r="JOB42" s="16"/>
      <c r="JOC42" s="16"/>
      <c r="JOD42" s="16"/>
      <c r="JOE42" s="16"/>
      <c r="JOF42" s="16"/>
      <c r="JOG42" s="16"/>
      <c r="JOH42" s="16"/>
      <c r="JOI42" s="16"/>
      <c r="JOJ42" s="16"/>
      <c r="JOK42" s="16"/>
      <c r="JOL42" s="16"/>
      <c r="JOM42" s="16"/>
      <c r="JON42" s="16"/>
      <c r="JOO42" s="16"/>
      <c r="JOP42" s="16"/>
      <c r="JOQ42" s="16"/>
      <c r="JOR42" s="16"/>
      <c r="JOS42" s="16"/>
      <c r="JOT42" s="16"/>
      <c r="JOU42" s="16"/>
      <c r="JOV42" s="16"/>
      <c r="JOW42" s="16"/>
      <c r="JOX42" s="16"/>
      <c r="JOY42" s="16"/>
      <c r="JOZ42" s="16"/>
      <c r="JPA42" s="16"/>
      <c r="JPB42" s="16"/>
      <c r="JPC42" s="16"/>
      <c r="JPD42" s="16"/>
      <c r="JPE42" s="16"/>
      <c r="JPF42" s="16"/>
      <c r="JPG42" s="16"/>
      <c r="JPH42" s="16"/>
      <c r="JPI42" s="16"/>
      <c r="JPJ42" s="16"/>
      <c r="JPK42" s="16"/>
      <c r="JPL42" s="16"/>
      <c r="JPM42" s="16"/>
      <c r="JPN42" s="16"/>
      <c r="JPO42" s="16"/>
      <c r="JPP42" s="16"/>
      <c r="JPQ42" s="16"/>
      <c r="JPR42" s="16"/>
      <c r="JPS42" s="16"/>
      <c r="JPT42" s="16"/>
      <c r="JPU42" s="16"/>
      <c r="JPV42" s="16"/>
      <c r="JPW42" s="16"/>
      <c r="JPX42" s="16"/>
      <c r="JPY42" s="16"/>
      <c r="JPZ42" s="16"/>
      <c r="JQA42" s="16"/>
      <c r="JQB42" s="16"/>
      <c r="JQC42" s="16"/>
      <c r="JQD42" s="16"/>
      <c r="JQE42" s="16"/>
      <c r="JQF42" s="16"/>
      <c r="JQG42" s="16"/>
      <c r="JQH42" s="16"/>
      <c r="JQI42" s="16"/>
      <c r="JQJ42" s="16"/>
      <c r="JQK42" s="16"/>
      <c r="JQL42" s="16"/>
      <c r="JQM42" s="16"/>
      <c r="JQN42" s="16"/>
      <c r="JQO42" s="16"/>
      <c r="JQP42" s="16"/>
      <c r="JQQ42" s="16"/>
      <c r="JQR42" s="16"/>
      <c r="JQS42" s="16"/>
      <c r="JQT42" s="16"/>
      <c r="JQU42" s="16"/>
      <c r="JQV42" s="16"/>
      <c r="JQW42" s="16"/>
      <c r="JQX42" s="16"/>
      <c r="JQY42" s="16"/>
      <c r="JQZ42" s="16"/>
      <c r="JRA42" s="16"/>
      <c r="JRB42" s="16"/>
      <c r="JRC42" s="16"/>
      <c r="JRD42" s="16"/>
      <c r="JRE42" s="16"/>
      <c r="JRF42" s="16"/>
      <c r="JRG42" s="16"/>
      <c r="JRH42" s="16"/>
      <c r="JRI42" s="16"/>
      <c r="JRJ42" s="16"/>
      <c r="JRK42" s="16"/>
      <c r="JRL42" s="16"/>
      <c r="JRM42" s="16"/>
      <c r="JRN42" s="16"/>
      <c r="JRO42" s="16"/>
      <c r="JRP42" s="16"/>
      <c r="JRQ42" s="16"/>
      <c r="JRR42" s="16"/>
      <c r="JRS42" s="16"/>
      <c r="JRT42" s="16"/>
      <c r="JRU42" s="16"/>
      <c r="JRV42" s="16"/>
      <c r="JRW42" s="16"/>
      <c r="JRX42" s="16"/>
      <c r="JRY42" s="16"/>
      <c r="JRZ42" s="16"/>
      <c r="JSA42" s="16"/>
      <c r="JSB42" s="16"/>
      <c r="JSC42" s="16"/>
      <c r="JSD42" s="16"/>
      <c r="JSE42" s="16"/>
      <c r="JSF42" s="16"/>
      <c r="JSG42" s="16"/>
      <c r="JSH42" s="16"/>
      <c r="JSI42" s="16"/>
      <c r="JSJ42" s="16"/>
      <c r="JSK42" s="16"/>
      <c r="JSL42" s="16"/>
      <c r="JSM42" s="16"/>
      <c r="JSN42" s="16"/>
      <c r="JSO42" s="16"/>
      <c r="JSP42" s="16"/>
      <c r="JSQ42" s="16"/>
      <c r="JSR42" s="16"/>
      <c r="JSS42" s="16"/>
      <c r="JST42" s="16"/>
      <c r="JSU42" s="16"/>
      <c r="JSV42" s="16"/>
      <c r="JSW42" s="16"/>
      <c r="JSX42" s="16"/>
      <c r="JSY42" s="16"/>
      <c r="JSZ42" s="16"/>
      <c r="JTA42" s="16"/>
      <c r="JTB42" s="16"/>
      <c r="JTC42" s="16"/>
      <c r="JTD42" s="16"/>
      <c r="JTE42" s="16"/>
      <c r="JTF42" s="16"/>
      <c r="JTG42" s="16"/>
      <c r="JTH42" s="16"/>
      <c r="JTI42" s="16"/>
      <c r="JTJ42" s="16"/>
      <c r="JTK42" s="16"/>
      <c r="JTL42" s="16"/>
      <c r="JTM42" s="16"/>
      <c r="JTN42" s="16"/>
      <c r="JTO42" s="16"/>
      <c r="JTP42" s="16"/>
      <c r="JTQ42" s="16"/>
      <c r="JTR42" s="16"/>
      <c r="JTS42" s="16"/>
      <c r="JTT42" s="16"/>
      <c r="JTU42" s="16"/>
      <c r="JTV42" s="16"/>
      <c r="JTW42" s="16"/>
      <c r="JTX42" s="16"/>
      <c r="JTY42" s="16"/>
      <c r="JTZ42" s="16"/>
      <c r="JUA42" s="16"/>
      <c r="JUB42" s="16"/>
      <c r="JUC42" s="16"/>
      <c r="JUD42" s="16"/>
      <c r="JUE42" s="16"/>
      <c r="JUF42" s="16"/>
      <c r="JUG42" s="16"/>
      <c r="JUH42" s="16"/>
      <c r="JUI42" s="16"/>
      <c r="JUJ42" s="16"/>
      <c r="JUK42" s="16"/>
      <c r="JUL42" s="16"/>
      <c r="JUM42" s="16"/>
      <c r="JUN42" s="16"/>
      <c r="JUO42" s="16"/>
      <c r="JUP42" s="16"/>
      <c r="JUQ42" s="16"/>
      <c r="JUR42" s="16"/>
      <c r="JUS42" s="16"/>
      <c r="JUT42" s="16"/>
      <c r="JUU42" s="16"/>
      <c r="JUV42" s="16"/>
      <c r="JUW42" s="16"/>
      <c r="JUX42" s="16"/>
      <c r="JUY42" s="16"/>
      <c r="JUZ42" s="16"/>
      <c r="JVA42" s="16"/>
      <c r="JVB42" s="16"/>
      <c r="JVC42" s="16"/>
      <c r="JVD42" s="16"/>
      <c r="JVE42" s="16"/>
      <c r="JVF42" s="16"/>
      <c r="JVG42" s="16"/>
      <c r="JVH42" s="16"/>
      <c r="JVI42" s="16"/>
      <c r="JVJ42" s="16"/>
      <c r="JVK42" s="16"/>
      <c r="JVL42" s="16"/>
      <c r="JVM42" s="16"/>
      <c r="JVN42" s="16"/>
      <c r="JVO42" s="16"/>
      <c r="JVP42" s="16"/>
      <c r="JVQ42" s="16"/>
      <c r="JVR42" s="16"/>
      <c r="JVS42" s="16"/>
      <c r="JVT42" s="16"/>
      <c r="JVU42" s="16"/>
      <c r="JVV42" s="16"/>
      <c r="JVW42" s="16"/>
      <c r="JVX42" s="16"/>
      <c r="JVY42" s="16"/>
      <c r="JVZ42" s="16"/>
      <c r="JWA42" s="16"/>
      <c r="JWB42" s="16"/>
      <c r="JWC42" s="16"/>
      <c r="JWD42" s="16"/>
      <c r="JWE42" s="16"/>
      <c r="JWF42" s="16"/>
      <c r="JWG42" s="16"/>
      <c r="JWH42" s="16"/>
      <c r="JWI42" s="16"/>
      <c r="JWJ42" s="16"/>
      <c r="JWK42" s="16"/>
      <c r="JWL42" s="16"/>
      <c r="JWM42" s="16"/>
      <c r="JWN42" s="16"/>
      <c r="JWO42" s="16"/>
      <c r="JWP42" s="16"/>
      <c r="JWQ42" s="16"/>
      <c r="JWR42" s="16"/>
      <c r="JWS42" s="16"/>
      <c r="JWT42" s="16"/>
      <c r="JWU42" s="16"/>
      <c r="JWV42" s="16"/>
      <c r="JWW42" s="16"/>
      <c r="JWX42" s="16"/>
      <c r="JWY42" s="16"/>
      <c r="JWZ42" s="16"/>
      <c r="JXA42" s="16"/>
      <c r="JXB42" s="16"/>
      <c r="JXC42" s="16"/>
      <c r="JXD42" s="16"/>
      <c r="JXE42" s="16"/>
      <c r="JXF42" s="16"/>
      <c r="JXG42" s="16"/>
      <c r="JXH42" s="16"/>
      <c r="JXI42" s="16"/>
      <c r="JXJ42" s="16"/>
      <c r="JXK42" s="16"/>
      <c r="JXL42" s="16"/>
      <c r="JXM42" s="16"/>
      <c r="JXN42" s="16"/>
      <c r="JXO42" s="16"/>
      <c r="JXP42" s="16"/>
      <c r="JXQ42" s="16"/>
      <c r="JXR42" s="16"/>
      <c r="JXS42" s="16"/>
      <c r="JXT42" s="16"/>
      <c r="JXU42" s="16"/>
      <c r="JXV42" s="16"/>
      <c r="JXW42" s="16"/>
      <c r="JXX42" s="16"/>
      <c r="JXY42" s="16"/>
      <c r="JXZ42" s="16"/>
      <c r="JYA42" s="16"/>
      <c r="JYB42" s="16"/>
      <c r="JYC42" s="16"/>
      <c r="JYD42" s="16"/>
      <c r="JYE42" s="16"/>
      <c r="JYF42" s="16"/>
      <c r="JYG42" s="16"/>
      <c r="JYH42" s="16"/>
      <c r="JYI42" s="16"/>
      <c r="JYJ42" s="16"/>
      <c r="JYK42" s="16"/>
      <c r="JYL42" s="16"/>
      <c r="JYM42" s="16"/>
      <c r="JYN42" s="16"/>
      <c r="JYO42" s="16"/>
      <c r="JYP42" s="16"/>
      <c r="JYQ42" s="16"/>
      <c r="JYR42" s="16"/>
      <c r="JYS42" s="16"/>
      <c r="JYT42" s="16"/>
      <c r="JYU42" s="16"/>
      <c r="JYV42" s="16"/>
      <c r="JYW42" s="16"/>
      <c r="JYX42" s="16"/>
      <c r="JYY42" s="16"/>
      <c r="JYZ42" s="16"/>
      <c r="JZA42" s="16"/>
      <c r="JZB42" s="16"/>
      <c r="JZC42" s="16"/>
      <c r="JZD42" s="16"/>
      <c r="JZE42" s="16"/>
      <c r="JZF42" s="16"/>
      <c r="JZG42" s="16"/>
      <c r="JZH42" s="16"/>
      <c r="JZI42" s="16"/>
      <c r="JZJ42" s="16"/>
      <c r="JZK42" s="16"/>
      <c r="JZL42" s="16"/>
      <c r="JZM42" s="16"/>
      <c r="JZN42" s="16"/>
      <c r="JZO42" s="16"/>
      <c r="JZP42" s="16"/>
      <c r="JZQ42" s="16"/>
      <c r="JZR42" s="16"/>
      <c r="JZS42" s="16"/>
      <c r="JZT42" s="16"/>
      <c r="JZU42" s="16"/>
      <c r="JZV42" s="16"/>
      <c r="JZW42" s="16"/>
      <c r="JZX42" s="16"/>
      <c r="JZY42" s="16"/>
      <c r="JZZ42" s="16"/>
      <c r="KAA42" s="16"/>
      <c r="KAB42" s="16"/>
      <c r="KAC42" s="16"/>
      <c r="KAD42" s="16"/>
      <c r="KAE42" s="16"/>
      <c r="KAF42" s="16"/>
      <c r="KAG42" s="16"/>
      <c r="KAH42" s="16"/>
      <c r="KAI42" s="16"/>
      <c r="KAJ42" s="16"/>
      <c r="KAK42" s="16"/>
      <c r="KAL42" s="16"/>
      <c r="KAM42" s="16"/>
      <c r="KAN42" s="16"/>
      <c r="KAO42" s="16"/>
      <c r="KAP42" s="16"/>
      <c r="KAQ42" s="16"/>
      <c r="KAR42" s="16"/>
      <c r="KAS42" s="16"/>
      <c r="KAT42" s="16"/>
      <c r="KAU42" s="16"/>
      <c r="KAV42" s="16"/>
      <c r="KAW42" s="16"/>
      <c r="KAX42" s="16"/>
      <c r="KAY42" s="16"/>
      <c r="KAZ42" s="16"/>
      <c r="KBA42" s="16"/>
      <c r="KBB42" s="16"/>
      <c r="KBC42" s="16"/>
      <c r="KBD42" s="16"/>
      <c r="KBE42" s="16"/>
      <c r="KBF42" s="16"/>
      <c r="KBG42" s="16"/>
      <c r="KBH42" s="16"/>
      <c r="KBI42" s="16"/>
      <c r="KBJ42" s="16"/>
      <c r="KBK42" s="16"/>
      <c r="KBL42" s="16"/>
      <c r="KBM42" s="16"/>
      <c r="KBN42" s="16"/>
      <c r="KBO42" s="16"/>
      <c r="KBP42" s="16"/>
      <c r="KBQ42" s="16"/>
      <c r="KBR42" s="16"/>
      <c r="KBS42" s="16"/>
      <c r="KBT42" s="16"/>
      <c r="KBU42" s="16"/>
      <c r="KBV42" s="16"/>
      <c r="KBW42" s="16"/>
      <c r="KBX42" s="16"/>
      <c r="KBY42" s="16"/>
      <c r="KBZ42" s="16"/>
      <c r="KCA42" s="16"/>
      <c r="KCB42" s="16"/>
      <c r="KCC42" s="16"/>
      <c r="KCD42" s="16"/>
      <c r="KCE42" s="16"/>
      <c r="KCF42" s="16"/>
      <c r="KCG42" s="16"/>
      <c r="KCH42" s="16"/>
      <c r="KCI42" s="16"/>
      <c r="KCJ42" s="16"/>
      <c r="KCK42" s="16"/>
      <c r="KCL42" s="16"/>
      <c r="KCM42" s="16"/>
      <c r="KCN42" s="16"/>
      <c r="KCO42" s="16"/>
      <c r="KCP42" s="16"/>
      <c r="KCQ42" s="16"/>
      <c r="KCR42" s="16"/>
      <c r="KCS42" s="16"/>
      <c r="KCT42" s="16"/>
      <c r="KCU42" s="16"/>
      <c r="KCV42" s="16"/>
      <c r="KCW42" s="16"/>
      <c r="KCX42" s="16"/>
      <c r="KCY42" s="16"/>
      <c r="KCZ42" s="16"/>
      <c r="KDA42" s="16"/>
      <c r="KDB42" s="16"/>
      <c r="KDC42" s="16"/>
      <c r="KDD42" s="16"/>
      <c r="KDE42" s="16"/>
      <c r="KDF42" s="16"/>
      <c r="KDG42" s="16"/>
      <c r="KDH42" s="16"/>
      <c r="KDI42" s="16"/>
      <c r="KDJ42" s="16"/>
      <c r="KDK42" s="16"/>
      <c r="KDL42" s="16"/>
      <c r="KDM42" s="16"/>
      <c r="KDN42" s="16"/>
      <c r="KDO42" s="16"/>
      <c r="KDP42" s="16"/>
      <c r="KDQ42" s="16"/>
      <c r="KDR42" s="16"/>
      <c r="KDS42" s="16"/>
      <c r="KDT42" s="16"/>
      <c r="KDU42" s="16"/>
      <c r="KDV42" s="16"/>
      <c r="KDW42" s="16"/>
      <c r="KDX42" s="16"/>
      <c r="KDY42" s="16"/>
      <c r="KDZ42" s="16"/>
      <c r="KEA42" s="16"/>
      <c r="KEB42" s="16"/>
      <c r="KEC42" s="16"/>
      <c r="KED42" s="16"/>
      <c r="KEE42" s="16"/>
      <c r="KEF42" s="16"/>
      <c r="KEG42" s="16"/>
      <c r="KEH42" s="16"/>
      <c r="KEI42" s="16"/>
      <c r="KEJ42" s="16"/>
      <c r="KEK42" s="16"/>
      <c r="KEL42" s="16"/>
      <c r="KEM42" s="16"/>
      <c r="KEN42" s="16"/>
      <c r="KEO42" s="16"/>
      <c r="KEP42" s="16"/>
      <c r="KEQ42" s="16"/>
      <c r="KER42" s="16"/>
      <c r="KES42" s="16"/>
      <c r="KET42" s="16"/>
      <c r="KEU42" s="16"/>
      <c r="KEV42" s="16"/>
      <c r="KEW42" s="16"/>
      <c r="KEX42" s="16"/>
      <c r="KEY42" s="16"/>
      <c r="KEZ42" s="16"/>
      <c r="KFA42" s="16"/>
      <c r="KFB42" s="16"/>
      <c r="KFC42" s="16"/>
      <c r="KFD42" s="16"/>
      <c r="KFE42" s="16"/>
      <c r="KFF42" s="16"/>
      <c r="KFG42" s="16"/>
      <c r="KFH42" s="16"/>
      <c r="KFI42" s="16"/>
      <c r="KFJ42" s="16"/>
      <c r="KFK42" s="16"/>
      <c r="KFL42" s="16"/>
      <c r="KFM42" s="16"/>
      <c r="KFN42" s="16"/>
      <c r="KFO42" s="16"/>
      <c r="KFP42" s="16"/>
      <c r="KFQ42" s="16"/>
      <c r="KFR42" s="16"/>
      <c r="KFS42" s="16"/>
      <c r="KFT42" s="16"/>
      <c r="KFU42" s="16"/>
      <c r="KFV42" s="16"/>
      <c r="KFW42" s="16"/>
      <c r="KFX42" s="16"/>
      <c r="KFY42" s="16"/>
      <c r="KFZ42" s="16"/>
      <c r="KGA42" s="16"/>
      <c r="KGB42" s="16"/>
      <c r="KGC42" s="16"/>
      <c r="KGD42" s="16"/>
      <c r="KGE42" s="16"/>
      <c r="KGF42" s="16"/>
      <c r="KGG42" s="16"/>
      <c r="KGH42" s="16"/>
      <c r="KGI42" s="16"/>
      <c r="KGJ42" s="16"/>
      <c r="KGK42" s="16"/>
      <c r="KGL42" s="16"/>
      <c r="KGM42" s="16"/>
      <c r="KGN42" s="16"/>
      <c r="KGO42" s="16"/>
      <c r="KGP42" s="16"/>
      <c r="KGQ42" s="16"/>
      <c r="KGR42" s="16"/>
      <c r="KGS42" s="16"/>
      <c r="KGT42" s="16"/>
      <c r="KGU42" s="16"/>
      <c r="KGV42" s="16"/>
      <c r="KGW42" s="16"/>
      <c r="KGX42" s="16"/>
      <c r="KGY42" s="16"/>
      <c r="KGZ42" s="16"/>
      <c r="KHA42" s="16"/>
      <c r="KHB42" s="16"/>
      <c r="KHC42" s="16"/>
      <c r="KHD42" s="16"/>
      <c r="KHE42" s="16"/>
      <c r="KHF42" s="16"/>
      <c r="KHG42" s="16"/>
      <c r="KHH42" s="16"/>
      <c r="KHI42" s="16"/>
      <c r="KHJ42" s="16"/>
      <c r="KHK42" s="16"/>
      <c r="KHL42" s="16"/>
      <c r="KHM42" s="16"/>
      <c r="KHN42" s="16"/>
      <c r="KHO42" s="16"/>
      <c r="KHP42" s="16"/>
      <c r="KHQ42" s="16"/>
      <c r="KHR42" s="16"/>
      <c r="KHS42" s="16"/>
      <c r="KHT42" s="16"/>
      <c r="KHU42" s="16"/>
      <c r="KHV42" s="16"/>
      <c r="KHW42" s="16"/>
      <c r="KHX42" s="16"/>
      <c r="KHY42" s="16"/>
      <c r="KHZ42" s="16"/>
      <c r="KIA42" s="16"/>
      <c r="KIB42" s="16"/>
      <c r="KIC42" s="16"/>
      <c r="KID42" s="16"/>
      <c r="KIE42" s="16"/>
      <c r="KIF42" s="16"/>
      <c r="KIG42" s="16"/>
      <c r="KIH42" s="16"/>
      <c r="KII42" s="16"/>
      <c r="KIJ42" s="16"/>
      <c r="KIK42" s="16"/>
      <c r="KIL42" s="16"/>
      <c r="KIM42" s="16"/>
      <c r="KIN42" s="16"/>
      <c r="KIO42" s="16"/>
      <c r="KIP42" s="16"/>
      <c r="KIQ42" s="16"/>
      <c r="KIR42" s="16"/>
      <c r="KIS42" s="16"/>
      <c r="KIT42" s="16"/>
      <c r="KIU42" s="16"/>
      <c r="KIV42" s="16"/>
      <c r="KIW42" s="16"/>
      <c r="KIX42" s="16"/>
      <c r="KIY42" s="16"/>
      <c r="KIZ42" s="16"/>
      <c r="KJA42" s="16"/>
      <c r="KJB42" s="16"/>
      <c r="KJC42" s="16"/>
      <c r="KJD42" s="16"/>
      <c r="KJE42" s="16"/>
      <c r="KJF42" s="16"/>
      <c r="KJG42" s="16"/>
      <c r="KJH42" s="16"/>
      <c r="KJI42" s="16"/>
      <c r="KJJ42" s="16"/>
      <c r="KJK42" s="16"/>
      <c r="KJL42" s="16"/>
      <c r="KJM42" s="16"/>
      <c r="KJN42" s="16"/>
      <c r="KJO42" s="16"/>
      <c r="KJP42" s="16"/>
      <c r="KJQ42" s="16"/>
      <c r="KJR42" s="16"/>
      <c r="KJS42" s="16"/>
      <c r="KJT42" s="16"/>
      <c r="KJU42" s="16"/>
      <c r="KJV42" s="16"/>
      <c r="KJW42" s="16"/>
      <c r="KJX42" s="16"/>
      <c r="KJY42" s="16"/>
      <c r="KJZ42" s="16"/>
      <c r="KKA42" s="16"/>
      <c r="KKB42" s="16"/>
      <c r="KKC42" s="16"/>
      <c r="KKD42" s="16"/>
      <c r="KKE42" s="16"/>
      <c r="KKF42" s="16"/>
      <c r="KKG42" s="16"/>
      <c r="KKH42" s="16"/>
      <c r="KKI42" s="16"/>
      <c r="KKJ42" s="16"/>
      <c r="KKK42" s="16"/>
      <c r="KKL42" s="16"/>
      <c r="KKM42" s="16"/>
      <c r="KKN42" s="16"/>
      <c r="KKO42" s="16"/>
      <c r="KKP42" s="16"/>
      <c r="KKQ42" s="16"/>
      <c r="KKR42" s="16"/>
      <c r="KKS42" s="16"/>
      <c r="KKT42" s="16"/>
      <c r="KKU42" s="16"/>
      <c r="KKV42" s="16"/>
      <c r="KKW42" s="16"/>
      <c r="KKX42" s="16"/>
      <c r="KKY42" s="16"/>
      <c r="KKZ42" s="16"/>
      <c r="KLA42" s="16"/>
      <c r="KLB42" s="16"/>
      <c r="KLC42" s="16"/>
      <c r="KLD42" s="16"/>
      <c r="KLE42" s="16"/>
      <c r="KLF42" s="16"/>
      <c r="KLG42" s="16"/>
      <c r="KLH42" s="16"/>
      <c r="KLI42" s="16"/>
      <c r="KLJ42" s="16"/>
      <c r="KLK42" s="16"/>
      <c r="KLL42" s="16"/>
      <c r="KLM42" s="16"/>
      <c r="KLN42" s="16"/>
      <c r="KLO42" s="16"/>
      <c r="KLP42" s="16"/>
      <c r="KLQ42" s="16"/>
      <c r="KLR42" s="16"/>
      <c r="KLS42" s="16"/>
      <c r="KLT42" s="16"/>
      <c r="KLU42" s="16"/>
      <c r="KLV42" s="16"/>
      <c r="KLW42" s="16"/>
      <c r="KLX42" s="16"/>
      <c r="KLY42" s="16"/>
      <c r="KLZ42" s="16"/>
      <c r="KMA42" s="16"/>
      <c r="KMB42" s="16"/>
      <c r="KMC42" s="16"/>
      <c r="KMD42" s="16"/>
      <c r="KME42" s="16"/>
      <c r="KMF42" s="16"/>
      <c r="KMG42" s="16"/>
      <c r="KMH42" s="16"/>
      <c r="KMI42" s="16"/>
      <c r="KMJ42" s="16"/>
      <c r="KMK42" s="16"/>
      <c r="KML42" s="16"/>
      <c r="KMM42" s="16"/>
      <c r="KMN42" s="16"/>
      <c r="KMO42" s="16"/>
      <c r="KMP42" s="16"/>
      <c r="KMQ42" s="16"/>
      <c r="KMR42" s="16"/>
      <c r="KMS42" s="16"/>
      <c r="KMT42" s="16"/>
      <c r="KMU42" s="16"/>
      <c r="KMV42" s="16"/>
      <c r="KMW42" s="16"/>
      <c r="KMX42" s="16"/>
      <c r="KMY42" s="16"/>
      <c r="KMZ42" s="16"/>
      <c r="KNA42" s="16"/>
      <c r="KNB42" s="16"/>
      <c r="KNC42" s="16"/>
      <c r="KND42" s="16"/>
      <c r="KNE42" s="16"/>
      <c r="KNF42" s="16"/>
      <c r="KNG42" s="16"/>
      <c r="KNH42" s="16"/>
      <c r="KNI42" s="16"/>
      <c r="KNJ42" s="16"/>
      <c r="KNK42" s="16"/>
      <c r="KNL42" s="16"/>
      <c r="KNM42" s="16"/>
      <c r="KNN42" s="16"/>
      <c r="KNO42" s="16"/>
      <c r="KNP42" s="16"/>
      <c r="KNQ42" s="16"/>
      <c r="KNR42" s="16"/>
      <c r="KNS42" s="16"/>
      <c r="KNT42" s="16"/>
      <c r="KNU42" s="16"/>
      <c r="KNV42" s="16"/>
      <c r="KNW42" s="16"/>
      <c r="KNX42" s="16"/>
      <c r="KNY42" s="16"/>
      <c r="KNZ42" s="16"/>
      <c r="KOA42" s="16"/>
      <c r="KOB42" s="16"/>
      <c r="KOC42" s="16"/>
      <c r="KOD42" s="16"/>
      <c r="KOE42" s="16"/>
      <c r="KOF42" s="16"/>
      <c r="KOG42" s="16"/>
      <c r="KOH42" s="16"/>
      <c r="KOI42" s="16"/>
      <c r="KOJ42" s="16"/>
      <c r="KOK42" s="16"/>
      <c r="KOL42" s="16"/>
      <c r="KOM42" s="16"/>
      <c r="KON42" s="16"/>
      <c r="KOO42" s="16"/>
      <c r="KOP42" s="16"/>
      <c r="KOQ42" s="16"/>
      <c r="KOR42" s="16"/>
      <c r="KOS42" s="16"/>
      <c r="KOT42" s="16"/>
      <c r="KOU42" s="16"/>
      <c r="KOV42" s="16"/>
      <c r="KOW42" s="16"/>
      <c r="KOX42" s="16"/>
      <c r="KOY42" s="16"/>
      <c r="KOZ42" s="16"/>
      <c r="KPA42" s="16"/>
      <c r="KPB42" s="16"/>
      <c r="KPC42" s="16"/>
      <c r="KPD42" s="16"/>
      <c r="KPE42" s="16"/>
      <c r="KPF42" s="16"/>
      <c r="KPG42" s="16"/>
      <c r="KPH42" s="16"/>
      <c r="KPI42" s="16"/>
      <c r="KPJ42" s="16"/>
      <c r="KPK42" s="16"/>
      <c r="KPL42" s="16"/>
      <c r="KPM42" s="16"/>
      <c r="KPN42" s="16"/>
      <c r="KPO42" s="16"/>
      <c r="KPP42" s="16"/>
      <c r="KPQ42" s="16"/>
      <c r="KPR42" s="16"/>
      <c r="KPS42" s="16"/>
      <c r="KPT42" s="16"/>
      <c r="KPU42" s="16"/>
      <c r="KPV42" s="16"/>
      <c r="KPW42" s="16"/>
      <c r="KPX42" s="16"/>
      <c r="KPY42" s="16"/>
      <c r="KPZ42" s="16"/>
      <c r="KQA42" s="16"/>
      <c r="KQB42" s="16"/>
      <c r="KQC42" s="16"/>
      <c r="KQD42" s="16"/>
      <c r="KQE42" s="16"/>
      <c r="KQF42" s="16"/>
      <c r="KQG42" s="16"/>
      <c r="KQH42" s="16"/>
      <c r="KQI42" s="16"/>
      <c r="KQJ42" s="16"/>
      <c r="KQK42" s="16"/>
      <c r="KQL42" s="16"/>
      <c r="KQM42" s="16"/>
      <c r="KQN42" s="16"/>
      <c r="KQO42" s="16"/>
      <c r="KQP42" s="16"/>
      <c r="KQQ42" s="16"/>
      <c r="KQR42" s="16"/>
      <c r="KQS42" s="16"/>
      <c r="KQT42" s="16"/>
      <c r="KQU42" s="16"/>
      <c r="KQV42" s="16"/>
      <c r="KQW42" s="16"/>
      <c r="KQX42" s="16"/>
      <c r="KQY42" s="16"/>
      <c r="KQZ42" s="16"/>
      <c r="KRA42" s="16"/>
      <c r="KRB42" s="16"/>
      <c r="KRC42" s="16"/>
      <c r="KRD42" s="16"/>
      <c r="KRE42" s="16"/>
      <c r="KRF42" s="16"/>
      <c r="KRG42" s="16"/>
      <c r="KRH42" s="16"/>
      <c r="KRI42" s="16"/>
      <c r="KRJ42" s="16"/>
      <c r="KRK42" s="16"/>
      <c r="KRL42" s="16"/>
      <c r="KRM42" s="16"/>
      <c r="KRN42" s="16"/>
      <c r="KRO42" s="16"/>
      <c r="KRP42" s="16"/>
      <c r="KRQ42" s="16"/>
      <c r="KRR42" s="16"/>
      <c r="KRS42" s="16"/>
      <c r="KRT42" s="16"/>
      <c r="KRU42" s="16"/>
      <c r="KRV42" s="16"/>
      <c r="KRW42" s="16"/>
      <c r="KRX42" s="16"/>
      <c r="KRY42" s="16"/>
      <c r="KRZ42" s="16"/>
      <c r="KSA42" s="16"/>
      <c r="KSB42" s="16"/>
      <c r="KSC42" s="16"/>
      <c r="KSD42" s="16"/>
      <c r="KSE42" s="16"/>
      <c r="KSF42" s="16"/>
      <c r="KSG42" s="16"/>
      <c r="KSH42" s="16"/>
      <c r="KSI42" s="16"/>
      <c r="KSJ42" s="16"/>
      <c r="KSK42" s="16"/>
      <c r="KSL42" s="16"/>
      <c r="KSM42" s="16"/>
      <c r="KSN42" s="16"/>
      <c r="KSO42" s="16"/>
      <c r="KSP42" s="16"/>
      <c r="KSQ42" s="16"/>
      <c r="KSR42" s="16"/>
      <c r="KSS42" s="16"/>
      <c r="KST42" s="16"/>
      <c r="KSU42" s="16"/>
      <c r="KSV42" s="16"/>
      <c r="KSW42" s="16"/>
      <c r="KSX42" s="16"/>
      <c r="KSY42" s="16"/>
      <c r="KSZ42" s="16"/>
      <c r="KTA42" s="16"/>
      <c r="KTB42" s="16"/>
      <c r="KTC42" s="16"/>
      <c r="KTD42" s="16"/>
      <c r="KTE42" s="16"/>
      <c r="KTF42" s="16"/>
      <c r="KTG42" s="16"/>
      <c r="KTH42" s="16"/>
      <c r="KTI42" s="16"/>
      <c r="KTJ42" s="16"/>
      <c r="KTK42" s="16"/>
      <c r="KTL42" s="16"/>
      <c r="KTM42" s="16"/>
      <c r="KTN42" s="16"/>
      <c r="KTO42" s="16"/>
      <c r="KTP42" s="16"/>
      <c r="KTQ42" s="16"/>
      <c r="KTR42" s="16"/>
      <c r="KTS42" s="16"/>
      <c r="KTT42" s="16"/>
      <c r="KTU42" s="16"/>
      <c r="KTV42" s="16"/>
      <c r="KTW42" s="16"/>
      <c r="KTX42" s="16"/>
      <c r="KTY42" s="16"/>
      <c r="KTZ42" s="16"/>
      <c r="KUA42" s="16"/>
      <c r="KUB42" s="16"/>
      <c r="KUC42" s="16"/>
      <c r="KUD42" s="16"/>
      <c r="KUE42" s="16"/>
      <c r="KUF42" s="16"/>
      <c r="KUG42" s="16"/>
      <c r="KUH42" s="16"/>
      <c r="KUI42" s="16"/>
      <c r="KUJ42" s="16"/>
      <c r="KUK42" s="16"/>
      <c r="KUL42" s="16"/>
      <c r="KUM42" s="16"/>
      <c r="KUN42" s="16"/>
      <c r="KUO42" s="16"/>
      <c r="KUP42" s="16"/>
      <c r="KUQ42" s="16"/>
      <c r="KUR42" s="16"/>
      <c r="KUS42" s="16"/>
      <c r="KUT42" s="16"/>
      <c r="KUU42" s="16"/>
      <c r="KUV42" s="16"/>
      <c r="KUW42" s="16"/>
      <c r="KUX42" s="16"/>
      <c r="KUY42" s="16"/>
      <c r="KUZ42" s="16"/>
      <c r="KVA42" s="16"/>
      <c r="KVB42" s="16"/>
      <c r="KVC42" s="16"/>
      <c r="KVD42" s="16"/>
      <c r="KVE42" s="16"/>
      <c r="KVF42" s="16"/>
      <c r="KVG42" s="16"/>
      <c r="KVH42" s="16"/>
      <c r="KVI42" s="16"/>
      <c r="KVJ42" s="16"/>
      <c r="KVK42" s="16"/>
      <c r="KVL42" s="16"/>
      <c r="KVM42" s="16"/>
      <c r="KVN42" s="16"/>
      <c r="KVO42" s="16"/>
      <c r="KVP42" s="16"/>
      <c r="KVQ42" s="16"/>
      <c r="KVR42" s="16"/>
      <c r="KVS42" s="16"/>
      <c r="KVT42" s="16"/>
      <c r="KVU42" s="16"/>
      <c r="KVV42" s="16"/>
      <c r="KVW42" s="16"/>
      <c r="KVX42" s="16"/>
      <c r="KVY42" s="16"/>
      <c r="KVZ42" s="16"/>
      <c r="KWA42" s="16"/>
      <c r="KWB42" s="16"/>
      <c r="KWC42" s="16"/>
      <c r="KWD42" s="16"/>
      <c r="KWE42" s="16"/>
      <c r="KWF42" s="16"/>
      <c r="KWG42" s="16"/>
      <c r="KWH42" s="16"/>
      <c r="KWI42" s="16"/>
      <c r="KWJ42" s="16"/>
      <c r="KWK42" s="16"/>
      <c r="KWL42" s="16"/>
      <c r="KWM42" s="16"/>
      <c r="KWN42" s="16"/>
      <c r="KWO42" s="16"/>
      <c r="KWP42" s="16"/>
      <c r="KWQ42" s="16"/>
      <c r="KWR42" s="16"/>
      <c r="KWS42" s="16"/>
      <c r="KWT42" s="16"/>
      <c r="KWU42" s="16"/>
      <c r="KWV42" s="16"/>
      <c r="KWW42" s="16"/>
      <c r="KWX42" s="16"/>
      <c r="KWY42" s="16"/>
      <c r="KWZ42" s="16"/>
      <c r="KXA42" s="16"/>
      <c r="KXB42" s="16"/>
      <c r="KXC42" s="16"/>
      <c r="KXD42" s="16"/>
      <c r="KXE42" s="16"/>
      <c r="KXF42" s="16"/>
      <c r="KXG42" s="16"/>
      <c r="KXH42" s="16"/>
      <c r="KXI42" s="16"/>
      <c r="KXJ42" s="16"/>
      <c r="KXK42" s="16"/>
      <c r="KXL42" s="16"/>
      <c r="KXM42" s="16"/>
      <c r="KXN42" s="16"/>
      <c r="KXO42" s="16"/>
      <c r="KXP42" s="16"/>
      <c r="KXQ42" s="16"/>
      <c r="KXR42" s="16"/>
      <c r="KXS42" s="16"/>
      <c r="KXT42" s="16"/>
      <c r="KXU42" s="16"/>
      <c r="KXV42" s="16"/>
      <c r="KXW42" s="16"/>
      <c r="KXX42" s="16"/>
      <c r="KXY42" s="16"/>
      <c r="KXZ42" s="16"/>
      <c r="KYA42" s="16"/>
      <c r="KYB42" s="16"/>
      <c r="KYC42" s="16"/>
      <c r="KYD42" s="16"/>
      <c r="KYE42" s="16"/>
      <c r="KYF42" s="16"/>
      <c r="KYG42" s="16"/>
      <c r="KYH42" s="16"/>
      <c r="KYI42" s="16"/>
      <c r="KYJ42" s="16"/>
      <c r="KYK42" s="16"/>
      <c r="KYL42" s="16"/>
      <c r="KYM42" s="16"/>
      <c r="KYN42" s="16"/>
      <c r="KYO42" s="16"/>
      <c r="KYP42" s="16"/>
      <c r="KYQ42" s="16"/>
      <c r="KYR42" s="16"/>
      <c r="KYS42" s="16"/>
      <c r="KYT42" s="16"/>
      <c r="KYU42" s="16"/>
      <c r="KYV42" s="16"/>
      <c r="KYW42" s="16"/>
      <c r="KYX42" s="16"/>
      <c r="KYY42" s="16"/>
      <c r="KYZ42" s="16"/>
      <c r="KZA42" s="16"/>
      <c r="KZB42" s="16"/>
      <c r="KZC42" s="16"/>
      <c r="KZD42" s="16"/>
      <c r="KZE42" s="16"/>
      <c r="KZF42" s="16"/>
      <c r="KZG42" s="16"/>
      <c r="KZH42" s="16"/>
      <c r="KZI42" s="16"/>
      <c r="KZJ42" s="16"/>
      <c r="KZK42" s="16"/>
      <c r="KZL42" s="16"/>
      <c r="KZM42" s="16"/>
      <c r="KZN42" s="16"/>
      <c r="KZO42" s="16"/>
      <c r="KZP42" s="16"/>
      <c r="KZQ42" s="16"/>
      <c r="KZR42" s="16"/>
      <c r="KZS42" s="16"/>
      <c r="KZT42" s="16"/>
      <c r="KZU42" s="16"/>
      <c r="KZV42" s="16"/>
      <c r="KZW42" s="16"/>
      <c r="KZX42" s="16"/>
      <c r="KZY42" s="16"/>
      <c r="KZZ42" s="16"/>
      <c r="LAA42" s="16"/>
      <c r="LAB42" s="16"/>
      <c r="LAC42" s="16"/>
      <c r="LAD42" s="16"/>
      <c r="LAE42" s="16"/>
      <c r="LAF42" s="16"/>
      <c r="LAG42" s="16"/>
      <c r="LAH42" s="16"/>
      <c r="LAI42" s="16"/>
      <c r="LAJ42" s="16"/>
      <c r="LAK42" s="16"/>
      <c r="LAL42" s="16"/>
      <c r="LAM42" s="16"/>
      <c r="LAN42" s="16"/>
      <c r="LAO42" s="16"/>
      <c r="LAP42" s="16"/>
      <c r="LAQ42" s="16"/>
      <c r="LAR42" s="16"/>
      <c r="LAS42" s="16"/>
      <c r="LAT42" s="16"/>
      <c r="LAU42" s="16"/>
      <c r="LAV42" s="16"/>
      <c r="LAW42" s="16"/>
      <c r="LAX42" s="16"/>
      <c r="LAY42" s="16"/>
      <c r="LAZ42" s="16"/>
      <c r="LBA42" s="16"/>
      <c r="LBB42" s="16"/>
      <c r="LBC42" s="16"/>
      <c r="LBD42" s="16"/>
      <c r="LBE42" s="16"/>
      <c r="LBF42" s="16"/>
      <c r="LBG42" s="16"/>
      <c r="LBH42" s="16"/>
      <c r="LBI42" s="16"/>
      <c r="LBJ42" s="16"/>
      <c r="LBK42" s="16"/>
      <c r="LBL42" s="16"/>
      <c r="LBM42" s="16"/>
      <c r="LBN42" s="16"/>
      <c r="LBO42" s="16"/>
      <c r="LBP42" s="16"/>
      <c r="LBQ42" s="16"/>
      <c r="LBR42" s="16"/>
      <c r="LBS42" s="16"/>
      <c r="LBT42" s="16"/>
      <c r="LBU42" s="16"/>
      <c r="LBV42" s="16"/>
      <c r="LBW42" s="16"/>
      <c r="LBX42" s="16"/>
      <c r="LBY42" s="16"/>
      <c r="LBZ42" s="16"/>
      <c r="LCA42" s="16"/>
      <c r="LCB42" s="16"/>
      <c r="LCC42" s="16"/>
      <c r="LCD42" s="16"/>
      <c r="LCE42" s="16"/>
      <c r="LCF42" s="16"/>
      <c r="LCG42" s="16"/>
      <c r="LCH42" s="16"/>
      <c r="LCI42" s="16"/>
      <c r="LCJ42" s="16"/>
      <c r="LCK42" s="16"/>
      <c r="LCL42" s="16"/>
      <c r="LCM42" s="16"/>
      <c r="LCN42" s="16"/>
      <c r="LCO42" s="16"/>
      <c r="LCP42" s="16"/>
      <c r="LCQ42" s="16"/>
      <c r="LCR42" s="16"/>
      <c r="LCS42" s="16"/>
      <c r="LCT42" s="16"/>
      <c r="LCU42" s="16"/>
      <c r="LCV42" s="16"/>
      <c r="LCW42" s="16"/>
      <c r="LCX42" s="16"/>
      <c r="LCY42" s="16"/>
      <c r="LCZ42" s="16"/>
      <c r="LDA42" s="16"/>
      <c r="LDB42" s="16"/>
      <c r="LDC42" s="16"/>
      <c r="LDD42" s="16"/>
      <c r="LDE42" s="16"/>
      <c r="LDF42" s="16"/>
      <c r="LDG42" s="16"/>
      <c r="LDH42" s="16"/>
      <c r="LDI42" s="16"/>
      <c r="LDJ42" s="16"/>
      <c r="LDK42" s="16"/>
      <c r="LDL42" s="16"/>
      <c r="LDM42" s="16"/>
      <c r="LDN42" s="16"/>
      <c r="LDO42" s="16"/>
      <c r="LDP42" s="16"/>
      <c r="LDQ42" s="16"/>
      <c r="LDR42" s="16"/>
      <c r="LDS42" s="16"/>
      <c r="LDT42" s="16"/>
      <c r="LDU42" s="16"/>
      <c r="LDV42" s="16"/>
      <c r="LDW42" s="16"/>
      <c r="LDX42" s="16"/>
      <c r="LDY42" s="16"/>
      <c r="LDZ42" s="16"/>
      <c r="LEA42" s="16"/>
      <c r="LEB42" s="16"/>
      <c r="LEC42" s="16"/>
      <c r="LED42" s="16"/>
      <c r="LEE42" s="16"/>
      <c r="LEF42" s="16"/>
      <c r="LEG42" s="16"/>
      <c r="LEH42" s="16"/>
      <c r="LEI42" s="16"/>
      <c r="LEJ42" s="16"/>
      <c r="LEK42" s="16"/>
      <c r="LEL42" s="16"/>
      <c r="LEM42" s="16"/>
      <c r="LEN42" s="16"/>
      <c r="LEO42" s="16"/>
      <c r="LEP42" s="16"/>
      <c r="LEQ42" s="16"/>
      <c r="LER42" s="16"/>
      <c r="LES42" s="16"/>
      <c r="LET42" s="16"/>
      <c r="LEU42" s="16"/>
      <c r="LEV42" s="16"/>
      <c r="LEW42" s="16"/>
      <c r="LEX42" s="16"/>
      <c r="LEY42" s="16"/>
      <c r="LEZ42" s="16"/>
      <c r="LFA42" s="16"/>
      <c r="LFB42" s="16"/>
      <c r="LFC42" s="16"/>
      <c r="LFD42" s="16"/>
      <c r="LFE42" s="16"/>
      <c r="LFF42" s="16"/>
      <c r="LFG42" s="16"/>
      <c r="LFH42" s="16"/>
      <c r="LFI42" s="16"/>
      <c r="LFJ42" s="16"/>
      <c r="LFK42" s="16"/>
      <c r="LFL42" s="16"/>
      <c r="LFM42" s="16"/>
      <c r="LFN42" s="16"/>
      <c r="LFO42" s="16"/>
      <c r="LFP42" s="16"/>
      <c r="LFQ42" s="16"/>
      <c r="LFR42" s="16"/>
      <c r="LFS42" s="16"/>
      <c r="LFT42" s="16"/>
      <c r="LFU42" s="16"/>
      <c r="LFV42" s="16"/>
      <c r="LFW42" s="16"/>
      <c r="LFX42" s="16"/>
      <c r="LFY42" s="16"/>
      <c r="LFZ42" s="16"/>
      <c r="LGA42" s="16"/>
      <c r="LGB42" s="16"/>
      <c r="LGC42" s="16"/>
      <c r="LGD42" s="16"/>
      <c r="LGE42" s="16"/>
      <c r="LGF42" s="16"/>
      <c r="LGG42" s="16"/>
      <c r="LGH42" s="16"/>
      <c r="LGI42" s="16"/>
      <c r="LGJ42" s="16"/>
      <c r="LGK42" s="16"/>
      <c r="LGL42" s="16"/>
      <c r="LGM42" s="16"/>
      <c r="LGN42" s="16"/>
      <c r="LGO42" s="16"/>
      <c r="LGP42" s="16"/>
      <c r="LGQ42" s="16"/>
      <c r="LGR42" s="16"/>
      <c r="LGS42" s="16"/>
      <c r="LGT42" s="16"/>
      <c r="LGU42" s="16"/>
      <c r="LGV42" s="16"/>
      <c r="LGW42" s="16"/>
      <c r="LGX42" s="16"/>
      <c r="LGY42" s="16"/>
      <c r="LGZ42" s="16"/>
      <c r="LHA42" s="16"/>
      <c r="LHB42" s="16"/>
      <c r="LHC42" s="16"/>
      <c r="LHD42" s="16"/>
      <c r="LHE42" s="16"/>
      <c r="LHF42" s="16"/>
      <c r="LHG42" s="16"/>
      <c r="LHH42" s="16"/>
      <c r="LHI42" s="16"/>
      <c r="LHJ42" s="16"/>
      <c r="LHK42" s="16"/>
      <c r="LHL42" s="16"/>
      <c r="LHM42" s="16"/>
      <c r="LHN42" s="16"/>
      <c r="LHO42" s="16"/>
      <c r="LHP42" s="16"/>
      <c r="LHQ42" s="16"/>
      <c r="LHR42" s="16"/>
      <c r="LHS42" s="16"/>
      <c r="LHT42" s="16"/>
      <c r="LHU42" s="16"/>
      <c r="LHV42" s="16"/>
      <c r="LHW42" s="16"/>
      <c r="LHX42" s="16"/>
      <c r="LHY42" s="16"/>
      <c r="LHZ42" s="16"/>
      <c r="LIA42" s="16"/>
      <c r="LIB42" s="16"/>
      <c r="LIC42" s="16"/>
      <c r="LID42" s="16"/>
      <c r="LIE42" s="16"/>
      <c r="LIF42" s="16"/>
      <c r="LIG42" s="16"/>
      <c r="LIH42" s="16"/>
      <c r="LII42" s="16"/>
      <c r="LIJ42" s="16"/>
      <c r="LIK42" s="16"/>
      <c r="LIL42" s="16"/>
      <c r="LIM42" s="16"/>
      <c r="LIN42" s="16"/>
      <c r="LIO42" s="16"/>
      <c r="LIP42" s="16"/>
      <c r="LIQ42" s="16"/>
      <c r="LIR42" s="16"/>
      <c r="LIS42" s="16"/>
      <c r="LIT42" s="16"/>
      <c r="LIU42" s="16"/>
      <c r="LIV42" s="16"/>
      <c r="LIW42" s="16"/>
      <c r="LIX42" s="16"/>
      <c r="LIY42" s="16"/>
      <c r="LIZ42" s="16"/>
      <c r="LJA42" s="16"/>
      <c r="LJB42" s="16"/>
      <c r="LJC42" s="16"/>
      <c r="LJD42" s="16"/>
      <c r="LJE42" s="16"/>
      <c r="LJF42" s="16"/>
      <c r="LJG42" s="16"/>
      <c r="LJH42" s="16"/>
      <c r="LJI42" s="16"/>
      <c r="LJJ42" s="16"/>
      <c r="LJK42" s="16"/>
      <c r="LJL42" s="16"/>
      <c r="LJM42" s="16"/>
      <c r="LJN42" s="16"/>
      <c r="LJO42" s="16"/>
      <c r="LJP42" s="16"/>
      <c r="LJQ42" s="16"/>
      <c r="LJR42" s="16"/>
      <c r="LJS42" s="16"/>
      <c r="LJT42" s="16"/>
      <c r="LJU42" s="16"/>
      <c r="LJV42" s="16"/>
      <c r="LJW42" s="16"/>
      <c r="LJX42" s="16"/>
      <c r="LJY42" s="16"/>
      <c r="LJZ42" s="16"/>
      <c r="LKA42" s="16"/>
      <c r="LKB42" s="16"/>
      <c r="LKC42" s="16"/>
      <c r="LKD42" s="16"/>
      <c r="LKE42" s="16"/>
      <c r="LKF42" s="16"/>
      <c r="LKG42" s="16"/>
      <c r="LKH42" s="16"/>
      <c r="LKI42" s="16"/>
      <c r="LKJ42" s="16"/>
      <c r="LKK42" s="16"/>
      <c r="LKL42" s="16"/>
      <c r="LKM42" s="16"/>
      <c r="LKN42" s="16"/>
      <c r="LKO42" s="16"/>
      <c r="LKP42" s="16"/>
      <c r="LKQ42" s="16"/>
      <c r="LKR42" s="16"/>
      <c r="LKS42" s="16"/>
      <c r="LKT42" s="16"/>
      <c r="LKU42" s="16"/>
      <c r="LKV42" s="16"/>
      <c r="LKW42" s="16"/>
      <c r="LKX42" s="16"/>
      <c r="LKY42" s="16"/>
      <c r="LKZ42" s="16"/>
      <c r="LLA42" s="16"/>
      <c r="LLB42" s="16"/>
      <c r="LLC42" s="16"/>
      <c r="LLD42" s="16"/>
      <c r="LLE42" s="16"/>
      <c r="LLF42" s="16"/>
      <c r="LLG42" s="16"/>
      <c r="LLH42" s="16"/>
      <c r="LLI42" s="16"/>
      <c r="LLJ42" s="16"/>
      <c r="LLK42" s="16"/>
      <c r="LLL42" s="16"/>
      <c r="LLM42" s="16"/>
      <c r="LLN42" s="16"/>
      <c r="LLO42" s="16"/>
      <c r="LLP42" s="16"/>
      <c r="LLQ42" s="16"/>
      <c r="LLR42" s="16"/>
      <c r="LLS42" s="16"/>
      <c r="LLT42" s="16"/>
      <c r="LLU42" s="16"/>
      <c r="LLV42" s="16"/>
      <c r="LLW42" s="16"/>
      <c r="LLX42" s="16"/>
      <c r="LLY42" s="16"/>
      <c r="LLZ42" s="16"/>
      <c r="LMA42" s="16"/>
      <c r="LMB42" s="16"/>
      <c r="LMC42" s="16"/>
      <c r="LMD42" s="16"/>
      <c r="LME42" s="16"/>
      <c r="LMF42" s="16"/>
      <c r="LMG42" s="16"/>
      <c r="LMH42" s="16"/>
      <c r="LMI42" s="16"/>
      <c r="LMJ42" s="16"/>
      <c r="LMK42" s="16"/>
      <c r="LML42" s="16"/>
      <c r="LMM42" s="16"/>
      <c r="LMN42" s="16"/>
      <c r="LMO42" s="16"/>
      <c r="LMP42" s="16"/>
      <c r="LMQ42" s="16"/>
      <c r="LMR42" s="16"/>
      <c r="LMS42" s="16"/>
      <c r="LMT42" s="16"/>
      <c r="LMU42" s="16"/>
      <c r="LMV42" s="16"/>
      <c r="LMW42" s="16"/>
      <c r="LMX42" s="16"/>
      <c r="LMY42" s="16"/>
      <c r="LMZ42" s="16"/>
      <c r="LNA42" s="16"/>
      <c r="LNB42" s="16"/>
      <c r="LNC42" s="16"/>
      <c r="LND42" s="16"/>
      <c r="LNE42" s="16"/>
      <c r="LNF42" s="16"/>
      <c r="LNG42" s="16"/>
      <c r="LNH42" s="16"/>
      <c r="LNI42" s="16"/>
      <c r="LNJ42" s="16"/>
      <c r="LNK42" s="16"/>
      <c r="LNL42" s="16"/>
      <c r="LNM42" s="16"/>
      <c r="LNN42" s="16"/>
      <c r="LNO42" s="16"/>
      <c r="LNP42" s="16"/>
      <c r="LNQ42" s="16"/>
      <c r="LNR42" s="16"/>
      <c r="LNS42" s="16"/>
      <c r="LNT42" s="16"/>
      <c r="LNU42" s="16"/>
      <c r="LNV42" s="16"/>
      <c r="LNW42" s="16"/>
      <c r="LNX42" s="16"/>
      <c r="LNY42" s="16"/>
      <c r="LNZ42" s="16"/>
      <c r="LOA42" s="16"/>
      <c r="LOB42" s="16"/>
      <c r="LOC42" s="16"/>
      <c r="LOD42" s="16"/>
      <c r="LOE42" s="16"/>
      <c r="LOF42" s="16"/>
      <c r="LOG42" s="16"/>
      <c r="LOH42" s="16"/>
      <c r="LOI42" s="16"/>
      <c r="LOJ42" s="16"/>
      <c r="LOK42" s="16"/>
      <c r="LOL42" s="16"/>
      <c r="LOM42" s="16"/>
      <c r="LON42" s="16"/>
      <c r="LOO42" s="16"/>
      <c r="LOP42" s="16"/>
      <c r="LOQ42" s="16"/>
      <c r="LOR42" s="16"/>
      <c r="LOS42" s="16"/>
      <c r="LOT42" s="16"/>
      <c r="LOU42" s="16"/>
      <c r="LOV42" s="16"/>
      <c r="LOW42" s="16"/>
      <c r="LOX42" s="16"/>
      <c r="LOY42" s="16"/>
      <c r="LOZ42" s="16"/>
      <c r="LPA42" s="16"/>
      <c r="LPB42" s="16"/>
      <c r="LPC42" s="16"/>
      <c r="LPD42" s="16"/>
      <c r="LPE42" s="16"/>
      <c r="LPF42" s="16"/>
      <c r="LPG42" s="16"/>
      <c r="LPH42" s="16"/>
      <c r="LPI42" s="16"/>
      <c r="LPJ42" s="16"/>
      <c r="LPK42" s="16"/>
      <c r="LPL42" s="16"/>
      <c r="LPM42" s="16"/>
      <c r="LPN42" s="16"/>
      <c r="LPO42" s="16"/>
      <c r="LPP42" s="16"/>
      <c r="LPQ42" s="16"/>
      <c r="LPR42" s="16"/>
      <c r="LPS42" s="16"/>
      <c r="LPT42" s="16"/>
      <c r="LPU42" s="16"/>
      <c r="LPV42" s="16"/>
      <c r="LPW42" s="16"/>
      <c r="LPX42" s="16"/>
      <c r="LPY42" s="16"/>
      <c r="LPZ42" s="16"/>
      <c r="LQA42" s="16"/>
      <c r="LQB42" s="16"/>
      <c r="LQC42" s="16"/>
      <c r="LQD42" s="16"/>
      <c r="LQE42" s="16"/>
      <c r="LQF42" s="16"/>
      <c r="LQG42" s="16"/>
      <c r="LQH42" s="16"/>
      <c r="LQI42" s="16"/>
      <c r="LQJ42" s="16"/>
      <c r="LQK42" s="16"/>
      <c r="LQL42" s="16"/>
      <c r="LQM42" s="16"/>
      <c r="LQN42" s="16"/>
      <c r="LQO42" s="16"/>
      <c r="LQP42" s="16"/>
      <c r="LQQ42" s="16"/>
      <c r="LQR42" s="16"/>
      <c r="LQS42" s="16"/>
      <c r="LQT42" s="16"/>
      <c r="LQU42" s="16"/>
      <c r="LQV42" s="16"/>
      <c r="LQW42" s="16"/>
      <c r="LQX42" s="16"/>
      <c r="LQY42" s="16"/>
      <c r="LQZ42" s="16"/>
      <c r="LRA42" s="16"/>
      <c r="LRB42" s="16"/>
      <c r="LRC42" s="16"/>
      <c r="LRD42" s="16"/>
      <c r="LRE42" s="16"/>
      <c r="LRF42" s="16"/>
      <c r="LRG42" s="16"/>
      <c r="LRH42" s="16"/>
      <c r="LRI42" s="16"/>
      <c r="LRJ42" s="16"/>
      <c r="LRK42" s="16"/>
      <c r="LRL42" s="16"/>
      <c r="LRM42" s="16"/>
      <c r="LRN42" s="16"/>
      <c r="LRO42" s="16"/>
      <c r="LRP42" s="16"/>
      <c r="LRQ42" s="16"/>
      <c r="LRR42" s="16"/>
      <c r="LRS42" s="16"/>
      <c r="LRT42" s="16"/>
      <c r="LRU42" s="16"/>
      <c r="LRV42" s="16"/>
      <c r="LRW42" s="16"/>
      <c r="LRX42" s="16"/>
      <c r="LRY42" s="16"/>
      <c r="LRZ42" s="16"/>
      <c r="LSA42" s="16"/>
      <c r="LSB42" s="16"/>
      <c r="LSC42" s="16"/>
      <c r="LSD42" s="16"/>
      <c r="LSE42" s="16"/>
      <c r="LSF42" s="16"/>
      <c r="LSG42" s="16"/>
      <c r="LSH42" s="16"/>
      <c r="LSI42" s="16"/>
      <c r="LSJ42" s="16"/>
      <c r="LSK42" s="16"/>
      <c r="LSL42" s="16"/>
      <c r="LSM42" s="16"/>
      <c r="LSN42" s="16"/>
      <c r="LSO42" s="16"/>
      <c r="LSP42" s="16"/>
      <c r="LSQ42" s="16"/>
      <c r="LSR42" s="16"/>
      <c r="LSS42" s="16"/>
      <c r="LST42" s="16"/>
      <c r="LSU42" s="16"/>
      <c r="LSV42" s="16"/>
      <c r="LSW42" s="16"/>
      <c r="LSX42" s="16"/>
      <c r="LSY42" s="16"/>
      <c r="LSZ42" s="16"/>
      <c r="LTA42" s="16"/>
      <c r="LTB42" s="16"/>
      <c r="LTC42" s="16"/>
      <c r="LTD42" s="16"/>
      <c r="LTE42" s="16"/>
      <c r="LTF42" s="16"/>
      <c r="LTG42" s="16"/>
      <c r="LTH42" s="16"/>
      <c r="LTI42" s="16"/>
      <c r="LTJ42" s="16"/>
      <c r="LTK42" s="16"/>
      <c r="LTL42" s="16"/>
      <c r="LTM42" s="16"/>
      <c r="LTN42" s="16"/>
      <c r="LTO42" s="16"/>
      <c r="LTP42" s="16"/>
      <c r="LTQ42" s="16"/>
      <c r="LTR42" s="16"/>
      <c r="LTS42" s="16"/>
      <c r="LTT42" s="16"/>
      <c r="LTU42" s="16"/>
      <c r="LTV42" s="16"/>
      <c r="LTW42" s="16"/>
      <c r="LTX42" s="16"/>
      <c r="LTY42" s="16"/>
      <c r="LTZ42" s="16"/>
      <c r="LUA42" s="16"/>
      <c r="LUB42" s="16"/>
      <c r="LUC42" s="16"/>
      <c r="LUD42" s="16"/>
      <c r="LUE42" s="16"/>
      <c r="LUF42" s="16"/>
      <c r="LUG42" s="16"/>
      <c r="LUH42" s="16"/>
      <c r="LUI42" s="16"/>
      <c r="LUJ42" s="16"/>
      <c r="LUK42" s="16"/>
      <c r="LUL42" s="16"/>
      <c r="LUM42" s="16"/>
      <c r="LUN42" s="16"/>
      <c r="LUO42" s="16"/>
      <c r="LUP42" s="16"/>
      <c r="LUQ42" s="16"/>
      <c r="LUR42" s="16"/>
      <c r="LUS42" s="16"/>
      <c r="LUT42" s="16"/>
      <c r="LUU42" s="16"/>
      <c r="LUV42" s="16"/>
      <c r="LUW42" s="16"/>
      <c r="LUX42" s="16"/>
      <c r="LUY42" s="16"/>
      <c r="LUZ42" s="16"/>
      <c r="LVA42" s="16"/>
      <c r="LVB42" s="16"/>
      <c r="LVC42" s="16"/>
      <c r="LVD42" s="16"/>
      <c r="LVE42" s="16"/>
      <c r="LVF42" s="16"/>
      <c r="LVG42" s="16"/>
      <c r="LVH42" s="16"/>
      <c r="LVI42" s="16"/>
      <c r="LVJ42" s="16"/>
      <c r="LVK42" s="16"/>
      <c r="LVL42" s="16"/>
      <c r="LVM42" s="16"/>
      <c r="LVN42" s="16"/>
      <c r="LVO42" s="16"/>
      <c r="LVP42" s="16"/>
      <c r="LVQ42" s="16"/>
      <c r="LVR42" s="16"/>
      <c r="LVS42" s="16"/>
      <c r="LVT42" s="16"/>
      <c r="LVU42" s="16"/>
      <c r="LVV42" s="16"/>
      <c r="LVW42" s="16"/>
      <c r="LVX42" s="16"/>
      <c r="LVY42" s="16"/>
      <c r="LVZ42" s="16"/>
      <c r="LWA42" s="16"/>
      <c r="LWB42" s="16"/>
      <c r="LWC42" s="16"/>
      <c r="LWD42" s="16"/>
      <c r="LWE42" s="16"/>
      <c r="LWF42" s="16"/>
      <c r="LWG42" s="16"/>
      <c r="LWH42" s="16"/>
      <c r="LWI42" s="16"/>
      <c r="LWJ42" s="16"/>
      <c r="LWK42" s="16"/>
      <c r="LWL42" s="16"/>
      <c r="LWM42" s="16"/>
      <c r="LWN42" s="16"/>
      <c r="LWO42" s="16"/>
      <c r="LWP42" s="16"/>
      <c r="LWQ42" s="16"/>
      <c r="LWR42" s="16"/>
      <c r="LWS42" s="16"/>
      <c r="LWT42" s="16"/>
      <c r="LWU42" s="16"/>
      <c r="LWV42" s="16"/>
      <c r="LWW42" s="16"/>
      <c r="LWX42" s="16"/>
      <c r="LWY42" s="16"/>
      <c r="LWZ42" s="16"/>
      <c r="LXA42" s="16"/>
      <c r="LXB42" s="16"/>
      <c r="LXC42" s="16"/>
      <c r="LXD42" s="16"/>
      <c r="LXE42" s="16"/>
      <c r="LXF42" s="16"/>
      <c r="LXG42" s="16"/>
      <c r="LXH42" s="16"/>
      <c r="LXI42" s="16"/>
      <c r="LXJ42" s="16"/>
      <c r="LXK42" s="16"/>
      <c r="LXL42" s="16"/>
      <c r="LXM42" s="16"/>
      <c r="LXN42" s="16"/>
      <c r="LXO42" s="16"/>
      <c r="LXP42" s="16"/>
      <c r="LXQ42" s="16"/>
      <c r="LXR42" s="16"/>
      <c r="LXS42" s="16"/>
      <c r="LXT42" s="16"/>
      <c r="LXU42" s="16"/>
      <c r="LXV42" s="16"/>
      <c r="LXW42" s="16"/>
      <c r="LXX42" s="16"/>
      <c r="LXY42" s="16"/>
      <c r="LXZ42" s="16"/>
      <c r="LYA42" s="16"/>
      <c r="LYB42" s="16"/>
      <c r="LYC42" s="16"/>
      <c r="LYD42" s="16"/>
      <c r="LYE42" s="16"/>
      <c r="LYF42" s="16"/>
      <c r="LYG42" s="16"/>
      <c r="LYH42" s="16"/>
      <c r="LYI42" s="16"/>
      <c r="LYJ42" s="16"/>
      <c r="LYK42" s="16"/>
      <c r="LYL42" s="16"/>
      <c r="LYM42" s="16"/>
      <c r="LYN42" s="16"/>
      <c r="LYO42" s="16"/>
      <c r="LYP42" s="16"/>
      <c r="LYQ42" s="16"/>
      <c r="LYR42" s="16"/>
      <c r="LYS42" s="16"/>
      <c r="LYT42" s="16"/>
      <c r="LYU42" s="16"/>
      <c r="LYV42" s="16"/>
      <c r="LYW42" s="16"/>
      <c r="LYX42" s="16"/>
      <c r="LYY42" s="16"/>
      <c r="LYZ42" s="16"/>
      <c r="LZA42" s="16"/>
      <c r="LZB42" s="16"/>
      <c r="LZC42" s="16"/>
      <c r="LZD42" s="16"/>
      <c r="LZE42" s="16"/>
      <c r="LZF42" s="16"/>
      <c r="LZG42" s="16"/>
      <c r="LZH42" s="16"/>
      <c r="LZI42" s="16"/>
      <c r="LZJ42" s="16"/>
      <c r="LZK42" s="16"/>
      <c r="LZL42" s="16"/>
      <c r="LZM42" s="16"/>
      <c r="LZN42" s="16"/>
      <c r="LZO42" s="16"/>
      <c r="LZP42" s="16"/>
      <c r="LZQ42" s="16"/>
      <c r="LZR42" s="16"/>
      <c r="LZS42" s="16"/>
      <c r="LZT42" s="16"/>
      <c r="LZU42" s="16"/>
      <c r="LZV42" s="16"/>
      <c r="LZW42" s="16"/>
      <c r="LZX42" s="16"/>
      <c r="LZY42" s="16"/>
      <c r="LZZ42" s="16"/>
      <c r="MAA42" s="16"/>
      <c r="MAB42" s="16"/>
      <c r="MAC42" s="16"/>
      <c r="MAD42" s="16"/>
      <c r="MAE42" s="16"/>
      <c r="MAF42" s="16"/>
      <c r="MAG42" s="16"/>
      <c r="MAH42" s="16"/>
      <c r="MAI42" s="16"/>
      <c r="MAJ42" s="16"/>
      <c r="MAK42" s="16"/>
      <c r="MAL42" s="16"/>
      <c r="MAM42" s="16"/>
      <c r="MAN42" s="16"/>
      <c r="MAO42" s="16"/>
      <c r="MAP42" s="16"/>
      <c r="MAQ42" s="16"/>
      <c r="MAR42" s="16"/>
      <c r="MAS42" s="16"/>
      <c r="MAT42" s="16"/>
      <c r="MAU42" s="16"/>
      <c r="MAV42" s="16"/>
      <c r="MAW42" s="16"/>
      <c r="MAX42" s="16"/>
      <c r="MAY42" s="16"/>
      <c r="MAZ42" s="16"/>
      <c r="MBA42" s="16"/>
      <c r="MBB42" s="16"/>
      <c r="MBC42" s="16"/>
      <c r="MBD42" s="16"/>
      <c r="MBE42" s="16"/>
      <c r="MBF42" s="16"/>
      <c r="MBG42" s="16"/>
      <c r="MBH42" s="16"/>
      <c r="MBI42" s="16"/>
      <c r="MBJ42" s="16"/>
      <c r="MBK42" s="16"/>
      <c r="MBL42" s="16"/>
      <c r="MBM42" s="16"/>
      <c r="MBN42" s="16"/>
      <c r="MBO42" s="16"/>
      <c r="MBP42" s="16"/>
      <c r="MBQ42" s="16"/>
      <c r="MBR42" s="16"/>
      <c r="MBS42" s="16"/>
      <c r="MBT42" s="16"/>
      <c r="MBU42" s="16"/>
      <c r="MBV42" s="16"/>
      <c r="MBW42" s="16"/>
      <c r="MBX42" s="16"/>
      <c r="MBY42" s="16"/>
      <c r="MBZ42" s="16"/>
      <c r="MCA42" s="16"/>
      <c r="MCB42" s="16"/>
      <c r="MCC42" s="16"/>
      <c r="MCD42" s="16"/>
      <c r="MCE42" s="16"/>
      <c r="MCF42" s="16"/>
      <c r="MCG42" s="16"/>
      <c r="MCH42" s="16"/>
      <c r="MCI42" s="16"/>
      <c r="MCJ42" s="16"/>
      <c r="MCK42" s="16"/>
      <c r="MCL42" s="16"/>
      <c r="MCM42" s="16"/>
      <c r="MCN42" s="16"/>
      <c r="MCO42" s="16"/>
      <c r="MCP42" s="16"/>
      <c r="MCQ42" s="16"/>
      <c r="MCR42" s="16"/>
      <c r="MCS42" s="16"/>
      <c r="MCT42" s="16"/>
      <c r="MCU42" s="16"/>
      <c r="MCV42" s="16"/>
      <c r="MCW42" s="16"/>
      <c r="MCX42" s="16"/>
      <c r="MCY42" s="16"/>
      <c r="MCZ42" s="16"/>
      <c r="MDA42" s="16"/>
      <c r="MDB42" s="16"/>
      <c r="MDC42" s="16"/>
      <c r="MDD42" s="16"/>
      <c r="MDE42" s="16"/>
      <c r="MDF42" s="16"/>
      <c r="MDG42" s="16"/>
      <c r="MDH42" s="16"/>
      <c r="MDI42" s="16"/>
      <c r="MDJ42" s="16"/>
      <c r="MDK42" s="16"/>
      <c r="MDL42" s="16"/>
      <c r="MDM42" s="16"/>
      <c r="MDN42" s="16"/>
      <c r="MDO42" s="16"/>
      <c r="MDP42" s="16"/>
      <c r="MDQ42" s="16"/>
      <c r="MDR42" s="16"/>
      <c r="MDS42" s="16"/>
      <c r="MDT42" s="16"/>
      <c r="MDU42" s="16"/>
      <c r="MDV42" s="16"/>
      <c r="MDW42" s="16"/>
      <c r="MDX42" s="16"/>
      <c r="MDY42" s="16"/>
      <c r="MDZ42" s="16"/>
      <c r="MEA42" s="16"/>
      <c r="MEB42" s="16"/>
      <c r="MEC42" s="16"/>
      <c r="MED42" s="16"/>
      <c r="MEE42" s="16"/>
      <c r="MEF42" s="16"/>
      <c r="MEG42" s="16"/>
      <c r="MEH42" s="16"/>
      <c r="MEI42" s="16"/>
      <c r="MEJ42" s="16"/>
      <c r="MEK42" s="16"/>
      <c r="MEL42" s="16"/>
      <c r="MEM42" s="16"/>
      <c r="MEN42" s="16"/>
      <c r="MEO42" s="16"/>
      <c r="MEP42" s="16"/>
      <c r="MEQ42" s="16"/>
      <c r="MER42" s="16"/>
      <c r="MES42" s="16"/>
      <c r="MET42" s="16"/>
      <c r="MEU42" s="16"/>
      <c r="MEV42" s="16"/>
      <c r="MEW42" s="16"/>
      <c r="MEX42" s="16"/>
      <c r="MEY42" s="16"/>
      <c r="MEZ42" s="16"/>
      <c r="MFA42" s="16"/>
      <c r="MFB42" s="16"/>
      <c r="MFC42" s="16"/>
      <c r="MFD42" s="16"/>
      <c r="MFE42" s="16"/>
      <c r="MFF42" s="16"/>
      <c r="MFG42" s="16"/>
      <c r="MFH42" s="16"/>
      <c r="MFI42" s="16"/>
      <c r="MFJ42" s="16"/>
      <c r="MFK42" s="16"/>
      <c r="MFL42" s="16"/>
      <c r="MFM42" s="16"/>
      <c r="MFN42" s="16"/>
      <c r="MFO42" s="16"/>
      <c r="MFP42" s="16"/>
      <c r="MFQ42" s="16"/>
      <c r="MFR42" s="16"/>
      <c r="MFS42" s="16"/>
      <c r="MFT42" s="16"/>
      <c r="MFU42" s="16"/>
      <c r="MFV42" s="16"/>
      <c r="MFW42" s="16"/>
      <c r="MFX42" s="16"/>
      <c r="MFY42" s="16"/>
      <c r="MFZ42" s="16"/>
      <c r="MGA42" s="16"/>
      <c r="MGB42" s="16"/>
      <c r="MGC42" s="16"/>
      <c r="MGD42" s="16"/>
      <c r="MGE42" s="16"/>
      <c r="MGF42" s="16"/>
      <c r="MGG42" s="16"/>
      <c r="MGH42" s="16"/>
      <c r="MGI42" s="16"/>
      <c r="MGJ42" s="16"/>
      <c r="MGK42" s="16"/>
      <c r="MGL42" s="16"/>
      <c r="MGM42" s="16"/>
      <c r="MGN42" s="16"/>
      <c r="MGO42" s="16"/>
      <c r="MGP42" s="16"/>
      <c r="MGQ42" s="16"/>
      <c r="MGR42" s="16"/>
      <c r="MGS42" s="16"/>
      <c r="MGT42" s="16"/>
      <c r="MGU42" s="16"/>
      <c r="MGV42" s="16"/>
      <c r="MGW42" s="16"/>
      <c r="MGX42" s="16"/>
      <c r="MGY42" s="16"/>
      <c r="MGZ42" s="16"/>
      <c r="MHA42" s="16"/>
      <c r="MHB42" s="16"/>
      <c r="MHC42" s="16"/>
      <c r="MHD42" s="16"/>
      <c r="MHE42" s="16"/>
      <c r="MHF42" s="16"/>
      <c r="MHG42" s="16"/>
      <c r="MHH42" s="16"/>
      <c r="MHI42" s="16"/>
      <c r="MHJ42" s="16"/>
      <c r="MHK42" s="16"/>
      <c r="MHL42" s="16"/>
      <c r="MHM42" s="16"/>
      <c r="MHN42" s="16"/>
      <c r="MHO42" s="16"/>
      <c r="MHP42" s="16"/>
      <c r="MHQ42" s="16"/>
      <c r="MHR42" s="16"/>
      <c r="MHS42" s="16"/>
      <c r="MHT42" s="16"/>
      <c r="MHU42" s="16"/>
      <c r="MHV42" s="16"/>
      <c r="MHW42" s="16"/>
      <c r="MHX42" s="16"/>
      <c r="MHY42" s="16"/>
      <c r="MHZ42" s="16"/>
      <c r="MIA42" s="16"/>
      <c r="MIB42" s="16"/>
      <c r="MIC42" s="16"/>
      <c r="MID42" s="16"/>
      <c r="MIE42" s="16"/>
      <c r="MIF42" s="16"/>
      <c r="MIG42" s="16"/>
      <c r="MIH42" s="16"/>
      <c r="MII42" s="16"/>
      <c r="MIJ42" s="16"/>
      <c r="MIK42" s="16"/>
      <c r="MIL42" s="16"/>
      <c r="MIM42" s="16"/>
      <c r="MIN42" s="16"/>
      <c r="MIO42" s="16"/>
      <c r="MIP42" s="16"/>
      <c r="MIQ42" s="16"/>
      <c r="MIR42" s="16"/>
      <c r="MIS42" s="16"/>
      <c r="MIT42" s="16"/>
      <c r="MIU42" s="16"/>
      <c r="MIV42" s="16"/>
      <c r="MIW42" s="16"/>
      <c r="MIX42" s="16"/>
      <c r="MIY42" s="16"/>
      <c r="MIZ42" s="16"/>
      <c r="MJA42" s="16"/>
      <c r="MJB42" s="16"/>
      <c r="MJC42" s="16"/>
      <c r="MJD42" s="16"/>
      <c r="MJE42" s="16"/>
      <c r="MJF42" s="16"/>
      <c r="MJG42" s="16"/>
      <c r="MJH42" s="16"/>
      <c r="MJI42" s="16"/>
      <c r="MJJ42" s="16"/>
      <c r="MJK42" s="16"/>
      <c r="MJL42" s="16"/>
      <c r="MJM42" s="16"/>
      <c r="MJN42" s="16"/>
      <c r="MJO42" s="16"/>
      <c r="MJP42" s="16"/>
      <c r="MJQ42" s="16"/>
      <c r="MJR42" s="16"/>
      <c r="MJS42" s="16"/>
      <c r="MJT42" s="16"/>
      <c r="MJU42" s="16"/>
      <c r="MJV42" s="16"/>
      <c r="MJW42" s="16"/>
      <c r="MJX42" s="16"/>
      <c r="MJY42" s="16"/>
      <c r="MJZ42" s="16"/>
      <c r="MKA42" s="16"/>
      <c r="MKB42" s="16"/>
      <c r="MKC42" s="16"/>
      <c r="MKD42" s="16"/>
      <c r="MKE42" s="16"/>
      <c r="MKF42" s="16"/>
      <c r="MKG42" s="16"/>
      <c r="MKH42" s="16"/>
      <c r="MKI42" s="16"/>
      <c r="MKJ42" s="16"/>
      <c r="MKK42" s="16"/>
      <c r="MKL42" s="16"/>
      <c r="MKM42" s="16"/>
      <c r="MKN42" s="16"/>
      <c r="MKO42" s="16"/>
      <c r="MKP42" s="16"/>
      <c r="MKQ42" s="16"/>
      <c r="MKR42" s="16"/>
      <c r="MKS42" s="16"/>
      <c r="MKT42" s="16"/>
      <c r="MKU42" s="16"/>
      <c r="MKV42" s="16"/>
      <c r="MKW42" s="16"/>
      <c r="MKX42" s="16"/>
      <c r="MKY42" s="16"/>
      <c r="MKZ42" s="16"/>
      <c r="MLA42" s="16"/>
      <c r="MLB42" s="16"/>
      <c r="MLC42" s="16"/>
      <c r="MLD42" s="16"/>
      <c r="MLE42" s="16"/>
      <c r="MLF42" s="16"/>
      <c r="MLG42" s="16"/>
      <c r="MLH42" s="16"/>
      <c r="MLI42" s="16"/>
      <c r="MLJ42" s="16"/>
      <c r="MLK42" s="16"/>
      <c r="MLL42" s="16"/>
      <c r="MLM42" s="16"/>
      <c r="MLN42" s="16"/>
      <c r="MLO42" s="16"/>
      <c r="MLP42" s="16"/>
      <c r="MLQ42" s="16"/>
      <c r="MLR42" s="16"/>
      <c r="MLS42" s="16"/>
      <c r="MLT42" s="16"/>
      <c r="MLU42" s="16"/>
      <c r="MLV42" s="16"/>
      <c r="MLW42" s="16"/>
      <c r="MLX42" s="16"/>
      <c r="MLY42" s="16"/>
      <c r="MLZ42" s="16"/>
      <c r="MMA42" s="16"/>
      <c r="MMB42" s="16"/>
      <c r="MMC42" s="16"/>
      <c r="MMD42" s="16"/>
      <c r="MME42" s="16"/>
      <c r="MMF42" s="16"/>
      <c r="MMG42" s="16"/>
      <c r="MMH42" s="16"/>
      <c r="MMI42" s="16"/>
      <c r="MMJ42" s="16"/>
      <c r="MMK42" s="16"/>
      <c r="MML42" s="16"/>
      <c r="MMM42" s="16"/>
      <c r="MMN42" s="16"/>
      <c r="MMO42" s="16"/>
      <c r="MMP42" s="16"/>
      <c r="MMQ42" s="16"/>
      <c r="MMR42" s="16"/>
      <c r="MMS42" s="16"/>
      <c r="MMT42" s="16"/>
      <c r="MMU42" s="16"/>
      <c r="MMV42" s="16"/>
      <c r="MMW42" s="16"/>
      <c r="MMX42" s="16"/>
      <c r="MMY42" s="16"/>
      <c r="MMZ42" s="16"/>
      <c r="MNA42" s="16"/>
      <c r="MNB42" s="16"/>
      <c r="MNC42" s="16"/>
      <c r="MND42" s="16"/>
      <c r="MNE42" s="16"/>
      <c r="MNF42" s="16"/>
      <c r="MNG42" s="16"/>
      <c r="MNH42" s="16"/>
      <c r="MNI42" s="16"/>
      <c r="MNJ42" s="16"/>
      <c r="MNK42" s="16"/>
      <c r="MNL42" s="16"/>
      <c r="MNM42" s="16"/>
      <c r="MNN42" s="16"/>
      <c r="MNO42" s="16"/>
      <c r="MNP42" s="16"/>
      <c r="MNQ42" s="16"/>
      <c r="MNR42" s="16"/>
      <c r="MNS42" s="16"/>
      <c r="MNT42" s="16"/>
      <c r="MNU42" s="16"/>
      <c r="MNV42" s="16"/>
      <c r="MNW42" s="16"/>
      <c r="MNX42" s="16"/>
      <c r="MNY42" s="16"/>
      <c r="MNZ42" s="16"/>
      <c r="MOA42" s="16"/>
      <c r="MOB42" s="16"/>
      <c r="MOC42" s="16"/>
      <c r="MOD42" s="16"/>
      <c r="MOE42" s="16"/>
      <c r="MOF42" s="16"/>
      <c r="MOG42" s="16"/>
      <c r="MOH42" s="16"/>
      <c r="MOI42" s="16"/>
      <c r="MOJ42" s="16"/>
      <c r="MOK42" s="16"/>
      <c r="MOL42" s="16"/>
      <c r="MOM42" s="16"/>
      <c r="MON42" s="16"/>
      <c r="MOO42" s="16"/>
      <c r="MOP42" s="16"/>
      <c r="MOQ42" s="16"/>
      <c r="MOR42" s="16"/>
      <c r="MOS42" s="16"/>
      <c r="MOT42" s="16"/>
      <c r="MOU42" s="16"/>
      <c r="MOV42" s="16"/>
      <c r="MOW42" s="16"/>
      <c r="MOX42" s="16"/>
      <c r="MOY42" s="16"/>
      <c r="MOZ42" s="16"/>
      <c r="MPA42" s="16"/>
      <c r="MPB42" s="16"/>
      <c r="MPC42" s="16"/>
      <c r="MPD42" s="16"/>
      <c r="MPE42" s="16"/>
      <c r="MPF42" s="16"/>
      <c r="MPG42" s="16"/>
      <c r="MPH42" s="16"/>
      <c r="MPI42" s="16"/>
      <c r="MPJ42" s="16"/>
      <c r="MPK42" s="16"/>
      <c r="MPL42" s="16"/>
      <c r="MPM42" s="16"/>
      <c r="MPN42" s="16"/>
      <c r="MPO42" s="16"/>
      <c r="MPP42" s="16"/>
      <c r="MPQ42" s="16"/>
      <c r="MPR42" s="16"/>
      <c r="MPS42" s="16"/>
      <c r="MPT42" s="16"/>
      <c r="MPU42" s="16"/>
      <c r="MPV42" s="16"/>
      <c r="MPW42" s="16"/>
      <c r="MPX42" s="16"/>
      <c r="MPY42" s="16"/>
      <c r="MPZ42" s="16"/>
      <c r="MQA42" s="16"/>
      <c r="MQB42" s="16"/>
      <c r="MQC42" s="16"/>
      <c r="MQD42" s="16"/>
      <c r="MQE42" s="16"/>
      <c r="MQF42" s="16"/>
      <c r="MQG42" s="16"/>
      <c r="MQH42" s="16"/>
      <c r="MQI42" s="16"/>
      <c r="MQJ42" s="16"/>
      <c r="MQK42" s="16"/>
      <c r="MQL42" s="16"/>
      <c r="MQM42" s="16"/>
      <c r="MQN42" s="16"/>
      <c r="MQO42" s="16"/>
      <c r="MQP42" s="16"/>
      <c r="MQQ42" s="16"/>
      <c r="MQR42" s="16"/>
      <c r="MQS42" s="16"/>
      <c r="MQT42" s="16"/>
      <c r="MQU42" s="16"/>
      <c r="MQV42" s="16"/>
      <c r="MQW42" s="16"/>
      <c r="MQX42" s="16"/>
      <c r="MQY42" s="16"/>
      <c r="MQZ42" s="16"/>
      <c r="MRA42" s="16"/>
      <c r="MRB42" s="16"/>
      <c r="MRC42" s="16"/>
      <c r="MRD42" s="16"/>
      <c r="MRE42" s="16"/>
      <c r="MRF42" s="16"/>
      <c r="MRG42" s="16"/>
      <c r="MRH42" s="16"/>
      <c r="MRI42" s="16"/>
      <c r="MRJ42" s="16"/>
      <c r="MRK42" s="16"/>
      <c r="MRL42" s="16"/>
      <c r="MRM42" s="16"/>
      <c r="MRN42" s="16"/>
      <c r="MRO42" s="16"/>
      <c r="MRP42" s="16"/>
      <c r="MRQ42" s="16"/>
      <c r="MRR42" s="16"/>
      <c r="MRS42" s="16"/>
      <c r="MRT42" s="16"/>
      <c r="MRU42" s="16"/>
      <c r="MRV42" s="16"/>
      <c r="MRW42" s="16"/>
      <c r="MRX42" s="16"/>
      <c r="MRY42" s="16"/>
      <c r="MRZ42" s="16"/>
      <c r="MSA42" s="16"/>
      <c r="MSB42" s="16"/>
      <c r="MSC42" s="16"/>
      <c r="MSD42" s="16"/>
      <c r="MSE42" s="16"/>
      <c r="MSF42" s="16"/>
      <c r="MSG42" s="16"/>
      <c r="MSH42" s="16"/>
      <c r="MSI42" s="16"/>
      <c r="MSJ42" s="16"/>
      <c r="MSK42" s="16"/>
      <c r="MSL42" s="16"/>
      <c r="MSM42" s="16"/>
      <c r="MSN42" s="16"/>
      <c r="MSO42" s="16"/>
      <c r="MSP42" s="16"/>
      <c r="MSQ42" s="16"/>
      <c r="MSR42" s="16"/>
      <c r="MSS42" s="16"/>
      <c r="MST42" s="16"/>
      <c r="MSU42" s="16"/>
      <c r="MSV42" s="16"/>
      <c r="MSW42" s="16"/>
      <c r="MSX42" s="16"/>
      <c r="MSY42" s="16"/>
      <c r="MSZ42" s="16"/>
      <c r="MTA42" s="16"/>
      <c r="MTB42" s="16"/>
      <c r="MTC42" s="16"/>
      <c r="MTD42" s="16"/>
      <c r="MTE42" s="16"/>
      <c r="MTF42" s="16"/>
      <c r="MTG42" s="16"/>
      <c r="MTH42" s="16"/>
      <c r="MTI42" s="16"/>
      <c r="MTJ42" s="16"/>
      <c r="MTK42" s="16"/>
      <c r="MTL42" s="16"/>
      <c r="MTM42" s="16"/>
      <c r="MTN42" s="16"/>
      <c r="MTO42" s="16"/>
      <c r="MTP42" s="16"/>
      <c r="MTQ42" s="16"/>
      <c r="MTR42" s="16"/>
      <c r="MTS42" s="16"/>
      <c r="MTT42" s="16"/>
      <c r="MTU42" s="16"/>
      <c r="MTV42" s="16"/>
      <c r="MTW42" s="16"/>
      <c r="MTX42" s="16"/>
      <c r="MTY42" s="16"/>
      <c r="MTZ42" s="16"/>
      <c r="MUA42" s="16"/>
      <c r="MUB42" s="16"/>
      <c r="MUC42" s="16"/>
      <c r="MUD42" s="16"/>
      <c r="MUE42" s="16"/>
      <c r="MUF42" s="16"/>
      <c r="MUG42" s="16"/>
      <c r="MUH42" s="16"/>
      <c r="MUI42" s="16"/>
      <c r="MUJ42" s="16"/>
      <c r="MUK42" s="16"/>
      <c r="MUL42" s="16"/>
      <c r="MUM42" s="16"/>
      <c r="MUN42" s="16"/>
      <c r="MUO42" s="16"/>
      <c r="MUP42" s="16"/>
      <c r="MUQ42" s="16"/>
      <c r="MUR42" s="16"/>
      <c r="MUS42" s="16"/>
      <c r="MUT42" s="16"/>
      <c r="MUU42" s="16"/>
      <c r="MUV42" s="16"/>
      <c r="MUW42" s="16"/>
      <c r="MUX42" s="16"/>
      <c r="MUY42" s="16"/>
      <c r="MUZ42" s="16"/>
      <c r="MVA42" s="16"/>
      <c r="MVB42" s="16"/>
      <c r="MVC42" s="16"/>
      <c r="MVD42" s="16"/>
      <c r="MVE42" s="16"/>
      <c r="MVF42" s="16"/>
      <c r="MVG42" s="16"/>
      <c r="MVH42" s="16"/>
      <c r="MVI42" s="16"/>
      <c r="MVJ42" s="16"/>
      <c r="MVK42" s="16"/>
      <c r="MVL42" s="16"/>
      <c r="MVM42" s="16"/>
      <c r="MVN42" s="16"/>
      <c r="MVO42" s="16"/>
      <c r="MVP42" s="16"/>
      <c r="MVQ42" s="16"/>
      <c r="MVR42" s="16"/>
      <c r="MVS42" s="16"/>
      <c r="MVT42" s="16"/>
      <c r="MVU42" s="16"/>
      <c r="MVV42" s="16"/>
      <c r="MVW42" s="16"/>
      <c r="MVX42" s="16"/>
      <c r="MVY42" s="16"/>
      <c r="MVZ42" s="16"/>
      <c r="MWA42" s="16"/>
      <c r="MWB42" s="16"/>
      <c r="MWC42" s="16"/>
      <c r="MWD42" s="16"/>
      <c r="MWE42" s="16"/>
      <c r="MWF42" s="16"/>
      <c r="MWG42" s="16"/>
      <c r="MWH42" s="16"/>
      <c r="MWI42" s="16"/>
      <c r="MWJ42" s="16"/>
      <c r="MWK42" s="16"/>
      <c r="MWL42" s="16"/>
      <c r="MWM42" s="16"/>
      <c r="MWN42" s="16"/>
      <c r="MWO42" s="16"/>
      <c r="MWP42" s="16"/>
      <c r="MWQ42" s="16"/>
      <c r="MWR42" s="16"/>
      <c r="MWS42" s="16"/>
      <c r="MWT42" s="16"/>
      <c r="MWU42" s="16"/>
      <c r="MWV42" s="16"/>
      <c r="MWW42" s="16"/>
      <c r="MWX42" s="16"/>
      <c r="MWY42" s="16"/>
      <c r="MWZ42" s="16"/>
      <c r="MXA42" s="16"/>
      <c r="MXB42" s="16"/>
      <c r="MXC42" s="16"/>
      <c r="MXD42" s="16"/>
      <c r="MXE42" s="16"/>
      <c r="MXF42" s="16"/>
      <c r="MXG42" s="16"/>
      <c r="MXH42" s="16"/>
      <c r="MXI42" s="16"/>
      <c r="MXJ42" s="16"/>
      <c r="MXK42" s="16"/>
      <c r="MXL42" s="16"/>
      <c r="MXM42" s="16"/>
      <c r="MXN42" s="16"/>
      <c r="MXO42" s="16"/>
      <c r="MXP42" s="16"/>
      <c r="MXQ42" s="16"/>
      <c r="MXR42" s="16"/>
      <c r="MXS42" s="16"/>
      <c r="MXT42" s="16"/>
      <c r="MXU42" s="16"/>
      <c r="MXV42" s="16"/>
      <c r="MXW42" s="16"/>
      <c r="MXX42" s="16"/>
      <c r="MXY42" s="16"/>
      <c r="MXZ42" s="16"/>
      <c r="MYA42" s="16"/>
      <c r="MYB42" s="16"/>
      <c r="MYC42" s="16"/>
      <c r="MYD42" s="16"/>
      <c r="MYE42" s="16"/>
      <c r="MYF42" s="16"/>
      <c r="MYG42" s="16"/>
      <c r="MYH42" s="16"/>
      <c r="MYI42" s="16"/>
      <c r="MYJ42" s="16"/>
      <c r="MYK42" s="16"/>
      <c r="MYL42" s="16"/>
      <c r="MYM42" s="16"/>
      <c r="MYN42" s="16"/>
      <c r="MYO42" s="16"/>
      <c r="MYP42" s="16"/>
      <c r="MYQ42" s="16"/>
      <c r="MYR42" s="16"/>
      <c r="MYS42" s="16"/>
      <c r="MYT42" s="16"/>
      <c r="MYU42" s="16"/>
      <c r="MYV42" s="16"/>
      <c r="MYW42" s="16"/>
      <c r="MYX42" s="16"/>
      <c r="MYY42" s="16"/>
      <c r="MYZ42" s="16"/>
      <c r="MZA42" s="16"/>
      <c r="MZB42" s="16"/>
      <c r="MZC42" s="16"/>
      <c r="MZD42" s="16"/>
      <c r="MZE42" s="16"/>
      <c r="MZF42" s="16"/>
      <c r="MZG42" s="16"/>
      <c r="MZH42" s="16"/>
      <c r="MZI42" s="16"/>
      <c r="MZJ42" s="16"/>
      <c r="MZK42" s="16"/>
      <c r="MZL42" s="16"/>
      <c r="MZM42" s="16"/>
      <c r="MZN42" s="16"/>
      <c r="MZO42" s="16"/>
      <c r="MZP42" s="16"/>
      <c r="MZQ42" s="16"/>
      <c r="MZR42" s="16"/>
      <c r="MZS42" s="16"/>
      <c r="MZT42" s="16"/>
      <c r="MZU42" s="16"/>
      <c r="MZV42" s="16"/>
      <c r="MZW42" s="16"/>
      <c r="MZX42" s="16"/>
      <c r="MZY42" s="16"/>
      <c r="MZZ42" s="16"/>
      <c r="NAA42" s="16"/>
      <c r="NAB42" s="16"/>
      <c r="NAC42" s="16"/>
      <c r="NAD42" s="16"/>
      <c r="NAE42" s="16"/>
      <c r="NAF42" s="16"/>
      <c r="NAG42" s="16"/>
      <c r="NAH42" s="16"/>
      <c r="NAI42" s="16"/>
      <c r="NAJ42" s="16"/>
      <c r="NAK42" s="16"/>
      <c r="NAL42" s="16"/>
      <c r="NAM42" s="16"/>
      <c r="NAN42" s="16"/>
      <c r="NAO42" s="16"/>
      <c r="NAP42" s="16"/>
      <c r="NAQ42" s="16"/>
      <c r="NAR42" s="16"/>
      <c r="NAS42" s="16"/>
      <c r="NAT42" s="16"/>
      <c r="NAU42" s="16"/>
      <c r="NAV42" s="16"/>
      <c r="NAW42" s="16"/>
      <c r="NAX42" s="16"/>
      <c r="NAY42" s="16"/>
      <c r="NAZ42" s="16"/>
      <c r="NBA42" s="16"/>
      <c r="NBB42" s="16"/>
      <c r="NBC42" s="16"/>
      <c r="NBD42" s="16"/>
      <c r="NBE42" s="16"/>
      <c r="NBF42" s="16"/>
      <c r="NBG42" s="16"/>
      <c r="NBH42" s="16"/>
      <c r="NBI42" s="16"/>
      <c r="NBJ42" s="16"/>
      <c r="NBK42" s="16"/>
      <c r="NBL42" s="16"/>
      <c r="NBM42" s="16"/>
      <c r="NBN42" s="16"/>
      <c r="NBO42" s="16"/>
      <c r="NBP42" s="16"/>
      <c r="NBQ42" s="16"/>
      <c r="NBR42" s="16"/>
      <c r="NBS42" s="16"/>
      <c r="NBT42" s="16"/>
      <c r="NBU42" s="16"/>
      <c r="NBV42" s="16"/>
      <c r="NBW42" s="16"/>
      <c r="NBX42" s="16"/>
      <c r="NBY42" s="16"/>
      <c r="NBZ42" s="16"/>
      <c r="NCA42" s="16"/>
      <c r="NCB42" s="16"/>
      <c r="NCC42" s="16"/>
      <c r="NCD42" s="16"/>
      <c r="NCE42" s="16"/>
      <c r="NCF42" s="16"/>
      <c r="NCG42" s="16"/>
      <c r="NCH42" s="16"/>
      <c r="NCI42" s="16"/>
      <c r="NCJ42" s="16"/>
      <c r="NCK42" s="16"/>
      <c r="NCL42" s="16"/>
      <c r="NCM42" s="16"/>
      <c r="NCN42" s="16"/>
      <c r="NCO42" s="16"/>
      <c r="NCP42" s="16"/>
      <c r="NCQ42" s="16"/>
      <c r="NCR42" s="16"/>
      <c r="NCS42" s="16"/>
      <c r="NCT42" s="16"/>
      <c r="NCU42" s="16"/>
      <c r="NCV42" s="16"/>
      <c r="NCW42" s="16"/>
      <c r="NCX42" s="16"/>
      <c r="NCY42" s="16"/>
      <c r="NCZ42" s="16"/>
      <c r="NDA42" s="16"/>
      <c r="NDB42" s="16"/>
      <c r="NDC42" s="16"/>
      <c r="NDD42" s="16"/>
      <c r="NDE42" s="16"/>
      <c r="NDF42" s="16"/>
      <c r="NDG42" s="16"/>
      <c r="NDH42" s="16"/>
      <c r="NDI42" s="16"/>
      <c r="NDJ42" s="16"/>
      <c r="NDK42" s="16"/>
      <c r="NDL42" s="16"/>
      <c r="NDM42" s="16"/>
      <c r="NDN42" s="16"/>
      <c r="NDO42" s="16"/>
      <c r="NDP42" s="16"/>
      <c r="NDQ42" s="16"/>
      <c r="NDR42" s="16"/>
      <c r="NDS42" s="16"/>
      <c r="NDT42" s="16"/>
      <c r="NDU42" s="16"/>
      <c r="NDV42" s="16"/>
      <c r="NDW42" s="16"/>
      <c r="NDX42" s="16"/>
      <c r="NDY42" s="16"/>
      <c r="NDZ42" s="16"/>
      <c r="NEA42" s="16"/>
      <c r="NEB42" s="16"/>
      <c r="NEC42" s="16"/>
      <c r="NED42" s="16"/>
      <c r="NEE42" s="16"/>
      <c r="NEF42" s="16"/>
      <c r="NEG42" s="16"/>
      <c r="NEH42" s="16"/>
      <c r="NEI42" s="16"/>
      <c r="NEJ42" s="16"/>
      <c r="NEK42" s="16"/>
      <c r="NEL42" s="16"/>
      <c r="NEM42" s="16"/>
      <c r="NEN42" s="16"/>
      <c r="NEO42" s="16"/>
      <c r="NEP42" s="16"/>
      <c r="NEQ42" s="16"/>
      <c r="NER42" s="16"/>
      <c r="NES42" s="16"/>
      <c r="NET42" s="16"/>
      <c r="NEU42" s="16"/>
      <c r="NEV42" s="16"/>
      <c r="NEW42" s="16"/>
      <c r="NEX42" s="16"/>
      <c r="NEY42" s="16"/>
      <c r="NEZ42" s="16"/>
      <c r="NFA42" s="16"/>
      <c r="NFB42" s="16"/>
      <c r="NFC42" s="16"/>
      <c r="NFD42" s="16"/>
      <c r="NFE42" s="16"/>
      <c r="NFF42" s="16"/>
      <c r="NFG42" s="16"/>
      <c r="NFH42" s="16"/>
      <c r="NFI42" s="16"/>
      <c r="NFJ42" s="16"/>
      <c r="NFK42" s="16"/>
      <c r="NFL42" s="16"/>
      <c r="NFM42" s="16"/>
      <c r="NFN42" s="16"/>
      <c r="NFO42" s="16"/>
      <c r="NFP42" s="16"/>
      <c r="NFQ42" s="16"/>
      <c r="NFR42" s="16"/>
      <c r="NFS42" s="16"/>
      <c r="NFT42" s="16"/>
      <c r="NFU42" s="16"/>
      <c r="NFV42" s="16"/>
      <c r="NFW42" s="16"/>
      <c r="NFX42" s="16"/>
      <c r="NFY42" s="16"/>
      <c r="NFZ42" s="16"/>
      <c r="NGA42" s="16"/>
      <c r="NGB42" s="16"/>
      <c r="NGC42" s="16"/>
      <c r="NGD42" s="16"/>
      <c r="NGE42" s="16"/>
      <c r="NGF42" s="16"/>
      <c r="NGG42" s="16"/>
      <c r="NGH42" s="16"/>
      <c r="NGI42" s="16"/>
      <c r="NGJ42" s="16"/>
      <c r="NGK42" s="16"/>
      <c r="NGL42" s="16"/>
      <c r="NGM42" s="16"/>
      <c r="NGN42" s="16"/>
      <c r="NGO42" s="16"/>
      <c r="NGP42" s="16"/>
      <c r="NGQ42" s="16"/>
      <c r="NGR42" s="16"/>
      <c r="NGS42" s="16"/>
      <c r="NGT42" s="16"/>
      <c r="NGU42" s="16"/>
      <c r="NGV42" s="16"/>
      <c r="NGW42" s="16"/>
      <c r="NGX42" s="16"/>
      <c r="NGY42" s="16"/>
      <c r="NGZ42" s="16"/>
      <c r="NHA42" s="16"/>
      <c r="NHB42" s="16"/>
      <c r="NHC42" s="16"/>
      <c r="NHD42" s="16"/>
      <c r="NHE42" s="16"/>
      <c r="NHF42" s="16"/>
      <c r="NHG42" s="16"/>
      <c r="NHH42" s="16"/>
      <c r="NHI42" s="16"/>
      <c r="NHJ42" s="16"/>
      <c r="NHK42" s="16"/>
      <c r="NHL42" s="16"/>
      <c r="NHM42" s="16"/>
      <c r="NHN42" s="16"/>
      <c r="NHO42" s="16"/>
      <c r="NHP42" s="16"/>
      <c r="NHQ42" s="16"/>
      <c r="NHR42" s="16"/>
      <c r="NHS42" s="16"/>
      <c r="NHT42" s="16"/>
      <c r="NHU42" s="16"/>
      <c r="NHV42" s="16"/>
      <c r="NHW42" s="16"/>
      <c r="NHX42" s="16"/>
      <c r="NHY42" s="16"/>
      <c r="NHZ42" s="16"/>
      <c r="NIA42" s="16"/>
      <c r="NIB42" s="16"/>
      <c r="NIC42" s="16"/>
      <c r="NID42" s="16"/>
      <c r="NIE42" s="16"/>
      <c r="NIF42" s="16"/>
      <c r="NIG42" s="16"/>
      <c r="NIH42" s="16"/>
      <c r="NII42" s="16"/>
      <c r="NIJ42" s="16"/>
      <c r="NIK42" s="16"/>
      <c r="NIL42" s="16"/>
      <c r="NIM42" s="16"/>
      <c r="NIN42" s="16"/>
      <c r="NIO42" s="16"/>
      <c r="NIP42" s="16"/>
      <c r="NIQ42" s="16"/>
      <c r="NIR42" s="16"/>
      <c r="NIS42" s="16"/>
      <c r="NIT42" s="16"/>
      <c r="NIU42" s="16"/>
      <c r="NIV42" s="16"/>
      <c r="NIW42" s="16"/>
      <c r="NIX42" s="16"/>
      <c r="NIY42" s="16"/>
      <c r="NIZ42" s="16"/>
      <c r="NJA42" s="16"/>
      <c r="NJB42" s="16"/>
      <c r="NJC42" s="16"/>
      <c r="NJD42" s="16"/>
      <c r="NJE42" s="16"/>
      <c r="NJF42" s="16"/>
      <c r="NJG42" s="16"/>
      <c r="NJH42" s="16"/>
      <c r="NJI42" s="16"/>
      <c r="NJJ42" s="16"/>
      <c r="NJK42" s="16"/>
      <c r="NJL42" s="16"/>
      <c r="NJM42" s="16"/>
      <c r="NJN42" s="16"/>
      <c r="NJO42" s="16"/>
      <c r="NJP42" s="16"/>
      <c r="NJQ42" s="16"/>
      <c r="NJR42" s="16"/>
      <c r="NJS42" s="16"/>
      <c r="NJT42" s="16"/>
      <c r="NJU42" s="16"/>
      <c r="NJV42" s="16"/>
      <c r="NJW42" s="16"/>
      <c r="NJX42" s="16"/>
      <c r="NJY42" s="16"/>
      <c r="NJZ42" s="16"/>
      <c r="NKA42" s="16"/>
      <c r="NKB42" s="16"/>
      <c r="NKC42" s="16"/>
      <c r="NKD42" s="16"/>
      <c r="NKE42" s="16"/>
      <c r="NKF42" s="16"/>
      <c r="NKG42" s="16"/>
      <c r="NKH42" s="16"/>
      <c r="NKI42" s="16"/>
      <c r="NKJ42" s="16"/>
      <c r="NKK42" s="16"/>
      <c r="NKL42" s="16"/>
      <c r="NKM42" s="16"/>
      <c r="NKN42" s="16"/>
      <c r="NKO42" s="16"/>
      <c r="NKP42" s="16"/>
      <c r="NKQ42" s="16"/>
      <c r="NKR42" s="16"/>
      <c r="NKS42" s="16"/>
      <c r="NKT42" s="16"/>
      <c r="NKU42" s="16"/>
      <c r="NKV42" s="16"/>
      <c r="NKW42" s="16"/>
      <c r="NKX42" s="16"/>
      <c r="NKY42" s="16"/>
      <c r="NKZ42" s="16"/>
      <c r="NLA42" s="16"/>
      <c r="NLB42" s="16"/>
      <c r="NLC42" s="16"/>
      <c r="NLD42" s="16"/>
      <c r="NLE42" s="16"/>
      <c r="NLF42" s="16"/>
      <c r="NLG42" s="16"/>
      <c r="NLH42" s="16"/>
      <c r="NLI42" s="16"/>
      <c r="NLJ42" s="16"/>
      <c r="NLK42" s="16"/>
      <c r="NLL42" s="16"/>
      <c r="NLM42" s="16"/>
      <c r="NLN42" s="16"/>
      <c r="NLO42" s="16"/>
      <c r="NLP42" s="16"/>
      <c r="NLQ42" s="16"/>
      <c r="NLR42" s="16"/>
      <c r="NLS42" s="16"/>
      <c r="NLT42" s="16"/>
      <c r="NLU42" s="16"/>
      <c r="NLV42" s="16"/>
      <c r="NLW42" s="16"/>
      <c r="NLX42" s="16"/>
      <c r="NLY42" s="16"/>
      <c r="NLZ42" s="16"/>
      <c r="NMA42" s="16"/>
      <c r="NMB42" s="16"/>
      <c r="NMC42" s="16"/>
      <c r="NMD42" s="16"/>
      <c r="NME42" s="16"/>
      <c r="NMF42" s="16"/>
      <c r="NMG42" s="16"/>
      <c r="NMH42" s="16"/>
      <c r="NMI42" s="16"/>
      <c r="NMJ42" s="16"/>
      <c r="NMK42" s="16"/>
      <c r="NML42" s="16"/>
      <c r="NMM42" s="16"/>
      <c r="NMN42" s="16"/>
      <c r="NMO42" s="16"/>
      <c r="NMP42" s="16"/>
      <c r="NMQ42" s="16"/>
      <c r="NMR42" s="16"/>
      <c r="NMS42" s="16"/>
      <c r="NMT42" s="16"/>
      <c r="NMU42" s="16"/>
      <c r="NMV42" s="16"/>
      <c r="NMW42" s="16"/>
      <c r="NMX42" s="16"/>
      <c r="NMY42" s="16"/>
      <c r="NMZ42" s="16"/>
      <c r="NNA42" s="16"/>
      <c r="NNB42" s="16"/>
      <c r="NNC42" s="16"/>
      <c r="NND42" s="16"/>
      <c r="NNE42" s="16"/>
      <c r="NNF42" s="16"/>
      <c r="NNG42" s="16"/>
      <c r="NNH42" s="16"/>
      <c r="NNI42" s="16"/>
      <c r="NNJ42" s="16"/>
      <c r="NNK42" s="16"/>
      <c r="NNL42" s="16"/>
      <c r="NNM42" s="16"/>
      <c r="NNN42" s="16"/>
      <c r="NNO42" s="16"/>
      <c r="NNP42" s="16"/>
      <c r="NNQ42" s="16"/>
      <c r="NNR42" s="16"/>
      <c r="NNS42" s="16"/>
      <c r="NNT42" s="16"/>
      <c r="NNU42" s="16"/>
      <c r="NNV42" s="16"/>
      <c r="NNW42" s="16"/>
      <c r="NNX42" s="16"/>
      <c r="NNY42" s="16"/>
      <c r="NNZ42" s="16"/>
      <c r="NOA42" s="16"/>
      <c r="NOB42" s="16"/>
      <c r="NOC42" s="16"/>
      <c r="NOD42" s="16"/>
      <c r="NOE42" s="16"/>
      <c r="NOF42" s="16"/>
      <c r="NOG42" s="16"/>
      <c r="NOH42" s="16"/>
      <c r="NOI42" s="16"/>
      <c r="NOJ42" s="16"/>
      <c r="NOK42" s="16"/>
      <c r="NOL42" s="16"/>
      <c r="NOM42" s="16"/>
      <c r="NON42" s="16"/>
      <c r="NOO42" s="16"/>
      <c r="NOP42" s="16"/>
      <c r="NOQ42" s="16"/>
      <c r="NOR42" s="16"/>
      <c r="NOS42" s="16"/>
      <c r="NOT42" s="16"/>
      <c r="NOU42" s="16"/>
      <c r="NOV42" s="16"/>
      <c r="NOW42" s="16"/>
      <c r="NOX42" s="16"/>
      <c r="NOY42" s="16"/>
      <c r="NOZ42" s="16"/>
      <c r="NPA42" s="16"/>
      <c r="NPB42" s="16"/>
      <c r="NPC42" s="16"/>
      <c r="NPD42" s="16"/>
      <c r="NPE42" s="16"/>
      <c r="NPF42" s="16"/>
      <c r="NPG42" s="16"/>
      <c r="NPH42" s="16"/>
      <c r="NPI42" s="16"/>
      <c r="NPJ42" s="16"/>
      <c r="NPK42" s="16"/>
      <c r="NPL42" s="16"/>
      <c r="NPM42" s="16"/>
      <c r="NPN42" s="16"/>
      <c r="NPO42" s="16"/>
      <c r="NPP42" s="16"/>
      <c r="NPQ42" s="16"/>
      <c r="NPR42" s="16"/>
      <c r="NPS42" s="16"/>
      <c r="NPT42" s="16"/>
      <c r="NPU42" s="16"/>
      <c r="NPV42" s="16"/>
      <c r="NPW42" s="16"/>
      <c r="NPX42" s="16"/>
      <c r="NPY42" s="16"/>
      <c r="NPZ42" s="16"/>
      <c r="NQA42" s="16"/>
      <c r="NQB42" s="16"/>
      <c r="NQC42" s="16"/>
      <c r="NQD42" s="16"/>
      <c r="NQE42" s="16"/>
      <c r="NQF42" s="16"/>
      <c r="NQG42" s="16"/>
      <c r="NQH42" s="16"/>
      <c r="NQI42" s="16"/>
      <c r="NQJ42" s="16"/>
      <c r="NQK42" s="16"/>
      <c r="NQL42" s="16"/>
      <c r="NQM42" s="16"/>
      <c r="NQN42" s="16"/>
      <c r="NQO42" s="16"/>
      <c r="NQP42" s="16"/>
      <c r="NQQ42" s="16"/>
      <c r="NQR42" s="16"/>
      <c r="NQS42" s="16"/>
      <c r="NQT42" s="16"/>
      <c r="NQU42" s="16"/>
      <c r="NQV42" s="16"/>
      <c r="NQW42" s="16"/>
      <c r="NQX42" s="16"/>
      <c r="NQY42" s="16"/>
      <c r="NQZ42" s="16"/>
      <c r="NRA42" s="16"/>
      <c r="NRB42" s="16"/>
      <c r="NRC42" s="16"/>
      <c r="NRD42" s="16"/>
      <c r="NRE42" s="16"/>
      <c r="NRF42" s="16"/>
      <c r="NRG42" s="16"/>
      <c r="NRH42" s="16"/>
      <c r="NRI42" s="16"/>
      <c r="NRJ42" s="16"/>
      <c r="NRK42" s="16"/>
      <c r="NRL42" s="16"/>
      <c r="NRM42" s="16"/>
      <c r="NRN42" s="16"/>
      <c r="NRO42" s="16"/>
      <c r="NRP42" s="16"/>
      <c r="NRQ42" s="16"/>
      <c r="NRR42" s="16"/>
      <c r="NRS42" s="16"/>
      <c r="NRT42" s="16"/>
      <c r="NRU42" s="16"/>
      <c r="NRV42" s="16"/>
      <c r="NRW42" s="16"/>
      <c r="NRX42" s="16"/>
      <c r="NRY42" s="16"/>
      <c r="NRZ42" s="16"/>
      <c r="NSA42" s="16"/>
      <c r="NSB42" s="16"/>
      <c r="NSC42" s="16"/>
      <c r="NSD42" s="16"/>
      <c r="NSE42" s="16"/>
      <c r="NSF42" s="16"/>
      <c r="NSG42" s="16"/>
      <c r="NSH42" s="16"/>
      <c r="NSI42" s="16"/>
      <c r="NSJ42" s="16"/>
      <c r="NSK42" s="16"/>
      <c r="NSL42" s="16"/>
      <c r="NSM42" s="16"/>
      <c r="NSN42" s="16"/>
      <c r="NSO42" s="16"/>
      <c r="NSP42" s="16"/>
      <c r="NSQ42" s="16"/>
      <c r="NSR42" s="16"/>
      <c r="NSS42" s="16"/>
      <c r="NST42" s="16"/>
      <c r="NSU42" s="16"/>
      <c r="NSV42" s="16"/>
      <c r="NSW42" s="16"/>
      <c r="NSX42" s="16"/>
      <c r="NSY42" s="16"/>
      <c r="NSZ42" s="16"/>
      <c r="NTA42" s="16"/>
      <c r="NTB42" s="16"/>
      <c r="NTC42" s="16"/>
      <c r="NTD42" s="16"/>
      <c r="NTE42" s="16"/>
      <c r="NTF42" s="16"/>
      <c r="NTG42" s="16"/>
      <c r="NTH42" s="16"/>
      <c r="NTI42" s="16"/>
      <c r="NTJ42" s="16"/>
      <c r="NTK42" s="16"/>
      <c r="NTL42" s="16"/>
      <c r="NTM42" s="16"/>
      <c r="NTN42" s="16"/>
      <c r="NTO42" s="16"/>
      <c r="NTP42" s="16"/>
      <c r="NTQ42" s="16"/>
      <c r="NTR42" s="16"/>
      <c r="NTS42" s="16"/>
      <c r="NTT42" s="16"/>
      <c r="NTU42" s="16"/>
      <c r="NTV42" s="16"/>
      <c r="NTW42" s="16"/>
      <c r="NTX42" s="16"/>
      <c r="NTY42" s="16"/>
      <c r="NTZ42" s="16"/>
      <c r="NUA42" s="16"/>
      <c r="NUB42" s="16"/>
      <c r="NUC42" s="16"/>
      <c r="NUD42" s="16"/>
      <c r="NUE42" s="16"/>
      <c r="NUF42" s="16"/>
      <c r="NUG42" s="16"/>
      <c r="NUH42" s="16"/>
      <c r="NUI42" s="16"/>
      <c r="NUJ42" s="16"/>
      <c r="NUK42" s="16"/>
      <c r="NUL42" s="16"/>
      <c r="NUM42" s="16"/>
      <c r="NUN42" s="16"/>
      <c r="NUO42" s="16"/>
      <c r="NUP42" s="16"/>
      <c r="NUQ42" s="16"/>
      <c r="NUR42" s="16"/>
      <c r="NUS42" s="16"/>
      <c r="NUT42" s="16"/>
      <c r="NUU42" s="16"/>
      <c r="NUV42" s="16"/>
      <c r="NUW42" s="16"/>
      <c r="NUX42" s="16"/>
      <c r="NUY42" s="16"/>
      <c r="NUZ42" s="16"/>
      <c r="NVA42" s="16"/>
      <c r="NVB42" s="16"/>
      <c r="NVC42" s="16"/>
      <c r="NVD42" s="16"/>
      <c r="NVE42" s="16"/>
      <c r="NVF42" s="16"/>
      <c r="NVG42" s="16"/>
      <c r="NVH42" s="16"/>
      <c r="NVI42" s="16"/>
      <c r="NVJ42" s="16"/>
      <c r="NVK42" s="16"/>
      <c r="NVL42" s="16"/>
      <c r="NVM42" s="16"/>
      <c r="NVN42" s="16"/>
      <c r="NVO42" s="16"/>
      <c r="NVP42" s="16"/>
      <c r="NVQ42" s="16"/>
      <c r="NVR42" s="16"/>
      <c r="NVS42" s="16"/>
      <c r="NVT42" s="16"/>
      <c r="NVU42" s="16"/>
      <c r="NVV42" s="16"/>
      <c r="NVW42" s="16"/>
      <c r="NVX42" s="16"/>
      <c r="NVY42" s="16"/>
      <c r="NVZ42" s="16"/>
      <c r="NWA42" s="16"/>
      <c r="NWB42" s="16"/>
      <c r="NWC42" s="16"/>
      <c r="NWD42" s="16"/>
      <c r="NWE42" s="16"/>
      <c r="NWF42" s="16"/>
      <c r="NWG42" s="16"/>
      <c r="NWH42" s="16"/>
      <c r="NWI42" s="16"/>
      <c r="NWJ42" s="16"/>
      <c r="NWK42" s="16"/>
      <c r="NWL42" s="16"/>
      <c r="NWM42" s="16"/>
      <c r="NWN42" s="16"/>
      <c r="NWO42" s="16"/>
      <c r="NWP42" s="16"/>
      <c r="NWQ42" s="16"/>
      <c r="NWR42" s="16"/>
      <c r="NWS42" s="16"/>
      <c r="NWT42" s="16"/>
      <c r="NWU42" s="16"/>
      <c r="NWV42" s="16"/>
      <c r="NWW42" s="16"/>
      <c r="NWX42" s="16"/>
      <c r="NWY42" s="16"/>
      <c r="NWZ42" s="16"/>
      <c r="NXA42" s="16"/>
      <c r="NXB42" s="16"/>
      <c r="NXC42" s="16"/>
      <c r="NXD42" s="16"/>
      <c r="NXE42" s="16"/>
      <c r="NXF42" s="16"/>
      <c r="NXG42" s="16"/>
      <c r="NXH42" s="16"/>
      <c r="NXI42" s="16"/>
      <c r="NXJ42" s="16"/>
      <c r="NXK42" s="16"/>
      <c r="NXL42" s="16"/>
      <c r="NXM42" s="16"/>
      <c r="NXN42" s="16"/>
      <c r="NXO42" s="16"/>
      <c r="NXP42" s="16"/>
      <c r="NXQ42" s="16"/>
      <c r="NXR42" s="16"/>
      <c r="NXS42" s="16"/>
      <c r="NXT42" s="16"/>
      <c r="NXU42" s="16"/>
      <c r="NXV42" s="16"/>
      <c r="NXW42" s="16"/>
      <c r="NXX42" s="16"/>
      <c r="NXY42" s="16"/>
      <c r="NXZ42" s="16"/>
      <c r="NYA42" s="16"/>
      <c r="NYB42" s="16"/>
      <c r="NYC42" s="16"/>
      <c r="NYD42" s="16"/>
      <c r="NYE42" s="16"/>
      <c r="NYF42" s="16"/>
      <c r="NYG42" s="16"/>
      <c r="NYH42" s="16"/>
      <c r="NYI42" s="16"/>
      <c r="NYJ42" s="16"/>
      <c r="NYK42" s="16"/>
      <c r="NYL42" s="16"/>
      <c r="NYM42" s="16"/>
      <c r="NYN42" s="16"/>
      <c r="NYO42" s="16"/>
      <c r="NYP42" s="16"/>
      <c r="NYQ42" s="16"/>
      <c r="NYR42" s="16"/>
      <c r="NYS42" s="16"/>
      <c r="NYT42" s="16"/>
      <c r="NYU42" s="16"/>
      <c r="NYV42" s="16"/>
      <c r="NYW42" s="16"/>
      <c r="NYX42" s="16"/>
      <c r="NYY42" s="16"/>
      <c r="NYZ42" s="16"/>
      <c r="NZA42" s="16"/>
      <c r="NZB42" s="16"/>
      <c r="NZC42" s="16"/>
      <c r="NZD42" s="16"/>
      <c r="NZE42" s="16"/>
      <c r="NZF42" s="16"/>
      <c r="NZG42" s="16"/>
      <c r="NZH42" s="16"/>
      <c r="NZI42" s="16"/>
      <c r="NZJ42" s="16"/>
      <c r="NZK42" s="16"/>
      <c r="NZL42" s="16"/>
      <c r="NZM42" s="16"/>
      <c r="NZN42" s="16"/>
      <c r="NZO42" s="16"/>
      <c r="NZP42" s="16"/>
      <c r="NZQ42" s="16"/>
      <c r="NZR42" s="16"/>
      <c r="NZS42" s="16"/>
      <c r="NZT42" s="16"/>
      <c r="NZU42" s="16"/>
      <c r="NZV42" s="16"/>
      <c r="NZW42" s="16"/>
      <c r="NZX42" s="16"/>
      <c r="NZY42" s="16"/>
      <c r="NZZ42" s="16"/>
      <c r="OAA42" s="16"/>
      <c r="OAB42" s="16"/>
      <c r="OAC42" s="16"/>
      <c r="OAD42" s="16"/>
      <c r="OAE42" s="16"/>
      <c r="OAF42" s="16"/>
      <c r="OAG42" s="16"/>
      <c r="OAH42" s="16"/>
      <c r="OAI42" s="16"/>
      <c r="OAJ42" s="16"/>
      <c r="OAK42" s="16"/>
      <c r="OAL42" s="16"/>
      <c r="OAM42" s="16"/>
      <c r="OAN42" s="16"/>
      <c r="OAO42" s="16"/>
      <c r="OAP42" s="16"/>
      <c r="OAQ42" s="16"/>
      <c r="OAR42" s="16"/>
      <c r="OAS42" s="16"/>
      <c r="OAT42" s="16"/>
      <c r="OAU42" s="16"/>
      <c r="OAV42" s="16"/>
      <c r="OAW42" s="16"/>
      <c r="OAX42" s="16"/>
      <c r="OAY42" s="16"/>
      <c r="OAZ42" s="16"/>
      <c r="OBA42" s="16"/>
      <c r="OBB42" s="16"/>
      <c r="OBC42" s="16"/>
      <c r="OBD42" s="16"/>
      <c r="OBE42" s="16"/>
      <c r="OBF42" s="16"/>
      <c r="OBG42" s="16"/>
      <c r="OBH42" s="16"/>
      <c r="OBI42" s="16"/>
      <c r="OBJ42" s="16"/>
      <c r="OBK42" s="16"/>
      <c r="OBL42" s="16"/>
      <c r="OBM42" s="16"/>
      <c r="OBN42" s="16"/>
      <c r="OBO42" s="16"/>
      <c r="OBP42" s="16"/>
      <c r="OBQ42" s="16"/>
      <c r="OBR42" s="16"/>
      <c r="OBS42" s="16"/>
      <c r="OBT42" s="16"/>
      <c r="OBU42" s="16"/>
      <c r="OBV42" s="16"/>
      <c r="OBW42" s="16"/>
      <c r="OBX42" s="16"/>
      <c r="OBY42" s="16"/>
      <c r="OBZ42" s="16"/>
      <c r="OCA42" s="16"/>
      <c r="OCB42" s="16"/>
      <c r="OCC42" s="16"/>
      <c r="OCD42" s="16"/>
      <c r="OCE42" s="16"/>
      <c r="OCF42" s="16"/>
      <c r="OCG42" s="16"/>
      <c r="OCH42" s="16"/>
      <c r="OCI42" s="16"/>
      <c r="OCJ42" s="16"/>
      <c r="OCK42" s="16"/>
      <c r="OCL42" s="16"/>
      <c r="OCM42" s="16"/>
      <c r="OCN42" s="16"/>
      <c r="OCO42" s="16"/>
      <c r="OCP42" s="16"/>
      <c r="OCQ42" s="16"/>
      <c r="OCR42" s="16"/>
      <c r="OCS42" s="16"/>
      <c r="OCT42" s="16"/>
      <c r="OCU42" s="16"/>
      <c r="OCV42" s="16"/>
      <c r="OCW42" s="16"/>
      <c r="OCX42" s="16"/>
      <c r="OCY42" s="16"/>
      <c r="OCZ42" s="16"/>
      <c r="ODA42" s="16"/>
      <c r="ODB42" s="16"/>
      <c r="ODC42" s="16"/>
      <c r="ODD42" s="16"/>
      <c r="ODE42" s="16"/>
      <c r="ODF42" s="16"/>
      <c r="ODG42" s="16"/>
      <c r="ODH42" s="16"/>
      <c r="ODI42" s="16"/>
      <c r="ODJ42" s="16"/>
      <c r="ODK42" s="16"/>
      <c r="ODL42" s="16"/>
      <c r="ODM42" s="16"/>
      <c r="ODN42" s="16"/>
      <c r="ODO42" s="16"/>
      <c r="ODP42" s="16"/>
      <c r="ODQ42" s="16"/>
      <c r="ODR42" s="16"/>
      <c r="ODS42" s="16"/>
      <c r="ODT42" s="16"/>
      <c r="ODU42" s="16"/>
      <c r="ODV42" s="16"/>
      <c r="ODW42" s="16"/>
      <c r="ODX42" s="16"/>
      <c r="ODY42" s="16"/>
      <c r="ODZ42" s="16"/>
      <c r="OEA42" s="16"/>
      <c r="OEB42" s="16"/>
      <c r="OEC42" s="16"/>
      <c r="OED42" s="16"/>
      <c r="OEE42" s="16"/>
      <c r="OEF42" s="16"/>
      <c r="OEG42" s="16"/>
      <c r="OEH42" s="16"/>
      <c r="OEI42" s="16"/>
      <c r="OEJ42" s="16"/>
      <c r="OEK42" s="16"/>
      <c r="OEL42" s="16"/>
      <c r="OEM42" s="16"/>
      <c r="OEN42" s="16"/>
      <c r="OEO42" s="16"/>
      <c r="OEP42" s="16"/>
      <c r="OEQ42" s="16"/>
      <c r="OER42" s="16"/>
      <c r="OES42" s="16"/>
      <c r="OET42" s="16"/>
      <c r="OEU42" s="16"/>
      <c r="OEV42" s="16"/>
      <c r="OEW42" s="16"/>
      <c r="OEX42" s="16"/>
      <c r="OEY42" s="16"/>
      <c r="OEZ42" s="16"/>
      <c r="OFA42" s="16"/>
      <c r="OFB42" s="16"/>
      <c r="OFC42" s="16"/>
      <c r="OFD42" s="16"/>
      <c r="OFE42" s="16"/>
      <c r="OFF42" s="16"/>
      <c r="OFG42" s="16"/>
      <c r="OFH42" s="16"/>
      <c r="OFI42" s="16"/>
      <c r="OFJ42" s="16"/>
      <c r="OFK42" s="16"/>
      <c r="OFL42" s="16"/>
      <c r="OFM42" s="16"/>
      <c r="OFN42" s="16"/>
      <c r="OFO42" s="16"/>
      <c r="OFP42" s="16"/>
      <c r="OFQ42" s="16"/>
      <c r="OFR42" s="16"/>
      <c r="OFS42" s="16"/>
      <c r="OFT42" s="16"/>
      <c r="OFU42" s="16"/>
      <c r="OFV42" s="16"/>
      <c r="OFW42" s="16"/>
      <c r="OFX42" s="16"/>
      <c r="OFY42" s="16"/>
      <c r="OFZ42" s="16"/>
      <c r="OGA42" s="16"/>
      <c r="OGB42" s="16"/>
      <c r="OGC42" s="16"/>
      <c r="OGD42" s="16"/>
      <c r="OGE42" s="16"/>
      <c r="OGF42" s="16"/>
      <c r="OGG42" s="16"/>
      <c r="OGH42" s="16"/>
      <c r="OGI42" s="16"/>
      <c r="OGJ42" s="16"/>
      <c r="OGK42" s="16"/>
      <c r="OGL42" s="16"/>
      <c r="OGM42" s="16"/>
      <c r="OGN42" s="16"/>
      <c r="OGO42" s="16"/>
      <c r="OGP42" s="16"/>
      <c r="OGQ42" s="16"/>
      <c r="OGR42" s="16"/>
      <c r="OGS42" s="16"/>
      <c r="OGT42" s="16"/>
      <c r="OGU42" s="16"/>
      <c r="OGV42" s="16"/>
      <c r="OGW42" s="16"/>
      <c r="OGX42" s="16"/>
      <c r="OGY42" s="16"/>
      <c r="OGZ42" s="16"/>
      <c r="OHA42" s="16"/>
      <c r="OHB42" s="16"/>
      <c r="OHC42" s="16"/>
      <c r="OHD42" s="16"/>
      <c r="OHE42" s="16"/>
      <c r="OHF42" s="16"/>
      <c r="OHG42" s="16"/>
      <c r="OHH42" s="16"/>
      <c r="OHI42" s="16"/>
      <c r="OHJ42" s="16"/>
      <c r="OHK42" s="16"/>
      <c r="OHL42" s="16"/>
      <c r="OHM42" s="16"/>
      <c r="OHN42" s="16"/>
      <c r="OHO42" s="16"/>
      <c r="OHP42" s="16"/>
      <c r="OHQ42" s="16"/>
      <c r="OHR42" s="16"/>
      <c r="OHS42" s="16"/>
      <c r="OHT42" s="16"/>
      <c r="OHU42" s="16"/>
      <c r="OHV42" s="16"/>
      <c r="OHW42" s="16"/>
      <c r="OHX42" s="16"/>
      <c r="OHY42" s="16"/>
      <c r="OHZ42" s="16"/>
      <c r="OIA42" s="16"/>
      <c r="OIB42" s="16"/>
      <c r="OIC42" s="16"/>
      <c r="OID42" s="16"/>
      <c r="OIE42" s="16"/>
      <c r="OIF42" s="16"/>
      <c r="OIG42" s="16"/>
      <c r="OIH42" s="16"/>
      <c r="OII42" s="16"/>
      <c r="OIJ42" s="16"/>
      <c r="OIK42" s="16"/>
      <c r="OIL42" s="16"/>
      <c r="OIM42" s="16"/>
      <c r="OIN42" s="16"/>
      <c r="OIO42" s="16"/>
      <c r="OIP42" s="16"/>
      <c r="OIQ42" s="16"/>
      <c r="OIR42" s="16"/>
      <c r="OIS42" s="16"/>
      <c r="OIT42" s="16"/>
      <c r="OIU42" s="16"/>
      <c r="OIV42" s="16"/>
      <c r="OIW42" s="16"/>
      <c r="OIX42" s="16"/>
      <c r="OIY42" s="16"/>
      <c r="OIZ42" s="16"/>
      <c r="OJA42" s="16"/>
      <c r="OJB42" s="16"/>
      <c r="OJC42" s="16"/>
      <c r="OJD42" s="16"/>
      <c r="OJE42" s="16"/>
      <c r="OJF42" s="16"/>
      <c r="OJG42" s="16"/>
      <c r="OJH42" s="16"/>
      <c r="OJI42" s="16"/>
      <c r="OJJ42" s="16"/>
      <c r="OJK42" s="16"/>
      <c r="OJL42" s="16"/>
      <c r="OJM42" s="16"/>
      <c r="OJN42" s="16"/>
      <c r="OJO42" s="16"/>
      <c r="OJP42" s="16"/>
      <c r="OJQ42" s="16"/>
      <c r="OJR42" s="16"/>
      <c r="OJS42" s="16"/>
      <c r="OJT42" s="16"/>
      <c r="OJU42" s="16"/>
      <c r="OJV42" s="16"/>
      <c r="OJW42" s="16"/>
      <c r="OJX42" s="16"/>
      <c r="OJY42" s="16"/>
      <c r="OJZ42" s="16"/>
      <c r="OKA42" s="16"/>
      <c r="OKB42" s="16"/>
      <c r="OKC42" s="16"/>
      <c r="OKD42" s="16"/>
      <c r="OKE42" s="16"/>
      <c r="OKF42" s="16"/>
      <c r="OKG42" s="16"/>
      <c r="OKH42" s="16"/>
      <c r="OKI42" s="16"/>
      <c r="OKJ42" s="16"/>
      <c r="OKK42" s="16"/>
      <c r="OKL42" s="16"/>
      <c r="OKM42" s="16"/>
      <c r="OKN42" s="16"/>
      <c r="OKO42" s="16"/>
      <c r="OKP42" s="16"/>
      <c r="OKQ42" s="16"/>
      <c r="OKR42" s="16"/>
      <c r="OKS42" s="16"/>
      <c r="OKT42" s="16"/>
      <c r="OKU42" s="16"/>
      <c r="OKV42" s="16"/>
      <c r="OKW42" s="16"/>
      <c r="OKX42" s="16"/>
      <c r="OKY42" s="16"/>
      <c r="OKZ42" s="16"/>
      <c r="OLA42" s="16"/>
      <c r="OLB42" s="16"/>
      <c r="OLC42" s="16"/>
      <c r="OLD42" s="16"/>
      <c r="OLE42" s="16"/>
      <c r="OLF42" s="16"/>
      <c r="OLG42" s="16"/>
      <c r="OLH42" s="16"/>
      <c r="OLI42" s="16"/>
      <c r="OLJ42" s="16"/>
      <c r="OLK42" s="16"/>
      <c r="OLL42" s="16"/>
      <c r="OLM42" s="16"/>
      <c r="OLN42" s="16"/>
      <c r="OLO42" s="16"/>
      <c r="OLP42" s="16"/>
      <c r="OLQ42" s="16"/>
      <c r="OLR42" s="16"/>
      <c r="OLS42" s="16"/>
      <c r="OLT42" s="16"/>
      <c r="OLU42" s="16"/>
      <c r="OLV42" s="16"/>
      <c r="OLW42" s="16"/>
      <c r="OLX42" s="16"/>
      <c r="OLY42" s="16"/>
      <c r="OLZ42" s="16"/>
      <c r="OMA42" s="16"/>
      <c r="OMB42" s="16"/>
      <c r="OMC42" s="16"/>
      <c r="OMD42" s="16"/>
      <c r="OME42" s="16"/>
      <c r="OMF42" s="16"/>
      <c r="OMG42" s="16"/>
      <c r="OMH42" s="16"/>
      <c r="OMI42" s="16"/>
      <c r="OMJ42" s="16"/>
      <c r="OMK42" s="16"/>
      <c r="OML42" s="16"/>
      <c r="OMM42" s="16"/>
      <c r="OMN42" s="16"/>
      <c r="OMO42" s="16"/>
      <c r="OMP42" s="16"/>
      <c r="OMQ42" s="16"/>
      <c r="OMR42" s="16"/>
      <c r="OMS42" s="16"/>
      <c r="OMT42" s="16"/>
      <c r="OMU42" s="16"/>
      <c r="OMV42" s="16"/>
      <c r="OMW42" s="16"/>
      <c r="OMX42" s="16"/>
      <c r="OMY42" s="16"/>
      <c r="OMZ42" s="16"/>
      <c r="ONA42" s="16"/>
      <c r="ONB42" s="16"/>
      <c r="ONC42" s="16"/>
      <c r="OND42" s="16"/>
      <c r="ONE42" s="16"/>
      <c r="ONF42" s="16"/>
      <c r="ONG42" s="16"/>
      <c r="ONH42" s="16"/>
      <c r="ONI42" s="16"/>
      <c r="ONJ42" s="16"/>
      <c r="ONK42" s="16"/>
      <c r="ONL42" s="16"/>
      <c r="ONM42" s="16"/>
      <c r="ONN42" s="16"/>
      <c r="ONO42" s="16"/>
      <c r="ONP42" s="16"/>
      <c r="ONQ42" s="16"/>
      <c r="ONR42" s="16"/>
      <c r="ONS42" s="16"/>
      <c r="ONT42" s="16"/>
      <c r="ONU42" s="16"/>
      <c r="ONV42" s="16"/>
      <c r="ONW42" s="16"/>
      <c r="ONX42" s="16"/>
      <c r="ONY42" s="16"/>
      <c r="ONZ42" s="16"/>
      <c r="OOA42" s="16"/>
      <c r="OOB42" s="16"/>
      <c r="OOC42" s="16"/>
      <c r="OOD42" s="16"/>
      <c r="OOE42" s="16"/>
      <c r="OOF42" s="16"/>
      <c r="OOG42" s="16"/>
      <c r="OOH42" s="16"/>
      <c r="OOI42" s="16"/>
      <c r="OOJ42" s="16"/>
      <c r="OOK42" s="16"/>
      <c r="OOL42" s="16"/>
      <c r="OOM42" s="16"/>
      <c r="OON42" s="16"/>
      <c r="OOO42" s="16"/>
      <c r="OOP42" s="16"/>
      <c r="OOQ42" s="16"/>
      <c r="OOR42" s="16"/>
      <c r="OOS42" s="16"/>
      <c r="OOT42" s="16"/>
      <c r="OOU42" s="16"/>
      <c r="OOV42" s="16"/>
      <c r="OOW42" s="16"/>
      <c r="OOX42" s="16"/>
      <c r="OOY42" s="16"/>
      <c r="OOZ42" s="16"/>
      <c r="OPA42" s="16"/>
      <c r="OPB42" s="16"/>
      <c r="OPC42" s="16"/>
      <c r="OPD42" s="16"/>
      <c r="OPE42" s="16"/>
      <c r="OPF42" s="16"/>
      <c r="OPG42" s="16"/>
      <c r="OPH42" s="16"/>
      <c r="OPI42" s="16"/>
      <c r="OPJ42" s="16"/>
      <c r="OPK42" s="16"/>
      <c r="OPL42" s="16"/>
      <c r="OPM42" s="16"/>
      <c r="OPN42" s="16"/>
      <c r="OPO42" s="16"/>
      <c r="OPP42" s="16"/>
      <c r="OPQ42" s="16"/>
      <c r="OPR42" s="16"/>
      <c r="OPS42" s="16"/>
      <c r="OPT42" s="16"/>
      <c r="OPU42" s="16"/>
      <c r="OPV42" s="16"/>
      <c r="OPW42" s="16"/>
      <c r="OPX42" s="16"/>
      <c r="OPY42" s="16"/>
      <c r="OPZ42" s="16"/>
      <c r="OQA42" s="16"/>
      <c r="OQB42" s="16"/>
      <c r="OQC42" s="16"/>
      <c r="OQD42" s="16"/>
      <c r="OQE42" s="16"/>
      <c r="OQF42" s="16"/>
      <c r="OQG42" s="16"/>
      <c r="OQH42" s="16"/>
      <c r="OQI42" s="16"/>
      <c r="OQJ42" s="16"/>
      <c r="OQK42" s="16"/>
      <c r="OQL42" s="16"/>
      <c r="OQM42" s="16"/>
      <c r="OQN42" s="16"/>
      <c r="OQO42" s="16"/>
      <c r="OQP42" s="16"/>
      <c r="OQQ42" s="16"/>
      <c r="OQR42" s="16"/>
      <c r="OQS42" s="16"/>
      <c r="OQT42" s="16"/>
      <c r="OQU42" s="16"/>
      <c r="OQV42" s="16"/>
      <c r="OQW42" s="16"/>
      <c r="OQX42" s="16"/>
      <c r="OQY42" s="16"/>
      <c r="OQZ42" s="16"/>
      <c r="ORA42" s="16"/>
      <c r="ORB42" s="16"/>
      <c r="ORC42" s="16"/>
      <c r="ORD42" s="16"/>
      <c r="ORE42" s="16"/>
      <c r="ORF42" s="16"/>
      <c r="ORG42" s="16"/>
      <c r="ORH42" s="16"/>
      <c r="ORI42" s="16"/>
      <c r="ORJ42" s="16"/>
      <c r="ORK42" s="16"/>
      <c r="ORL42" s="16"/>
      <c r="ORM42" s="16"/>
      <c r="ORN42" s="16"/>
      <c r="ORO42" s="16"/>
      <c r="ORP42" s="16"/>
      <c r="ORQ42" s="16"/>
      <c r="ORR42" s="16"/>
      <c r="ORS42" s="16"/>
      <c r="ORT42" s="16"/>
      <c r="ORU42" s="16"/>
      <c r="ORV42" s="16"/>
      <c r="ORW42" s="16"/>
      <c r="ORX42" s="16"/>
      <c r="ORY42" s="16"/>
      <c r="ORZ42" s="16"/>
      <c r="OSA42" s="16"/>
      <c r="OSB42" s="16"/>
      <c r="OSC42" s="16"/>
      <c r="OSD42" s="16"/>
      <c r="OSE42" s="16"/>
      <c r="OSF42" s="16"/>
      <c r="OSG42" s="16"/>
      <c r="OSH42" s="16"/>
      <c r="OSI42" s="16"/>
      <c r="OSJ42" s="16"/>
      <c r="OSK42" s="16"/>
      <c r="OSL42" s="16"/>
      <c r="OSM42" s="16"/>
      <c r="OSN42" s="16"/>
      <c r="OSO42" s="16"/>
      <c r="OSP42" s="16"/>
      <c r="OSQ42" s="16"/>
      <c r="OSR42" s="16"/>
      <c r="OSS42" s="16"/>
      <c r="OST42" s="16"/>
      <c r="OSU42" s="16"/>
      <c r="OSV42" s="16"/>
      <c r="OSW42" s="16"/>
      <c r="OSX42" s="16"/>
      <c r="OSY42" s="16"/>
      <c r="OSZ42" s="16"/>
      <c r="OTA42" s="16"/>
      <c r="OTB42" s="16"/>
      <c r="OTC42" s="16"/>
      <c r="OTD42" s="16"/>
      <c r="OTE42" s="16"/>
      <c r="OTF42" s="16"/>
      <c r="OTG42" s="16"/>
      <c r="OTH42" s="16"/>
      <c r="OTI42" s="16"/>
      <c r="OTJ42" s="16"/>
      <c r="OTK42" s="16"/>
      <c r="OTL42" s="16"/>
      <c r="OTM42" s="16"/>
      <c r="OTN42" s="16"/>
      <c r="OTO42" s="16"/>
      <c r="OTP42" s="16"/>
      <c r="OTQ42" s="16"/>
      <c r="OTR42" s="16"/>
      <c r="OTS42" s="16"/>
      <c r="OTT42" s="16"/>
      <c r="OTU42" s="16"/>
      <c r="OTV42" s="16"/>
      <c r="OTW42" s="16"/>
      <c r="OTX42" s="16"/>
      <c r="OTY42" s="16"/>
      <c r="OTZ42" s="16"/>
      <c r="OUA42" s="16"/>
      <c r="OUB42" s="16"/>
      <c r="OUC42" s="16"/>
      <c r="OUD42" s="16"/>
      <c r="OUE42" s="16"/>
      <c r="OUF42" s="16"/>
      <c r="OUG42" s="16"/>
      <c r="OUH42" s="16"/>
      <c r="OUI42" s="16"/>
      <c r="OUJ42" s="16"/>
      <c r="OUK42" s="16"/>
      <c r="OUL42" s="16"/>
      <c r="OUM42" s="16"/>
      <c r="OUN42" s="16"/>
      <c r="OUO42" s="16"/>
      <c r="OUP42" s="16"/>
      <c r="OUQ42" s="16"/>
      <c r="OUR42" s="16"/>
      <c r="OUS42" s="16"/>
      <c r="OUT42" s="16"/>
      <c r="OUU42" s="16"/>
      <c r="OUV42" s="16"/>
      <c r="OUW42" s="16"/>
      <c r="OUX42" s="16"/>
      <c r="OUY42" s="16"/>
      <c r="OUZ42" s="16"/>
      <c r="OVA42" s="16"/>
      <c r="OVB42" s="16"/>
      <c r="OVC42" s="16"/>
      <c r="OVD42" s="16"/>
      <c r="OVE42" s="16"/>
      <c r="OVF42" s="16"/>
      <c r="OVG42" s="16"/>
      <c r="OVH42" s="16"/>
      <c r="OVI42" s="16"/>
      <c r="OVJ42" s="16"/>
      <c r="OVK42" s="16"/>
      <c r="OVL42" s="16"/>
      <c r="OVM42" s="16"/>
      <c r="OVN42" s="16"/>
      <c r="OVO42" s="16"/>
      <c r="OVP42" s="16"/>
      <c r="OVQ42" s="16"/>
      <c r="OVR42" s="16"/>
      <c r="OVS42" s="16"/>
      <c r="OVT42" s="16"/>
      <c r="OVU42" s="16"/>
      <c r="OVV42" s="16"/>
      <c r="OVW42" s="16"/>
      <c r="OVX42" s="16"/>
      <c r="OVY42" s="16"/>
      <c r="OVZ42" s="16"/>
      <c r="OWA42" s="16"/>
      <c r="OWB42" s="16"/>
      <c r="OWC42" s="16"/>
      <c r="OWD42" s="16"/>
      <c r="OWE42" s="16"/>
      <c r="OWF42" s="16"/>
      <c r="OWG42" s="16"/>
      <c r="OWH42" s="16"/>
      <c r="OWI42" s="16"/>
      <c r="OWJ42" s="16"/>
      <c r="OWK42" s="16"/>
      <c r="OWL42" s="16"/>
      <c r="OWM42" s="16"/>
      <c r="OWN42" s="16"/>
      <c r="OWO42" s="16"/>
      <c r="OWP42" s="16"/>
      <c r="OWQ42" s="16"/>
      <c r="OWR42" s="16"/>
      <c r="OWS42" s="16"/>
      <c r="OWT42" s="16"/>
      <c r="OWU42" s="16"/>
      <c r="OWV42" s="16"/>
      <c r="OWW42" s="16"/>
      <c r="OWX42" s="16"/>
      <c r="OWY42" s="16"/>
      <c r="OWZ42" s="16"/>
      <c r="OXA42" s="16"/>
      <c r="OXB42" s="16"/>
      <c r="OXC42" s="16"/>
      <c r="OXD42" s="16"/>
      <c r="OXE42" s="16"/>
      <c r="OXF42" s="16"/>
      <c r="OXG42" s="16"/>
      <c r="OXH42" s="16"/>
      <c r="OXI42" s="16"/>
      <c r="OXJ42" s="16"/>
      <c r="OXK42" s="16"/>
      <c r="OXL42" s="16"/>
      <c r="OXM42" s="16"/>
      <c r="OXN42" s="16"/>
      <c r="OXO42" s="16"/>
      <c r="OXP42" s="16"/>
      <c r="OXQ42" s="16"/>
      <c r="OXR42" s="16"/>
      <c r="OXS42" s="16"/>
      <c r="OXT42" s="16"/>
      <c r="OXU42" s="16"/>
      <c r="OXV42" s="16"/>
      <c r="OXW42" s="16"/>
      <c r="OXX42" s="16"/>
      <c r="OXY42" s="16"/>
      <c r="OXZ42" s="16"/>
      <c r="OYA42" s="16"/>
      <c r="OYB42" s="16"/>
      <c r="OYC42" s="16"/>
      <c r="OYD42" s="16"/>
      <c r="OYE42" s="16"/>
      <c r="OYF42" s="16"/>
      <c r="OYG42" s="16"/>
      <c r="OYH42" s="16"/>
      <c r="OYI42" s="16"/>
      <c r="OYJ42" s="16"/>
      <c r="OYK42" s="16"/>
      <c r="OYL42" s="16"/>
      <c r="OYM42" s="16"/>
      <c r="OYN42" s="16"/>
      <c r="OYO42" s="16"/>
      <c r="OYP42" s="16"/>
      <c r="OYQ42" s="16"/>
      <c r="OYR42" s="16"/>
      <c r="OYS42" s="16"/>
      <c r="OYT42" s="16"/>
      <c r="OYU42" s="16"/>
      <c r="OYV42" s="16"/>
      <c r="OYW42" s="16"/>
      <c r="OYX42" s="16"/>
      <c r="OYY42" s="16"/>
      <c r="OYZ42" s="16"/>
      <c r="OZA42" s="16"/>
      <c r="OZB42" s="16"/>
      <c r="OZC42" s="16"/>
      <c r="OZD42" s="16"/>
      <c r="OZE42" s="16"/>
      <c r="OZF42" s="16"/>
      <c r="OZG42" s="16"/>
      <c r="OZH42" s="16"/>
      <c r="OZI42" s="16"/>
      <c r="OZJ42" s="16"/>
      <c r="OZK42" s="16"/>
      <c r="OZL42" s="16"/>
      <c r="OZM42" s="16"/>
      <c r="OZN42" s="16"/>
      <c r="OZO42" s="16"/>
      <c r="OZP42" s="16"/>
      <c r="OZQ42" s="16"/>
      <c r="OZR42" s="16"/>
      <c r="OZS42" s="16"/>
      <c r="OZT42" s="16"/>
      <c r="OZU42" s="16"/>
      <c r="OZV42" s="16"/>
      <c r="OZW42" s="16"/>
      <c r="OZX42" s="16"/>
      <c r="OZY42" s="16"/>
      <c r="OZZ42" s="16"/>
      <c r="PAA42" s="16"/>
      <c r="PAB42" s="16"/>
      <c r="PAC42" s="16"/>
      <c r="PAD42" s="16"/>
      <c r="PAE42" s="16"/>
      <c r="PAF42" s="16"/>
      <c r="PAG42" s="16"/>
      <c r="PAH42" s="16"/>
      <c r="PAI42" s="16"/>
      <c r="PAJ42" s="16"/>
      <c r="PAK42" s="16"/>
      <c r="PAL42" s="16"/>
      <c r="PAM42" s="16"/>
      <c r="PAN42" s="16"/>
      <c r="PAO42" s="16"/>
      <c r="PAP42" s="16"/>
      <c r="PAQ42" s="16"/>
      <c r="PAR42" s="16"/>
      <c r="PAS42" s="16"/>
      <c r="PAT42" s="16"/>
      <c r="PAU42" s="16"/>
      <c r="PAV42" s="16"/>
      <c r="PAW42" s="16"/>
      <c r="PAX42" s="16"/>
      <c r="PAY42" s="16"/>
      <c r="PAZ42" s="16"/>
      <c r="PBA42" s="16"/>
      <c r="PBB42" s="16"/>
      <c r="PBC42" s="16"/>
      <c r="PBD42" s="16"/>
      <c r="PBE42" s="16"/>
      <c r="PBF42" s="16"/>
      <c r="PBG42" s="16"/>
      <c r="PBH42" s="16"/>
      <c r="PBI42" s="16"/>
      <c r="PBJ42" s="16"/>
      <c r="PBK42" s="16"/>
      <c r="PBL42" s="16"/>
      <c r="PBM42" s="16"/>
      <c r="PBN42" s="16"/>
      <c r="PBO42" s="16"/>
      <c r="PBP42" s="16"/>
      <c r="PBQ42" s="16"/>
      <c r="PBR42" s="16"/>
      <c r="PBS42" s="16"/>
      <c r="PBT42" s="16"/>
      <c r="PBU42" s="16"/>
      <c r="PBV42" s="16"/>
      <c r="PBW42" s="16"/>
      <c r="PBX42" s="16"/>
      <c r="PBY42" s="16"/>
      <c r="PBZ42" s="16"/>
      <c r="PCA42" s="16"/>
      <c r="PCB42" s="16"/>
      <c r="PCC42" s="16"/>
      <c r="PCD42" s="16"/>
      <c r="PCE42" s="16"/>
      <c r="PCF42" s="16"/>
      <c r="PCG42" s="16"/>
      <c r="PCH42" s="16"/>
      <c r="PCI42" s="16"/>
      <c r="PCJ42" s="16"/>
      <c r="PCK42" s="16"/>
      <c r="PCL42" s="16"/>
      <c r="PCM42" s="16"/>
      <c r="PCN42" s="16"/>
      <c r="PCO42" s="16"/>
      <c r="PCP42" s="16"/>
      <c r="PCQ42" s="16"/>
      <c r="PCR42" s="16"/>
      <c r="PCS42" s="16"/>
      <c r="PCT42" s="16"/>
      <c r="PCU42" s="16"/>
      <c r="PCV42" s="16"/>
      <c r="PCW42" s="16"/>
      <c r="PCX42" s="16"/>
      <c r="PCY42" s="16"/>
      <c r="PCZ42" s="16"/>
      <c r="PDA42" s="16"/>
      <c r="PDB42" s="16"/>
      <c r="PDC42" s="16"/>
      <c r="PDD42" s="16"/>
      <c r="PDE42" s="16"/>
      <c r="PDF42" s="16"/>
      <c r="PDG42" s="16"/>
      <c r="PDH42" s="16"/>
      <c r="PDI42" s="16"/>
      <c r="PDJ42" s="16"/>
      <c r="PDK42" s="16"/>
      <c r="PDL42" s="16"/>
      <c r="PDM42" s="16"/>
      <c r="PDN42" s="16"/>
      <c r="PDO42" s="16"/>
      <c r="PDP42" s="16"/>
      <c r="PDQ42" s="16"/>
      <c r="PDR42" s="16"/>
      <c r="PDS42" s="16"/>
      <c r="PDT42" s="16"/>
      <c r="PDU42" s="16"/>
      <c r="PDV42" s="16"/>
      <c r="PDW42" s="16"/>
      <c r="PDX42" s="16"/>
      <c r="PDY42" s="16"/>
      <c r="PDZ42" s="16"/>
      <c r="PEA42" s="16"/>
      <c r="PEB42" s="16"/>
      <c r="PEC42" s="16"/>
      <c r="PED42" s="16"/>
      <c r="PEE42" s="16"/>
      <c r="PEF42" s="16"/>
      <c r="PEG42" s="16"/>
      <c r="PEH42" s="16"/>
      <c r="PEI42" s="16"/>
      <c r="PEJ42" s="16"/>
      <c r="PEK42" s="16"/>
      <c r="PEL42" s="16"/>
      <c r="PEM42" s="16"/>
      <c r="PEN42" s="16"/>
      <c r="PEO42" s="16"/>
      <c r="PEP42" s="16"/>
      <c r="PEQ42" s="16"/>
      <c r="PER42" s="16"/>
      <c r="PES42" s="16"/>
      <c r="PET42" s="16"/>
      <c r="PEU42" s="16"/>
      <c r="PEV42" s="16"/>
      <c r="PEW42" s="16"/>
      <c r="PEX42" s="16"/>
      <c r="PEY42" s="16"/>
      <c r="PEZ42" s="16"/>
      <c r="PFA42" s="16"/>
      <c r="PFB42" s="16"/>
      <c r="PFC42" s="16"/>
      <c r="PFD42" s="16"/>
      <c r="PFE42" s="16"/>
      <c r="PFF42" s="16"/>
      <c r="PFG42" s="16"/>
      <c r="PFH42" s="16"/>
      <c r="PFI42" s="16"/>
      <c r="PFJ42" s="16"/>
      <c r="PFK42" s="16"/>
      <c r="PFL42" s="16"/>
      <c r="PFM42" s="16"/>
      <c r="PFN42" s="16"/>
      <c r="PFO42" s="16"/>
      <c r="PFP42" s="16"/>
      <c r="PFQ42" s="16"/>
      <c r="PFR42" s="16"/>
      <c r="PFS42" s="16"/>
      <c r="PFT42" s="16"/>
      <c r="PFU42" s="16"/>
      <c r="PFV42" s="16"/>
      <c r="PFW42" s="16"/>
      <c r="PFX42" s="16"/>
      <c r="PFY42" s="16"/>
      <c r="PFZ42" s="16"/>
      <c r="PGA42" s="16"/>
      <c r="PGB42" s="16"/>
      <c r="PGC42" s="16"/>
      <c r="PGD42" s="16"/>
      <c r="PGE42" s="16"/>
      <c r="PGF42" s="16"/>
      <c r="PGG42" s="16"/>
      <c r="PGH42" s="16"/>
      <c r="PGI42" s="16"/>
      <c r="PGJ42" s="16"/>
      <c r="PGK42" s="16"/>
      <c r="PGL42" s="16"/>
      <c r="PGM42" s="16"/>
      <c r="PGN42" s="16"/>
      <c r="PGO42" s="16"/>
      <c r="PGP42" s="16"/>
      <c r="PGQ42" s="16"/>
      <c r="PGR42" s="16"/>
      <c r="PGS42" s="16"/>
      <c r="PGT42" s="16"/>
      <c r="PGU42" s="16"/>
      <c r="PGV42" s="16"/>
      <c r="PGW42" s="16"/>
      <c r="PGX42" s="16"/>
      <c r="PGY42" s="16"/>
      <c r="PGZ42" s="16"/>
      <c r="PHA42" s="16"/>
      <c r="PHB42" s="16"/>
      <c r="PHC42" s="16"/>
      <c r="PHD42" s="16"/>
      <c r="PHE42" s="16"/>
      <c r="PHF42" s="16"/>
      <c r="PHG42" s="16"/>
      <c r="PHH42" s="16"/>
      <c r="PHI42" s="16"/>
      <c r="PHJ42" s="16"/>
      <c r="PHK42" s="16"/>
      <c r="PHL42" s="16"/>
      <c r="PHM42" s="16"/>
      <c r="PHN42" s="16"/>
      <c r="PHO42" s="16"/>
      <c r="PHP42" s="16"/>
      <c r="PHQ42" s="16"/>
      <c r="PHR42" s="16"/>
      <c r="PHS42" s="16"/>
      <c r="PHT42" s="16"/>
      <c r="PHU42" s="16"/>
      <c r="PHV42" s="16"/>
      <c r="PHW42" s="16"/>
      <c r="PHX42" s="16"/>
      <c r="PHY42" s="16"/>
      <c r="PHZ42" s="16"/>
      <c r="PIA42" s="16"/>
      <c r="PIB42" s="16"/>
      <c r="PIC42" s="16"/>
      <c r="PID42" s="16"/>
      <c r="PIE42" s="16"/>
      <c r="PIF42" s="16"/>
      <c r="PIG42" s="16"/>
      <c r="PIH42" s="16"/>
      <c r="PII42" s="16"/>
      <c r="PIJ42" s="16"/>
      <c r="PIK42" s="16"/>
      <c r="PIL42" s="16"/>
      <c r="PIM42" s="16"/>
      <c r="PIN42" s="16"/>
      <c r="PIO42" s="16"/>
      <c r="PIP42" s="16"/>
      <c r="PIQ42" s="16"/>
      <c r="PIR42" s="16"/>
      <c r="PIS42" s="16"/>
      <c r="PIT42" s="16"/>
      <c r="PIU42" s="16"/>
      <c r="PIV42" s="16"/>
      <c r="PIW42" s="16"/>
      <c r="PIX42" s="16"/>
      <c r="PIY42" s="16"/>
      <c r="PIZ42" s="16"/>
      <c r="PJA42" s="16"/>
      <c r="PJB42" s="16"/>
      <c r="PJC42" s="16"/>
      <c r="PJD42" s="16"/>
      <c r="PJE42" s="16"/>
      <c r="PJF42" s="16"/>
      <c r="PJG42" s="16"/>
      <c r="PJH42" s="16"/>
      <c r="PJI42" s="16"/>
      <c r="PJJ42" s="16"/>
      <c r="PJK42" s="16"/>
      <c r="PJL42" s="16"/>
      <c r="PJM42" s="16"/>
      <c r="PJN42" s="16"/>
      <c r="PJO42" s="16"/>
      <c r="PJP42" s="16"/>
      <c r="PJQ42" s="16"/>
      <c r="PJR42" s="16"/>
      <c r="PJS42" s="16"/>
      <c r="PJT42" s="16"/>
      <c r="PJU42" s="16"/>
      <c r="PJV42" s="16"/>
      <c r="PJW42" s="16"/>
      <c r="PJX42" s="16"/>
      <c r="PJY42" s="16"/>
      <c r="PJZ42" s="16"/>
      <c r="PKA42" s="16"/>
      <c r="PKB42" s="16"/>
      <c r="PKC42" s="16"/>
      <c r="PKD42" s="16"/>
      <c r="PKE42" s="16"/>
      <c r="PKF42" s="16"/>
      <c r="PKG42" s="16"/>
      <c r="PKH42" s="16"/>
      <c r="PKI42" s="16"/>
      <c r="PKJ42" s="16"/>
      <c r="PKK42" s="16"/>
      <c r="PKL42" s="16"/>
      <c r="PKM42" s="16"/>
      <c r="PKN42" s="16"/>
      <c r="PKO42" s="16"/>
      <c r="PKP42" s="16"/>
      <c r="PKQ42" s="16"/>
      <c r="PKR42" s="16"/>
      <c r="PKS42" s="16"/>
      <c r="PKT42" s="16"/>
      <c r="PKU42" s="16"/>
      <c r="PKV42" s="16"/>
      <c r="PKW42" s="16"/>
      <c r="PKX42" s="16"/>
      <c r="PKY42" s="16"/>
      <c r="PKZ42" s="16"/>
      <c r="PLA42" s="16"/>
      <c r="PLB42" s="16"/>
      <c r="PLC42" s="16"/>
      <c r="PLD42" s="16"/>
      <c r="PLE42" s="16"/>
      <c r="PLF42" s="16"/>
      <c r="PLG42" s="16"/>
      <c r="PLH42" s="16"/>
      <c r="PLI42" s="16"/>
      <c r="PLJ42" s="16"/>
      <c r="PLK42" s="16"/>
      <c r="PLL42" s="16"/>
      <c r="PLM42" s="16"/>
      <c r="PLN42" s="16"/>
      <c r="PLO42" s="16"/>
      <c r="PLP42" s="16"/>
      <c r="PLQ42" s="16"/>
      <c r="PLR42" s="16"/>
      <c r="PLS42" s="16"/>
      <c r="PLT42" s="16"/>
      <c r="PLU42" s="16"/>
      <c r="PLV42" s="16"/>
      <c r="PLW42" s="16"/>
      <c r="PLX42" s="16"/>
      <c r="PLY42" s="16"/>
      <c r="PLZ42" s="16"/>
      <c r="PMA42" s="16"/>
      <c r="PMB42" s="16"/>
      <c r="PMC42" s="16"/>
      <c r="PMD42" s="16"/>
      <c r="PME42" s="16"/>
      <c r="PMF42" s="16"/>
      <c r="PMG42" s="16"/>
      <c r="PMH42" s="16"/>
      <c r="PMI42" s="16"/>
      <c r="PMJ42" s="16"/>
      <c r="PMK42" s="16"/>
      <c r="PML42" s="16"/>
      <c r="PMM42" s="16"/>
      <c r="PMN42" s="16"/>
      <c r="PMO42" s="16"/>
      <c r="PMP42" s="16"/>
      <c r="PMQ42" s="16"/>
      <c r="PMR42" s="16"/>
      <c r="PMS42" s="16"/>
      <c r="PMT42" s="16"/>
      <c r="PMU42" s="16"/>
      <c r="PMV42" s="16"/>
      <c r="PMW42" s="16"/>
      <c r="PMX42" s="16"/>
      <c r="PMY42" s="16"/>
      <c r="PMZ42" s="16"/>
      <c r="PNA42" s="16"/>
      <c r="PNB42" s="16"/>
      <c r="PNC42" s="16"/>
      <c r="PND42" s="16"/>
      <c r="PNE42" s="16"/>
      <c r="PNF42" s="16"/>
      <c r="PNG42" s="16"/>
      <c r="PNH42" s="16"/>
      <c r="PNI42" s="16"/>
      <c r="PNJ42" s="16"/>
      <c r="PNK42" s="16"/>
      <c r="PNL42" s="16"/>
      <c r="PNM42" s="16"/>
      <c r="PNN42" s="16"/>
      <c r="PNO42" s="16"/>
      <c r="PNP42" s="16"/>
      <c r="PNQ42" s="16"/>
      <c r="PNR42" s="16"/>
      <c r="PNS42" s="16"/>
      <c r="PNT42" s="16"/>
      <c r="PNU42" s="16"/>
      <c r="PNV42" s="16"/>
      <c r="PNW42" s="16"/>
      <c r="PNX42" s="16"/>
      <c r="PNY42" s="16"/>
      <c r="PNZ42" s="16"/>
      <c r="POA42" s="16"/>
      <c r="POB42" s="16"/>
      <c r="POC42" s="16"/>
      <c r="POD42" s="16"/>
      <c r="POE42" s="16"/>
      <c r="POF42" s="16"/>
      <c r="POG42" s="16"/>
      <c r="POH42" s="16"/>
      <c r="POI42" s="16"/>
      <c r="POJ42" s="16"/>
      <c r="POK42" s="16"/>
      <c r="POL42" s="16"/>
      <c r="POM42" s="16"/>
      <c r="PON42" s="16"/>
      <c r="POO42" s="16"/>
      <c r="POP42" s="16"/>
      <c r="POQ42" s="16"/>
      <c r="POR42" s="16"/>
      <c r="POS42" s="16"/>
      <c r="POT42" s="16"/>
      <c r="POU42" s="16"/>
      <c r="POV42" s="16"/>
      <c r="POW42" s="16"/>
      <c r="POX42" s="16"/>
      <c r="POY42" s="16"/>
      <c r="POZ42" s="16"/>
      <c r="PPA42" s="16"/>
      <c r="PPB42" s="16"/>
      <c r="PPC42" s="16"/>
      <c r="PPD42" s="16"/>
      <c r="PPE42" s="16"/>
      <c r="PPF42" s="16"/>
      <c r="PPG42" s="16"/>
      <c r="PPH42" s="16"/>
      <c r="PPI42" s="16"/>
      <c r="PPJ42" s="16"/>
      <c r="PPK42" s="16"/>
      <c r="PPL42" s="16"/>
      <c r="PPM42" s="16"/>
      <c r="PPN42" s="16"/>
      <c r="PPO42" s="16"/>
      <c r="PPP42" s="16"/>
      <c r="PPQ42" s="16"/>
      <c r="PPR42" s="16"/>
      <c r="PPS42" s="16"/>
      <c r="PPT42" s="16"/>
      <c r="PPU42" s="16"/>
      <c r="PPV42" s="16"/>
      <c r="PPW42" s="16"/>
      <c r="PPX42" s="16"/>
      <c r="PPY42" s="16"/>
      <c r="PPZ42" s="16"/>
      <c r="PQA42" s="16"/>
      <c r="PQB42" s="16"/>
      <c r="PQC42" s="16"/>
      <c r="PQD42" s="16"/>
      <c r="PQE42" s="16"/>
      <c r="PQF42" s="16"/>
      <c r="PQG42" s="16"/>
      <c r="PQH42" s="16"/>
      <c r="PQI42" s="16"/>
      <c r="PQJ42" s="16"/>
      <c r="PQK42" s="16"/>
      <c r="PQL42" s="16"/>
      <c r="PQM42" s="16"/>
      <c r="PQN42" s="16"/>
      <c r="PQO42" s="16"/>
      <c r="PQP42" s="16"/>
      <c r="PQQ42" s="16"/>
      <c r="PQR42" s="16"/>
      <c r="PQS42" s="16"/>
      <c r="PQT42" s="16"/>
      <c r="PQU42" s="16"/>
      <c r="PQV42" s="16"/>
      <c r="PQW42" s="16"/>
      <c r="PQX42" s="16"/>
      <c r="PQY42" s="16"/>
      <c r="PQZ42" s="16"/>
      <c r="PRA42" s="16"/>
      <c r="PRB42" s="16"/>
      <c r="PRC42" s="16"/>
      <c r="PRD42" s="16"/>
      <c r="PRE42" s="16"/>
      <c r="PRF42" s="16"/>
      <c r="PRG42" s="16"/>
      <c r="PRH42" s="16"/>
      <c r="PRI42" s="16"/>
      <c r="PRJ42" s="16"/>
      <c r="PRK42" s="16"/>
      <c r="PRL42" s="16"/>
      <c r="PRM42" s="16"/>
      <c r="PRN42" s="16"/>
      <c r="PRO42" s="16"/>
      <c r="PRP42" s="16"/>
      <c r="PRQ42" s="16"/>
      <c r="PRR42" s="16"/>
      <c r="PRS42" s="16"/>
      <c r="PRT42" s="16"/>
      <c r="PRU42" s="16"/>
      <c r="PRV42" s="16"/>
      <c r="PRW42" s="16"/>
      <c r="PRX42" s="16"/>
      <c r="PRY42" s="16"/>
      <c r="PRZ42" s="16"/>
      <c r="PSA42" s="16"/>
      <c r="PSB42" s="16"/>
      <c r="PSC42" s="16"/>
      <c r="PSD42" s="16"/>
      <c r="PSE42" s="16"/>
      <c r="PSF42" s="16"/>
      <c r="PSG42" s="16"/>
      <c r="PSH42" s="16"/>
      <c r="PSI42" s="16"/>
      <c r="PSJ42" s="16"/>
      <c r="PSK42" s="16"/>
      <c r="PSL42" s="16"/>
      <c r="PSM42" s="16"/>
      <c r="PSN42" s="16"/>
      <c r="PSO42" s="16"/>
      <c r="PSP42" s="16"/>
      <c r="PSQ42" s="16"/>
      <c r="PSR42" s="16"/>
      <c r="PSS42" s="16"/>
      <c r="PST42" s="16"/>
      <c r="PSU42" s="16"/>
      <c r="PSV42" s="16"/>
      <c r="PSW42" s="16"/>
      <c r="PSX42" s="16"/>
      <c r="PSY42" s="16"/>
      <c r="PSZ42" s="16"/>
      <c r="PTA42" s="16"/>
      <c r="PTB42" s="16"/>
      <c r="PTC42" s="16"/>
      <c r="PTD42" s="16"/>
      <c r="PTE42" s="16"/>
      <c r="PTF42" s="16"/>
      <c r="PTG42" s="16"/>
      <c r="PTH42" s="16"/>
      <c r="PTI42" s="16"/>
      <c r="PTJ42" s="16"/>
      <c r="PTK42" s="16"/>
      <c r="PTL42" s="16"/>
      <c r="PTM42" s="16"/>
      <c r="PTN42" s="16"/>
      <c r="PTO42" s="16"/>
      <c r="PTP42" s="16"/>
      <c r="PTQ42" s="16"/>
      <c r="PTR42" s="16"/>
      <c r="PTS42" s="16"/>
      <c r="PTT42" s="16"/>
      <c r="PTU42" s="16"/>
      <c r="PTV42" s="16"/>
      <c r="PTW42" s="16"/>
      <c r="PTX42" s="16"/>
      <c r="PTY42" s="16"/>
      <c r="PTZ42" s="16"/>
      <c r="PUA42" s="16"/>
      <c r="PUB42" s="16"/>
      <c r="PUC42" s="16"/>
      <c r="PUD42" s="16"/>
      <c r="PUE42" s="16"/>
      <c r="PUF42" s="16"/>
      <c r="PUG42" s="16"/>
      <c r="PUH42" s="16"/>
      <c r="PUI42" s="16"/>
      <c r="PUJ42" s="16"/>
      <c r="PUK42" s="16"/>
      <c r="PUL42" s="16"/>
      <c r="PUM42" s="16"/>
      <c r="PUN42" s="16"/>
      <c r="PUO42" s="16"/>
      <c r="PUP42" s="16"/>
      <c r="PUQ42" s="16"/>
      <c r="PUR42" s="16"/>
      <c r="PUS42" s="16"/>
      <c r="PUT42" s="16"/>
      <c r="PUU42" s="16"/>
      <c r="PUV42" s="16"/>
      <c r="PUW42" s="16"/>
      <c r="PUX42" s="16"/>
      <c r="PUY42" s="16"/>
      <c r="PUZ42" s="16"/>
      <c r="PVA42" s="16"/>
      <c r="PVB42" s="16"/>
      <c r="PVC42" s="16"/>
      <c r="PVD42" s="16"/>
      <c r="PVE42" s="16"/>
      <c r="PVF42" s="16"/>
      <c r="PVG42" s="16"/>
      <c r="PVH42" s="16"/>
      <c r="PVI42" s="16"/>
      <c r="PVJ42" s="16"/>
      <c r="PVK42" s="16"/>
      <c r="PVL42" s="16"/>
      <c r="PVM42" s="16"/>
      <c r="PVN42" s="16"/>
      <c r="PVO42" s="16"/>
      <c r="PVP42" s="16"/>
      <c r="PVQ42" s="16"/>
      <c r="PVR42" s="16"/>
      <c r="PVS42" s="16"/>
      <c r="PVT42" s="16"/>
      <c r="PVU42" s="16"/>
      <c r="PVV42" s="16"/>
      <c r="PVW42" s="16"/>
      <c r="PVX42" s="16"/>
      <c r="PVY42" s="16"/>
      <c r="PVZ42" s="16"/>
      <c r="PWA42" s="16"/>
      <c r="PWB42" s="16"/>
      <c r="PWC42" s="16"/>
      <c r="PWD42" s="16"/>
      <c r="PWE42" s="16"/>
      <c r="PWF42" s="16"/>
      <c r="PWG42" s="16"/>
      <c r="PWH42" s="16"/>
      <c r="PWI42" s="16"/>
      <c r="PWJ42" s="16"/>
      <c r="PWK42" s="16"/>
      <c r="PWL42" s="16"/>
      <c r="PWM42" s="16"/>
      <c r="PWN42" s="16"/>
      <c r="PWO42" s="16"/>
      <c r="PWP42" s="16"/>
      <c r="PWQ42" s="16"/>
      <c r="PWR42" s="16"/>
      <c r="PWS42" s="16"/>
      <c r="PWT42" s="16"/>
      <c r="PWU42" s="16"/>
      <c r="PWV42" s="16"/>
      <c r="PWW42" s="16"/>
      <c r="PWX42" s="16"/>
      <c r="PWY42" s="16"/>
      <c r="PWZ42" s="16"/>
      <c r="PXA42" s="16"/>
      <c r="PXB42" s="16"/>
      <c r="PXC42" s="16"/>
      <c r="PXD42" s="16"/>
      <c r="PXE42" s="16"/>
      <c r="PXF42" s="16"/>
      <c r="PXG42" s="16"/>
      <c r="PXH42" s="16"/>
      <c r="PXI42" s="16"/>
      <c r="PXJ42" s="16"/>
      <c r="PXK42" s="16"/>
      <c r="PXL42" s="16"/>
      <c r="PXM42" s="16"/>
      <c r="PXN42" s="16"/>
      <c r="PXO42" s="16"/>
      <c r="PXP42" s="16"/>
      <c r="PXQ42" s="16"/>
      <c r="PXR42" s="16"/>
      <c r="PXS42" s="16"/>
      <c r="PXT42" s="16"/>
      <c r="PXU42" s="16"/>
      <c r="PXV42" s="16"/>
      <c r="PXW42" s="16"/>
      <c r="PXX42" s="16"/>
      <c r="PXY42" s="16"/>
      <c r="PXZ42" s="16"/>
      <c r="PYA42" s="16"/>
      <c r="PYB42" s="16"/>
      <c r="PYC42" s="16"/>
      <c r="PYD42" s="16"/>
      <c r="PYE42" s="16"/>
      <c r="PYF42" s="16"/>
      <c r="PYG42" s="16"/>
      <c r="PYH42" s="16"/>
      <c r="PYI42" s="16"/>
      <c r="PYJ42" s="16"/>
      <c r="PYK42" s="16"/>
      <c r="PYL42" s="16"/>
      <c r="PYM42" s="16"/>
      <c r="PYN42" s="16"/>
      <c r="PYO42" s="16"/>
      <c r="PYP42" s="16"/>
      <c r="PYQ42" s="16"/>
      <c r="PYR42" s="16"/>
      <c r="PYS42" s="16"/>
      <c r="PYT42" s="16"/>
      <c r="PYU42" s="16"/>
      <c r="PYV42" s="16"/>
      <c r="PYW42" s="16"/>
      <c r="PYX42" s="16"/>
      <c r="PYY42" s="16"/>
      <c r="PYZ42" s="16"/>
      <c r="PZA42" s="16"/>
      <c r="PZB42" s="16"/>
      <c r="PZC42" s="16"/>
      <c r="PZD42" s="16"/>
      <c r="PZE42" s="16"/>
      <c r="PZF42" s="16"/>
      <c r="PZG42" s="16"/>
      <c r="PZH42" s="16"/>
      <c r="PZI42" s="16"/>
      <c r="PZJ42" s="16"/>
      <c r="PZK42" s="16"/>
      <c r="PZL42" s="16"/>
      <c r="PZM42" s="16"/>
      <c r="PZN42" s="16"/>
      <c r="PZO42" s="16"/>
      <c r="PZP42" s="16"/>
      <c r="PZQ42" s="16"/>
      <c r="PZR42" s="16"/>
      <c r="PZS42" s="16"/>
      <c r="PZT42" s="16"/>
      <c r="PZU42" s="16"/>
      <c r="PZV42" s="16"/>
      <c r="PZW42" s="16"/>
      <c r="PZX42" s="16"/>
      <c r="PZY42" s="16"/>
      <c r="PZZ42" s="16"/>
      <c r="QAA42" s="16"/>
      <c r="QAB42" s="16"/>
      <c r="QAC42" s="16"/>
      <c r="QAD42" s="16"/>
      <c r="QAE42" s="16"/>
      <c r="QAF42" s="16"/>
      <c r="QAG42" s="16"/>
      <c r="QAH42" s="16"/>
      <c r="QAI42" s="16"/>
      <c r="QAJ42" s="16"/>
      <c r="QAK42" s="16"/>
      <c r="QAL42" s="16"/>
      <c r="QAM42" s="16"/>
      <c r="QAN42" s="16"/>
      <c r="QAO42" s="16"/>
      <c r="QAP42" s="16"/>
      <c r="QAQ42" s="16"/>
      <c r="QAR42" s="16"/>
      <c r="QAS42" s="16"/>
      <c r="QAT42" s="16"/>
      <c r="QAU42" s="16"/>
      <c r="QAV42" s="16"/>
      <c r="QAW42" s="16"/>
      <c r="QAX42" s="16"/>
      <c r="QAY42" s="16"/>
      <c r="QAZ42" s="16"/>
      <c r="QBA42" s="16"/>
      <c r="QBB42" s="16"/>
      <c r="QBC42" s="16"/>
      <c r="QBD42" s="16"/>
      <c r="QBE42" s="16"/>
      <c r="QBF42" s="16"/>
      <c r="QBG42" s="16"/>
      <c r="QBH42" s="16"/>
      <c r="QBI42" s="16"/>
      <c r="QBJ42" s="16"/>
      <c r="QBK42" s="16"/>
      <c r="QBL42" s="16"/>
      <c r="QBM42" s="16"/>
      <c r="QBN42" s="16"/>
      <c r="QBO42" s="16"/>
      <c r="QBP42" s="16"/>
      <c r="QBQ42" s="16"/>
      <c r="QBR42" s="16"/>
      <c r="QBS42" s="16"/>
      <c r="QBT42" s="16"/>
      <c r="QBU42" s="16"/>
      <c r="QBV42" s="16"/>
      <c r="QBW42" s="16"/>
      <c r="QBX42" s="16"/>
      <c r="QBY42" s="16"/>
      <c r="QBZ42" s="16"/>
      <c r="QCA42" s="16"/>
      <c r="QCB42" s="16"/>
      <c r="QCC42" s="16"/>
      <c r="QCD42" s="16"/>
      <c r="QCE42" s="16"/>
      <c r="QCF42" s="16"/>
      <c r="QCG42" s="16"/>
      <c r="QCH42" s="16"/>
      <c r="QCI42" s="16"/>
      <c r="QCJ42" s="16"/>
      <c r="QCK42" s="16"/>
      <c r="QCL42" s="16"/>
      <c r="QCM42" s="16"/>
      <c r="QCN42" s="16"/>
      <c r="QCO42" s="16"/>
      <c r="QCP42" s="16"/>
      <c r="QCQ42" s="16"/>
      <c r="QCR42" s="16"/>
      <c r="QCS42" s="16"/>
      <c r="QCT42" s="16"/>
      <c r="QCU42" s="16"/>
      <c r="QCV42" s="16"/>
      <c r="QCW42" s="16"/>
      <c r="QCX42" s="16"/>
      <c r="QCY42" s="16"/>
      <c r="QCZ42" s="16"/>
      <c r="QDA42" s="16"/>
      <c r="QDB42" s="16"/>
      <c r="QDC42" s="16"/>
      <c r="QDD42" s="16"/>
      <c r="QDE42" s="16"/>
      <c r="QDF42" s="16"/>
      <c r="QDG42" s="16"/>
      <c r="QDH42" s="16"/>
      <c r="QDI42" s="16"/>
      <c r="QDJ42" s="16"/>
      <c r="QDK42" s="16"/>
      <c r="QDL42" s="16"/>
      <c r="QDM42" s="16"/>
      <c r="QDN42" s="16"/>
      <c r="QDO42" s="16"/>
      <c r="QDP42" s="16"/>
      <c r="QDQ42" s="16"/>
      <c r="QDR42" s="16"/>
      <c r="QDS42" s="16"/>
      <c r="QDT42" s="16"/>
      <c r="QDU42" s="16"/>
      <c r="QDV42" s="16"/>
      <c r="QDW42" s="16"/>
      <c r="QDX42" s="16"/>
      <c r="QDY42" s="16"/>
      <c r="QDZ42" s="16"/>
      <c r="QEA42" s="16"/>
      <c r="QEB42" s="16"/>
      <c r="QEC42" s="16"/>
      <c r="QED42" s="16"/>
      <c r="QEE42" s="16"/>
      <c r="QEF42" s="16"/>
      <c r="QEG42" s="16"/>
      <c r="QEH42" s="16"/>
      <c r="QEI42" s="16"/>
      <c r="QEJ42" s="16"/>
      <c r="QEK42" s="16"/>
      <c r="QEL42" s="16"/>
      <c r="QEM42" s="16"/>
      <c r="QEN42" s="16"/>
      <c r="QEO42" s="16"/>
      <c r="QEP42" s="16"/>
      <c r="QEQ42" s="16"/>
      <c r="QER42" s="16"/>
      <c r="QES42" s="16"/>
      <c r="QET42" s="16"/>
      <c r="QEU42" s="16"/>
      <c r="QEV42" s="16"/>
      <c r="QEW42" s="16"/>
      <c r="QEX42" s="16"/>
      <c r="QEY42" s="16"/>
      <c r="QEZ42" s="16"/>
      <c r="QFA42" s="16"/>
      <c r="QFB42" s="16"/>
      <c r="QFC42" s="16"/>
      <c r="QFD42" s="16"/>
      <c r="QFE42" s="16"/>
      <c r="QFF42" s="16"/>
      <c r="QFG42" s="16"/>
      <c r="QFH42" s="16"/>
      <c r="QFI42" s="16"/>
      <c r="QFJ42" s="16"/>
      <c r="QFK42" s="16"/>
      <c r="QFL42" s="16"/>
      <c r="QFM42" s="16"/>
      <c r="QFN42" s="16"/>
      <c r="QFO42" s="16"/>
      <c r="QFP42" s="16"/>
      <c r="QFQ42" s="16"/>
      <c r="QFR42" s="16"/>
      <c r="QFS42" s="16"/>
      <c r="QFT42" s="16"/>
      <c r="QFU42" s="16"/>
      <c r="QFV42" s="16"/>
      <c r="QFW42" s="16"/>
      <c r="QFX42" s="16"/>
      <c r="QFY42" s="16"/>
      <c r="QFZ42" s="16"/>
      <c r="QGA42" s="16"/>
      <c r="QGB42" s="16"/>
      <c r="QGC42" s="16"/>
      <c r="QGD42" s="16"/>
      <c r="QGE42" s="16"/>
      <c r="QGF42" s="16"/>
      <c r="QGG42" s="16"/>
      <c r="QGH42" s="16"/>
      <c r="QGI42" s="16"/>
      <c r="QGJ42" s="16"/>
      <c r="QGK42" s="16"/>
      <c r="QGL42" s="16"/>
      <c r="QGM42" s="16"/>
      <c r="QGN42" s="16"/>
      <c r="QGO42" s="16"/>
      <c r="QGP42" s="16"/>
      <c r="QGQ42" s="16"/>
      <c r="QGR42" s="16"/>
      <c r="QGS42" s="16"/>
      <c r="QGT42" s="16"/>
      <c r="QGU42" s="16"/>
      <c r="QGV42" s="16"/>
      <c r="QGW42" s="16"/>
      <c r="QGX42" s="16"/>
      <c r="QGY42" s="16"/>
      <c r="QGZ42" s="16"/>
      <c r="QHA42" s="16"/>
      <c r="QHB42" s="16"/>
      <c r="QHC42" s="16"/>
      <c r="QHD42" s="16"/>
      <c r="QHE42" s="16"/>
      <c r="QHF42" s="16"/>
      <c r="QHG42" s="16"/>
      <c r="QHH42" s="16"/>
      <c r="QHI42" s="16"/>
      <c r="QHJ42" s="16"/>
      <c r="QHK42" s="16"/>
      <c r="QHL42" s="16"/>
      <c r="QHM42" s="16"/>
      <c r="QHN42" s="16"/>
      <c r="QHO42" s="16"/>
      <c r="QHP42" s="16"/>
      <c r="QHQ42" s="16"/>
      <c r="QHR42" s="16"/>
      <c r="QHS42" s="16"/>
      <c r="QHT42" s="16"/>
      <c r="QHU42" s="16"/>
      <c r="QHV42" s="16"/>
      <c r="QHW42" s="16"/>
      <c r="QHX42" s="16"/>
      <c r="QHY42" s="16"/>
      <c r="QHZ42" s="16"/>
      <c r="QIA42" s="16"/>
      <c r="QIB42" s="16"/>
      <c r="QIC42" s="16"/>
      <c r="QID42" s="16"/>
      <c r="QIE42" s="16"/>
      <c r="QIF42" s="16"/>
      <c r="QIG42" s="16"/>
      <c r="QIH42" s="16"/>
      <c r="QII42" s="16"/>
      <c r="QIJ42" s="16"/>
      <c r="QIK42" s="16"/>
      <c r="QIL42" s="16"/>
      <c r="QIM42" s="16"/>
      <c r="QIN42" s="16"/>
      <c r="QIO42" s="16"/>
      <c r="QIP42" s="16"/>
      <c r="QIQ42" s="16"/>
      <c r="QIR42" s="16"/>
      <c r="QIS42" s="16"/>
      <c r="QIT42" s="16"/>
      <c r="QIU42" s="16"/>
      <c r="QIV42" s="16"/>
      <c r="QIW42" s="16"/>
      <c r="QIX42" s="16"/>
      <c r="QIY42" s="16"/>
      <c r="QIZ42" s="16"/>
      <c r="QJA42" s="16"/>
      <c r="QJB42" s="16"/>
      <c r="QJC42" s="16"/>
      <c r="QJD42" s="16"/>
      <c r="QJE42" s="16"/>
      <c r="QJF42" s="16"/>
      <c r="QJG42" s="16"/>
      <c r="QJH42" s="16"/>
      <c r="QJI42" s="16"/>
      <c r="QJJ42" s="16"/>
      <c r="QJK42" s="16"/>
      <c r="QJL42" s="16"/>
      <c r="QJM42" s="16"/>
      <c r="QJN42" s="16"/>
      <c r="QJO42" s="16"/>
      <c r="QJP42" s="16"/>
      <c r="QJQ42" s="16"/>
      <c r="QJR42" s="16"/>
      <c r="QJS42" s="16"/>
      <c r="QJT42" s="16"/>
      <c r="QJU42" s="16"/>
      <c r="QJV42" s="16"/>
      <c r="QJW42" s="16"/>
      <c r="QJX42" s="16"/>
      <c r="QJY42" s="16"/>
      <c r="QJZ42" s="16"/>
      <c r="QKA42" s="16"/>
      <c r="QKB42" s="16"/>
      <c r="QKC42" s="16"/>
      <c r="QKD42" s="16"/>
      <c r="QKE42" s="16"/>
      <c r="QKF42" s="16"/>
      <c r="QKG42" s="16"/>
      <c r="QKH42" s="16"/>
      <c r="QKI42" s="16"/>
      <c r="QKJ42" s="16"/>
      <c r="QKK42" s="16"/>
      <c r="QKL42" s="16"/>
      <c r="QKM42" s="16"/>
      <c r="QKN42" s="16"/>
      <c r="QKO42" s="16"/>
      <c r="QKP42" s="16"/>
      <c r="QKQ42" s="16"/>
      <c r="QKR42" s="16"/>
      <c r="QKS42" s="16"/>
      <c r="QKT42" s="16"/>
      <c r="QKU42" s="16"/>
      <c r="QKV42" s="16"/>
      <c r="QKW42" s="16"/>
      <c r="QKX42" s="16"/>
      <c r="QKY42" s="16"/>
      <c r="QKZ42" s="16"/>
      <c r="QLA42" s="16"/>
      <c r="QLB42" s="16"/>
      <c r="QLC42" s="16"/>
      <c r="QLD42" s="16"/>
      <c r="QLE42" s="16"/>
      <c r="QLF42" s="16"/>
      <c r="QLG42" s="16"/>
      <c r="QLH42" s="16"/>
      <c r="QLI42" s="16"/>
      <c r="QLJ42" s="16"/>
      <c r="QLK42" s="16"/>
      <c r="QLL42" s="16"/>
      <c r="QLM42" s="16"/>
      <c r="QLN42" s="16"/>
      <c r="QLO42" s="16"/>
      <c r="QLP42" s="16"/>
      <c r="QLQ42" s="16"/>
      <c r="QLR42" s="16"/>
      <c r="QLS42" s="16"/>
      <c r="QLT42" s="16"/>
      <c r="QLU42" s="16"/>
      <c r="QLV42" s="16"/>
      <c r="QLW42" s="16"/>
      <c r="QLX42" s="16"/>
      <c r="QLY42" s="16"/>
      <c r="QLZ42" s="16"/>
      <c r="QMA42" s="16"/>
      <c r="QMB42" s="16"/>
      <c r="QMC42" s="16"/>
      <c r="QMD42" s="16"/>
      <c r="QME42" s="16"/>
      <c r="QMF42" s="16"/>
      <c r="QMG42" s="16"/>
      <c r="QMH42" s="16"/>
      <c r="QMI42" s="16"/>
      <c r="QMJ42" s="16"/>
      <c r="QMK42" s="16"/>
      <c r="QML42" s="16"/>
      <c r="QMM42" s="16"/>
      <c r="QMN42" s="16"/>
      <c r="QMO42" s="16"/>
      <c r="QMP42" s="16"/>
      <c r="QMQ42" s="16"/>
      <c r="QMR42" s="16"/>
      <c r="QMS42" s="16"/>
      <c r="QMT42" s="16"/>
      <c r="QMU42" s="16"/>
      <c r="QMV42" s="16"/>
      <c r="QMW42" s="16"/>
      <c r="QMX42" s="16"/>
      <c r="QMY42" s="16"/>
      <c r="QMZ42" s="16"/>
      <c r="QNA42" s="16"/>
      <c r="QNB42" s="16"/>
      <c r="QNC42" s="16"/>
      <c r="QND42" s="16"/>
      <c r="QNE42" s="16"/>
      <c r="QNF42" s="16"/>
      <c r="QNG42" s="16"/>
      <c r="QNH42" s="16"/>
      <c r="QNI42" s="16"/>
      <c r="QNJ42" s="16"/>
      <c r="QNK42" s="16"/>
      <c r="QNL42" s="16"/>
      <c r="QNM42" s="16"/>
      <c r="QNN42" s="16"/>
      <c r="QNO42" s="16"/>
      <c r="QNP42" s="16"/>
      <c r="QNQ42" s="16"/>
      <c r="QNR42" s="16"/>
      <c r="QNS42" s="16"/>
      <c r="QNT42" s="16"/>
      <c r="QNU42" s="16"/>
      <c r="QNV42" s="16"/>
      <c r="QNW42" s="16"/>
      <c r="QNX42" s="16"/>
      <c r="QNY42" s="16"/>
      <c r="QNZ42" s="16"/>
      <c r="QOA42" s="16"/>
      <c r="QOB42" s="16"/>
      <c r="QOC42" s="16"/>
      <c r="QOD42" s="16"/>
      <c r="QOE42" s="16"/>
      <c r="QOF42" s="16"/>
      <c r="QOG42" s="16"/>
      <c r="QOH42" s="16"/>
      <c r="QOI42" s="16"/>
      <c r="QOJ42" s="16"/>
      <c r="QOK42" s="16"/>
      <c r="QOL42" s="16"/>
      <c r="QOM42" s="16"/>
      <c r="QON42" s="16"/>
      <c r="QOO42" s="16"/>
      <c r="QOP42" s="16"/>
      <c r="QOQ42" s="16"/>
      <c r="QOR42" s="16"/>
      <c r="QOS42" s="16"/>
      <c r="QOT42" s="16"/>
      <c r="QOU42" s="16"/>
      <c r="QOV42" s="16"/>
      <c r="QOW42" s="16"/>
      <c r="QOX42" s="16"/>
      <c r="QOY42" s="16"/>
      <c r="QOZ42" s="16"/>
      <c r="QPA42" s="16"/>
      <c r="QPB42" s="16"/>
      <c r="QPC42" s="16"/>
      <c r="QPD42" s="16"/>
      <c r="QPE42" s="16"/>
      <c r="QPF42" s="16"/>
      <c r="QPG42" s="16"/>
      <c r="QPH42" s="16"/>
      <c r="QPI42" s="16"/>
      <c r="QPJ42" s="16"/>
      <c r="QPK42" s="16"/>
      <c r="QPL42" s="16"/>
      <c r="QPM42" s="16"/>
      <c r="QPN42" s="16"/>
      <c r="QPO42" s="16"/>
      <c r="QPP42" s="16"/>
      <c r="QPQ42" s="16"/>
      <c r="QPR42" s="16"/>
      <c r="QPS42" s="16"/>
      <c r="QPT42" s="16"/>
      <c r="QPU42" s="16"/>
      <c r="QPV42" s="16"/>
      <c r="QPW42" s="16"/>
      <c r="QPX42" s="16"/>
      <c r="QPY42" s="16"/>
      <c r="QPZ42" s="16"/>
      <c r="QQA42" s="16"/>
      <c r="QQB42" s="16"/>
      <c r="QQC42" s="16"/>
      <c r="QQD42" s="16"/>
      <c r="QQE42" s="16"/>
      <c r="QQF42" s="16"/>
      <c r="QQG42" s="16"/>
      <c r="QQH42" s="16"/>
      <c r="QQI42" s="16"/>
      <c r="QQJ42" s="16"/>
      <c r="QQK42" s="16"/>
      <c r="QQL42" s="16"/>
      <c r="QQM42" s="16"/>
      <c r="QQN42" s="16"/>
      <c r="QQO42" s="16"/>
      <c r="QQP42" s="16"/>
      <c r="QQQ42" s="16"/>
      <c r="QQR42" s="16"/>
      <c r="QQS42" s="16"/>
      <c r="QQT42" s="16"/>
      <c r="QQU42" s="16"/>
      <c r="QQV42" s="16"/>
      <c r="QQW42" s="16"/>
      <c r="QQX42" s="16"/>
      <c r="QQY42" s="16"/>
      <c r="QQZ42" s="16"/>
      <c r="QRA42" s="16"/>
      <c r="QRB42" s="16"/>
      <c r="QRC42" s="16"/>
      <c r="QRD42" s="16"/>
      <c r="QRE42" s="16"/>
      <c r="QRF42" s="16"/>
      <c r="QRG42" s="16"/>
      <c r="QRH42" s="16"/>
      <c r="QRI42" s="16"/>
      <c r="QRJ42" s="16"/>
      <c r="QRK42" s="16"/>
      <c r="QRL42" s="16"/>
      <c r="QRM42" s="16"/>
      <c r="QRN42" s="16"/>
      <c r="QRO42" s="16"/>
      <c r="QRP42" s="16"/>
      <c r="QRQ42" s="16"/>
      <c r="QRR42" s="16"/>
      <c r="QRS42" s="16"/>
      <c r="QRT42" s="16"/>
      <c r="QRU42" s="16"/>
      <c r="QRV42" s="16"/>
      <c r="QRW42" s="16"/>
      <c r="QRX42" s="16"/>
      <c r="QRY42" s="16"/>
      <c r="QRZ42" s="16"/>
      <c r="QSA42" s="16"/>
      <c r="QSB42" s="16"/>
      <c r="QSC42" s="16"/>
      <c r="QSD42" s="16"/>
      <c r="QSE42" s="16"/>
      <c r="QSF42" s="16"/>
      <c r="QSG42" s="16"/>
      <c r="QSH42" s="16"/>
      <c r="QSI42" s="16"/>
      <c r="QSJ42" s="16"/>
      <c r="QSK42" s="16"/>
      <c r="QSL42" s="16"/>
      <c r="QSM42" s="16"/>
      <c r="QSN42" s="16"/>
      <c r="QSO42" s="16"/>
      <c r="QSP42" s="16"/>
      <c r="QSQ42" s="16"/>
      <c r="QSR42" s="16"/>
      <c r="QSS42" s="16"/>
      <c r="QST42" s="16"/>
      <c r="QSU42" s="16"/>
      <c r="QSV42" s="16"/>
      <c r="QSW42" s="16"/>
      <c r="QSX42" s="16"/>
      <c r="QSY42" s="16"/>
      <c r="QSZ42" s="16"/>
      <c r="QTA42" s="16"/>
      <c r="QTB42" s="16"/>
      <c r="QTC42" s="16"/>
      <c r="QTD42" s="16"/>
      <c r="QTE42" s="16"/>
      <c r="QTF42" s="16"/>
      <c r="QTG42" s="16"/>
      <c r="QTH42" s="16"/>
      <c r="QTI42" s="16"/>
      <c r="QTJ42" s="16"/>
      <c r="QTK42" s="16"/>
      <c r="QTL42" s="16"/>
      <c r="QTM42" s="16"/>
      <c r="QTN42" s="16"/>
      <c r="QTO42" s="16"/>
      <c r="QTP42" s="16"/>
      <c r="QTQ42" s="16"/>
      <c r="QTR42" s="16"/>
      <c r="QTS42" s="16"/>
      <c r="QTT42" s="16"/>
      <c r="QTU42" s="16"/>
      <c r="QTV42" s="16"/>
      <c r="QTW42" s="16"/>
      <c r="QTX42" s="16"/>
      <c r="QTY42" s="16"/>
      <c r="QTZ42" s="16"/>
      <c r="QUA42" s="16"/>
      <c r="QUB42" s="16"/>
      <c r="QUC42" s="16"/>
      <c r="QUD42" s="16"/>
      <c r="QUE42" s="16"/>
      <c r="QUF42" s="16"/>
      <c r="QUG42" s="16"/>
      <c r="QUH42" s="16"/>
      <c r="QUI42" s="16"/>
      <c r="QUJ42" s="16"/>
      <c r="QUK42" s="16"/>
      <c r="QUL42" s="16"/>
      <c r="QUM42" s="16"/>
      <c r="QUN42" s="16"/>
      <c r="QUO42" s="16"/>
      <c r="QUP42" s="16"/>
      <c r="QUQ42" s="16"/>
      <c r="QUR42" s="16"/>
      <c r="QUS42" s="16"/>
      <c r="QUT42" s="16"/>
      <c r="QUU42" s="16"/>
      <c r="QUV42" s="16"/>
      <c r="QUW42" s="16"/>
      <c r="QUX42" s="16"/>
      <c r="QUY42" s="16"/>
      <c r="QUZ42" s="16"/>
      <c r="QVA42" s="16"/>
      <c r="QVB42" s="16"/>
      <c r="QVC42" s="16"/>
      <c r="QVD42" s="16"/>
      <c r="QVE42" s="16"/>
      <c r="QVF42" s="16"/>
      <c r="QVG42" s="16"/>
      <c r="QVH42" s="16"/>
      <c r="QVI42" s="16"/>
      <c r="QVJ42" s="16"/>
      <c r="QVK42" s="16"/>
      <c r="QVL42" s="16"/>
      <c r="QVM42" s="16"/>
      <c r="QVN42" s="16"/>
      <c r="QVO42" s="16"/>
      <c r="QVP42" s="16"/>
      <c r="QVQ42" s="16"/>
      <c r="QVR42" s="16"/>
      <c r="QVS42" s="16"/>
      <c r="QVT42" s="16"/>
      <c r="QVU42" s="16"/>
      <c r="QVV42" s="16"/>
      <c r="QVW42" s="16"/>
      <c r="QVX42" s="16"/>
      <c r="QVY42" s="16"/>
      <c r="QVZ42" s="16"/>
      <c r="QWA42" s="16"/>
      <c r="QWB42" s="16"/>
      <c r="QWC42" s="16"/>
      <c r="QWD42" s="16"/>
      <c r="QWE42" s="16"/>
      <c r="QWF42" s="16"/>
      <c r="QWG42" s="16"/>
      <c r="QWH42" s="16"/>
      <c r="QWI42" s="16"/>
      <c r="QWJ42" s="16"/>
      <c r="QWK42" s="16"/>
      <c r="QWL42" s="16"/>
      <c r="QWM42" s="16"/>
      <c r="QWN42" s="16"/>
      <c r="QWO42" s="16"/>
      <c r="QWP42" s="16"/>
      <c r="QWQ42" s="16"/>
      <c r="QWR42" s="16"/>
      <c r="QWS42" s="16"/>
      <c r="QWT42" s="16"/>
      <c r="QWU42" s="16"/>
      <c r="QWV42" s="16"/>
      <c r="QWW42" s="16"/>
      <c r="QWX42" s="16"/>
      <c r="QWY42" s="16"/>
      <c r="QWZ42" s="16"/>
      <c r="QXA42" s="16"/>
      <c r="QXB42" s="16"/>
      <c r="QXC42" s="16"/>
      <c r="QXD42" s="16"/>
      <c r="QXE42" s="16"/>
      <c r="QXF42" s="16"/>
      <c r="QXG42" s="16"/>
      <c r="QXH42" s="16"/>
      <c r="QXI42" s="16"/>
      <c r="QXJ42" s="16"/>
      <c r="QXK42" s="16"/>
      <c r="QXL42" s="16"/>
      <c r="QXM42" s="16"/>
      <c r="QXN42" s="16"/>
      <c r="QXO42" s="16"/>
      <c r="QXP42" s="16"/>
      <c r="QXQ42" s="16"/>
      <c r="QXR42" s="16"/>
      <c r="QXS42" s="16"/>
      <c r="QXT42" s="16"/>
      <c r="QXU42" s="16"/>
      <c r="QXV42" s="16"/>
      <c r="QXW42" s="16"/>
      <c r="QXX42" s="16"/>
      <c r="QXY42" s="16"/>
      <c r="QXZ42" s="16"/>
      <c r="QYA42" s="16"/>
      <c r="QYB42" s="16"/>
      <c r="QYC42" s="16"/>
      <c r="QYD42" s="16"/>
      <c r="QYE42" s="16"/>
      <c r="QYF42" s="16"/>
      <c r="QYG42" s="16"/>
      <c r="QYH42" s="16"/>
      <c r="QYI42" s="16"/>
      <c r="QYJ42" s="16"/>
      <c r="QYK42" s="16"/>
      <c r="QYL42" s="16"/>
      <c r="QYM42" s="16"/>
      <c r="QYN42" s="16"/>
      <c r="QYO42" s="16"/>
      <c r="QYP42" s="16"/>
      <c r="QYQ42" s="16"/>
      <c r="QYR42" s="16"/>
      <c r="QYS42" s="16"/>
      <c r="QYT42" s="16"/>
      <c r="QYU42" s="16"/>
      <c r="QYV42" s="16"/>
      <c r="QYW42" s="16"/>
      <c r="QYX42" s="16"/>
      <c r="QYY42" s="16"/>
      <c r="QYZ42" s="16"/>
      <c r="QZA42" s="16"/>
      <c r="QZB42" s="16"/>
      <c r="QZC42" s="16"/>
      <c r="QZD42" s="16"/>
      <c r="QZE42" s="16"/>
      <c r="QZF42" s="16"/>
      <c r="QZG42" s="16"/>
      <c r="QZH42" s="16"/>
      <c r="QZI42" s="16"/>
      <c r="QZJ42" s="16"/>
      <c r="QZK42" s="16"/>
      <c r="QZL42" s="16"/>
      <c r="QZM42" s="16"/>
      <c r="QZN42" s="16"/>
      <c r="QZO42" s="16"/>
      <c r="QZP42" s="16"/>
      <c r="QZQ42" s="16"/>
      <c r="QZR42" s="16"/>
      <c r="QZS42" s="16"/>
      <c r="QZT42" s="16"/>
      <c r="QZU42" s="16"/>
      <c r="QZV42" s="16"/>
      <c r="QZW42" s="16"/>
      <c r="QZX42" s="16"/>
      <c r="QZY42" s="16"/>
      <c r="QZZ42" s="16"/>
      <c r="RAA42" s="16"/>
      <c r="RAB42" s="16"/>
      <c r="RAC42" s="16"/>
      <c r="RAD42" s="16"/>
      <c r="RAE42" s="16"/>
      <c r="RAF42" s="16"/>
      <c r="RAG42" s="16"/>
      <c r="RAH42" s="16"/>
      <c r="RAI42" s="16"/>
      <c r="RAJ42" s="16"/>
      <c r="RAK42" s="16"/>
      <c r="RAL42" s="16"/>
      <c r="RAM42" s="16"/>
      <c r="RAN42" s="16"/>
      <c r="RAO42" s="16"/>
      <c r="RAP42" s="16"/>
      <c r="RAQ42" s="16"/>
      <c r="RAR42" s="16"/>
      <c r="RAS42" s="16"/>
      <c r="RAT42" s="16"/>
      <c r="RAU42" s="16"/>
      <c r="RAV42" s="16"/>
      <c r="RAW42" s="16"/>
      <c r="RAX42" s="16"/>
      <c r="RAY42" s="16"/>
      <c r="RAZ42" s="16"/>
      <c r="RBA42" s="16"/>
      <c r="RBB42" s="16"/>
      <c r="RBC42" s="16"/>
      <c r="RBD42" s="16"/>
      <c r="RBE42" s="16"/>
      <c r="RBF42" s="16"/>
      <c r="RBG42" s="16"/>
      <c r="RBH42" s="16"/>
      <c r="RBI42" s="16"/>
      <c r="RBJ42" s="16"/>
      <c r="RBK42" s="16"/>
      <c r="RBL42" s="16"/>
      <c r="RBM42" s="16"/>
      <c r="RBN42" s="16"/>
      <c r="RBO42" s="16"/>
      <c r="RBP42" s="16"/>
      <c r="RBQ42" s="16"/>
      <c r="RBR42" s="16"/>
      <c r="RBS42" s="16"/>
      <c r="RBT42" s="16"/>
      <c r="RBU42" s="16"/>
      <c r="RBV42" s="16"/>
      <c r="RBW42" s="16"/>
      <c r="RBX42" s="16"/>
      <c r="RBY42" s="16"/>
      <c r="RBZ42" s="16"/>
      <c r="RCA42" s="16"/>
      <c r="RCB42" s="16"/>
      <c r="RCC42" s="16"/>
      <c r="RCD42" s="16"/>
      <c r="RCE42" s="16"/>
      <c r="RCF42" s="16"/>
      <c r="RCG42" s="16"/>
      <c r="RCH42" s="16"/>
      <c r="RCI42" s="16"/>
      <c r="RCJ42" s="16"/>
      <c r="RCK42" s="16"/>
      <c r="RCL42" s="16"/>
      <c r="RCM42" s="16"/>
      <c r="RCN42" s="16"/>
      <c r="RCO42" s="16"/>
      <c r="RCP42" s="16"/>
      <c r="RCQ42" s="16"/>
      <c r="RCR42" s="16"/>
      <c r="RCS42" s="16"/>
      <c r="RCT42" s="16"/>
      <c r="RCU42" s="16"/>
      <c r="RCV42" s="16"/>
      <c r="RCW42" s="16"/>
      <c r="RCX42" s="16"/>
      <c r="RCY42" s="16"/>
      <c r="RCZ42" s="16"/>
      <c r="RDA42" s="16"/>
      <c r="RDB42" s="16"/>
      <c r="RDC42" s="16"/>
      <c r="RDD42" s="16"/>
      <c r="RDE42" s="16"/>
      <c r="RDF42" s="16"/>
      <c r="RDG42" s="16"/>
      <c r="RDH42" s="16"/>
      <c r="RDI42" s="16"/>
      <c r="RDJ42" s="16"/>
      <c r="RDK42" s="16"/>
      <c r="RDL42" s="16"/>
      <c r="RDM42" s="16"/>
      <c r="RDN42" s="16"/>
      <c r="RDO42" s="16"/>
      <c r="RDP42" s="16"/>
      <c r="RDQ42" s="16"/>
      <c r="RDR42" s="16"/>
      <c r="RDS42" s="16"/>
      <c r="RDT42" s="16"/>
      <c r="RDU42" s="16"/>
      <c r="RDV42" s="16"/>
      <c r="RDW42" s="16"/>
      <c r="RDX42" s="16"/>
      <c r="RDY42" s="16"/>
      <c r="RDZ42" s="16"/>
      <c r="REA42" s="16"/>
      <c r="REB42" s="16"/>
      <c r="REC42" s="16"/>
      <c r="RED42" s="16"/>
      <c r="REE42" s="16"/>
      <c r="REF42" s="16"/>
      <c r="REG42" s="16"/>
      <c r="REH42" s="16"/>
      <c r="REI42" s="16"/>
      <c r="REJ42" s="16"/>
      <c r="REK42" s="16"/>
      <c r="REL42" s="16"/>
      <c r="REM42" s="16"/>
      <c r="REN42" s="16"/>
      <c r="REO42" s="16"/>
      <c r="REP42" s="16"/>
      <c r="REQ42" s="16"/>
      <c r="RER42" s="16"/>
      <c r="RES42" s="16"/>
      <c r="RET42" s="16"/>
      <c r="REU42" s="16"/>
      <c r="REV42" s="16"/>
      <c r="REW42" s="16"/>
      <c r="REX42" s="16"/>
      <c r="REY42" s="16"/>
      <c r="REZ42" s="16"/>
      <c r="RFA42" s="16"/>
      <c r="RFB42" s="16"/>
      <c r="RFC42" s="16"/>
      <c r="RFD42" s="16"/>
      <c r="RFE42" s="16"/>
      <c r="RFF42" s="16"/>
      <c r="RFG42" s="16"/>
      <c r="RFH42" s="16"/>
      <c r="RFI42" s="16"/>
      <c r="RFJ42" s="16"/>
      <c r="RFK42" s="16"/>
      <c r="RFL42" s="16"/>
      <c r="RFM42" s="16"/>
      <c r="RFN42" s="16"/>
      <c r="RFO42" s="16"/>
      <c r="RFP42" s="16"/>
      <c r="RFQ42" s="16"/>
      <c r="RFR42" s="16"/>
      <c r="RFS42" s="16"/>
      <c r="RFT42" s="16"/>
      <c r="RFU42" s="16"/>
      <c r="RFV42" s="16"/>
      <c r="RFW42" s="16"/>
      <c r="RFX42" s="16"/>
      <c r="RFY42" s="16"/>
      <c r="RFZ42" s="16"/>
      <c r="RGA42" s="16"/>
      <c r="RGB42" s="16"/>
      <c r="RGC42" s="16"/>
      <c r="RGD42" s="16"/>
      <c r="RGE42" s="16"/>
      <c r="RGF42" s="16"/>
      <c r="RGG42" s="16"/>
      <c r="RGH42" s="16"/>
      <c r="RGI42" s="16"/>
      <c r="RGJ42" s="16"/>
      <c r="RGK42" s="16"/>
      <c r="RGL42" s="16"/>
      <c r="RGM42" s="16"/>
      <c r="RGN42" s="16"/>
      <c r="RGO42" s="16"/>
      <c r="RGP42" s="16"/>
      <c r="RGQ42" s="16"/>
      <c r="RGR42" s="16"/>
      <c r="RGS42" s="16"/>
      <c r="RGT42" s="16"/>
      <c r="RGU42" s="16"/>
      <c r="RGV42" s="16"/>
      <c r="RGW42" s="16"/>
      <c r="RGX42" s="16"/>
      <c r="RGY42" s="16"/>
      <c r="RGZ42" s="16"/>
      <c r="RHA42" s="16"/>
      <c r="RHB42" s="16"/>
      <c r="RHC42" s="16"/>
      <c r="RHD42" s="16"/>
      <c r="RHE42" s="16"/>
      <c r="RHF42" s="16"/>
      <c r="RHG42" s="16"/>
      <c r="RHH42" s="16"/>
      <c r="RHI42" s="16"/>
      <c r="RHJ42" s="16"/>
      <c r="RHK42" s="16"/>
      <c r="RHL42" s="16"/>
      <c r="RHM42" s="16"/>
      <c r="RHN42" s="16"/>
      <c r="RHO42" s="16"/>
      <c r="RHP42" s="16"/>
      <c r="RHQ42" s="16"/>
      <c r="RHR42" s="16"/>
      <c r="RHS42" s="16"/>
      <c r="RHT42" s="16"/>
      <c r="RHU42" s="16"/>
      <c r="RHV42" s="16"/>
      <c r="RHW42" s="16"/>
      <c r="RHX42" s="16"/>
      <c r="RHY42" s="16"/>
      <c r="RHZ42" s="16"/>
      <c r="RIA42" s="16"/>
      <c r="RIB42" s="16"/>
      <c r="RIC42" s="16"/>
      <c r="RID42" s="16"/>
      <c r="RIE42" s="16"/>
      <c r="RIF42" s="16"/>
      <c r="RIG42" s="16"/>
      <c r="RIH42" s="16"/>
      <c r="RII42" s="16"/>
      <c r="RIJ42" s="16"/>
      <c r="RIK42" s="16"/>
      <c r="RIL42" s="16"/>
      <c r="RIM42" s="16"/>
      <c r="RIN42" s="16"/>
      <c r="RIO42" s="16"/>
      <c r="RIP42" s="16"/>
      <c r="RIQ42" s="16"/>
      <c r="RIR42" s="16"/>
      <c r="RIS42" s="16"/>
      <c r="RIT42" s="16"/>
      <c r="RIU42" s="16"/>
      <c r="RIV42" s="16"/>
      <c r="RIW42" s="16"/>
      <c r="RIX42" s="16"/>
      <c r="RIY42" s="16"/>
      <c r="RIZ42" s="16"/>
      <c r="RJA42" s="16"/>
      <c r="RJB42" s="16"/>
      <c r="RJC42" s="16"/>
      <c r="RJD42" s="16"/>
      <c r="RJE42" s="16"/>
      <c r="RJF42" s="16"/>
      <c r="RJG42" s="16"/>
      <c r="RJH42" s="16"/>
      <c r="RJI42" s="16"/>
      <c r="RJJ42" s="16"/>
      <c r="RJK42" s="16"/>
      <c r="RJL42" s="16"/>
      <c r="RJM42" s="16"/>
      <c r="RJN42" s="16"/>
      <c r="RJO42" s="16"/>
      <c r="RJP42" s="16"/>
      <c r="RJQ42" s="16"/>
      <c r="RJR42" s="16"/>
      <c r="RJS42" s="16"/>
      <c r="RJT42" s="16"/>
      <c r="RJU42" s="16"/>
      <c r="RJV42" s="16"/>
      <c r="RJW42" s="16"/>
      <c r="RJX42" s="16"/>
      <c r="RJY42" s="16"/>
      <c r="RJZ42" s="16"/>
      <c r="RKA42" s="16"/>
      <c r="RKB42" s="16"/>
      <c r="RKC42" s="16"/>
      <c r="RKD42" s="16"/>
      <c r="RKE42" s="16"/>
      <c r="RKF42" s="16"/>
      <c r="RKG42" s="16"/>
      <c r="RKH42" s="16"/>
      <c r="RKI42" s="16"/>
      <c r="RKJ42" s="16"/>
      <c r="RKK42" s="16"/>
      <c r="RKL42" s="16"/>
      <c r="RKM42" s="16"/>
      <c r="RKN42" s="16"/>
      <c r="RKO42" s="16"/>
      <c r="RKP42" s="16"/>
      <c r="RKQ42" s="16"/>
      <c r="RKR42" s="16"/>
      <c r="RKS42" s="16"/>
      <c r="RKT42" s="16"/>
      <c r="RKU42" s="16"/>
      <c r="RKV42" s="16"/>
      <c r="RKW42" s="16"/>
      <c r="RKX42" s="16"/>
      <c r="RKY42" s="16"/>
      <c r="RKZ42" s="16"/>
      <c r="RLA42" s="16"/>
      <c r="RLB42" s="16"/>
      <c r="RLC42" s="16"/>
      <c r="RLD42" s="16"/>
      <c r="RLE42" s="16"/>
      <c r="RLF42" s="16"/>
      <c r="RLG42" s="16"/>
      <c r="RLH42" s="16"/>
      <c r="RLI42" s="16"/>
      <c r="RLJ42" s="16"/>
      <c r="RLK42" s="16"/>
      <c r="RLL42" s="16"/>
      <c r="RLM42" s="16"/>
      <c r="RLN42" s="16"/>
      <c r="RLO42" s="16"/>
      <c r="RLP42" s="16"/>
      <c r="RLQ42" s="16"/>
      <c r="RLR42" s="16"/>
      <c r="RLS42" s="16"/>
      <c r="RLT42" s="16"/>
      <c r="RLU42" s="16"/>
      <c r="RLV42" s="16"/>
      <c r="RLW42" s="16"/>
      <c r="RLX42" s="16"/>
      <c r="RLY42" s="16"/>
      <c r="RLZ42" s="16"/>
      <c r="RMA42" s="16"/>
      <c r="RMB42" s="16"/>
      <c r="RMC42" s="16"/>
      <c r="RMD42" s="16"/>
      <c r="RME42" s="16"/>
      <c r="RMF42" s="16"/>
      <c r="RMG42" s="16"/>
      <c r="RMH42" s="16"/>
      <c r="RMI42" s="16"/>
      <c r="RMJ42" s="16"/>
      <c r="RMK42" s="16"/>
      <c r="RML42" s="16"/>
      <c r="RMM42" s="16"/>
      <c r="RMN42" s="16"/>
      <c r="RMO42" s="16"/>
      <c r="RMP42" s="16"/>
      <c r="RMQ42" s="16"/>
      <c r="RMR42" s="16"/>
      <c r="RMS42" s="16"/>
      <c r="RMT42" s="16"/>
      <c r="RMU42" s="16"/>
      <c r="RMV42" s="16"/>
      <c r="RMW42" s="16"/>
      <c r="RMX42" s="16"/>
      <c r="RMY42" s="16"/>
      <c r="RMZ42" s="16"/>
      <c r="RNA42" s="16"/>
      <c r="RNB42" s="16"/>
      <c r="RNC42" s="16"/>
      <c r="RND42" s="16"/>
      <c r="RNE42" s="16"/>
      <c r="RNF42" s="16"/>
      <c r="RNG42" s="16"/>
      <c r="RNH42" s="16"/>
      <c r="RNI42" s="16"/>
      <c r="RNJ42" s="16"/>
      <c r="RNK42" s="16"/>
      <c r="RNL42" s="16"/>
      <c r="RNM42" s="16"/>
      <c r="RNN42" s="16"/>
      <c r="RNO42" s="16"/>
      <c r="RNP42" s="16"/>
      <c r="RNQ42" s="16"/>
      <c r="RNR42" s="16"/>
      <c r="RNS42" s="16"/>
      <c r="RNT42" s="16"/>
      <c r="RNU42" s="16"/>
      <c r="RNV42" s="16"/>
      <c r="RNW42" s="16"/>
      <c r="RNX42" s="16"/>
      <c r="RNY42" s="16"/>
      <c r="RNZ42" s="16"/>
      <c r="ROA42" s="16"/>
      <c r="ROB42" s="16"/>
      <c r="ROC42" s="16"/>
      <c r="ROD42" s="16"/>
      <c r="ROE42" s="16"/>
      <c r="ROF42" s="16"/>
      <c r="ROG42" s="16"/>
      <c r="ROH42" s="16"/>
      <c r="ROI42" s="16"/>
      <c r="ROJ42" s="16"/>
      <c r="ROK42" s="16"/>
      <c r="ROL42" s="16"/>
      <c r="ROM42" s="16"/>
      <c r="RON42" s="16"/>
      <c r="ROO42" s="16"/>
      <c r="ROP42" s="16"/>
      <c r="ROQ42" s="16"/>
      <c r="ROR42" s="16"/>
      <c r="ROS42" s="16"/>
      <c r="ROT42" s="16"/>
      <c r="ROU42" s="16"/>
      <c r="ROV42" s="16"/>
      <c r="ROW42" s="16"/>
      <c r="ROX42" s="16"/>
      <c r="ROY42" s="16"/>
      <c r="ROZ42" s="16"/>
      <c r="RPA42" s="16"/>
      <c r="RPB42" s="16"/>
      <c r="RPC42" s="16"/>
      <c r="RPD42" s="16"/>
      <c r="RPE42" s="16"/>
      <c r="RPF42" s="16"/>
      <c r="RPG42" s="16"/>
      <c r="RPH42" s="16"/>
      <c r="RPI42" s="16"/>
      <c r="RPJ42" s="16"/>
      <c r="RPK42" s="16"/>
      <c r="RPL42" s="16"/>
      <c r="RPM42" s="16"/>
      <c r="RPN42" s="16"/>
      <c r="RPO42" s="16"/>
      <c r="RPP42" s="16"/>
      <c r="RPQ42" s="16"/>
      <c r="RPR42" s="16"/>
      <c r="RPS42" s="16"/>
      <c r="RPT42" s="16"/>
      <c r="RPU42" s="16"/>
      <c r="RPV42" s="16"/>
      <c r="RPW42" s="16"/>
      <c r="RPX42" s="16"/>
      <c r="RPY42" s="16"/>
      <c r="RPZ42" s="16"/>
      <c r="RQA42" s="16"/>
      <c r="RQB42" s="16"/>
      <c r="RQC42" s="16"/>
      <c r="RQD42" s="16"/>
      <c r="RQE42" s="16"/>
      <c r="RQF42" s="16"/>
      <c r="RQG42" s="16"/>
      <c r="RQH42" s="16"/>
      <c r="RQI42" s="16"/>
      <c r="RQJ42" s="16"/>
      <c r="RQK42" s="16"/>
      <c r="RQL42" s="16"/>
      <c r="RQM42" s="16"/>
      <c r="RQN42" s="16"/>
      <c r="RQO42" s="16"/>
      <c r="RQP42" s="16"/>
      <c r="RQQ42" s="16"/>
      <c r="RQR42" s="16"/>
      <c r="RQS42" s="16"/>
      <c r="RQT42" s="16"/>
      <c r="RQU42" s="16"/>
      <c r="RQV42" s="16"/>
      <c r="RQW42" s="16"/>
      <c r="RQX42" s="16"/>
      <c r="RQY42" s="16"/>
      <c r="RQZ42" s="16"/>
      <c r="RRA42" s="16"/>
      <c r="RRB42" s="16"/>
      <c r="RRC42" s="16"/>
      <c r="RRD42" s="16"/>
      <c r="RRE42" s="16"/>
      <c r="RRF42" s="16"/>
      <c r="RRG42" s="16"/>
      <c r="RRH42" s="16"/>
      <c r="RRI42" s="16"/>
      <c r="RRJ42" s="16"/>
      <c r="RRK42" s="16"/>
      <c r="RRL42" s="16"/>
      <c r="RRM42" s="16"/>
      <c r="RRN42" s="16"/>
      <c r="RRO42" s="16"/>
      <c r="RRP42" s="16"/>
      <c r="RRQ42" s="16"/>
      <c r="RRR42" s="16"/>
      <c r="RRS42" s="16"/>
      <c r="RRT42" s="16"/>
      <c r="RRU42" s="16"/>
      <c r="RRV42" s="16"/>
      <c r="RRW42" s="16"/>
      <c r="RRX42" s="16"/>
      <c r="RRY42" s="16"/>
      <c r="RRZ42" s="16"/>
      <c r="RSA42" s="16"/>
      <c r="RSB42" s="16"/>
      <c r="RSC42" s="16"/>
      <c r="RSD42" s="16"/>
      <c r="RSE42" s="16"/>
      <c r="RSF42" s="16"/>
      <c r="RSG42" s="16"/>
      <c r="RSH42" s="16"/>
      <c r="RSI42" s="16"/>
      <c r="RSJ42" s="16"/>
      <c r="RSK42" s="16"/>
      <c r="RSL42" s="16"/>
      <c r="RSM42" s="16"/>
      <c r="RSN42" s="16"/>
      <c r="RSO42" s="16"/>
      <c r="RSP42" s="16"/>
      <c r="RSQ42" s="16"/>
      <c r="RSR42" s="16"/>
      <c r="RSS42" s="16"/>
      <c r="RST42" s="16"/>
      <c r="RSU42" s="16"/>
      <c r="RSV42" s="16"/>
      <c r="RSW42" s="16"/>
      <c r="RSX42" s="16"/>
      <c r="RSY42" s="16"/>
      <c r="RSZ42" s="16"/>
      <c r="RTA42" s="16"/>
      <c r="RTB42" s="16"/>
      <c r="RTC42" s="16"/>
      <c r="RTD42" s="16"/>
      <c r="RTE42" s="16"/>
      <c r="RTF42" s="16"/>
      <c r="RTG42" s="16"/>
      <c r="RTH42" s="16"/>
      <c r="RTI42" s="16"/>
      <c r="RTJ42" s="16"/>
      <c r="RTK42" s="16"/>
      <c r="RTL42" s="16"/>
      <c r="RTM42" s="16"/>
      <c r="RTN42" s="16"/>
      <c r="RTO42" s="16"/>
      <c r="RTP42" s="16"/>
      <c r="RTQ42" s="16"/>
      <c r="RTR42" s="16"/>
      <c r="RTS42" s="16"/>
      <c r="RTT42" s="16"/>
      <c r="RTU42" s="16"/>
      <c r="RTV42" s="16"/>
      <c r="RTW42" s="16"/>
      <c r="RTX42" s="16"/>
      <c r="RTY42" s="16"/>
      <c r="RTZ42" s="16"/>
      <c r="RUA42" s="16"/>
      <c r="RUB42" s="16"/>
      <c r="RUC42" s="16"/>
      <c r="RUD42" s="16"/>
      <c r="RUE42" s="16"/>
      <c r="RUF42" s="16"/>
      <c r="RUG42" s="16"/>
      <c r="RUH42" s="16"/>
      <c r="RUI42" s="16"/>
      <c r="RUJ42" s="16"/>
      <c r="RUK42" s="16"/>
      <c r="RUL42" s="16"/>
      <c r="RUM42" s="16"/>
      <c r="RUN42" s="16"/>
      <c r="RUO42" s="16"/>
      <c r="RUP42" s="16"/>
      <c r="RUQ42" s="16"/>
      <c r="RUR42" s="16"/>
      <c r="RUS42" s="16"/>
      <c r="RUT42" s="16"/>
      <c r="RUU42" s="16"/>
      <c r="RUV42" s="16"/>
      <c r="RUW42" s="16"/>
      <c r="RUX42" s="16"/>
      <c r="RUY42" s="16"/>
      <c r="RUZ42" s="16"/>
      <c r="RVA42" s="16"/>
      <c r="RVB42" s="16"/>
      <c r="RVC42" s="16"/>
      <c r="RVD42" s="16"/>
      <c r="RVE42" s="16"/>
      <c r="RVF42" s="16"/>
      <c r="RVG42" s="16"/>
      <c r="RVH42" s="16"/>
      <c r="RVI42" s="16"/>
      <c r="RVJ42" s="16"/>
      <c r="RVK42" s="16"/>
      <c r="RVL42" s="16"/>
      <c r="RVM42" s="16"/>
      <c r="RVN42" s="16"/>
      <c r="RVO42" s="16"/>
      <c r="RVP42" s="16"/>
      <c r="RVQ42" s="16"/>
      <c r="RVR42" s="16"/>
      <c r="RVS42" s="16"/>
      <c r="RVT42" s="16"/>
      <c r="RVU42" s="16"/>
      <c r="RVV42" s="16"/>
      <c r="RVW42" s="16"/>
      <c r="RVX42" s="16"/>
      <c r="RVY42" s="16"/>
      <c r="RVZ42" s="16"/>
      <c r="RWA42" s="16"/>
      <c r="RWB42" s="16"/>
      <c r="RWC42" s="16"/>
      <c r="RWD42" s="16"/>
      <c r="RWE42" s="16"/>
      <c r="RWF42" s="16"/>
      <c r="RWG42" s="16"/>
      <c r="RWH42" s="16"/>
      <c r="RWI42" s="16"/>
      <c r="RWJ42" s="16"/>
      <c r="RWK42" s="16"/>
      <c r="RWL42" s="16"/>
      <c r="RWM42" s="16"/>
      <c r="RWN42" s="16"/>
      <c r="RWO42" s="16"/>
      <c r="RWP42" s="16"/>
      <c r="RWQ42" s="16"/>
      <c r="RWR42" s="16"/>
      <c r="RWS42" s="16"/>
      <c r="RWT42" s="16"/>
      <c r="RWU42" s="16"/>
      <c r="RWV42" s="16"/>
      <c r="RWW42" s="16"/>
      <c r="RWX42" s="16"/>
      <c r="RWY42" s="16"/>
      <c r="RWZ42" s="16"/>
      <c r="RXA42" s="16"/>
      <c r="RXB42" s="16"/>
      <c r="RXC42" s="16"/>
      <c r="RXD42" s="16"/>
      <c r="RXE42" s="16"/>
      <c r="RXF42" s="16"/>
      <c r="RXG42" s="16"/>
      <c r="RXH42" s="16"/>
      <c r="RXI42" s="16"/>
      <c r="RXJ42" s="16"/>
      <c r="RXK42" s="16"/>
      <c r="RXL42" s="16"/>
      <c r="RXM42" s="16"/>
      <c r="RXN42" s="16"/>
      <c r="RXO42" s="16"/>
      <c r="RXP42" s="16"/>
      <c r="RXQ42" s="16"/>
      <c r="RXR42" s="16"/>
      <c r="RXS42" s="16"/>
      <c r="RXT42" s="16"/>
      <c r="RXU42" s="16"/>
      <c r="RXV42" s="16"/>
      <c r="RXW42" s="16"/>
      <c r="RXX42" s="16"/>
      <c r="RXY42" s="16"/>
      <c r="RXZ42" s="16"/>
      <c r="RYA42" s="16"/>
      <c r="RYB42" s="16"/>
      <c r="RYC42" s="16"/>
      <c r="RYD42" s="16"/>
      <c r="RYE42" s="16"/>
      <c r="RYF42" s="16"/>
      <c r="RYG42" s="16"/>
      <c r="RYH42" s="16"/>
      <c r="RYI42" s="16"/>
      <c r="RYJ42" s="16"/>
      <c r="RYK42" s="16"/>
      <c r="RYL42" s="16"/>
      <c r="RYM42" s="16"/>
      <c r="RYN42" s="16"/>
      <c r="RYO42" s="16"/>
      <c r="RYP42" s="16"/>
      <c r="RYQ42" s="16"/>
      <c r="RYR42" s="16"/>
      <c r="RYS42" s="16"/>
      <c r="RYT42" s="16"/>
      <c r="RYU42" s="16"/>
      <c r="RYV42" s="16"/>
      <c r="RYW42" s="16"/>
      <c r="RYX42" s="16"/>
      <c r="RYY42" s="16"/>
      <c r="RYZ42" s="16"/>
      <c r="RZA42" s="16"/>
      <c r="RZB42" s="16"/>
      <c r="RZC42" s="16"/>
      <c r="RZD42" s="16"/>
      <c r="RZE42" s="16"/>
      <c r="RZF42" s="16"/>
      <c r="RZG42" s="16"/>
      <c r="RZH42" s="16"/>
      <c r="RZI42" s="16"/>
      <c r="RZJ42" s="16"/>
      <c r="RZK42" s="16"/>
      <c r="RZL42" s="16"/>
      <c r="RZM42" s="16"/>
      <c r="RZN42" s="16"/>
      <c r="RZO42" s="16"/>
      <c r="RZP42" s="16"/>
      <c r="RZQ42" s="16"/>
      <c r="RZR42" s="16"/>
      <c r="RZS42" s="16"/>
      <c r="RZT42" s="16"/>
      <c r="RZU42" s="16"/>
      <c r="RZV42" s="16"/>
      <c r="RZW42" s="16"/>
      <c r="RZX42" s="16"/>
      <c r="RZY42" s="16"/>
      <c r="RZZ42" s="16"/>
      <c r="SAA42" s="16"/>
      <c r="SAB42" s="16"/>
      <c r="SAC42" s="16"/>
      <c r="SAD42" s="16"/>
      <c r="SAE42" s="16"/>
      <c r="SAF42" s="16"/>
      <c r="SAG42" s="16"/>
      <c r="SAH42" s="16"/>
      <c r="SAI42" s="16"/>
      <c r="SAJ42" s="16"/>
      <c r="SAK42" s="16"/>
      <c r="SAL42" s="16"/>
      <c r="SAM42" s="16"/>
      <c r="SAN42" s="16"/>
      <c r="SAO42" s="16"/>
      <c r="SAP42" s="16"/>
      <c r="SAQ42" s="16"/>
      <c r="SAR42" s="16"/>
      <c r="SAS42" s="16"/>
      <c r="SAT42" s="16"/>
      <c r="SAU42" s="16"/>
      <c r="SAV42" s="16"/>
      <c r="SAW42" s="16"/>
      <c r="SAX42" s="16"/>
      <c r="SAY42" s="16"/>
      <c r="SAZ42" s="16"/>
      <c r="SBA42" s="16"/>
      <c r="SBB42" s="16"/>
      <c r="SBC42" s="16"/>
      <c r="SBD42" s="16"/>
      <c r="SBE42" s="16"/>
      <c r="SBF42" s="16"/>
      <c r="SBG42" s="16"/>
      <c r="SBH42" s="16"/>
      <c r="SBI42" s="16"/>
      <c r="SBJ42" s="16"/>
      <c r="SBK42" s="16"/>
      <c r="SBL42" s="16"/>
      <c r="SBM42" s="16"/>
      <c r="SBN42" s="16"/>
      <c r="SBO42" s="16"/>
      <c r="SBP42" s="16"/>
      <c r="SBQ42" s="16"/>
      <c r="SBR42" s="16"/>
      <c r="SBS42" s="16"/>
      <c r="SBT42" s="16"/>
      <c r="SBU42" s="16"/>
      <c r="SBV42" s="16"/>
      <c r="SBW42" s="16"/>
      <c r="SBX42" s="16"/>
      <c r="SBY42" s="16"/>
      <c r="SBZ42" s="16"/>
      <c r="SCA42" s="16"/>
      <c r="SCB42" s="16"/>
      <c r="SCC42" s="16"/>
      <c r="SCD42" s="16"/>
      <c r="SCE42" s="16"/>
      <c r="SCF42" s="16"/>
      <c r="SCG42" s="16"/>
      <c r="SCH42" s="16"/>
      <c r="SCI42" s="16"/>
      <c r="SCJ42" s="16"/>
      <c r="SCK42" s="16"/>
      <c r="SCL42" s="16"/>
      <c r="SCM42" s="16"/>
      <c r="SCN42" s="16"/>
      <c r="SCO42" s="16"/>
      <c r="SCP42" s="16"/>
      <c r="SCQ42" s="16"/>
      <c r="SCR42" s="16"/>
      <c r="SCS42" s="16"/>
      <c r="SCT42" s="16"/>
      <c r="SCU42" s="16"/>
      <c r="SCV42" s="16"/>
      <c r="SCW42" s="16"/>
      <c r="SCX42" s="16"/>
      <c r="SCY42" s="16"/>
      <c r="SCZ42" s="16"/>
      <c r="SDA42" s="16"/>
      <c r="SDB42" s="16"/>
      <c r="SDC42" s="16"/>
      <c r="SDD42" s="16"/>
      <c r="SDE42" s="16"/>
      <c r="SDF42" s="16"/>
      <c r="SDG42" s="16"/>
      <c r="SDH42" s="16"/>
      <c r="SDI42" s="16"/>
      <c r="SDJ42" s="16"/>
      <c r="SDK42" s="16"/>
      <c r="SDL42" s="16"/>
      <c r="SDM42" s="16"/>
      <c r="SDN42" s="16"/>
      <c r="SDO42" s="16"/>
      <c r="SDP42" s="16"/>
      <c r="SDQ42" s="16"/>
      <c r="SDR42" s="16"/>
      <c r="SDS42" s="16"/>
      <c r="SDT42" s="16"/>
      <c r="SDU42" s="16"/>
      <c r="SDV42" s="16"/>
      <c r="SDW42" s="16"/>
      <c r="SDX42" s="16"/>
      <c r="SDY42" s="16"/>
      <c r="SDZ42" s="16"/>
      <c r="SEA42" s="16"/>
      <c r="SEB42" s="16"/>
      <c r="SEC42" s="16"/>
      <c r="SED42" s="16"/>
      <c r="SEE42" s="16"/>
      <c r="SEF42" s="16"/>
      <c r="SEG42" s="16"/>
      <c r="SEH42" s="16"/>
      <c r="SEI42" s="16"/>
      <c r="SEJ42" s="16"/>
      <c r="SEK42" s="16"/>
      <c r="SEL42" s="16"/>
      <c r="SEM42" s="16"/>
      <c r="SEN42" s="16"/>
      <c r="SEO42" s="16"/>
      <c r="SEP42" s="16"/>
      <c r="SEQ42" s="16"/>
      <c r="SER42" s="16"/>
      <c r="SES42" s="16"/>
      <c r="SET42" s="16"/>
      <c r="SEU42" s="16"/>
      <c r="SEV42" s="16"/>
      <c r="SEW42" s="16"/>
      <c r="SEX42" s="16"/>
      <c r="SEY42" s="16"/>
      <c r="SEZ42" s="16"/>
      <c r="SFA42" s="16"/>
      <c r="SFB42" s="16"/>
      <c r="SFC42" s="16"/>
      <c r="SFD42" s="16"/>
      <c r="SFE42" s="16"/>
      <c r="SFF42" s="16"/>
      <c r="SFG42" s="16"/>
      <c r="SFH42" s="16"/>
      <c r="SFI42" s="16"/>
      <c r="SFJ42" s="16"/>
      <c r="SFK42" s="16"/>
      <c r="SFL42" s="16"/>
      <c r="SFM42" s="16"/>
      <c r="SFN42" s="16"/>
      <c r="SFO42" s="16"/>
      <c r="SFP42" s="16"/>
      <c r="SFQ42" s="16"/>
      <c r="SFR42" s="16"/>
      <c r="SFS42" s="16"/>
      <c r="SFT42" s="16"/>
      <c r="SFU42" s="16"/>
      <c r="SFV42" s="16"/>
      <c r="SFW42" s="16"/>
      <c r="SFX42" s="16"/>
      <c r="SFY42" s="16"/>
      <c r="SFZ42" s="16"/>
      <c r="SGA42" s="16"/>
      <c r="SGB42" s="16"/>
      <c r="SGC42" s="16"/>
      <c r="SGD42" s="16"/>
      <c r="SGE42" s="16"/>
      <c r="SGF42" s="16"/>
      <c r="SGG42" s="16"/>
      <c r="SGH42" s="16"/>
      <c r="SGI42" s="16"/>
      <c r="SGJ42" s="16"/>
      <c r="SGK42" s="16"/>
      <c r="SGL42" s="16"/>
      <c r="SGM42" s="16"/>
      <c r="SGN42" s="16"/>
      <c r="SGO42" s="16"/>
      <c r="SGP42" s="16"/>
      <c r="SGQ42" s="16"/>
      <c r="SGR42" s="16"/>
      <c r="SGS42" s="16"/>
      <c r="SGT42" s="16"/>
      <c r="SGU42" s="16"/>
      <c r="SGV42" s="16"/>
      <c r="SGW42" s="16"/>
      <c r="SGX42" s="16"/>
      <c r="SGY42" s="16"/>
      <c r="SGZ42" s="16"/>
      <c r="SHA42" s="16"/>
      <c r="SHB42" s="16"/>
      <c r="SHC42" s="16"/>
      <c r="SHD42" s="16"/>
      <c r="SHE42" s="16"/>
      <c r="SHF42" s="16"/>
      <c r="SHG42" s="16"/>
      <c r="SHH42" s="16"/>
      <c r="SHI42" s="16"/>
      <c r="SHJ42" s="16"/>
      <c r="SHK42" s="16"/>
      <c r="SHL42" s="16"/>
      <c r="SHM42" s="16"/>
      <c r="SHN42" s="16"/>
      <c r="SHO42" s="16"/>
      <c r="SHP42" s="16"/>
      <c r="SHQ42" s="16"/>
      <c r="SHR42" s="16"/>
      <c r="SHS42" s="16"/>
      <c r="SHT42" s="16"/>
      <c r="SHU42" s="16"/>
      <c r="SHV42" s="16"/>
      <c r="SHW42" s="16"/>
      <c r="SHX42" s="16"/>
      <c r="SHY42" s="16"/>
      <c r="SHZ42" s="16"/>
      <c r="SIA42" s="16"/>
      <c r="SIB42" s="16"/>
      <c r="SIC42" s="16"/>
      <c r="SID42" s="16"/>
      <c r="SIE42" s="16"/>
      <c r="SIF42" s="16"/>
      <c r="SIG42" s="16"/>
      <c r="SIH42" s="16"/>
      <c r="SII42" s="16"/>
      <c r="SIJ42" s="16"/>
      <c r="SIK42" s="16"/>
      <c r="SIL42" s="16"/>
      <c r="SIM42" s="16"/>
      <c r="SIN42" s="16"/>
      <c r="SIO42" s="16"/>
      <c r="SIP42" s="16"/>
      <c r="SIQ42" s="16"/>
      <c r="SIR42" s="16"/>
      <c r="SIS42" s="16"/>
      <c r="SIT42" s="16"/>
      <c r="SIU42" s="16"/>
      <c r="SIV42" s="16"/>
      <c r="SIW42" s="16"/>
      <c r="SIX42" s="16"/>
      <c r="SIY42" s="16"/>
      <c r="SIZ42" s="16"/>
      <c r="SJA42" s="16"/>
      <c r="SJB42" s="16"/>
      <c r="SJC42" s="16"/>
      <c r="SJD42" s="16"/>
      <c r="SJE42" s="16"/>
      <c r="SJF42" s="16"/>
      <c r="SJG42" s="16"/>
      <c r="SJH42" s="16"/>
      <c r="SJI42" s="16"/>
      <c r="SJJ42" s="16"/>
      <c r="SJK42" s="16"/>
      <c r="SJL42" s="16"/>
      <c r="SJM42" s="16"/>
      <c r="SJN42" s="16"/>
      <c r="SJO42" s="16"/>
      <c r="SJP42" s="16"/>
      <c r="SJQ42" s="16"/>
      <c r="SJR42" s="16"/>
      <c r="SJS42" s="16"/>
      <c r="SJT42" s="16"/>
      <c r="SJU42" s="16"/>
      <c r="SJV42" s="16"/>
      <c r="SJW42" s="16"/>
      <c r="SJX42" s="16"/>
      <c r="SJY42" s="16"/>
      <c r="SJZ42" s="16"/>
      <c r="SKA42" s="16"/>
      <c r="SKB42" s="16"/>
      <c r="SKC42" s="16"/>
      <c r="SKD42" s="16"/>
      <c r="SKE42" s="16"/>
      <c r="SKF42" s="16"/>
      <c r="SKG42" s="16"/>
      <c r="SKH42" s="16"/>
      <c r="SKI42" s="16"/>
      <c r="SKJ42" s="16"/>
      <c r="SKK42" s="16"/>
      <c r="SKL42" s="16"/>
      <c r="SKM42" s="16"/>
      <c r="SKN42" s="16"/>
      <c r="SKO42" s="16"/>
      <c r="SKP42" s="16"/>
      <c r="SKQ42" s="16"/>
      <c r="SKR42" s="16"/>
      <c r="SKS42" s="16"/>
      <c r="SKT42" s="16"/>
      <c r="SKU42" s="16"/>
      <c r="SKV42" s="16"/>
      <c r="SKW42" s="16"/>
      <c r="SKX42" s="16"/>
      <c r="SKY42" s="16"/>
      <c r="SKZ42" s="16"/>
      <c r="SLA42" s="16"/>
      <c r="SLB42" s="16"/>
      <c r="SLC42" s="16"/>
      <c r="SLD42" s="16"/>
      <c r="SLE42" s="16"/>
      <c r="SLF42" s="16"/>
      <c r="SLG42" s="16"/>
      <c r="SLH42" s="16"/>
      <c r="SLI42" s="16"/>
      <c r="SLJ42" s="16"/>
      <c r="SLK42" s="16"/>
      <c r="SLL42" s="16"/>
      <c r="SLM42" s="16"/>
      <c r="SLN42" s="16"/>
      <c r="SLO42" s="16"/>
      <c r="SLP42" s="16"/>
      <c r="SLQ42" s="16"/>
      <c r="SLR42" s="16"/>
      <c r="SLS42" s="16"/>
      <c r="SLT42" s="16"/>
      <c r="SLU42" s="16"/>
      <c r="SLV42" s="16"/>
      <c r="SLW42" s="16"/>
      <c r="SLX42" s="16"/>
      <c r="SLY42" s="16"/>
      <c r="SLZ42" s="16"/>
      <c r="SMA42" s="16"/>
      <c r="SMB42" s="16"/>
      <c r="SMC42" s="16"/>
      <c r="SMD42" s="16"/>
      <c r="SME42" s="16"/>
      <c r="SMF42" s="16"/>
      <c r="SMG42" s="16"/>
      <c r="SMH42" s="16"/>
      <c r="SMI42" s="16"/>
      <c r="SMJ42" s="16"/>
      <c r="SMK42" s="16"/>
      <c r="SML42" s="16"/>
      <c r="SMM42" s="16"/>
      <c r="SMN42" s="16"/>
      <c r="SMO42" s="16"/>
      <c r="SMP42" s="16"/>
      <c r="SMQ42" s="16"/>
      <c r="SMR42" s="16"/>
      <c r="SMS42" s="16"/>
      <c r="SMT42" s="16"/>
      <c r="SMU42" s="16"/>
      <c r="SMV42" s="16"/>
      <c r="SMW42" s="16"/>
      <c r="SMX42" s="16"/>
      <c r="SMY42" s="16"/>
      <c r="SMZ42" s="16"/>
      <c r="SNA42" s="16"/>
      <c r="SNB42" s="16"/>
      <c r="SNC42" s="16"/>
      <c r="SND42" s="16"/>
      <c r="SNE42" s="16"/>
      <c r="SNF42" s="16"/>
      <c r="SNG42" s="16"/>
      <c r="SNH42" s="16"/>
      <c r="SNI42" s="16"/>
      <c r="SNJ42" s="16"/>
      <c r="SNK42" s="16"/>
      <c r="SNL42" s="16"/>
      <c r="SNM42" s="16"/>
      <c r="SNN42" s="16"/>
      <c r="SNO42" s="16"/>
      <c r="SNP42" s="16"/>
      <c r="SNQ42" s="16"/>
      <c r="SNR42" s="16"/>
      <c r="SNS42" s="16"/>
      <c r="SNT42" s="16"/>
      <c r="SNU42" s="16"/>
      <c r="SNV42" s="16"/>
      <c r="SNW42" s="16"/>
      <c r="SNX42" s="16"/>
      <c r="SNY42" s="16"/>
      <c r="SNZ42" s="16"/>
      <c r="SOA42" s="16"/>
      <c r="SOB42" s="16"/>
      <c r="SOC42" s="16"/>
      <c r="SOD42" s="16"/>
      <c r="SOE42" s="16"/>
      <c r="SOF42" s="16"/>
      <c r="SOG42" s="16"/>
      <c r="SOH42" s="16"/>
      <c r="SOI42" s="16"/>
      <c r="SOJ42" s="16"/>
      <c r="SOK42" s="16"/>
      <c r="SOL42" s="16"/>
      <c r="SOM42" s="16"/>
      <c r="SON42" s="16"/>
      <c r="SOO42" s="16"/>
      <c r="SOP42" s="16"/>
      <c r="SOQ42" s="16"/>
      <c r="SOR42" s="16"/>
      <c r="SOS42" s="16"/>
      <c r="SOT42" s="16"/>
      <c r="SOU42" s="16"/>
      <c r="SOV42" s="16"/>
      <c r="SOW42" s="16"/>
      <c r="SOX42" s="16"/>
      <c r="SOY42" s="16"/>
      <c r="SOZ42" s="16"/>
      <c r="SPA42" s="16"/>
      <c r="SPB42" s="16"/>
      <c r="SPC42" s="16"/>
      <c r="SPD42" s="16"/>
      <c r="SPE42" s="16"/>
      <c r="SPF42" s="16"/>
      <c r="SPG42" s="16"/>
      <c r="SPH42" s="16"/>
      <c r="SPI42" s="16"/>
      <c r="SPJ42" s="16"/>
      <c r="SPK42" s="16"/>
      <c r="SPL42" s="16"/>
      <c r="SPM42" s="16"/>
      <c r="SPN42" s="16"/>
      <c r="SPO42" s="16"/>
      <c r="SPP42" s="16"/>
      <c r="SPQ42" s="16"/>
      <c r="SPR42" s="16"/>
      <c r="SPS42" s="16"/>
      <c r="SPT42" s="16"/>
      <c r="SPU42" s="16"/>
      <c r="SPV42" s="16"/>
      <c r="SPW42" s="16"/>
      <c r="SPX42" s="16"/>
      <c r="SPY42" s="16"/>
      <c r="SPZ42" s="16"/>
      <c r="SQA42" s="16"/>
      <c r="SQB42" s="16"/>
      <c r="SQC42" s="16"/>
      <c r="SQD42" s="16"/>
      <c r="SQE42" s="16"/>
      <c r="SQF42" s="16"/>
      <c r="SQG42" s="16"/>
      <c r="SQH42" s="16"/>
      <c r="SQI42" s="16"/>
      <c r="SQJ42" s="16"/>
      <c r="SQK42" s="16"/>
      <c r="SQL42" s="16"/>
      <c r="SQM42" s="16"/>
      <c r="SQN42" s="16"/>
      <c r="SQO42" s="16"/>
      <c r="SQP42" s="16"/>
      <c r="SQQ42" s="16"/>
      <c r="SQR42" s="16"/>
      <c r="SQS42" s="16"/>
      <c r="SQT42" s="16"/>
      <c r="SQU42" s="16"/>
      <c r="SQV42" s="16"/>
      <c r="SQW42" s="16"/>
      <c r="SQX42" s="16"/>
      <c r="SQY42" s="16"/>
      <c r="SQZ42" s="16"/>
      <c r="SRA42" s="16"/>
      <c r="SRB42" s="16"/>
      <c r="SRC42" s="16"/>
      <c r="SRD42" s="16"/>
      <c r="SRE42" s="16"/>
      <c r="SRF42" s="16"/>
      <c r="SRG42" s="16"/>
      <c r="SRH42" s="16"/>
      <c r="SRI42" s="16"/>
      <c r="SRJ42" s="16"/>
      <c r="SRK42" s="16"/>
      <c r="SRL42" s="16"/>
      <c r="SRM42" s="16"/>
      <c r="SRN42" s="16"/>
      <c r="SRO42" s="16"/>
      <c r="SRP42" s="16"/>
      <c r="SRQ42" s="16"/>
      <c r="SRR42" s="16"/>
      <c r="SRS42" s="16"/>
      <c r="SRT42" s="16"/>
      <c r="SRU42" s="16"/>
      <c r="SRV42" s="16"/>
      <c r="SRW42" s="16"/>
      <c r="SRX42" s="16"/>
      <c r="SRY42" s="16"/>
      <c r="SRZ42" s="16"/>
      <c r="SSA42" s="16"/>
      <c r="SSB42" s="16"/>
      <c r="SSC42" s="16"/>
      <c r="SSD42" s="16"/>
      <c r="SSE42" s="16"/>
      <c r="SSF42" s="16"/>
      <c r="SSG42" s="16"/>
      <c r="SSH42" s="16"/>
      <c r="SSI42" s="16"/>
      <c r="SSJ42" s="16"/>
      <c r="SSK42" s="16"/>
      <c r="SSL42" s="16"/>
      <c r="SSM42" s="16"/>
      <c r="SSN42" s="16"/>
      <c r="SSO42" s="16"/>
      <c r="SSP42" s="16"/>
      <c r="SSQ42" s="16"/>
      <c r="SSR42" s="16"/>
      <c r="SSS42" s="16"/>
      <c r="SST42" s="16"/>
      <c r="SSU42" s="16"/>
      <c r="SSV42" s="16"/>
      <c r="SSW42" s="16"/>
      <c r="SSX42" s="16"/>
      <c r="SSY42" s="16"/>
      <c r="SSZ42" s="16"/>
      <c r="STA42" s="16"/>
      <c r="STB42" s="16"/>
      <c r="STC42" s="16"/>
      <c r="STD42" s="16"/>
      <c r="STE42" s="16"/>
      <c r="STF42" s="16"/>
      <c r="STG42" s="16"/>
      <c r="STH42" s="16"/>
      <c r="STI42" s="16"/>
      <c r="STJ42" s="16"/>
      <c r="STK42" s="16"/>
      <c r="STL42" s="16"/>
      <c r="STM42" s="16"/>
      <c r="STN42" s="16"/>
      <c r="STO42" s="16"/>
      <c r="STP42" s="16"/>
      <c r="STQ42" s="16"/>
      <c r="STR42" s="16"/>
      <c r="STS42" s="16"/>
      <c r="STT42" s="16"/>
      <c r="STU42" s="16"/>
      <c r="STV42" s="16"/>
      <c r="STW42" s="16"/>
      <c r="STX42" s="16"/>
      <c r="STY42" s="16"/>
      <c r="STZ42" s="16"/>
      <c r="SUA42" s="16"/>
      <c r="SUB42" s="16"/>
      <c r="SUC42" s="16"/>
      <c r="SUD42" s="16"/>
      <c r="SUE42" s="16"/>
      <c r="SUF42" s="16"/>
      <c r="SUG42" s="16"/>
      <c r="SUH42" s="16"/>
      <c r="SUI42" s="16"/>
      <c r="SUJ42" s="16"/>
      <c r="SUK42" s="16"/>
      <c r="SUL42" s="16"/>
      <c r="SUM42" s="16"/>
      <c r="SUN42" s="16"/>
      <c r="SUO42" s="16"/>
      <c r="SUP42" s="16"/>
      <c r="SUQ42" s="16"/>
      <c r="SUR42" s="16"/>
      <c r="SUS42" s="16"/>
      <c r="SUT42" s="16"/>
      <c r="SUU42" s="16"/>
      <c r="SUV42" s="16"/>
      <c r="SUW42" s="16"/>
      <c r="SUX42" s="16"/>
      <c r="SUY42" s="16"/>
      <c r="SUZ42" s="16"/>
      <c r="SVA42" s="16"/>
      <c r="SVB42" s="16"/>
      <c r="SVC42" s="16"/>
      <c r="SVD42" s="16"/>
      <c r="SVE42" s="16"/>
      <c r="SVF42" s="16"/>
      <c r="SVG42" s="16"/>
      <c r="SVH42" s="16"/>
      <c r="SVI42" s="16"/>
      <c r="SVJ42" s="16"/>
      <c r="SVK42" s="16"/>
      <c r="SVL42" s="16"/>
      <c r="SVM42" s="16"/>
      <c r="SVN42" s="16"/>
      <c r="SVO42" s="16"/>
      <c r="SVP42" s="16"/>
      <c r="SVQ42" s="16"/>
      <c r="SVR42" s="16"/>
      <c r="SVS42" s="16"/>
      <c r="SVT42" s="16"/>
      <c r="SVU42" s="16"/>
      <c r="SVV42" s="16"/>
      <c r="SVW42" s="16"/>
      <c r="SVX42" s="16"/>
      <c r="SVY42" s="16"/>
      <c r="SVZ42" s="16"/>
      <c r="SWA42" s="16"/>
      <c r="SWB42" s="16"/>
      <c r="SWC42" s="16"/>
      <c r="SWD42" s="16"/>
      <c r="SWE42" s="16"/>
      <c r="SWF42" s="16"/>
      <c r="SWG42" s="16"/>
      <c r="SWH42" s="16"/>
      <c r="SWI42" s="16"/>
      <c r="SWJ42" s="16"/>
      <c r="SWK42" s="16"/>
      <c r="SWL42" s="16"/>
      <c r="SWM42" s="16"/>
      <c r="SWN42" s="16"/>
      <c r="SWO42" s="16"/>
      <c r="SWP42" s="16"/>
      <c r="SWQ42" s="16"/>
      <c r="SWR42" s="16"/>
      <c r="SWS42" s="16"/>
      <c r="SWT42" s="16"/>
      <c r="SWU42" s="16"/>
      <c r="SWV42" s="16"/>
      <c r="SWW42" s="16"/>
      <c r="SWX42" s="16"/>
      <c r="SWY42" s="16"/>
      <c r="SWZ42" s="16"/>
      <c r="SXA42" s="16"/>
      <c r="SXB42" s="16"/>
      <c r="SXC42" s="16"/>
      <c r="SXD42" s="16"/>
      <c r="SXE42" s="16"/>
      <c r="SXF42" s="16"/>
      <c r="SXG42" s="16"/>
      <c r="SXH42" s="16"/>
      <c r="SXI42" s="16"/>
      <c r="SXJ42" s="16"/>
      <c r="SXK42" s="16"/>
      <c r="SXL42" s="16"/>
      <c r="SXM42" s="16"/>
      <c r="SXN42" s="16"/>
      <c r="SXO42" s="16"/>
      <c r="SXP42" s="16"/>
      <c r="SXQ42" s="16"/>
      <c r="SXR42" s="16"/>
      <c r="SXS42" s="16"/>
      <c r="SXT42" s="16"/>
      <c r="SXU42" s="16"/>
      <c r="SXV42" s="16"/>
      <c r="SXW42" s="16"/>
      <c r="SXX42" s="16"/>
      <c r="SXY42" s="16"/>
      <c r="SXZ42" s="16"/>
      <c r="SYA42" s="16"/>
      <c r="SYB42" s="16"/>
      <c r="SYC42" s="16"/>
      <c r="SYD42" s="16"/>
      <c r="SYE42" s="16"/>
      <c r="SYF42" s="16"/>
      <c r="SYG42" s="16"/>
      <c r="SYH42" s="16"/>
      <c r="SYI42" s="16"/>
      <c r="SYJ42" s="16"/>
      <c r="SYK42" s="16"/>
      <c r="SYL42" s="16"/>
      <c r="SYM42" s="16"/>
      <c r="SYN42" s="16"/>
      <c r="SYO42" s="16"/>
      <c r="SYP42" s="16"/>
      <c r="SYQ42" s="16"/>
      <c r="SYR42" s="16"/>
      <c r="SYS42" s="16"/>
      <c r="SYT42" s="16"/>
      <c r="SYU42" s="16"/>
      <c r="SYV42" s="16"/>
      <c r="SYW42" s="16"/>
      <c r="SYX42" s="16"/>
      <c r="SYY42" s="16"/>
      <c r="SYZ42" s="16"/>
      <c r="SZA42" s="16"/>
      <c r="SZB42" s="16"/>
      <c r="SZC42" s="16"/>
      <c r="SZD42" s="16"/>
      <c r="SZE42" s="16"/>
      <c r="SZF42" s="16"/>
      <c r="SZG42" s="16"/>
      <c r="SZH42" s="16"/>
      <c r="SZI42" s="16"/>
      <c r="SZJ42" s="16"/>
      <c r="SZK42" s="16"/>
      <c r="SZL42" s="16"/>
      <c r="SZM42" s="16"/>
      <c r="SZN42" s="16"/>
      <c r="SZO42" s="16"/>
      <c r="SZP42" s="16"/>
      <c r="SZQ42" s="16"/>
      <c r="SZR42" s="16"/>
      <c r="SZS42" s="16"/>
      <c r="SZT42" s="16"/>
      <c r="SZU42" s="16"/>
      <c r="SZV42" s="16"/>
      <c r="SZW42" s="16"/>
      <c r="SZX42" s="16"/>
      <c r="SZY42" s="16"/>
      <c r="SZZ42" s="16"/>
      <c r="TAA42" s="16"/>
      <c r="TAB42" s="16"/>
      <c r="TAC42" s="16"/>
      <c r="TAD42" s="16"/>
      <c r="TAE42" s="16"/>
      <c r="TAF42" s="16"/>
      <c r="TAG42" s="16"/>
      <c r="TAH42" s="16"/>
      <c r="TAI42" s="16"/>
      <c r="TAJ42" s="16"/>
      <c r="TAK42" s="16"/>
      <c r="TAL42" s="16"/>
      <c r="TAM42" s="16"/>
      <c r="TAN42" s="16"/>
      <c r="TAO42" s="16"/>
      <c r="TAP42" s="16"/>
      <c r="TAQ42" s="16"/>
      <c r="TAR42" s="16"/>
      <c r="TAS42" s="16"/>
      <c r="TAT42" s="16"/>
      <c r="TAU42" s="16"/>
      <c r="TAV42" s="16"/>
      <c r="TAW42" s="16"/>
      <c r="TAX42" s="16"/>
      <c r="TAY42" s="16"/>
      <c r="TAZ42" s="16"/>
      <c r="TBA42" s="16"/>
      <c r="TBB42" s="16"/>
      <c r="TBC42" s="16"/>
      <c r="TBD42" s="16"/>
      <c r="TBE42" s="16"/>
      <c r="TBF42" s="16"/>
      <c r="TBG42" s="16"/>
      <c r="TBH42" s="16"/>
      <c r="TBI42" s="16"/>
      <c r="TBJ42" s="16"/>
      <c r="TBK42" s="16"/>
      <c r="TBL42" s="16"/>
      <c r="TBM42" s="16"/>
      <c r="TBN42" s="16"/>
      <c r="TBO42" s="16"/>
      <c r="TBP42" s="16"/>
      <c r="TBQ42" s="16"/>
      <c r="TBR42" s="16"/>
      <c r="TBS42" s="16"/>
      <c r="TBT42" s="16"/>
      <c r="TBU42" s="16"/>
      <c r="TBV42" s="16"/>
      <c r="TBW42" s="16"/>
      <c r="TBX42" s="16"/>
      <c r="TBY42" s="16"/>
      <c r="TBZ42" s="16"/>
      <c r="TCA42" s="16"/>
      <c r="TCB42" s="16"/>
      <c r="TCC42" s="16"/>
      <c r="TCD42" s="16"/>
      <c r="TCE42" s="16"/>
      <c r="TCF42" s="16"/>
      <c r="TCG42" s="16"/>
      <c r="TCH42" s="16"/>
      <c r="TCI42" s="16"/>
      <c r="TCJ42" s="16"/>
      <c r="TCK42" s="16"/>
      <c r="TCL42" s="16"/>
      <c r="TCM42" s="16"/>
      <c r="TCN42" s="16"/>
      <c r="TCO42" s="16"/>
      <c r="TCP42" s="16"/>
      <c r="TCQ42" s="16"/>
      <c r="TCR42" s="16"/>
      <c r="TCS42" s="16"/>
      <c r="TCT42" s="16"/>
      <c r="TCU42" s="16"/>
      <c r="TCV42" s="16"/>
      <c r="TCW42" s="16"/>
      <c r="TCX42" s="16"/>
      <c r="TCY42" s="16"/>
      <c r="TCZ42" s="16"/>
      <c r="TDA42" s="16"/>
      <c r="TDB42" s="16"/>
      <c r="TDC42" s="16"/>
      <c r="TDD42" s="16"/>
      <c r="TDE42" s="16"/>
      <c r="TDF42" s="16"/>
      <c r="TDG42" s="16"/>
      <c r="TDH42" s="16"/>
      <c r="TDI42" s="16"/>
      <c r="TDJ42" s="16"/>
      <c r="TDK42" s="16"/>
      <c r="TDL42" s="16"/>
      <c r="TDM42" s="16"/>
      <c r="TDN42" s="16"/>
      <c r="TDO42" s="16"/>
      <c r="TDP42" s="16"/>
      <c r="TDQ42" s="16"/>
      <c r="TDR42" s="16"/>
      <c r="TDS42" s="16"/>
      <c r="TDT42" s="16"/>
      <c r="TDU42" s="16"/>
      <c r="TDV42" s="16"/>
      <c r="TDW42" s="16"/>
      <c r="TDX42" s="16"/>
      <c r="TDY42" s="16"/>
      <c r="TDZ42" s="16"/>
      <c r="TEA42" s="16"/>
      <c r="TEB42" s="16"/>
      <c r="TEC42" s="16"/>
      <c r="TED42" s="16"/>
      <c r="TEE42" s="16"/>
      <c r="TEF42" s="16"/>
      <c r="TEG42" s="16"/>
      <c r="TEH42" s="16"/>
      <c r="TEI42" s="16"/>
      <c r="TEJ42" s="16"/>
      <c r="TEK42" s="16"/>
      <c r="TEL42" s="16"/>
      <c r="TEM42" s="16"/>
      <c r="TEN42" s="16"/>
      <c r="TEO42" s="16"/>
      <c r="TEP42" s="16"/>
      <c r="TEQ42" s="16"/>
      <c r="TER42" s="16"/>
      <c r="TES42" s="16"/>
      <c r="TET42" s="16"/>
      <c r="TEU42" s="16"/>
      <c r="TEV42" s="16"/>
      <c r="TEW42" s="16"/>
      <c r="TEX42" s="16"/>
      <c r="TEY42" s="16"/>
      <c r="TEZ42" s="16"/>
      <c r="TFA42" s="16"/>
      <c r="TFB42" s="16"/>
      <c r="TFC42" s="16"/>
      <c r="TFD42" s="16"/>
      <c r="TFE42" s="16"/>
      <c r="TFF42" s="16"/>
      <c r="TFG42" s="16"/>
      <c r="TFH42" s="16"/>
      <c r="TFI42" s="16"/>
      <c r="TFJ42" s="16"/>
      <c r="TFK42" s="16"/>
      <c r="TFL42" s="16"/>
      <c r="TFM42" s="16"/>
      <c r="TFN42" s="16"/>
      <c r="TFO42" s="16"/>
      <c r="TFP42" s="16"/>
      <c r="TFQ42" s="16"/>
      <c r="TFR42" s="16"/>
      <c r="TFS42" s="16"/>
      <c r="TFT42" s="16"/>
      <c r="TFU42" s="16"/>
      <c r="TFV42" s="16"/>
      <c r="TFW42" s="16"/>
      <c r="TFX42" s="16"/>
      <c r="TFY42" s="16"/>
      <c r="TFZ42" s="16"/>
      <c r="TGA42" s="16"/>
      <c r="TGB42" s="16"/>
      <c r="TGC42" s="16"/>
      <c r="TGD42" s="16"/>
      <c r="TGE42" s="16"/>
      <c r="TGF42" s="16"/>
      <c r="TGG42" s="16"/>
      <c r="TGH42" s="16"/>
      <c r="TGI42" s="16"/>
      <c r="TGJ42" s="16"/>
      <c r="TGK42" s="16"/>
      <c r="TGL42" s="16"/>
      <c r="TGM42" s="16"/>
      <c r="TGN42" s="16"/>
      <c r="TGO42" s="16"/>
      <c r="TGP42" s="16"/>
      <c r="TGQ42" s="16"/>
      <c r="TGR42" s="16"/>
      <c r="TGS42" s="16"/>
      <c r="TGT42" s="16"/>
      <c r="TGU42" s="16"/>
      <c r="TGV42" s="16"/>
      <c r="TGW42" s="16"/>
      <c r="TGX42" s="16"/>
      <c r="TGY42" s="16"/>
      <c r="TGZ42" s="16"/>
      <c r="THA42" s="16"/>
      <c r="THB42" s="16"/>
      <c r="THC42" s="16"/>
      <c r="THD42" s="16"/>
      <c r="THE42" s="16"/>
      <c r="THF42" s="16"/>
      <c r="THG42" s="16"/>
      <c r="THH42" s="16"/>
      <c r="THI42" s="16"/>
      <c r="THJ42" s="16"/>
      <c r="THK42" s="16"/>
      <c r="THL42" s="16"/>
      <c r="THM42" s="16"/>
      <c r="THN42" s="16"/>
      <c r="THO42" s="16"/>
      <c r="THP42" s="16"/>
      <c r="THQ42" s="16"/>
      <c r="THR42" s="16"/>
      <c r="THS42" s="16"/>
      <c r="THT42" s="16"/>
      <c r="THU42" s="16"/>
      <c r="THV42" s="16"/>
      <c r="THW42" s="16"/>
      <c r="THX42" s="16"/>
      <c r="THY42" s="16"/>
      <c r="THZ42" s="16"/>
      <c r="TIA42" s="16"/>
      <c r="TIB42" s="16"/>
      <c r="TIC42" s="16"/>
      <c r="TID42" s="16"/>
      <c r="TIE42" s="16"/>
      <c r="TIF42" s="16"/>
      <c r="TIG42" s="16"/>
      <c r="TIH42" s="16"/>
      <c r="TII42" s="16"/>
      <c r="TIJ42" s="16"/>
      <c r="TIK42" s="16"/>
      <c r="TIL42" s="16"/>
      <c r="TIM42" s="16"/>
      <c r="TIN42" s="16"/>
      <c r="TIO42" s="16"/>
      <c r="TIP42" s="16"/>
      <c r="TIQ42" s="16"/>
      <c r="TIR42" s="16"/>
      <c r="TIS42" s="16"/>
      <c r="TIT42" s="16"/>
      <c r="TIU42" s="16"/>
      <c r="TIV42" s="16"/>
      <c r="TIW42" s="16"/>
      <c r="TIX42" s="16"/>
      <c r="TIY42" s="16"/>
      <c r="TIZ42" s="16"/>
      <c r="TJA42" s="16"/>
      <c r="TJB42" s="16"/>
      <c r="TJC42" s="16"/>
      <c r="TJD42" s="16"/>
      <c r="TJE42" s="16"/>
      <c r="TJF42" s="16"/>
      <c r="TJG42" s="16"/>
      <c r="TJH42" s="16"/>
      <c r="TJI42" s="16"/>
      <c r="TJJ42" s="16"/>
      <c r="TJK42" s="16"/>
      <c r="TJL42" s="16"/>
      <c r="TJM42" s="16"/>
      <c r="TJN42" s="16"/>
      <c r="TJO42" s="16"/>
      <c r="TJP42" s="16"/>
      <c r="TJQ42" s="16"/>
      <c r="TJR42" s="16"/>
      <c r="TJS42" s="16"/>
      <c r="TJT42" s="16"/>
      <c r="TJU42" s="16"/>
      <c r="TJV42" s="16"/>
      <c r="TJW42" s="16"/>
      <c r="TJX42" s="16"/>
      <c r="TJY42" s="16"/>
      <c r="TJZ42" s="16"/>
      <c r="TKA42" s="16"/>
      <c r="TKB42" s="16"/>
      <c r="TKC42" s="16"/>
      <c r="TKD42" s="16"/>
      <c r="TKE42" s="16"/>
      <c r="TKF42" s="16"/>
      <c r="TKG42" s="16"/>
      <c r="TKH42" s="16"/>
      <c r="TKI42" s="16"/>
      <c r="TKJ42" s="16"/>
      <c r="TKK42" s="16"/>
      <c r="TKL42" s="16"/>
      <c r="TKM42" s="16"/>
      <c r="TKN42" s="16"/>
      <c r="TKO42" s="16"/>
      <c r="TKP42" s="16"/>
      <c r="TKQ42" s="16"/>
      <c r="TKR42" s="16"/>
      <c r="TKS42" s="16"/>
      <c r="TKT42" s="16"/>
      <c r="TKU42" s="16"/>
      <c r="TKV42" s="16"/>
      <c r="TKW42" s="16"/>
      <c r="TKX42" s="16"/>
      <c r="TKY42" s="16"/>
      <c r="TKZ42" s="16"/>
      <c r="TLA42" s="16"/>
      <c r="TLB42" s="16"/>
      <c r="TLC42" s="16"/>
      <c r="TLD42" s="16"/>
      <c r="TLE42" s="16"/>
      <c r="TLF42" s="16"/>
      <c r="TLG42" s="16"/>
      <c r="TLH42" s="16"/>
      <c r="TLI42" s="16"/>
      <c r="TLJ42" s="16"/>
      <c r="TLK42" s="16"/>
      <c r="TLL42" s="16"/>
      <c r="TLM42" s="16"/>
      <c r="TLN42" s="16"/>
      <c r="TLO42" s="16"/>
      <c r="TLP42" s="16"/>
      <c r="TLQ42" s="16"/>
      <c r="TLR42" s="16"/>
      <c r="TLS42" s="16"/>
      <c r="TLT42" s="16"/>
      <c r="TLU42" s="16"/>
      <c r="TLV42" s="16"/>
      <c r="TLW42" s="16"/>
      <c r="TLX42" s="16"/>
      <c r="TLY42" s="16"/>
      <c r="TLZ42" s="16"/>
      <c r="TMA42" s="16"/>
      <c r="TMB42" s="16"/>
      <c r="TMC42" s="16"/>
      <c r="TMD42" s="16"/>
      <c r="TME42" s="16"/>
      <c r="TMF42" s="16"/>
      <c r="TMG42" s="16"/>
      <c r="TMH42" s="16"/>
      <c r="TMI42" s="16"/>
      <c r="TMJ42" s="16"/>
      <c r="TMK42" s="16"/>
      <c r="TML42" s="16"/>
      <c r="TMM42" s="16"/>
      <c r="TMN42" s="16"/>
      <c r="TMO42" s="16"/>
      <c r="TMP42" s="16"/>
      <c r="TMQ42" s="16"/>
      <c r="TMR42" s="16"/>
      <c r="TMS42" s="16"/>
      <c r="TMT42" s="16"/>
      <c r="TMU42" s="16"/>
      <c r="TMV42" s="16"/>
      <c r="TMW42" s="16"/>
      <c r="TMX42" s="16"/>
      <c r="TMY42" s="16"/>
      <c r="TMZ42" s="16"/>
      <c r="TNA42" s="16"/>
      <c r="TNB42" s="16"/>
      <c r="TNC42" s="16"/>
      <c r="TND42" s="16"/>
      <c r="TNE42" s="16"/>
      <c r="TNF42" s="16"/>
      <c r="TNG42" s="16"/>
      <c r="TNH42" s="16"/>
      <c r="TNI42" s="16"/>
      <c r="TNJ42" s="16"/>
      <c r="TNK42" s="16"/>
      <c r="TNL42" s="16"/>
      <c r="TNM42" s="16"/>
      <c r="TNN42" s="16"/>
      <c r="TNO42" s="16"/>
      <c r="TNP42" s="16"/>
      <c r="TNQ42" s="16"/>
      <c r="TNR42" s="16"/>
      <c r="TNS42" s="16"/>
      <c r="TNT42" s="16"/>
      <c r="TNU42" s="16"/>
      <c r="TNV42" s="16"/>
      <c r="TNW42" s="16"/>
      <c r="TNX42" s="16"/>
      <c r="TNY42" s="16"/>
      <c r="TNZ42" s="16"/>
      <c r="TOA42" s="16"/>
      <c r="TOB42" s="16"/>
      <c r="TOC42" s="16"/>
      <c r="TOD42" s="16"/>
      <c r="TOE42" s="16"/>
      <c r="TOF42" s="16"/>
      <c r="TOG42" s="16"/>
      <c r="TOH42" s="16"/>
      <c r="TOI42" s="16"/>
      <c r="TOJ42" s="16"/>
      <c r="TOK42" s="16"/>
      <c r="TOL42" s="16"/>
      <c r="TOM42" s="16"/>
      <c r="TON42" s="16"/>
      <c r="TOO42" s="16"/>
      <c r="TOP42" s="16"/>
      <c r="TOQ42" s="16"/>
      <c r="TOR42" s="16"/>
      <c r="TOS42" s="16"/>
      <c r="TOT42" s="16"/>
      <c r="TOU42" s="16"/>
      <c r="TOV42" s="16"/>
      <c r="TOW42" s="16"/>
      <c r="TOX42" s="16"/>
      <c r="TOY42" s="16"/>
      <c r="TOZ42" s="16"/>
      <c r="TPA42" s="16"/>
      <c r="TPB42" s="16"/>
      <c r="TPC42" s="16"/>
      <c r="TPD42" s="16"/>
      <c r="TPE42" s="16"/>
      <c r="TPF42" s="16"/>
      <c r="TPG42" s="16"/>
      <c r="TPH42" s="16"/>
      <c r="TPI42" s="16"/>
      <c r="TPJ42" s="16"/>
      <c r="TPK42" s="16"/>
      <c r="TPL42" s="16"/>
      <c r="TPM42" s="16"/>
      <c r="TPN42" s="16"/>
      <c r="TPO42" s="16"/>
      <c r="TPP42" s="16"/>
      <c r="TPQ42" s="16"/>
      <c r="TPR42" s="16"/>
      <c r="TPS42" s="16"/>
      <c r="TPT42" s="16"/>
      <c r="TPU42" s="16"/>
      <c r="TPV42" s="16"/>
      <c r="TPW42" s="16"/>
      <c r="TPX42" s="16"/>
      <c r="TPY42" s="16"/>
      <c r="TPZ42" s="16"/>
      <c r="TQA42" s="16"/>
      <c r="TQB42" s="16"/>
      <c r="TQC42" s="16"/>
      <c r="TQD42" s="16"/>
      <c r="TQE42" s="16"/>
      <c r="TQF42" s="16"/>
      <c r="TQG42" s="16"/>
      <c r="TQH42" s="16"/>
      <c r="TQI42" s="16"/>
      <c r="TQJ42" s="16"/>
      <c r="TQK42" s="16"/>
      <c r="TQL42" s="16"/>
      <c r="TQM42" s="16"/>
      <c r="TQN42" s="16"/>
      <c r="TQO42" s="16"/>
      <c r="TQP42" s="16"/>
      <c r="TQQ42" s="16"/>
      <c r="TQR42" s="16"/>
      <c r="TQS42" s="16"/>
      <c r="TQT42" s="16"/>
      <c r="TQU42" s="16"/>
      <c r="TQV42" s="16"/>
      <c r="TQW42" s="16"/>
      <c r="TQX42" s="16"/>
      <c r="TQY42" s="16"/>
      <c r="TQZ42" s="16"/>
      <c r="TRA42" s="16"/>
      <c r="TRB42" s="16"/>
      <c r="TRC42" s="16"/>
      <c r="TRD42" s="16"/>
      <c r="TRE42" s="16"/>
      <c r="TRF42" s="16"/>
      <c r="TRG42" s="16"/>
      <c r="TRH42" s="16"/>
      <c r="TRI42" s="16"/>
      <c r="TRJ42" s="16"/>
      <c r="TRK42" s="16"/>
      <c r="TRL42" s="16"/>
      <c r="TRM42" s="16"/>
      <c r="TRN42" s="16"/>
      <c r="TRO42" s="16"/>
      <c r="TRP42" s="16"/>
      <c r="TRQ42" s="16"/>
      <c r="TRR42" s="16"/>
      <c r="TRS42" s="16"/>
      <c r="TRT42" s="16"/>
      <c r="TRU42" s="16"/>
      <c r="TRV42" s="16"/>
      <c r="TRW42" s="16"/>
      <c r="TRX42" s="16"/>
      <c r="TRY42" s="16"/>
      <c r="TRZ42" s="16"/>
      <c r="TSA42" s="16"/>
      <c r="TSB42" s="16"/>
      <c r="TSC42" s="16"/>
      <c r="TSD42" s="16"/>
      <c r="TSE42" s="16"/>
      <c r="TSF42" s="16"/>
      <c r="TSG42" s="16"/>
      <c r="TSH42" s="16"/>
      <c r="TSI42" s="16"/>
      <c r="TSJ42" s="16"/>
      <c r="TSK42" s="16"/>
      <c r="TSL42" s="16"/>
      <c r="TSM42" s="16"/>
      <c r="TSN42" s="16"/>
      <c r="TSO42" s="16"/>
      <c r="TSP42" s="16"/>
      <c r="TSQ42" s="16"/>
      <c r="TSR42" s="16"/>
      <c r="TSS42" s="16"/>
      <c r="TST42" s="16"/>
      <c r="TSU42" s="16"/>
      <c r="TSV42" s="16"/>
      <c r="TSW42" s="16"/>
      <c r="TSX42" s="16"/>
      <c r="TSY42" s="16"/>
      <c r="TSZ42" s="16"/>
      <c r="TTA42" s="16"/>
      <c r="TTB42" s="16"/>
      <c r="TTC42" s="16"/>
      <c r="TTD42" s="16"/>
      <c r="TTE42" s="16"/>
      <c r="TTF42" s="16"/>
      <c r="TTG42" s="16"/>
      <c r="TTH42" s="16"/>
      <c r="TTI42" s="16"/>
      <c r="TTJ42" s="16"/>
      <c r="TTK42" s="16"/>
      <c r="TTL42" s="16"/>
      <c r="TTM42" s="16"/>
      <c r="TTN42" s="16"/>
      <c r="TTO42" s="16"/>
      <c r="TTP42" s="16"/>
      <c r="TTQ42" s="16"/>
      <c r="TTR42" s="16"/>
      <c r="TTS42" s="16"/>
      <c r="TTT42" s="16"/>
      <c r="TTU42" s="16"/>
      <c r="TTV42" s="16"/>
      <c r="TTW42" s="16"/>
      <c r="TTX42" s="16"/>
      <c r="TTY42" s="16"/>
      <c r="TTZ42" s="16"/>
      <c r="TUA42" s="16"/>
      <c r="TUB42" s="16"/>
      <c r="TUC42" s="16"/>
      <c r="TUD42" s="16"/>
      <c r="TUE42" s="16"/>
      <c r="TUF42" s="16"/>
      <c r="TUG42" s="16"/>
      <c r="TUH42" s="16"/>
      <c r="TUI42" s="16"/>
      <c r="TUJ42" s="16"/>
      <c r="TUK42" s="16"/>
      <c r="TUL42" s="16"/>
      <c r="TUM42" s="16"/>
      <c r="TUN42" s="16"/>
      <c r="TUO42" s="16"/>
      <c r="TUP42" s="16"/>
      <c r="TUQ42" s="16"/>
      <c r="TUR42" s="16"/>
      <c r="TUS42" s="16"/>
      <c r="TUT42" s="16"/>
      <c r="TUU42" s="16"/>
      <c r="TUV42" s="16"/>
      <c r="TUW42" s="16"/>
      <c r="TUX42" s="16"/>
      <c r="TUY42" s="16"/>
      <c r="TUZ42" s="16"/>
      <c r="TVA42" s="16"/>
      <c r="TVB42" s="16"/>
      <c r="TVC42" s="16"/>
      <c r="TVD42" s="16"/>
      <c r="TVE42" s="16"/>
      <c r="TVF42" s="16"/>
      <c r="TVG42" s="16"/>
      <c r="TVH42" s="16"/>
      <c r="TVI42" s="16"/>
      <c r="TVJ42" s="16"/>
      <c r="TVK42" s="16"/>
      <c r="TVL42" s="16"/>
      <c r="TVM42" s="16"/>
      <c r="TVN42" s="16"/>
      <c r="TVO42" s="16"/>
      <c r="TVP42" s="16"/>
      <c r="TVQ42" s="16"/>
      <c r="TVR42" s="16"/>
      <c r="TVS42" s="16"/>
      <c r="TVT42" s="16"/>
      <c r="TVU42" s="16"/>
      <c r="TVV42" s="16"/>
      <c r="TVW42" s="16"/>
      <c r="TVX42" s="16"/>
      <c r="TVY42" s="16"/>
      <c r="TVZ42" s="16"/>
      <c r="TWA42" s="16"/>
      <c r="TWB42" s="16"/>
      <c r="TWC42" s="16"/>
      <c r="TWD42" s="16"/>
      <c r="TWE42" s="16"/>
      <c r="TWF42" s="16"/>
      <c r="TWG42" s="16"/>
      <c r="TWH42" s="16"/>
      <c r="TWI42" s="16"/>
      <c r="TWJ42" s="16"/>
      <c r="TWK42" s="16"/>
      <c r="TWL42" s="16"/>
      <c r="TWM42" s="16"/>
      <c r="TWN42" s="16"/>
      <c r="TWO42" s="16"/>
      <c r="TWP42" s="16"/>
      <c r="TWQ42" s="16"/>
      <c r="TWR42" s="16"/>
      <c r="TWS42" s="16"/>
      <c r="TWT42" s="16"/>
      <c r="TWU42" s="16"/>
      <c r="TWV42" s="16"/>
      <c r="TWW42" s="16"/>
      <c r="TWX42" s="16"/>
      <c r="TWY42" s="16"/>
      <c r="TWZ42" s="16"/>
      <c r="TXA42" s="16"/>
      <c r="TXB42" s="16"/>
      <c r="TXC42" s="16"/>
      <c r="TXD42" s="16"/>
      <c r="TXE42" s="16"/>
      <c r="TXF42" s="16"/>
      <c r="TXG42" s="16"/>
      <c r="TXH42" s="16"/>
      <c r="TXI42" s="16"/>
      <c r="TXJ42" s="16"/>
      <c r="TXK42" s="16"/>
      <c r="TXL42" s="16"/>
      <c r="TXM42" s="16"/>
      <c r="TXN42" s="16"/>
      <c r="TXO42" s="16"/>
      <c r="TXP42" s="16"/>
      <c r="TXQ42" s="16"/>
      <c r="TXR42" s="16"/>
      <c r="TXS42" s="16"/>
      <c r="TXT42" s="16"/>
      <c r="TXU42" s="16"/>
      <c r="TXV42" s="16"/>
      <c r="TXW42" s="16"/>
      <c r="TXX42" s="16"/>
      <c r="TXY42" s="16"/>
      <c r="TXZ42" s="16"/>
      <c r="TYA42" s="16"/>
      <c r="TYB42" s="16"/>
      <c r="TYC42" s="16"/>
      <c r="TYD42" s="16"/>
      <c r="TYE42" s="16"/>
      <c r="TYF42" s="16"/>
      <c r="TYG42" s="16"/>
      <c r="TYH42" s="16"/>
      <c r="TYI42" s="16"/>
      <c r="TYJ42" s="16"/>
      <c r="TYK42" s="16"/>
      <c r="TYL42" s="16"/>
      <c r="TYM42" s="16"/>
      <c r="TYN42" s="16"/>
      <c r="TYO42" s="16"/>
      <c r="TYP42" s="16"/>
      <c r="TYQ42" s="16"/>
      <c r="TYR42" s="16"/>
      <c r="TYS42" s="16"/>
      <c r="TYT42" s="16"/>
      <c r="TYU42" s="16"/>
      <c r="TYV42" s="16"/>
      <c r="TYW42" s="16"/>
      <c r="TYX42" s="16"/>
      <c r="TYY42" s="16"/>
      <c r="TYZ42" s="16"/>
      <c r="TZA42" s="16"/>
      <c r="TZB42" s="16"/>
      <c r="TZC42" s="16"/>
      <c r="TZD42" s="16"/>
      <c r="TZE42" s="16"/>
      <c r="TZF42" s="16"/>
      <c r="TZG42" s="16"/>
      <c r="TZH42" s="16"/>
      <c r="TZI42" s="16"/>
      <c r="TZJ42" s="16"/>
      <c r="TZK42" s="16"/>
      <c r="TZL42" s="16"/>
      <c r="TZM42" s="16"/>
      <c r="TZN42" s="16"/>
      <c r="TZO42" s="16"/>
      <c r="TZP42" s="16"/>
      <c r="TZQ42" s="16"/>
      <c r="TZR42" s="16"/>
      <c r="TZS42" s="16"/>
      <c r="TZT42" s="16"/>
      <c r="TZU42" s="16"/>
      <c r="TZV42" s="16"/>
      <c r="TZW42" s="16"/>
      <c r="TZX42" s="16"/>
      <c r="TZY42" s="16"/>
      <c r="TZZ42" s="16"/>
      <c r="UAA42" s="16"/>
      <c r="UAB42" s="16"/>
      <c r="UAC42" s="16"/>
      <c r="UAD42" s="16"/>
      <c r="UAE42" s="16"/>
      <c r="UAF42" s="16"/>
      <c r="UAG42" s="16"/>
      <c r="UAH42" s="16"/>
      <c r="UAI42" s="16"/>
      <c r="UAJ42" s="16"/>
      <c r="UAK42" s="16"/>
      <c r="UAL42" s="16"/>
      <c r="UAM42" s="16"/>
      <c r="UAN42" s="16"/>
      <c r="UAO42" s="16"/>
      <c r="UAP42" s="16"/>
      <c r="UAQ42" s="16"/>
      <c r="UAR42" s="16"/>
      <c r="UAS42" s="16"/>
      <c r="UAT42" s="16"/>
      <c r="UAU42" s="16"/>
      <c r="UAV42" s="16"/>
      <c r="UAW42" s="16"/>
      <c r="UAX42" s="16"/>
      <c r="UAY42" s="16"/>
      <c r="UAZ42" s="16"/>
      <c r="UBA42" s="16"/>
      <c r="UBB42" s="16"/>
      <c r="UBC42" s="16"/>
      <c r="UBD42" s="16"/>
      <c r="UBE42" s="16"/>
      <c r="UBF42" s="16"/>
      <c r="UBG42" s="16"/>
      <c r="UBH42" s="16"/>
      <c r="UBI42" s="16"/>
      <c r="UBJ42" s="16"/>
      <c r="UBK42" s="16"/>
      <c r="UBL42" s="16"/>
      <c r="UBM42" s="16"/>
      <c r="UBN42" s="16"/>
      <c r="UBO42" s="16"/>
      <c r="UBP42" s="16"/>
      <c r="UBQ42" s="16"/>
      <c r="UBR42" s="16"/>
      <c r="UBS42" s="16"/>
      <c r="UBT42" s="16"/>
      <c r="UBU42" s="16"/>
      <c r="UBV42" s="16"/>
      <c r="UBW42" s="16"/>
      <c r="UBX42" s="16"/>
      <c r="UBY42" s="16"/>
      <c r="UBZ42" s="16"/>
      <c r="UCA42" s="16"/>
      <c r="UCB42" s="16"/>
      <c r="UCC42" s="16"/>
      <c r="UCD42" s="16"/>
      <c r="UCE42" s="16"/>
      <c r="UCF42" s="16"/>
      <c r="UCG42" s="16"/>
      <c r="UCH42" s="16"/>
      <c r="UCI42" s="16"/>
      <c r="UCJ42" s="16"/>
      <c r="UCK42" s="16"/>
      <c r="UCL42" s="16"/>
      <c r="UCM42" s="16"/>
      <c r="UCN42" s="16"/>
      <c r="UCO42" s="16"/>
      <c r="UCP42" s="16"/>
      <c r="UCQ42" s="16"/>
      <c r="UCR42" s="16"/>
      <c r="UCS42" s="16"/>
      <c r="UCT42" s="16"/>
      <c r="UCU42" s="16"/>
      <c r="UCV42" s="16"/>
      <c r="UCW42" s="16"/>
      <c r="UCX42" s="16"/>
      <c r="UCY42" s="16"/>
      <c r="UCZ42" s="16"/>
      <c r="UDA42" s="16"/>
      <c r="UDB42" s="16"/>
      <c r="UDC42" s="16"/>
      <c r="UDD42" s="16"/>
      <c r="UDE42" s="16"/>
      <c r="UDF42" s="16"/>
      <c r="UDG42" s="16"/>
      <c r="UDH42" s="16"/>
      <c r="UDI42" s="16"/>
      <c r="UDJ42" s="16"/>
      <c r="UDK42" s="16"/>
      <c r="UDL42" s="16"/>
      <c r="UDM42" s="16"/>
      <c r="UDN42" s="16"/>
      <c r="UDO42" s="16"/>
      <c r="UDP42" s="16"/>
      <c r="UDQ42" s="16"/>
      <c r="UDR42" s="16"/>
      <c r="UDS42" s="16"/>
      <c r="UDT42" s="16"/>
      <c r="UDU42" s="16"/>
      <c r="UDV42" s="16"/>
      <c r="UDW42" s="16"/>
      <c r="UDX42" s="16"/>
      <c r="UDY42" s="16"/>
      <c r="UDZ42" s="16"/>
      <c r="UEA42" s="16"/>
      <c r="UEB42" s="16"/>
      <c r="UEC42" s="16"/>
      <c r="UED42" s="16"/>
      <c r="UEE42" s="16"/>
      <c r="UEF42" s="16"/>
      <c r="UEG42" s="16"/>
      <c r="UEH42" s="16"/>
      <c r="UEI42" s="16"/>
      <c r="UEJ42" s="16"/>
      <c r="UEK42" s="16"/>
      <c r="UEL42" s="16"/>
      <c r="UEM42" s="16"/>
      <c r="UEN42" s="16"/>
      <c r="UEO42" s="16"/>
      <c r="UEP42" s="16"/>
      <c r="UEQ42" s="16"/>
      <c r="UER42" s="16"/>
      <c r="UES42" s="16"/>
      <c r="UET42" s="16"/>
      <c r="UEU42" s="16"/>
      <c r="UEV42" s="16"/>
      <c r="UEW42" s="16"/>
      <c r="UEX42" s="16"/>
      <c r="UEY42" s="16"/>
      <c r="UEZ42" s="16"/>
      <c r="UFA42" s="16"/>
      <c r="UFB42" s="16"/>
      <c r="UFC42" s="16"/>
      <c r="UFD42" s="16"/>
      <c r="UFE42" s="16"/>
      <c r="UFF42" s="16"/>
      <c r="UFG42" s="16"/>
      <c r="UFH42" s="16"/>
      <c r="UFI42" s="16"/>
      <c r="UFJ42" s="16"/>
      <c r="UFK42" s="16"/>
      <c r="UFL42" s="16"/>
      <c r="UFM42" s="16"/>
      <c r="UFN42" s="16"/>
      <c r="UFO42" s="16"/>
      <c r="UFP42" s="16"/>
      <c r="UFQ42" s="16"/>
      <c r="UFR42" s="16"/>
      <c r="UFS42" s="16"/>
      <c r="UFT42" s="16"/>
      <c r="UFU42" s="16"/>
      <c r="UFV42" s="16"/>
      <c r="UFW42" s="16"/>
      <c r="UFX42" s="16"/>
      <c r="UFY42" s="16"/>
      <c r="UFZ42" s="16"/>
      <c r="UGA42" s="16"/>
      <c r="UGB42" s="16"/>
      <c r="UGC42" s="16"/>
      <c r="UGD42" s="16"/>
      <c r="UGE42" s="16"/>
      <c r="UGF42" s="16"/>
      <c r="UGG42" s="16"/>
      <c r="UGH42" s="16"/>
      <c r="UGI42" s="16"/>
      <c r="UGJ42" s="16"/>
      <c r="UGK42" s="16"/>
      <c r="UGL42" s="16"/>
      <c r="UGM42" s="16"/>
      <c r="UGN42" s="16"/>
      <c r="UGO42" s="16"/>
      <c r="UGP42" s="16"/>
      <c r="UGQ42" s="16"/>
      <c r="UGR42" s="16"/>
      <c r="UGS42" s="16"/>
      <c r="UGT42" s="16"/>
      <c r="UGU42" s="16"/>
      <c r="UGV42" s="16"/>
      <c r="UGW42" s="16"/>
      <c r="UGX42" s="16"/>
      <c r="UGY42" s="16"/>
      <c r="UGZ42" s="16"/>
      <c r="UHA42" s="16"/>
      <c r="UHB42" s="16"/>
      <c r="UHC42" s="16"/>
      <c r="UHD42" s="16"/>
      <c r="UHE42" s="16"/>
      <c r="UHF42" s="16"/>
      <c r="UHG42" s="16"/>
      <c r="UHH42" s="16"/>
      <c r="UHI42" s="16"/>
      <c r="UHJ42" s="16"/>
      <c r="UHK42" s="16"/>
      <c r="UHL42" s="16"/>
      <c r="UHM42" s="16"/>
      <c r="UHN42" s="16"/>
      <c r="UHO42" s="16"/>
      <c r="UHP42" s="16"/>
      <c r="UHQ42" s="16"/>
      <c r="UHR42" s="16"/>
      <c r="UHS42" s="16"/>
      <c r="UHT42" s="16"/>
      <c r="UHU42" s="16"/>
      <c r="UHV42" s="16"/>
      <c r="UHW42" s="16"/>
      <c r="UHX42" s="16"/>
      <c r="UHY42" s="16"/>
      <c r="UHZ42" s="16"/>
      <c r="UIA42" s="16"/>
      <c r="UIB42" s="16"/>
      <c r="UIC42" s="16"/>
      <c r="UID42" s="16"/>
      <c r="UIE42" s="16"/>
      <c r="UIF42" s="16"/>
      <c r="UIG42" s="16"/>
      <c r="UIH42" s="16"/>
      <c r="UII42" s="16"/>
      <c r="UIJ42" s="16"/>
      <c r="UIK42" s="16"/>
      <c r="UIL42" s="16"/>
      <c r="UIM42" s="16"/>
      <c r="UIN42" s="16"/>
      <c r="UIO42" s="16"/>
      <c r="UIP42" s="16"/>
      <c r="UIQ42" s="16"/>
      <c r="UIR42" s="16"/>
      <c r="UIS42" s="16"/>
      <c r="UIT42" s="16"/>
      <c r="UIU42" s="16"/>
      <c r="UIV42" s="16"/>
      <c r="UIW42" s="16"/>
      <c r="UIX42" s="16"/>
      <c r="UIY42" s="16"/>
      <c r="UIZ42" s="16"/>
      <c r="UJA42" s="16"/>
      <c r="UJB42" s="16"/>
      <c r="UJC42" s="16"/>
      <c r="UJD42" s="16"/>
      <c r="UJE42" s="16"/>
      <c r="UJF42" s="16"/>
      <c r="UJG42" s="16"/>
      <c r="UJH42" s="16"/>
      <c r="UJI42" s="16"/>
      <c r="UJJ42" s="16"/>
      <c r="UJK42" s="16"/>
      <c r="UJL42" s="16"/>
      <c r="UJM42" s="16"/>
      <c r="UJN42" s="16"/>
      <c r="UJO42" s="16"/>
      <c r="UJP42" s="16"/>
      <c r="UJQ42" s="16"/>
      <c r="UJR42" s="16"/>
      <c r="UJS42" s="16"/>
      <c r="UJT42" s="16"/>
      <c r="UJU42" s="16"/>
      <c r="UJV42" s="16"/>
      <c r="UJW42" s="16"/>
      <c r="UJX42" s="16"/>
      <c r="UJY42" s="16"/>
      <c r="UJZ42" s="16"/>
      <c r="UKA42" s="16"/>
      <c r="UKB42" s="16"/>
      <c r="UKC42" s="16"/>
      <c r="UKD42" s="16"/>
      <c r="UKE42" s="16"/>
      <c r="UKF42" s="16"/>
      <c r="UKG42" s="16"/>
      <c r="UKH42" s="16"/>
      <c r="UKI42" s="16"/>
      <c r="UKJ42" s="16"/>
      <c r="UKK42" s="16"/>
      <c r="UKL42" s="16"/>
      <c r="UKM42" s="16"/>
      <c r="UKN42" s="16"/>
      <c r="UKO42" s="16"/>
      <c r="UKP42" s="16"/>
      <c r="UKQ42" s="16"/>
      <c r="UKR42" s="16"/>
      <c r="UKS42" s="16"/>
      <c r="UKT42" s="16"/>
      <c r="UKU42" s="16"/>
      <c r="UKV42" s="16"/>
      <c r="UKW42" s="16"/>
      <c r="UKX42" s="16"/>
      <c r="UKY42" s="16"/>
      <c r="UKZ42" s="16"/>
      <c r="ULA42" s="16"/>
      <c r="ULB42" s="16"/>
      <c r="ULC42" s="16"/>
      <c r="ULD42" s="16"/>
      <c r="ULE42" s="16"/>
      <c r="ULF42" s="16"/>
      <c r="ULG42" s="16"/>
      <c r="ULH42" s="16"/>
      <c r="ULI42" s="16"/>
      <c r="ULJ42" s="16"/>
      <c r="ULK42" s="16"/>
      <c r="ULL42" s="16"/>
      <c r="ULM42" s="16"/>
      <c r="ULN42" s="16"/>
      <c r="ULO42" s="16"/>
      <c r="ULP42" s="16"/>
      <c r="ULQ42" s="16"/>
      <c r="ULR42" s="16"/>
      <c r="ULS42" s="16"/>
      <c r="ULT42" s="16"/>
      <c r="ULU42" s="16"/>
      <c r="ULV42" s="16"/>
      <c r="ULW42" s="16"/>
      <c r="ULX42" s="16"/>
      <c r="ULY42" s="16"/>
      <c r="ULZ42" s="16"/>
      <c r="UMA42" s="16"/>
      <c r="UMB42" s="16"/>
      <c r="UMC42" s="16"/>
      <c r="UMD42" s="16"/>
      <c r="UME42" s="16"/>
      <c r="UMF42" s="16"/>
      <c r="UMG42" s="16"/>
      <c r="UMH42" s="16"/>
      <c r="UMI42" s="16"/>
      <c r="UMJ42" s="16"/>
      <c r="UMK42" s="16"/>
      <c r="UML42" s="16"/>
      <c r="UMM42" s="16"/>
      <c r="UMN42" s="16"/>
      <c r="UMO42" s="16"/>
      <c r="UMP42" s="16"/>
      <c r="UMQ42" s="16"/>
      <c r="UMR42" s="16"/>
      <c r="UMS42" s="16"/>
      <c r="UMT42" s="16"/>
      <c r="UMU42" s="16"/>
      <c r="UMV42" s="16"/>
      <c r="UMW42" s="16"/>
      <c r="UMX42" s="16"/>
      <c r="UMY42" s="16"/>
      <c r="UMZ42" s="16"/>
      <c r="UNA42" s="16"/>
      <c r="UNB42" s="16"/>
      <c r="UNC42" s="16"/>
      <c r="UND42" s="16"/>
      <c r="UNE42" s="16"/>
      <c r="UNF42" s="16"/>
      <c r="UNG42" s="16"/>
      <c r="UNH42" s="16"/>
      <c r="UNI42" s="16"/>
      <c r="UNJ42" s="16"/>
      <c r="UNK42" s="16"/>
      <c r="UNL42" s="16"/>
      <c r="UNM42" s="16"/>
      <c r="UNN42" s="16"/>
      <c r="UNO42" s="16"/>
      <c r="UNP42" s="16"/>
      <c r="UNQ42" s="16"/>
      <c r="UNR42" s="16"/>
      <c r="UNS42" s="16"/>
      <c r="UNT42" s="16"/>
      <c r="UNU42" s="16"/>
      <c r="UNV42" s="16"/>
      <c r="UNW42" s="16"/>
      <c r="UNX42" s="16"/>
      <c r="UNY42" s="16"/>
      <c r="UNZ42" s="16"/>
      <c r="UOA42" s="16"/>
      <c r="UOB42" s="16"/>
      <c r="UOC42" s="16"/>
      <c r="UOD42" s="16"/>
      <c r="UOE42" s="16"/>
      <c r="UOF42" s="16"/>
      <c r="UOG42" s="16"/>
      <c r="UOH42" s="16"/>
      <c r="UOI42" s="16"/>
      <c r="UOJ42" s="16"/>
      <c r="UOK42" s="16"/>
      <c r="UOL42" s="16"/>
      <c r="UOM42" s="16"/>
      <c r="UON42" s="16"/>
      <c r="UOO42" s="16"/>
      <c r="UOP42" s="16"/>
      <c r="UOQ42" s="16"/>
      <c r="UOR42" s="16"/>
      <c r="UOS42" s="16"/>
      <c r="UOT42" s="16"/>
      <c r="UOU42" s="16"/>
      <c r="UOV42" s="16"/>
      <c r="UOW42" s="16"/>
      <c r="UOX42" s="16"/>
      <c r="UOY42" s="16"/>
      <c r="UOZ42" s="16"/>
      <c r="UPA42" s="16"/>
      <c r="UPB42" s="16"/>
      <c r="UPC42" s="16"/>
      <c r="UPD42" s="16"/>
      <c r="UPE42" s="16"/>
      <c r="UPF42" s="16"/>
      <c r="UPG42" s="16"/>
      <c r="UPH42" s="16"/>
      <c r="UPI42" s="16"/>
      <c r="UPJ42" s="16"/>
      <c r="UPK42" s="16"/>
      <c r="UPL42" s="16"/>
      <c r="UPM42" s="16"/>
      <c r="UPN42" s="16"/>
      <c r="UPO42" s="16"/>
      <c r="UPP42" s="16"/>
      <c r="UPQ42" s="16"/>
      <c r="UPR42" s="16"/>
      <c r="UPS42" s="16"/>
      <c r="UPT42" s="16"/>
      <c r="UPU42" s="16"/>
      <c r="UPV42" s="16"/>
      <c r="UPW42" s="16"/>
      <c r="UPX42" s="16"/>
      <c r="UPY42" s="16"/>
      <c r="UPZ42" s="16"/>
      <c r="UQA42" s="16"/>
      <c r="UQB42" s="16"/>
      <c r="UQC42" s="16"/>
      <c r="UQD42" s="16"/>
      <c r="UQE42" s="16"/>
      <c r="UQF42" s="16"/>
      <c r="UQG42" s="16"/>
      <c r="UQH42" s="16"/>
      <c r="UQI42" s="16"/>
      <c r="UQJ42" s="16"/>
      <c r="UQK42" s="16"/>
      <c r="UQL42" s="16"/>
      <c r="UQM42" s="16"/>
      <c r="UQN42" s="16"/>
      <c r="UQO42" s="16"/>
      <c r="UQP42" s="16"/>
      <c r="UQQ42" s="16"/>
      <c r="UQR42" s="16"/>
      <c r="UQS42" s="16"/>
      <c r="UQT42" s="16"/>
      <c r="UQU42" s="16"/>
      <c r="UQV42" s="16"/>
      <c r="UQW42" s="16"/>
      <c r="UQX42" s="16"/>
      <c r="UQY42" s="16"/>
      <c r="UQZ42" s="16"/>
      <c r="URA42" s="16"/>
      <c r="URB42" s="16"/>
      <c r="URC42" s="16"/>
      <c r="URD42" s="16"/>
      <c r="URE42" s="16"/>
      <c r="URF42" s="16"/>
      <c r="URG42" s="16"/>
      <c r="URH42" s="16"/>
      <c r="URI42" s="16"/>
      <c r="URJ42" s="16"/>
      <c r="URK42" s="16"/>
      <c r="URL42" s="16"/>
      <c r="URM42" s="16"/>
      <c r="URN42" s="16"/>
      <c r="URO42" s="16"/>
      <c r="URP42" s="16"/>
      <c r="URQ42" s="16"/>
      <c r="URR42" s="16"/>
      <c r="URS42" s="16"/>
      <c r="URT42" s="16"/>
      <c r="URU42" s="16"/>
      <c r="URV42" s="16"/>
      <c r="URW42" s="16"/>
      <c r="URX42" s="16"/>
      <c r="URY42" s="16"/>
      <c r="URZ42" s="16"/>
      <c r="USA42" s="16"/>
      <c r="USB42" s="16"/>
      <c r="USC42" s="16"/>
      <c r="USD42" s="16"/>
      <c r="USE42" s="16"/>
      <c r="USF42" s="16"/>
      <c r="USG42" s="16"/>
      <c r="USH42" s="16"/>
      <c r="USI42" s="16"/>
      <c r="USJ42" s="16"/>
      <c r="USK42" s="16"/>
      <c r="USL42" s="16"/>
      <c r="USM42" s="16"/>
      <c r="USN42" s="16"/>
      <c r="USO42" s="16"/>
      <c r="USP42" s="16"/>
      <c r="USQ42" s="16"/>
      <c r="USR42" s="16"/>
      <c r="USS42" s="16"/>
      <c r="UST42" s="16"/>
      <c r="USU42" s="16"/>
      <c r="USV42" s="16"/>
      <c r="USW42" s="16"/>
      <c r="USX42" s="16"/>
      <c r="USY42" s="16"/>
      <c r="USZ42" s="16"/>
      <c r="UTA42" s="16"/>
      <c r="UTB42" s="16"/>
      <c r="UTC42" s="16"/>
      <c r="UTD42" s="16"/>
      <c r="UTE42" s="16"/>
      <c r="UTF42" s="16"/>
      <c r="UTG42" s="16"/>
      <c r="UTH42" s="16"/>
      <c r="UTI42" s="16"/>
      <c r="UTJ42" s="16"/>
      <c r="UTK42" s="16"/>
      <c r="UTL42" s="16"/>
      <c r="UTM42" s="16"/>
      <c r="UTN42" s="16"/>
      <c r="UTO42" s="16"/>
      <c r="UTP42" s="16"/>
      <c r="UTQ42" s="16"/>
      <c r="UTR42" s="16"/>
      <c r="UTS42" s="16"/>
      <c r="UTT42" s="16"/>
      <c r="UTU42" s="16"/>
      <c r="UTV42" s="16"/>
      <c r="UTW42" s="16"/>
      <c r="UTX42" s="16"/>
      <c r="UTY42" s="16"/>
      <c r="UTZ42" s="16"/>
      <c r="UUA42" s="16"/>
      <c r="UUB42" s="16"/>
      <c r="UUC42" s="16"/>
      <c r="UUD42" s="16"/>
      <c r="UUE42" s="16"/>
      <c r="UUF42" s="16"/>
      <c r="UUG42" s="16"/>
      <c r="UUH42" s="16"/>
      <c r="UUI42" s="16"/>
      <c r="UUJ42" s="16"/>
      <c r="UUK42" s="16"/>
      <c r="UUL42" s="16"/>
      <c r="UUM42" s="16"/>
      <c r="UUN42" s="16"/>
      <c r="UUO42" s="16"/>
      <c r="UUP42" s="16"/>
      <c r="UUQ42" s="16"/>
      <c r="UUR42" s="16"/>
      <c r="UUS42" s="16"/>
      <c r="UUT42" s="16"/>
      <c r="UUU42" s="16"/>
      <c r="UUV42" s="16"/>
      <c r="UUW42" s="16"/>
      <c r="UUX42" s="16"/>
      <c r="UUY42" s="16"/>
      <c r="UUZ42" s="16"/>
      <c r="UVA42" s="16"/>
      <c r="UVB42" s="16"/>
      <c r="UVC42" s="16"/>
      <c r="UVD42" s="16"/>
      <c r="UVE42" s="16"/>
      <c r="UVF42" s="16"/>
      <c r="UVG42" s="16"/>
      <c r="UVH42" s="16"/>
      <c r="UVI42" s="16"/>
      <c r="UVJ42" s="16"/>
      <c r="UVK42" s="16"/>
      <c r="UVL42" s="16"/>
      <c r="UVM42" s="16"/>
      <c r="UVN42" s="16"/>
      <c r="UVO42" s="16"/>
      <c r="UVP42" s="16"/>
      <c r="UVQ42" s="16"/>
      <c r="UVR42" s="16"/>
      <c r="UVS42" s="16"/>
      <c r="UVT42" s="16"/>
      <c r="UVU42" s="16"/>
      <c r="UVV42" s="16"/>
      <c r="UVW42" s="16"/>
      <c r="UVX42" s="16"/>
      <c r="UVY42" s="16"/>
      <c r="UVZ42" s="16"/>
      <c r="UWA42" s="16"/>
      <c r="UWB42" s="16"/>
      <c r="UWC42" s="16"/>
      <c r="UWD42" s="16"/>
      <c r="UWE42" s="16"/>
      <c r="UWF42" s="16"/>
      <c r="UWG42" s="16"/>
      <c r="UWH42" s="16"/>
      <c r="UWI42" s="16"/>
      <c r="UWJ42" s="16"/>
      <c r="UWK42" s="16"/>
      <c r="UWL42" s="16"/>
      <c r="UWM42" s="16"/>
      <c r="UWN42" s="16"/>
      <c r="UWO42" s="16"/>
      <c r="UWP42" s="16"/>
      <c r="UWQ42" s="16"/>
      <c r="UWR42" s="16"/>
      <c r="UWS42" s="16"/>
      <c r="UWT42" s="16"/>
      <c r="UWU42" s="16"/>
      <c r="UWV42" s="16"/>
      <c r="UWW42" s="16"/>
      <c r="UWX42" s="16"/>
      <c r="UWY42" s="16"/>
      <c r="UWZ42" s="16"/>
      <c r="UXA42" s="16"/>
      <c r="UXB42" s="16"/>
      <c r="UXC42" s="16"/>
      <c r="UXD42" s="16"/>
      <c r="UXE42" s="16"/>
      <c r="UXF42" s="16"/>
      <c r="UXG42" s="16"/>
      <c r="UXH42" s="16"/>
      <c r="UXI42" s="16"/>
      <c r="UXJ42" s="16"/>
      <c r="UXK42" s="16"/>
      <c r="UXL42" s="16"/>
      <c r="UXM42" s="16"/>
      <c r="UXN42" s="16"/>
      <c r="UXO42" s="16"/>
      <c r="UXP42" s="16"/>
      <c r="UXQ42" s="16"/>
      <c r="UXR42" s="16"/>
      <c r="UXS42" s="16"/>
      <c r="UXT42" s="16"/>
      <c r="UXU42" s="16"/>
      <c r="UXV42" s="16"/>
      <c r="UXW42" s="16"/>
      <c r="UXX42" s="16"/>
      <c r="UXY42" s="16"/>
      <c r="UXZ42" s="16"/>
      <c r="UYA42" s="16"/>
      <c r="UYB42" s="16"/>
      <c r="UYC42" s="16"/>
      <c r="UYD42" s="16"/>
      <c r="UYE42" s="16"/>
      <c r="UYF42" s="16"/>
      <c r="UYG42" s="16"/>
      <c r="UYH42" s="16"/>
      <c r="UYI42" s="16"/>
      <c r="UYJ42" s="16"/>
      <c r="UYK42" s="16"/>
      <c r="UYL42" s="16"/>
      <c r="UYM42" s="16"/>
      <c r="UYN42" s="16"/>
      <c r="UYO42" s="16"/>
      <c r="UYP42" s="16"/>
      <c r="UYQ42" s="16"/>
      <c r="UYR42" s="16"/>
      <c r="UYS42" s="16"/>
      <c r="UYT42" s="16"/>
      <c r="UYU42" s="16"/>
      <c r="UYV42" s="16"/>
      <c r="UYW42" s="16"/>
      <c r="UYX42" s="16"/>
      <c r="UYY42" s="16"/>
      <c r="UYZ42" s="16"/>
      <c r="UZA42" s="16"/>
      <c r="UZB42" s="16"/>
      <c r="UZC42" s="16"/>
      <c r="UZD42" s="16"/>
      <c r="UZE42" s="16"/>
      <c r="UZF42" s="16"/>
      <c r="UZG42" s="16"/>
      <c r="UZH42" s="16"/>
      <c r="UZI42" s="16"/>
      <c r="UZJ42" s="16"/>
      <c r="UZK42" s="16"/>
      <c r="UZL42" s="16"/>
      <c r="UZM42" s="16"/>
      <c r="UZN42" s="16"/>
      <c r="UZO42" s="16"/>
      <c r="UZP42" s="16"/>
      <c r="UZQ42" s="16"/>
      <c r="UZR42" s="16"/>
      <c r="UZS42" s="16"/>
      <c r="UZT42" s="16"/>
      <c r="UZU42" s="16"/>
      <c r="UZV42" s="16"/>
      <c r="UZW42" s="16"/>
      <c r="UZX42" s="16"/>
      <c r="UZY42" s="16"/>
      <c r="UZZ42" s="16"/>
      <c r="VAA42" s="16"/>
      <c r="VAB42" s="16"/>
      <c r="VAC42" s="16"/>
      <c r="VAD42" s="16"/>
      <c r="VAE42" s="16"/>
      <c r="VAF42" s="16"/>
      <c r="VAG42" s="16"/>
      <c r="VAH42" s="16"/>
      <c r="VAI42" s="16"/>
      <c r="VAJ42" s="16"/>
      <c r="VAK42" s="16"/>
      <c r="VAL42" s="16"/>
      <c r="VAM42" s="16"/>
      <c r="VAN42" s="16"/>
      <c r="VAO42" s="16"/>
      <c r="VAP42" s="16"/>
      <c r="VAQ42" s="16"/>
      <c r="VAR42" s="16"/>
      <c r="VAS42" s="16"/>
      <c r="VAT42" s="16"/>
      <c r="VAU42" s="16"/>
      <c r="VAV42" s="16"/>
      <c r="VAW42" s="16"/>
      <c r="VAX42" s="16"/>
      <c r="VAY42" s="16"/>
      <c r="VAZ42" s="16"/>
      <c r="VBA42" s="16"/>
      <c r="VBB42" s="16"/>
      <c r="VBC42" s="16"/>
      <c r="VBD42" s="16"/>
      <c r="VBE42" s="16"/>
      <c r="VBF42" s="16"/>
      <c r="VBG42" s="16"/>
      <c r="VBH42" s="16"/>
      <c r="VBI42" s="16"/>
      <c r="VBJ42" s="16"/>
      <c r="VBK42" s="16"/>
      <c r="VBL42" s="16"/>
      <c r="VBM42" s="16"/>
      <c r="VBN42" s="16"/>
      <c r="VBO42" s="16"/>
      <c r="VBP42" s="16"/>
      <c r="VBQ42" s="16"/>
      <c r="VBR42" s="16"/>
      <c r="VBS42" s="16"/>
      <c r="VBT42" s="16"/>
      <c r="VBU42" s="16"/>
      <c r="VBV42" s="16"/>
      <c r="VBW42" s="16"/>
      <c r="VBX42" s="16"/>
      <c r="VBY42" s="16"/>
      <c r="VBZ42" s="16"/>
      <c r="VCA42" s="16"/>
      <c r="VCB42" s="16"/>
      <c r="VCC42" s="16"/>
      <c r="VCD42" s="16"/>
      <c r="VCE42" s="16"/>
      <c r="VCF42" s="16"/>
      <c r="VCG42" s="16"/>
      <c r="VCH42" s="16"/>
      <c r="VCI42" s="16"/>
      <c r="VCJ42" s="16"/>
      <c r="VCK42" s="16"/>
      <c r="VCL42" s="16"/>
      <c r="VCM42" s="16"/>
      <c r="VCN42" s="16"/>
      <c r="VCO42" s="16"/>
      <c r="VCP42" s="16"/>
      <c r="VCQ42" s="16"/>
      <c r="VCR42" s="16"/>
      <c r="VCS42" s="16"/>
      <c r="VCT42" s="16"/>
      <c r="VCU42" s="16"/>
      <c r="VCV42" s="16"/>
      <c r="VCW42" s="16"/>
      <c r="VCX42" s="16"/>
      <c r="VCY42" s="16"/>
      <c r="VCZ42" s="16"/>
      <c r="VDA42" s="16"/>
      <c r="VDB42" s="16"/>
      <c r="VDC42" s="16"/>
      <c r="VDD42" s="16"/>
      <c r="VDE42" s="16"/>
      <c r="VDF42" s="16"/>
      <c r="VDG42" s="16"/>
      <c r="VDH42" s="16"/>
      <c r="VDI42" s="16"/>
      <c r="VDJ42" s="16"/>
      <c r="VDK42" s="16"/>
      <c r="VDL42" s="16"/>
      <c r="VDM42" s="16"/>
      <c r="VDN42" s="16"/>
      <c r="VDO42" s="16"/>
      <c r="VDP42" s="16"/>
      <c r="VDQ42" s="16"/>
      <c r="VDR42" s="16"/>
      <c r="VDS42" s="16"/>
      <c r="VDT42" s="16"/>
      <c r="VDU42" s="16"/>
      <c r="VDV42" s="16"/>
      <c r="VDW42" s="16"/>
      <c r="VDX42" s="16"/>
      <c r="VDY42" s="16"/>
      <c r="VDZ42" s="16"/>
      <c r="VEA42" s="16"/>
      <c r="VEB42" s="16"/>
      <c r="VEC42" s="16"/>
      <c r="VED42" s="16"/>
      <c r="VEE42" s="16"/>
      <c r="VEF42" s="16"/>
      <c r="VEG42" s="16"/>
      <c r="VEH42" s="16"/>
      <c r="VEI42" s="16"/>
      <c r="VEJ42" s="16"/>
      <c r="VEK42" s="16"/>
      <c r="VEL42" s="16"/>
      <c r="VEM42" s="16"/>
      <c r="VEN42" s="16"/>
      <c r="VEO42" s="16"/>
      <c r="VEP42" s="16"/>
      <c r="VEQ42" s="16"/>
      <c r="VER42" s="16"/>
      <c r="VES42" s="16"/>
      <c r="VET42" s="16"/>
      <c r="VEU42" s="16"/>
      <c r="VEV42" s="16"/>
      <c r="VEW42" s="16"/>
      <c r="VEX42" s="16"/>
      <c r="VEY42" s="16"/>
      <c r="VEZ42" s="16"/>
      <c r="VFA42" s="16"/>
      <c r="VFB42" s="16"/>
      <c r="VFC42" s="16"/>
      <c r="VFD42" s="16"/>
      <c r="VFE42" s="16"/>
      <c r="VFF42" s="16"/>
      <c r="VFG42" s="16"/>
      <c r="VFH42" s="16"/>
      <c r="VFI42" s="16"/>
      <c r="VFJ42" s="16"/>
      <c r="VFK42" s="16"/>
      <c r="VFL42" s="16"/>
      <c r="VFM42" s="16"/>
      <c r="VFN42" s="16"/>
      <c r="VFO42" s="16"/>
      <c r="VFP42" s="16"/>
      <c r="VFQ42" s="16"/>
      <c r="VFR42" s="16"/>
      <c r="VFS42" s="16"/>
      <c r="VFT42" s="16"/>
      <c r="VFU42" s="16"/>
      <c r="VFV42" s="16"/>
      <c r="VFW42" s="16"/>
      <c r="VFX42" s="16"/>
      <c r="VFY42" s="16"/>
      <c r="VFZ42" s="16"/>
      <c r="VGA42" s="16"/>
      <c r="VGB42" s="16"/>
      <c r="VGC42" s="16"/>
      <c r="VGD42" s="16"/>
      <c r="VGE42" s="16"/>
      <c r="VGF42" s="16"/>
      <c r="VGG42" s="16"/>
      <c r="VGH42" s="16"/>
      <c r="VGI42" s="16"/>
      <c r="VGJ42" s="16"/>
      <c r="VGK42" s="16"/>
      <c r="VGL42" s="16"/>
      <c r="VGM42" s="16"/>
    </row>
    <row r="43" spans="1:15067" s="1" customFormat="1" x14ac:dyDescent="0.25">
      <c r="C43" s="15"/>
      <c r="D43" s="14" t="s">
        <v>70</v>
      </c>
      <c r="E43" s="267"/>
      <c r="F43" s="20" t="s">
        <v>14</v>
      </c>
      <c r="G43" s="33">
        <f>G45+G46</f>
        <v>0</v>
      </c>
      <c r="H43" s="33">
        <f t="shared" ref="H43:AL43" si="37">H45+H46</f>
        <v>0</v>
      </c>
      <c r="I43" s="33">
        <f t="shared" si="37"/>
        <v>0</v>
      </c>
      <c r="J43" s="33">
        <f t="shared" si="37"/>
        <v>0</v>
      </c>
      <c r="K43" s="33">
        <f t="shared" si="37"/>
        <v>0</v>
      </c>
      <c r="L43" s="33">
        <f t="shared" si="37"/>
        <v>0</v>
      </c>
      <c r="M43" s="33">
        <f t="shared" si="37"/>
        <v>0</v>
      </c>
      <c r="N43" s="33">
        <f t="shared" ref="N43:P43" si="38">N45+N46</f>
        <v>0</v>
      </c>
      <c r="O43" s="33">
        <f t="shared" ref="O43" si="39">O45+O46</f>
        <v>0</v>
      </c>
      <c r="P43" s="33">
        <f t="shared" si="38"/>
        <v>0</v>
      </c>
      <c r="Q43" s="33">
        <f t="shared" si="37"/>
        <v>0</v>
      </c>
      <c r="R43" s="33">
        <f t="shared" si="37"/>
        <v>0</v>
      </c>
      <c r="S43" s="33">
        <f t="shared" si="37"/>
        <v>0</v>
      </c>
      <c r="T43" s="33">
        <f t="shared" si="37"/>
        <v>0</v>
      </c>
      <c r="U43" s="33">
        <f t="shared" si="37"/>
        <v>0</v>
      </c>
      <c r="V43" s="33">
        <f t="shared" si="37"/>
        <v>0</v>
      </c>
      <c r="W43" s="33">
        <f t="shared" si="37"/>
        <v>0</v>
      </c>
      <c r="X43" s="33">
        <f t="shared" si="37"/>
        <v>0</v>
      </c>
      <c r="Y43" s="33">
        <f t="shared" si="37"/>
        <v>0</v>
      </c>
      <c r="Z43" s="33">
        <f t="shared" si="37"/>
        <v>0</v>
      </c>
      <c r="AA43" s="33">
        <f t="shared" si="37"/>
        <v>0</v>
      </c>
      <c r="AB43" s="33">
        <f t="shared" si="37"/>
        <v>0</v>
      </c>
      <c r="AC43" s="33">
        <f t="shared" si="37"/>
        <v>0</v>
      </c>
      <c r="AD43" s="33">
        <f t="shared" si="37"/>
        <v>0</v>
      </c>
      <c r="AE43" s="33">
        <f t="shared" si="37"/>
        <v>0</v>
      </c>
      <c r="AF43" s="33">
        <f t="shared" si="37"/>
        <v>0</v>
      </c>
      <c r="AG43" s="33">
        <f t="shared" si="37"/>
        <v>0</v>
      </c>
      <c r="AH43" s="33">
        <f t="shared" si="37"/>
        <v>0</v>
      </c>
      <c r="AI43" s="33">
        <f>AI45+AI46</f>
        <v>145600</v>
      </c>
      <c r="AJ43" s="33">
        <f t="shared" ref="AJ43" si="40">AJ45+AJ46</f>
        <v>0</v>
      </c>
      <c r="AK43" s="33">
        <f t="shared" si="37"/>
        <v>0</v>
      </c>
      <c r="AL43" s="33">
        <f t="shared" si="37"/>
        <v>0</v>
      </c>
      <c r="AN43" s="63">
        <f t="shared" si="36"/>
        <v>145600</v>
      </c>
      <c r="AO43" s="154"/>
      <c r="BQ43" s="155"/>
      <c r="CX43" s="152"/>
    </row>
    <row r="44" spans="1:15067" s="1" customFormat="1" x14ac:dyDescent="0.25">
      <c r="C44" s="15"/>
      <c r="D44" s="73" t="s">
        <v>69</v>
      </c>
      <c r="E44" s="267"/>
      <c r="F44" s="74" t="s">
        <v>14</v>
      </c>
      <c r="G44" s="284">
        <v>0</v>
      </c>
      <c r="H44" s="284">
        <v>0</v>
      </c>
      <c r="I44" s="284">
        <v>0</v>
      </c>
      <c r="J44" s="284">
        <v>0</v>
      </c>
      <c r="K44" s="284">
        <v>0</v>
      </c>
      <c r="L44" s="284">
        <v>0</v>
      </c>
      <c r="M44" s="284">
        <v>0</v>
      </c>
      <c r="N44" s="284">
        <v>0</v>
      </c>
      <c r="O44" s="284">
        <v>0</v>
      </c>
      <c r="P44" s="284">
        <v>0</v>
      </c>
      <c r="Q44" s="284">
        <v>0</v>
      </c>
      <c r="R44" s="284">
        <v>0</v>
      </c>
      <c r="S44" s="284">
        <v>0</v>
      </c>
      <c r="T44" s="284">
        <v>0</v>
      </c>
      <c r="U44" s="284">
        <v>0</v>
      </c>
      <c r="V44" s="284">
        <v>0</v>
      </c>
      <c r="W44" s="284">
        <v>0</v>
      </c>
      <c r="X44" s="284">
        <v>0</v>
      </c>
      <c r="Y44" s="284">
        <v>0</v>
      </c>
      <c r="Z44" s="284">
        <v>0</v>
      </c>
      <c r="AA44" s="284">
        <v>0</v>
      </c>
      <c r="AB44" s="284">
        <v>0</v>
      </c>
      <c r="AC44" s="284">
        <v>0</v>
      </c>
      <c r="AD44" s="284">
        <v>0</v>
      </c>
      <c r="AE44" s="284">
        <v>0</v>
      </c>
      <c r="AF44" s="284">
        <v>0</v>
      </c>
      <c r="AG44" s="284">
        <v>0</v>
      </c>
      <c r="AH44" s="284">
        <v>0</v>
      </c>
      <c r="AI44" s="284">
        <v>0</v>
      </c>
      <c r="AJ44" s="284">
        <v>0</v>
      </c>
      <c r="AK44" s="284">
        <v>0</v>
      </c>
      <c r="AL44" s="284">
        <v>0</v>
      </c>
      <c r="AN44" s="66">
        <f t="shared" si="36"/>
        <v>0</v>
      </c>
      <c r="AO44" s="152"/>
      <c r="CX44" s="152"/>
    </row>
    <row r="45" spans="1:15067" s="1" customFormat="1" x14ac:dyDescent="0.25">
      <c r="C45" s="15"/>
      <c r="D45" s="73" t="s">
        <v>68</v>
      </c>
      <c r="E45" s="267"/>
      <c r="F45" s="74" t="s">
        <v>14</v>
      </c>
      <c r="G45" s="284">
        <v>0</v>
      </c>
      <c r="H45" s="284">
        <v>0</v>
      </c>
      <c r="I45" s="284">
        <v>0</v>
      </c>
      <c r="J45" s="284">
        <v>0</v>
      </c>
      <c r="K45" s="284">
        <v>0</v>
      </c>
      <c r="L45" s="284">
        <v>0</v>
      </c>
      <c r="M45" s="284">
        <v>0</v>
      </c>
      <c r="N45" s="284">
        <v>0</v>
      </c>
      <c r="O45" s="284">
        <v>0</v>
      </c>
      <c r="P45" s="284">
        <v>0</v>
      </c>
      <c r="Q45" s="284">
        <v>0</v>
      </c>
      <c r="R45" s="284">
        <v>0</v>
      </c>
      <c r="S45" s="284">
        <v>0</v>
      </c>
      <c r="T45" s="284">
        <v>0</v>
      </c>
      <c r="U45" s="284">
        <v>0</v>
      </c>
      <c r="V45" s="284">
        <v>0</v>
      </c>
      <c r="W45" s="284">
        <v>0</v>
      </c>
      <c r="X45" s="284">
        <v>0</v>
      </c>
      <c r="Y45" s="284">
        <v>0</v>
      </c>
      <c r="Z45" s="284">
        <v>0</v>
      </c>
      <c r="AA45" s="284">
        <v>0</v>
      </c>
      <c r="AB45" s="284">
        <v>0</v>
      </c>
      <c r="AC45" s="284">
        <v>0</v>
      </c>
      <c r="AD45" s="284">
        <v>0</v>
      </c>
      <c r="AE45" s="284">
        <v>0</v>
      </c>
      <c r="AF45" s="284">
        <v>0</v>
      </c>
      <c r="AG45" s="284">
        <v>0</v>
      </c>
      <c r="AH45" s="284">
        <v>0</v>
      </c>
      <c r="AI45" s="284">
        <v>87600</v>
      </c>
      <c r="AJ45" s="284">
        <v>0</v>
      </c>
      <c r="AK45" s="284">
        <v>0</v>
      </c>
      <c r="AL45" s="284">
        <v>0</v>
      </c>
      <c r="AN45" s="66">
        <f t="shared" si="36"/>
        <v>87600</v>
      </c>
      <c r="AO45" s="156"/>
      <c r="BQ45" s="152"/>
      <c r="CX45" s="152"/>
    </row>
    <row r="46" spans="1:15067" s="1" customFormat="1" x14ac:dyDescent="0.25">
      <c r="C46" s="15"/>
      <c r="D46" s="73" t="s">
        <v>67</v>
      </c>
      <c r="E46" s="267"/>
      <c r="F46" s="74" t="s">
        <v>14</v>
      </c>
      <c r="G46" s="284">
        <v>0</v>
      </c>
      <c r="H46" s="284">
        <v>0</v>
      </c>
      <c r="I46" s="284">
        <v>0</v>
      </c>
      <c r="J46" s="284">
        <v>0</v>
      </c>
      <c r="K46" s="284">
        <v>0</v>
      </c>
      <c r="L46" s="284">
        <v>0</v>
      </c>
      <c r="M46" s="284">
        <v>0</v>
      </c>
      <c r="N46" s="284">
        <v>0</v>
      </c>
      <c r="O46" s="284">
        <v>0</v>
      </c>
      <c r="P46" s="284">
        <v>0</v>
      </c>
      <c r="Q46" s="284">
        <v>0</v>
      </c>
      <c r="R46" s="284">
        <v>0</v>
      </c>
      <c r="S46" s="284">
        <v>0</v>
      </c>
      <c r="T46" s="284">
        <v>0</v>
      </c>
      <c r="U46" s="284">
        <v>0</v>
      </c>
      <c r="V46" s="284">
        <v>0</v>
      </c>
      <c r="W46" s="284">
        <v>0</v>
      </c>
      <c r="X46" s="284">
        <v>0</v>
      </c>
      <c r="Y46" s="284">
        <v>0</v>
      </c>
      <c r="Z46" s="284">
        <v>0</v>
      </c>
      <c r="AA46" s="284">
        <v>0</v>
      </c>
      <c r="AB46" s="284">
        <v>0</v>
      </c>
      <c r="AC46" s="284">
        <v>0</v>
      </c>
      <c r="AD46" s="284">
        <v>0</v>
      </c>
      <c r="AE46" s="284">
        <v>0</v>
      </c>
      <c r="AF46" s="284">
        <v>0</v>
      </c>
      <c r="AG46" s="284">
        <v>0</v>
      </c>
      <c r="AH46" s="284">
        <v>0</v>
      </c>
      <c r="AI46" s="284">
        <v>58000</v>
      </c>
      <c r="AJ46" s="284">
        <v>0</v>
      </c>
      <c r="AK46" s="284">
        <v>0</v>
      </c>
      <c r="AL46" s="284">
        <v>0</v>
      </c>
      <c r="AN46" s="66">
        <f t="shared" si="36"/>
        <v>58000</v>
      </c>
      <c r="CX46" s="152"/>
    </row>
    <row r="47" spans="1:15067" s="1" customFormat="1" x14ac:dyDescent="0.25">
      <c r="C47" s="15"/>
      <c r="D47" s="83" t="s">
        <v>114</v>
      </c>
      <c r="E47" s="267"/>
      <c r="F47" s="13" t="s">
        <v>25</v>
      </c>
      <c r="G47" s="288">
        <v>0</v>
      </c>
      <c r="H47" s="288"/>
      <c r="I47" s="288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71"/>
      <c r="AN47" s="66">
        <f t="shared" si="36"/>
        <v>0</v>
      </c>
      <c r="CX47" s="152"/>
    </row>
    <row r="48" spans="1:15067" x14ac:dyDescent="0.25">
      <c r="C48" s="8"/>
      <c r="D48" s="84" t="s">
        <v>66</v>
      </c>
      <c r="E48" s="85"/>
      <c r="F48" s="86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N48" s="87" t="s">
        <v>129</v>
      </c>
    </row>
    <row r="49" spans="3:102 15068:15081" x14ac:dyDescent="0.25">
      <c r="C49" s="15"/>
      <c r="D49" s="83" t="s">
        <v>65</v>
      </c>
      <c r="E49" s="136">
        <v>94.2</v>
      </c>
      <c r="F49" s="78" t="s">
        <v>25</v>
      </c>
      <c r="G49" s="289">
        <f>(G16/(G9))*100</f>
        <v>94.361800736174857</v>
      </c>
      <c r="H49" s="289">
        <f>(H16/(H9))*100</f>
        <v>96.195668405205311</v>
      </c>
      <c r="I49" s="289">
        <f t="shared" ref="I49:AL49" si="41">(I16/(I9))*100</f>
        <v>96.33875902817077</v>
      </c>
      <c r="J49" s="289">
        <f t="shared" si="41"/>
        <v>95.437197583396625</v>
      </c>
      <c r="K49" s="289">
        <f t="shared" si="41"/>
        <v>91.598039526308213</v>
      </c>
      <c r="L49" s="289">
        <f t="shared" si="41"/>
        <v>98.915407015413464</v>
      </c>
      <c r="M49" s="289">
        <f t="shared" si="41"/>
        <v>94.883016017062758</v>
      </c>
      <c r="N49" s="289">
        <f t="shared" ref="N49:P49" si="42">(N16/(N9))*100</f>
        <v>85.492235344959937</v>
      </c>
      <c r="O49" s="289">
        <f t="shared" ref="O49" si="43">(O16/(O9))*100</f>
        <v>97.316989842035042</v>
      </c>
      <c r="P49" s="289">
        <f t="shared" si="42"/>
        <v>93.899444015993325</v>
      </c>
      <c r="Q49" s="289">
        <f t="shared" si="41"/>
        <v>100.28761711427362</v>
      </c>
      <c r="R49" s="289">
        <f t="shared" si="41"/>
        <v>86.359918685213387</v>
      </c>
      <c r="S49" s="289">
        <f t="shared" si="41"/>
        <v>94.802201667525395</v>
      </c>
      <c r="T49" s="289">
        <f t="shared" si="41"/>
        <v>91.637112980310746</v>
      </c>
      <c r="U49" s="289">
        <f t="shared" si="41"/>
        <v>97.823323011839818</v>
      </c>
      <c r="V49" s="289">
        <f t="shared" si="41"/>
        <v>90.722016266179011</v>
      </c>
      <c r="W49" s="289" t="e">
        <f t="shared" si="41"/>
        <v>#DIV/0!</v>
      </c>
      <c r="X49" s="289" t="e">
        <f t="shared" si="41"/>
        <v>#DIV/0!</v>
      </c>
      <c r="Y49" s="289" t="e">
        <f t="shared" si="41"/>
        <v>#DIV/0!</v>
      </c>
      <c r="Z49" s="289">
        <f t="shared" si="41"/>
        <v>97.616153518551002</v>
      </c>
      <c r="AA49" s="289">
        <f t="shared" si="41"/>
        <v>94.668380908832987</v>
      </c>
      <c r="AB49" s="289">
        <f t="shared" si="41"/>
        <v>94.992314773546155</v>
      </c>
      <c r="AC49" s="289">
        <f t="shared" si="41"/>
        <v>90.795369009641931</v>
      </c>
      <c r="AD49" s="289">
        <f t="shared" si="41"/>
        <v>98.764486717896361</v>
      </c>
      <c r="AE49" s="289">
        <f t="shared" si="41"/>
        <v>94.080622753118774</v>
      </c>
      <c r="AF49" s="289">
        <f t="shared" si="41"/>
        <v>97.986425138369412</v>
      </c>
      <c r="AG49" s="289">
        <f t="shared" si="41"/>
        <v>95.308358051761431</v>
      </c>
      <c r="AH49" s="289">
        <f t="shared" si="41"/>
        <v>96.714584183385028</v>
      </c>
      <c r="AI49" s="289">
        <f t="shared" si="41"/>
        <v>133.64575629667269</v>
      </c>
      <c r="AJ49" s="289">
        <f t="shared" si="41"/>
        <v>91.583257376007452</v>
      </c>
      <c r="AK49" s="289">
        <f t="shared" si="41"/>
        <v>95.856223095593933</v>
      </c>
      <c r="AL49" s="289" t="e">
        <f t="shared" si="41"/>
        <v>#DIV/0!</v>
      </c>
      <c r="AM49" s="71"/>
      <c r="AN49" s="318">
        <f>(AN16/(AN9))*100</f>
        <v>95.997637480592928</v>
      </c>
    </row>
    <row r="50" spans="3:102 15068:15081" x14ac:dyDescent="0.25">
      <c r="C50" s="15"/>
      <c r="D50" s="83" t="s">
        <v>64</v>
      </c>
      <c r="E50" s="136">
        <v>5</v>
      </c>
      <c r="F50" s="78" t="s">
        <v>25</v>
      </c>
      <c r="G50" s="289">
        <f>(G17/(G9))*100</f>
        <v>3.8685156158516025</v>
      </c>
      <c r="H50" s="289">
        <f t="shared" ref="H50:AL50" si="44">(H17/(H9))*100</f>
        <v>3.9768279317363397</v>
      </c>
      <c r="I50" s="289">
        <f t="shared" si="44"/>
        <v>3.5650364004335438</v>
      </c>
      <c r="J50" s="289">
        <f t="shared" si="44"/>
        <v>4.1316425768694653</v>
      </c>
      <c r="K50" s="289">
        <f t="shared" si="44"/>
        <v>4.311384834356546</v>
      </c>
      <c r="L50" s="289">
        <f t="shared" si="44"/>
        <v>3.7998290465459634</v>
      </c>
      <c r="M50" s="289">
        <f t="shared" si="44"/>
        <v>4.0012714148175101</v>
      </c>
      <c r="N50" s="289">
        <f t="shared" ref="N50:P50" si="45">(N17/(N9))*100</f>
        <v>5.8361433177338915</v>
      </c>
      <c r="O50" s="289">
        <f t="shared" ref="O50" si="46">(O17/(O9))*100</f>
        <v>3.4256230361985107</v>
      </c>
      <c r="P50" s="289">
        <f t="shared" si="45"/>
        <v>4.3581720279926541</v>
      </c>
      <c r="Q50" s="289">
        <f t="shared" si="44"/>
        <v>4.0153191130110768</v>
      </c>
      <c r="R50" s="289">
        <f t="shared" si="44"/>
        <v>4.5635849626912108</v>
      </c>
      <c r="S50" s="289">
        <f t="shared" si="44"/>
        <v>4.33411107186169</v>
      </c>
      <c r="T50" s="289">
        <f t="shared" si="44"/>
        <v>3.83419345386999</v>
      </c>
      <c r="U50" s="289">
        <f t="shared" si="44"/>
        <v>5.8786696345733125</v>
      </c>
      <c r="V50" s="289">
        <f t="shared" si="44"/>
        <v>4.9257490909867157</v>
      </c>
      <c r="W50" s="289" t="e">
        <f t="shared" si="44"/>
        <v>#DIV/0!</v>
      </c>
      <c r="X50" s="289" t="e">
        <f t="shared" si="44"/>
        <v>#DIV/0!</v>
      </c>
      <c r="Y50" s="289" t="e">
        <f t="shared" si="44"/>
        <v>#DIV/0!</v>
      </c>
      <c r="Z50" s="289">
        <f t="shared" si="44"/>
        <v>4.5587594258085531</v>
      </c>
      <c r="AA50" s="289">
        <f t="shared" si="44"/>
        <v>3.7762679837041402</v>
      </c>
      <c r="AB50" s="289">
        <f t="shared" si="44"/>
        <v>4.0007608860156649</v>
      </c>
      <c r="AC50" s="289">
        <f t="shared" si="44"/>
        <v>4.3620611081810408</v>
      </c>
      <c r="AD50" s="289">
        <f t="shared" si="44"/>
        <v>3.7135129187361975</v>
      </c>
      <c r="AE50" s="289">
        <f t="shared" si="44"/>
        <v>3.855182686661224</v>
      </c>
      <c r="AF50" s="289">
        <f t="shared" si="44"/>
        <v>6.1921980081911139</v>
      </c>
      <c r="AG50" s="289">
        <f t="shared" si="44"/>
        <v>4.5762066411003248</v>
      </c>
      <c r="AH50" s="289">
        <f t="shared" si="44"/>
        <v>3.4664411878929697</v>
      </c>
      <c r="AI50" s="289">
        <f t="shared" si="44"/>
        <v>4.324785722790442</v>
      </c>
      <c r="AJ50" s="289">
        <f t="shared" si="44"/>
        <v>3.9331997251159487</v>
      </c>
      <c r="AK50" s="289">
        <f t="shared" ref="AK50" si="47">(AK17/(AK9))*100</f>
        <v>4.14583079114509</v>
      </c>
      <c r="AL50" s="289" t="e">
        <f t="shared" si="44"/>
        <v>#DIV/0!</v>
      </c>
      <c r="AM50" s="71"/>
      <c r="AN50" s="318">
        <f>(AN17/(AN9))*100</f>
        <v>4.1059370412586302</v>
      </c>
      <c r="BM50" s="3"/>
    </row>
    <row r="51" spans="3:102 15068:15081" x14ac:dyDescent="0.25">
      <c r="C51" s="15"/>
      <c r="D51" s="83" t="s">
        <v>63</v>
      </c>
      <c r="E51" s="136">
        <v>82</v>
      </c>
      <c r="F51" s="78" t="s">
        <v>25</v>
      </c>
      <c r="G51" s="289">
        <f>G26/(G26+G27)*100</f>
        <v>88.476017311582893</v>
      </c>
      <c r="H51" s="289">
        <f t="shared" ref="H51:L51" si="48">H26/(H26+H27)*100</f>
        <v>89.545984707762756</v>
      </c>
      <c r="I51" s="289" t="e">
        <f t="shared" si="48"/>
        <v>#DIV/0!</v>
      </c>
      <c r="J51" s="289" t="e">
        <f t="shared" si="48"/>
        <v>#DIV/0!</v>
      </c>
      <c r="K51" s="289">
        <f t="shared" si="48"/>
        <v>88.954839963266835</v>
      </c>
      <c r="L51" s="289">
        <f t="shared" si="48"/>
        <v>81.780024354451868</v>
      </c>
      <c r="M51" s="289">
        <f t="shared" ref="M51:R51" si="49">M26/(M26+M27)*100</f>
        <v>83.017168868437977</v>
      </c>
      <c r="N51" s="289">
        <f t="shared" si="49"/>
        <v>81.888038111417998</v>
      </c>
      <c r="O51" s="289">
        <f t="shared" si="49"/>
        <v>82.0523066373635</v>
      </c>
      <c r="P51" s="289">
        <f t="shared" si="49"/>
        <v>82.561305099157906</v>
      </c>
      <c r="Q51" s="289">
        <f>Q26/(Q26+Q27)*100</f>
        <v>80.934733684750753</v>
      </c>
      <c r="R51" s="289">
        <f t="shared" si="49"/>
        <v>79.217867460009487</v>
      </c>
      <c r="S51" s="289">
        <f>S26/(S26+S27)*100</f>
        <v>84.885217098082364</v>
      </c>
      <c r="T51" s="289">
        <f>T26/(T26+T27)*100</f>
        <v>83.813392591753839</v>
      </c>
      <c r="U51" s="289">
        <f>U26/(U26+U27)*100</f>
        <v>71.439604304061092</v>
      </c>
      <c r="V51" s="289">
        <f t="shared" ref="V51:AL51" si="50">V26/(V26+V27)*100</f>
        <v>86.606885389244951</v>
      </c>
      <c r="W51" s="289">
        <f t="shared" si="50"/>
        <v>72.097854384033994</v>
      </c>
      <c r="X51" s="289" t="e">
        <f t="shared" si="50"/>
        <v>#DIV/0!</v>
      </c>
      <c r="Y51" s="289" t="e">
        <f t="shared" si="50"/>
        <v>#DIV/0!</v>
      </c>
      <c r="Z51" s="289">
        <f t="shared" si="50"/>
        <v>83.389212853576936</v>
      </c>
      <c r="AA51" s="289">
        <f t="shared" si="50"/>
        <v>78.390098862361057</v>
      </c>
      <c r="AB51" s="289">
        <f t="shared" si="50"/>
        <v>77.958792696417362</v>
      </c>
      <c r="AC51" s="289">
        <f t="shared" si="50"/>
        <v>85.961879846771936</v>
      </c>
      <c r="AD51" s="289" t="e">
        <f t="shared" si="50"/>
        <v>#DIV/0!</v>
      </c>
      <c r="AE51" s="289" t="e">
        <f t="shared" si="50"/>
        <v>#DIV/0!</v>
      </c>
      <c r="AF51" s="289" t="e">
        <f t="shared" si="50"/>
        <v>#DIV/0!</v>
      </c>
      <c r="AG51" s="289" t="e">
        <f t="shared" si="50"/>
        <v>#DIV/0!</v>
      </c>
      <c r="AH51" s="289" t="e">
        <f t="shared" si="50"/>
        <v>#DIV/0!</v>
      </c>
      <c r="AI51" s="289" t="e">
        <f t="shared" si="50"/>
        <v>#DIV/0!</v>
      </c>
      <c r="AJ51" s="289" t="e">
        <f t="shared" si="50"/>
        <v>#DIV/0!</v>
      </c>
      <c r="AK51" s="289" t="e">
        <f t="shared" si="50"/>
        <v>#DIV/0!</v>
      </c>
      <c r="AL51" s="289" t="e">
        <f t="shared" si="50"/>
        <v>#DIV/0!</v>
      </c>
      <c r="AM51" s="71"/>
      <c r="AN51" s="318">
        <f>AN26/(AN26+AN27)*100</f>
        <v>82.049419646987658</v>
      </c>
    </row>
    <row r="52" spans="3:102 15068:15081" x14ac:dyDescent="0.25">
      <c r="C52" s="15"/>
      <c r="D52" s="83" t="s">
        <v>62</v>
      </c>
      <c r="E52" s="136">
        <v>18</v>
      </c>
      <c r="F52" s="78" t="s">
        <v>25</v>
      </c>
      <c r="G52" s="289"/>
      <c r="H52" s="289">
        <f t="shared" ref="H52:M52" si="51">H27/(H26+H27)*100</f>
        <v>10.454015292237246</v>
      </c>
      <c r="I52" s="289" t="e">
        <f t="shared" si="51"/>
        <v>#DIV/0!</v>
      </c>
      <c r="J52" s="289" t="e">
        <f t="shared" si="51"/>
        <v>#DIV/0!</v>
      </c>
      <c r="K52" s="289">
        <f t="shared" si="51"/>
        <v>11.045160036733154</v>
      </c>
      <c r="L52" s="289">
        <f t="shared" si="51"/>
        <v>18.219975645548121</v>
      </c>
      <c r="M52" s="289">
        <f t="shared" si="51"/>
        <v>16.982831131562019</v>
      </c>
      <c r="N52" s="289">
        <f t="shared" ref="N52:T52" si="52">N27/(N26+N27)*100</f>
        <v>18.111961888582012</v>
      </c>
      <c r="O52" s="289">
        <f t="shared" ref="O52" si="53">O27/(O26+O27)*100</f>
        <v>17.947693362636496</v>
      </c>
      <c r="P52" s="289">
        <f t="shared" si="52"/>
        <v>17.438694900842087</v>
      </c>
      <c r="Q52" s="289">
        <f t="shared" si="52"/>
        <v>19.065266315249254</v>
      </c>
      <c r="R52" s="289">
        <f t="shared" si="52"/>
        <v>20.782132539990513</v>
      </c>
      <c r="S52" s="289">
        <f t="shared" si="52"/>
        <v>15.114782901917634</v>
      </c>
      <c r="T52" s="289">
        <f t="shared" si="52"/>
        <v>16.186607408246168</v>
      </c>
      <c r="U52" s="289">
        <f t="shared" ref="U52:AL52" si="54">U27/(U26+U27)*100</f>
        <v>28.560395695938912</v>
      </c>
      <c r="V52" s="289">
        <f t="shared" si="54"/>
        <v>13.393114610755049</v>
      </c>
      <c r="W52" s="289">
        <f t="shared" si="54"/>
        <v>27.902145615966013</v>
      </c>
      <c r="X52" s="289" t="e">
        <f t="shared" si="54"/>
        <v>#DIV/0!</v>
      </c>
      <c r="Y52" s="289" t="e">
        <f t="shared" si="54"/>
        <v>#DIV/0!</v>
      </c>
      <c r="Z52" s="289">
        <f t="shared" si="54"/>
        <v>16.610787146423068</v>
      </c>
      <c r="AA52" s="289">
        <f t="shared" si="54"/>
        <v>21.609901137638946</v>
      </c>
      <c r="AB52" s="289">
        <f t="shared" si="54"/>
        <v>22.041207303582631</v>
      </c>
      <c r="AC52" s="289">
        <f t="shared" si="54"/>
        <v>14.038120153228068</v>
      </c>
      <c r="AD52" s="289" t="e">
        <f t="shared" si="54"/>
        <v>#DIV/0!</v>
      </c>
      <c r="AE52" s="289" t="e">
        <f t="shared" si="54"/>
        <v>#DIV/0!</v>
      </c>
      <c r="AF52" s="289" t="e">
        <f t="shared" si="54"/>
        <v>#DIV/0!</v>
      </c>
      <c r="AG52" s="289" t="e">
        <f t="shared" si="54"/>
        <v>#DIV/0!</v>
      </c>
      <c r="AH52" s="289" t="e">
        <f t="shared" si="54"/>
        <v>#DIV/0!</v>
      </c>
      <c r="AI52" s="289" t="e">
        <f t="shared" si="54"/>
        <v>#DIV/0!</v>
      </c>
      <c r="AJ52" s="289" t="e">
        <f t="shared" si="54"/>
        <v>#DIV/0!</v>
      </c>
      <c r="AK52" s="289" t="e">
        <f t="shared" si="54"/>
        <v>#DIV/0!</v>
      </c>
      <c r="AL52" s="289" t="e">
        <f t="shared" si="54"/>
        <v>#DIV/0!</v>
      </c>
      <c r="AM52" s="71"/>
      <c r="AN52" s="389">
        <f t="shared" ref="AN52" si="55">AN27/(AN26+AN27)*100</f>
        <v>17.950580353012345</v>
      </c>
    </row>
    <row r="53" spans="3:102 15068:15081" x14ac:dyDescent="0.25">
      <c r="C53" s="15"/>
      <c r="D53" s="83" t="s">
        <v>107</v>
      </c>
      <c r="E53" s="136">
        <v>75</v>
      </c>
      <c r="F53" s="88"/>
      <c r="G53" s="289" t="e">
        <f>(G30/G29)*100</f>
        <v>#DIV/0!</v>
      </c>
      <c r="H53" s="289" t="e">
        <f t="shared" ref="H53:AL53" si="56">(H30/H29)*100</f>
        <v>#DIV/0!</v>
      </c>
      <c r="I53" s="289" t="e">
        <f t="shared" si="56"/>
        <v>#DIV/0!</v>
      </c>
      <c r="J53" s="289" t="e">
        <f t="shared" si="56"/>
        <v>#DIV/0!</v>
      </c>
      <c r="K53" s="289" t="e">
        <f t="shared" si="56"/>
        <v>#DIV/0!</v>
      </c>
      <c r="L53" s="289" t="e">
        <f t="shared" si="56"/>
        <v>#DIV/0!</v>
      </c>
      <c r="M53" s="289" t="e">
        <f t="shared" si="56"/>
        <v>#DIV/0!</v>
      </c>
      <c r="N53" s="289" t="e">
        <f t="shared" ref="N53:P53" si="57">(N30/N29)*100</f>
        <v>#DIV/0!</v>
      </c>
      <c r="O53" s="289" t="e">
        <f t="shared" ref="O53" si="58">(O30/O29)*100</f>
        <v>#DIV/0!</v>
      </c>
      <c r="P53" s="289" t="e">
        <f t="shared" si="57"/>
        <v>#DIV/0!</v>
      </c>
      <c r="Q53" s="289" t="e">
        <f t="shared" si="56"/>
        <v>#DIV/0!</v>
      </c>
      <c r="R53" s="289" t="e">
        <f t="shared" si="56"/>
        <v>#DIV/0!</v>
      </c>
      <c r="S53" s="289" t="e">
        <f t="shared" si="56"/>
        <v>#DIV/0!</v>
      </c>
      <c r="T53" s="289" t="e">
        <f t="shared" si="56"/>
        <v>#DIV/0!</v>
      </c>
      <c r="U53" s="289" t="e">
        <f t="shared" si="56"/>
        <v>#DIV/0!</v>
      </c>
      <c r="V53" s="289" t="e">
        <f t="shared" si="56"/>
        <v>#DIV/0!</v>
      </c>
      <c r="W53" s="289" t="e">
        <f t="shared" si="56"/>
        <v>#DIV/0!</v>
      </c>
      <c r="X53" s="289" t="e">
        <f t="shared" si="56"/>
        <v>#DIV/0!</v>
      </c>
      <c r="Y53" s="289" t="e">
        <f t="shared" si="56"/>
        <v>#DIV/0!</v>
      </c>
      <c r="Z53" s="289" t="e">
        <f t="shared" si="56"/>
        <v>#DIV/0!</v>
      </c>
      <c r="AA53" s="289" t="e">
        <f t="shared" si="56"/>
        <v>#DIV/0!</v>
      </c>
      <c r="AB53" s="289" t="e">
        <f t="shared" si="56"/>
        <v>#DIV/0!</v>
      </c>
      <c r="AC53" s="289" t="e">
        <f t="shared" si="56"/>
        <v>#DIV/0!</v>
      </c>
      <c r="AD53" s="289" t="e">
        <f t="shared" si="56"/>
        <v>#DIV/0!</v>
      </c>
      <c r="AE53" s="289" t="e">
        <f t="shared" si="56"/>
        <v>#DIV/0!</v>
      </c>
      <c r="AF53" s="289" t="e">
        <f t="shared" si="56"/>
        <v>#DIV/0!</v>
      </c>
      <c r="AG53" s="289" t="e">
        <f t="shared" si="56"/>
        <v>#DIV/0!</v>
      </c>
      <c r="AH53" s="289" t="e">
        <f t="shared" si="56"/>
        <v>#DIV/0!</v>
      </c>
      <c r="AI53" s="289" t="e">
        <f t="shared" si="56"/>
        <v>#DIV/0!</v>
      </c>
      <c r="AJ53" s="289" t="e">
        <f t="shared" si="56"/>
        <v>#DIV/0!</v>
      </c>
      <c r="AK53" s="289" t="e">
        <f t="shared" ref="AK53" si="59">(AK30/AK29)*100</f>
        <v>#DIV/0!</v>
      </c>
      <c r="AL53" s="289" t="e">
        <f t="shared" si="56"/>
        <v>#DIV/0!</v>
      </c>
      <c r="AM53" s="71"/>
      <c r="AN53" s="318" t="e">
        <f>(AN35/AN34)*100</f>
        <v>#DIV/0!</v>
      </c>
    </row>
    <row r="54" spans="3:102 15068:15081" x14ac:dyDescent="0.25">
      <c r="C54" s="15"/>
      <c r="D54" s="83" t="s">
        <v>62</v>
      </c>
      <c r="E54" s="136">
        <v>25</v>
      </c>
      <c r="F54" s="88"/>
      <c r="G54" s="289" t="e">
        <f>(G31/G29)*100</f>
        <v>#DIV/0!</v>
      </c>
      <c r="H54" s="289" t="e">
        <f t="shared" ref="H54:AL54" si="60">(H31/H29)*100</f>
        <v>#DIV/0!</v>
      </c>
      <c r="I54" s="289" t="e">
        <f t="shared" si="60"/>
        <v>#DIV/0!</v>
      </c>
      <c r="J54" s="289" t="e">
        <f t="shared" si="60"/>
        <v>#DIV/0!</v>
      </c>
      <c r="K54" s="289" t="e">
        <f t="shared" si="60"/>
        <v>#DIV/0!</v>
      </c>
      <c r="L54" s="289" t="e">
        <f t="shared" si="60"/>
        <v>#DIV/0!</v>
      </c>
      <c r="M54" s="289" t="e">
        <f t="shared" si="60"/>
        <v>#DIV/0!</v>
      </c>
      <c r="N54" s="289" t="e">
        <f t="shared" ref="N54:P54" si="61">(N31/N29)*100</f>
        <v>#DIV/0!</v>
      </c>
      <c r="O54" s="289" t="e">
        <f t="shared" ref="O54" si="62">(O31/O29)*100</f>
        <v>#DIV/0!</v>
      </c>
      <c r="P54" s="289" t="e">
        <f t="shared" si="61"/>
        <v>#DIV/0!</v>
      </c>
      <c r="Q54" s="289" t="e">
        <f t="shared" si="60"/>
        <v>#DIV/0!</v>
      </c>
      <c r="R54" s="289" t="e">
        <f t="shared" si="60"/>
        <v>#DIV/0!</v>
      </c>
      <c r="S54" s="289" t="e">
        <f t="shared" si="60"/>
        <v>#DIV/0!</v>
      </c>
      <c r="T54" s="289" t="e">
        <f t="shared" si="60"/>
        <v>#DIV/0!</v>
      </c>
      <c r="U54" s="289" t="e">
        <f t="shared" si="60"/>
        <v>#DIV/0!</v>
      </c>
      <c r="V54" s="289" t="e">
        <f t="shared" si="60"/>
        <v>#DIV/0!</v>
      </c>
      <c r="W54" s="289" t="e">
        <f t="shared" si="60"/>
        <v>#DIV/0!</v>
      </c>
      <c r="X54" s="289" t="e">
        <f t="shared" si="60"/>
        <v>#DIV/0!</v>
      </c>
      <c r="Y54" s="289" t="e">
        <f t="shared" si="60"/>
        <v>#DIV/0!</v>
      </c>
      <c r="Z54" s="289" t="e">
        <f t="shared" si="60"/>
        <v>#DIV/0!</v>
      </c>
      <c r="AA54" s="289" t="e">
        <f t="shared" si="60"/>
        <v>#DIV/0!</v>
      </c>
      <c r="AB54" s="289" t="e">
        <f t="shared" si="60"/>
        <v>#DIV/0!</v>
      </c>
      <c r="AC54" s="289" t="e">
        <f t="shared" si="60"/>
        <v>#DIV/0!</v>
      </c>
      <c r="AD54" s="289" t="e">
        <f t="shared" si="60"/>
        <v>#DIV/0!</v>
      </c>
      <c r="AE54" s="289" t="e">
        <f t="shared" si="60"/>
        <v>#DIV/0!</v>
      </c>
      <c r="AF54" s="289" t="e">
        <f t="shared" si="60"/>
        <v>#DIV/0!</v>
      </c>
      <c r="AG54" s="289" t="e">
        <f t="shared" si="60"/>
        <v>#DIV/0!</v>
      </c>
      <c r="AH54" s="289" t="e">
        <f t="shared" si="60"/>
        <v>#DIV/0!</v>
      </c>
      <c r="AI54" s="289" t="e">
        <f t="shared" si="60"/>
        <v>#DIV/0!</v>
      </c>
      <c r="AJ54" s="289" t="e">
        <f t="shared" si="60"/>
        <v>#DIV/0!</v>
      </c>
      <c r="AK54" s="289" t="e">
        <f t="shared" ref="AK54" si="63">(AK31/AK29)*100</f>
        <v>#DIV/0!</v>
      </c>
      <c r="AL54" s="289" t="e">
        <f t="shared" si="60"/>
        <v>#DIV/0!</v>
      </c>
      <c r="AM54" s="71"/>
      <c r="AN54" s="318" t="e">
        <f>(AN36/AN34)*100</f>
        <v>#DIV/0!</v>
      </c>
    </row>
    <row r="55" spans="3:102 15068:15081" x14ac:dyDescent="0.25">
      <c r="C55" s="15"/>
      <c r="D55" s="83" t="s">
        <v>109</v>
      </c>
      <c r="E55" s="136">
        <v>75</v>
      </c>
      <c r="F55" s="78" t="s">
        <v>25</v>
      </c>
      <c r="G55" s="289" t="e">
        <f>G35/G34*100</f>
        <v>#DIV/0!</v>
      </c>
      <c r="H55" s="289" t="e">
        <f t="shared" ref="H55:AL55" si="64">H35/H34*100</f>
        <v>#DIV/0!</v>
      </c>
      <c r="I55" s="289" t="e">
        <f t="shared" si="64"/>
        <v>#DIV/0!</v>
      </c>
      <c r="J55" s="289" t="e">
        <f t="shared" si="64"/>
        <v>#DIV/0!</v>
      </c>
      <c r="K55" s="289" t="e">
        <f t="shared" si="64"/>
        <v>#DIV/0!</v>
      </c>
      <c r="L55" s="289" t="e">
        <f t="shared" si="64"/>
        <v>#DIV/0!</v>
      </c>
      <c r="M55" s="289" t="e">
        <f t="shared" si="64"/>
        <v>#DIV/0!</v>
      </c>
      <c r="N55" s="289" t="e">
        <f t="shared" ref="N55:P55" si="65">N35/N34*100</f>
        <v>#DIV/0!</v>
      </c>
      <c r="O55" s="289" t="e">
        <f t="shared" ref="O55" si="66">O35/O34*100</f>
        <v>#DIV/0!</v>
      </c>
      <c r="P55" s="289" t="e">
        <f t="shared" si="65"/>
        <v>#DIV/0!</v>
      </c>
      <c r="Q55" s="289" t="e">
        <f t="shared" si="64"/>
        <v>#DIV/0!</v>
      </c>
      <c r="R55" s="289" t="e">
        <f t="shared" si="64"/>
        <v>#DIV/0!</v>
      </c>
      <c r="S55" s="289" t="e">
        <f t="shared" si="64"/>
        <v>#DIV/0!</v>
      </c>
      <c r="T55" s="289" t="e">
        <f t="shared" si="64"/>
        <v>#DIV/0!</v>
      </c>
      <c r="U55" s="289" t="e">
        <f t="shared" si="64"/>
        <v>#DIV/0!</v>
      </c>
      <c r="V55" s="289" t="e">
        <f t="shared" si="64"/>
        <v>#DIV/0!</v>
      </c>
      <c r="W55" s="289" t="e">
        <f t="shared" si="64"/>
        <v>#DIV/0!</v>
      </c>
      <c r="X55" s="289" t="e">
        <f t="shared" si="64"/>
        <v>#DIV/0!</v>
      </c>
      <c r="Y55" s="289" t="e">
        <f t="shared" si="64"/>
        <v>#DIV/0!</v>
      </c>
      <c r="Z55" s="289" t="e">
        <f t="shared" si="64"/>
        <v>#DIV/0!</v>
      </c>
      <c r="AA55" s="289" t="e">
        <f t="shared" si="64"/>
        <v>#DIV/0!</v>
      </c>
      <c r="AB55" s="289" t="e">
        <f t="shared" si="64"/>
        <v>#DIV/0!</v>
      </c>
      <c r="AC55" s="289" t="e">
        <f t="shared" si="64"/>
        <v>#DIV/0!</v>
      </c>
      <c r="AD55" s="289" t="e">
        <f t="shared" si="64"/>
        <v>#DIV/0!</v>
      </c>
      <c r="AE55" s="289" t="e">
        <f t="shared" si="64"/>
        <v>#DIV/0!</v>
      </c>
      <c r="AF55" s="289" t="e">
        <f t="shared" si="64"/>
        <v>#DIV/0!</v>
      </c>
      <c r="AG55" s="289" t="e">
        <f t="shared" si="64"/>
        <v>#DIV/0!</v>
      </c>
      <c r="AH55" s="289" t="e">
        <f t="shared" si="64"/>
        <v>#DIV/0!</v>
      </c>
      <c r="AI55" s="289" t="e">
        <f t="shared" si="64"/>
        <v>#DIV/0!</v>
      </c>
      <c r="AJ55" s="289" t="e">
        <f t="shared" si="64"/>
        <v>#DIV/0!</v>
      </c>
      <c r="AK55" s="289" t="e">
        <f t="shared" ref="AK55" si="67">AK35/AK34*100</f>
        <v>#DIV/0!</v>
      </c>
      <c r="AL55" s="289" t="e">
        <f t="shared" si="64"/>
        <v>#DIV/0!</v>
      </c>
      <c r="AM55" s="71"/>
      <c r="AN55" s="318" t="e">
        <f>AN35/AN34*100</f>
        <v>#DIV/0!</v>
      </c>
      <c r="BM55" s="3"/>
    </row>
    <row r="56" spans="3:102 15068:15081" x14ac:dyDescent="0.25">
      <c r="C56" s="15"/>
      <c r="D56" s="83" t="s">
        <v>62</v>
      </c>
      <c r="E56" s="136">
        <v>25</v>
      </c>
      <c r="F56" s="78" t="s">
        <v>25</v>
      </c>
      <c r="G56" s="289" t="e">
        <f>G36/G34*100</f>
        <v>#DIV/0!</v>
      </c>
      <c r="H56" s="289" t="e">
        <f t="shared" ref="H56:AL56" si="68">H36/H34*100</f>
        <v>#DIV/0!</v>
      </c>
      <c r="I56" s="289" t="e">
        <f t="shared" si="68"/>
        <v>#DIV/0!</v>
      </c>
      <c r="J56" s="289" t="e">
        <f t="shared" si="68"/>
        <v>#DIV/0!</v>
      </c>
      <c r="K56" s="289" t="e">
        <f t="shared" si="68"/>
        <v>#DIV/0!</v>
      </c>
      <c r="L56" s="289" t="e">
        <f t="shared" si="68"/>
        <v>#DIV/0!</v>
      </c>
      <c r="M56" s="289" t="e">
        <f t="shared" si="68"/>
        <v>#DIV/0!</v>
      </c>
      <c r="N56" s="289" t="e">
        <f t="shared" ref="N56:P56" si="69">N36/N34*100</f>
        <v>#DIV/0!</v>
      </c>
      <c r="O56" s="289" t="e">
        <f t="shared" ref="O56" si="70">O36/O34*100</f>
        <v>#DIV/0!</v>
      </c>
      <c r="P56" s="289" t="e">
        <f t="shared" si="69"/>
        <v>#DIV/0!</v>
      </c>
      <c r="Q56" s="289" t="e">
        <f t="shared" si="68"/>
        <v>#DIV/0!</v>
      </c>
      <c r="R56" s="289" t="e">
        <f t="shared" si="68"/>
        <v>#DIV/0!</v>
      </c>
      <c r="S56" s="289" t="e">
        <f t="shared" si="68"/>
        <v>#DIV/0!</v>
      </c>
      <c r="T56" s="289" t="e">
        <f t="shared" si="68"/>
        <v>#DIV/0!</v>
      </c>
      <c r="U56" s="289" t="e">
        <f t="shared" si="68"/>
        <v>#DIV/0!</v>
      </c>
      <c r="V56" s="289" t="e">
        <f t="shared" si="68"/>
        <v>#DIV/0!</v>
      </c>
      <c r="W56" s="289" t="e">
        <f t="shared" si="68"/>
        <v>#DIV/0!</v>
      </c>
      <c r="X56" s="289" t="e">
        <f t="shared" si="68"/>
        <v>#DIV/0!</v>
      </c>
      <c r="Y56" s="289" t="e">
        <f t="shared" si="68"/>
        <v>#DIV/0!</v>
      </c>
      <c r="Z56" s="289" t="e">
        <f t="shared" si="68"/>
        <v>#DIV/0!</v>
      </c>
      <c r="AA56" s="289" t="e">
        <f t="shared" si="68"/>
        <v>#DIV/0!</v>
      </c>
      <c r="AB56" s="289" t="e">
        <f t="shared" si="68"/>
        <v>#DIV/0!</v>
      </c>
      <c r="AC56" s="289" t="e">
        <f t="shared" si="68"/>
        <v>#DIV/0!</v>
      </c>
      <c r="AD56" s="289" t="e">
        <f t="shared" si="68"/>
        <v>#DIV/0!</v>
      </c>
      <c r="AE56" s="289" t="e">
        <f t="shared" si="68"/>
        <v>#DIV/0!</v>
      </c>
      <c r="AF56" s="289" t="e">
        <f t="shared" si="68"/>
        <v>#DIV/0!</v>
      </c>
      <c r="AG56" s="289" t="e">
        <f t="shared" si="68"/>
        <v>#DIV/0!</v>
      </c>
      <c r="AH56" s="289" t="e">
        <f t="shared" si="68"/>
        <v>#DIV/0!</v>
      </c>
      <c r="AI56" s="289" t="e">
        <f t="shared" si="68"/>
        <v>#DIV/0!</v>
      </c>
      <c r="AJ56" s="289" t="e">
        <f t="shared" si="68"/>
        <v>#DIV/0!</v>
      </c>
      <c r="AK56" s="289" t="e">
        <f t="shared" ref="AK56" si="71">AK36/AK34*100</f>
        <v>#DIV/0!</v>
      </c>
      <c r="AL56" s="289" t="e">
        <f t="shared" si="68"/>
        <v>#DIV/0!</v>
      </c>
      <c r="AM56" s="18"/>
      <c r="AN56" s="318" t="e">
        <f>AN36/AN34*100</f>
        <v>#DIV/0!</v>
      </c>
    </row>
    <row r="57" spans="3:102 15068:15081" x14ac:dyDescent="0.25">
      <c r="C57" s="15"/>
      <c r="D57" s="83" t="s">
        <v>112</v>
      </c>
      <c r="E57" s="136">
        <v>70</v>
      </c>
      <c r="F57" s="78" t="s">
        <v>25</v>
      </c>
      <c r="G57" s="289">
        <f>G39/(G39+G40)*100</f>
        <v>68.440454094185696</v>
      </c>
      <c r="H57" s="289">
        <f t="shared" ref="H57:M57" si="72">H39/(H39+H40)*100</f>
        <v>69.499486313562343</v>
      </c>
      <c r="I57" s="289">
        <f t="shared" si="72"/>
        <v>74.002332692075356</v>
      </c>
      <c r="J57" s="289">
        <f t="shared" si="72"/>
        <v>74.158140268287184</v>
      </c>
      <c r="K57" s="289">
        <f>K39/(K39+K40)*100</f>
        <v>71.475122922881312</v>
      </c>
      <c r="L57" s="289" t="e">
        <f t="shared" si="72"/>
        <v>#DIV/0!</v>
      </c>
      <c r="M57" s="289" t="e">
        <f t="shared" si="72"/>
        <v>#DIV/0!</v>
      </c>
      <c r="N57" s="289" t="e">
        <f t="shared" ref="N57:P57" si="73">N39/(N39+N40)*100</f>
        <v>#DIV/0!</v>
      </c>
      <c r="O57" s="289" t="e">
        <f t="shared" ref="O57" si="74">O39/(O39+O40)*100</f>
        <v>#DIV/0!</v>
      </c>
      <c r="P57" s="289" t="e">
        <f t="shared" si="73"/>
        <v>#DIV/0!</v>
      </c>
      <c r="Q57" s="289" t="e">
        <f t="shared" ref="Q57:AL57" si="75">Q39/Q38*100</f>
        <v>#DIV/0!</v>
      </c>
      <c r="R57" s="289" t="e">
        <f t="shared" si="75"/>
        <v>#DIV/0!</v>
      </c>
      <c r="S57" s="289" t="e">
        <f t="shared" si="75"/>
        <v>#DIV/0!</v>
      </c>
      <c r="T57" s="289" t="e">
        <f t="shared" si="75"/>
        <v>#DIV/0!</v>
      </c>
      <c r="U57" s="289" t="e">
        <f t="shared" si="75"/>
        <v>#DIV/0!</v>
      </c>
      <c r="V57" s="289" t="e">
        <f t="shared" si="75"/>
        <v>#DIV/0!</v>
      </c>
      <c r="W57" s="289" t="e">
        <f t="shared" si="75"/>
        <v>#DIV/0!</v>
      </c>
      <c r="X57" s="289" t="e">
        <f t="shared" si="75"/>
        <v>#DIV/0!</v>
      </c>
      <c r="Y57" s="289" t="e">
        <f t="shared" si="75"/>
        <v>#DIV/0!</v>
      </c>
      <c r="Z57" s="289" t="e">
        <f t="shared" si="75"/>
        <v>#DIV/0!</v>
      </c>
      <c r="AA57" s="289" t="e">
        <f t="shared" si="75"/>
        <v>#DIV/0!</v>
      </c>
      <c r="AB57" s="289" t="e">
        <f t="shared" si="75"/>
        <v>#DIV/0!</v>
      </c>
      <c r="AC57" s="289">
        <f t="shared" si="75"/>
        <v>64.13540639369478</v>
      </c>
      <c r="AD57" s="289">
        <f t="shared" si="75"/>
        <v>68.581496478523647</v>
      </c>
      <c r="AE57" s="289">
        <f t="shared" si="75"/>
        <v>69.462554552209099</v>
      </c>
      <c r="AF57" s="289">
        <f t="shared" si="75"/>
        <v>71.974893807395716</v>
      </c>
      <c r="AG57" s="289">
        <f t="shared" si="75"/>
        <v>71.522585614970325</v>
      </c>
      <c r="AH57" s="289">
        <f t="shared" si="75"/>
        <v>69.239180169748934</v>
      </c>
      <c r="AI57" s="289">
        <f t="shared" si="75"/>
        <v>67.639690398354574</v>
      </c>
      <c r="AJ57" s="289">
        <f t="shared" si="75"/>
        <v>73.082881360551639</v>
      </c>
      <c r="AK57" s="289">
        <f t="shared" ref="AK57" si="76">AK39/AK38*100</f>
        <v>71.861751902030193</v>
      </c>
      <c r="AL57" s="289" t="e">
        <f t="shared" si="75"/>
        <v>#DIV/0!</v>
      </c>
      <c r="AM57" s="18"/>
      <c r="AN57" s="389">
        <f>AN39/(AN39+AN40)*100</f>
        <v>71.075444754193811</v>
      </c>
    </row>
    <row r="58" spans="3:102 15068:15081" x14ac:dyDescent="0.25">
      <c r="C58" s="15"/>
      <c r="D58" s="83" t="s">
        <v>62</v>
      </c>
      <c r="E58" s="136">
        <v>30</v>
      </c>
      <c r="F58" s="78" t="s">
        <v>25</v>
      </c>
      <c r="G58" s="289">
        <f>G40/(G40+G39)*100</f>
        <v>31.559545905814307</v>
      </c>
      <c r="H58" s="289">
        <f t="shared" ref="H58:M58" si="77">H40/(H40+H39)*100</f>
        <v>30.500513686437664</v>
      </c>
      <c r="I58" s="289">
        <f t="shared" si="77"/>
        <v>25.997667307924647</v>
      </c>
      <c r="J58" s="289">
        <f t="shared" si="77"/>
        <v>25.841859731712809</v>
      </c>
      <c r="K58" s="289">
        <f t="shared" si="77"/>
        <v>28.524877077118699</v>
      </c>
      <c r="L58" s="289" t="e">
        <f t="shared" si="77"/>
        <v>#DIV/0!</v>
      </c>
      <c r="M58" s="289" t="e">
        <f t="shared" si="77"/>
        <v>#DIV/0!</v>
      </c>
      <c r="N58" s="289" t="e">
        <f t="shared" ref="N58:P58" si="78">N40/(N40+N39)*100</f>
        <v>#DIV/0!</v>
      </c>
      <c r="O58" s="289" t="e">
        <f t="shared" ref="O58" si="79">O40/(O40+O39)*100</f>
        <v>#DIV/0!</v>
      </c>
      <c r="P58" s="289" t="e">
        <f t="shared" si="78"/>
        <v>#DIV/0!</v>
      </c>
      <c r="Q58" s="289" t="e">
        <f t="shared" ref="Q58:AL58" si="80">Q40/Q38*100</f>
        <v>#DIV/0!</v>
      </c>
      <c r="R58" s="289" t="e">
        <f t="shared" si="80"/>
        <v>#DIV/0!</v>
      </c>
      <c r="S58" s="289" t="e">
        <f t="shared" si="80"/>
        <v>#DIV/0!</v>
      </c>
      <c r="T58" s="289" t="e">
        <f t="shared" si="80"/>
        <v>#DIV/0!</v>
      </c>
      <c r="U58" s="289" t="e">
        <f t="shared" si="80"/>
        <v>#DIV/0!</v>
      </c>
      <c r="V58" s="289" t="e">
        <f t="shared" si="80"/>
        <v>#DIV/0!</v>
      </c>
      <c r="W58" s="289" t="e">
        <f t="shared" si="80"/>
        <v>#DIV/0!</v>
      </c>
      <c r="X58" s="289" t="e">
        <f t="shared" si="80"/>
        <v>#DIV/0!</v>
      </c>
      <c r="Y58" s="289" t="e">
        <f t="shared" si="80"/>
        <v>#DIV/0!</v>
      </c>
      <c r="Z58" s="289" t="e">
        <f t="shared" si="80"/>
        <v>#DIV/0!</v>
      </c>
      <c r="AA58" s="289" t="e">
        <f t="shared" si="80"/>
        <v>#DIV/0!</v>
      </c>
      <c r="AB58" s="289" t="e">
        <f t="shared" si="80"/>
        <v>#DIV/0!</v>
      </c>
      <c r="AC58" s="289">
        <f t="shared" si="80"/>
        <v>35.86459360630522</v>
      </c>
      <c r="AD58" s="289">
        <f t="shared" si="80"/>
        <v>31.41850352147635</v>
      </c>
      <c r="AE58" s="289">
        <f t="shared" si="80"/>
        <v>30.537445447790905</v>
      </c>
      <c r="AF58" s="289">
        <f t="shared" si="80"/>
        <v>28.025106192604284</v>
      </c>
      <c r="AG58" s="289">
        <f t="shared" si="80"/>
        <v>28.477414385029682</v>
      </c>
      <c r="AH58" s="289">
        <f t="shared" si="80"/>
        <v>30.760819830251059</v>
      </c>
      <c r="AI58" s="289">
        <f t="shared" si="80"/>
        <v>32.360309601645412</v>
      </c>
      <c r="AJ58" s="289">
        <f t="shared" si="80"/>
        <v>26.917118639448368</v>
      </c>
      <c r="AK58" s="289">
        <f t="shared" ref="AK58" si="81">AK40/AK38*100</f>
        <v>28.138248097969807</v>
      </c>
      <c r="AL58" s="289" t="e">
        <f t="shared" si="80"/>
        <v>#DIV/0!</v>
      </c>
      <c r="AM58" s="18"/>
      <c r="AN58" s="318">
        <f>AN40/AN38*100</f>
        <v>28.924555245806182</v>
      </c>
    </row>
    <row r="59" spans="3:102 15068:15081" x14ac:dyDescent="0.25">
      <c r="C59" s="15"/>
      <c r="D59" s="83" t="s">
        <v>61</v>
      </c>
      <c r="E59" s="136">
        <v>60</v>
      </c>
      <c r="F59" s="78" t="s">
        <v>25</v>
      </c>
      <c r="G59" s="289" t="e">
        <f>G44/G43*100</f>
        <v>#DIV/0!</v>
      </c>
      <c r="H59" s="289" t="e">
        <f t="shared" ref="H59:AL59" si="82">H44/H43*100</f>
        <v>#DIV/0!</v>
      </c>
      <c r="I59" s="289" t="e">
        <f t="shared" si="82"/>
        <v>#DIV/0!</v>
      </c>
      <c r="J59" s="289" t="e">
        <f t="shared" si="82"/>
        <v>#DIV/0!</v>
      </c>
      <c r="K59" s="289" t="e">
        <f t="shared" si="82"/>
        <v>#DIV/0!</v>
      </c>
      <c r="L59" s="289" t="e">
        <f t="shared" si="82"/>
        <v>#DIV/0!</v>
      </c>
      <c r="M59" s="289" t="e">
        <f t="shared" si="82"/>
        <v>#DIV/0!</v>
      </c>
      <c r="N59" s="289" t="e">
        <f t="shared" ref="N59:P59" si="83">N44/N43*100</f>
        <v>#DIV/0!</v>
      </c>
      <c r="O59" s="289" t="e">
        <f t="shared" ref="O59" si="84">O44/O43*100</f>
        <v>#DIV/0!</v>
      </c>
      <c r="P59" s="289" t="e">
        <f t="shared" si="83"/>
        <v>#DIV/0!</v>
      </c>
      <c r="Q59" s="289" t="e">
        <f t="shared" si="82"/>
        <v>#DIV/0!</v>
      </c>
      <c r="R59" s="289" t="e">
        <f t="shared" si="82"/>
        <v>#DIV/0!</v>
      </c>
      <c r="S59" s="289" t="e">
        <f t="shared" si="82"/>
        <v>#DIV/0!</v>
      </c>
      <c r="T59" s="289" t="e">
        <f t="shared" si="82"/>
        <v>#DIV/0!</v>
      </c>
      <c r="U59" s="289" t="e">
        <f t="shared" si="82"/>
        <v>#DIV/0!</v>
      </c>
      <c r="V59" s="289" t="e">
        <f t="shared" si="82"/>
        <v>#DIV/0!</v>
      </c>
      <c r="W59" s="289" t="e">
        <f t="shared" si="82"/>
        <v>#DIV/0!</v>
      </c>
      <c r="X59" s="289" t="e">
        <f t="shared" si="82"/>
        <v>#DIV/0!</v>
      </c>
      <c r="Y59" s="289" t="e">
        <f t="shared" si="82"/>
        <v>#DIV/0!</v>
      </c>
      <c r="Z59" s="289" t="e">
        <f t="shared" si="82"/>
        <v>#DIV/0!</v>
      </c>
      <c r="AA59" s="289" t="e">
        <f t="shared" si="82"/>
        <v>#DIV/0!</v>
      </c>
      <c r="AB59" s="289" t="e">
        <f t="shared" si="82"/>
        <v>#DIV/0!</v>
      </c>
      <c r="AC59" s="289" t="e">
        <f t="shared" si="82"/>
        <v>#DIV/0!</v>
      </c>
      <c r="AD59" s="289" t="e">
        <f t="shared" si="82"/>
        <v>#DIV/0!</v>
      </c>
      <c r="AE59" s="289" t="e">
        <f t="shared" si="82"/>
        <v>#DIV/0!</v>
      </c>
      <c r="AF59" s="289" t="e">
        <f t="shared" si="82"/>
        <v>#DIV/0!</v>
      </c>
      <c r="AG59" s="289" t="e">
        <f t="shared" si="82"/>
        <v>#DIV/0!</v>
      </c>
      <c r="AH59" s="289" t="e">
        <f t="shared" si="82"/>
        <v>#DIV/0!</v>
      </c>
      <c r="AI59" s="289">
        <f>AI45/AI43*100</f>
        <v>60.164835164835161</v>
      </c>
      <c r="AJ59" s="289" t="e">
        <f t="shared" ref="AJ59" si="85">AJ44/AJ43*100</f>
        <v>#DIV/0!</v>
      </c>
      <c r="AK59" s="289" t="e">
        <f t="shared" ref="AK59" si="86">AK44/AK43*100</f>
        <v>#DIV/0!</v>
      </c>
      <c r="AL59" s="289" t="e">
        <f t="shared" si="82"/>
        <v>#DIV/0!</v>
      </c>
      <c r="AM59" s="71"/>
      <c r="AN59" s="318">
        <f>(AN45+AN44)/AN43*100</f>
        <v>60.164835164835161</v>
      </c>
    </row>
    <row r="60" spans="3:102 15068:15081" ht="15.75" thickBot="1" x14ac:dyDescent="0.3">
      <c r="C60" s="19"/>
      <c r="D60" s="83" t="s">
        <v>60</v>
      </c>
      <c r="E60" s="136">
        <v>40</v>
      </c>
      <c r="F60" s="78" t="s">
        <v>25</v>
      </c>
      <c r="G60" s="289" t="e">
        <f>G46/G43*100</f>
        <v>#DIV/0!</v>
      </c>
      <c r="H60" s="289" t="e">
        <f t="shared" ref="H60:AL60" si="87">H46/H43*100</f>
        <v>#DIV/0!</v>
      </c>
      <c r="I60" s="289" t="e">
        <f t="shared" si="87"/>
        <v>#DIV/0!</v>
      </c>
      <c r="J60" s="289" t="e">
        <f t="shared" si="87"/>
        <v>#DIV/0!</v>
      </c>
      <c r="K60" s="289" t="e">
        <f t="shared" si="87"/>
        <v>#DIV/0!</v>
      </c>
      <c r="L60" s="289" t="e">
        <f t="shared" si="87"/>
        <v>#DIV/0!</v>
      </c>
      <c r="M60" s="289" t="e">
        <f t="shared" si="87"/>
        <v>#DIV/0!</v>
      </c>
      <c r="N60" s="289" t="e">
        <f t="shared" ref="N60:P60" si="88">N46/N43*100</f>
        <v>#DIV/0!</v>
      </c>
      <c r="O60" s="289" t="e">
        <f t="shared" ref="O60" si="89">O46/O43*100</f>
        <v>#DIV/0!</v>
      </c>
      <c r="P60" s="289" t="e">
        <f t="shared" si="88"/>
        <v>#DIV/0!</v>
      </c>
      <c r="Q60" s="289" t="e">
        <f t="shared" si="87"/>
        <v>#DIV/0!</v>
      </c>
      <c r="R60" s="289" t="e">
        <f t="shared" si="87"/>
        <v>#DIV/0!</v>
      </c>
      <c r="S60" s="289" t="e">
        <f t="shared" si="87"/>
        <v>#DIV/0!</v>
      </c>
      <c r="T60" s="289" t="e">
        <f t="shared" si="87"/>
        <v>#DIV/0!</v>
      </c>
      <c r="U60" s="289" t="e">
        <f t="shared" si="87"/>
        <v>#DIV/0!</v>
      </c>
      <c r="V60" s="289" t="e">
        <f t="shared" si="87"/>
        <v>#DIV/0!</v>
      </c>
      <c r="W60" s="289" t="e">
        <f t="shared" si="87"/>
        <v>#DIV/0!</v>
      </c>
      <c r="X60" s="289" t="e">
        <f t="shared" si="87"/>
        <v>#DIV/0!</v>
      </c>
      <c r="Y60" s="289" t="e">
        <f t="shared" si="87"/>
        <v>#DIV/0!</v>
      </c>
      <c r="Z60" s="289" t="e">
        <f t="shared" si="87"/>
        <v>#DIV/0!</v>
      </c>
      <c r="AA60" s="289" t="e">
        <f t="shared" si="87"/>
        <v>#DIV/0!</v>
      </c>
      <c r="AB60" s="289" t="e">
        <f t="shared" si="87"/>
        <v>#DIV/0!</v>
      </c>
      <c r="AC60" s="289" t="e">
        <f t="shared" si="87"/>
        <v>#DIV/0!</v>
      </c>
      <c r="AD60" s="289" t="e">
        <f t="shared" si="87"/>
        <v>#DIV/0!</v>
      </c>
      <c r="AE60" s="289" t="e">
        <f t="shared" si="87"/>
        <v>#DIV/0!</v>
      </c>
      <c r="AF60" s="289" t="e">
        <f t="shared" si="87"/>
        <v>#DIV/0!</v>
      </c>
      <c r="AG60" s="289" t="e">
        <f t="shared" si="87"/>
        <v>#DIV/0!</v>
      </c>
      <c r="AH60" s="289" t="e">
        <f t="shared" si="87"/>
        <v>#DIV/0!</v>
      </c>
      <c r="AI60" s="289">
        <f t="shared" si="87"/>
        <v>39.835164835164832</v>
      </c>
      <c r="AJ60" s="289" t="e">
        <f t="shared" si="87"/>
        <v>#DIV/0!</v>
      </c>
      <c r="AK60" s="289" t="e">
        <f t="shared" ref="AK60" si="90">AK46/AK43*100</f>
        <v>#DIV/0!</v>
      </c>
      <c r="AL60" s="289" t="e">
        <f t="shared" si="87"/>
        <v>#DIV/0!</v>
      </c>
      <c r="AM60" s="18"/>
      <c r="AN60" s="318">
        <f>AN46/AN43*100</f>
        <v>39.835164835164832</v>
      </c>
    </row>
    <row r="61" spans="3:102 15068:15081" x14ac:dyDescent="0.25">
      <c r="C61" s="8">
        <v>2</v>
      </c>
      <c r="D61" s="89" t="s">
        <v>59</v>
      </c>
      <c r="E61" s="85"/>
      <c r="F61" s="86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N61" s="90" t="s">
        <v>130</v>
      </c>
    </row>
    <row r="62" spans="3:102 15068:15081" x14ac:dyDescent="0.25">
      <c r="C62" s="8"/>
      <c r="D62" s="247" t="s">
        <v>58</v>
      </c>
      <c r="E62" s="264">
        <v>8</v>
      </c>
      <c r="F62" s="248" t="s">
        <v>56</v>
      </c>
      <c r="G62" s="290">
        <v>18736</v>
      </c>
      <c r="H62" s="290">
        <v>12845</v>
      </c>
      <c r="I62" s="290">
        <v>11929</v>
      </c>
      <c r="J62" s="290">
        <v>10676</v>
      </c>
      <c r="K62" s="290">
        <v>5049</v>
      </c>
      <c r="L62" s="290">
        <v>7309</v>
      </c>
      <c r="M62" s="290">
        <v>2178</v>
      </c>
      <c r="N62" s="290">
        <v>3449</v>
      </c>
      <c r="O62" s="290">
        <v>10049</v>
      </c>
      <c r="P62" s="290">
        <v>16400</v>
      </c>
      <c r="Q62" s="290">
        <v>4934</v>
      </c>
      <c r="R62" s="290">
        <v>3382</v>
      </c>
      <c r="S62" s="290">
        <v>11600</v>
      </c>
      <c r="T62" s="290">
        <v>6122</v>
      </c>
      <c r="U62" s="290">
        <v>2738</v>
      </c>
      <c r="V62" s="290">
        <v>10924</v>
      </c>
      <c r="W62" s="290">
        <v>0</v>
      </c>
      <c r="X62" s="290">
        <v>0</v>
      </c>
      <c r="Y62" s="290">
        <v>0</v>
      </c>
      <c r="Z62" s="290">
        <v>11384</v>
      </c>
      <c r="AA62" s="290">
        <v>16022</v>
      </c>
      <c r="AB62" s="290">
        <v>8184</v>
      </c>
      <c r="AC62" s="290">
        <v>18562</v>
      </c>
      <c r="AD62" s="290">
        <v>14999</v>
      </c>
      <c r="AE62" s="290">
        <v>13374</v>
      </c>
      <c r="AF62" s="290">
        <v>2160</v>
      </c>
      <c r="AG62" s="290">
        <v>5436</v>
      </c>
      <c r="AH62" s="290">
        <v>9584</v>
      </c>
      <c r="AI62" s="290">
        <v>5892</v>
      </c>
      <c r="AJ62" s="290">
        <v>2508</v>
      </c>
      <c r="AK62" s="290">
        <f>6484+3500</f>
        <v>9984</v>
      </c>
      <c r="AL62" s="290"/>
      <c r="AN62" s="91">
        <f>SUM(G62:AL62)</f>
        <v>256409</v>
      </c>
      <c r="AO62" s="3"/>
    </row>
    <row r="63" spans="3:102 15068:15081" x14ac:dyDescent="0.25">
      <c r="C63" s="15"/>
      <c r="D63" s="21"/>
      <c r="E63" s="266"/>
      <c r="F63" s="20" t="s">
        <v>25</v>
      </c>
      <c r="G63" s="291">
        <f>G62/(G10)*100</f>
        <v>1.321672293555719</v>
      </c>
      <c r="H63" s="291">
        <f t="shared" ref="H63:AL63" si="91">H62/(H10)*100</f>
        <v>1.1624949884655518</v>
      </c>
      <c r="I63" s="291">
        <f t="shared" si="91"/>
        <v>1.144191756908409</v>
      </c>
      <c r="J63" s="291">
        <f t="shared" si="91"/>
        <v>1.004816077057233</v>
      </c>
      <c r="K63" s="291">
        <f t="shared" si="91"/>
        <v>1.2305360106651329</v>
      </c>
      <c r="L63" s="291">
        <f t="shared" si="91"/>
        <v>0.96263389488074758</v>
      </c>
      <c r="M63" s="291">
        <f t="shared" si="91"/>
        <v>1.0033121277311234</v>
      </c>
      <c r="N63" s="291">
        <f t="shared" ref="N63:P63" si="92">N62/(N10)*100</f>
        <v>0.98060399974980239</v>
      </c>
      <c r="O63" s="291">
        <f t="shared" ref="O63" si="93">O62/(O10)*100</f>
        <v>1.3516603538070846</v>
      </c>
      <c r="P63" s="291">
        <f t="shared" si="92"/>
        <v>1.4227083335140636</v>
      </c>
      <c r="Q63" s="291">
        <f>Q62/(Q10)*100</f>
        <v>0.94669969434685586</v>
      </c>
      <c r="R63" s="291">
        <f t="shared" si="91"/>
        <v>1.0022106716767323</v>
      </c>
      <c r="S63" s="291">
        <f t="shared" si="91"/>
        <v>0.86998716768927653</v>
      </c>
      <c r="T63" s="291">
        <f t="shared" si="91"/>
        <v>0.84611536026934164</v>
      </c>
      <c r="U63" s="291">
        <f t="shared" si="91"/>
        <v>1.0453852996987549</v>
      </c>
      <c r="V63" s="291">
        <f t="shared" si="91"/>
        <v>1.2955069957852143</v>
      </c>
      <c r="W63" s="291" t="e">
        <f t="shared" si="91"/>
        <v>#DIV/0!</v>
      </c>
      <c r="X63" s="291" t="e">
        <f t="shared" si="91"/>
        <v>#DIV/0!</v>
      </c>
      <c r="Y63" s="291" t="e">
        <f t="shared" si="91"/>
        <v>#DIV/0!</v>
      </c>
      <c r="Z63" s="291">
        <f t="shared" si="91"/>
        <v>1.1407670917153092</v>
      </c>
      <c r="AA63" s="291">
        <f t="shared" si="91"/>
        <v>1.1033310654285926</v>
      </c>
      <c r="AB63" s="291">
        <f t="shared" si="91"/>
        <v>1.1363305022264247</v>
      </c>
      <c r="AC63" s="291">
        <f t="shared" si="91"/>
        <v>1.9009385897087967</v>
      </c>
      <c r="AD63" s="291">
        <f t="shared" si="91"/>
        <v>0.95953314960247094</v>
      </c>
      <c r="AE63" s="291">
        <f t="shared" si="91"/>
        <v>0.9577622137240579</v>
      </c>
      <c r="AF63" s="291">
        <f t="shared" si="91"/>
        <v>0.95947974875845099</v>
      </c>
      <c r="AG63" s="291">
        <f t="shared" si="91"/>
        <v>0.80864217732410248</v>
      </c>
      <c r="AH63" s="291">
        <f>AH62/(AH10)*100</f>
        <v>1.1513695338779433</v>
      </c>
      <c r="AI63" s="291">
        <f t="shared" si="91"/>
        <v>0.98808164250964692</v>
      </c>
      <c r="AJ63" s="291">
        <f t="shared" si="91"/>
        <v>0.72113933113464435</v>
      </c>
      <c r="AK63" s="291">
        <f t="shared" si="91"/>
        <v>1.2062356001396644</v>
      </c>
      <c r="AL63" s="291" t="e">
        <f t="shared" si="91"/>
        <v>#DIV/0!</v>
      </c>
      <c r="AN63" s="319">
        <f>AN62/(AN10)*100</f>
        <v>1.1201462814261758</v>
      </c>
      <c r="AO63" s="150">
        <f>AN63*10</f>
        <v>11.201462814261758</v>
      </c>
      <c r="AP63" s="150"/>
      <c r="AQ63" s="150"/>
      <c r="BL63" s="150" t="e">
        <v>#DIV/0!</v>
      </c>
      <c r="BM63" s="150" t="e">
        <v>#DIV/0!</v>
      </c>
    </row>
    <row r="64" spans="3:102 15068:15081" s="1" customFormat="1" x14ac:dyDescent="0.25">
      <c r="C64" s="8"/>
      <c r="D64" s="249" t="s">
        <v>57</v>
      </c>
      <c r="E64" s="269">
        <v>18</v>
      </c>
      <c r="F64" s="250" t="s">
        <v>56</v>
      </c>
      <c r="G64" s="292">
        <v>0</v>
      </c>
      <c r="H64" s="292">
        <v>0</v>
      </c>
      <c r="I64" s="292">
        <v>0</v>
      </c>
      <c r="J64" s="292">
        <v>0</v>
      </c>
      <c r="K64" s="292"/>
      <c r="L64" s="292">
        <v>0</v>
      </c>
      <c r="M64" s="292">
        <v>0</v>
      </c>
      <c r="N64" s="292">
        <v>0</v>
      </c>
      <c r="O64" s="292">
        <v>0</v>
      </c>
      <c r="P64" s="292">
        <v>0</v>
      </c>
      <c r="Q64" s="292">
        <v>0</v>
      </c>
      <c r="R64" s="292">
        <v>0</v>
      </c>
      <c r="S64" s="292">
        <v>0</v>
      </c>
      <c r="T64" s="292">
        <v>0</v>
      </c>
      <c r="U64" s="292">
        <v>0</v>
      </c>
      <c r="V64" s="292">
        <v>0</v>
      </c>
      <c r="W64" s="292">
        <v>0</v>
      </c>
      <c r="X64" s="292">
        <v>0</v>
      </c>
      <c r="Y64" s="292">
        <v>0</v>
      </c>
      <c r="Z64" s="292">
        <v>0</v>
      </c>
      <c r="AA64" s="292">
        <v>0</v>
      </c>
      <c r="AB64" s="292">
        <v>0</v>
      </c>
      <c r="AC64" s="292">
        <v>0</v>
      </c>
      <c r="AD64" s="292">
        <v>0</v>
      </c>
      <c r="AE64" s="292">
        <v>0</v>
      </c>
      <c r="AF64" s="292">
        <v>0</v>
      </c>
      <c r="AG64" s="292"/>
      <c r="AH64" s="292">
        <f>2550+380</f>
        <v>2930</v>
      </c>
      <c r="AI64" s="292">
        <v>0</v>
      </c>
      <c r="AJ64" s="292">
        <v>0</v>
      </c>
      <c r="AK64" s="292">
        <v>0</v>
      </c>
      <c r="AL64" s="292">
        <v>0</v>
      </c>
      <c r="AN64" s="91">
        <f>SUM(G64:AL64)</f>
        <v>2930</v>
      </c>
      <c r="CX64" s="151"/>
      <c r="VGN64" s="50"/>
      <c r="VGO64" s="50"/>
      <c r="VGP64" s="50"/>
      <c r="VGQ64" s="50"/>
      <c r="VGR64" s="50"/>
      <c r="VGS64" s="50"/>
      <c r="VGT64" s="50"/>
      <c r="VGU64" s="50"/>
      <c r="VGV64" s="50"/>
      <c r="VGW64" s="50"/>
      <c r="VGX64" s="50"/>
      <c r="VGY64" s="50"/>
      <c r="VGZ64" s="50"/>
      <c r="VHA64" s="50"/>
    </row>
    <row r="65" spans="3:102 15068:15081" s="1" customFormat="1" x14ac:dyDescent="0.25">
      <c r="C65" s="15"/>
      <c r="D65" s="22"/>
      <c r="E65" s="270"/>
      <c r="F65" s="23" t="s">
        <v>25</v>
      </c>
      <c r="G65" s="293" t="e">
        <f>G64/(G11)*100</f>
        <v>#DIV/0!</v>
      </c>
      <c r="H65" s="293" t="e">
        <f t="shared" ref="H65:AL65" si="94">H64/(H11)*100</f>
        <v>#DIV/0!</v>
      </c>
      <c r="I65" s="293" t="e">
        <f t="shared" si="94"/>
        <v>#DIV/0!</v>
      </c>
      <c r="J65" s="293" t="e">
        <f t="shared" si="94"/>
        <v>#DIV/0!</v>
      </c>
      <c r="K65" s="293" t="e">
        <f t="shared" si="94"/>
        <v>#DIV/0!</v>
      </c>
      <c r="L65" s="293" t="e">
        <f t="shared" si="94"/>
        <v>#DIV/0!</v>
      </c>
      <c r="M65" s="293" t="e">
        <f t="shared" si="94"/>
        <v>#DIV/0!</v>
      </c>
      <c r="N65" s="293" t="e">
        <f t="shared" ref="N65:P65" si="95">N64/(N11)*100</f>
        <v>#DIV/0!</v>
      </c>
      <c r="O65" s="293" t="e">
        <f t="shared" ref="O65" si="96">O64/(O11)*100</f>
        <v>#DIV/0!</v>
      </c>
      <c r="P65" s="293" t="e">
        <f t="shared" si="95"/>
        <v>#DIV/0!</v>
      </c>
      <c r="Q65" s="293" t="e">
        <f t="shared" si="94"/>
        <v>#DIV/0!</v>
      </c>
      <c r="R65" s="293" t="e">
        <f t="shared" si="94"/>
        <v>#DIV/0!</v>
      </c>
      <c r="S65" s="293" t="e">
        <f t="shared" si="94"/>
        <v>#DIV/0!</v>
      </c>
      <c r="T65" s="293" t="e">
        <f t="shared" si="94"/>
        <v>#DIV/0!</v>
      </c>
      <c r="U65" s="293" t="e">
        <f t="shared" si="94"/>
        <v>#DIV/0!</v>
      </c>
      <c r="V65" s="293" t="e">
        <f t="shared" si="94"/>
        <v>#DIV/0!</v>
      </c>
      <c r="W65" s="293" t="e">
        <f t="shared" si="94"/>
        <v>#DIV/0!</v>
      </c>
      <c r="X65" s="293" t="e">
        <f t="shared" si="94"/>
        <v>#DIV/0!</v>
      </c>
      <c r="Y65" s="293" t="e">
        <f t="shared" si="94"/>
        <v>#DIV/0!</v>
      </c>
      <c r="Z65" s="293" t="e">
        <f t="shared" si="94"/>
        <v>#DIV/0!</v>
      </c>
      <c r="AA65" s="293" t="e">
        <f t="shared" si="94"/>
        <v>#DIV/0!</v>
      </c>
      <c r="AB65" s="293" t="e">
        <f t="shared" si="94"/>
        <v>#DIV/0!</v>
      </c>
      <c r="AC65" s="293" t="e">
        <f t="shared" si="94"/>
        <v>#DIV/0!</v>
      </c>
      <c r="AD65" s="293" t="e">
        <f t="shared" si="94"/>
        <v>#DIV/0!</v>
      </c>
      <c r="AE65" s="293" t="e">
        <f t="shared" si="94"/>
        <v>#DIV/0!</v>
      </c>
      <c r="AF65" s="293" t="e">
        <f t="shared" si="94"/>
        <v>#DIV/0!</v>
      </c>
      <c r="AG65" s="293" t="e">
        <f>AG64/(AG11)*100</f>
        <v>#DIV/0!</v>
      </c>
      <c r="AH65" s="293">
        <f>AH64/(AH11)*100</f>
        <v>1.586399198678903</v>
      </c>
      <c r="AI65" s="293" t="e">
        <f t="shared" si="94"/>
        <v>#DIV/0!</v>
      </c>
      <c r="AJ65" s="293" t="e">
        <f t="shared" si="94"/>
        <v>#DIV/0!</v>
      </c>
      <c r="AK65" s="293" t="e">
        <f t="shared" si="94"/>
        <v>#DIV/0!</v>
      </c>
      <c r="AL65" s="293" t="e">
        <f t="shared" si="94"/>
        <v>#DIV/0!</v>
      </c>
      <c r="AN65" s="319">
        <f>AN64/(AN11)*100</f>
        <v>1.586399198678903</v>
      </c>
      <c r="CX65" s="151"/>
      <c r="VGN65" s="50"/>
      <c r="VGO65" s="50"/>
      <c r="VGP65" s="50"/>
      <c r="VGQ65" s="50"/>
      <c r="VGR65" s="50"/>
      <c r="VGS65" s="50"/>
      <c r="VGT65" s="50"/>
      <c r="VGU65" s="50"/>
      <c r="VGV65" s="50"/>
      <c r="VGW65" s="50"/>
      <c r="VGX65" s="50"/>
      <c r="VGY65" s="50"/>
      <c r="VGZ65" s="50"/>
      <c r="VHA65" s="50"/>
    </row>
    <row r="66" spans="3:102 15068:15081" x14ac:dyDescent="0.25">
      <c r="C66" s="15"/>
      <c r="D66" s="247" t="s">
        <v>55</v>
      </c>
      <c r="E66" s="264">
        <v>0.6</v>
      </c>
      <c r="F66" s="248" t="s">
        <v>14</v>
      </c>
      <c r="G66" s="257">
        <v>720.58799999999997</v>
      </c>
      <c r="H66" s="257">
        <v>539.85799999999995</v>
      </c>
      <c r="I66" s="257">
        <v>515.37199999999996</v>
      </c>
      <c r="J66" s="257">
        <v>534.02800000000002</v>
      </c>
      <c r="K66" s="257">
        <v>206.38</v>
      </c>
      <c r="L66" s="257">
        <v>347.47</v>
      </c>
      <c r="M66" s="257">
        <v>115.434</v>
      </c>
      <c r="N66" s="257">
        <v>176.066</v>
      </c>
      <c r="O66" s="257">
        <v>371.94</v>
      </c>
      <c r="P66" s="257">
        <v>610.98</v>
      </c>
      <c r="Q66" s="257">
        <v>264.678</v>
      </c>
      <c r="R66" s="257">
        <v>177.23</v>
      </c>
      <c r="S66" s="257">
        <v>715.91600000000005</v>
      </c>
      <c r="T66" s="257">
        <v>376.61399999999998</v>
      </c>
      <c r="U66" s="257">
        <v>125.928</v>
      </c>
      <c r="V66" s="257">
        <v>429.08</v>
      </c>
      <c r="W66" s="257">
        <v>0</v>
      </c>
      <c r="X66" s="257">
        <v>0</v>
      </c>
      <c r="Y66" s="257">
        <v>0</v>
      </c>
      <c r="Z66" s="257">
        <v>493.22</v>
      </c>
      <c r="AA66" s="257">
        <v>662.28</v>
      </c>
      <c r="AB66" s="257">
        <v>343.97</v>
      </c>
      <c r="AC66" s="257">
        <v>714.76</v>
      </c>
      <c r="AD66" s="257">
        <v>847.68</v>
      </c>
      <c r="AE66" s="257">
        <v>617.98</v>
      </c>
      <c r="AF66" s="257">
        <v>124.762</v>
      </c>
      <c r="AG66" s="257">
        <v>361.46199999999999</v>
      </c>
      <c r="AH66" s="257">
        <v>489.72</v>
      </c>
      <c r="AI66" s="257">
        <v>296.16399999999999</v>
      </c>
      <c r="AJ66" s="257">
        <v>157.41</v>
      </c>
      <c r="AK66" s="257">
        <v>402.27</v>
      </c>
      <c r="AL66" s="257"/>
      <c r="AM66" s="324"/>
      <c r="AN66" s="325">
        <f>SUM(G66:AL66)</f>
        <v>11739.24</v>
      </c>
      <c r="AO66" s="324"/>
      <c r="AP66" s="324"/>
      <c r="AQ66" s="324"/>
      <c r="AR66" s="324"/>
      <c r="AS66" s="324"/>
      <c r="AT66" s="324"/>
      <c r="AU66" s="324"/>
      <c r="AV66" s="324"/>
      <c r="AW66" s="324"/>
      <c r="AX66" s="324"/>
      <c r="AY66" s="324"/>
      <c r="AZ66" s="324"/>
      <c r="BA66" s="324"/>
      <c r="BB66" s="324"/>
      <c r="BC66" s="324"/>
      <c r="BD66" s="324"/>
      <c r="BE66" s="324"/>
      <c r="BF66" s="324"/>
      <c r="BG66" s="324"/>
      <c r="BH66" s="324"/>
    </row>
    <row r="67" spans="3:102 15068:15081" ht="15.75" thickBot="1" x14ac:dyDescent="0.3">
      <c r="C67" s="19"/>
      <c r="D67" s="24"/>
      <c r="E67" s="266"/>
      <c r="F67" s="25" t="s">
        <v>25</v>
      </c>
      <c r="G67" s="294">
        <f>G66/(G9)*100</f>
        <v>5.0831617990431698E-2</v>
      </c>
      <c r="H67" s="294">
        <f>H66/(H9)*100</f>
        <v>4.8858094159831514E-2</v>
      </c>
      <c r="I67" s="294">
        <f>I66/(I9)*100</f>
        <v>4.9432843837823835E-2</v>
      </c>
      <c r="J67" s="294">
        <f t="shared" ref="J67:AL67" si="97">J66/(J9)*100</f>
        <v>5.0262263019737734E-2</v>
      </c>
      <c r="K67" s="294">
        <f t="shared" si="97"/>
        <v>5.0298677338298695E-2</v>
      </c>
      <c r="L67" s="294">
        <f t="shared" si="97"/>
        <v>4.5763633801370003E-2</v>
      </c>
      <c r="M67" s="294">
        <f t="shared" si="97"/>
        <v>5.3175542769749541E-2</v>
      </c>
      <c r="N67" s="294">
        <f t="shared" ref="N67:P67" si="98">N66/(N9)*100</f>
        <v>5.005828466800484E-2</v>
      </c>
      <c r="O67" s="294">
        <f t="shared" ref="O67" si="99">O66/(O9)*100</f>
        <v>5.0028515473679674E-2</v>
      </c>
      <c r="P67" s="294">
        <f t="shared" si="98"/>
        <v>5.3002825464050163E-2</v>
      </c>
      <c r="Q67" s="294">
        <f>Q66/(Q9)*100</f>
        <v>5.0784471362046439E-2</v>
      </c>
      <c r="R67" s="294">
        <f t="shared" si="97"/>
        <v>5.2519750840114503E-2</v>
      </c>
      <c r="S67" s="294">
        <f t="shared" si="97"/>
        <v>5.3692908029606572E-2</v>
      </c>
      <c r="T67" s="294">
        <f t="shared" si="97"/>
        <v>5.2051435853067277E-2</v>
      </c>
      <c r="U67" s="294">
        <f t="shared" si="97"/>
        <v>4.8080087662697155E-2</v>
      </c>
      <c r="V67" s="294">
        <f t="shared" si="97"/>
        <v>5.0885769109439746E-2</v>
      </c>
      <c r="W67" s="294" t="e">
        <f t="shared" si="97"/>
        <v>#DIV/0!</v>
      </c>
      <c r="X67" s="294" t="e">
        <f t="shared" si="97"/>
        <v>#DIV/0!</v>
      </c>
      <c r="Y67" s="294" t="e">
        <f t="shared" si="97"/>
        <v>#DIV/0!</v>
      </c>
      <c r="Z67" s="294">
        <f t="shared" si="97"/>
        <v>4.9424555953603733E-2</v>
      </c>
      <c r="AA67" s="294">
        <f t="shared" si="97"/>
        <v>4.5606921608541275E-2</v>
      </c>
      <c r="AB67" s="294">
        <f t="shared" si="97"/>
        <v>4.7759482264274601E-2</v>
      </c>
      <c r="AC67" s="294">
        <f t="shared" si="97"/>
        <v>7.3198732161418992E-2</v>
      </c>
      <c r="AD67" s="294">
        <f t="shared" si="97"/>
        <v>5.4228752600508197E-2</v>
      </c>
      <c r="AE67" s="294">
        <f t="shared" si="97"/>
        <v>4.425586158495539E-2</v>
      </c>
      <c r="AF67" s="294">
        <f t="shared" si="97"/>
        <v>5.5419727969723082E-2</v>
      </c>
      <c r="AG67" s="294">
        <f t="shared" si="97"/>
        <v>5.376994457320175E-2</v>
      </c>
      <c r="AH67" s="294">
        <f t="shared" si="97"/>
        <v>4.8148894646026189E-2</v>
      </c>
      <c r="AI67" s="294">
        <f t="shared" si="97"/>
        <v>4.9666363131742539E-2</v>
      </c>
      <c r="AJ67" s="294">
        <f t="shared" si="97"/>
        <v>4.5260981704108597E-2</v>
      </c>
      <c r="AK67" s="294">
        <f t="shared" si="97"/>
        <v>4.860100108855997E-2</v>
      </c>
      <c r="AL67" s="294" t="e">
        <f t="shared" si="97"/>
        <v>#DIV/0!</v>
      </c>
      <c r="AN67" s="320">
        <f>AN66/(AN9)*100</f>
        <v>5.087347260277475E-2</v>
      </c>
      <c r="AO67" s="150">
        <f>AN67*10</f>
        <v>0.5087347260277475</v>
      </c>
      <c r="AP67" s="150"/>
      <c r="AQ67" s="150"/>
    </row>
    <row r="68" spans="3:102 15068:15081" s="147" customFormat="1" x14ac:dyDescent="0.25">
      <c r="C68" s="148">
        <v>3</v>
      </c>
      <c r="D68" s="251" t="s">
        <v>171</v>
      </c>
      <c r="E68" s="252">
        <v>0.8</v>
      </c>
      <c r="F68" s="253" t="s">
        <v>25</v>
      </c>
      <c r="G68" s="295">
        <f>((SUM(G16:G17))-(SUM(G9)))/(SUM(G9))*100</f>
        <v>-1.7696836479735438</v>
      </c>
      <c r="H68" s="295">
        <f t="shared" ref="H68:J68" si="100">((SUM(H16:H17))-(SUM(H9)))/(SUM(H9))*100</f>
        <v>0.17249633694163813</v>
      </c>
      <c r="I68" s="295">
        <f t="shared" si="100"/>
        <v>-9.6204571395685667E-2</v>
      </c>
      <c r="J68" s="295">
        <f t="shared" si="100"/>
        <v>-0.43115983973390631</v>
      </c>
      <c r="K68" s="295">
        <f t="shared" ref="K68:AL68" si="101">((SUM(K16:K17))-(SUM(K9)))/(SUM(K9))*100</f>
        <v>-4.0905756393352322</v>
      </c>
      <c r="L68" s="295">
        <f t="shared" si="101"/>
        <v>2.7152360619594322</v>
      </c>
      <c r="M68" s="295">
        <f t="shared" si="101"/>
        <v>-1.115712568119734</v>
      </c>
      <c r="N68" s="295">
        <f t="shared" ref="N68:P68" si="102">((SUM(N16:N17))-(SUM(N9)))/(SUM(N9))*100</f>
        <v>-8.671621337306167</v>
      </c>
      <c r="O68" s="295">
        <f t="shared" ref="O68" si="103">((SUM(O16:O17))-(SUM(O9)))/(SUM(O9))*100</f>
        <v>0.74261287823354716</v>
      </c>
      <c r="P68" s="295">
        <f t="shared" si="102"/>
        <v>-1.7423839560140222</v>
      </c>
      <c r="Q68" s="295">
        <f>((SUM(Q16:Q17))-(SUM(Q9)))/(SUM(Q9))*100</f>
        <v>4.3029362272846754</v>
      </c>
      <c r="R68" s="295">
        <f t="shared" ref="R68:T68" si="104">((SUM(R16:R17))-(SUM(R9)))/(SUM(R9))*100</f>
        <v>-9.076496352095397</v>
      </c>
      <c r="S68" s="295">
        <f t="shared" si="104"/>
        <v>-0.86368726061290602</v>
      </c>
      <c r="T68" s="295">
        <f t="shared" si="104"/>
        <v>-4.5286935658192613</v>
      </c>
      <c r="U68" s="295">
        <f t="shared" si="101"/>
        <v>3.7019926464131223</v>
      </c>
      <c r="V68" s="295">
        <f t="shared" si="101"/>
        <v>-4.3522346428342713</v>
      </c>
      <c r="W68" s="295" t="e">
        <f t="shared" si="101"/>
        <v>#DIV/0!</v>
      </c>
      <c r="X68" s="295" t="e">
        <f t="shared" si="101"/>
        <v>#DIV/0!</v>
      </c>
      <c r="Y68" s="295" t="e">
        <f t="shared" si="101"/>
        <v>#DIV/0!</v>
      </c>
      <c r="Z68" s="295">
        <f t="shared" si="101"/>
        <v>2.1749129443595461</v>
      </c>
      <c r="AA68" s="295">
        <f t="shared" si="101"/>
        <v>-1.5553511074628756</v>
      </c>
      <c r="AB68" s="295">
        <f t="shared" si="101"/>
        <v>-1.006924340438176</v>
      </c>
      <c r="AC68" s="295">
        <f t="shared" si="101"/>
        <v>-4.8425698821770364</v>
      </c>
      <c r="AD68" s="295">
        <f t="shared" si="101"/>
        <v>2.4779996366325561</v>
      </c>
      <c r="AE68" s="295">
        <f t="shared" si="101"/>
        <v>-2.0641945602199976</v>
      </c>
      <c r="AF68" s="295">
        <f t="shared" si="101"/>
        <v>4.1786231465605317</v>
      </c>
      <c r="AG68" s="295">
        <f t="shared" si="101"/>
        <v>-0.11543530713824569</v>
      </c>
      <c r="AH68" s="295">
        <f t="shared" si="101"/>
        <v>0.18102537127799798</v>
      </c>
      <c r="AI68" s="295">
        <f t="shared" si="101"/>
        <v>37.970542019463124</v>
      </c>
      <c r="AJ68" s="295">
        <f t="shared" si="101"/>
        <v>-4.483542898876598</v>
      </c>
      <c r="AK68" s="295">
        <f t="shared" si="101"/>
        <v>2.0538867390198609E-3</v>
      </c>
      <c r="AL68" s="295" t="e">
        <f t="shared" si="101"/>
        <v>#DIV/0!</v>
      </c>
      <c r="AN68" s="321">
        <f>((SUM(AN16:AN17))-(SUM(AN9)))/(SUM(AN9))*100</f>
        <v>0.10357452185156785</v>
      </c>
      <c r="CX68" s="157"/>
    </row>
    <row r="69" spans="3:102 15068:15081" s="147" customFormat="1" x14ac:dyDescent="0.25">
      <c r="C69" s="148"/>
      <c r="D69" s="329"/>
      <c r="E69" s="330"/>
      <c r="F69" s="331" t="s">
        <v>14</v>
      </c>
      <c r="G69" s="332">
        <f t="shared" ref="G69:M69" si="105">G68%*G9</f>
        <v>-25087</v>
      </c>
      <c r="H69" s="332">
        <f t="shared" si="105"/>
        <v>1906</v>
      </c>
      <c r="I69" s="332">
        <f t="shared" si="105"/>
        <v>-1003</v>
      </c>
      <c r="J69" s="332">
        <f t="shared" si="105"/>
        <v>-4581</v>
      </c>
      <c r="K69" s="332">
        <f t="shared" si="105"/>
        <v>-16784</v>
      </c>
      <c r="L69" s="332">
        <f t="shared" si="105"/>
        <v>20616</v>
      </c>
      <c r="M69" s="332">
        <f t="shared" si="105"/>
        <v>-2422</v>
      </c>
      <c r="N69" s="332">
        <f t="shared" ref="N69:P69" si="106">N68%*N9</f>
        <v>-30499.999999999996</v>
      </c>
      <c r="O69" s="332">
        <f t="shared" ref="O69" si="107">O68%*O9</f>
        <v>5521</v>
      </c>
      <c r="P69" s="332">
        <f t="shared" si="106"/>
        <v>-20085</v>
      </c>
      <c r="Q69" s="332">
        <f>Q68%*Q9</f>
        <v>22426</v>
      </c>
      <c r="R69" s="332">
        <f t="shared" ref="R69:S69" si="108">R68%*R9</f>
        <v>-30629</v>
      </c>
      <c r="S69" s="332">
        <f t="shared" si="108"/>
        <v>-11516.000000000002</v>
      </c>
      <c r="T69" s="332">
        <f>T68%*T9</f>
        <v>-32767</v>
      </c>
      <c r="U69" s="332">
        <f>U68%*U9</f>
        <v>9696</v>
      </c>
      <c r="V69" s="332">
        <f t="shared" ref="V69:AL69" si="109">V68%*V9</f>
        <v>-36699</v>
      </c>
      <c r="W69" s="332" t="e">
        <f t="shared" si="109"/>
        <v>#DIV/0!</v>
      </c>
      <c r="X69" s="332" t="e">
        <f t="shared" si="109"/>
        <v>#DIV/0!</v>
      </c>
      <c r="Y69" s="332" t="e">
        <f t="shared" si="109"/>
        <v>#DIV/0!</v>
      </c>
      <c r="Z69" s="332">
        <f t="shared" si="109"/>
        <v>21704</v>
      </c>
      <c r="AA69" s="332">
        <f t="shared" si="109"/>
        <v>-22586</v>
      </c>
      <c r="AB69" s="332">
        <f t="shared" si="109"/>
        <v>-7252.0000000000009</v>
      </c>
      <c r="AC69" s="332">
        <f t="shared" si="109"/>
        <v>-47286</v>
      </c>
      <c r="AD69" s="332">
        <f t="shared" si="109"/>
        <v>38735</v>
      </c>
      <c r="AE69" s="332">
        <f t="shared" si="109"/>
        <v>-28824.000000000004</v>
      </c>
      <c r="AF69" s="332">
        <f t="shared" si="109"/>
        <v>9407</v>
      </c>
      <c r="AG69" s="332">
        <f t="shared" si="109"/>
        <v>-776.00000000000011</v>
      </c>
      <c r="AH69" s="332">
        <f t="shared" si="109"/>
        <v>1841.1999999999534</v>
      </c>
      <c r="AI69" s="332">
        <f t="shared" si="109"/>
        <v>226421</v>
      </c>
      <c r="AJ69" s="332">
        <f t="shared" si="109"/>
        <v>-15593</v>
      </c>
      <c r="AK69" s="332">
        <f t="shared" si="109"/>
        <v>17</v>
      </c>
      <c r="AL69" s="332" t="e">
        <f t="shared" si="109"/>
        <v>#DIV/0!</v>
      </c>
      <c r="AN69" s="333">
        <f>AN68%*AN9</f>
        <v>23900.199999999259</v>
      </c>
      <c r="CX69" s="157"/>
    </row>
    <row r="70" spans="3:102 15068:15081" s="71" customFormat="1" x14ac:dyDescent="0.25">
      <c r="C70" s="77"/>
      <c r="D70" s="247" t="s">
        <v>54</v>
      </c>
      <c r="E70" s="271">
        <v>22</v>
      </c>
      <c r="F70" s="248" t="s">
        <v>25</v>
      </c>
      <c r="G70" s="296">
        <v>21.92</v>
      </c>
      <c r="H70" s="257">
        <v>21.58</v>
      </c>
      <c r="I70" s="257">
        <v>21.49</v>
      </c>
      <c r="J70" s="257">
        <v>21.5</v>
      </c>
      <c r="K70" s="257">
        <v>21.54</v>
      </c>
      <c r="L70" s="257">
        <v>21.55</v>
      </c>
      <c r="M70" s="257">
        <v>21.5</v>
      </c>
      <c r="N70" s="257">
        <v>21.7</v>
      </c>
      <c r="O70" s="257">
        <v>21.6</v>
      </c>
      <c r="P70" s="257">
        <v>21.71</v>
      </c>
      <c r="Q70" s="257">
        <v>21.65</v>
      </c>
      <c r="R70" s="257">
        <v>21.46</v>
      </c>
      <c r="S70" s="257">
        <v>21.37</v>
      </c>
      <c r="T70" s="257">
        <v>21.5</v>
      </c>
      <c r="U70" s="257">
        <v>21.79</v>
      </c>
      <c r="V70" s="257">
        <v>21.76</v>
      </c>
      <c r="W70" s="257">
        <v>0</v>
      </c>
      <c r="X70" s="257">
        <v>0</v>
      </c>
      <c r="Y70" s="257"/>
      <c r="Z70" s="257">
        <v>21.75</v>
      </c>
      <c r="AA70" s="257">
        <v>21.78</v>
      </c>
      <c r="AB70" s="257">
        <v>21.78</v>
      </c>
      <c r="AC70" s="257">
        <v>21.75</v>
      </c>
      <c r="AD70" s="257">
        <v>21.8</v>
      </c>
      <c r="AE70" s="257">
        <v>21.86</v>
      </c>
      <c r="AF70" s="257">
        <v>21.8</v>
      </c>
      <c r="AG70" s="257">
        <v>21.82</v>
      </c>
      <c r="AH70" s="257">
        <v>21.79</v>
      </c>
      <c r="AI70" s="257">
        <v>22.18</v>
      </c>
      <c r="AJ70" s="257">
        <v>21.31</v>
      </c>
      <c r="AK70" s="257">
        <v>22.38</v>
      </c>
      <c r="AL70" s="257"/>
      <c r="AN70" s="93">
        <f>SUM(G70:AL70)/AN6</f>
        <v>21.70071428571428</v>
      </c>
      <c r="CX70" s="153"/>
    </row>
    <row r="71" spans="3:102 15068:15081" s="71" customFormat="1" ht="15.75" thickBot="1" x14ac:dyDescent="0.3">
      <c r="C71" s="94"/>
      <c r="D71" s="95" t="s">
        <v>53</v>
      </c>
      <c r="E71" s="266"/>
      <c r="F71" s="96" t="s">
        <v>14</v>
      </c>
      <c r="G71" s="291">
        <f>SUM(G62,G64)+(G70%*SUM(G62,G64))</f>
        <v>22842.931199999999</v>
      </c>
      <c r="H71" s="291">
        <f>SUM(H62,H64)+(H70%*SUM(H62,H64))</f>
        <v>15616.951000000001</v>
      </c>
      <c r="I71" s="291">
        <f t="shared" ref="I71:AL71" si="110">SUM(I62,I64)+(I70%*SUM(I62,I64))</f>
        <v>14492.542099999999</v>
      </c>
      <c r="J71" s="291">
        <f t="shared" si="110"/>
        <v>12971.34</v>
      </c>
      <c r="K71" s="291">
        <f t="shared" si="110"/>
        <v>6136.5545999999995</v>
      </c>
      <c r="L71" s="291">
        <f t="shared" si="110"/>
        <v>8884.0895</v>
      </c>
      <c r="M71" s="291">
        <f t="shared" si="110"/>
        <v>2646.27</v>
      </c>
      <c r="N71" s="291">
        <f t="shared" ref="N71:P71" si="111">SUM(N62,N64)+(N70%*SUM(N62,N64))</f>
        <v>4197.433</v>
      </c>
      <c r="O71" s="291">
        <f t="shared" ref="O71" si="112">SUM(O62,O64)+(O70%*SUM(O62,O64))</f>
        <v>12219.584000000001</v>
      </c>
      <c r="P71" s="291">
        <f t="shared" si="111"/>
        <v>19960.439999999999</v>
      </c>
      <c r="Q71" s="291">
        <f t="shared" si="110"/>
        <v>6002.2110000000002</v>
      </c>
      <c r="R71" s="291">
        <f t="shared" si="110"/>
        <v>4107.7772000000004</v>
      </c>
      <c r="S71" s="291">
        <f t="shared" si="110"/>
        <v>14078.92</v>
      </c>
      <c r="T71" s="291">
        <f t="shared" si="110"/>
        <v>7438.23</v>
      </c>
      <c r="U71" s="291">
        <f t="shared" si="110"/>
        <v>3334.6102000000001</v>
      </c>
      <c r="V71" s="291">
        <f t="shared" si="110"/>
        <v>13301.062400000001</v>
      </c>
      <c r="W71" s="291">
        <f t="shared" si="110"/>
        <v>0</v>
      </c>
      <c r="X71" s="291">
        <f t="shared" si="110"/>
        <v>0</v>
      </c>
      <c r="Y71" s="291">
        <f t="shared" si="110"/>
        <v>0</v>
      </c>
      <c r="Z71" s="291">
        <f>SUM(Z62,Z64)+(Z70%*SUM(Z62,Z64))</f>
        <v>13860.02</v>
      </c>
      <c r="AA71" s="291">
        <f t="shared" si="110"/>
        <v>19511.5916</v>
      </c>
      <c r="AB71" s="291">
        <f t="shared" si="110"/>
        <v>9966.4752000000008</v>
      </c>
      <c r="AC71" s="291">
        <f t="shared" si="110"/>
        <v>22599.235000000001</v>
      </c>
      <c r="AD71" s="291">
        <f t="shared" si="110"/>
        <v>18268.781999999999</v>
      </c>
      <c r="AE71" s="291">
        <f t="shared" si="110"/>
        <v>16297.556399999999</v>
      </c>
      <c r="AF71" s="291">
        <f>SUM(AF62,AF64)+(AF70%*SUM(AF62,AF64))</f>
        <v>2630.88</v>
      </c>
      <c r="AG71" s="291">
        <f>SUM(AG62,AG64)+(AG70%*SUM(AG62,AG64))</f>
        <v>6622.1351999999997</v>
      </c>
      <c r="AH71" s="291">
        <f>SUM(AH62,AH64)+(AH70%*SUM(AH62,AH64))</f>
        <v>15240.800599999999</v>
      </c>
      <c r="AI71" s="291">
        <f t="shared" si="110"/>
        <v>7198.8455999999996</v>
      </c>
      <c r="AJ71" s="291">
        <f t="shared" si="110"/>
        <v>3042.4548</v>
      </c>
      <c r="AK71" s="291">
        <f t="shared" si="110"/>
        <v>12218.4192</v>
      </c>
      <c r="AL71" s="291">
        <f t="shared" si="110"/>
        <v>0</v>
      </c>
      <c r="AN71" s="93">
        <f>SUM(AN62,AN64)+(AN70%*SUM(AN62,AN64))</f>
        <v>315617.41542142857</v>
      </c>
      <c r="CX71" s="153"/>
    </row>
    <row r="72" spans="3:102 15068:15081" hidden="1" x14ac:dyDescent="0.25">
      <c r="C72" s="8">
        <v>4</v>
      </c>
      <c r="D72" s="53" t="s">
        <v>52</v>
      </c>
      <c r="E72" s="54"/>
      <c r="F72" s="55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3"/>
      <c r="AN72" s="87" t="s">
        <v>131</v>
      </c>
    </row>
    <row r="73" spans="3:102 15068:15081" s="2" customFormat="1" hidden="1" x14ac:dyDescent="0.25">
      <c r="C73" s="8"/>
      <c r="D73" s="26" t="s">
        <v>51</v>
      </c>
      <c r="E73" s="97"/>
      <c r="F73" s="12" t="s">
        <v>14</v>
      </c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7"/>
      <c r="AM73" s="27"/>
      <c r="AN73" s="98">
        <v>0</v>
      </c>
      <c r="BD73" s="27"/>
      <c r="CX73" s="156"/>
    </row>
    <row r="74" spans="3:102 15068:15081" s="1" customFormat="1" hidden="1" x14ac:dyDescent="0.25">
      <c r="C74" s="15"/>
      <c r="D74" s="28" t="s">
        <v>46</v>
      </c>
      <c r="E74" s="99"/>
      <c r="F74" s="20" t="s">
        <v>14</v>
      </c>
      <c r="G74" s="298"/>
      <c r="H74" s="29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"/>
      <c r="AN74" s="98">
        <v>0</v>
      </c>
      <c r="CX74" s="152"/>
    </row>
    <row r="75" spans="3:102 15068:15081" s="1" customFormat="1" hidden="1" x14ac:dyDescent="0.25">
      <c r="C75" s="15"/>
      <c r="D75" s="30" t="s">
        <v>39</v>
      </c>
      <c r="E75" s="69"/>
      <c r="F75" s="20" t="s">
        <v>14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0</v>
      </c>
      <c r="W75" s="34">
        <v>0</v>
      </c>
      <c r="X75" s="34">
        <v>0</v>
      </c>
      <c r="Y75" s="34">
        <v>0</v>
      </c>
      <c r="Z75" s="34">
        <v>0</v>
      </c>
      <c r="AA75" s="34">
        <v>0</v>
      </c>
      <c r="AB75" s="34">
        <v>0</v>
      </c>
      <c r="AC75" s="34">
        <v>0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34"/>
      <c r="AK75" s="34"/>
      <c r="AL75" s="34">
        <v>0</v>
      </c>
      <c r="AN75" s="67">
        <v>0</v>
      </c>
      <c r="CX75" s="152"/>
    </row>
    <row r="76" spans="3:102 15068:15081" s="1" customFormat="1" hidden="1" x14ac:dyDescent="0.25">
      <c r="C76" s="15"/>
      <c r="D76" s="30" t="s">
        <v>38</v>
      </c>
      <c r="E76" s="69"/>
      <c r="F76" s="20" t="s">
        <v>14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4"/>
      <c r="AK76" s="34"/>
      <c r="AL76" s="34">
        <v>0</v>
      </c>
      <c r="AN76" s="67">
        <v>0</v>
      </c>
      <c r="CX76" s="152"/>
    </row>
    <row r="77" spans="3:102 15068:15081" s="1" customFormat="1" hidden="1" x14ac:dyDescent="0.25">
      <c r="C77" s="15"/>
      <c r="D77" s="30" t="s">
        <v>50</v>
      </c>
      <c r="E77" s="69"/>
      <c r="F77" s="13" t="s">
        <v>14</v>
      </c>
      <c r="G77" s="34">
        <v>0</v>
      </c>
      <c r="H77" s="34"/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  <c r="U77" s="34">
        <v>0</v>
      </c>
      <c r="V77" s="34">
        <v>0</v>
      </c>
      <c r="W77" s="34">
        <v>0</v>
      </c>
      <c r="X77" s="34">
        <v>0</v>
      </c>
      <c r="Y77" s="34">
        <v>0</v>
      </c>
      <c r="Z77" s="34">
        <v>0</v>
      </c>
      <c r="AA77" s="34">
        <v>0</v>
      </c>
      <c r="AB77" s="34">
        <v>0</v>
      </c>
      <c r="AC77" s="34">
        <v>0</v>
      </c>
      <c r="AD77" s="34">
        <v>0</v>
      </c>
      <c r="AE77" s="34">
        <v>0</v>
      </c>
      <c r="AF77" s="34">
        <v>0</v>
      </c>
      <c r="AG77" s="34">
        <v>0</v>
      </c>
      <c r="AH77" s="34">
        <v>0</v>
      </c>
      <c r="AI77" s="34">
        <v>0</v>
      </c>
      <c r="AJ77" s="34"/>
      <c r="AK77" s="34"/>
      <c r="AL77" s="34">
        <v>0</v>
      </c>
      <c r="AN77" s="67">
        <v>0</v>
      </c>
      <c r="CX77" s="152"/>
    </row>
    <row r="78" spans="3:102 15068:15081" s="1" customFormat="1" hidden="1" x14ac:dyDescent="0.25">
      <c r="C78" s="15"/>
      <c r="D78" s="30" t="s">
        <v>29</v>
      </c>
      <c r="E78" s="69"/>
      <c r="F78" s="1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N78" s="72" t="s">
        <v>29</v>
      </c>
      <c r="CX78" s="152"/>
    </row>
    <row r="79" spans="3:102 15068:15081" s="16" customFormat="1" hidden="1" x14ac:dyDescent="0.2">
      <c r="C79" s="17"/>
      <c r="D79" s="31" t="s">
        <v>49</v>
      </c>
      <c r="E79" s="62"/>
      <c r="F79" s="32" t="s">
        <v>31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N79" s="63">
        <v>0</v>
      </c>
      <c r="CX79" s="158"/>
    </row>
    <row r="80" spans="3:102 15068:15081" s="16" customFormat="1" hidden="1" x14ac:dyDescent="0.2">
      <c r="C80" s="17"/>
      <c r="D80" s="31" t="s">
        <v>48</v>
      </c>
      <c r="E80" s="62"/>
      <c r="F80" s="32" t="s">
        <v>31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N80" s="63">
        <v>0</v>
      </c>
      <c r="CX80" s="158"/>
    </row>
    <row r="81" spans="3:102 15068:15460" s="1" customFormat="1" hidden="1" x14ac:dyDescent="0.25">
      <c r="C81" s="15"/>
      <c r="D81" s="30" t="s">
        <v>28</v>
      </c>
      <c r="E81" s="69"/>
      <c r="F81" s="1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N81" s="72" t="s">
        <v>28</v>
      </c>
      <c r="CX81" s="152"/>
    </row>
    <row r="82" spans="3:102 15068:15460" s="1" customFormat="1" hidden="1" x14ac:dyDescent="0.25">
      <c r="C82" s="15"/>
      <c r="D82" s="14" t="s">
        <v>49</v>
      </c>
      <c r="E82" s="69"/>
      <c r="F82" s="20" t="s">
        <v>28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3">
        <v>0</v>
      </c>
      <c r="AH82" s="33">
        <v>0</v>
      </c>
      <c r="AI82" s="33">
        <v>0</v>
      </c>
      <c r="AJ82" s="33"/>
      <c r="AK82" s="33"/>
      <c r="AL82" s="33">
        <v>0</v>
      </c>
      <c r="AN82" s="63">
        <v>0</v>
      </c>
      <c r="CX82" s="152"/>
    </row>
    <row r="83" spans="3:102 15068:15460" s="1" customFormat="1" hidden="1" x14ac:dyDescent="0.25">
      <c r="C83" s="15"/>
      <c r="D83" s="14" t="s">
        <v>48</v>
      </c>
      <c r="E83" s="69"/>
      <c r="F83" s="20" t="s">
        <v>28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33">
        <v>0</v>
      </c>
      <c r="AG83" s="33">
        <v>0</v>
      </c>
      <c r="AH83" s="33">
        <v>0</v>
      </c>
      <c r="AI83" s="33">
        <v>0</v>
      </c>
      <c r="AJ83" s="33"/>
      <c r="AK83" s="33"/>
      <c r="AL83" s="33">
        <v>0</v>
      </c>
      <c r="AN83" s="63">
        <v>0</v>
      </c>
      <c r="CX83" s="152"/>
    </row>
    <row r="84" spans="3:102 15068:15460" s="1" customFormat="1" hidden="1" x14ac:dyDescent="0.25">
      <c r="C84" s="15"/>
      <c r="D84" s="30" t="s">
        <v>36</v>
      </c>
      <c r="E84" s="69"/>
      <c r="F84" s="20" t="s">
        <v>35</v>
      </c>
      <c r="G84" s="300">
        <v>0</v>
      </c>
      <c r="H84" s="301">
        <v>0</v>
      </c>
      <c r="I84" s="301">
        <v>0</v>
      </c>
      <c r="J84" s="301">
        <v>0</v>
      </c>
      <c r="K84" s="301">
        <v>0</v>
      </c>
      <c r="L84" s="301">
        <v>0</v>
      </c>
      <c r="M84" s="301">
        <v>0</v>
      </c>
      <c r="N84" s="301">
        <v>0</v>
      </c>
      <c r="O84" s="301">
        <v>0</v>
      </c>
      <c r="P84" s="301">
        <v>0</v>
      </c>
      <c r="Q84" s="301">
        <v>0</v>
      </c>
      <c r="R84" s="301">
        <v>0</v>
      </c>
      <c r="S84" s="301">
        <v>0</v>
      </c>
      <c r="T84" s="301">
        <v>0</v>
      </c>
      <c r="U84" s="301">
        <v>0</v>
      </c>
      <c r="V84" s="301">
        <v>0</v>
      </c>
      <c r="W84" s="301">
        <v>0</v>
      </c>
      <c r="X84" s="301">
        <v>0</v>
      </c>
      <c r="Y84" s="301">
        <v>0</v>
      </c>
      <c r="Z84" s="301">
        <v>0</v>
      </c>
      <c r="AA84" s="301">
        <v>0</v>
      </c>
      <c r="AB84" s="301">
        <v>0</v>
      </c>
      <c r="AC84" s="301">
        <v>0</v>
      </c>
      <c r="AD84" s="301">
        <v>0</v>
      </c>
      <c r="AE84" s="301">
        <v>0</v>
      </c>
      <c r="AF84" s="301">
        <v>0</v>
      </c>
      <c r="AG84" s="301">
        <v>0</v>
      </c>
      <c r="AH84" s="301">
        <v>0</v>
      </c>
      <c r="AI84" s="301">
        <v>0</v>
      </c>
      <c r="AJ84" s="301"/>
      <c r="AK84" s="301"/>
      <c r="AL84" s="301">
        <v>0</v>
      </c>
      <c r="AN84" s="63">
        <v>0</v>
      </c>
      <c r="CX84" s="152"/>
    </row>
    <row r="85" spans="3:102 15068:15460" s="1" customFormat="1" hidden="1" x14ac:dyDescent="0.25">
      <c r="C85" s="15"/>
      <c r="D85" s="30" t="s">
        <v>34</v>
      </c>
      <c r="E85" s="69"/>
      <c r="F85" s="20" t="s">
        <v>33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>
        <v>0</v>
      </c>
      <c r="AJ85" s="33"/>
      <c r="AK85" s="33"/>
      <c r="AL85" s="33">
        <v>0</v>
      </c>
      <c r="AN85" s="63">
        <v>0</v>
      </c>
      <c r="CX85" s="152"/>
    </row>
    <row r="86" spans="3:102 15068:15460" s="1" customFormat="1" hidden="1" x14ac:dyDescent="0.25">
      <c r="C86" s="8"/>
      <c r="D86" s="53" t="s">
        <v>32</v>
      </c>
      <c r="E86" s="54"/>
      <c r="F86" s="55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3"/>
      <c r="AN86" s="87" t="s">
        <v>132</v>
      </c>
      <c r="CX86" s="151"/>
      <c r="VGN86" s="50"/>
      <c r="VGO86" s="50"/>
      <c r="VGP86" s="50"/>
      <c r="VGQ86" s="50"/>
      <c r="VGR86" s="50"/>
      <c r="VGS86" s="50"/>
      <c r="VGT86" s="50"/>
      <c r="VGU86" s="50"/>
      <c r="VGV86" s="50"/>
      <c r="VGW86" s="50"/>
      <c r="VGX86" s="50"/>
      <c r="VGY86" s="50"/>
      <c r="VGZ86" s="50"/>
      <c r="VHA86" s="50"/>
      <c r="VHB86" s="50"/>
      <c r="VHC86" s="50"/>
      <c r="VHD86" s="50"/>
      <c r="VHE86" s="50"/>
      <c r="VHF86" s="50"/>
      <c r="VHG86" s="50"/>
      <c r="VHH86" s="50"/>
      <c r="VHI86" s="50"/>
      <c r="VHJ86" s="50"/>
      <c r="VHK86" s="50"/>
      <c r="VHL86" s="50"/>
      <c r="VHM86" s="50"/>
      <c r="VHN86" s="50"/>
      <c r="VHO86" s="50"/>
      <c r="VHP86" s="50"/>
      <c r="VHQ86" s="50"/>
      <c r="VHR86" s="50"/>
      <c r="VHS86" s="50"/>
      <c r="VHT86" s="50"/>
      <c r="VHU86" s="50"/>
      <c r="VHV86" s="50"/>
      <c r="VHW86" s="50"/>
      <c r="VHX86" s="50"/>
      <c r="VHY86" s="50"/>
      <c r="VHZ86" s="50"/>
      <c r="VIA86" s="50"/>
      <c r="VIB86" s="50"/>
      <c r="VIC86" s="50"/>
      <c r="VID86" s="50"/>
      <c r="VIE86" s="50"/>
      <c r="VIF86" s="50"/>
      <c r="VIG86" s="50"/>
      <c r="VIH86" s="50"/>
      <c r="VII86" s="50"/>
      <c r="VIJ86" s="50"/>
      <c r="VIK86" s="50"/>
      <c r="VIL86" s="50"/>
      <c r="VIM86" s="50"/>
      <c r="VIN86" s="50"/>
      <c r="VIO86" s="50"/>
      <c r="VIP86" s="50"/>
      <c r="VIQ86" s="50"/>
      <c r="VIR86" s="50"/>
      <c r="VIS86" s="50"/>
      <c r="VIT86" s="50"/>
      <c r="VIU86" s="50"/>
      <c r="VIV86" s="50"/>
      <c r="VIW86" s="50"/>
      <c r="VIX86" s="50"/>
      <c r="VIY86" s="50"/>
      <c r="VIZ86" s="50"/>
      <c r="VJA86" s="50"/>
      <c r="VJB86" s="50"/>
      <c r="VJC86" s="50"/>
      <c r="VJD86" s="50"/>
      <c r="VJE86" s="50"/>
      <c r="VJF86" s="50"/>
      <c r="VJG86" s="50"/>
      <c r="VJH86" s="50"/>
      <c r="VJI86" s="50"/>
      <c r="VJJ86" s="50"/>
      <c r="VJK86" s="50"/>
      <c r="VJL86" s="50"/>
      <c r="VJM86" s="50"/>
      <c r="VJN86" s="50"/>
      <c r="VJO86" s="50"/>
      <c r="VJP86" s="50"/>
      <c r="VJQ86" s="50"/>
      <c r="VJR86" s="50"/>
      <c r="VJS86" s="50"/>
      <c r="VJT86" s="50"/>
      <c r="VJU86" s="50"/>
      <c r="VJV86" s="50"/>
      <c r="VJW86" s="50"/>
      <c r="VJX86" s="50"/>
      <c r="VJY86" s="50"/>
      <c r="VJZ86" s="50"/>
      <c r="VKA86" s="50"/>
      <c r="VKB86" s="50"/>
      <c r="VKC86" s="50"/>
      <c r="VKD86" s="50"/>
      <c r="VKE86" s="50"/>
      <c r="VKF86" s="50"/>
      <c r="VKG86" s="50"/>
      <c r="VKH86" s="50"/>
      <c r="VKI86" s="50"/>
      <c r="VKJ86" s="50"/>
      <c r="VKK86" s="50"/>
      <c r="VKL86" s="50"/>
      <c r="VKM86" s="50"/>
      <c r="VKN86" s="50"/>
      <c r="VKO86" s="50"/>
      <c r="VKP86" s="50"/>
      <c r="VKQ86" s="50"/>
      <c r="VKR86" s="50"/>
      <c r="VKS86" s="50"/>
      <c r="VKT86" s="50"/>
      <c r="VKU86" s="50"/>
      <c r="VKV86" s="50"/>
      <c r="VKW86" s="50"/>
      <c r="VKX86" s="50"/>
      <c r="VKY86" s="50"/>
      <c r="VKZ86" s="50"/>
      <c r="VLA86" s="50"/>
      <c r="VLB86" s="50"/>
      <c r="VLC86" s="50"/>
      <c r="VLD86" s="50"/>
      <c r="VLE86" s="50"/>
      <c r="VLF86" s="50"/>
      <c r="VLG86" s="50"/>
      <c r="VLH86" s="50"/>
      <c r="VLI86" s="50"/>
      <c r="VLJ86" s="50"/>
      <c r="VLK86" s="50"/>
      <c r="VLL86" s="50"/>
      <c r="VLM86" s="50"/>
      <c r="VLN86" s="50"/>
      <c r="VLO86" s="50"/>
      <c r="VLP86" s="50"/>
      <c r="VLQ86" s="50"/>
      <c r="VLR86" s="50"/>
      <c r="VLS86" s="50"/>
      <c r="VLT86" s="50"/>
      <c r="VLU86" s="50"/>
      <c r="VLV86" s="50"/>
      <c r="VLW86" s="50"/>
      <c r="VLX86" s="50"/>
      <c r="VLY86" s="50"/>
      <c r="VLZ86" s="50"/>
      <c r="VMA86" s="50"/>
      <c r="VMB86" s="50"/>
      <c r="VMC86" s="50"/>
      <c r="VMD86" s="50"/>
      <c r="VME86" s="50"/>
      <c r="VMF86" s="50"/>
      <c r="VMG86" s="50"/>
      <c r="VMH86" s="50"/>
      <c r="VMI86" s="50"/>
      <c r="VMJ86" s="50"/>
      <c r="VMK86" s="50"/>
      <c r="VML86" s="50"/>
      <c r="VMM86" s="50"/>
      <c r="VMN86" s="50"/>
      <c r="VMO86" s="50"/>
      <c r="VMP86" s="50"/>
      <c r="VMQ86" s="50"/>
      <c r="VMR86" s="50"/>
      <c r="VMS86" s="50"/>
      <c r="VMT86" s="50"/>
      <c r="VMU86" s="50"/>
      <c r="VMV86" s="50"/>
      <c r="VMW86" s="50"/>
      <c r="VMX86" s="50"/>
      <c r="VMY86" s="50"/>
      <c r="VMZ86" s="50"/>
      <c r="VNA86" s="50"/>
      <c r="VNB86" s="50"/>
      <c r="VNC86" s="50"/>
      <c r="VND86" s="50"/>
      <c r="VNE86" s="50"/>
      <c r="VNF86" s="50"/>
      <c r="VNG86" s="50"/>
      <c r="VNH86" s="50"/>
      <c r="VNI86" s="50"/>
      <c r="VNJ86" s="50"/>
      <c r="VNK86" s="50"/>
      <c r="VNL86" s="50"/>
      <c r="VNM86" s="50"/>
      <c r="VNN86" s="50"/>
      <c r="VNO86" s="50"/>
      <c r="VNP86" s="50"/>
      <c r="VNQ86" s="50"/>
      <c r="VNR86" s="50"/>
      <c r="VNS86" s="50"/>
      <c r="VNT86" s="50"/>
      <c r="VNU86" s="50"/>
      <c r="VNV86" s="50"/>
      <c r="VNW86" s="50"/>
      <c r="VNX86" s="50"/>
      <c r="VNY86" s="50"/>
      <c r="VNZ86" s="50"/>
      <c r="VOA86" s="50"/>
      <c r="VOB86" s="50"/>
      <c r="VOC86" s="50"/>
      <c r="VOD86" s="50"/>
      <c r="VOE86" s="50"/>
      <c r="VOF86" s="50"/>
      <c r="VOG86" s="50"/>
      <c r="VOH86" s="50"/>
      <c r="VOI86" s="50"/>
      <c r="VOJ86" s="50"/>
      <c r="VOK86" s="50"/>
      <c r="VOL86" s="50"/>
      <c r="VOM86" s="50"/>
      <c r="VON86" s="50"/>
      <c r="VOO86" s="50"/>
      <c r="VOP86" s="50"/>
      <c r="VOQ86" s="50"/>
      <c r="VOR86" s="50"/>
      <c r="VOS86" s="50"/>
      <c r="VOT86" s="50"/>
      <c r="VOU86" s="50"/>
      <c r="VOV86" s="50"/>
      <c r="VOW86" s="50"/>
      <c r="VOX86" s="50"/>
      <c r="VOY86" s="50"/>
      <c r="VOZ86" s="50"/>
      <c r="VPA86" s="50"/>
      <c r="VPB86" s="50"/>
      <c r="VPC86" s="50"/>
      <c r="VPD86" s="50"/>
      <c r="VPE86" s="50"/>
      <c r="VPF86" s="50"/>
      <c r="VPG86" s="50"/>
      <c r="VPH86" s="50"/>
      <c r="VPI86" s="50"/>
      <c r="VPJ86" s="50"/>
      <c r="VPK86" s="50"/>
      <c r="VPL86" s="50"/>
      <c r="VPM86" s="50"/>
      <c r="VPN86" s="50"/>
      <c r="VPO86" s="50"/>
      <c r="VPP86" s="50"/>
      <c r="VPQ86" s="50"/>
      <c r="VPR86" s="50"/>
      <c r="VPS86" s="50"/>
      <c r="VPT86" s="50"/>
      <c r="VPU86" s="50"/>
      <c r="VPV86" s="50"/>
      <c r="VPW86" s="50"/>
      <c r="VPX86" s="50"/>
      <c r="VPY86" s="50"/>
      <c r="VPZ86" s="50"/>
      <c r="VQA86" s="50"/>
      <c r="VQB86" s="50"/>
      <c r="VQC86" s="50"/>
      <c r="VQD86" s="50"/>
      <c r="VQE86" s="50"/>
      <c r="VQF86" s="50"/>
      <c r="VQG86" s="50"/>
      <c r="VQH86" s="50"/>
      <c r="VQI86" s="50"/>
      <c r="VQJ86" s="50"/>
      <c r="VQK86" s="50"/>
      <c r="VQL86" s="50"/>
      <c r="VQM86" s="50"/>
      <c r="VQN86" s="50"/>
      <c r="VQO86" s="50"/>
      <c r="VQP86" s="50"/>
      <c r="VQQ86" s="50"/>
      <c r="VQR86" s="50"/>
      <c r="VQS86" s="50"/>
      <c r="VQT86" s="50"/>
      <c r="VQU86" s="50"/>
      <c r="VQV86" s="50"/>
      <c r="VQW86" s="50"/>
      <c r="VQX86" s="50"/>
      <c r="VQY86" s="50"/>
      <c r="VQZ86" s="50"/>
      <c r="VRA86" s="50"/>
      <c r="VRB86" s="50"/>
      <c r="VRC86" s="50"/>
      <c r="VRD86" s="50"/>
      <c r="VRE86" s="50"/>
      <c r="VRF86" s="50"/>
      <c r="VRG86" s="50"/>
      <c r="VRH86" s="50"/>
      <c r="VRI86" s="50"/>
      <c r="VRJ86" s="50"/>
      <c r="VRK86" s="50"/>
      <c r="VRL86" s="50"/>
      <c r="VRM86" s="50"/>
      <c r="VRN86" s="50"/>
      <c r="VRO86" s="50"/>
      <c r="VRP86" s="50"/>
      <c r="VRQ86" s="50"/>
      <c r="VRR86" s="50"/>
      <c r="VRS86" s="50"/>
      <c r="VRT86" s="50"/>
      <c r="VRU86" s="50"/>
      <c r="VRV86" s="50"/>
      <c r="VRW86" s="50"/>
      <c r="VRX86" s="50"/>
      <c r="VRY86" s="50"/>
      <c r="VRZ86" s="50"/>
      <c r="VSA86" s="50"/>
      <c r="VSB86" s="50"/>
      <c r="VSC86" s="50"/>
      <c r="VSD86" s="50"/>
      <c r="VSE86" s="50"/>
      <c r="VSF86" s="50"/>
      <c r="VSG86" s="50"/>
      <c r="VSH86" s="50"/>
      <c r="VSI86" s="50"/>
      <c r="VSJ86" s="50"/>
      <c r="VSK86" s="50"/>
      <c r="VSL86" s="50"/>
      <c r="VSM86" s="50"/>
      <c r="VSN86" s="50"/>
      <c r="VSO86" s="50"/>
      <c r="VSP86" s="50"/>
      <c r="VSQ86" s="50"/>
      <c r="VSR86" s="50"/>
      <c r="VSS86" s="50"/>
      <c r="VST86" s="50"/>
      <c r="VSU86" s="50"/>
      <c r="VSV86" s="50"/>
      <c r="VSW86" s="50"/>
      <c r="VSX86" s="50"/>
      <c r="VSY86" s="50"/>
      <c r="VSZ86" s="50"/>
      <c r="VTA86" s="50"/>
      <c r="VTB86" s="50"/>
      <c r="VTC86" s="50"/>
      <c r="VTD86" s="50"/>
      <c r="VTE86" s="50"/>
      <c r="VTF86" s="50"/>
      <c r="VTG86" s="50"/>
      <c r="VTH86" s="50"/>
      <c r="VTI86" s="50"/>
      <c r="VTJ86" s="50"/>
      <c r="VTK86" s="50"/>
      <c r="VTL86" s="50"/>
      <c r="VTM86" s="50"/>
      <c r="VTN86" s="50"/>
      <c r="VTO86" s="50"/>
      <c r="VTP86" s="50"/>
      <c r="VTQ86" s="50"/>
      <c r="VTR86" s="50"/>
      <c r="VTS86" s="50"/>
      <c r="VTT86" s="50"/>
      <c r="VTU86" s="50"/>
      <c r="VTV86" s="50"/>
      <c r="VTW86" s="50"/>
      <c r="VTX86" s="50"/>
      <c r="VTY86" s="50"/>
      <c r="VTZ86" s="50"/>
      <c r="VUA86" s="50"/>
      <c r="VUB86" s="50"/>
      <c r="VUC86" s="50"/>
      <c r="VUD86" s="50"/>
      <c r="VUE86" s="50"/>
      <c r="VUF86" s="50"/>
      <c r="VUG86" s="50"/>
      <c r="VUH86" s="50"/>
      <c r="VUI86" s="50"/>
      <c r="VUJ86" s="50"/>
      <c r="VUK86" s="50"/>
      <c r="VUL86" s="50"/>
      <c r="VUM86" s="50"/>
      <c r="VUN86" s="50"/>
      <c r="VUO86" s="50"/>
      <c r="VUP86" s="50"/>
      <c r="VUQ86" s="50"/>
      <c r="VUR86" s="50"/>
      <c r="VUS86" s="50"/>
      <c r="VUT86" s="50"/>
      <c r="VUU86" s="50"/>
      <c r="VUV86" s="50"/>
      <c r="VUW86" s="50"/>
      <c r="VUX86" s="50"/>
      <c r="VUY86" s="50"/>
      <c r="VUZ86" s="50"/>
      <c r="VVA86" s="50"/>
      <c r="VVB86" s="50"/>
      <c r="VVC86" s="50"/>
      <c r="VVD86" s="50"/>
      <c r="VVE86" s="50"/>
      <c r="VVF86" s="50"/>
      <c r="VVG86" s="50"/>
      <c r="VVH86" s="50"/>
      <c r="VVI86" s="50"/>
      <c r="VVJ86" s="50"/>
      <c r="VVK86" s="50"/>
      <c r="VVL86" s="50"/>
      <c r="VVM86" s="50"/>
      <c r="VVN86" s="50"/>
      <c r="VVO86" s="50"/>
      <c r="VVP86" s="50"/>
    </row>
    <row r="87" spans="3:102 15068:15460" s="1" customFormat="1" hidden="1" x14ac:dyDescent="0.25">
      <c r="C87" s="15"/>
      <c r="D87" s="30" t="s">
        <v>29</v>
      </c>
      <c r="E87" s="69"/>
      <c r="F87" s="1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N87" s="72" t="s">
        <v>29</v>
      </c>
      <c r="CX87" s="152"/>
    </row>
    <row r="88" spans="3:102 15068:15460" s="1" customFormat="1" hidden="1" x14ac:dyDescent="0.25">
      <c r="C88" s="15"/>
      <c r="D88" s="14" t="s">
        <v>49</v>
      </c>
      <c r="E88" s="69"/>
      <c r="F88" s="20" t="s">
        <v>31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N88" s="63">
        <v>0</v>
      </c>
      <c r="CX88" s="152"/>
    </row>
    <row r="89" spans="3:102 15068:15460" s="1" customFormat="1" hidden="1" x14ac:dyDescent="0.25">
      <c r="C89" s="15"/>
      <c r="D89" s="14" t="s">
        <v>48</v>
      </c>
      <c r="E89" s="69"/>
      <c r="F89" s="20" t="s">
        <v>31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N89" s="63">
        <v>0</v>
      </c>
      <c r="CX89" s="152"/>
    </row>
    <row r="90" spans="3:102 15068:15460" s="1" customFormat="1" hidden="1" x14ac:dyDescent="0.25">
      <c r="C90" s="15"/>
      <c r="D90" s="30" t="s">
        <v>28</v>
      </c>
      <c r="E90" s="69"/>
      <c r="F90" s="1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N90" s="72" t="s">
        <v>28</v>
      </c>
      <c r="CF90" s="152"/>
      <c r="CG90" s="152"/>
      <c r="CH90" s="152"/>
      <c r="CI90" s="152"/>
      <c r="CJ90" s="152"/>
      <c r="CK90" s="152"/>
      <c r="CL90" s="152"/>
      <c r="CM90" s="152"/>
      <c r="CN90" s="152"/>
      <c r="CO90" s="152"/>
      <c r="CX90" s="152"/>
    </row>
    <row r="91" spans="3:102 15068:15460" s="1" customFormat="1" hidden="1" x14ac:dyDescent="0.25">
      <c r="C91" s="15"/>
      <c r="D91" s="14" t="s">
        <v>49</v>
      </c>
      <c r="E91" s="69"/>
      <c r="F91" s="20" t="s">
        <v>28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0</v>
      </c>
      <c r="AB91" s="33">
        <v>0</v>
      </c>
      <c r="AC91" s="33">
        <v>0</v>
      </c>
      <c r="AD91" s="33">
        <v>0</v>
      </c>
      <c r="AE91" s="33">
        <v>0</v>
      </c>
      <c r="AF91" s="33">
        <v>0</v>
      </c>
      <c r="AG91" s="33">
        <v>0</v>
      </c>
      <c r="AH91" s="33">
        <v>0</v>
      </c>
      <c r="AI91" s="33">
        <v>0</v>
      </c>
      <c r="AJ91" s="33"/>
      <c r="AK91" s="33"/>
      <c r="AL91" s="33">
        <v>0</v>
      </c>
      <c r="AN91" s="63">
        <v>0</v>
      </c>
      <c r="CF91" s="156"/>
      <c r="CG91" s="152"/>
      <c r="CH91" s="152"/>
      <c r="CI91" s="152"/>
      <c r="CJ91" s="159"/>
      <c r="CK91" s="152"/>
      <c r="CL91" s="152"/>
      <c r="CM91" s="152"/>
      <c r="CN91" s="152"/>
      <c r="CO91" s="152"/>
      <c r="CX91" s="152"/>
    </row>
    <row r="92" spans="3:102 15068:15460" s="1" customFormat="1" hidden="1" x14ac:dyDescent="0.25">
      <c r="C92" s="15"/>
      <c r="D92" s="14" t="s">
        <v>48</v>
      </c>
      <c r="E92" s="69"/>
      <c r="F92" s="20" t="s">
        <v>28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0</v>
      </c>
      <c r="AC92" s="33">
        <v>0</v>
      </c>
      <c r="AD92" s="33">
        <v>0</v>
      </c>
      <c r="AE92" s="33">
        <v>0</v>
      </c>
      <c r="AF92" s="33">
        <v>0</v>
      </c>
      <c r="AG92" s="33">
        <v>0</v>
      </c>
      <c r="AH92" s="33">
        <v>0</v>
      </c>
      <c r="AI92" s="33">
        <v>0</v>
      </c>
      <c r="AJ92" s="33"/>
      <c r="AK92" s="33"/>
      <c r="AL92" s="33">
        <v>0</v>
      </c>
      <c r="AN92" s="63">
        <v>0</v>
      </c>
      <c r="CF92" s="151"/>
      <c r="CG92" s="152"/>
      <c r="CH92" s="152"/>
      <c r="CI92" s="152"/>
      <c r="CJ92" s="152"/>
      <c r="CK92" s="152"/>
      <c r="CL92" s="152"/>
      <c r="CM92" s="152"/>
      <c r="CN92" s="152"/>
      <c r="CO92" s="152"/>
      <c r="CX92" s="152"/>
    </row>
    <row r="93" spans="3:102 15068:15460" hidden="1" x14ac:dyDescent="0.25">
      <c r="C93" s="8"/>
      <c r="D93" s="53" t="s">
        <v>30</v>
      </c>
      <c r="E93" s="54"/>
      <c r="F93" s="55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3"/>
      <c r="AN93" s="87" t="s">
        <v>132</v>
      </c>
      <c r="CF93" s="151"/>
      <c r="CG93" s="151"/>
      <c r="CH93" s="151"/>
      <c r="CI93" s="151"/>
      <c r="CJ93" s="151"/>
      <c r="CK93" s="151"/>
      <c r="CL93" s="151"/>
      <c r="CM93" s="151"/>
      <c r="CN93" s="151"/>
      <c r="CO93" s="151"/>
    </row>
    <row r="94" spans="3:102 15068:15460" s="1" customFormat="1" hidden="1" x14ac:dyDescent="0.25">
      <c r="C94" s="15"/>
      <c r="D94" s="30" t="s">
        <v>29</v>
      </c>
      <c r="E94" s="69"/>
      <c r="F94" s="1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N94" s="72" t="s">
        <v>29</v>
      </c>
      <c r="CF94" s="152"/>
      <c r="CG94" s="152"/>
      <c r="CH94" s="152"/>
      <c r="CI94" s="152"/>
      <c r="CJ94" s="152"/>
      <c r="CK94" s="152"/>
      <c r="CL94" s="152"/>
      <c r="CM94" s="152"/>
      <c r="CN94" s="152"/>
      <c r="CO94" s="152"/>
      <c r="CX94" s="152"/>
    </row>
    <row r="95" spans="3:102 15068:15460" s="1" customFormat="1" hidden="1" x14ac:dyDescent="0.25">
      <c r="C95" s="15"/>
      <c r="D95" s="14" t="s">
        <v>49</v>
      </c>
      <c r="E95" s="136">
        <v>0.3</v>
      </c>
      <c r="F95" s="20" t="s">
        <v>25</v>
      </c>
      <c r="G95" s="34" t="e">
        <v>#DIV/0!</v>
      </c>
      <c r="H95" s="34" t="e">
        <v>#DIV/0!</v>
      </c>
      <c r="I95" s="34" t="e">
        <v>#DIV/0!</v>
      </c>
      <c r="J95" s="34" t="e">
        <v>#DIV/0!</v>
      </c>
      <c r="K95" s="34" t="e">
        <v>#DIV/0!</v>
      </c>
      <c r="L95" s="34" t="e">
        <v>#DIV/0!</v>
      </c>
      <c r="M95" s="34" t="e">
        <v>#DIV/0!</v>
      </c>
      <c r="N95" s="34" t="e">
        <v>#DIV/0!</v>
      </c>
      <c r="O95" s="34" t="e">
        <v>#DIV/0!</v>
      </c>
      <c r="P95" s="34" t="e">
        <v>#DIV/0!</v>
      </c>
      <c r="Q95" s="34" t="e">
        <v>#DIV/0!</v>
      </c>
      <c r="R95" s="34" t="e">
        <v>#DIV/0!</v>
      </c>
      <c r="S95" s="34" t="e">
        <v>#DIV/0!</v>
      </c>
      <c r="T95" s="34" t="e">
        <v>#DIV/0!</v>
      </c>
      <c r="U95" s="34" t="e">
        <v>#DIV/0!</v>
      </c>
      <c r="V95" s="34" t="e">
        <v>#DIV/0!</v>
      </c>
      <c r="W95" s="34" t="e">
        <v>#DIV/0!</v>
      </c>
      <c r="X95" s="34" t="e">
        <v>#DIV/0!</v>
      </c>
      <c r="Y95" s="34" t="e">
        <v>#DIV/0!</v>
      </c>
      <c r="Z95" s="34" t="e">
        <v>#DIV/0!</v>
      </c>
      <c r="AA95" s="34" t="e">
        <v>#DIV/0!</v>
      </c>
      <c r="AB95" s="34" t="e">
        <v>#DIV/0!</v>
      </c>
      <c r="AC95" s="34" t="e">
        <v>#DIV/0!</v>
      </c>
      <c r="AD95" s="34" t="e">
        <v>#DIV/0!</v>
      </c>
      <c r="AE95" s="34" t="e">
        <v>#DIV/0!</v>
      </c>
      <c r="AF95" s="34" t="e">
        <v>#DIV/0!</v>
      </c>
      <c r="AG95" s="34" t="e">
        <v>#DIV/0!</v>
      </c>
      <c r="AH95" s="34" t="e">
        <v>#DIV/0!</v>
      </c>
      <c r="AI95" s="34" t="e">
        <v>#DIV/0!</v>
      </c>
      <c r="AJ95" s="34"/>
      <c r="AK95" s="34"/>
      <c r="AL95" s="34" t="e">
        <v>#DIV/0!</v>
      </c>
      <c r="AN95" s="67" t="e">
        <v>#DIV/0!</v>
      </c>
      <c r="CF95" s="152"/>
      <c r="CG95" s="152"/>
      <c r="CH95" s="152"/>
      <c r="CI95" s="152"/>
      <c r="CJ95" s="152"/>
      <c r="CK95" s="152"/>
      <c r="CL95" s="152"/>
      <c r="CM95" s="152"/>
      <c r="CN95" s="152"/>
      <c r="CO95" s="152"/>
      <c r="CX95" s="152"/>
    </row>
    <row r="96" spans="3:102 15068:15460" s="1" customFormat="1" hidden="1" x14ac:dyDescent="0.25">
      <c r="C96" s="15"/>
      <c r="D96" s="14" t="s">
        <v>48</v>
      </c>
      <c r="E96" s="136">
        <v>0.3</v>
      </c>
      <c r="F96" s="20" t="s">
        <v>25</v>
      </c>
      <c r="G96" s="34" t="e">
        <v>#DIV/0!</v>
      </c>
      <c r="H96" s="34" t="e">
        <v>#DIV/0!</v>
      </c>
      <c r="I96" s="34" t="e">
        <v>#DIV/0!</v>
      </c>
      <c r="J96" s="34" t="e">
        <v>#DIV/0!</v>
      </c>
      <c r="K96" s="34" t="e">
        <v>#DIV/0!</v>
      </c>
      <c r="L96" s="34" t="e">
        <v>#DIV/0!</v>
      </c>
      <c r="M96" s="34" t="e">
        <v>#DIV/0!</v>
      </c>
      <c r="N96" s="34" t="e">
        <v>#DIV/0!</v>
      </c>
      <c r="O96" s="34" t="e">
        <v>#DIV/0!</v>
      </c>
      <c r="P96" s="34" t="e">
        <v>#DIV/0!</v>
      </c>
      <c r="Q96" s="34" t="e">
        <v>#DIV/0!</v>
      </c>
      <c r="R96" s="34" t="e">
        <v>#DIV/0!</v>
      </c>
      <c r="S96" s="34" t="e">
        <v>#DIV/0!</v>
      </c>
      <c r="T96" s="34" t="e">
        <v>#DIV/0!</v>
      </c>
      <c r="U96" s="34" t="e">
        <v>#DIV/0!</v>
      </c>
      <c r="V96" s="34" t="e">
        <v>#DIV/0!</v>
      </c>
      <c r="W96" s="34" t="e">
        <v>#DIV/0!</v>
      </c>
      <c r="X96" s="34" t="e">
        <v>#DIV/0!</v>
      </c>
      <c r="Y96" s="34" t="e">
        <v>#DIV/0!</v>
      </c>
      <c r="Z96" s="34" t="e">
        <v>#DIV/0!</v>
      </c>
      <c r="AA96" s="34" t="e">
        <v>#DIV/0!</v>
      </c>
      <c r="AB96" s="34" t="e">
        <v>#DIV/0!</v>
      </c>
      <c r="AC96" s="34" t="e">
        <v>#DIV/0!</v>
      </c>
      <c r="AD96" s="34" t="e">
        <v>#DIV/0!</v>
      </c>
      <c r="AE96" s="34" t="e">
        <v>#DIV/0!</v>
      </c>
      <c r="AF96" s="34" t="e">
        <v>#DIV/0!</v>
      </c>
      <c r="AG96" s="34" t="e">
        <v>#DIV/0!</v>
      </c>
      <c r="AH96" s="34" t="e">
        <v>#DIV/0!</v>
      </c>
      <c r="AI96" s="34" t="e">
        <v>#DIV/0!</v>
      </c>
      <c r="AJ96" s="34"/>
      <c r="AK96" s="34"/>
      <c r="AL96" s="34" t="e">
        <v>#DIV/0!</v>
      </c>
      <c r="AN96" s="67" t="e">
        <v>#DIV/0!</v>
      </c>
      <c r="CF96" s="152"/>
      <c r="CG96" s="152"/>
      <c r="CH96" s="152"/>
      <c r="CI96" s="152"/>
      <c r="CJ96" s="152"/>
      <c r="CK96" s="152"/>
      <c r="CL96" s="152"/>
      <c r="CM96" s="152"/>
      <c r="CN96" s="152"/>
      <c r="CO96" s="152"/>
      <c r="CX96" s="152"/>
    </row>
    <row r="97" spans="3:102 15068:15460" s="1" customFormat="1" hidden="1" x14ac:dyDescent="0.25">
      <c r="C97" s="15"/>
      <c r="D97" s="30" t="s">
        <v>28</v>
      </c>
      <c r="E97" s="136"/>
      <c r="F97" s="13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N97" s="72" t="s">
        <v>28</v>
      </c>
      <c r="CF97" s="152"/>
      <c r="CG97" s="152"/>
      <c r="CH97" s="152"/>
      <c r="CI97" s="152"/>
      <c r="CJ97" s="152"/>
      <c r="CK97" s="152"/>
      <c r="CL97" s="152"/>
      <c r="CM97" s="152"/>
      <c r="CN97" s="152"/>
      <c r="CO97" s="152"/>
      <c r="CX97" s="152"/>
    </row>
    <row r="98" spans="3:102 15068:15460" s="1" customFormat="1" hidden="1" x14ac:dyDescent="0.25">
      <c r="C98" s="15"/>
      <c r="D98" s="14" t="s">
        <v>49</v>
      </c>
      <c r="E98" s="136">
        <v>0.5</v>
      </c>
      <c r="F98" s="20" t="s">
        <v>25</v>
      </c>
      <c r="G98" s="34" t="e">
        <v>#DIV/0!</v>
      </c>
      <c r="H98" s="34" t="e">
        <v>#DIV/0!</v>
      </c>
      <c r="I98" s="34" t="e">
        <v>#DIV/0!</v>
      </c>
      <c r="J98" s="34" t="e">
        <v>#DIV/0!</v>
      </c>
      <c r="K98" s="34" t="e">
        <v>#DIV/0!</v>
      </c>
      <c r="L98" s="34" t="e">
        <v>#DIV/0!</v>
      </c>
      <c r="M98" s="34" t="e">
        <v>#DIV/0!</v>
      </c>
      <c r="N98" s="34" t="e">
        <v>#DIV/0!</v>
      </c>
      <c r="O98" s="34" t="e">
        <v>#DIV/0!</v>
      </c>
      <c r="P98" s="34" t="e">
        <v>#DIV/0!</v>
      </c>
      <c r="Q98" s="34" t="e">
        <v>#DIV/0!</v>
      </c>
      <c r="R98" s="34" t="e">
        <v>#DIV/0!</v>
      </c>
      <c r="S98" s="34" t="e">
        <v>#DIV/0!</v>
      </c>
      <c r="T98" s="34" t="e">
        <v>#DIV/0!</v>
      </c>
      <c r="U98" s="34" t="e">
        <v>#DIV/0!</v>
      </c>
      <c r="V98" s="34" t="e">
        <v>#DIV/0!</v>
      </c>
      <c r="W98" s="34" t="e">
        <v>#DIV/0!</v>
      </c>
      <c r="X98" s="34" t="e">
        <v>#DIV/0!</v>
      </c>
      <c r="Y98" s="34" t="e">
        <v>#DIV/0!</v>
      </c>
      <c r="Z98" s="34" t="e">
        <v>#DIV/0!</v>
      </c>
      <c r="AA98" s="34" t="e">
        <v>#DIV/0!</v>
      </c>
      <c r="AB98" s="34" t="e">
        <v>#DIV/0!</v>
      </c>
      <c r="AC98" s="34" t="e">
        <v>#DIV/0!</v>
      </c>
      <c r="AD98" s="34" t="e">
        <v>#DIV/0!</v>
      </c>
      <c r="AE98" s="34" t="e">
        <v>#DIV/0!</v>
      </c>
      <c r="AF98" s="34" t="e">
        <v>#DIV/0!</v>
      </c>
      <c r="AG98" s="34" t="e">
        <v>#DIV/0!</v>
      </c>
      <c r="AH98" s="34" t="e">
        <v>#DIV/0!</v>
      </c>
      <c r="AI98" s="34" t="e">
        <v>#DIV/0!</v>
      </c>
      <c r="AJ98" s="34"/>
      <c r="AK98" s="34"/>
      <c r="AL98" s="34" t="e">
        <v>#DIV/0!</v>
      </c>
      <c r="AN98" s="67" t="e">
        <v>#DIV/0!</v>
      </c>
      <c r="CF98" s="152"/>
      <c r="CG98" s="152"/>
      <c r="CH98" s="152"/>
      <c r="CI98" s="152"/>
      <c r="CJ98" s="152"/>
      <c r="CK98" s="152"/>
      <c r="CL98" s="152"/>
      <c r="CM98" s="152"/>
      <c r="CN98" s="152"/>
      <c r="CO98" s="152"/>
      <c r="CX98" s="152"/>
    </row>
    <row r="99" spans="3:102 15068:15460" s="1" customFormat="1" ht="15.75" hidden="1" thickBot="1" x14ac:dyDescent="0.3">
      <c r="C99" s="19"/>
      <c r="D99" s="14" t="s">
        <v>48</v>
      </c>
      <c r="E99" s="136">
        <v>0.5</v>
      </c>
      <c r="F99" s="20" t="s">
        <v>25</v>
      </c>
      <c r="G99" s="34" t="e">
        <v>#DIV/0!</v>
      </c>
      <c r="H99" s="34" t="e">
        <v>#DIV/0!</v>
      </c>
      <c r="I99" s="34" t="e">
        <v>#DIV/0!</v>
      </c>
      <c r="J99" s="34" t="e">
        <v>#DIV/0!</v>
      </c>
      <c r="K99" s="34" t="e">
        <v>#DIV/0!</v>
      </c>
      <c r="L99" s="34" t="e">
        <v>#DIV/0!</v>
      </c>
      <c r="M99" s="34" t="e">
        <v>#DIV/0!</v>
      </c>
      <c r="N99" s="34" t="e">
        <v>#DIV/0!</v>
      </c>
      <c r="O99" s="34" t="e">
        <v>#DIV/0!</v>
      </c>
      <c r="P99" s="34" t="e">
        <v>#DIV/0!</v>
      </c>
      <c r="Q99" s="34" t="e">
        <v>#DIV/0!</v>
      </c>
      <c r="R99" s="34" t="e">
        <v>#DIV/0!</v>
      </c>
      <c r="S99" s="34" t="e">
        <v>#DIV/0!</v>
      </c>
      <c r="T99" s="34" t="e">
        <v>#DIV/0!</v>
      </c>
      <c r="U99" s="34" t="e">
        <v>#DIV/0!</v>
      </c>
      <c r="V99" s="34" t="e">
        <v>#DIV/0!</v>
      </c>
      <c r="W99" s="34" t="e">
        <v>#DIV/0!</v>
      </c>
      <c r="X99" s="34" t="e">
        <v>#DIV/0!</v>
      </c>
      <c r="Y99" s="34" t="e">
        <v>#DIV/0!</v>
      </c>
      <c r="Z99" s="34" t="e">
        <v>#DIV/0!</v>
      </c>
      <c r="AA99" s="34" t="e">
        <v>#DIV/0!</v>
      </c>
      <c r="AB99" s="34" t="e">
        <v>#DIV/0!</v>
      </c>
      <c r="AC99" s="34" t="e">
        <v>#DIV/0!</v>
      </c>
      <c r="AD99" s="34" t="e">
        <v>#DIV/0!</v>
      </c>
      <c r="AE99" s="34" t="e">
        <v>#DIV/0!</v>
      </c>
      <c r="AF99" s="34" t="e">
        <v>#DIV/0!</v>
      </c>
      <c r="AG99" s="34" t="e">
        <v>#DIV/0!</v>
      </c>
      <c r="AH99" s="34" t="e">
        <v>#DIV/0!</v>
      </c>
      <c r="AI99" s="34" t="e">
        <v>#DIV/0!</v>
      </c>
      <c r="AJ99" s="34"/>
      <c r="AK99" s="34"/>
      <c r="AL99" s="34" t="e">
        <v>#DIV/0!</v>
      </c>
      <c r="AN99" s="67" t="e">
        <v>#DIV/0!</v>
      </c>
      <c r="CF99" s="152"/>
      <c r="CG99" s="152"/>
      <c r="CH99" s="152"/>
      <c r="CI99" s="152"/>
      <c r="CJ99" s="152"/>
      <c r="CK99" s="152"/>
      <c r="CL99" s="152"/>
      <c r="CM99" s="152"/>
      <c r="CN99" s="152"/>
      <c r="CO99" s="152"/>
      <c r="CX99" s="152"/>
    </row>
    <row r="100" spans="3:102 15068:15460" s="1" customFormat="1" hidden="1" x14ac:dyDescent="0.25">
      <c r="C100" s="8">
        <v>5</v>
      </c>
      <c r="D100" s="53" t="s">
        <v>47</v>
      </c>
      <c r="E100" s="54"/>
      <c r="F100" s="55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3"/>
      <c r="AN100" s="87" t="s">
        <v>131</v>
      </c>
      <c r="CF100" s="151"/>
      <c r="CG100" s="151"/>
      <c r="CH100" s="152"/>
      <c r="CI100" s="152"/>
      <c r="CJ100" s="151"/>
      <c r="CK100" s="152"/>
      <c r="CL100" s="151"/>
      <c r="CM100" s="151"/>
      <c r="CN100" s="151"/>
      <c r="CO100" s="151"/>
      <c r="CX100" s="151"/>
      <c r="VGN100" s="50"/>
      <c r="VGO100" s="50"/>
      <c r="VGP100" s="50"/>
      <c r="VGQ100" s="50"/>
      <c r="VGR100" s="50"/>
      <c r="VGS100" s="50"/>
      <c r="VGT100" s="50"/>
      <c r="VGU100" s="50"/>
      <c r="VGV100" s="50"/>
      <c r="VGW100" s="50"/>
      <c r="VGX100" s="50"/>
      <c r="VGY100" s="50"/>
      <c r="VGZ100" s="50"/>
      <c r="VHA100" s="50"/>
      <c r="VHB100" s="50"/>
      <c r="VHC100" s="50"/>
      <c r="VHD100" s="50"/>
      <c r="VHE100" s="50"/>
      <c r="VHF100" s="50"/>
      <c r="VHG100" s="50"/>
      <c r="VHH100" s="50"/>
      <c r="VHI100" s="50"/>
      <c r="VHJ100" s="50"/>
      <c r="VHK100" s="50"/>
      <c r="VHL100" s="50"/>
      <c r="VHM100" s="50"/>
      <c r="VHN100" s="50"/>
      <c r="VHO100" s="50"/>
      <c r="VHP100" s="50"/>
      <c r="VHQ100" s="50"/>
      <c r="VHR100" s="50"/>
      <c r="VHS100" s="50"/>
      <c r="VHT100" s="50"/>
      <c r="VHU100" s="50"/>
      <c r="VHV100" s="50"/>
      <c r="VHW100" s="50"/>
      <c r="VHX100" s="50"/>
      <c r="VHY100" s="50"/>
      <c r="VHZ100" s="50"/>
      <c r="VIA100" s="50"/>
      <c r="VIB100" s="50"/>
      <c r="VIC100" s="50"/>
      <c r="VID100" s="50"/>
      <c r="VIE100" s="50"/>
      <c r="VIF100" s="50"/>
      <c r="VIG100" s="50"/>
      <c r="VIH100" s="50"/>
      <c r="VII100" s="50"/>
      <c r="VIJ100" s="50"/>
      <c r="VIK100" s="50"/>
      <c r="VIL100" s="50"/>
      <c r="VIM100" s="50"/>
      <c r="VIN100" s="50"/>
      <c r="VIO100" s="50"/>
      <c r="VIP100" s="50"/>
      <c r="VIQ100" s="50"/>
      <c r="VIR100" s="50"/>
      <c r="VIS100" s="50"/>
      <c r="VIT100" s="50"/>
      <c r="VIU100" s="50"/>
      <c r="VIV100" s="50"/>
      <c r="VIW100" s="50"/>
      <c r="VIX100" s="50"/>
      <c r="VIY100" s="50"/>
      <c r="VIZ100" s="50"/>
      <c r="VJA100" s="50"/>
      <c r="VJB100" s="50"/>
      <c r="VJC100" s="50"/>
      <c r="VJD100" s="50"/>
      <c r="VJE100" s="50"/>
      <c r="VJF100" s="50"/>
      <c r="VJG100" s="50"/>
      <c r="VJH100" s="50"/>
      <c r="VJI100" s="50"/>
      <c r="VJJ100" s="50"/>
      <c r="VJK100" s="50"/>
      <c r="VJL100" s="50"/>
      <c r="VJM100" s="50"/>
      <c r="VJN100" s="50"/>
      <c r="VJO100" s="50"/>
      <c r="VJP100" s="50"/>
      <c r="VJQ100" s="50"/>
      <c r="VJR100" s="50"/>
      <c r="VJS100" s="50"/>
      <c r="VJT100" s="50"/>
      <c r="VJU100" s="50"/>
      <c r="VJV100" s="50"/>
      <c r="VJW100" s="50"/>
      <c r="VJX100" s="50"/>
      <c r="VJY100" s="50"/>
      <c r="VJZ100" s="50"/>
      <c r="VKA100" s="50"/>
      <c r="VKB100" s="50"/>
      <c r="VKC100" s="50"/>
      <c r="VKD100" s="50"/>
      <c r="VKE100" s="50"/>
      <c r="VKF100" s="50"/>
      <c r="VKG100" s="50"/>
      <c r="VKH100" s="50"/>
      <c r="VKI100" s="50"/>
      <c r="VKJ100" s="50"/>
      <c r="VKK100" s="50"/>
      <c r="VKL100" s="50"/>
      <c r="VKM100" s="50"/>
      <c r="VKN100" s="50"/>
      <c r="VKO100" s="50"/>
      <c r="VKP100" s="50"/>
      <c r="VKQ100" s="50"/>
      <c r="VKR100" s="50"/>
      <c r="VKS100" s="50"/>
      <c r="VKT100" s="50"/>
      <c r="VKU100" s="50"/>
      <c r="VKV100" s="50"/>
      <c r="VKW100" s="50"/>
      <c r="VKX100" s="50"/>
      <c r="VKY100" s="50"/>
      <c r="VKZ100" s="50"/>
      <c r="VLA100" s="50"/>
      <c r="VLB100" s="50"/>
      <c r="VLC100" s="50"/>
      <c r="VLD100" s="50"/>
      <c r="VLE100" s="50"/>
      <c r="VLF100" s="50"/>
      <c r="VLG100" s="50"/>
      <c r="VLH100" s="50"/>
      <c r="VLI100" s="50"/>
      <c r="VLJ100" s="50"/>
      <c r="VLK100" s="50"/>
      <c r="VLL100" s="50"/>
      <c r="VLM100" s="50"/>
      <c r="VLN100" s="50"/>
      <c r="VLO100" s="50"/>
      <c r="VLP100" s="50"/>
      <c r="VLQ100" s="50"/>
      <c r="VLR100" s="50"/>
      <c r="VLS100" s="50"/>
      <c r="VLT100" s="50"/>
      <c r="VLU100" s="50"/>
      <c r="VLV100" s="50"/>
      <c r="VLW100" s="50"/>
      <c r="VLX100" s="50"/>
      <c r="VLY100" s="50"/>
      <c r="VLZ100" s="50"/>
      <c r="VMA100" s="50"/>
      <c r="VMB100" s="50"/>
      <c r="VMC100" s="50"/>
      <c r="VMD100" s="50"/>
      <c r="VME100" s="50"/>
      <c r="VMF100" s="50"/>
      <c r="VMG100" s="50"/>
      <c r="VMH100" s="50"/>
      <c r="VMI100" s="50"/>
      <c r="VMJ100" s="50"/>
      <c r="VMK100" s="50"/>
      <c r="VML100" s="50"/>
      <c r="VMM100" s="50"/>
      <c r="VMN100" s="50"/>
      <c r="VMO100" s="50"/>
      <c r="VMP100" s="50"/>
      <c r="VMQ100" s="50"/>
      <c r="VMR100" s="50"/>
      <c r="VMS100" s="50"/>
      <c r="VMT100" s="50"/>
      <c r="VMU100" s="50"/>
      <c r="VMV100" s="50"/>
      <c r="VMW100" s="50"/>
      <c r="VMX100" s="50"/>
      <c r="VMY100" s="50"/>
      <c r="VMZ100" s="50"/>
      <c r="VNA100" s="50"/>
      <c r="VNB100" s="50"/>
      <c r="VNC100" s="50"/>
      <c r="VND100" s="50"/>
      <c r="VNE100" s="50"/>
      <c r="VNF100" s="50"/>
      <c r="VNG100" s="50"/>
      <c r="VNH100" s="50"/>
      <c r="VNI100" s="50"/>
      <c r="VNJ100" s="50"/>
      <c r="VNK100" s="50"/>
      <c r="VNL100" s="50"/>
      <c r="VNM100" s="50"/>
      <c r="VNN100" s="50"/>
      <c r="VNO100" s="50"/>
      <c r="VNP100" s="50"/>
      <c r="VNQ100" s="50"/>
      <c r="VNR100" s="50"/>
      <c r="VNS100" s="50"/>
      <c r="VNT100" s="50"/>
      <c r="VNU100" s="50"/>
      <c r="VNV100" s="50"/>
      <c r="VNW100" s="50"/>
      <c r="VNX100" s="50"/>
      <c r="VNY100" s="50"/>
      <c r="VNZ100" s="50"/>
      <c r="VOA100" s="50"/>
      <c r="VOB100" s="50"/>
      <c r="VOC100" s="50"/>
      <c r="VOD100" s="50"/>
      <c r="VOE100" s="50"/>
      <c r="VOF100" s="50"/>
      <c r="VOG100" s="50"/>
      <c r="VOH100" s="50"/>
      <c r="VOI100" s="50"/>
      <c r="VOJ100" s="50"/>
      <c r="VOK100" s="50"/>
      <c r="VOL100" s="50"/>
      <c r="VOM100" s="50"/>
      <c r="VON100" s="50"/>
      <c r="VOO100" s="50"/>
      <c r="VOP100" s="50"/>
      <c r="VOQ100" s="50"/>
      <c r="VOR100" s="50"/>
      <c r="VOS100" s="50"/>
      <c r="VOT100" s="50"/>
      <c r="VOU100" s="50"/>
      <c r="VOV100" s="50"/>
      <c r="VOW100" s="50"/>
      <c r="VOX100" s="50"/>
      <c r="VOY100" s="50"/>
      <c r="VOZ100" s="50"/>
      <c r="VPA100" s="50"/>
      <c r="VPB100" s="50"/>
      <c r="VPC100" s="50"/>
      <c r="VPD100" s="50"/>
      <c r="VPE100" s="50"/>
      <c r="VPF100" s="50"/>
      <c r="VPG100" s="50"/>
      <c r="VPH100" s="50"/>
      <c r="VPI100" s="50"/>
      <c r="VPJ100" s="50"/>
      <c r="VPK100" s="50"/>
      <c r="VPL100" s="50"/>
      <c r="VPM100" s="50"/>
      <c r="VPN100" s="50"/>
      <c r="VPO100" s="50"/>
      <c r="VPP100" s="50"/>
      <c r="VPQ100" s="50"/>
      <c r="VPR100" s="50"/>
      <c r="VPS100" s="50"/>
      <c r="VPT100" s="50"/>
      <c r="VPU100" s="50"/>
      <c r="VPV100" s="50"/>
      <c r="VPW100" s="50"/>
      <c r="VPX100" s="50"/>
      <c r="VPY100" s="50"/>
      <c r="VPZ100" s="50"/>
      <c r="VQA100" s="50"/>
      <c r="VQB100" s="50"/>
      <c r="VQC100" s="50"/>
      <c r="VQD100" s="50"/>
      <c r="VQE100" s="50"/>
      <c r="VQF100" s="50"/>
      <c r="VQG100" s="50"/>
      <c r="VQH100" s="50"/>
      <c r="VQI100" s="50"/>
      <c r="VQJ100" s="50"/>
      <c r="VQK100" s="50"/>
      <c r="VQL100" s="50"/>
      <c r="VQM100" s="50"/>
      <c r="VQN100" s="50"/>
      <c r="VQO100" s="50"/>
      <c r="VQP100" s="50"/>
      <c r="VQQ100" s="50"/>
      <c r="VQR100" s="50"/>
      <c r="VQS100" s="50"/>
      <c r="VQT100" s="50"/>
      <c r="VQU100" s="50"/>
      <c r="VQV100" s="50"/>
      <c r="VQW100" s="50"/>
      <c r="VQX100" s="50"/>
      <c r="VQY100" s="50"/>
      <c r="VQZ100" s="50"/>
      <c r="VRA100" s="50"/>
      <c r="VRB100" s="50"/>
      <c r="VRC100" s="50"/>
      <c r="VRD100" s="50"/>
      <c r="VRE100" s="50"/>
      <c r="VRF100" s="50"/>
      <c r="VRG100" s="50"/>
      <c r="VRH100" s="50"/>
      <c r="VRI100" s="50"/>
      <c r="VRJ100" s="50"/>
      <c r="VRK100" s="50"/>
      <c r="VRL100" s="50"/>
      <c r="VRM100" s="50"/>
      <c r="VRN100" s="50"/>
      <c r="VRO100" s="50"/>
      <c r="VRP100" s="50"/>
      <c r="VRQ100" s="50"/>
      <c r="VRR100" s="50"/>
      <c r="VRS100" s="50"/>
      <c r="VRT100" s="50"/>
      <c r="VRU100" s="50"/>
      <c r="VRV100" s="50"/>
      <c r="VRW100" s="50"/>
      <c r="VRX100" s="50"/>
      <c r="VRY100" s="50"/>
      <c r="VRZ100" s="50"/>
      <c r="VSA100" s="50"/>
      <c r="VSB100" s="50"/>
      <c r="VSC100" s="50"/>
      <c r="VSD100" s="50"/>
      <c r="VSE100" s="50"/>
      <c r="VSF100" s="50"/>
      <c r="VSG100" s="50"/>
      <c r="VSH100" s="50"/>
      <c r="VSI100" s="50"/>
      <c r="VSJ100" s="50"/>
      <c r="VSK100" s="50"/>
      <c r="VSL100" s="50"/>
      <c r="VSM100" s="50"/>
      <c r="VSN100" s="50"/>
      <c r="VSO100" s="50"/>
      <c r="VSP100" s="50"/>
      <c r="VSQ100" s="50"/>
      <c r="VSR100" s="50"/>
      <c r="VSS100" s="50"/>
      <c r="VST100" s="50"/>
      <c r="VSU100" s="50"/>
      <c r="VSV100" s="50"/>
      <c r="VSW100" s="50"/>
      <c r="VSX100" s="50"/>
      <c r="VSY100" s="50"/>
      <c r="VSZ100" s="50"/>
      <c r="VTA100" s="50"/>
      <c r="VTB100" s="50"/>
      <c r="VTC100" s="50"/>
      <c r="VTD100" s="50"/>
      <c r="VTE100" s="50"/>
      <c r="VTF100" s="50"/>
      <c r="VTG100" s="50"/>
      <c r="VTH100" s="50"/>
      <c r="VTI100" s="50"/>
      <c r="VTJ100" s="50"/>
      <c r="VTK100" s="50"/>
      <c r="VTL100" s="50"/>
      <c r="VTM100" s="50"/>
      <c r="VTN100" s="50"/>
      <c r="VTO100" s="50"/>
      <c r="VTP100" s="50"/>
      <c r="VTQ100" s="50"/>
      <c r="VTR100" s="50"/>
      <c r="VTS100" s="50"/>
      <c r="VTT100" s="50"/>
      <c r="VTU100" s="50"/>
      <c r="VTV100" s="50"/>
      <c r="VTW100" s="50"/>
      <c r="VTX100" s="50"/>
      <c r="VTY100" s="50"/>
      <c r="VTZ100" s="50"/>
      <c r="VUA100" s="50"/>
      <c r="VUB100" s="50"/>
      <c r="VUC100" s="50"/>
      <c r="VUD100" s="50"/>
      <c r="VUE100" s="50"/>
      <c r="VUF100" s="50"/>
      <c r="VUG100" s="50"/>
      <c r="VUH100" s="50"/>
      <c r="VUI100" s="50"/>
      <c r="VUJ100" s="50"/>
      <c r="VUK100" s="50"/>
      <c r="VUL100" s="50"/>
      <c r="VUM100" s="50"/>
      <c r="VUN100" s="50"/>
      <c r="VUO100" s="50"/>
      <c r="VUP100" s="50"/>
      <c r="VUQ100" s="50"/>
      <c r="VUR100" s="50"/>
      <c r="VUS100" s="50"/>
      <c r="VUT100" s="50"/>
      <c r="VUU100" s="50"/>
      <c r="VUV100" s="50"/>
      <c r="VUW100" s="50"/>
      <c r="VUX100" s="50"/>
      <c r="VUY100" s="50"/>
      <c r="VUZ100" s="50"/>
      <c r="VVA100" s="50"/>
      <c r="VVB100" s="50"/>
      <c r="VVC100" s="50"/>
      <c r="VVD100" s="50"/>
      <c r="VVE100" s="50"/>
      <c r="VVF100" s="50"/>
      <c r="VVG100" s="50"/>
      <c r="VVH100" s="50"/>
      <c r="VVI100" s="50"/>
      <c r="VVJ100" s="50"/>
      <c r="VVK100" s="50"/>
      <c r="VVL100" s="50"/>
      <c r="VVM100" s="50"/>
      <c r="VVN100" s="50"/>
      <c r="VVO100" s="50"/>
      <c r="VVP100" s="50"/>
    </row>
    <row r="101" spans="3:102 15068:15460" s="1" customFormat="1" hidden="1" x14ac:dyDescent="0.25">
      <c r="C101" s="15"/>
      <c r="D101" s="28" t="s">
        <v>46</v>
      </c>
      <c r="E101" s="99"/>
      <c r="F101" s="20" t="s">
        <v>14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2"/>
      <c r="AN101" s="98">
        <v>0</v>
      </c>
      <c r="CF101" s="151"/>
      <c r="CG101" s="152"/>
      <c r="CH101" s="152"/>
      <c r="CI101" s="152"/>
      <c r="CJ101" s="151"/>
      <c r="CK101" s="152"/>
      <c r="CL101" s="152"/>
      <c r="CM101" s="152"/>
      <c r="CN101" s="152"/>
      <c r="CO101" s="152"/>
      <c r="CX101" s="152"/>
    </row>
    <row r="102" spans="3:102 15068:15460" s="1" customFormat="1" hidden="1" x14ac:dyDescent="0.25">
      <c r="C102" s="15"/>
      <c r="D102" s="30" t="s">
        <v>39</v>
      </c>
      <c r="E102" s="69"/>
      <c r="F102" s="20" t="s">
        <v>14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34">
        <v>0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/>
      <c r="AK102" s="34"/>
      <c r="AL102" s="34">
        <v>0</v>
      </c>
      <c r="AN102" s="67">
        <v>0</v>
      </c>
      <c r="CF102" s="160"/>
      <c r="CG102" s="156"/>
      <c r="CH102" s="156"/>
      <c r="CI102" s="156"/>
      <c r="CJ102" s="156"/>
      <c r="CK102" s="156"/>
      <c r="CL102" s="152"/>
      <c r="CM102" s="152"/>
      <c r="CN102" s="152"/>
      <c r="CO102" s="152"/>
      <c r="CX102" s="152"/>
    </row>
    <row r="103" spans="3:102 15068:15460" s="1" customFormat="1" hidden="1" x14ac:dyDescent="0.25">
      <c r="C103" s="15"/>
      <c r="D103" s="30" t="s">
        <v>38</v>
      </c>
      <c r="E103" s="69"/>
      <c r="F103" s="20" t="s">
        <v>14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34"/>
      <c r="AK103" s="34"/>
      <c r="AL103" s="34">
        <v>0</v>
      </c>
      <c r="AN103" s="67">
        <v>0</v>
      </c>
      <c r="CF103" s="152"/>
      <c r="CG103" s="152"/>
      <c r="CH103" s="152"/>
      <c r="CI103" s="152"/>
      <c r="CJ103" s="152"/>
      <c r="CK103" s="152"/>
      <c r="CL103" s="152"/>
      <c r="CM103" s="152"/>
      <c r="CN103" s="152"/>
      <c r="CO103" s="152"/>
      <c r="CX103" s="152"/>
    </row>
    <row r="104" spans="3:102 15068:15460" s="1" customFormat="1" hidden="1" x14ac:dyDescent="0.25">
      <c r="C104" s="15"/>
      <c r="D104" s="30" t="s">
        <v>50</v>
      </c>
      <c r="E104" s="69"/>
      <c r="F104" s="13" t="s">
        <v>14</v>
      </c>
      <c r="G104" s="34">
        <v>0</v>
      </c>
      <c r="H104" s="34"/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4">
        <v>0</v>
      </c>
      <c r="U104" s="34">
        <v>0</v>
      </c>
      <c r="V104" s="34">
        <v>0</v>
      </c>
      <c r="W104" s="34">
        <v>0</v>
      </c>
      <c r="X104" s="34">
        <v>0</v>
      </c>
      <c r="Y104" s="34">
        <v>0</v>
      </c>
      <c r="Z104" s="34">
        <v>0</v>
      </c>
      <c r="AA104" s="34">
        <v>0</v>
      </c>
      <c r="AB104" s="34">
        <v>0</v>
      </c>
      <c r="AC104" s="34">
        <v>0</v>
      </c>
      <c r="AD104" s="34">
        <v>0</v>
      </c>
      <c r="AE104" s="34">
        <v>0</v>
      </c>
      <c r="AF104" s="34">
        <v>0</v>
      </c>
      <c r="AG104" s="34">
        <v>0</v>
      </c>
      <c r="AH104" s="34">
        <v>0</v>
      </c>
      <c r="AI104" s="34">
        <v>0</v>
      </c>
      <c r="AJ104" s="34"/>
      <c r="AK104" s="34"/>
      <c r="AL104" s="34">
        <v>0</v>
      </c>
      <c r="AN104" s="67">
        <v>0</v>
      </c>
      <c r="CX104" s="152"/>
    </row>
    <row r="105" spans="3:102 15068:15460" s="1" customFormat="1" hidden="1" x14ac:dyDescent="0.25">
      <c r="C105" s="15"/>
      <c r="D105" s="30" t="s">
        <v>29</v>
      </c>
      <c r="E105" s="69"/>
      <c r="F105" s="1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N105" s="72" t="s">
        <v>29</v>
      </c>
      <c r="CF105" s="152"/>
      <c r="CG105" s="152"/>
      <c r="CH105" s="152"/>
      <c r="CI105" s="152"/>
      <c r="CJ105" s="152"/>
      <c r="CK105" s="152"/>
      <c r="CL105" s="152"/>
      <c r="CM105" s="152"/>
      <c r="CN105" s="152"/>
      <c r="CO105" s="152"/>
      <c r="CX105" s="152"/>
    </row>
    <row r="106" spans="3:102 15068:15460" s="16" customFormat="1" hidden="1" x14ac:dyDescent="0.25">
      <c r="C106" s="17"/>
      <c r="D106" s="11" t="s">
        <v>45</v>
      </c>
      <c r="E106" s="62"/>
      <c r="F106" s="32" t="s">
        <v>31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N106" s="100">
        <v>0</v>
      </c>
      <c r="CF106" s="158"/>
      <c r="CG106" s="158"/>
      <c r="CH106" s="158"/>
      <c r="CI106" s="158"/>
      <c r="CJ106" s="158"/>
      <c r="CK106" s="158"/>
      <c r="CL106" s="158"/>
      <c r="CM106" s="158"/>
      <c r="CN106" s="158"/>
      <c r="CO106" s="158"/>
      <c r="CX106" s="158"/>
    </row>
    <row r="107" spans="3:102 15068:15460" s="16" customFormat="1" hidden="1" x14ac:dyDescent="0.25">
      <c r="C107" s="17"/>
      <c r="D107" s="11" t="s">
        <v>44</v>
      </c>
      <c r="E107" s="62"/>
      <c r="F107" s="32" t="s">
        <v>31</v>
      </c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N107" s="100">
        <v>0</v>
      </c>
      <c r="CF107" s="158"/>
      <c r="CG107" s="158"/>
      <c r="CH107" s="158"/>
      <c r="CI107" s="158"/>
      <c r="CJ107" s="158"/>
      <c r="CK107" s="158"/>
      <c r="CL107" s="158"/>
      <c r="CM107" s="158"/>
      <c r="CN107" s="158"/>
      <c r="CO107" s="158"/>
      <c r="CX107" s="158"/>
    </row>
    <row r="108" spans="3:102 15068:15460" s="1" customFormat="1" hidden="1" x14ac:dyDescent="0.25">
      <c r="C108" s="15"/>
      <c r="D108" s="30" t="s">
        <v>28</v>
      </c>
      <c r="E108" s="69"/>
      <c r="F108" s="1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N108" s="72" t="s">
        <v>28</v>
      </c>
      <c r="CF108" s="152"/>
      <c r="CG108" s="152"/>
      <c r="CH108" s="152"/>
      <c r="CI108" s="152"/>
      <c r="CJ108" s="152"/>
      <c r="CK108" s="152"/>
      <c r="CL108" s="152"/>
      <c r="CM108" s="152"/>
      <c r="CN108" s="152"/>
      <c r="CO108" s="152"/>
      <c r="CX108" s="152"/>
    </row>
    <row r="109" spans="3:102 15068:15460" s="1" customFormat="1" hidden="1" x14ac:dyDescent="0.25">
      <c r="C109" s="15"/>
      <c r="D109" s="11" t="s">
        <v>45</v>
      </c>
      <c r="E109" s="69"/>
      <c r="F109" s="20" t="s">
        <v>28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>
        <v>0</v>
      </c>
      <c r="AG109" s="33">
        <v>0</v>
      </c>
      <c r="AH109" s="33">
        <v>0</v>
      </c>
      <c r="AI109" s="33">
        <v>0</v>
      </c>
      <c r="AJ109" s="33"/>
      <c r="AK109" s="33"/>
      <c r="AL109" s="33">
        <v>0</v>
      </c>
      <c r="AN109" s="63">
        <v>0</v>
      </c>
      <c r="CF109" s="152"/>
      <c r="CG109" s="152"/>
      <c r="CH109" s="152"/>
      <c r="CI109" s="152"/>
      <c r="CJ109" s="152"/>
      <c r="CK109" s="152"/>
      <c r="CL109" s="152"/>
      <c r="CM109" s="152"/>
      <c r="CN109" s="152"/>
      <c r="CO109" s="152"/>
      <c r="CX109" s="152"/>
    </row>
    <row r="110" spans="3:102 15068:15460" s="1" customFormat="1" hidden="1" x14ac:dyDescent="0.25">
      <c r="C110" s="15"/>
      <c r="D110" s="11" t="s">
        <v>44</v>
      </c>
      <c r="E110" s="69"/>
      <c r="F110" s="20" t="s">
        <v>28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T110" s="33">
        <v>0</v>
      </c>
      <c r="U110" s="33">
        <v>0</v>
      </c>
      <c r="V110" s="33">
        <v>0</v>
      </c>
      <c r="W110" s="33">
        <v>0</v>
      </c>
      <c r="X110" s="33">
        <v>0</v>
      </c>
      <c r="Y110" s="33">
        <v>0</v>
      </c>
      <c r="Z110" s="33">
        <v>0</v>
      </c>
      <c r="AA110" s="33">
        <v>0</v>
      </c>
      <c r="AB110" s="33">
        <v>0</v>
      </c>
      <c r="AC110" s="33">
        <v>0</v>
      </c>
      <c r="AD110" s="33">
        <v>0</v>
      </c>
      <c r="AE110" s="33">
        <v>0</v>
      </c>
      <c r="AF110" s="33">
        <v>0</v>
      </c>
      <c r="AG110" s="33">
        <v>0</v>
      </c>
      <c r="AH110" s="33">
        <v>0</v>
      </c>
      <c r="AI110" s="33">
        <v>0</v>
      </c>
      <c r="AJ110" s="33"/>
      <c r="AK110" s="33"/>
      <c r="AL110" s="33">
        <v>0</v>
      </c>
      <c r="AN110" s="63">
        <v>0</v>
      </c>
      <c r="CF110" s="152"/>
      <c r="CG110" s="152"/>
      <c r="CH110" s="152"/>
      <c r="CI110" s="152"/>
      <c r="CJ110" s="152"/>
      <c r="CK110" s="152"/>
      <c r="CL110" s="152"/>
      <c r="CM110" s="152"/>
      <c r="CN110" s="152"/>
      <c r="CO110" s="152"/>
      <c r="CX110" s="152"/>
    </row>
    <row r="111" spans="3:102 15068:15460" s="1" customFormat="1" hidden="1" x14ac:dyDescent="0.25">
      <c r="C111" s="15"/>
      <c r="D111" s="30" t="s">
        <v>36</v>
      </c>
      <c r="E111" s="69"/>
      <c r="F111" s="20" t="s">
        <v>35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  <c r="AI111" s="33">
        <v>0</v>
      </c>
      <c r="AJ111" s="33"/>
      <c r="AK111" s="33"/>
      <c r="AL111" s="33">
        <v>0</v>
      </c>
      <c r="AN111" s="63">
        <v>0</v>
      </c>
      <c r="CF111" s="152"/>
      <c r="CG111" s="152"/>
      <c r="CH111" s="152"/>
      <c r="CI111" s="152"/>
      <c r="CJ111" s="152"/>
      <c r="CK111" s="152"/>
      <c r="CL111" s="152"/>
      <c r="CM111" s="152"/>
      <c r="CN111" s="152"/>
      <c r="CO111" s="152"/>
      <c r="CX111" s="152"/>
    </row>
    <row r="112" spans="3:102 15068:15460" s="1" customFormat="1" hidden="1" x14ac:dyDescent="0.25">
      <c r="C112" s="15"/>
      <c r="D112" s="30" t="s">
        <v>34</v>
      </c>
      <c r="E112" s="69"/>
      <c r="F112" s="20" t="s">
        <v>33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>
        <v>0</v>
      </c>
      <c r="AJ112" s="33"/>
      <c r="AK112" s="33"/>
      <c r="AL112" s="33">
        <v>0</v>
      </c>
      <c r="AN112" s="63">
        <v>0</v>
      </c>
      <c r="CF112" s="152"/>
      <c r="CG112" s="152"/>
      <c r="CH112" s="152"/>
      <c r="CI112" s="152"/>
      <c r="CJ112" s="152"/>
      <c r="CK112" s="152"/>
      <c r="CL112" s="152"/>
      <c r="CM112" s="152"/>
      <c r="CN112" s="152"/>
      <c r="CO112" s="152"/>
      <c r="CX112" s="152"/>
    </row>
    <row r="113" spans="3:102 15068:15460" s="1" customFormat="1" hidden="1" x14ac:dyDescent="0.25">
      <c r="C113" s="8"/>
      <c r="D113" s="53" t="s">
        <v>32</v>
      </c>
      <c r="E113" s="54"/>
      <c r="F113" s="55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3"/>
      <c r="AN113" s="87" t="s">
        <v>132</v>
      </c>
      <c r="CF113" s="151"/>
      <c r="CG113" s="151"/>
      <c r="CH113" s="151"/>
      <c r="CI113" s="151"/>
      <c r="CJ113" s="151"/>
      <c r="CK113" s="151"/>
      <c r="CL113" s="151"/>
      <c r="CM113" s="151"/>
      <c r="CN113" s="151"/>
      <c r="CO113" s="151"/>
      <c r="CX113" s="151"/>
      <c r="VGN113" s="50"/>
      <c r="VGO113" s="50"/>
      <c r="VGP113" s="50"/>
      <c r="VGQ113" s="50"/>
      <c r="VGR113" s="50"/>
      <c r="VGS113" s="50"/>
      <c r="VGT113" s="50"/>
      <c r="VGU113" s="50"/>
      <c r="VGV113" s="50"/>
      <c r="VGW113" s="50"/>
      <c r="VGX113" s="50"/>
      <c r="VGY113" s="50"/>
      <c r="VGZ113" s="50"/>
      <c r="VHA113" s="50"/>
      <c r="VHB113" s="50"/>
      <c r="VHC113" s="50"/>
      <c r="VHD113" s="50"/>
      <c r="VHE113" s="50"/>
      <c r="VHF113" s="50"/>
      <c r="VHG113" s="50"/>
      <c r="VHH113" s="50"/>
      <c r="VHI113" s="50"/>
      <c r="VHJ113" s="50"/>
      <c r="VHK113" s="50"/>
      <c r="VHL113" s="50"/>
      <c r="VHM113" s="50"/>
      <c r="VHN113" s="50"/>
      <c r="VHO113" s="50"/>
      <c r="VHP113" s="50"/>
      <c r="VHQ113" s="50"/>
      <c r="VHR113" s="50"/>
      <c r="VHS113" s="50"/>
      <c r="VHT113" s="50"/>
      <c r="VHU113" s="50"/>
      <c r="VHV113" s="50"/>
      <c r="VHW113" s="50"/>
      <c r="VHX113" s="50"/>
      <c r="VHY113" s="50"/>
      <c r="VHZ113" s="50"/>
      <c r="VIA113" s="50"/>
      <c r="VIB113" s="50"/>
      <c r="VIC113" s="50"/>
      <c r="VID113" s="50"/>
      <c r="VIE113" s="50"/>
      <c r="VIF113" s="50"/>
      <c r="VIG113" s="50"/>
      <c r="VIH113" s="50"/>
      <c r="VII113" s="50"/>
      <c r="VIJ113" s="50"/>
      <c r="VIK113" s="50"/>
      <c r="VIL113" s="50"/>
      <c r="VIM113" s="50"/>
      <c r="VIN113" s="50"/>
      <c r="VIO113" s="50"/>
      <c r="VIP113" s="50"/>
      <c r="VIQ113" s="50"/>
      <c r="VIR113" s="50"/>
      <c r="VIS113" s="50"/>
      <c r="VIT113" s="50"/>
      <c r="VIU113" s="50"/>
      <c r="VIV113" s="50"/>
      <c r="VIW113" s="50"/>
      <c r="VIX113" s="50"/>
      <c r="VIY113" s="50"/>
      <c r="VIZ113" s="50"/>
      <c r="VJA113" s="50"/>
      <c r="VJB113" s="50"/>
      <c r="VJC113" s="50"/>
      <c r="VJD113" s="50"/>
      <c r="VJE113" s="50"/>
      <c r="VJF113" s="50"/>
      <c r="VJG113" s="50"/>
      <c r="VJH113" s="50"/>
      <c r="VJI113" s="50"/>
      <c r="VJJ113" s="50"/>
      <c r="VJK113" s="50"/>
      <c r="VJL113" s="50"/>
      <c r="VJM113" s="50"/>
      <c r="VJN113" s="50"/>
      <c r="VJO113" s="50"/>
      <c r="VJP113" s="50"/>
      <c r="VJQ113" s="50"/>
      <c r="VJR113" s="50"/>
      <c r="VJS113" s="50"/>
      <c r="VJT113" s="50"/>
      <c r="VJU113" s="50"/>
      <c r="VJV113" s="50"/>
      <c r="VJW113" s="50"/>
      <c r="VJX113" s="50"/>
      <c r="VJY113" s="50"/>
      <c r="VJZ113" s="50"/>
      <c r="VKA113" s="50"/>
      <c r="VKB113" s="50"/>
      <c r="VKC113" s="50"/>
      <c r="VKD113" s="50"/>
      <c r="VKE113" s="50"/>
      <c r="VKF113" s="50"/>
      <c r="VKG113" s="50"/>
      <c r="VKH113" s="50"/>
      <c r="VKI113" s="50"/>
      <c r="VKJ113" s="50"/>
      <c r="VKK113" s="50"/>
      <c r="VKL113" s="50"/>
      <c r="VKM113" s="50"/>
      <c r="VKN113" s="50"/>
      <c r="VKO113" s="50"/>
      <c r="VKP113" s="50"/>
      <c r="VKQ113" s="50"/>
      <c r="VKR113" s="50"/>
      <c r="VKS113" s="50"/>
      <c r="VKT113" s="50"/>
      <c r="VKU113" s="50"/>
      <c r="VKV113" s="50"/>
      <c r="VKW113" s="50"/>
      <c r="VKX113" s="50"/>
      <c r="VKY113" s="50"/>
      <c r="VKZ113" s="50"/>
      <c r="VLA113" s="50"/>
      <c r="VLB113" s="50"/>
      <c r="VLC113" s="50"/>
      <c r="VLD113" s="50"/>
      <c r="VLE113" s="50"/>
      <c r="VLF113" s="50"/>
      <c r="VLG113" s="50"/>
      <c r="VLH113" s="50"/>
      <c r="VLI113" s="50"/>
      <c r="VLJ113" s="50"/>
      <c r="VLK113" s="50"/>
      <c r="VLL113" s="50"/>
      <c r="VLM113" s="50"/>
      <c r="VLN113" s="50"/>
      <c r="VLO113" s="50"/>
      <c r="VLP113" s="50"/>
      <c r="VLQ113" s="50"/>
      <c r="VLR113" s="50"/>
      <c r="VLS113" s="50"/>
      <c r="VLT113" s="50"/>
      <c r="VLU113" s="50"/>
      <c r="VLV113" s="50"/>
      <c r="VLW113" s="50"/>
      <c r="VLX113" s="50"/>
      <c r="VLY113" s="50"/>
      <c r="VLZ113" s="50"/>
      <c r="VMA113" s="50"/>
      <c r="VMB113" s="50"/>
      <c r="VMC113" s="50"/>
      <c r="VMD113" s="50"/>
      <c r="VME113" s="50"/>
      <c r="VMF113" s="50"/>
      <c r="VMG113" s="50"/>
      <c r="VMH113" s="50"/>
      <c r="VMI113" s="50"/>
      <c r="VMJ113" s="50"/>
      <c r="VMK113" s="50"/>
      <c r="VML113" s="50"/>
      <c r="VMM113" s="50"/>
      <c r="VMN113" s="50"/>
      <c r="VMO113" s="50"/>
      <c r="VMP113" s="50"/>
      <c r="VMQ113" s="50"/>
      <c r="VMR113" s="50"/>
      <c r="VMS113" s="50"/>
      <c r="VMT113" s="50"/>
      <c r="VMU113" s="50"/>
      <c r="VMV113" s="50"/>
      <c r="VMW113" s="50"/>
      <c r="VMX113" s="50"/>
      <c r="VMY113" s="50"/>
      <c r="VMZ113" s="50"/>
      <c r="VNA113" s="50"/>
      <c r="VNB113" s="50"/>
      <c r="VNC113" s="50"/>
      <c r="VND113" s="50"/>
      <c r="VNE113" s="50"/>
      <c r="VNF113" s="50"/>
      <c r="VNG113" s="50"/>
      <c r="VNH113" s="50"/>
      <c r="VNI113" s="50"/>
      <c r="VNJ113" s="50"/>
      <c r="VNK113" s="50"/>
      <c r="VNL113" s="50"/>
      <c r="VNM113" s="50"/>
      <c r="VNN113" s="50"/>
      <c r="VNO113" s="50"/>
      <c r="VNP113" s="50"/>
      <c r="VNQ113" s="50"/>
      <c r="VNR113" s="50"/>
      <c r="VNS113" s="50"/>
      <c r="VNT113" s="50"/>
      <c r="VNU113" s="50"/>
      <c r="VNV113" s="50"/>
      <c r="VNW113" s="50"/>
      <c r="VNX113" s="50"/>
      <c r="VNY113" s="50"/>
      <c r="VNZ113" s="50"/>
      <c r="VOA113" s="50"/>
      <c r="VOB113" s="50"/>
      <c r="VOC113" s="50"/>
      <c r="VOD113" s="50"/>
      <c r="VOE113" s="50"/>
      <c r="VOF113" s="50"/>
      <c r="VOG113" s="50"/>
      <c r="VOH113" s="50"/>
      <c r="VOI113" s="50"/>
      <c r="VOJ113" s="50"/>
      <c r="VOK113" s="50"/>
      <c r="VOL113" s="50"/>
      <c r="VOM113" s="50"/>
      <c r="VON113" s="50"/>
      <c r="VOO113" s="50"/>
      <c r="VOP113" s="50"/>
      <c r="VOQ113" s="50"/>
      <c r="VOR113" s="50"/>
      <c r="VOS113" s="50"/>
      <c r="VOT113" s="50"/>
      <c r="VOU113" s="50"/>
      <c r="VOV113" s="50"/>
      <c r="VOW113" s="50"/>
      <c r="VOX113" s="50"/>
      <c r="VOY113" s="50"/>
      <c r="VOZ113" s="50"/>
      <c r="VPA113" s="50"/>
      <c r="VPB113" s="50"/>
      <c r="VPC113" s="50"/>
      <c r="VPD113" s="50"/>
      <c r="VPE113" s="50"/>
      <c r="VPF113" s="50"/>
      <c r="VPG113" s="50"/>
      <c r="VPH113" s="50"/>
      <c r="VPI113" s="50"/>
      <c r="VPJ113" s="50"/>
      <c r="VPK113" s="50"/>
      <c r="VPL113" s="50"/>
      <c r="VPM113" s="50"/>
      <c r="VPN113" s="50"/>
      <c r="VPO113" s="50"/>
      <c r="VPP113" s="50"/>
      <c r="VPQ113" s="50"/>
      <c r="VPR113" s="50"/>
      <c r="VPS113" s="50"/>
      <c r="VPT113" s="50"/>
      <c r="VPU113" s="50"/>
      <c r="VPV113" s="50"/>
      <c r="VPW113" s="50"/>
      <c r="VPX113" s="50"/>
      <c r="VPY113" s="50"/>
      <c r="VPZ113" s="50"/>
      <c r="VQA113" s="50"/>
      <c r="VQB113" s="50"/>
      <c r="VQC113" s="50"/>
      <c r="VQD113" s="50"/>
      <c r="VQE113" s="50"/>
      <c r="VQF113" s="50"/>
      <c r="VQG113" s="50"/>
      <c r="VQH113" s="50"/>
      <c r="VQI113" s="50"/>
      <c r="VQJ113" s="50"/>
      <c r="VQK113" s="50"/>
      <c r="VQL113" s="50"/>
      <c r="VQM113" s="50"/>
      <c r="VQN113" s="50"/>
      <c r="VQO113" s="50"/>
      <c r="VQP113" s="50"/>
      <c r="VQQ113" s="50"/>
      <c r="VQR113" s="50"/>
      <c r="VQS113" s="50"/>
      <c r="VQT113" s="50"/>
      <c r="VQU113" s="50"/>
      <c r="VQV113" s="50"/>
      <c r="VQW113" s="50"/>
      <c r="VQX113" s="50"/>
      <c r="VQY113" s="50"/>
      <c r="VQZ113" s="50"/>
      <c r="VRA113" s="50"/>
      <c r="VRB113" s="50"/>
      <c r="VRC113" s="50"/>
      <c r="VRD113" s="50"/>
      <c r="VRE113" s="50"/>
      <c r="VRF113" s="50"/>
      <c r="VRG113" s="50"/>
      <c r="VRH113" s="50"/>
      <c r="VRI113" s="50"/>
      <c r="VRJ113" s="50"/>
      <c r="VRK113" s="50"/>
      <c r="VRL113" s="50"/>
      <c r="VRM113" s="50"/>
      <c r="VRN113" s="50"/>
      <c r="VRO113" s="50"/>
      <c r="VRP113" s="50"/>
      <c r="VRQ113" s="50"/>
      <c r="VRR113" s="50"/>
      <c r="VRS113" s="50"/>
      <c r="VRT113" s="50"/>
      <c r="VRU113" s="50"/>
      <c r="VRV113" s="50"/>
      <c r="VRW113" s="50"/>
      <c r="VRX113" s="50"/>
      <c r="VRY113" s="50"/>
      <c r="VRZ113" s="50"/>
      <c r="VSA113" s="50"/>
      <c r="VSB113" s="50"/>
      <c r="VSC113" s="50"/>
      <c r="VSD113" s="50"/>
      <c r="VSE113" s="50"/>
      <c r="VSF113" s="50"/>
      <c r="VSG113" s="50"/>
      <c r="VSH113" s="50"/>
      <c r="VSI113" s="50"/>
      <c r="VSJ113" s="50"/>
      <c r="VSK113" s="50"/>
      <c r="VSL113" s="50"/>
      <c r="VSM113" s="50"/>
      <c r="VSN113" s="50"/>
      <c r="VSO113" s="50"/>
      <c r="VSP113" s="50"/>
      <c r="VSQ113" s="50"/>
      <c r="VSR113" s="50"/>
      <c r="VSS113" s="50"/>
      <c r="VST113" s="50"/>
      <c r="VSU113" s="50"/>
      <c r="VSV113" s="50"/>
      <c r="VSW113" s="50"/>
      <c r="VSX113" s="50"/>
      <c r="VSY113" s="50"/>
      <c r="VSZ113" s="50"/>
      <c r="VTA113" s="50"/>
      <c r="VTB113" s="50"/>
      <c r="VTC113" s="50"/>
      <c r="VTD113" s="50"/>
      <c r="VTE113" s="50"/>
      <c r="VTF113" s="50"/>
      <c r="VTG113" s="50"/>
      <c r="VTH113" s="50"/>
      <c r="VTI113" s="50"/>
      <c r="VTJ113" s="50"/>
      <c r="VTK113" s="50"/>
      <c r="VTL113" s="50"/>
      <c r="VTM113" s="50"/>
      <c r="VTN113" s="50"/>
      <c r="VTO113" s="50"/>
      <c r="VTP113" s="50"/>
      <c r="VTQ113" s="50"/>
      <c r="VTR113" s="50"/>
      <c r="VTS113" s="50"/>
      <c r="VTT113" s="50"/>
      <c r="VTU113" s="50"/>
      <c r="VTV113" s="50"/>
      <c r="VTW113" s="50"/>
      <c r="VTX113" s="50"/>
      <c r="VTY113" s="50"/>
      <c r="VTZ113" s="50"/>
      <c r="VUA113" s="50"/>
      <c r="VUB113" s="50"/>
      <c r="VUC113" s="50"/>
      <c r="VUD113" s="50"/>
      <c r="VUE113" s="50"/>
      <c r="VUF113" s="50"/>
      <c r="VUG113" s="50"/>
      <c r="VUH113" s="50"/>
      <c r="VUI113" s="50"/>
      <c r="VUJ113" s="50"/>
      <c r="VUK113" s="50"/>
      <c r="VUL113" s="50"/>
      <c r="VUM113" s="50"/>
      <c r="VUN113" s="50"/>
      <c r="VUO113" s="50"/>
      <c r="VUP113" s="50"/>
      <c r="VUQ113" s="50"/>
      <c r="VUR113" s="50"/>
      <c r="VUS113" s="50"/>
      <c r="VUT113" s="50"/>
      <c r="VUU113" s="50"/>
      <c r="VUV113" s="50"/>
      <c r="VUW113" s="50"/>
      <c r="VUX113" s="50"/>
      <c r="VUY113" s="50"/>
      <c r="VUZ113" s="50"/>
      <c r="VVA113" s="50"/>
      <c r="VVB113" s="50"/>
      <c r="VVC113" s="50"/>
      <c r="VVD113" s="50"/>
      <c r="VVE113" s="50"/>
      <c r="VVF113" s="50"/>
      <c r="VVG113" s="50"/>
      <c r="VVH113" s="50"/>
      <c r="VVI113" s="50"/>
      <c r="VVJ113" s="50"/>
      <c r="VVK113" s="50"/>
      <c r="VVL113" s="50"/>
      <c r="VVM113" s="50"/>
      <c r="VVN113" s="50"/>
      <c r="VVO113" s="50"/>
      <c r="VVP113" s="50"/>
    </row>
    <row r="114" spans="3:102 15068:15460" s="1" customFormat="1" hidden="1" x14ac:dyDescent="0.25">
      <c r="C114" s="15"/>
      <c r="D114" s="30" t="s">
        <v>29</v>
      </c>
      <c r="E114" s="69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N114" s="72" t="s">
        <v>29</v>
      </c>
      <c r="CX114" s="152"/>
    </row>
    <row r="115" spans="3:102 15068:15460" s="1" customFormat="1" hidden="1" x14ac:dyDescent="0.25">
      <c r="C115" s="15"/>
      <c r="D115" s="11" t="s">
        <v>45</v>
      </c>
      <c r="E115" s="69"/>
      <c r="F115" s="20" t="s">
        <v>31</v>
      </c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N115" s="63">
        <v>0</v>
      </c>
      <c r="CX115" s="152"/>
    </row>
    <row r="116" spans="3:102 15068:15460" s="1" customFormat="1" hidden="1" x14ac:dyDescent="0.25">
      <c r="C116" s="15"/>
      <c r="D116" s="11" t="s">
        <v>44</v>
      </c>
      <c r="E116" s="69"/>
      <c r="F116" s="20" t="s">
        <v>31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N116" s="63">
        <v>0</v>
      </c>
      <c r="CX116" s="152"/>
    </row>
    <row r="117" spans="3:102 15068:15460" s="1" customFormat="1" hidden="1" x14ac:dyDescent="0.25">
      <c r="C117" s="15"/>
      <c r="D117" s="30" t="s">
        <v>28</v>
      </c>
      <c r="E117" s="69"/>
      <c r="F117" s="1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N117" s="72" t="s">
        <v>28</v>
      </c>
      <c r="CX117" s="152"/>
    </row>
    <row r="118" spans="3:102 15068:15460" s="1" customFormat="1" hidden="1" x14ac:dyDescent="0.25">
      <c r="C118" s="15"/>
      <c r="D118" s="11" t="s">
        <v>45</v>
      </c>
      <c r="E118" s="69"/>
      <c r="F118" s="20" t="s">
        <v>28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0</v>
      </c>
      <c r="M118" s="33">
        <v>0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3">
        <v>0</v>
      </c>
      <c r="T118" s="33">
        <v>0</v>
      </c>
      <c r="U118" s="33">
        <v>0</v>
      </c>
      <c r="V118" s="33">
        <v>0</v>
      </c>
      <c r="W118" s="33">
        <v>0</v>
      </c>
      <c r="X118" s="33">
        <v>0</v>
      </c>
      <c r="Y118" s="33">
        <v>0</v>
      </c>
      <c r="Z118" s="33">
        <v>0</v>
      </c>
      <c r="AA118" s="33">
        <v>0</v>
      </c>
      <c r="AB118" s="33">
        <v>0</v>
      </c>
      <c r="AC118" s="33">
        <v>0</v>
      </c>
      <c r="AD118" s="33">
        <v>0</v>
      </c>
      <c r="AE118" s="33">
        <v>0</v>
      </c>
      <c r="AF118" s="33">
        <v>0</v>
      </c>
      <c r="AG118" s="33">
        <v>0</v>
      </c>
      <c r="AH118" s="33">
        <v>0</v>
      </c>
      <c r="AI118" s="33">
        <v>0</v>
      </c>
      <c r="AJ118" s="33"/>
      <c r="AK118" s="33"/>
      <c r="AL118" s="33">
        <v>0</v>
      </c>
      <c r="AN118" s="63">
        <v>0</v>
      </c>
      <c r="CX118" s="152"/>
    </row>
    <row r="119" spans="3:102 15068:15460" s="1" customFormat="1" hidden="1" x14ac:dyDescent="0.25">
      <c r="C119" s="15"/>
      <c r="D119" s="11" t="s">
        <v>44</v>
      </c>
      <c r="E119" s="69"/>
      <c r="F119" s="20" t="s">
        <v>28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0</v>
      </c>
      <c r="Z119" s="33">
        <v>0</v>
      </c>
      <c r="AA119" s="33">
        <v>0</v>
      </c>
      <c r="AB119" s="33">
        <v>0</v>
      </c>
      <c r="AC119" s="33">
        <v>0</v>
      </c>
      <c r="AD119" s="33">
        <v>0</v>
      </c>
      <c r="AE119" s="33">
        <v>0</v>
      </c>
      <c r="AF119" s="33">
        <v>0</v>
      </c>
      <c r="AG119" s="33">
        <v>0</v>
      </c>
      <c r="AH119" s="33">
        <v>0</v>
      </c>
      <c r="AI119" s="33">
        <v>0</v>
      </c>
      <c r="AJ119" s="33"/>
      <c r="AK119" s="33"/>
      <c r="AL119" s="33">
        <v>0</v>
      </c>
      <c r="AN119" s="63">
        <v>0</v>
      </c>
      <c r="CX119" s="152"/>
    </row>
    <row r="120" spans="3:102 15068:15460" s="1" customFormat="1" hidden="1" x14ac:dyDescent="0.25">
      <c r="C120" s="8"/>
      <c r="D120" s="53" t="s">
        <v>30</v>
      </c>
      <c r="E120" s="54"/>
      <c r="F120" s="55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3"/>
      <c r="AN120" s="87" t="s">
        <v>132</v>
      </c>
      <c r="CX120" s="151"/>
      <c r="VGN120" s="50"/>
      <c r="VGO120" s="50"/>
      <c r="VGP120" s="50"/>
      <c r="VGQ120" s="50"/>
      <c r="VGR120" s="50"/>
      <c r="VGS120" s="50"/>
      <c r="VGT120" s="50"/>
      <c r="VGU120" s="50"/>
      <c r="VGV120" s="50"/>
      <c r="VGW120" s="50"/>
      <c r="VGX120" s="50"/>
      <c r="VGY120" s="50"/>
      <c r="VGZ120" s="50"/>
      <c r="VHA120" s="50"/>
      <c r="VHB120" s="50"/>
      <c r="VHC120" s="50"/>
      <c r="VHD120" s="50"/>
      <c r="VHE120" s="50"/>
      <c r="VHF120" s="50"/>
      <c r="VHG120" s="50"/>
      <c r="VHH120" s="50"/>
      <c r="VHI120" s="50"/>
      <c r="VHJ120" s="50"/>
      <c r="VHK120" s="50"/>
      <c r="VHL120" s="50"/>
      <c r="VHM120" s="50"/>
      <c r="VHN120" s="50"/>
      <c r="VHO120" s="50"/>
      <c r="VHP120" s="50"/>
      <c r="VHQ120" s="50"/>
      <c r="VHR120" s="50"/>
      <c r="VHS120" s="50"/>
      <c r="VHT120" s="50"/>
      <c r="VHU120" s="50"/>
      <c r="VHV120" s="50"/>
      <c r="VHW120" s="50"/>
      <c r="VHX120" s="50"/>
      <c r="VHY120" s="50"/>
      <c r="VHZ120" s="50"/>
      <c r="VIA120" s="50"/>
      <c r="VIB120" s="50"/>
      <c r="VIC120" s="50"/>
      <c r="VID120" s="50"/>
      <c r="VIE120" s="50"/>
      <c r="VIF120" s="50"/>
      <c r="VIG120" s="50"/>
      <c r="VIH120" s="50"/>
      <c r="VII120" s="50"/>
      <c r="VIJ120" s="50"/>
      <c r="VIK120" s="50"/>
      <c r="VIL120" s="50"/>
      <c r="VIM120" s="50"/>
      <c r="VIN120" s="50"/>
      <c r="VIO120" s="50"/>
      <c r="VIP120" s="50"/>
      <c r="VIQ120" s="50"/>
      <c r="VIR120" s="50"/>
      <c r="VIS120" s="50"/>
      <c r="VIT120" s="50"/>
      <c r="VIU120" s="50"/>
      <c r="VIV120" s="50"/>
      <c r="VIW120" s="50"/>
      <c r="VIX120" s="50"/>
      <c r="VIY120" s="50"/>
      <c r="VIZ120" s="50"/>
      <c r="VJA120" s="50"/>
      <c r="VJB120" s="50"/>
      <c r="VJC120" s="50"/>
      <c r="VJD120" s="50"/>
      <c r="VJE120" s="50"/>
      <c r="VJF120" s="50"/>
      <c r="VJG120" s="50"/>
      <c r="VJH120" s="50"/>
      <c r="VJI120" s="50"/>
      <c r="VJJ120" s="50"/>
      <c r="VJK120" s="50"/>
      <c r="VJL120" s="50"/>
      <c r="VJM120" s="50"/>
      <c r="VJN120" s="50"/>
      <c r="VJO120" s="50"/>
      <c r="VJP120" s="50"/>
      <c r="VJQ120" s="50"/>
      <c r="VJR120" s="50"/>
      <c r="VJS120" s="50"/>
      <c r="VJT120" s="50"/>
      <c r="VJU120" s="50"/>
      <c r="VJV120" s="50"/>
      <c r="VJW120" s="50"/>
      <c r="VJX120" s="50"/>
      <c r="VJY120" s="50"/>
      <c r="VJZ120" s="50"/>
      <c r="VKA120" s="50"/>
      <c r="VKB120" s="50"/>
      <c r="VKC120" s="50"/>
      <c r="VKD120" s="50"/>
      <c r="VKE120" s="50"/>
      <c r="VKF120" s="50"/>
      <c r="VKG120" s="50"/>
      <c r="VKH120" s="50"/>
      <c r="VKI120" s="50"/>
      <c r="VKJ120" s="50"/>
      <c r="VKK120" s="50"/>
      <c r="VKL120" s="50"/>
      <c r="VKM120" s="50"/>
      <c r="VKN120" s="50"/>
      <c r="VKO120" s="50"/>
      <c r="VKP120" s="50"/>
      <c r="VKQ120" s="50"/>
      <c r="VKR120" s="50"/>
      <c r="VKS120" s="50"/>
      <c r="VKT120" s="50"/>
      <c r="VKU120" s="50"/>
      <c r="VKV120" s="50"/>
      <c r="VKW120" s="50"/>
      <c r="VKX120" s="50"/>
      <c r="VKY120" s="50"/>
      <c r="VKZ120" s="50"/>
      <c r="VLA120" s="50"/>
      <c r="VLB120" s="50"/>
      <c r="VLC120" s="50"/>
      <c r="VLD120" s="50"/>
      <c r="VLE120" s="50"/>
      <c r="VLF120" s="50"/>
      <c r="VLG120" s="50"/>
      <c r="VLH120" s="50"/>
      <c r="VLI120" s="50"/>
      <c r="VLJ120" s="50"/>
      <c r="VLK120" s="50"/>
      <c r="VLL120" s="50"/>
      <c r="VLM120" s="50"/>
      <c r="VLN120" s="50"/>
      <c r="VLO120" s="50"/>
      <c r="VLP120" s="50"/>
      <c r="VLQ120" s="50"/>
      <c r="VLR120" s="50"/>
      <c r="VLS120" s="50"/>
      <c r="VLT120" s="50"/>
      <c r="VLU120" s="50"/>
      <c r="VLV120" s="50"/>
      <c r="VLW120" s="50"/>
      <c r="VLX120" s="50"/>
      <c r="VLY120" s="50"/>
      <c r="VLZ120" s="50"/>
      <c r="VMA120" s="50"/>
      <c r="VMB120" s="50"/>
      <c r="VMC120" s="50"/>
      <c r="VMD120" s="50"/>
      <c r="VME120" s="50"/>
      <c r="VMF120" s="50"/>
      <c r="VMG120" s="50"/>
      <c r="VMH120" s="50"/>
      <c r="VMI120" s="50"/>
      <c r="VMJ120" s="50"/>
      <c r="VMK120" s="50"/>
      <c r="VML120" s="50"/>
      <c r="VMM120" s="50"/>
      <c r="VMN120" s="50"/>
      <c r="VMO120" s="50"/>
      <c r="VMP120" s="50"/>
      <c r="VMQ120" s="50"/>
      <c r="VMR120" s="50"/>
      <c r="VMS120" s="50"/>
      <c r="VMT120" s="50"/>
      <c r="VMU120" s="50"/>
      <c r="VMV120" s="50"/>
      <c r="VMW120" s="50"/>
      <c r="VMX120" s="50"/>
      <c r="VMY120" s="50"/>
      <c r="VMZ120" s="50"/>
      <c r="VNA120" s="50"/>
      <c r="VNB120" s="50"/>
      <c r="VNC120" s="50"/>
      <c r="VND120" s="50"/>
      <c r="VNE120" s="50"/>
      <c r="VNF120" s="50"/>
      <c r="VNG120" s="50"/>
      <c r="VNH120" s="50"/>
      <c r="VNI120" s="50"/>
      <c r="VNJ120" s="50"/>
      <c r="VNK120" s="50"/>
      <c r="VNL120" s="50"/>
      <c r="VNM120" s="50"/>
      <c r="VNN120" s="50"/>
      <c r="VNO120" s="50"/>
      <c r="VNP120" s="50"/>
      <c r="VNQ120" s="50"/>
      <c r="VNR120" s="50"/>
      <c r="VNS120" s="50"/>
      <c r="VNT120" s="50"/>
      <c r="VNU120" s="50"/>
      <c r="VNV120" s="50"/>
      <c r="VNW120" s="50"/>
      <c r="VNX120" s="50"/>
      <c r="VNY120" s="50"/>
      <c r="VNZ120" s="50"/>
      <c r="VOA120" s="50"/>
      <c r="VOB120" s="50"/>
      <c r="VOC120" s="50"/>
      <c r="VOD120" s="50"/>
      <c r="VOE120" s="50"/>
      <c r="VOF120" s="50"/>
      <c r="VOG120" s="50"/>
      <c r="VOH120" s="50"/>
      <c r="VOI120" s="50"/>
      <c r="VOJ120" s="50"/>
      <c r="VOK120" s="50"/>
      <c r="VOL120" s="50"/>
      <c r="VOM120" s="50"/>
      <c r="VON120" s="50"/>
      <c r="VOO120" s="50"/>
      <c r="VOP120" s="50"/>
      <c r="VOQ120" s="50"/>
      <c r="VOR120" s="50"/>
      <c r="VOS120" s="50"/>
      <c r="VOT120" s="50"/>
      <c r="VOU120" s="50"/>
      <c r="VOV120" s="50"/>
      <c r="VOW120" s="50"/>
      <c r="VOX120" s="50"/>
      <c r="VOY120" s="50"/>
      <c r="VOZ120" s="50"/>
      <c r="VPA120" s="50"/>
      <c r="VPB120" s="50"/>
      <c r="VPC120" s="50"/>
      <c r="VPD120" s="50"/>
      <c r="VPE120" s="50"/>
      <c r="VPF120" s="50"/>
      <c r="VPG120" s="50"/>
      <c r="VPH120" s="50"/>
      <c r="VPI120" s="50"/>
      <c r="VPJ120" s="50"/>
      <c r="VPK120" s="50"/>
      <c r="VPL120" s="50"/>
      <c r="VPM120" s="50"/>
      <c r="VPN120" s="50"/>
      <c r="VPO120" s="50"/>
      <c r="VPP120" s="50"/>
      <c r="VPQ120" s="50"/>
      <c r="VPR120" s="50"/>
      <c r="VPS120" s="50"/>
      <c r="VPT120" s="50"/>
      <c r="VPU120" s="50"/>
      <c r="VPV120" s="50"/>
      <c r="VPW120" s="50"/>
      <c r="VPX120" s="50"/>
      <c r="VPY120" s="50"/>
      <c r="VPZ120" s="50"/>
      <c r="VQA120" s="50"/>
      <c r="VQB120" s="50"/>
      <c r="VQC120" s="50"/>
      <c r="VQD120" s="50"/>
      <c r="VQE120" s="50"/>
      <c r="VQF120" s="50"/>
      <c r="VQG120" s="50"/>
      <c r="VQH120" s="50"/>
      <c r="VQI120" s="50"/>
      <c r="VQJ120" s="50"/>
      <c r="VQK120" s="50"/>
      <c r="VQL120" s="50"/>
      <c r="VQM120" s="50"/>
      <c r="VQN120" s="50"/>
      <c r="VQO120" s="50"/>
      <c r="VQP120" s="50"/>
      <c r="VQQ120" s="50"/>
      <c r="VQR120" s="50"/>
      <c r="VQS120" s="50"/>
      <c r="VQT120" s="50"/>
      <c r="VQU120" s="50"/>
      <c r="VQV120" s="50"/>
      <c r="VQW120" s="50"/>
      <c r="VQX120" s="50"/>
      <c r="VQY120" s="50"/>
      <c r="VQZ120" s="50"/>
      <c r="VRA120" s="50"/>
      <c r="VRB120" s="50"/>
      <c r="VRC120" s="50"/>
      <c r="VRD120" s="50"/>
      <c r="VRE120" s="50"/>
      <c r="VRF120" s="50"/>
      <c r="VRG120" s="50"/>
      <c r="VRH120" s="50"/>
      <c r="VRI120" s="50"/>
      <c r="VRJ120" s="50"/>
      <c r="VRK120" s="50"/>
      <c r="VRL120" s="50"/>
      <c r="VRM120" s="50"/>
      <c r="VRN120" s="50"/>
      <c r="VRO120" s="50"/>
      <c r="VRP120" s="50"/>
      <c r="VRQ120" s="50"/>
      <c r="VRR120" s="50"/>
      <c r="VRS120" s="50"/>
      <c r="VRT120" s="50"/>
      <c r="VRU120" s="50"/>
      <c r="VRV120" s="50"/>
      <c r="VRW120" s="50"/>
      <c r="VRX120" s="50"/>
      <c r="VRY120" s="50"/>
      <c r="VRZ120" s="50"/>
      <c r="VSA120" s="50"/>
      <c r="VSB120" s="50"/>
      <c r="VSC120" s="50"/>
      <c r="VSD120" s="50"/>
      <c r="VSE120" s="50"/>
      <c r="VSF120" s="50"/>
      <c r="VSG120" s="50"/>
      <c r="VSH120" s="50"/>
      <c r="VSI120" s="50"/>
      <c r="VSJ120" s="50"/>
      <c r="VSK120" s="50"/>
      <c r="VSL120" s="50"/>
      <c r="VSM120" s="50"/>
      <c r="VSN120" s="50"/>
      <c r="VSO120" s="50"/>
      <c r="VSP120" s="50"/>
      <c r="VSQ120" s="50"/>
      <c r="VSR120" s="50"/>
      <c r="VSS120" s="50"/>
      <c r="VST120" s="50"/>
      <c r="VSU120" s="50"/>
      <c r="VSV120" s="50"/>
      <c r="VSW120" s="50"/>
      <c r="VSX120" s="50"/>
      <c r="VSY120" s="50"/>
      <c r="VSZ120" s="50"/>
      <c r="VTA120" s="50"/>
      <c r="VTB120" s="50"/>
      <c r="VTC120" s="50"/>
      <c r="VTD120" s="50"/>
      <c r="VTE120" s="50"/>
      <c r="VTF120" s="50"/>
      <c r="VTG120" s="50"/>
      <c r="VTH120" s="50"/>
      <c r="VTI120" s="50"/>
      <c r="VTJ120" s="50"/>
      <c r="VTK120" s="50"/>
      <c r="VTL120" s="50"/>
      <c r="VTM120" s="50"/>
      <c r="VTN120" s="50"/>
      <c r="VTO120" s="50"/>
      <c r="VTP120" s="50"/>
      <c r="VTQ120" s="50"/>
      <c r="VTR120" s="50"/>
      <c r="VTS120" s="50"/>
      <c r="VTT120" s="50"/>
      <c r="VTU120" s="50"/>
      <c r="VTV120" s="50"/>
      <c r="VTW120" s="50"/>
      <c r="VTX120" s="50"/>
      <c r="VTY120" s="50"/>
      <c r="VTZ120" s="50"/>
      <c r="VUA120" s="50"/>
      <c r="VUB120" s="50"/>
      <c r="VUC120" s="50"/>
      <c r="VUD120" s="50"/>
      <c r="VUE120" s="50"/>
      <c r="VUF120" s="50"/>
      <c r="VUG120" s="50"/>
      <c r="VUH120" s="50"/>
      <c r="VUI120" s="50"/>
      <c r="VUJ120" s="50"/>
      <c r="VUK120" s="50"/>
      <c r="VUL120" s="50"/>
      <c r="VUM120" s="50"/>
      <c r="VUN120" s="50"/>
      <c r="VUO120" s="50"/>
      <c r="VUP120" s="50"/>
      <c r="VUQ120" s="50"/>
      <c r="VUR120" s="50"/>
      <c r="VUS120" s="50"/>
      <c r="VUT120" s="50"/>
      <c r="VUU120" s="50"/>
      <c r="VUV120" s="50"/>
      <c r="VUW120" s="50"/>
      <c r="VUX120" s="50"/>
      <c r="VUY120" s="50"/>
      <c r="VUZ120" s="50"/>
      <c r="VVA120" s="50"/>
      <c r="VVB120" s="50"/>
      <c r="VVC120" s="50"/>
      <c r="VVD120" s="50"/>
      <c r="VVE120" s="50"/>
      <c r="VVF120" s="50"/>
      <c r="VVG120" s="50"/>
      <c r="VVH120" s="50"/>
      <c r="VVI120" s="50"/>
      <c r="VVJ120" s="50"/>
      <c r="VVK120" s="50"/>
      <c r="VVL120" s="50"/>
      <c r="VVM120" s="50"/>
      <c r="VVN120" s="50"/>
      <c r="VVO120" s="50"/>
      <c r="VVP120" s="50"/>
    </row>
    <row r="121" spans="3:102 15068:15460" s="1" customFormat="1" hidden="1" x14ac:dyDescent="0.25">
      <c r="C121" s="15"/>
      <c r="D121" s="30" t="s">
        <v>29</v>
      </c>
      <c r="E121" s="69"/>
      <c r="F121" s="1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N121" s="72" t="s">
        <v>29</v>
      </c>
      <c r="CX121" s="152"/>
    </row>
    <row r="122" spans="3:102 15068:15460" s="1" customFormat="1" hidden="1" x14ac:dyDescent="0.25">
      <c r="C122" s="15"/>
      <c r="D122" s="11" t="s">
        <v>45</v>
      </c>
      <c r="E122" s="136">
        <v>0.3</v>
      </c>
      <c r="F122" s="20" t="s">
        <v>25</v>
      </c>
      <c r="G122" s="34" t="e">
        <v>#DIV/0!</v>
      </c>
      <c r="H122" s="34" t="e">
        <v>#DIV/0!</v>
      </c>
      <c r="I122" s="34" t="e">
        <v>#DIV/0!</v>
      </c>
      <c r="J122" s="34" t="e">
        <v>#DIV/0!</v>
      </c>
      <c r="K122" s="34" t="e">
        <v>#DIV/0!</v>
      </c>
      <c r="L122" s="34" t="e">
        <v>#DIV/0!</v>
      </c>
      <c r="M122" s="34" t="e">
        <v>#DIV/0!</v>
      </c>
      <c r="N122" s="34" t="e">
        <v>#DIV/0!</v>
      </c>
      <c r="O122" s="34" t="e">
        <v>#DIV/0!</v>
      </c>
      <c r="P122" s="34" t="e">
        <v>#DIV/0!</v>
      </c>
      <c r="Q122" s="34" t="e">
        <v>#DIV/0!</v>
      </c>
      <c r="R122" s="34" t="e">
        <v>#DIV/0!</v>
      </c>
      <c r="S122" s="34" t="e">
        <v>#DIV/0!</v>
      </c>
      <c r="T122" s="34" t="e">
        <v>#DIV/0!</v>
      </c>
      <c r="U122" s="34" t="e">
        <v>#DIV/0!</v>
      </c>
      <c r="V122" s="34" t="e">
        <v>#DIV/0!</v>
      </c>
      <c r="W122" s="34" t="e">
        <v>#DIV/0!</v>
      </c>
      <c r="X122" s="34" t="e">
        <v>#DIV/0!</v>
      </c>
      <c r="Y122" s="34" t="e">
        <v>#DIV/0!</v>
      </c>
      <c r="Z122" s="34" t="e">
        <v>#DIV/0!</v>
      </c>
      <c r="AA122" s="34" t="e">
        <v>#DIV/0!</v>
      </c>
      <c r="AB122" s="34" t="e">
        <v>#DIV/0!</v>
      </c>
      <c r="AC122" s="34" t="e">
        <v>#DIV/0!</v>
      </c>
      <c r="AD122" s="34" t="e">
        <v>#DIV/0!</v>
      </c>
      <c r="AE122" s="34" t="e">
        <v>#DIV/0!</v>
      </c>
      <c r="AF122" s="34" t="e">
        <v>#DIV/0!</v>
      </c>
      <c r="AG122" s="34" t="e">
        <v>#DIV/0!</v>
      </c>
      <c r="AH122" s="34" t="e">
        <v>#DIV/0!</v>
      </c>
      <c r="AI122" s="34" t="e">
        <v>#DIV/0!</v>
      </c>
      <c r="AJ122" s="34"/>
      <c r="AK122" s="34"/>
      <c r="AL122" s="34" t="e">
        <v>#DIV/0!</v>
      </c>
      <c r="AN122" s="67" t="e">
        <v>#DIV/0!</v>
      </c>
      <c r="CX122" s="152"/>
    </row>
    <row r="123" spans="3:102 15068:15460" s="1" customFormat="1" hidden="1" x14ac:dyDescent="0.25">
      <c r="C123" s="15"/>
      <c r="D123" s="11" t="s">
        <v>44</v>
      </c>
      <c r="E123" s="136">
        <v>0.3</v>
      </c>
      <c r="F123" s="20" t="s">
        <v>25</v>
      </c>
      <c r="G123" s="34" t="e">
        <v>#DIV/0!</v>
      </c>
      <c r="H123" s="34" t="e">
        <v>#DIV/0!</v>
      </c>
      <c r="I123" s="34" t="e">
        <v>#DIV/0!</v>
      </c>
      <c r="J123" s="34" t="e">
        <v>#DIV/0!</v>
      </c>
      <c r="K123" s="34" t="e">
        <v>#DIV/0!</v>
      </c>
      <c r="L123" s="34" t="e">
        <v>#DIV/0!</v>
      </c>
      <c r="M123" s="34" t="e">
        <v>#DIV/0!</v>
      </c>
      <c r="N123" s="34" t="e">
        <v>#DIV/0!</v>
      </c>
      <c r="O123" s="34" t="e">
        <v>#DIV/0!</v>
      </c>
      <c r="P123" s="34" t="e">
        <v>#DIV/0!</v>
      </c>
      <c r="Q123" s="34" t="e">
        <v>#DIV/0!</v>
      </c>
      <c r="R123" s="34" t="e">
        <v>#DIV/0!</v>
      </c>
      <c r="S123" s="34" t="e">
        <v>#DIV/0!</v>
      </c>
      <c r="T123" s="34" t="e">
        <v>#DIV/0!</v>
      </c>
      <c r="U123" s="34" t="e">
        <v>#DIV/0!</v>
      </c>
      <c r="V123" s="34" t="e">
        <v>#DIV/0!</v>
      </c>
      <c r="W123" s="34" t="e">
        <v>#DIV/0!</v>
      </c>
      <c r="X123" s="34" t="e">
        <v>#DIV/0!</v>
      </c>
      <c r="Y123" s="34" t="e">
        <v>#DIV/0!</v>
      </c>
      <c r="Z123" s="34" t="e">
        <v>#DIV/0!</v>
      </c>
      <c r="AA123" s="34" t="e">
        <v>#DIV/0!</v>
      </c>
      <c r="AB123" s="34" t="e">
        <v>#DIV/0!</v>
      </c>
      <c r="AC123" s="34" t="e">
        <v>#DIV/0!</v>
      </c>
      <c r="AD123" s="34" t="e">
        <v>#DIV/0!</v>
      </c>
      <c r="AE123" s="34" t="e">
        <v>#DIV/0!</v>
      </c>
      <c r="AF123" s="34" t="e">
        <v>#DIV/0!</v>
      </c>
      <c r="AG123" s="34" t="e">
        <v>#DIV/0!</v>
      </c>
      <c r="AH123" s="34" t="e">
        <v>#DIV/0!</v>
      </c>
      <c r="AI123" s="34" t="e">
        <v>#DIV/0!</v>
      </c>
      <c r="AJ123" s="34"/>
      <c r="AK123" s="34"/>
      <c r="AL123" s="34" t="e">
        <v>#DIV/0!</v>
      </c>
      <c r="AN123" s="67" t="e">
        <v>#DIV/0!</v>
      </c>
      <c r="CX123" s="152"/>
    </row>
    <row r="124" spans="3:102 15068:15460" s="1" customFormat="1" hidden="1" x14ac:dyDescent="0.25">
      <c r="C124" s="15"/>
      <c r="D124" s="30" t="s">
        <v>28</v>
      </c>
      <c r="E124" s="136"/>
      <c r="F124" s="13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N124" s="72" t="s">
        <v>28</v>
      </c>
      <c r="CX124" s="152"/>
    </row>
    <row r="125" spans="3:102 15068:15460" s="1" customFormat="1" hidden="1" x14ac:dyDescent="0.25">
      <c r="C125" s="15"/>
      <c r="D125" s="11" t="s">
        <v>45</v>
      </c>
      <c r="E125" s="136">
        <v>0.5</v>
      </c>
      <c r="F125" s="20" t="s">
        <v>25</v>
      </c>
      <c r="G125" s="34" t="e">
        <v>#DIV/0!</v>
      </c>
      <c r="H125" s="34" t="e">
        <v>#DIV/0!</v>
      </c>
      <c r="I125" s="34" t="e">
        <v>#DIV/0!</v>
      </c>
      <c r="J125" s="34" t="e">
        <v>#DIV/0!</v>
      </c>
      <c r="K125" s="34" t="e">
        <v>#DIV/0!</v>
      </c>
      <c r="L125" s="34" t="e">
        <v>#DIV/0!</v>
      </c>
      <c r="M125" s="34" t="e">
        <v>#DIV/0!</v>
      </c>
      <c r="N125" s="34" t="e">
        <v>#DIV/0!</v>
      </c>
      <c r="O125" s="34" t="e">
        <v>#DIV/0!</v>
      </c>
      <c r="P125" s="34" t="e">
        <v>#DIV/0!</v>
      </c>
      <c r="Q125" s="34" t="e">
        <v>#DIV/0!</v>
      </c>
      <c r="R125" s="34" t="e">
        <v>#DIV/0!</v>
      </c>
      <c r="S125" s="34" t="e">
        <v>#DIV/0!</v>
      </c>
      <c r="T125" s="34" t="e">
        <v>#DIV/0!</v>
      </c>
      <c r="U125" s="34" t="e">
        <v>#DIV/0!</v>
      </c>
      <c r="V125" s="34" t="e">
        <v>#DIV/0!</v>
      </c>
      <c r="W125" s="34" t="e">
        <v>#DIV/0!</v>
      </c>
      <c r="X125" s="34" t="e">
        <v>#DIV/0!</v>
      </c>
      <c r="Y125" s="34" t="e">
        <v>#DIV/0!</v>
      </c>
      <c r="Z125" s="34" t="e">
        <v>#DIV/0!</v>
      </c>
      <c r="AA125" s="34" t="e">
        <v>#DIV/0!</v>
      </c>
      <c r="AB125" s="34" t="e">
        <v>#DIV/0!</v>
      </c>
      <c r="AC125" s="34" t="e">
        <v>#DIV/0!</v>
      </c>
      <c r="AD125" s="34" t="e">
        <v>#DIV/0!</v>
      </c>
      <c r="AE125" s="34" t="e">
        <v>#DIV/0!</v>
      </c>
      <c r="AF125" s="34" t="e">
        <v>#DIV/0!</v>
      </c>
      <c r="AG125" s="34" t="e">
        <v>#DIV/0!</v>
      </c>
      <c r="AH125" s="34" t="e">
        <v>#DIV/0!</v>
      </c>
      <c r="AI125" s="34" t="e">
        <v>#DIV/0!</v>
      </c>
      <c r="AJ125" s="34"/>
      <c r="AK125" s="34"/>
      <c r="AL125" s="34" t="e">
        <v>#DIV/0!</v>
      </c>
      <c r="AN125" s="67" t="e">
        <v>#DIV/0!</v>
      </c>
      <c r="CX125" s="152"/>
    </row>
    <row r="126" spans="3:102 15068:15460" s="1" customFormat="1" hidden="1" x14ac:dyDescent="0.25">
      <c r="C126" s="15"/>
      <c r="D126" s="11" t="s">
        <v>44</v>
      </c>
      <c r="E126" s="136">
        <v>0.5</v>
      </c>
      <c r="F126" s="20" t="s">
        <v>25</v>
      </c>
      <c r="G126" s="34" t="e">
        <v>#DIV/0!</v>
      </c>
      <c r="H126" s="34" t="e">
        <v>#DIV/0!</v>
      </c>
      <c r="I126" s="34" t="e">
        <v>#DIV/0!</v>
      </c>
      <c r="J126" s="34" t="e">
        <v>#DIV/0!</v>
      </c>
      <c r="K126" s="34" t="e">
        <v>#DIV/0!</v>
      </c>
      <c r="L126" s="34" t="e">
        <v>#DIV/0!</v>
      </c>
      <c r="M126" s="34" t="e">
        <v>#DIV/0!</v>
      </c>
      <c r="N126" s="34" t="e">
        <v>#DIV/0!</v>
      </c>
      <c r="O126" s="34" t="e">
        <v>#DIV/0!</v>
      </c>
      <c r="P126" s="34" t="e">
        <v>#DIV/0!</v>
      </c>
      <c r="Q126" s="34" t="e">
        <v>#DIV/0!</v>
      </c>
      <c r="R126" s="34" t="e">
        <v>#DIV/0!</v>
      </c>
      <c r="S126" s="34" t="e">
        <v>#DIV/0!</v>
      </c>
      <c r="T126" s="34" t="e">
        <v>#DIV/0!</v>
      </c>
      <c r="U126" s="34" t="e">
        <v>#DIV/0!</v>
      </c>
      <c r="V126" s="34" t="e">
        <v>#DIV/0!</v>
      </c>
      <c r="W126" s="34" t="e">
        <v>#DIV/0!</v>
      </c>
      <c r="X126" s="34" t="e">
        <v>#DIV/0!</v>
      </c>
      <c r="Y126" s="34" t="e">
        <v>#DIV/0!</v>
      </c>
      <c r="Z126" s="34" t="e">
        <v>#DIV/0!</v>
      </c>
      <c r="AA126" s="34" t="e">
        <v>#DIV/0!</v>
      </c>
      <c r="AB126" s="34" t="e">
        <v>#DIV/0!</v>
      </c>
      <c r="AC126" s="34" t="e">
        <v>#DIV/0!</v>
      </c>
      <c r="AD126" s="34" t="e">
        <v>#DIV/0!</v>
      </c>
      <c r="AE126" s="34" t="e">
        <v>#DIV/0!</v>
      </c>
      <c r="AF126" s="34" t="e">
        <v>#DIV/0!</v>
      </c>
      <c r="AG126" s="34" t="e">
        <v>#DIV/0!</v>
      </c>
      <c r="AH126" s="34" t="e">
        <v>#DIV/0!</v>
      </c>
      <c r="AI126" s="34" t="e">
        <v>#DIV/0!</v>
      </c>
      <c r="AJ126" s="34"/>
      <c r="AK126" s="34"/>
      <c r="AL126" s="34" t="e">
        <v>#DIV/0!</v>
      </c>
      <c r="AN126" s="67" t="e">
        <v>#DIV/0!</v>
      </c>
      <c r="CX126" s="152"/>
    </row>
    <row r="127" spans="3:102 15068:15460" s="1" customFormat="1" hidden="1" x14ac:dyDescent="0.25">
      <c r="C127" s="15"/>
      <c r="D127" s="53" t="s">
        <v>43</v>
      </c>
      <c r="E127" s="137"/>
      <c r="F127" s="101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  <c r="AD127" s="302"/>
      <c r="AE127" s="302"/>
      <c r="AF127" s="302"/>
      <c r="AG127" s="302"/>
      <c r="AH127" s="302"/>
      <c r="AI127" s="302"/>
      <c r="AJ127" s="302"/>
      <c r="AK127" s="302"/>
      <c r="AL127" s="302"/>
      <c r="AM127" s="35"/>
      <c r="AN127" s="87" t="s">
        <v>131</v>
      </c>
    </row>
    <row r="128" spans="3:102 15068:15460" s="1" customFormat="1" hidden="1" x14ac:dyDescent="0.25">
      <c r="C128" s="15"/>
      <c r="D128" s="28" t="s">
        <v>115</v>
      </c>
      <c r="E128" s="136"/>
      <c r="F128" s="20" t="s">
        <v>14</v>
      </c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36"/>
      <c r="AN128" s="98">
        <v>0</v>
      </c>
    </row>
    <row r="129" spans="3:40" s="1" customFormat="1" hidden="1" x14ac:dyDescent="0.25">
      <c r="C129" s="15"/>
      <c r="D129" s="28" t="s">
        <v>116</v>
      </c>
      <c r="E129" s="136"/>
      <c r="F129" s="20" t="s">
        <v>14</v>
      </c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7"/>
      <c r="AN129" s="102">
        <v>0</v>
      </c>
    </row>
    <row r="130" spans="3:40" s="1" customFormat="1" hidden="1" x14ac:dyDescent="0.25">
      <c r="C130" s="15"/>
      <c r="D130" s="30" t="s">
        <v>39</v>
      </c>
      <c r="E130" s="136"/>
      <c r="F130" s="20" t="s">
        <v>14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4">
        <v>0</v>
      </c>
      <c r="U130" s="34">
        <v>0</v>
      </c>
      <c r="V130" s="34">
        <v>0</v>
      </c>
      <c r="W130" s="34">
        <v>0</v>
      </c>
      <c r="X130" s="34">
        <v>0</v>
      </c>
      <c r="Y130" s="34">
        <v>0</v>
      </c>
      <c r="Z130" s="34">
        <v>0</v>
      </c>
      <c r="AA130" s="34">
        <v>0</v>
      </c>
      <c r="AB130" s="34">
        <v>0</v>
      </c>
      <c r="AC130" s="34">
        <v>0</v>
      </c>
      <c r="AD130" s="34">
        <v>0</v>
      </c>
      <c r="AE130" s="34">
        <v>0</v>
      </c>
      <c r="AF130" s="34">
        <v>0</v>
      </c>
      <c r="AG130" s="34">
        <v>0</v>
      </c>
      <c r="AH130" s="34">
        <v>0</v>
      </c>
      <c r="AI130" s="34">
        <v>0</v>
      </c>
      <c r="AJ130" s="34"/>
      <c r="AK130" s="34"/>
      <c r="AL130" s="34">
        <v>0</v>
      </c>
      <c r="AM130" s="18"/>
      <c r="AN130" s="67">
        <v>0</v>
      </c>
    </row>
    <row r="131" spans="3:40" s="1" customFormat="1" hidden="1" x14ac:dyDescent="0.25">
      <c r="C131" s="15"/>
      <c r="D131" s="30" t="s">
        <v>38</v>
      </c>
      <c r="E131" s="136"/>
      <c r="F131" s="20" t="s">
        <v>14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4">
        <v>0</v>
      </c>
      <c r="U131" s="34">
        <v>0</v>
      </c>
      <c r="V131" s="34">
        <v>0</v>
      </c>
      <c r="W131" s="34">
        <v>0</v>
      </c>
      <c r="X131" s="34">
        <v>0</v>
      </c>
      <c r="Y131" s="34">
        <v>0</v>
      </c>
      <c r="Z131" s="34">
        <v>0</v>
      </c>
      <c r="AA131" s="34">
        <v>0</v>
      </c>
      <c r="AB131" s="34">
        <v>0</v>
      </c>
      <c r="AC131" s="34">
        <v>0</v>
      </c>
      <c r="AD131" s="34">
        <v>0</v>
      </c>
      <c r="AE131" s="34">
        <v>0</v>
      </c>
      <c r="AF131" s="34">
        <v>0</v>
      </c>
      <c r="AG131" s="34">
        <v>0</v>
      </c>
      <c r="AH131" s="34">
        <v>0</v>
      </c>
      <c r="AI131" s="34">
        <v>0</v>
      </c>
      <c r="AJ131" s="34"/>
      <c r="AK131" s="34"/>
      <c r="AL131" s="34">
        <v>0</v>
      </c>
      <c r="AM131" s="18"/>
      <c r="AN131" s="67">
        <v>0</v>
      </c>
    </row>
    <row r="132" spans="3:40" s="1" customFormat="1" hidden="1" x14ac:dyDescent="0.25">
      <c r="C132" s="15"/>
      <c r="D132" s="30" t="s">
        <v>29</v>
      </c>
      <c r="E132" s="136"/>
      <c r="F132" s="1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6"/>
      <c r="AN132" s="72" t="s">
        <v>29</v>
      </c>
    </row>
    <row r="133" spans="3:40" s="1" customFormat="1" hidden="1" x14ac:dyDescent="0.2">
      <c r="C133" s="15"/>
      <c r="D133" s="11" t="s">
        <v>42</v>
      </c>
      <c r="E133" s="136"/>
      <c r="F133" s="32" t="s">
        <v>31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8"/>
      <c r="AN133" s="100">
        <v>0</v>
      </c>
    </row>
    <row r="134" spans="3:40" s="1" customFormat="1" hidden="1" x14ac:dyDescent="0.2">
      <c r="C134" s="15"/>
      <c r="D134" s="11" t="s">
        <v>41</v>
      </c>
      <c r="E134" s="136"/>
      <c r="F134" s="32" t="s">
        <v>31</v>
      </c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8"/>
      <c r="AN134" s="100">
        <v>0</v>
      </c>
    </row>
    <row r="135" spans="3:40" s="1" customFormat="1" hidden="1" x14ac:dyDescent="0.25">
      <c r="C135" s="15"/>
      <c r="D135" s="30" t="s">
        <v>28</v>
      </c>
      <c r="E135" s="136"/>
      <c r="F135" s="1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6"/>
      <c r="AN135" s="72" t="s">
        <v>28</v>
      </c>
    </row>
    <row r="136" spans="3:40" s="1" customFormat="1" hidden="1" x14ac:dyDescent="0.25">
      <c r="C136" s="15"/>
      <c r="D136" s="11" t="s">
        <v>42</v>
      </c>
      <c r="E136" s="136"/>
      <c r="F136" s="20" t="s">
        <v>28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33">
        <v>0</v>
      </c>
      <c r="T136" s="33">
        <v>0</v>
      </c>
      <c r="U136" s="33">
        <v>0</v>
      </c>
      <c r="V136" s="33">
        <v>0</v>
      </c>
      <c r="W136" s="33">
        <v>0</v>
      </c>
      <c r="X136" s="33">
        <v>0</v>
      </c>
      <c r="Y136" s="33">
        <v>0</v>
      </c>
      <c r="Z136" s="33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3">
        <v>0</v>
      </c>
      <c r="AH136" s="33">
        <v>0</v>
      </c>
      <c r="AI136" s="33">
        <v>0</v>
      </c>
      <c r="AJ136" s="33"/>
      <c r="AK136" s="33"/>
      <c r="AL136" s="33">
        <v>0</v>
      </c>
      <c r="AM136" s="6"/>
      <c r="AN136" s="63">
        <v>0</v>
      </c>
    </row>
    <row r="137" spans="3:40" s="1" customFormat="1" hidden="1" x14ac:dyDescent="0.25">
      <c r="C137" s="15"/>
      <c r="D137" s="11" t="s">
        <v>41</v>
      </c>
      <c r="E137" s="136"/>
      <c r="F137" s="20" t="s">
        <v>28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0</v>
      </c>
      <c r="Z137" s="33">
        <v>0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33">
        <v>0</v>
      </c>
      <c r="AG137" s="33">
        <v>0</v>
      </c>
      <c r="AH137" s="33">
        <v>0</v>
      </c>
      <c r="AI137" s="33">
        <v>0</v>
      </c>
      <c r="AJ137" s="33"/>
      <c r="AK137" s="33"/>
      <c r="AL137" s="33">
        <v>0</v>
      </c>
      <c r="AM137" s="6"/>
      <c r="AN137" s="63">
        <v>0</v>
      </c>
    </row>
    <row r="138" spans="3:40" s="1" customFormat="1" hidden="1" x14ac:dyDescent="0.25">
      <c r="C138" s="15"/>
      <c r="D138" s="30" t="s">
        <v>36</v>
      </c>
      <c r="E138" s="136"/>
      <c r="F138" s="20" t="s">
        <v>35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  <c r="AH138" s="33">
        <v>0</v>
      </c>
      <c r="AI138" s="33">
        <v>0</v>
      </c>
      <c r="AJ138" s="33"/>
      <c r="AK138" s="33"/>
      <c r="AL138" s="33">
        <v>0</v>
      </c>
      <c r="AM138" s="6"/>
      <c r="AN138" s="63">
        <v>0</v>
      </c>
    </row>
    <row r="139" spans="3:40" s="1" customFormat="1" hidden="1" x14ac:dyDescent="0.25">
      <c r="C139" s="15"/>
      <c r="D139" s="30" t="s">
        <v>34</v>
      </c>
      <c r="E139" s="136"/>
      <c r="F139" s="20" t="s">
        <v>33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>
        <v>0</v>
      </c>
      <c r="AJ139" s="33"/>
      <c r="AK139" s="33"/>
      <c r="AL139" s="33">
        <v>0</v>
      </c>
      <c r="AM139" s="6"/>
      <c r="AN139" s="63">
        <v>0</v>
      </c>
    </row>
    <row r="140" spans="3:40" s="1" customFormat="1" hidden="1" x14ac:dyDescent="0.25">
      <c r="C140" s="15"/>
      <c r="D140" s="53" t="s">
        <v>32</v>
      </c>
      <c r="E140" s="137"/>
      <c r="F140" s="55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35"/>
      <c r="AN140" s="87" t="s">
        <v>132</v>
      </c>
    </row>
    <row r="141" spans="3:40" s="1" customFormat="1" hidden="1" x14ac:dyDescent="0.25">
      <c r="C141" s="15"/>
      <c r="D141" s="30" t="s">
        <v>29</v>
      </c>
      <c r="E141" s="136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18"/>
      <c r="AN141" s="72" t="s">
        <v>29</v>
      </c>
    </row>
    <row r="142" spans="3:40" s="1" customFormat="1" hidden="1" x14ac:dyDescent="0.25">
      <c r="C142" s="15"/>
      <c r="D142" s="11" t="s">
        <v>42</v>
      </c>
      <c r="E142" s="136"/>
      <c r="F142" s="20" t="s">
        <v>31</v>
      </c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18"/>
      <c r="AN142" s="63">
        <v>0</v>
      </c>
    </row>
    <row r="143" spans="3:40" s="1" customFormat="1" hidden="1" x14ac:dyDescent="0.25">
      <c r="C143" s="15"/>
      <c r="D143" s="11" t="s">
        <v>41</v>
      </c>
      <c r="E143" s="136"/>
      <c r="F143" s="20" t="s">
        <v>31</v>
      </c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18"/>
      <c r="AN143" s="63">
        <v>0</v>
      </c>
    </row>
    <row r="144" spans="3:40" s="1" customFormat="1" hidden="1" x14ac:dyDescent="0.25">
      <c r="C144" s="15"/>
      <c r="D144" s="30" t="s">
        <v>28</v>
      </c>
      <c r="E144" s="136"/>
      <c r="F144" s="1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18"/>
      <c r="AN144" s="72" t="s">
        <v>28</v>
      </c>
    </row>
    <row r="145" spans="3:102 15068:15460" s="1" customFormat="1" hidden="1" x14ac:dyDescent="0.25">
      <c r="C145" s="15"/>
      <c r="D145" s="11" t="s">
        <v>42</v>
      </c>
      <c r="E145" s="136"/>
      <c r="F145" s="20" t="s">
        <v>28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0</v>
      </c>
      <c r="Z145" s="33">
        <v>0</v>
      </c>
      <c r="AA145" s="33">
        <v>0</v>
      </c>
      <c r="AB145" s="33">
        <v>0</v>
      </c>
      <c r="AC145" s="33">
        <v>0</v>
      </c>
      <c r="AD145" s="33">
        <v>0</v>
      </c>
      <c r="AE145" s="33">
        <v>0</v>
      </c>
      <c r="AF145" s="33">
        <v>0</v>
      </c>
      <c r="AG145" s="33">
        <v>0</v>
      </c>
      <c r="AH145" s="33">
        <v>0</v>
      </c>
      <c r="AI145" s="33">
        <v>0</v>
      </c>
      <c r="AJ145" s="33"/>
      <c r="AK145" s="33"/>
      <c r="AL145" s="33">
        <v>0</v>
      </c>
      <c r="AM145" s="18"/>
      <c r="AN145" s="63">
        <v>0</v>
      </c>
    </row>
    <row r="146" spans="3:102 15068:15460" s="1" customFormat="1" hidden="1" x14ac:dyDescent="0.25">
      <c r="C146" s="15"/>
      <c r="D146" s="11" t="s">
        <v>41</v>
      </c>
      <c r="E146" s="136"/>
      <c r="F146" s="20" t="s">
        <v>28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  <c r="AC146" s="33">
        <v>0</v>
      </c>
      <c r="AD146" s="33">
        <v>0</v>
      </c>
      <c r="AE146" s="33">
        <v>0</v>
      </c>
      <c r="AF146" s="33">
        <v>0</v>
      </c>
      <c r="AG146" s="33">
        <v>0</v>
      </c>
      <c r="AH146" s="33">
        <v>0</v>
      </c>
      <c r="AI146" s="33">
        <v>0</v>
      </c>
      <c r="AJ146" s="33"/>
      <c r="AK146" s="33"/>
      <c r="AL146" s="33">
        <v>0</v>
      </c>
      <c r="AM146" s="18"/>
      <c r="AN146" s="63">
        <v>0</v>
      </c>
    </row>
    <row r="147" spans="3:102 15068:15460" s="1" customFormat="1" hidden="1" x14ac:dyDescent="0.25">
      <c r="C147" s="15"/>
      <c r="D147" s="53" t="s">
        <v>30</v>
      </c>
      <c r="E147" s="137"/>
      <c r="F147" s="101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35"/>
      <c r="AN147" s="104"/>
    </row>
    <row r="148" spans="3:102 15068:15460" s="1" customFormat="1" hidden="1" x14ac:dyDescent="0.25">
      <c r="C148" s="15"/>
      <c r="D148" s="30" t="s">
        <v>29</v>
      </c>
      <c r="E148" s="136"/>
      <c r="F148" s="20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18"/>
      <c r="AN148" s="63"/>
    </row>
    <row r="149" spans="3:102 15068:15460" s="1" customFormat="1" hidden="1" x14ac:dyDescent="0.25">
      <c r="C149" s="15"/>
      <c r="D149" s="11" t="s">
        <v>42</v>
      </c>
      <c r="E149" s="136"/>
      <c r="F149" s="20" t="s">
        <v>25</v>
      </c>
      <c r="G149" s="33" t="e">
        <v>#DIV/0!</v>
      </c>
      <c r="H149" s="33" t="e">
        <v>#DIV/0!</v>
      </c>
      <c r="I149" s="33" t="e">
        <v>#DIV/0!</v>
      </c>
      <c r="J149" s="33" t="e">
        <v>#DIV/0!</v>
      </c>
      <c r="K149" s="33" t="e">
        <v>#DIV/0!</v>
      </c>
      <c r="L149" s="33" t="e">
        <v>#DIV/0!</v>
      </c>
      <c r="M149" s="33" t="e">
        <v>#DIV/0!</v>
      </c>
      <c r="N149" s="33" t="e">
        <v>#DIV/0!</v>
      </c>
      <c r="O149" s="33" t="e">
        <v>#DIV/0!</v>
      </c>
      <c r="P149" s="33" t="e">
        <v>#DIV/0!</v>
      </c>
      <c r="Q149" s="33" t="e">
        <v>#DIV/0!</v>
      </c>
      <c r="R149" s="33" t="e">
        <v>#DIV/0!</v>
      </c>
      <c r="S149" s="33" t="e">
        <v>#DIV/0!</v>
      </c>
      <c r="T149" s="33" t="e">
        <v>#DIV/0!</v>
      </c>
      <c r="U149" s="33" t="e">
        <v>#DIV/0!</v>
      </c>
      <c r="V149" s="33" t="e">
        <v>#DIV/0!</v>
      </c>
      <c r="W149" s="33" t="e">
        <v>#DIV/0!</v>
      </c>
      <c r="X149" s="33" t="e">
        <v>#DIV/0!</v>
      </c>
      <c r="Y149" s="33" t="e">
        <v>#DIV/0!</v>
      </c>
      <c r="Z149" s="33" t="e">
        <v>#DIV/0!</v>
      </c>
      <c r="AA149" s="33" t="e">
        <v>#DIV/0!</v>
      </c>
      <c r="AB149" s="33" t="e">
        <v>#DIV/0!</v>
      </c>
      <c r="AC149" s="33" t="e">
        <v>#DIV/0!</v>
      </c>
      <c r="AD149" s="33" t="e">
        <v>#DIV/0!</v>
      </c>
      <c r="AE149" s="33" t="e">
        <v>#DIV/0!</v>
      </c>
      <c r="AF149" s="33" t="e">
        <v>#DIV/0!</v>
      </c>
      <c r="AG149" s="33" t="e">
        <v>#DIV/0!</v>
      </c>
      <c r="AH149" s="33" t="e">
        <v>#DIV/0!</v>
      </c>
      <c r="AI149" s="33" t="e">
        <v>#DIV/0!</v>
      </c>
      <c r="AJ149" s="33"/>
      <c r="AK149" s="33"/>
      <c r="AL149" s="33" t="e">
        <v>#DIV/0!</v>
      </c>
      <c r="AM149" s="38"/>
      <c r="AN149" s="63" t="e">
        <v>#DIV/0!</v>
      </c>
    </row>
    <row r="150" spans="3:102 15068:15460" s="1" customFormat="1" hidden="1" x14ac:dyDescent="0.25">
      <c r="C150" s="15"/>
      <c r="D150" s="11" t="s">
        <v>92</v>
      </c>
      <c r="E150" s="136"/>
      <c r="F150" s="20" t="s">
        <v>25</v>
      </c>
      <c r="G150" s="33" t="e">
        <v>#DIV/0!</v>
      </c>
      <c r="H150" s="33" t="e">
        <v>#DIV/0!</v>
      </c>
      <c r="I150" s="33" t="e">
        <v>#DIV/0!</v>
      </c>
      <c r="J150" s="33" t="e">
        <v>#DIV/0!</v>
      </c>
      <c r="K150" s="33" t="e">
        <v>#DIV/0!</v>
      </c>
      <c r="L150" s="33" t="e">
        <v>#DIV/0!</v>
      </c>
      <c r="M150" s="33" t="e">
        <v>#DIV/0!</v>
      </c>
      <c r="N150" s="33" t="e">
        <v>#DIV/0!</v>
      </c>
      <c r="O150" s="33" t="e">
        <v>#DIV/0!</v>
      </c>
      <c r="P150" s="33" t="e">
        <v>#DIV/0!</v>
      </c>
      <c r="Q150" s="33" t="e">
        <v>#DIV/0!</v>
      </c>
      <c r="R150" s="33" t="e">
        <v>#DIV/0!</v>
      </c>
      <c r="S150" s="33" t="e">
        <v>#DIV/0!</v>
      </c>
      <c r="T150" s="33" t="e">
        <v>#DIV/0!</v>
      </c>
      <c r="U150" s="33" t="e">
        <v>#DIV/0!</v>
      </c>
      <c r="V150" s="33" t="e">
        <v>#DIV/0!</v>
      </c>
      <c r="W150" s="33" t="e">
        <v>#DIV/0!</v>
      </c>
      <c r="X150" s="33" t="e">
        <v>#DIV/0!</v>
      </c>
      <c r="Y150" s="33" t="e">
        <v>#DIV/0!</v>
      </c>
      <c r="Z150" s="33" t="e">
        <v>#DIV/0!</v>
      </c>
      <c r="AA150" s="33" t="e">
        <v>#DIV/0!</v>
      </c>
      <c r="AB150" s="33" t="e">
        <v>#DIV/0!</v>
      </c>
      <c r="AC150" s="33" t="e">
        <v>#DIV/0!</v>
      </c>
      <c r="AD150" s="33" t="e">
        <v>#DIV/0!</v>
      </c>
      <c r="AE150" s="33" t="e">
        <v>#DIV/0!</v>
      </c>
      <c r="AF150" s="33" t="e">
        <v>#DIV/0!</v>
      </c>
      <c r="AG150" s="33" t="e">
        <v>#DIV/0!</v>
      </c>
      <c r="AH150" s="33" t="e">
        <v>#DIV/0!</v>
      </c>
      <c r="AI150" s="33" t="e">
        <v>#DIV/0!</v>
      </c>
      <c r="AJ150" s="33"/>
      <c r="AK150" s="33"/>
      <c r="AL150" s="33" t="e">
        <v>#DIV/0!</v>
      </c>
      <c r="AM150" s="38"/>
      <c r="AN150" s="63" t="e">
        <v>#DIV/0!</v>
      </c>
    </row>
    <row r="151" spans="3:102 15068:15460" s="1" customFormat="1" hidden="1" x14ac:dyDescent="0.25">
      <c r="C151" s="15"/>
      <c r="D151" s="30" t="s">
        <v>28</v>
      </c>
      <c r="E151" s="136"/>
      <c r="F151" s="1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8"/>
      <c r="AN151" s="63"/>
    </row>
    <row r="152" spans="3:102 15068:15460" s="1" customFormat="1" hidden="1" x14ac:dyDescent="0.25">
      <c r="C152" s="15"/>
      <c r="D152" s="11" t="s">
        <v>42</v>
      </c>
      <c r="E152" s="136"/>
      <c r="F152" s="20" t="s">
        <v>25</v>
      </c>
      <c r="G152" s="33" t="e">
        <v>#DIV/0!</v>
      </c>
      <c r="H152" s="33" t="e">
        <v>#DIV/0!</v>
      </c>
      <c r="I152" s="33" t="e">
        <v>#DIV/0!</v>
      </c>
      <c r="J152" s="33" t="e">
        <v>#DIV/0!</v>
      </c>
      <c r="K152" s="33" t="e">
        <v>#DIV/0!</v>
      </c>
      <c r="L152" s="33" t="e">
        <v>#DIV/0!</v>
      </c>
      <c r="M152" s="33" t="e">
        <v>#DIV/0!</v>
      </c>
      <c r="N152" s="33" t="e">
        <v>#DIV/0!</v>
      </c>
      <c r="O152" s="33" t="e">
        <v>#DIV/0!</v>
      </c>
      <c r="P152" s="33" t="e">
        <v>#DIV/0!</v>
      </c>
      <c r="Q152" s="33" t="e">
        <v>#DIV/0!</v>
      </c>
      <c r="R152" s="33" t="e">
        <v>#DIV/0!</v>
      </c>
      <c r="S152" s="33" t="e">
        <v>#DIV/0!</v>
      </c>
      <c r="T152" s="33" t="e">
        <v>#DIV/0!</v>
      </c>
      <c r="U152" s="33" t="e">
        <v>#DIV/0!</v>
      </c>
      <c r="V152" s="33" t="e">
        <v>#DIV/0!</v>
      </c>
      <c r="W152" s="33" t="e">
        <v>#DIV/0!</v>
      </c>
      <c r="X152" s="33" t="e">
        <v>#DIV/0!</v>
      </c>
      <c r="Y152" s="33" t="e">
        <v>#DIV/0!</v>
      </c>
      <c r="Z152" s="33" t="e">
        <v>#DIV/0!</v>
      </c>
      <c r="AA152" s="33" t="e">
        <v>#DIV/0!</v>
      </c>
      <c r="AB152" s="33" t="e">
        <v>#DIV/0!</v>
      </c>
      <c r="AC152" s="33" t="e">
        <v>#DIV/0!</v>
      </c>
      <c r="AD152" s="33" t="e">
        <v>#DIV/0!</v>
      </c>
      <c r="AE152" s="33" t="e">
        <v>#DIV/0!</v>
      </c>
      <c r="AF152" s="33" t="e">
        <v>#DIV/0!</v>
      </c>
      <c r="AG152" s="33" t="e">
        <v>#DIV/0!</v>
      </c>
      <c r="AH152" s="33" t="e">
        <v>#DIV/0!</v>
      </c>
      <c r="AI152" s="33" t="e">
        <v>#DIV/0!</v>
      </c>
      <c r="AJ152" s="33"/>
      <c r="AK152" s="33"/>
      <c r="AL152" s="33" t="e">
        <v>#DIV/0!</v>
      </c>
      <c r="AM152" s="38"/>
      <c r="AN152" s="63" t="e">
        <v>#DIV/0!</v>
      </c>
    </row>
    <row r="153" spans="3:102 15068:15460" s="1" customFormat="1" ht="15.75" hidden="1" thickBot="1" x14ac:dyDescent="0.3">
      <c r="C153" s="19"/>
      <c r="D153" s="11" t="s">
        <v>92</v>
      </c>
      <c r="E153" s="136"/>
      <c r="F153" s="20" t="s">
        <v>25</v>
      </c>
      <c r="G153" s="33" t="e">
        <v>#DIV/0!</v>
      </c>
      <c r="H153" s="33" t="e">
        <v>#DIV/0!</v>
      </c>
      <c r="I153" s="33" t="e">
        <v>#DIV/0!</v>
      </c>
      <c r="J153" s="33" t="e">
        <v>#DIV/0!</v>
      </c>
      <c r="K153" s="33" t="e">
        <v>#DIV/0!</v>
      </c>
      <c r="L153" s="33" t="e">
        <v>#DIV/0!</v>
      </c>
      <c r="M153" s="33" t="e">
        <v>#DIV/0!</v>
      </c>
      <c r="N153" s="33" t="e">
        <v>#DIV/0!</v>
      </c>
      <c r="O153" s="33" t="e">
        <v>#DIV/0!</v>
      </c>
      <c r="P153" s="33" t="e">
        <v>#DIV/0!</v>
      </c>
      <c r="Q153" s="33" t="e">
        <v>#DIV/0!</v>
      </c>
      <c r="R153" s="33" t="e">
        <v>#DIV/0!</v>
      </c>
      <c r="S153" s="33" t="e">
        <v>#DIV/0!</v>
      </c>
      <c r="T153" s="33" t="e">
        <v>#DIV/0!</v>
      </c>
      <c r="U153" s="33" t="e">
        <v>#DIV/0!</v>
      </c>
      <c r="V153" s="33" t="e">
        <v>#DIV/0!</v>
      </c>
      <c r="W153" s="33" t="e">
        <v>#DIV/0!</v>
      </c>
      <c r="X153" s="33" t="e">
        <v>#DIV/0!</v>
      </c>
      <c r="Y153" s="33" t="e">
        <v>#DIV/0!</v>
      </c>
      <c r="Z153" s="33" t="e">
        <v>#DIV/0!</v>
      </c>
      <c r="AA153" s="33" t="e">
        <v>#DIV/0!</v>
      </c>
      <c r="AB153" s="33" t="e">
        <v>#DIV/0!</v>
      </c>
      <c r="AC153" s="33" t="e">
        <v>#DIV/0!</v>
      </c>
      <c r="AD153" s="33" t="e">
        <v>#DIV/0!</v>
      </c>
      <c r="AE153" s="33" t="e">
        <v>#DIV/0!</v>
      </c>
      <c r="AF153" s="33" t="e">
        <v>#DIV/0!</v>
      </c>
      <c r="AG153" s="33" t="e">
        <v>#DIV/0!</v>
      </c>
      <c r="AH153" s="33" t="e">
        <v>#DIV/0!</v>
      </c>
      <c r="AI153" s="33" t="e">
        <v>#DIV/0!</v>
      </c>
      <c r="AJ153" s="33"/>
      <c r="AK153" s="33"/>
      <c r="AL153" s="33" t="e">
        <v>#DIV/0!</v>
      </c>
      <c r="AM153" s="38"/>
      <c r="AN153" s="63" t="e">
        <v>#DIV/0!</v>
      </c>
    </row>
    <row r="154" spans="3:102 15068:15460" s="1" customFormat="1" hidden="1" x14ac:dyDescent="0.25">
      <c r="C154" s="8">
        <v>6</v>
      </c>
      <c r="D154" s="53" t="s">
        <v>40</v>
      </c>
      <c r="E154" s="54"/>
      <c r="F154" s="55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3"/>
      <c r="AN154" s="87" t="s">
        <v>131</v>
      </c>
      <c r="CX154" s="151"/>
      <c r="VGN154" s="50"/>
      <c r="VGO154" s="50"/>
      <c r="VGP154" s="50"/>
      <c r="VGQ154" s="50"/>
      <c r="VGR154" s="50"/>
      <c r="VGS154" s="50"/>
      <c r="VGT154" s="50"/>
      <c r="VGU154" s="50"/>
      <c r="VGV154" s="50"/>
      <c r="VGW154" s="50"/>
      <c r="VGX154" s="50"/>
      <c r="VGY154" s="50"/>
      <c r="VGZ154" s="50"/>
      <c r="VHA154" s="50"/>
      <c r="VHB154" s="50"/>
      <c r="VHC154" s="50"/>
      <c r="VHD154" s="50"/>
      <c r="VHE154" s="50"/>
      <c r="VHF154" s="50"/>
      <c r="VHG154" s="50"/>
      <c r="VHH154" s="50"/>
      <c r="VHI154" s="50"/>
      <c r="VHJ154" s="50"/>
      <c r="VHK154" s="50"/>
      <c r="VHL154" s="50"/>
      <c r="VHM154" s="50"/>
      <c r="VHN154" s="50"/>
      <c r="VHO154" s="50"/>
      <c r="VHP154" s="50"/>
      <c r="VHQ154" s="50"/>
      <c r="VHR154" s="50"/>
      <c r="VHS154" s="50"/>
      <c r="VHT154" s="50"/>
      <c r="VHU154" s="50"/>
      <c r="VHV154" s="50"/>
      <c r="VHW154" s="50"/>
      <c r="VHX154" s="50"/>
      <c r="VHY154" s="50"/>
      <c r="VHZ154" s="50"/>
      <c r="VIA154" s="50"/>
      <c r="VIB154" s="50"/>
      <c r="VIC154" s="50"/>
      <c r="VID154" s="50"/>
      <c r="VIE154" s="50"/>
      <c r="VIF154" s="50"/>
      <c r="VIG154" s="50"/>
      <c r="VIH154" s="50"/>
      <c r="VII154" s="50"/>
      <c r="VIJ154" s="50"/>
      <c r="VIK154" s="50"/>
      <c r="VIL154" s="50"/>
      <c r="VIM154" s="50"/>
      <c r="VIN154" s="50"/>
      <c r="VIO154" s="50"/>
      <c r="VIP154" s="50"/>
      <c r="VIQ154" s="50"/>
      <c r="VIR154" s="50"/>
      <c r="VIS154" s="50"/>
      <c r="VIT154" s="50"/>
      <c r="VIU154" s="50"/>
      <c r="VIV154" s="50"/>
      <c r="VIW154" s="50"/>
      <c r="VIX154" s="50"/>
      <c r="VIY154" s="50"/>
      <c r="VIZ154" s="50"/>
      <c r="VJA154" s="50"/>
      <c r="VJB154" s="50"/>
      <c r="VJC154" s="50"/>
      <c r="VJD154" s="50"/>
      <c r="VJE154" s="50"/>
      <c r="VJF154" s="50"/>
      <c r="VJG154" s="50"/>
      <c r="VJH154" s="50"/>
      <c r="VJI154" s="50"/>
      <c r="VJJ154" s="50"/>
      <c r="VJK154" s="50"/>
      <c r="VJL154" s="50"/>
      <c r="VJM154" s="50"/>
      <c r="VJN154" s="50"/>
      <c r="VJO154" s="50"/>
      <c r="VJP154" s="50"/>
      <c r="VJQ154" s="50"/>
      <c r="VJR154" s="50"/>
      <c r="VJS154" s="50"/>
      <c r="VJT154" s="50"/>
      <c r="VJU154" s="50"/>
      <c r="VJV154" s="50"/>
      <c r="VJW154" s="50"/>
      <c r="VJX154" s="50"/>
      <c r="VJY154" s="50"/>
      <c r="VJZ154" s="50"/>
      <c r="VKA154" s="50"/>
      <c r="VKB154" s="50"/>
      <c r="VKC154" s="50"/>
      <c r="VKD154" s="50"/>
      <c r="VKE154" s="50"/>
      <c r="VKF154" s="50"/>
      <c r="VKG154" s="50"/>
      <c r="VKH154" s="50"/>
      <c r="VKI154" s="50"/>
      <c r="VKJ154" s="50"/>
      <c r="VKK154" s="50"/>
      <c r="VKL154" s="50"/>
      <c r="VKM154" s="50"/>
      <c r="VKN154" s="50"/>
      <c r="VKO154" s="50"/>
      <c r="VKP154" s="50"/>
      <c r="VKQ154" s="50"/>
      <c r="VKR154" s="50"/>
      <c r="VKS154" s="50"/>
      <c r="VKT154" s="50"/>
      <c r="VKU154" s="50"/>
      <c r="VKV154" s="50"/>
      <c r="VKW154" s="50"/>
      <c r="VKX154" s="50"/>
      <c r="VKY154" s="50"/>
      <c r="VKZ154" s="50"/>
      <c r="VLA154" s="50"/>
      <c r="VLB154" s="50"/>
      <c r="VLC154" s="50"/>
      <c r="VLD154" s="50"/>
      <c r="VLE154" s="50"/>
      <c r="VLF154" s="50"/>
      <c r="VLG154" s="50"/>
      <c r="VLH154" s="50"/>
      <c r="VLI154" s="50"/>
      <c r="VLJ154" s="50"/>
      <c r="VLK154" s="50"/>
      <c r="VLL154" s="50"/>
      <c r="VLM154" s="50"/>
      <c r="VLN154" s="50"/>
      <c r="VLO154" s="50"/>
      <c r="VLP154" s="50"/>
      <c r="VLQ154" s="50"/>
      <c r="VLR154" s="50"/>
      <c r="VLS154" s="50"/>
      <c r="VLT154" s="50"/>
      <c r="VLU154" s="50"/>
      <c r="VLV154" s="50"/>
      <c r="VLW154" s="50"/>
      <c r="VLX154" s="50"/>
      <c r="VLY154" s="50"/>
      <c r="VLZ154" s="50"/>
      <c r="VMA154" s="50"/>
      <c r="VMB154" s="50"/>
      <c r="VMC154" s="50"/>
      <c r="VMD154" s="50"/>
      <c r="VME154" s="50"/>
      <c r="VMF154" s="50"/>
      <c r="VMG154" s="50"/>
      <c r="VMH154" s="50"/>
      <c r="VMI154" s="50"/>
      <c r="VMJ154" s="50"/>
      <c r="VMK154" s="50"/>
      <c r="VML154" s="50"/>
      <c r="VMM154" s="50"/>
      <c r="VMN154" s="50"/>
      <c r="VMO154" s="50"/>
      <c r="VMP154" s="50"/>
      <c r="VMQ154" s="50"/>
      <c r="VMR154" s="50"/>
      <c r="VMS154" s="50"/>
      <c r="VMT154" s="50"/>
      <c r="VMU154" s="50"/>
      <c r="VMV154" s="50"/>
      <c r="VMW154" s="50"/>
      <c r="VMX154" s="50"/>
      <c r="VMY154" s="50"/>
      <c r="VMZ154" s="50"/>
      <c r="VNA154" s="50"/>
      <c r="VNB154" s="50"/>
      <c r="VNC154" s="50"/>
      <c r="VND154" s="50"/>
      <c r="VNE154" s="50"/>
      <c r="VNF154" s="50"/>
      <c r="VNG154" s="50"/>
      <c r="VNH154" s="50"/>
      <c r="VNI154" s="50"/>
      <c r="VNJ154" s="50"/>
      <c r="VNK154" s="50"/>
      <c r="VNL154" s="50"/>
      <c r="VNM154" s="50"/>
      <c r="VNN154" s="50"/>
      <c r="VNO154" s="50"/>
      <c r="VNP154" s="50"/>
      <c r="VNQ154" s="50"/>
      <c r="VNR154" s="50"/>
      <c r="VNS154" s="50"/>
      <c r="VNT154" s="50"/>
      <c r="VNU154" s="50"/>
      <c r="VNV154" s="50"/>
      <c r="VNW154" s="50"/>
      <c r="VNX154" s="50"/>
      <c r="VNY154" s="50"/>
      <c r="VNZ154" s="50"/>
      <c r="VOA154" s="50"/>
      <c r="VOB154" s="50"/>
      <c r="VOC154" s="50"/>
      <c r="VOD154" s="50"/>
      <c r="VOE154" s="50"/>
      <c r="VOF154" s="50"/>
      <c r="VOG154" s="50"/>
      <c r="VOH154" s="50"/>
      <c r="VOI154" s="50"/>
      <c r="VOJ154" s="50"/>
      <c r="VOK154" s="50"/>
      <c r="VOL154" s="50"/>
      <c r="VOM154" s="50"/>
      <c r="VON154" s="50"/>
      <c r="VOO154" s="50"/>
      <c r="VOP154" s="50"/>
      <c r="VOQ154" s="50"/>
      <c r="VOR154" s="50"/>
      <c r="VOS154" s="50"/>
      <c r="VOT154" s="50"/>
      <c r="VOU154" s="50"/>
      <c r="VOV154" s="50"/>
      <c r="VOW154" s="50"/>
      <c r="VOX154" s="50"/>
      <c r="VOY154" s="50"/>
      <c r="VOZ154" s="50"/>
      <c r="VPA154" s="50"/>
      <c r="VPB154" s="50"/>
      <c r="VPC154" s="50"/>
      <c r="VPD154" s="50"/>
      <c r="VPE154" s="50"/>
      <c r="VPF154" s="50"/>
      <c r="VPG154" s="50"/>
      <c r="VPH154" s="50"/>
      <c r="VPI154" s="50"/>
      <c r="VPJ154" s="50"/>
      <c r="VPK154" s="50"/>
      <c r="VPL154" s="50"/>
      <c r="VPM154" s="50"/>
      <c r="VPN154" s="50"/>
      <c r="VPO154" s="50"/>
      <c r="VPP154" s="50"/>
      <c r="VPQ154" s="50"/>
      <c r="VPR154" s="50"/>
      <c r="VPS154" s="50"/>
      <c r="VPT154" s="50"/>
      <c r="VPU154" s="50"/>
      <c r="VPV154" s="50"/>
      <c r="VPW154" s="50"/>
      <c r="VPX154" s="50"/>
      <c r="VPY154" s="50"/>
      <c r="VPZ154" s="50"/>
      <c r="VQA154" s="50"/>
      <c r="VQB154" s="50"/>
      <c r="VQC154" s="50"/>
      <c r="VQD154" s="50"/>
      <c r="VQE154" s="50"/>
      <c r="VQF154" s="50"/>
      <c r="VQG154" s="50"/>
      <c r="VQH154" s="50"/>
      <c r="VQI154" s="50"/>
      <c r="VQJ154" s="50"/>
      <c r="VQK154" s="50"/>
      <c r="VQL154" s="50"/>
      <c r="VQM154" s="50"/>
      <c r="VQN154" s="50"/>
      <c r="VQO154" s="50"/>
      <c r="VQP154" s="50"/>
      <c r="VQQ154" s="50"/>
      <c r="VQR154" s="50"/>
      <c r="VQS154" s="50"/>
      <c r="VQT154" s="50"/>
      <c r="VQU154" s="50"/>
      <c r="VQV154" s="50"/>
      <c r="VQW154" s="50"/>
      <c r="VQX154" s="50"/>
      <c r="VQY154" s="50"/>
      <c r="VQZ154" s="50"/>
      <c r="VRA154" s="50"/>
      <c r="VRB154" s="50"/>
      <c r="VRC154" s="50"/>
      <c r="VRD154" s="50"/>
      <c r="VRE154" s="50"/>
      <c r="VRF154" s="50"/>
      <c r="VRG154" s="50"/>
      <c r="VRH154" s="50"/>
      <c r="VRI154" s="50"/>
      <c r="VRJ154" s="50"/>
      <c r="VRK154" s="50"/>
      <c r="VRL154" s="50"/>
      <c r="VRM154" s="50"/>
      <c r="VRN154" s="50"/>
      <c r="VRO154" s="50"/>
      <c r="VRP154" s="50"/>
      <c r="VRQ154" s="50"/>
      <c r="VRR154" s="50"/>
      <c r="VRS154" s="50"/>
      <c r="VRT154" s="50"/>
      <c r="VRU154" s="50"/>
      <c r="VRV154" s="50"/>
      <c r="VRW154" s="50"/>
      <c r="VRX154" s="50"/>
      <c r="VRY154" s="50"/>
      <c r="VRZ154" s="50"/>
      <c r="VSA154" s="50"/>
      <c r="VSB154" s="50"/>
      <c r="VSC154" s="50"/>
      <c r="VSD154" s="50"/>
      <c r="VSE154" s="50"/>
      <c r="VSF154" s="50"/>
      <c r="VSG154" s="50"/>
      <c r="VSH154" s="50"/>
      <c r="VSI154" s="50"/>
      <c r="VSJ154" s="50"/>
      <c r="VSK154" s="50"/>
      <c r="VSL154" s="50"/>
      <c r="VSM154" s="50"/>
      <c r="VSN154" s="50"/>
      <c r="VSO154" s="50"/>
      <c r="VSP154" s="50"/>
      <c r="VSQ154" s="50"/>
      <c r="VSR154" s="50"/>
      <c r="VSS154" s="50"/>
      <c r="VST154" s="50"/>
      <c r="VSU154" s="50"/>
      <c r="VSV154" s="50"/>
      <c r="VSW154" s="50"/>
      <c r="VSX154" s="50"/>
      <c r="VSY154" s="50"/>
      <c r="VSZ154" s="50"/>
      <c r="VTA154" s="50"/>
      <c r="VTB154" s="50"/>
      <c r="VTC154" s="50"/>
      <c r="VTD154" s="50"/>
      <c r="VTE154" s="50"/>
      <c r="VTF154" s="50"/>
      <c r="VTG154" s="50"/>
      <c r="VTH154" s="50"/>
      <c r="VTI154" s="50"/>
      <c r="VTJ154" s="50"/>
      <c r="VTK154" s="50"/>
      <c r="VTL154" s="50"/>
      <c r="VTM154" s="50"/>
      <c r="VTN154" s="50"/>
      <c r="VTO154" s="50"/>
      <c r="VTP154" s="50"/>
      <c r="VTQ154" s="50"/>
      <c r="VTR154" s="50"/>
      <c r="VTS154" s="50"/>
      <c r="VTT154" s="50"/>
      <c r="VTU154" s="50"/>
      <c r="VTV154" s="50"/>
      <c r="VTW154" s="50"/>
      <c r="VTX154" s="50"/>
      <c r="VTY154" s="50"/>
      <c r="VTZ154" s="50"/>
      <c r="VUA154" s="50"/>
      <c r="VUB154" s="50"/>
      <c r="VUC154" s="50"/>
      <c r="VUD154" s="50"/>
      <c r="VUE154" s="50"/>
      <c r="VUF154" s="50"/>
      <c r="VUG154" s="50"/>
      <c r="VUH154" s="50"/>
      <c r="VUI154" s="50"/>
      <c r="VUJ154" s="50"/>
      <c r="VUK154" s="50"/>
      <c r="VUL154" s="50"/>
      <c r="VUM154" s="50"/>
      <c r="VUN154" s="50"/>
      <c r="VUO154" s="50"/>
      <c r="VUP154" s="50"/>
      <c r="VUQ154" s="50"/>
      <c r="VUR154" s="50"/>
      <c r="VUS154" s="50"/>
      <c r="VUT154" s="50"/>
      <c r="VUU154" s="50"/>
      <c r="VUV154" s="50"/>
      <c r="VUW154" s="50"/>
      <c r="VUX154" s="50"/>
      <c r="VUY154" s="50"/>
      <c r="VUZ154" s="50"/>
      <c r="VVA154" s="50"/>
      <c r="VVB154" s="50"/>
      <c r="VVC154" s="50"/>
      <c r="VVD154" s="50"/>
      <c r="VVE154" s="50"/>
      <c r="VVF154" s="50"/>
      <c r="VVG154" s="50"/>
      <c r="VVH154" s="50"/>
      <c r="VVI154" s="50"/>
      <c r="VVJ154" s="50"/>
      <c r="VVK154" s="50"/>
      <c r="VVL154" s="50"/>
      <c r="VVM154" s="50"/>
      <c r="VVN154" s="50"/>
      <c r="VVO154" s="50"/>
      <c r="VVP154" s="50"/>
    </row>
    <row r="155" spans="3:102 15068:15460" s="1" customFormat="1" hidden="1" x14ac:dyDescent="0.25">
      <c r="C155" s="15"/>
      <c r="D155" s="28" t="s">
        <v>116</v>
      </c>
      <c r="E155" s="99"/>
      <c r="F155" s="20" t="s">
        <v>14</v>
      </c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2"/>
      <c r="AN155" s="98">
        <v>0</v>
      </c>
      <c r="CX155" s="152"/>
    </row>
    <row r="156" spans="3:102 15068:15460" s="1" customFormat="1" hidden="1" x14ac:dyDescent="0.25">
      <c r="C156" s="15"/>
      <c r="D156" s="30" t="s">
        <v>39</v>
      </c>
      <c r="E156" s="69"/>
      <c r="F156" s="20" t="s">
        <v>14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4">
        <v>0</v>
      </c>
      <c r="U156" s="34">
        <v>0</v>
      </c>
      <c r="V156" s="34">
        <v>0</v>
      </c>
      <c r="W156" s="34">
        <v>0</v>
      </c>
      <c r="X156" s="34">
        <v>0</v>
      </c>
      <c r="Y156" s="34">
        <v>0</v>
      </c>
      <c r="Z156" s="34">
        <v>0</v>
      </c>
      <c r="AA156" s="34">
        <v>0</v>
      </c>
      <c r="AB156" s="34">
        <v>0</v>
      </c>
      <c r="AC156" s="34">
        <v>0</v>
      </c>
      <c r="AD156" s="34">
        <v>0</v>
      </c>
      <c r="AE156" s="34">
        <v>0</v>
      </c>
      <c r="AF156" s="34">
        <v>0</v>
      </c>
      <c r="AG156" s="34">
        <v>0</v>
      </c>
      <c r="AH156" s="34">
        <v>0</v>
      </c>
      <c r="AI156" s="34">
        <v>0</v>
      </c>
      <c r="AJ156" s="34"/>
      <c r="AK156" s="34"/>
      <c r="AL156" s="34">
        <v>0</v>
      </c>
      <c r="AN156" s="67">
        <v>0</v>
      </c>
      <c r="CX156" s="152"/>
    </row>
    <row r="157" spans="3:102 15068:15460" s="1" customFormat="1" hidden="1" x14ac:dyDescent="0.25">
      <c r="C157" s="15"/>
      <c r="D157" s="30" t="s">
        <v>38</v>
      </c>
      <c r="E157" s="69"/>
      <c r="F157" s="20" t="s">
        <v>14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4">
        <v>0</v>
      </c>
      <c r="U157" s="34">
        <v>0</v>
      </c>
      <c r="V157" s="34">
        <v>0</v>
      </c>
      <c r="W157" s="34">
        <v>0</v>
      </c>
      <c r="X157" s="34">
        <v>0</v>
      </c>
      <c r="Y157" s="34">
        <v>0</v>
      </c>
      <c r="Z157" s="34">
        <v>0</v>
      </c>
      <c r="AA157" s="34">
        <v>0</v>
      </c>
      <c r="AB157" s="34">
        <v>0</v>
      </c>
      <c r="AC157" s="34">
        <v>0</v>
      </c>
      <c r="AD157" s="34">
        <v>0</v>
      </c>
      <c r="AE157" s="34">
        <v>0</v>
      </c>
      <c r="AF157" s="34">
        <v>0</v>
      </c>
      <c r="AG157" s="34">
        <v>0</v>
      </c>
      <c r="AH157" s="34">
        <v>0</v>
      </c>
      <c r="AI157" s="34">
        <v>0</v>
      </c>
      <c r="AJ157" s="34"/>
      <c r="AK157" s="34"/>
      <c r="AL157" s="34">
        <v>0</v>
      </c>
      <c r="AN157" s="67">
        <v>0</v>
      </c>
      <c r="CX157" s="152"/>
    </row>
    <row r="158" spans="3:102 15068:15460" s="1" customFormat="1" hidden="1" x14ac:dyDescent="0.25">
      <c r="C158" s="15"/>
      <c r="D158" s="30" t="s">
        <v>29</v>
      </c>
      <c r="E158" s="69"/>
      <c r="F158" s="1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N158" s="72" t="s">
        <v>29</v>
      </c>
      <c r="CX158" s="152"/>
    </row>
    <row r="159" spans="3:102 15068:15460" s="1" customFormat="1" hidden="1" x14ac:dyDescent="0.2">
      <c r="C159" s="15"/>
      <c r="D159" s="11" t="s">
        <v>117</v>
      </c>
      <c r="E159" s="69"/>
      <c r="F159" s="32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N159" s="100">
        <v>0</v>
      </c>
      <c r="CX159" s="152"/>
    </row>
    <row r="160" spans="3:102 15068:15460" s="16" customFormat="1" hidden="1" x14ac:dyDescent="0.25">
      <c r="C160" s="17"/>
      <c r="D160" s="11" t="s">
        <v>27</v>
      </c>
      <c r="E160" s="62"/>
      <c r="F160" s="32" t="s">
        <v>31</v>
      </c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N160" s="100">
        <v>0</v>
      </c>
      <c r="CX160" s="158"/>
    </row>
    <row r="161" spans="3:102 15068:15460" s="16" customFormat="1" hidden="1" x14ac:dyDescent="0.25">
      <c r="C161" s="17"/>
      <c r="D161" s="11" t="s">
        <v>26</v>
      </c>
      <c r="E161" s="62"/>
      <c r="F161" s="32" t="s">
        <v>31</v>
      </c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N161" s="100">
        <v>0</v>
      </c>
      <c r="CX161" s="158"/>
    </row>
    <row r="162" spans="3:102 15068:15460" s="16" customFormat="1" hidden="1" x14ac:dyDescent="0.25">
      <c r="C162" s="17"/>
      <c r="D162" s="11" t="s">
        <v>37</v>
      </c>
      <c r="E162" s="62"/>
      <c r="F162" s="32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N162" s="100">
        <v>0</v>
      </c>
      <c r="CX162" s="158"/>
    </row>
    <row r="163" spans="3:102 15068:15460" s="1" customFormat="1" hidden="1" x14ac:dyDescent="0.25">
      <c r="C163" s="15"/>
      <c r="D163" s="30" t="s">
        <v>28</v>
      </c>
      <c r="E163" s="69"/>
      <c r="F163" s="1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N163" s="72" t="s">
        <v>28</v>
      </c>
      <c r="CX163" s="152"/>
    </row>
    <row r="164" spans="3:102 15068:15460" s="1" customFormat="1" hidden="1" x14ac:dyDescent="0.25">
      <c r="C164" s="15"/>
      <c r="D164" s="11" t="s">
        <v>117</v>
      </c>
      <c r="E164" s="69"/>
      <c r="F164" s="20" t="s">
        <v>28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0</v>
      </c>
      <c r="Z164" s="33">
        <v>0</v>
      </c>
      <c r="AA164" s="33">
        <v>0</v>
      </c>
      <c r="AB164" s="33">
        <v>0</v>
      </c>
      <c r="AC164" s="33">
        <v>0</v>
      </c>
      <c r="AD164" s="33">
        <v>0</v>
      </c>
      <c r="AE164" s="33">
        <v>0</v>
      </c>
      <c r="AF164" s="33">
        <v>0</v>
      </c>
      <c r="AG164" s="33">
        <v>0</v>
      </c>
      <c r="AH164" s="33">
        <v>0</v>
      </c>
      <c r="AI164" s="33">
        <v>0</v>
      </c>
      <c r="AJ164" s="33"/>
      <c r="AK164" s="33"/>
      <c r="AL164" s="33">
        <v>0</v>
      </c>
      <c r="AN164" s="72"/>
      <c r="CX164" s="152"/>
    </row>
    <row r="165" spans="3:102 15068:15460" s="1" customFormat="1" hidden="1" x14ac:dyDescent="0.25">
      <c r="C165" s="15"/>
      <c r="D165" s="11" t="s">
        <v>27</v>
      </c>
      <c r="E165" s="69"/>
      <c r="F165" s="20" t="s">
        <v>28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0</v>
      </c>
      <c r="AG165" s="33">
        <v>0</v>
      </c>
      <c r="AH165" s="33">
        <v>0</v>
      </c>
      <c r="AI165" s="33">
        <v>0</v>
      </c>
      <c r="AJ165" s="33"/>
      <c r="AK165" s="33"/>
      <c r="AL165" s="33">
        <v>0</v>
      </c>
      <c r="AN165" s="63">
        <v>0</v>
      </c>
      <c r="CX165" s="152"/>
    </row>
    <row r="166" spans="3:102 15068:15460" s="1" customFormat="1" hidden="1" x14ac:dyDescent="0.25">
      <c r="C166" s="15"/>
      <c r="D166" s="11" t="s">
        <v>26</v>
      </c>
      <c r="E166" s="69"/>
      <c r="F166" s="20" t="s">
        <v>28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3">
        <v>0</v>
      </c>
      <c r="AH166" s="33">
        <v>0</v>
      </c>
      <c r="AI166" s="33">
        <v>0</v>
      </c>
      <c r="AJ166" s="33"/>
      <c r="AK166" s="33"/>
      <c r="AL166" s="33">
        <v>0</v>
      </c>
      <c r="AN166" s="63">
        <v>0</v>
      </c>
      <c r="CX166" s="152"/>
    </row>
    <row r="167" spans="3:102 15068:15460" s="1" customFormat="1" hidden="1" x14ac:dyDescent="0.25">
      <c r="C167" s="15"/>
      <c r="D167" s="11" t="s">
        <v>37</v>
      </c>
      <c r="E167" s="69"/>
      <c r="F167" s="20" t="s">
        <v>28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Z167" s="33">
        <v>0</v>
      </c>
      <c r="AA167" s="33">
        <v>0</v>
      </c>
      <c r="AB167" s="33">
        <v>0</v>
      </c>
      <c r="AC167" s="33">
        <v>0</v>
      </c>
      <c r="AD167" s="33">
        <v>0</v>
      </c>
      <c r="AE167" s="33">
        <v>0</v>
      </c>
      <c r="AF167" s="33">
        <v>0</v>
      </c>
      <c r="AG167" s="33">
        <v>0</v>
      </c>
      <c r="AH167" s="33">
        <v>0</v>
      </c>
      <c r="AI167" s="33">
        <v>0</v>
      </c>
      <c r="AJ167" s="33"/>
      <c r="AK167" s="33"/>
      <c r="AL167" s="33">
        <v>0</v>
      </c>
      <c r="AN167" s="63">
        <v>0</v>
      </c>
      <c r="CX167" s="152"/>
    </row>
    <row r="168" spans="3:102 15068:15460" s="1" customFormat="1" hidden="1" x14ac:dyDescent="0.25">
      <c r="C168" s="15"/>
      <c r="D168" s="30" t="s">
        <v>36</v>
      </c>
      <c r="E168" s="69"/>
      <c r="F168" s="20" t="s">
        <v>35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0</v>
      </c>
      <c r="Z168" s="33">
        <v>0</v>
      </c>
      <c r="AA168" s="33">
        <v>0</v>
      </c>
      <c r="AB168" s="33">
        <v>0</v>
      </c>
      <c r="AC168" s="33">
        <v>0</v>
      </c>
      <c r="AD168" s="33">
        <v>0</v>
      </c>
      <c r="AE168" s="33">
        <v>0</v>
      </c>
      <c r="AF168" s="33">
        <v>0</v>
      </c>
      <c r="AG168" s="33">
        <v>0</v>
      </c>
      <c r="AH168" s="33">
        <v>0</v>
      </c>
      <c r="AI168" s="33">
        <v>0</v>
      </c>
      <c r="AJ168" s="33"/>
      <c r="AK168" s="33"/>
      <c r="AL168" s="33">
        <v>0</v>
      </c>
      <c r="AN168" s="63">
        <v>0</v>
      </c>
      <c r="CX168" s="152"/>
    </row>
    <row r="169" spans="3:102 15068:15460" s="1" customFormat="1" hidden="1" x14ac:dyDescent="0.25">
      <c r="C169" s="15"/>
      <c r="D169" s="30" t="s">
        <v>34</v>
      </c>
      <c r="E169" s="69"/>
      <c r="F169" s="20" t="s">
        <v>33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0</v>
      </c>
      <c r="AC169" s="33">
        <v>0</v>
      </c>
      <c r="AD169" s="33">
        <v>0</v>
      </c>
      <c r="AE169" s="33">
        <v>0</v>
      </c>
      <c r="AF169" s="33">
        <v>0</v>
      </c>
      <c r="AG169" s="33">
        <v>0</v>
      </c>
      <c r="AH169" s="33">
        <v>0</v>
      </c>
      <c r="AI169" s="33">
        <v>0</v>
      </c>
      <c r="AJ169" s="33"/>
      <c r="AK169" s="33"/>
      <c r="AL169" s="33">
        <v>0</v>
      </c>
      <c r="AN169" s="63">
        <v>0</v>
      </c>
      <c r="CX169" s="152"/>
    </row>
    <row r="170" spans="3:102 15068:15460" s="1" customFormat="1" hidden="1" x14ac:dyDescent="0.25">
      <c r="C170" s="8"/>
      <c r="D170" s="53" t="s">
        <v>32</v>
      </c>
      <c r="E170" s="54"/>
      <c r="F170" s="55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3"/>
      <c r="AM170" s="3"/>
      <c r="AN170" s="87" t="s">
        <v>132</v>
      </c>
      <c r="CX170" s="151"/>
      <c r="VGN170" s="50"/>
      <c r="VGO170" s="50"/>
      <c r="VGP170" s="50"/>
      <c r="VGQ170" s="50"/>
      <c r="VGR170" s="50"/>
      <c r="VGS170" s="50"/>
      <c r="VGT170" s="50"/>
      <c r="VGU170" s="50"/>
      <c r="VGV170" s="50"/>
      <c r="VGW170" s="50"/>
      <c r="VGX170" s="50"/>
      <c r="VGY170" s="50"/>
      <c r="VGZ170" s="50"/>
      <c r="VHA170" s="50"/>
      <c r="VHB170" s="50"/>
      <c r="VHC170" s="50"/>
      <c r="VHD170" s="50"/>
      <c r="VHE170" s="50"/>
      <c r="VHF170" s="50"/>
      <c r="VHG170" s="50"/>
      <c r="VHH170" s="50"/>
      <c r="VHI170" s="50"/>
      <c r="VHJ170" s="50"/>
      <c r="VHK170" s="50"/>
      <c r="VHL170" s="50"/>
      <c r="VHM170" s="50"/>
      <c r="VHN170" s="50"/>
      <c r="VHO170" s="50"/>
      <c r="VHP170" s="50"/>
      <c r="VHQ170" s="50"/>
      <c r="VHR170" s="50"/>
      <c r="VHS170" s="50"/>
      <c r="VHT170" s="50"/>
      <c r="VHU170" s="50"/>
      <c r="VHV170" s="50"/>
      <c r="VHW170" s="50"/>
      <c r="VHX170" s="50"/>
      <c r="VHY170" s="50"/>
      <c r="VHZ170" s="50"/>
      <c r="VIA170" s="50"/>
      <c r="VIB170" s="50"/>
      <c r="VIC170" s="50"/>
      <c r="VID170" s="50"/>
      <c r="VIE170" s="50"/>
      <c r="VIF170" s="50"/>
      <c r="VIG170" s="50"/>
      <c r="VIH170" s="50"/>
      <c r="VII170" s="50"/>
      <c r="VIJ170" s="50"/>
      <c r="VIK170" s="50"/>
      <c r="VIL170" s="50"/>
      <c r="VIM170" s="50"/>
      <c r="VIN170" s="50"/>
      <c r="VIO170" s="50"/>
      <c r="VIP170" s="50"/>
      <c r="VIQ170" s="50"/>
      <c r="VIR170" s="50"/>
      <c r="VIS170" s="50"/>
      <c r="VIT170" s="50"/>
      <c r="VIU170" s="50"/>
      <c r="VIV170" s="50"/>
      <c r="VIW170" s="50"/>
      <c r="VIX170" s="50"/>
      <c r="VIY170" s="50"/>
      <c r="VIZ170" s="50"/>
      <c r="VJA170" s="50"/>
      <c r="VJB170" s="50"/>
      <c r="VJC170" s="50"/>
      <c r="VJD170" s="50"/>
      <c r="VJE170" s="50"/>
      <c r="VJF170" s="50"/>
      <c r="VJG170" s="50"/>
      <c r="VJH170" s="50"/>
      <c r="VJI170" s="50"/>
      <c r="VJJ170" s="50"/>
      <c r="VJK170" s="50"/>
      <c r="VJL170" s="50"/>
      <c r="VJM170" s="50"/>
      <c r="VJN170" s="50"/>
      <c r="VJO170" s="50"/>
      <c r="VJP170" s="50"/>
      <c r="VJQ170" s="50"/>
      <c r="VJR170" s="50"/>
      <c r="VJS170" s="50"/>
      <c r="VJT170" s="50"/>
      <c r="VJU170" s="50"/>
      <c r="VJV170" s="50"/>
      <c r="VJW170" s="50"/>
      <c r="VJX170" s="50"/>
      <c r="VJY170" s="50"/>
      <c r="VJZ170" s="50"/>
      <c r="VKA170" s="50"/>
      <c r="VKB170" s="50"/>
      <c r="VKC170" s="50"/>
      <c r="VKD170" s="50"/>
      <c r="VKE170" s="50"/>
      <c r="VKF170" s="50"/>
      <c r="VKG170" s="50"/>
      <c r="VKH170" s="50"/>
      <c r="VKI170" s="50"/>
      <c r="VKJ170" s="50"/>
      <c r="VKK170" s="50"/>
      <c r="VKL170" s="50"/>
      <c r="VKM170" s="50"/>
      <c r="VKN170" s="50"/>
      <c r="VKO170" s="50"/>
      <c r="VKP170" s="50"/>
      <c r="VKQ170" s="50"/>
      <c r="VKR170" s="50"/>
      <c r="VKS170" s="50"/>
      <c r="VKT170" s="50"/>
      <c r="VKU170" s="50"/>
      <c r="VKV170" s="50"/>
      <c r="VKW170" s="50"/>
      <c r="VKX170" s="50"/>
      <c r="VKY170" s="50"/>
      <c r="VKZ170" s="50"/>
      <c r="VLA170" s="50"/>
      <c r="VLB170" s="50"/>
      <c r="VLC170" s="50"/>
      <c r="VLD170" s="50"/>
      <c r="VLE170" s="50"/>
      <c r="VLF170" s="50"/>
      <c r="VLG170" s="50"/>
      <c r="VLH170" s="50"/>
      <c r="VLI170" s="50"/>
      <c r="VLJ170" s="50"/>
      <c r="VLK170" s="50"/>
      <c r="VLL170" s="50"/>
      <c r="VLM170" s="50"/>
      <c r="VLN170" s="50"/>
      <c r="VLO170" s="50"/>
      <c r="VLP170" s="50"/>
      <c r="VLQ170" s="50"/>
      <c r="VLR170" s="50"/>
      <c r="VLS170" s="50"/>
      <c r="VLT170" s="50"/>
      <c r="VLU170" s="50"/>
      <c r="VLV170" s="50"/>
      <c r="VLW170" s="50"/>
      <c r="VLX170" s="50"/>
      <c r="VLY170" s="50"/>
      <c r="VLZ170" s="50"/>
      <c r="VMA170" s="50"/>
      <c r="VMB170" s="50"/>
      <c r="VMC170" s="50"/>
      <c r="VMD170" s="50"/>
      <c r="VME170" s="50"/>
      <c r="VMF170" s="50"/>
      <c r="VMG170" s="50"/>
      <c r="VMH170" s="50"/>
      <c r="VMI170" s="50"/>
      <c r="VMJ170" s="50"/>
      <c r="VMK170" s="50"/>
      <c r="VML170" s="50"/>
      <c r="VMM170" s="50"/>
      <c r="VMN170" s="50"/>
      <c r="VMO170" s="50"/>
      <c r="VMP170" s="50"/>
      <c r="VMQ170" s="50"/>
      <c r="VMR170" s="50"/>
      <c r="VMS170" s="50"/>
      <c r="VMT170" s="50"/>
      <c r="VMU170" s="50"/>
      <c r="VMV170" s="50"/>
      <c r="VMW170" s="50"/>
      <c r="VMX170" s="50"/>
      <c r="VMY170" s="50"/>
      <c r="VMZ170" s="50"/>
      <c r="VNA170" s="50"/>
      <c r="VNB170" s="50"/>
      <c r="VNC170" s="50"/>
      <c r="VND170" s="50"/>
      <c r="VNE170" s="50"/>
      <c r="VNF170" s="50"/>
      <c r="VNG170" s="50"/>
      <c r="VNH170" s="50"/>
      <c r="VNI170" s="50"/>
      <c r="VNJ170" s="50"/>
      <c r="VNK170" s="50"/>
      <c r="VNL170" s="50"/>
      <c r="VNM170" s="50"/>
      <c r="VNN170" s="50"/>
      <c r="VNO170" s="50"/>
      <c r="VNP170" s="50"/>
      <c r="VNQ170" s="50"/>
      <c r="VNR170" s="50"/>
      <c r="VNS170" s="50"/>
      <c r="VNT170" s="50"/>
      <c r="VNU170" s="50"/>
      <c r="VNV170" s="50"/>
      <c r="VNW170" s="50"/>
      <c r="VNX170" s="50"/>
      <c r="VNY170" s="50"/>
      <c r="VNZ170" s="50"/>
      <c r="VOA170" s="50"/>
      <c r="VOB170" s="50"/>
      <c r="VOC170" s="50"/>
      <c r="VOD170" s="50"/>
      <c r="VOE170" s="50"/>
      <c r="VOF170" s="50"/>
      <c r="VOG170" s="50"/>
      <c r="VOH170" s="50"/>
      <c r="VOI170" s="50"/>
      <c r="VOJ170" s="50"/>
      <c r="VOK170" s="50"/>
      <c r="VOL170" s="50"/>
      <c r="VOM170" s="50"/>
      <c r="VON170" s="50"/>
      <c r="VOO170" s="50"/>
      <c r="VOP170" s="50"/>
      <c r="VOQ170" s="50"/>
      <c r="VOR170" s="50"/>
      <c r="VOS170" s="50"/>
      <c r="VOT170" s="50"/>
      <c r="VOU170" s="50"/>
      <c r="VOV170" s="50"/>
      <c r="VOW170" s="50"/>
      <c r="VOX170" s="50"/>
      <c r="VOY170" s="50"/>
      <c r="VOZ170" s="50"/>
      <c r="VPA170" s="50"/>
      <c r="VPB170" s="50"/>
      <c r="VPC170" s="50"/>
      <c r="VPD170" s="50"/>
      <c r="VPE170" s="50"/>
      <c r="VPF170" s="50"/>
      <c r="VPG170" s="50"/>
      <c r="VPH170" s="50"/>
      <c r="VPI170" s="50"/>
      <c r="VPJ170" s="50"/>
      <c r="VPK170" s="50"/>
      <c r="VPL170" s="50"/>
      <c r="VPM170" s="50"/>
      <c r="VPN170" s="50"/>
      <c r="VPO170" s="50"/>
      <c r="VPP170" s="50"/>
      <c r="VPQ170" s="50"/>
      <c r="VPR170" s="50"/>
      <c r="VPS170" s="50"/>
      <c r="VPT170" s="50"/>
      <c r="VPU170" s="50"/>
      <c r="VPV170" s="50"/>
      <c r="VPW170" s="50"/>
      <c r="VPX170" s="50"/>
      <c r="VPY170" s="50"/>
      <c r="VPZ170" s="50"/>
      <c r="VQA170" s="50"/>
      <c r="VQB170" s="50"/>
      <c r="VQC170" s="50"/>
      <c r="VQD170" s="50"/>
      <c r="VQE170" s="50"/>
      <c r="VQF170" s="50"/>
      <c r="VQG170" s="50"/>
      <c r="VQH170" s="50"/>
      <c r="VQI170" s="50"/>
      <c r="VQJ170" s="50"/>
      <c r="VQK170" s="50"/>
      <c r="VQL170" s="50"/>
      <c r="VQM170" s="50"/>
      <c r="VQN170" s="50"/>
      <c r="VQO170" s="50"/>
      <c r="VQP170" s="50"/>
      <c r="VQQ170" s="50"/>
      <c r="VQR170" s="50"/>
      <c r="VQS170" s="50"/>
      <c r="VQT170" s="50"/>
      <c r="VQU170" s="50"/>
      <c r="VQV170" s="50"/>
      <c r="VQW170" s="50"/>
      <c r="VQX170" s="50"/>
      <c r="VQY170" s="50"/>
      <c r="VQZ170" s="50"/>
      <c r="VRA170" s="50"/>
      <c r="VRB170" s="50"/>
      <c r="VRC170" s="50"/>
      <c r="VRD170" s="50"/>
      <c r="VRE170" s="50"/>
      <c r="VRF170" s="50"/>
      <c r="VRG170" s="50"/>
      <c r="VRH170" s="50"/>
      <c r="VRI170" s="50"/>
      <c r="VRJ170" s="50"/>
      <c r="VRK170" s="50"/>
      <c r="VRL170" s="50"/>
      <c r="VRM170" s="50"/>
      <c r="VRN170" s="50"/>
      <c r="VRO170" s="50"/>
      <c r="VRP170" s="50"/>
      <c r="VRQ170" s="50"/>
      <c r="VRR170" s="50"/>
      <c r="VRS170" s="50"/>
      <c r="VRT170" s="50"/>
      <c r="VRU170" s="50"/>
      <c r="VRV170" s="50"/>
      <c r="VRW170" s="50"/>
      <c r="VRX170" s="50"/>
      <c r="VRY170" s="50"/>
      <c r="VRZ170" s="50"/>
      <c r="VSA170" s="50"/>
      <c r="VSB170" s="50"/>
      <c r="VSC170" s="50"/>
      <c r="VSD170" s="50"/>
      <c r="VSE170" s="50"/>
      <c r="VSF170" s="50"/>
      <c r="VSG170" s="50"/>
      <c r="VSH170" s="50"/>
      <c r="VSI170" s="50"/>
      <c r="VSJ170" s="50"/>
      <c r="VSK170" s="50"/>
      <c r="VSL170" s="50"/>
      <c r="VSM170" s="50"/>
      <c r="VSN170" s="50"/>
      <c r="VSO170" s="50"/>
      <c r="VSP170" s="50"/>
      <c r="VSQ170" s="50"/>
      <c r="VSR170" s="50"/>
      <c r="VSS170" s="50"/>
      <c r="VST170" s="50"/>
      <c r="VSU170" s="50"/>
      <c r="VSV170" s="50"/>
      <c r="VSW170" s="50"/>
      <c r="VSX170" s="50"/>
      <c r="VSY170" s="50"/>
      <c r="VSZ170" s="50"/>
      <c r="VTA170" s="50"/>
      <c r="VTB170" s="50"/>
      <c r="VTC170" s="50"/>
      <c r="VTD170" s="50"/>
      <c r="VTE170" s="50"/>
      <c r="VTF170" s="50"/>
      <c r="VTG170" s="50"/>
      <c r="VTH170" s="50"/>
      <c r="VTI170" s="50"/>
      <c r="VTJ170" s="50"/>
      <c r="VTK170" s="50"/>
      <c r="VTL170" s="50"/>
      <c r="VTM170" s="50"/>
      <c r="VTN170" s="50"/>
      <c r="VTO170" s="50"/>
      <c r="VTP170" s="50"/>
      <c r="VTQ170" s="50"/>
      <c r="VTR170" s="50"/>
      <c r="VTS170" s="50"/>
      <c r="VTT170" s="50"/>
      <c r="VTU170" s="50"/>
      <c r="VTV170" s="50"/>
      <c r="VTW170" s="50"/>
      <c r="VTX170" s="50"/>
      <c r="VTY170" s="50"/>
      <c r="VTZ170" s="50"/>
      <c r="VUA170" s="50"/>
      <c r="VUB170" s="50"/>
      <c r="VUC170" s="50"/>
      <c r="VUD170" s="50"/>
      <c r="VUE170" s="50"/>
      <c r="VUF170" s="50"/>
      <c r="VUG170" s="50"/>
      <c r="VUH170" s="50"/>
      <c r="VUI170" s="50"/>
      <c r="VUJ170" s="50"/>
      <c r="VUK170" s="50"/>
      <c r="VUL170" s="50"/>
      <c r="VUM170" s="50"/>
      <c r="VUN170" s="50"/>
      <c r="VUO170" s="50"/>
      <c r="VUP170" s="50"/>
      <c r="VUQ170" s="50"/>
      <c r="VUR170" s="50"/>
      <c r="VUS170" s="50"/>
      <c r="VUT170" s="50"/>
      <c r="VUU170" s="50"/>
      <c r="VUV170" s="50"/>
      <c r="VUW170" s="50"/>
      <c r="VUX170" s="50"/>
      <c r="VUY170" s="50"/>
      <c r="VUZ170" s="50"/>
      <c r="VVA170" s="50"/>
      <c r="VVB170" s="50"/>
      <c r="VVC170" s="50"/>
      <c r="VVD170" s="50"/>
      <c r="VVE170" s="50"/>
      <c r="VVF170" s="50"/>
      <c r="VVG170" s="50"/>
      <c r="VVH170" s="50"/>
      <c r="VVI170" s="50"/>
      <c r="VVJ170" s="50"/>
      <c r="VVK170" s="50"/>
      <c r="VVL170" s="50"/>
      <c r="VVM170" s="50"/>
      <c r="VVN170" s="50"/>
      <c r="VVO170" s="50"/>
      <c r="VVP170" s="50"/>
    </row>
    <row r="171" spans="3:102 15068:15460" s="1" customFormat="1" hidden="1" x14ac:dyDescent="0.25">
      <c r="C171" s="15"/>
      <c r="D171" s="30" t="s">
        <v>29</v>
      </c>
      <c r="E171" s="69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N171" s="72" t="s">
        <v>29</v>
      </c>
      <c r="CX171" s="152"/>
    </row>
    <row r="172" spans="3:102 15068:15460" s="1" customFormat="1" hidden="1" x14ac:dyDescent="0.25">
      <c r="C172" s="15"/>
      <c r="D172" s="11" t="s">
        <v>117</v>
      </c>
      <c r="E172" s="69"/>
      <c r="F172" s="20" t="s">
        <v>31</v>
      </c>
      <c r="G172" s="33">
        <v>0</v>
      </c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N172" s="72"/>
      <c r="CX172" s="152"/>
    </row>
    <row r="173" spans="3:102 15068:15460" s="1" customFormat="1" hidden="1" x14ac:dyDescent="0.25">
      <c r="C173" s="15"/>
      <c r="D173" s="11" t="s">
        <v>27</v>
      </c>
      <c r="E173" s="69"/>
      <c r="F173" s="20" t="s">
        <v>31</v>
      </c>
      <c r="G173" s="33">
        <v>0</v>
      </c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N173" s="63">
        <v>0</v>
      </c>
      <c r="CX173" s="152"/>
    </row>
    <row r="174" spans="3:102 15068:15460" s="1" customFormat="1" hidden="1" x14ac:dyDescent="0.25">
      <c r="C174" s="15"/>
      <c r="D174" s="11" t="s">
        <v>26</v>
      </c>
      <c r="E174" s="69"/>
      <c r="F174" s="20" t="s">
        <v>31</v>
      </c>
      <c r="G174" s="33">
        <v>0</v>
      </c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N174" s="63">
        <v>0</v>
      </c>
      <c r="CX174" s="152"/>
    </row>
    <row r="175" spans="3:102 15068:15460" s="1" customFormat="1" hidden="1" x14ac:dyDescent="0.25">
      <c r="C175" s="15"/>
      <c r="D175" s="30" t="s">
        <v>28</v>
      </c>
      <c r="E175" s="69"/>
      <c r="F175" s="1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N175" s="72" t="s">
        <v>28</v>
      </c>
      <c r="CX175" s="152"/>
    </row>
    <row r="176" spans="3:102 15068:15460" s="1" customFormat="1" hidden="1" x14ac:dyDescent="0.25">
      <c r="C176" s="15"/>
      <c r="D176" s="11" t="s">
        <v>117</v>
      </c>
      <c r="E176" s="69"/>
      <c r="F176" s="20" t="s">
        <v>28</v>
      </c>
      <c r="G176" s="33">
        <v>0</v>
      </c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N176" s="72"/>
      <c r="CX176" s="152"/>
    </row>
    <row r="177" spans="3:102 15068:15460" s="1" customFormat="1" hidden="1" x14ac:dyDescent="0.25">
      <c r="C177" s="15"/>
      <c r="D177" s="11" t="s">
        <v>27</v>
      </c>
      <c r="E177" s="69"/>
      <c r="F177" s="20" t="s">
        <v>28</v>
      </c>
      <c r="G177" s="33">
        <v>0</v>
      </c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N177" s="63">
        <v>0</v>
      </c>
      <c r="CX177" s="152"/>
    </row>
    <row r="178" spans="3:102 15068:15460" s="1" customFormat="1" hidden="1" x14ac:dyDescent="0.25">
      <c r="C178" s="15"/>
      <c r="D178" s="11" t="s">
        <v>26</v>
      </c>
      <c r="E178" s="69"/>
      <c r="F178" s="20" t="s">
        <v>28</v>
      </c>
      <c r="G178" s="33">
        <v>0</v>
      </c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N178" s="63">
        <v>0</v>
      </c>
      <c r="CX178" s="152"/>
    </row>
    <row r="179" spans="3:102 15068:15460" s="1" customFormat="1" hidden="1" x14ac:dyDescent="0.25">
      <c r="C179" s="8"/>
      <c r="D179" s="53" t="s">
        <v>30</v>
      </c>
      <c r="E179" s="54"/>
      <c r="F179" s="55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3"/>
      <c r="AM179" s="3"/>
      <c r="AN179" s="87" t="s">
        <v>132</v>
      </c>
      <c r="CX179" s="151"/>
      <c r="VGN179" s="50"/>
      <c r="VGO179" s="50"/>
      <c r="VGP179" s="50"/>
      <c r="VGQ179" s="50"/>
      <c r="VGR179" s="50"/>
      <c r="VGS179" s="50"/>
      <c r="VGT179" s="50"/>
      <c r="VGU179" s="50"/>
      <c r="VGV179" s="50"/>
      <c r="VGW179" s="50"/>
      <c r="VGX179" s="50"/>
      <c r="VGY179" s="50"/>
      <c r="VGZ179" s="50"/>
      <c r="VHA179" s="50"/>
      <c r="VHB179" s="50"/>
      <c r="VHC179" s="50"/>
      <c r="VHD179" s="50"/>
      <c r="VHE179" s="50"/>
      <c r="VHF179" s="50"/>
      <c r="VHG179" s="50"/>
      <c r="VHH179" s="50"/>
      <c r="VHI179" s="50"/>
      <c r="VHJ179" s="50"/>
      <c r="VHK179" s="50"/>
      <c r="VHL179" s="50"/>
      <c r="VHM179" s="50"/>
      <c r="VHN179" s="50"/>
      <c r="VHO179" s="50"/>
      <c r="VHP179" s="50"/>
      <c r="VHQ179" s="50"/>
      <c r="VHR179" s="50"/>
      <c r="VHS179" s="50"/>
      <c r="VHT179" s="50"/>
      <c r="VHU179" s="50"/>
      <c r="VHV179" s="50"/>
      <c r="VHW179" s="50"/>
      <c r="VHX179" s="50"/>
      <c r="VHY179" s="50"/>
      <c r="VHZ179" s="50"/>
      <c r="VIA179" s="50"/>
      <c r="VIB179" s="50"/>
      <c r="VIC179" s="50"/>
      <c r="VID179" s="50"/>
      <c r="VIE179" s="50"/>
      <c r="VIF179" s="50"/>
      <c r="VIG179" s="50"/>
      <c r="VIH179" s="50"/>
      <c r="VII179" s="50"/>
      <c r="VIJ179" s="50"/>
      <c r="VIK179" s="50"/>
      <c r="VIL179" s="50"/>
      <c r="VIM179" s="50"/>
      <c r="VIN179" s="50"/>
      <c r="VIO179" s="50"/>
      <c r="VIP179" s="50"/>
      <c r="VIQ179" s="50"/>
      <c r="VIR179" s="50"/>
      <c r="VIS179" s="50"/>
      <c r="VIT179" s="50"/>
      <c r="VIU179" s="50"/>
      <c r="VIV179" s="50"/>
      <c r="VIW179" s="50"/>
      <c r="VIX179" s="50"/>
      <c r="VIY179" s="50"/>
      <c r="VIZ179" s="50"/>
      <c r="VJA179" s="50"/>
      <c r="VJB179" s="50"/>
      <c r="VJC179" s="50"/>
      <c r="VJD179" s="50"/>
      <c r="VJE179" s="50"/>
      <c r="VJF179" s="50"/>
      <c r="VJG179" s="50"/>
      <c r="VJH179" s="50"/>
      <c r="VJI179" s="50"/>
      <c r="VJJ179" s="50"/>
      <c r="VJK179" s="50"/>
      <c r="VJL179" s="50"/>
      <c r="VJM179" s="50"/>
      <c r="VJN179" s="50"/>
      <c r="VJO179" s="50"/>
      <c r="VJP179" s="50"/>
      <c r="VJQ179" s="50"/>
      <c r="VJR179" s="50"/>
      <c r="VJS179" s="50"/>
      <c r="VJT179" s="50"/>
      <c r="VJU179" s="50"/>
      <c r="VJV179" s="50"/>
      <c r="VJW179" s="50"/>
      <c r="VJX179" s="50"/>
      <c r="VJY179" s="50"/>
      <c r="VJZ179" s="50"/>
      <c r="VKA179" s="50"/>
      <c r="VKB179" s="50"/>
      <c r="VKC179" s="50"/>
      <c r="VKD179" s="50"/>
      <c r="VKE179" s="50"/>
      <c r="VKF179" s="50"/>
      <c r="VKG179" s="50"/>
      <c r="VKH179" s="50"/>
      <c r="VKI179" s="50"/>
      <c r="VKJ179" s="50"/>
      <c r="VKK179" s="50"/>
      <c r="VKL179" s="50"/>
      <c r="VKM179" s="50"/>
      <c r="VKN179" s="50"/>
      <c r="VKO179" s="50"/>
      <c r="VKP179" s="50"/>
      <c r="VKQ179" s="50"/>
      <c r="VKR179" s="50"/>
      <c r="VKS179" s="50"/>
      <c r="VKT179" s="50"/>
      <c r="VKU179" s="50"/>
      <c r="VKV179" s="50"/>
      <c r="VKW179" s="50"/>
      <c r="VKX179" s="50"/>
      <c r="VKY179" s="50"/>
      <c r="VKZ179" s="50"/>
      <c r="VLA179" s="50"/>
      <c r="VLB179" s="50"/>
      <c r="VLC179" s="50"/>
      <c r="VLD179" s="50"/>
      <c r="VLE179" s="50"/>
      <c r="VLF179" s="50"/>
      <c r="VLG179" s="50"/>
      <c r="VLH179" s="50"/>
      <c r="VLI179" s="50"/>
      <c r="VLJ179" s="50"/>
      <c r="VLK179" s="50"/>
      <c r="VLL179" s="50"/>
      <c r="VLM179" s="50"/>
      <c r="VLN179" s="50"/>
      <c r="VLO179" s="50"/>
      <c r="VLP179" s="50"/>
      <c r="VLQ179" s="50"/>
      <c r="VLR179" s="50"/>
      <c r="VLS179" s="50"/>
      <c r="VLT179" s="50"/>
      <c r="VLU179" s="50"/>
      <c r="VLV179" s="50"/>
      <c r="VLW179" s="50"/>
      <c r="VLX179" s="50"/>
      <c r="VLY179" s="50"/>
      <c r="VLZ179" s="50"/>
      <c r="VMA179" s="50"/>
      <c r="VMB179" s="50"/>
      <c r="VMC179" s="50"/>
      <c r="VMD179" s="50"/>
      <c r="VME179" s="50"/>
      <c r="VMF179" s="50"/>
      <c r="VMG179" s="50"/>
      <c r="VMH179" s="50"/>
      <c r="VMI179" s="50"/>
      <c r="VMJ179" s="50"/>
      <c r="VMK179" s="50"/>
      <c r="VML179" s="50"/>
      <c r="VMM179" s="50"/>
      <c r="VMN179" s="50"/>
      <c r="VMO179" s="50"/>
      <c r="VMP179" s="50"/>
      <c r="VMQ179" s="50"/>
      <c r="VMR179" s="50"/>
      <c r="VMS179" s="50"/>
      <c r="VMT179" s="50"/>
      <c r="VMU179" s="50"/>
      <c r="VMV179" s="50"/>
      <c r="VMW179" s="50"/>
      <c r="VMX179" s="50"/>
      <c r="VMY179" s="50"/>
      <c r="VMZ179" s="50"/>
      <c r="VNA179" s="50"/>
      <c r="VNB179" s="50"/>
      <c r="VNC179" s="50"/>
      <c r="VND179" s="50"/>
      <c r="VNE179" s="50"/>
      <c r="VNF179" s="50"/>
      <c r="VNG179" s="50"/>
      <c r="VNH179" s="50"/>
      <c r="VNI179" s="50"/>
      <c r="VNJ179" s="50"/>
      <c r="VNK179" s="50"/>
      <c r="VNL179" s="50"/>
      <c r="VNM179" s="50"/>
      <c r="VNN179" s="50"/>
      <c r="VNO179" s="50"/>
      <c r="VNP179" s="50"/>
      <c r="VNQ179" s="50"/>
      <c r="VNR179" s="50"/>
      <c r="VNS179" s="50"/>
      <c r="VNT179" s="50"/>
      <c r="VNU179" s="50"/>
      <c r="VNV179" s="50"/>
      <c r="VNW179" s="50"/>
      <c r="VNX179" s="50"/>
      <c r="VNY179" s="50"/>
      <c r="VNZ179" s="50"/>
      <c r="VOA179" s="50"/>
      <c r="VOB179" s="50"/>
      <c r="VOC179" s="50"/>
      <c r="VOD179" s="50"/>
      <c r="VOE179" s="50"/>
      <c r="VOF179" s="50"/>
      <c r="VOG179" s="50"/>
      <c r="VOH179" s="50"/>
      <c r="VOI179" s="50"/>
      <c r="VOJ179" s="50"/>
      <c r="VOK179" s="50"/>
      <c r="VOL179" s="50"/>
      <c r="VOM179" s="50"/>
      <c r="VON179" s="50"/>
      <c r="VOO179" s="50"/>
      <c r="VOP179" s="50"/>
      <c r="VOQ179" s="50"/>
      <c r="VOR179" s="50"/>
      <c r="VOS179" s="50"/>
      <c r="VOT179" s="50"/>
      <c r="VOU179" s="50"/>
      <c r="VOV179" s="50"/>
      <c r="VOW179" s="50"/>
      <c r="VOX179" s="50"/>
      <c r="VOY179" s="50"/>
      <c r="VOZ179" s="50"/>
      <c r="VPA179" s="50"/>
      <c r="VPB179" s="50"/>
      <c r="VPC179" s="50"/>
      <c r="VPD179" s="50"/>
      <c r="VPE179" s="50"/>
      <c r="VPF179" s="50"/>
      <c r="VPG179" s="50"/>
      <c r="VPH179" s="50"/>
      <c r="VPI179" s="50"/>
      <c r="VPJ179" s="50"/>
      <c r="VPK179" s="50"/>
      <c r="VPL179" s="50"/>
      <c r="VPM179" s="50"/>
      <c r="VPN179" s="50"/>
      <c r="VPO179" s="50"/>
      <c r="VPP179" s="50"/>
      <c r="VPQ179" s="50"/>
      <c r="VPR179" s="50"/>
      <c r="VPS179" s="50"/>
      <c r="VPT179" s="50"/>
      <c r="VPU179" s="50"/>
      <c r="VPV179" s="50"/>
      <c r="VPW179" s="50"/>
      <c r="VPX179" s="50"/>
      <c r="VPY179" s="50"/>
      <c r="VPZ179" s="50"/>
      <c r="VQA179" s="50"/>
      <c r="VQB179" s="50"/>
      <c r="VQC179" s="50"/>
      <c r="VQD179" s="50"/>
      <c r="VQE179" s="50"/>
      <c r="VQF179" s="50"/>
      <c r="VQG179" s="50"/>
      <c r="VQH179" s="50"/>
      <c r="VQI179" s="50"/>
      <c r="VQJ179" s="50"/>
      <c r="VQK179" s="50"/>
      <c r="VQL179" s="50"/>
      <c r="VQM179" s="50"/>
      <c r="VQN179" s="50"/>
      <c r="VQO179" s="50"/>
      <c r="VQP179" s="50"/>
      <c r="VQQ179" s="50"/>
      <c r="VQR179" s="50"/>
      <c r="VQS179" s="50"/>
      <c r="VQT179" s="50"/>
      <c r="VQU179" s="50"/>
      <c r="VQV179" s="50"/>
      <c r="VQW179" s="50"/>
      <c r="VQX179" s="50"/>
      <c r="VQY179" s="50"/>
      <c r="VQZ179" s="50"/>
      <c r="VRA179" s="50"/>
      <c r="VRB179" s="50"/>
      <c r="VRC179" s="50"/>
      <c r="VRD179" s="50"/>
      <c r="VRE179" s="50"/>
      <c r="VRF179" s="50"/>
      <c r="VRG179" s="50"/>
      <c r="VRH179" s="50"/>
      <c r="VRI179" s="50"/>
      <c r="VRJ179" s="50"/>
      <c r="VRK179" s="50"/>
      <c r="VRL179" s="50"/>
      <c r="VRM179" s="50"/>
      <c r="VRN179" s="50"/>
      <c r="VRO179" s="50"/>
      <c r="VRP179" s="50"/>
      <c r="VRQ179" s="50"/>
      <c r="VRR179" s="50"/>
      <c r="VRS179" s="50"/>
      <c r="VRT179" s="50"/>
      <c r="VRU179" s="50"/>
      <c r="VRV179" s="50"/>
      <c r="VRW179" s="50"/>
      <c r="VRX179" s="50"/>
      <c r="VRY179" s="50"/>
      <c r="VRZ179" s="50"/>
      <c r="VSA179" s="50"/>
      <c r="VSB179" s="50"/>
      <c r="VSC179" s="50"/>
      <c r="VSD179" s="50"/>
      <c r="VSE179" s="50"/>
      <c r="VSF179" s="50"/>
      <c r="VSG179" s="50"/>
      <c r="VSH179" s="50"/>
      <c r="VSI179" s="50"/>
      <c r="VSJ179" s="50"/>
      <c r="VSK179" s="50"/>
      <c r="VSL179" s="50"/>
      <c r="VSM179" s="50"/>
      <c r="VSN179" s="50"/>
      <c r="VSO179" s="50"/>
      <c r="VSP179" s="50"/>
      <c r="VSQ179" s="50"/>
      <c r="VSR179" s="50"/>
      <c r="VSS179" s="50"/>
      <c r="VST179" s="50"/>
      <c r="VSU179" s="50"/>
      <c r="VSV179" s="50"/>
      <c r="VSW179" s="50"/>
      <c r="VSX179" s="50"/>
      <c r="VSY179" s="50"/>
      <c r="VSZ179" s="50"/>
      <c r="VTA179" s="50"/>
      <c r="VTB179" s="50"/>
      <c r="VTC179" s="50"/>
      <c r="VTD179" s="50"/>
      <c r="VTE179" s="50"/>
      <c r="VTF179" s="50"/>
      <c r="VTG179" s="50"/>
      <c r="VTH179" s="50"/>
      <c r="VTI179" s="50"/>
      <c r="VTJ179" s="50"/>
      <c r="VTK179" s="50"/>
      <c r="VTL179" s="50"/>
      <c r="VTM179" s="50"/>
      <c r="VTN179" s="50"/>
      <c r="VTO179" s="50"/>
      <c r="VTP179" s="50"/>
      <c r="VTQ179" s="50"/>
      <c r="VTR179" s="50"/>
      <c r="VTS179" s="50"/>
      <c r="VTT179" s="50"/>
      <c r="VTU179" s="50"/>
      <c r="VTV179" s="50"/>
      <c r="VTW179" s="50"/>
      <c r="VTX179" s="50"/>
      <c r="VTY179" s="50"/>
      <c r="VTZ179" s="50"/>
      <c r="VUA179" s="50"/>
      <c r="VUB179" s="50"/>
      <c r="VUC179" s="50"/>
      <c r="VUD179" s="50"/>
      <c r="VUE179" s="50"/>
      <c r="VUF179" s="50"/>
      <c r="VUG179" s="50"/>
      <c r="VUH179" s="50"/>
      <c r="VUI179" s="50"/>
      <c r="VUJ179" s="50"/>
      <c r="VUK179" s="50"/>
      <c r="VUL179" s="50"/>
      <c r="VUM179" s="50"/>
      <c r="VUN179" s="50"/>
      <c r="VUO179" s="50"/>
      <c r="VUP179" s="50"/>
      <c r="VUQ179" s="50"/>
      <c r="VUR179" s="50"/>
      <c r="VUS179" s="50"/>
      <c r="VUT179" s="50"/>
      <c r="VUU179" s="50"/>
      <c r="VUV179" s="50"/>
      <c r="VUW179" s="50"/>
      <c r="VUX179" s="50"/>
      <c r="VUY179" s="50"/>
      <c r="VUZ179" s="50"/>
      <c r="VVA179" s="50"/>
      <c r="VVB179" s="50"/>
      <c r="VVC179" s="50"/>
      <c r="VVD179" s="50"/>
      <c r="VVE179" s="50"/>
      <c r="VVF179" s="50"/>
      <c r="VVG179" s="50"/>
      <c r="VVH179" s="50"/>
      <c r="VVI179" s="50"/>
      <c r="VVJ179" s="50"/>
      <c r="VVK179" s="50"/>
      <c r="VVL179" s="50"/>
      <c r="VVM179" s="50"/>
      <c r="VVN179" s="50"/>
      <c r="VVO179" s="50"/>
      <c r="VVP179" s="50"/>
    </row>
    <row r="180" spans="3:102 15068:15460" s="1" customFormat="1" hidden="1" x14ac:dyDescent="0.25">
      <c r="C180" s="15"/>
      <c r="D180" s="30" t="s">
        <v>29</v>
      </c>
      <c r="E180" s="69"/>
      <c r="F180" s="1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N180" s="72" t="s">
        <v>29</v>
      </c>
      <c r="CX180" s="152"/>
    </row>
    <row r="181" spans="3:102 15068:15460" s="1" customFormat="1" hidden="1" x14ac:dyDescent="0.25">
      <c r="C181" s="15"/>
      <c r="D181" s="11" t="s">
        <v>117</v>
      </c>
      <c r="E181" s="136">
        <v>0.3</v>
      </c>
      <c r="F181" s="20" t="s">
        <v>25</v>
      </c>
      <c r="G181" s="34" t="e">
        <v>#DIV/0!</v>
      </c>
      <c r="H181" s="34" t="e">
        <v>#DIV/0!</v>
      </c>
      <c r="I181" s="34" t="e">
        <v>#DIV/0!</v>
      </c>
      <c r="J181" s="34" t="e">
        <v>#DIV/0!</v>
      </c>
      <c r="K181" s="34" t="e">
        <v>#DIV/0!</v>
      </c>
      <c r="L181" s="34" t="e">
        <v>#DIV/0!</v>
      </c>
      <c r="M181" s="34" t="e">
        <v>#DIV/0!</v>
      </c>
      <c r="N181" s="34" t="e">
        <v>#DIV/0!</v>
      </c>
      <c r="O181" s="34" t="e">
        <v>#DIV/0!</v>
      </c>
      <c r="P181" s="34" t="e">
        <v>#DIV/0!</v>
      </c>
      <c r="Q181" s="34" t="e">
        <v>#DIV/0!</v>
      </c>
      <c r="R181" s="34" t="e">
        <v>#DIV/0!</v>
      </c>
      <c r="S181" s="34" t="e">
        <v>#DIV/0!</v>
      </c>
      <c r="T181" s="34" t="e">
        <v>#DIV/0!</v>
      </c>
      <c r="U181" s="34" t="e">
        <v>#DIV/0!</v>
      </c>
      <c r="V181" s="34" t="e">
        <v>#DIV/0!</v>
      </c>
      <c r="W181" s="34" t="e">
        <v>#DIV/0!</v>
      </c>
      <c r="X181" s="34" t="e">
        <v>#DIV/0!</v>
      </c>
      <c r="Y181" s="34" t="e">
        <v>#DIV/0!</v>
      </c>
      <c r="Z181" s="34" t="e">
        <v>#DIV/0!</v>
      </c>
      <c r="AA181" s="34" t="e">
        <v>#DIV/0!</v>
      </c>
      <c r="AB181" s="34" t="e">
        <v>#DIV/0!</v>
      </c>
      <c r="AC181" s="34" t="e">
        <v>#DIV/0!</v>
      </c>
      <c r="AD181" s="34" t="e">
        <v>#DIV/0!</v>
      </c>
      <c r="AE181" s="34" t="e">
        <v>#DIV/0!</v>
      </c>
      <c r="AF181" s="34" t="e">
        <v>#DIV/0!</v>
      </c>
      <c r="AG181" s="34" t="e">
        <v>#DIV/0!</v>
      </c>
      <c r="AH181" s="34" t="e">
        <v>#DIV/0!</v>
      </c>
      <c r="AI181" s="34" t="e">
        <v>#DIV/0!</v>
      </c>
      <c r="AJ181" s="34"/>
      <c r="AK181" s="34"/>
      <c r="AL181" s="34" t="e">
        <v>#DIV/0!</v>
      </c>
      <c r="AN181" s="72"/>
      <c r="CX181" s="152"/>
    </row>
    <row r="182" spans="3:102 15068:15460" s="1" customFormat="1" hidden="1" x14ac:dyDescent="0.25">
      <c r="C182" s="15"/>
      <c r="D182" s="11" t="s">
        <v>27</v>
      </c>
      <c r="E182" s="136">
        <v>0.3</v>
      </c>
      <c r="F182" s="20" t="s">
        <v>25</v>
      </c>
      <c r="G182" s="34" t="e">
        <v>#DIV/0!</v>
      </c>
      <c r="H182" s="34" t="e">
        <v>#DIV/0!</v>
      </c>
      <c r="I182" s="34" t="e">
        <v>#DIV/0!</v>
      </c>
      <c r="J182" s="34" t="e">
        <v>#DIV/0!</v>
      </c>
      <c r="K182" s="34" t="e">
        <v>#DIV/0!</v>
      </c>
      <c r="L182" s="34" t="e">
        <v>#DIV/0!</v>
      </c>
      <c r="M182" s="34" t="e">
        <v>#DIV/0!</v>
      </c>
      <c r="N182" s="34" t="e">
        <v>#DIV/0!</v>
      </c>
      <c r="O182" s="34" t="e">
        <v>#DIV/0!</v>
      </c>
      <c r="P182" s="34" t="e">
        <v>#DIV/0!</v>
      </c>
      <c r="Q182" s="34" t="e">
        <v>#DIV/0!</v>
      </c>
      <c r="R182" s="34" t="e">
        <v>#DIV/0!</v>
      </c>
      <c r="S182" s="34" t="e">
        <v>#DIV/0!</v>
      </c>
      <c r="T182" s="34" t="e">
        <v>#DIV/0!</v>
      </c>
      <c r="U182" s="34" t="e">
        <v>#DIV/0!</v>
      </c>
      <c r="V182" s="34" t="e">
        <v>#DIV/0!</v>
      </c>
      <c r="W182" s="34" t="e">
        <v>#DIV/0!</v>
      </c>
      <c r="X182" s="34" t="e">
        <v>#DIV/0!</v>
      </c>
      <c r="Y182" s="34" t="e">
        <v>#DIV/0!</v>
      </c>
      <c r="Z182" s="34" t="e">
        <v>#DIV/0!</v>
      </c>
      <c r="AA182" s="34" t="e">
        <v>#DIV/0!</v>
      </c>
      <c r="AB182" s="34" t="e">
        <v>#DIV/0!</v>
      </c>
      <c r="AC182" s="34" t="e">
        <v>#DIV/0!</v>
      </c>
      <c r="AD182" s="34" t="e">
        <v>#DIV/0!</v>
      </c>
      <c r="AE182" s="34" t="e">
        <v>#DIV/0!</v>
      </c>
      <c r="AF182" s="34" t="e">
        <v>#DIV/0!</v>
      </c>
      <c r="AG182" s="34" t="e">
        <v>#DIV/0!</v>
      </c>
      <c r="AH182" s="34" t="e">
        <v>#DIV/0!</v>
      </c>
      <c r="AI182" s="34" t="e">
        <v>#DIV/0!</v>
      </c>
      <c r="AJ182" s="34"/>
      <c r="AK182" s="34"/>
      <c r="AL182" s="34" t="e">
        <v>#DIV/0!</v>
      </c>
      <c r="AN182" s="67" t="e">
        <v>#DIV/0!</v>
      </c>
      <c r="CX182" s="152"/>
    </row>
    <row r="183" spans="3:102 15068:15460" s="1" customFormat="1" hidden="1" x14ac:dyDescent="0.25">
      <c r="C183" s="15"/>
      <c r="D183" s="11" t="s">
        <v>26</v>
      </c>
      <c r="E183" s="136">
        <v>0.3</v>
      </c>
      <c r="F183" s="20" t="s">
        <v>25</v>
      </c>
      <c r="G183" s="34" t="e">
        <v>#DIV/0!</v>
      </c>
      <c r="H183" s="34" t="e">
        <v>#DIV/0!</v>
      </c>
      <c r="I183" s="34" t="e">
        <v>#DIV/0!</v>
      </c>
      <c r="J183" s="34" t="e">
        <v>#DIV/0!</v>
      </c>
      <c r="K183" s="34" t="e">
        <v>#DIV/0!</v>
      </c>
      <c r="L183" s="34" t="e">
        <v>#DIV/0!</v>
      </c>
      <c r="M183" s="34" t="e">
        <v>#DIV/0!</v>
      </c>
      <c r="N183" s="34" t="e">
        <v>#DIV/0!</v>
      </c>
      <c r="O183" s="34" t="e">
        <v>#DIV/0!</v>
      </c>
      <c r="P183" s="34" t="e">
        <v>#DIV/0!</v>
      </c>
      <c r="Q183" s="34" t="e">
        <v>#DIV/0!</v>
      </c>
      <c r="R183" s="34" t="e">
        <v>#DIV/0!</v>
      </c>
      <c r="S183" s="34" t="e">
        <v>#DIV/0!</v>
      </c>
      <c r="T183" s="34" t="e">
        <v>#DIV/0!</v>
      </c>
      <c r="U183" s="34" t="e">
        <v>#DIV/0!</v>
      </c>
      <c r="V183" s="34" t="e">
        <v>#DIV/0!</v>
      </c>
      <c r="W183" s="34" t="e">
        <v>#DIV/0!</v>
      </c>
      <c r="X183" s="34" t="e">
        <v>#DIV/0!</v>
      </c>
      <c r="Y183" s="34" t="e">
        <v>#DIV/0!</v>
      </c>
      <c r="Z183" s="34" t="e">
        <v>#DIV/0!</v>
      </c>
      <c r="AA183" s="34" t="e">
        <v>#DIV/0!</v>
      </c>
      <c r="AB183" s="34" t="e">
        <v>#DIV/0!</v>
      </c>
      <c r="AC183" s="34" t="e">
        <v>#DIV/0!</v>
      </c>
      <c r="AD183" s="34" t="e">
        <v>#DIV/0!</v>
      </c>
      <c r="AE183" s="34" t="e">
        <v>#DIV/0!</v>
      </c>
      <c r="AF183" s="34" t="e">
        <v>#DIV/0!</v>
      </c>
      <c r="AG183" s="34" t="e">
        <v>#DIV/0!</v>
      </c>
      <c r="AH183" s="34" t="e">
        <v>#DIV/0!</v>
      </c>
      <c r="AI183" s="34" t="e">
        <v>#DIV/0!</v>
      </c>
      <c r="AJ183" s="34"/>
      <c r="AK183" s="34"/>
      <c r="AL183" s="34" t="e">
        <v>#DIV/0!</v>
      </c>
      <c r="AN183" s="67" t="e">
        <v>#DIV/0!</v>
      </c>
      <c r="CX183" s="152"/>
    </row>
    <row r="184" spans="3:102 15068:15460" s="1" customFormat="1" hidden="1" x14ac:dyDescent="0.25">
      <c r="C184" s="15"/>
      <c r="D184" s="30" t="s">
        <v>28</v>
      </c>
      <c r="E184" s="136"/>
      <c r="F184" s="13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N184" s="72" t="s">
        <v>28</v>
      </c>
      <c r="CX184" s="152"/>
    </row>
    <row r="185" spans="3:102 15068:15460" s="1" customFormat="1" hidden="1" x14ac:dyDescent="0.25">
      <c r="C185" s="15"/>
      <c r="D185" s="11" t="s">
        <v>117</v>
      </c>
      <c r="E185" s="136">
        <v>0.5</v>
      </c>
      <c r="F185" s="20" t="s">
        <v>25</v>
      </c>
      <c r="G185" s="34" t="e">
        <v>#DIV/0!</v>
      </c>
      <c r="H185" s="34" t="e">
        <v>#DIV/0!</v>
      </c>
      <c r="I185" s="34" t="e">
        <v>#DIV/0!</v>
      </c>
      <c r="J185" s="34" t="e">
        <v>#DIV/0!</v>
      </c>
      <c r="K185" s="34" t="e">
        <v>#DIV/0!</v>
      </c>
      <c r="L185" s="34" t="e">
        <v>#DIV/0!</v>
      </c>
      <c r="M185" s="34" t="e">
        <v>#DIV/0!</v>
      </c>
      <c r="N185" s="34" t="e">
        <v>#DIV/0!</v>
      </c>
      <c r="O185" s="34" t="e">
        <v>#DIV/0!</v>
      </c>
      <c r="P185" s="34" t="e">
        <v>#DIV/0!</v>
      </c>
      <c r="Q185" s="34" t="e">
        <v>#DIV/0!</v>
      </c>
      <c r="R185" s="34" t="e">
        <v>#DIV/0!</v>
      </c>
      <c r="S185" s="34" t="e">
        <v>#DIV/0!</v>
      </c>
      <c r="T185" s="34" t="e">
        <v>#DIV/0!</v>
      </c>
      <c r="U185" s="34" t="e">
        <v>#DIV/0!</v>
      </c>
      <c r="V185" s="34" t="e">
        <v>#DIV/0!</v>
      </c>
      <c r="W185" s="34" t="e">
        <v>#DIV/0!</v>
      </c>
      <c r="X185" s="34" t="e">
        <v>#DIV/0!</v>
      </c>
      <c r="Y185" s="34" t="e">
        <v>#DIV/0!</v>
      </c>
      <c r="Z185" s="34" t="e">
        <v>#DIV/0!</v>
      </c>
      <c r="AA185" s="34" t="e">
        <v>#DIV/0!</v>
      </c>
      <c r="AB185" s="34" t="e">
        <v>#DIV/0!</v>
      </c>
      <c r="AC185" s="34" t="e">
        <v>#DIV/0!</v>
      </c>
      <c r="AD185" s="34" t="e">
        <v>#DIV/0!</v>
      </c>
      <c r="AE185" s="34" t="e">
        <v>#DIV/0!</v>
      </c>
      <c r="AF185" s="34" t="e">
        <v>#DIV/0!</v>
      </c>
      <c r="AG185" s="34" t="e">
        <v>#DIV/0!</v>
      </c>
      <c r="AH185" s="34" t="e">
        <v>#DIV/0!</v>
      </c>
      <c r="AI185" s="34" t="e">
        <v>#DIV/0!</v>
      </c>
      <c r="AJ185" s="34"/>
      <c r="AK185" s="34"/>
      <c r="AL185" s="34" t="e">
        <v>#DIV/0!</v>
      </c>
      <c r="AN185" s="72"/>
      <c r="CX185" s="152"/>
    </row>
    <row r="186" spans="3:102 15068:15460" s="1" customFormat="1" hidden="1" x14ac:dyDescent="0.25">
      <c r="C186" s="15"/>
      <c r="D186" s="11" t="s">
        <v>27</v>
      </c>
      <c r="E186" s="136">
        <v>0.5</v>
      </c>
      <c r="F186" s="20" t="s">
        <v>25</v>
      </c>
      <c r="G186" s="34" t="e">
        <v>#DIV/0!</v>
      </c>
      <c r="H186" s="34" t="e">
        <v>#DIV/0!</v>
      </c>
      <c r="I186" s="34" t="e">
        <v>#DIV/0!</v>
      </c>
      <c r="J186" s="34" t="e">
        <v>#DIV/0!</v>
      </c>
      <c r="K186" s="34" t="e">
        <v>#DIV/0!</v>
      </c>
      <c r="L186" s="34" t="e">
        <v>#DIV/0!</v>
      </c>
      <c r="M186" s="34" t="e">
        <v>#DIV/0!</v>
      </c>
      <c r="N186" s="34" t="e">
        <v>#DIV/0!</v>
      </c>
      <c r="O186" s="34" t="e">
        <v>#DIV/0!</v>
      </c>
      <c r="P186" s="34" t="e">
        <v>#DIV/0!</v>
      </c>
      <c r="Q186" s="34" t="e">
        <v>#DIV/0!</v>
      </c>
      <c r="R186" s="34" t="e">
        <v>#DIV/0!</v>
      </c>
      <c r="S186" s="34" t="e">
        <v>#DIV/0!</v>
      </c>
      <c r="T186" s="34" t="e">
        <v>#DIV/0!</v>
      </c>
      <c r="U186" s="34" t="e">
        <v>#DIV/0!</v>
      </c>
      <c r="V186" s="34" t="e">
        <v>#DIV/0!</v>
      </c>
      <c r="W186" s="34" t="e">
        <v>#DIV/0!</v>
      </c>
      <c r="X186" s="34" t="e">
        <v>#DIV/0!</v>
      </c>
      <c r="Y186" s="34" t="e">
        <v>#DIV/0!</v>
      </c>
      <c r="Z186" s="34" t="e">
        <v>#DIV/0!</v>
      </c>
      <c r="AA186" s="34" t="e">
        <v>#DIV/0!</v>
      </c>
      <c r="AB186" s="34" t="e">
        <v>#DIV/0!</v>
      </c>
      <c r="AC186" s="34" t="e">
        <v>#DIV/0!</v>
      </c>
      <c r="AD186" s="34" t="e">
        <v>#DIV/0!</v>
      </c>
      <c r="AE186" s="34" t="e">
        <v>#DIV/0!</v>
      </c>
      <c r="AF186" s="34" t="e">
        <v>#DIV/0!</v>
      </c>
      <c r="AG186" s="34" t="e">
        <v>#DIV/0!</v>
      </c>
      <c r="AH186" s="34" t="e">
        <v>#DIV/0!</v>
      </c>
      <c r="AI186" s="34" t="e">
        <v>#DIV/0!</v>
      </c>
      <c r="AJ186" s="34"/>
      <c r="AK186" s="34"/>
      <c r="AL186" s="34" t="e">
        <v>#DIV/0!</v>
      </c>
      <c r="AN186" s="67" t="e">
        <v>#DIV/0!</v>
      </c>
      <c r="CX186" s="152"/>
    </row>
    <row r="187" spans="3:102 15068:15460" s="1" customFormat="1" ht="15.75" hidden="1" thickBot="1" x14ac:dyDescent="0.3">
      <c r="C187" s="19"/>
      <c r="D187" s="11" t="s">
        <v>26</v>
      </c>
      <c r="E187" s="136">
        <v>0.5</v>
      </c>
      <c r="F187" s="20" t="s">
        <v>25</v>
      </c>
      <c r="G187" s="34" t="e">
        <v>#DIV/0!</v>
      </c>
      <c r="H187" s="34" t="e">
        <v>#DIV/0!</v>
      </c>
      <c r="I187" s="34" t="e">
        <v>#DIV/0!</v>
      </c>
      <c r="J187" s="34" t="e">
        <v>#DIV/0!</v>
      </c>
      <c r="K187" s="34" t="e">
        <v>#DIV/0!</v>
      </c>
      <c r="L187" s="34" t="e">
        <v>#DIV/0!</v>
      </c>
      <c r="M187" s="34" t="e">
        <v>#DIV/0!</v>
      </c>
      <c r="N187" s="34" t="e">
        <v>#DIV/0!</v>
      </c>
      <c r="O187" s="34" t="e">
        <v>#DIV/0!</v>
      </c>
      <c r="P187" s="34" t="e">
        <v>#DIV/0!</v>
      </c>
      <c r="Q187" s="34" t="e">
        <v>#DIV/0!</v>
      </c>
      <c r="R187" s="34" t="e">
        <v>#DIV/0!</v>
      </c>
      <c r="S187" s="34" t="e">
        <v>#DIV/0!</v>
      </c>
      <c r="T187" s="34" t="e">
        <v>#DIV/0!</v>
      </c>
      <c r="U187" s="34" t="e">
        <v>#DIV/0!</v>
      </c>
      <c r="V187" s="34" t="e">
        <v>#DIV/0!</v>
      </c>
      <c r="W187" s="34" t="e">
        <v>#DIV/0!</v>
      </c>
      <c r="X187" s="34" t="e">
        <v>#DIV/0!</v>
      </c>
      <c r="Y187" s="34" t="e">
        <v>#DIV/0!</v>
      </c>
      <c r="Z187" s="34" t="e">
        <v>#DIV/0!</v>
      </c>
      <c r="AA187" s="34" t="e">
        <v>#DIV/0!</v>
      </c>
      <c r="AB187" s="34" t="e">
        <v>#DIV/0!</v>
      </c>
      <c r="AC187" s="34" t="e">
        <v>#DIV/0!</v>
      </c>
      <c r="AD187" s="34" t="e">
        <v>#DIV/0!</v>
      </c>
      <c r="AE187" s="34" t="e">
        <v>#DIV/0!</v>
      </c>
      <c r="AF187" s="34" t="e">
        <v>#DIV/0!</v>
      </c>
      <c r="AG187" s="34" t="e">
        <v>#DIV/0!</v>
      </c>
      <c r="AH187" s="34" t="e">
        <v>#DIV/0!</v>
      </c>
      <c r="AI187" s="34" t="e">
        <v>#DIV/0!</v>
      </c>
      <c r="AJ187" s="34"/>
      <c r="AK187" s="34"/>
      <c r="AL187" s="34" t="e">
        <v>#DIV/0!</v>
      </c>
      <c r="AN187" s="67" t="e">
        <v>#DIV/0!</v>
      </c>
      <c r="CX187" s="152"/>
    </row>
    <row r="188" spans="3:102 15068:15460" s="1" customFormat="1" hidden="1" x14ac:dyDescent="0.25">
      <c r="C188" s="8">
        <v>7</v>
      </c>
      <c r="D188" s="53" t="s">
        <v>88</v>
      </c>
      <c r="E188" s="137"/>
      <c r="F188" s="138"/>
      <c r="G188" s="303"/>
      <c r="H188" s="303"/>
      <c r="I188" s="303"/>
      <c r="J188" s="303"/>
      <c r="K188" s="303"/>
      <c r="L188" s="303"/>
      <c r="M188" s="303"/>
      <c r="N188" s="303"/>
      <c r="O188" s="303"/>
      <c r="P188" s="303"/>
      <c r="Q188" s="303"/>
      <c r="R188" s="303"/>
      <c r="S188" s="303"/>
      <c r="T188" s="303"/>
      <c r="U188" s="303"/>
      <c r="V188" s="303"/>
      <c r="W188" s="303"/>
      <c r="X188" s="303"/>
      <c r="Y188" s="303"/>
      <c r="Z188" s="303"/>
      <c r="AA188" s="303"/>
      <c r="AB188" s="303"/>
      <c r="AC188" s="303"/>
      <c r="AD188" s="303"/>
      <c r="AE188" s="303"/>
      <c r="AF188" s="303"/>
      <c r="AG188" s="303"/>
      <c r="AH188" s="303"/>
      <c r="AI188" s="303"/>
      <c r="AJ188" s="303"/>
      <c r="AK188" s="303"/>
      <c r="AL188" s="303"/>
      <c r="AM188" s="139"/>
      <c r="AN188" s="87" t="s">
        <v>131</v>
      </c>
    </row>
    <row r="189" spans="3:102 15068:15460" s="1" customFormat="1" hidden="1" x14ac:dyDescent="0.25">
      <c r="C189" s="15"/>
      <c r="D189" s="26" t="s">
        <v>93</v>
      </c>
      <c r="E189" s="136"/>
      <c r="F189" s="20" t="s">
        <v>14</v>
      </c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18"/>
      <c r="AN189" s="98">
        <v>0</v>
      </c>
    </row>
    <row r="190" spans="3:102 15068:15460" s="1" customFormat="1" hidden="1" x14ac:dyDescent="0.25">
      <c r="C190" s="15"/>
      <c r="D190" s="11" t="s">
        <v>94</v>
      </c>
      <c r="E190" s="136"/>
      <c r="F190" s="20" t="s">
        <v>14</v>
      </c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18"/>
      <c r="AN190" s="98">
        <v>0</v>
      </c>
    </row>
    <row r="191" spans="3:102 15068:15460" s="1" customFormat="1" hidden="1" x14ac:dyDescent="0.25">
      <c r="C191" s="15"/>
      <c r="D191" s="11" t="s">
        <v>39</v>
      </c>
      <c r="E191" s="136"/>
      <c r="F191" s="20" t="s">
        <v>14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4">
        <v>0</v>
      </c>
      <c r="U191" s="34">
        <v>0</v>
      </c>
      <c r="V191" s="34">
        <v>0</v>
      </c>
      <c r="W191" s="34">
        <v>0</v>
      </c>
      <c r="X191" s="34">
        <v>0</v>
      </c>
      <c r="Y191" s="34">
        <v>0</v>
      </c>
      <c r="Z191" s="34">
        <v>0</v>
      </c>
      <c r="AA191" s="34">
        <v>0</v>
      </c>
      <c r="AB191" s="34">
        <v>0</v>
      </c>
      <c r="AC191" s="34">
        <v>0</v>
      </c>
      <c r="AD191" s="34">
        <v>0</v>
      </c>
      <c r="AE191" s="34">
        <v>0</v>
      </c>
      <c r="AF191" s="34">
        <v>0</v>
      </c>
      <c r="AG191" s="34">
        <v>0</v>
      </c>
      <c r="AH191" s="34">
        <v>0</v>
      </c>
      <c r="AI191" s="34">
        <v>0</v>
      </c>
      <c r="AJ191" s="34"/>
      <c r="AK191" s="34"/>
      <c r="AL191" s="34">
        <v>0</v>
      </c>
      <c r="AM191" s="18"/>
      <c r="AN191" s="98">
        <v>0</v>
      </c>
    </row>
    <row r="192" spans="3:102 15068:15460" s="1" customFormat="1" hidden="1" x14ac:dyDescent="0.25">
      <c r="C192" s="15"/>
      <c r="D192" s="11" t="s">
        <v>38</v>
      </c>
      <c r="E192" s="136"/>
      <c r="F192" s="20" t="s">
        <v>14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4">
        <v>0</v>
      </c>
      <c r="U192" s="34">
        <v>0</v>
      </c>
      <c r="V192" s="34">
        <v>0</v>
      </c>
      <c r="W192" s="34">
        <v>0</v>
      </c>
      <c r="X192" s="34">
        <v>0</v>
      </c>
      <c r="Y192" s="34">
        <v>0</v>
      </c>
      <c r="Z192" s="34">
        <v>0</v>
      </c>
      <c r="AA192" s="34">
        <v>0</v>
      </c>
      <c r="AB192" s="34">
        <v>0</v>
      </c>
      <c r="AC192" s="34">
        <v>0</v>
      </c>
      <c r="AD192" s="34">
        <v>0</v>
      </c>
      <c r="AE192" s="34">
        <v>0</v>
      </c>
      <c r="AF192" s="34">
        <v>0</v>
      </c>
      <c r="AG192" s="34">
        <v>0</v>
      </c>
      <c r="AH192" s="34">
        <v>0</v>
      </c>
      <c r="AI192" s="34">
        <v>0</v>
      </c>
      <c r="AJ192" s="34"/>
      <c r="AK192" s="34"/>
      <c r="AL192" s="34">
        <v>0</v>
      </c>
      <c r="AM192" s="18"/>
      <c r="AN192" s="98">
        <v>0</v>
      </c>
    </row>
    <row r="193" spans="3:40" s="1" customFormat="1" hidden="1" x14ac:dyDescent="0.25">
      <c r="C193" s="15"/>
      <c r="D193" s="30" t="s">
        <v>50</v>
      </c>
      <c r="E193" s="136"/>
      <c r="F193" s="13" t="s">
        <v>14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4">
        <v>0</v>
      </c>
      <c r="U193" s="34">
        <v>0</v>
      </c>
      <c r="V193" s="34">
        <v>0</v>
      </c>
      <c r="W193" s="34">
        <v>0</v>
      </c>
      <c r="X193" s="34">
        <v>0</v>
      </c>
      <c r="Y193" s="34">
        <v>0</v>
      </c>
      <c r="Z193" s="34">
        <v>0</v>
      </c>
      <c r="AA193" s="34">
        <v>0</v>
      </c>
      <c r="AB193" s="34">
        <v>0</v>
      </c>
      <c r="AC193" s="34">
        <v>0</v>
      </c>
      <c r="AD193" s="34">
        <v>0</v>
      </c>
      <c r="AE193" s="34">
        <v>0</v>
      </c>
      <c r="AF193" s="34">
        <v>0</v>
      </c>
      <c r="AG193" s="34">
        <v>0</v>
      </c>
      <c r="AH193" s="34">
        <v>0</v>
      </c>
      <c r="AI193" s="34">
        <v>0</v>
      </c>
      <c r="AJ193" s="34"/>
      <c r="AK193" s="34"/>
      <c r="AL193" s="34">
        <v>0</v>
      </c>
      <c r="AM193" s="18"/>
      <c r="AN193" s="67">
        <v>0</v>
      </c>
    </row>
    <row r="194" spans="3:40" s="1" customFormat="1" hidden="1" x14ac:dyDescent="0.25">
      <c r="C194" s="15"/>
      <c r="D194" s="11" t="s">
        <v>29</v>
      </c>
      <c r="E194" s="136"/>
      <c r="F194" s="20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18"/>
      <c r="AN194" s="67" t="s">
        <v>29</v>
      </c>
    </row>
    <row r="195" spans="3:40" s="1" customFormat="1" hidden="1" x14ac:dyDescent="0.25">
      <c r="C195" s="15"/>
      <c r="D195" s="11" t="s">
        <v>89</v>
      </c>
      <c r="E195" s="136"/>
      <c r="F195" s="20" t="s">
        <v>31</v>
      </c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18"/>
      <c r="AN195" s="100">
        <v>0</v>
      </c>
    </row>
    <row r="196" spans="3:40" s="1" customFormat="1" hidden="1" x14ac:dyDescent="0.25">
      <c r="C196" s="15"/>
      <c r="D196" s="11" t="s">
        <v>118</v>
      </c>
      <c r="E196" s="136"/>
      <c r="F196" s="20" t="s">
        <v>31</v>
      </c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18"/>
      <c r="AN196" s="100">
        <v>0</v>
      </c>
    </row>
    <row r="197" spans="3:40" s="1" customFormat="1" hidden="1" x14ac:dyDescent="0.25">
      <c r="C197" s="15"/>
      <c r="D197" s="39" t="s">
        <v>28</v>
      </c>
      <c r="E197" s="136"/>
      <c r="F197" s="20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18"/>
      <c r="AN197" s="67" t="s">
        <v>28</v>
      </c>
    </row>
    <row r="198" spans="3:40" s="1" customFormat="1" hidden="1" x14ac:dyDescent="0.25">
      <c r="C198" s="15"/>
      <c r="D198" s="11" t="s">
        <v>89</v>
      </c>
      <c r="E198" s="136"/>
      <c r="F198" s="20" t="s">
        <v>28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33">
        <v>0</v>
      </c>
      <c r="T198" s="33">
        <v>0</v>
      </c>
      <c r="U198" s="33">
        <v>0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>
        <v>0</v>
      </c>
      <c r="AD198" s="33">
        <v>0</v>
      </c>
      <c r="AE198" s="33">
        <v>0</v>
      </c>
      <c r="AF198" s="33">
        <v>0</v>
      </c>
      <c r="AG198" s="33">
        <v>0</v>
      </c>
      <c r="AH198" s="33">
        <v>0</v>
      </c>
      <c r="AI198" s="33">
        <v>0</v>
      </c>
      <c r="AJ198" s="33"/>
      <c r="AK198" s="33"/>
      <c r="AL198" s="33">
        <v>0</v>
      </c>
      <c r="AM198" s="6"/>
      <c r="AN198" s="63">
        <v>0</v>
      </c>
    </row>
    <row r="199" spans="3:40" s="1" customFormat="1" hidden="1" x14ac:dyDescent="0.25">
      <c r="C199" s="15"/>
      <c r="D199" s="11" t="s">
        <v>118</v>
      </c>
      <c r="E199" s="136"/>
      <c r="F199" s="20" t="s">
        <v>28</v>
      </c>
      <c r="G199" s="33">
        <v>0</v>
      </c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6"/>
      <c r="AN199" s="63"/>
    </row>
    <row r="200" spans="3:40" s="1" customFormat="1" hidden="1" x14ac:dyDescent="0.25">
      <c r="C200" s="15"/>
      <c r="D200" s="11" t="s">
        <v>36</v>
      </c>
      <c r="E200" s="136"/>
      <c r="F200" s="20" t="s">
        <v>35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3">
        <v>0</v>
      </c>
      <c r="O200" s="33">
        <v>0</v>
      </c>
      <c r="P200" s="33">
        <v>0</v>
      </c>
      <c r="Q200" s="33">
        <v>0</v>
      </c>
      <c r="R200" s="33">
        <v>0</v>
      </c>
      <c r="S200" s="33">
        <v>0</v>
      </c>
      <c r="T200" s="33">
        <v>0</v>
      </c>
      <c r="U200" s="33">
        <v>0</v>
      </c>
      <c r="V200" s="33">
        <v>0</v>
      </c>
      <c r="W200" s="33">
        <v>0</v>
      </c>
      <c r="X200" s="33">
        <v>0</v>
      </c>
      <c r="Y200" s="33">
        <v>0</v>
      </c>
      <c r="Z200" s="33">
        <v>0</v>
      </c>
      <c r="AA200" s="33">
        <v>0</v>
      </c>
      <c r="AB200" s="33">
        <v>0</v>
      </c>
      <c r="AC200" s="33">
        <v>0</v>
      </c>
      <c r="AD200" s="33">
        <v>0</v>
      </c>
      <c r="AE200" s="33">
        <v>0</v>
      </c>
      <c r="AF200" s="33">
        <v>0</v>
      </c>
      <c r="AG200" s="33">
        <v>0</v>
      </c>
      <c r="AH200" s="33">
        <v>0</v>
      </c>
      <c r="AI200" s="33">
        <v>0</v>
      </c>
      <c r="AJ200" s="33"/>
      <c r="AK200" s="33"/>
      <c r="AL200" s="33">
        <v>0</v>
      </c>
      <c r="AM200" s="6"/>
      <c r="AN200" s="63">
        <v>0</v>
      </c>
    </row>
    <row r="201" spans="3:40" s="1" customFormat="1" hidden="1" x14ac:dyDescent="0.25">
      <c r="C201" s="15"/>
      <c r="D201" s="11" t="s">
        <v>34</v>
      </c>
      <c r="E201" s="136"/>
      <c r="F201" s="20" t="s">
        <v>33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0</v>
      </c>
      <c r="P201" s="33">
        <v>0</v>
      </c>
      <c r="Q201" s="33">
        <v>0</v>
      </c>
      <c r="R201" s="33">
        <v>0</v>
      </c>
      <c r="S201" s="33">
        <v>0</v>
      </c>
      <c r="T201" s="33">
        <v>0</v>
      </c>
      <c r="U201" s="33">
        <v>0</v>
      </c>
      <c r="V201" s="33">
        <v>0</v>
      </c>
      <c r="W201" s="33">
        <v>0</v>
      </c>
      <c r="X201" s="33">
        <v>0</v>
      </c>
      <c r="Y201" s="33">
        <v>0</v>
      </c>
      <c r="Z201" s="33">
        <v>0</v>
      </c>
      <c r="AA201" s="33">
        <v>0</v>
      </c>
      <c r="AB201" s="33">
        <v>0</v>
      </c>
      <c r="AC201" s="33">
        <v>0</v>
      </c>
      <c r="AD201" s="33">
        <v>0</v>
      </c>
      <c r="AE201" s="33">
        <v>0</v>
      </c>
      <c r="AF201" s="33">
        <v>0</v>
      </c>
      <c r="AG201" s="33">
        <v>0</v>
      </c>
      <c r="AH201" s="33">
        <v>0</v>
      </c>
      <c r="AI201" s="33">
        <v>0</v>
      </c>
      <c r="AJ201" s="33"/>
      <c r="AK201" s="33"/>
      <c r="AL201" s="33">
        <v>0</v>
      </c>
      <c r="AM201" s="6"/>
      <c r="AN201" s="105">
        <v>0</v>
      </c>
    </row>
    <row r="202" spans="3:40" s="1" customFormat="1" hidden="1" x14ac:dyDescent="0.25">
      <c r="C202" s="15"/>
      <c r="D202" s="53" t="s">
        <v>32</v>
      </c>
      <c r="E202" s="137"/>
      <c r="F202" s="101"/>
      <c r="G202" s="304"/>
      <c r="H202" s="304"/>
      <c r="I202" s="304"/>
      <c r="J202" s="304"/>
      <c r="K202" s="304"/>
      <c r="L202" s="304"/>
      <c r="M202" s="304"/>
      <c r="N202" s="304"/>
      <c r="O202" s="304"/>
      <c r="P202" s="304"/>
      <c r="Q202" s="304"/>
      <c r="R202" s="304"/>
      <c r="S202" s="304"/>
      <c r="T202" s="304"/>
      <c r="U202" s="304"/>
      <c r="V202" s="304"/>
      <c r="W202" s="304"/>
      <c r="X202" s="304"/>
      <c r="Y202" s="304"/>
      <c r="Z202" s="304"/>
      <c r="AA202" s="304"/>
      <c r="AB202" s="304"/>
      <c r="AC202" s="304"/>
      <c r="AD202" s="304"/>
      <c r="AE202" s="304"/>
      <c r="AF202" s="304"/>
      <c r="AG202" s="304"/>
      <c r="AH202" s="304"/>
      <c r="AI202" s="304"/>
      <c r="AJ202" s="304"/>
      <c r="AK202" s="304"/>
      <c r="AL202" s="304"/>
      <c r="AM202" s="106"/>
      <c r="AN202" s="107" t="s">
        <v>132</v>
      </c>
    </row>
    <row r="203" spans="3:40" s="1" customFormat="1" hidden="1" x14ac:dyDescent="0.25">
      <c r="C203" s="15"/>
      <c r="D203" s="11" t="s">
        <v>29</v>
      </c>
      <c r="E203" s="136"/>
      <c r="F203" s="20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18"/>
      <c r="AN203" s="67"/>
    </row>
    <row r="204" spans="3:40" s="1" customFormat="1" hidden="1" x14ac:dyDescent="0.25">
      <c r="C204" s="15"/>
      <c r="D204" s="11" t="s">
        <v>89</v>
      </c>
      <c r="E204" s="136"/>
      <c r="F204" s="20" t="s">
        <v>31</v>
      </c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18"/>
      <c r="AN204" s="100">
        <v>0</v>
      </c>
    </row>
    <row r="205" spans="3:40" s="1" customFormat="1" hidden="1" x14ac:dyDescent="0.25">
      <c r="C205" s="15"/>
      <c r="D205" s="11" t="s">
        <v>118</v>
      </c>
      <c r="E205" s="136"/>
      <c r="F205" s="20" t="s">
        <v>31</v>
      </c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18"/>
      <c r="AN205" s="100">
        <v>0</v>
      </c>
    </row>
    <row r="206" spans="3:40" s="1" customFormat="1" hidden="1" x14ac:dyDescent="0.25">
      <c r="C206" s="15"/>
      <c r="D206" s="11" t="s">
        <v>28</v>
      </c>
      <c r="E206" s="136"/>
      <c r="F206" s="20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18"/>
      <c r="AN206" s="67"/>
    </row>
    <row r="207" spans="3:40" s="1" customFormat="1" hidden="1" x14ac:dyDescent="0.25">
      <c r="C207" s="15"/>
      <c r="D207" s="11" t="s">
        <v>89</v>
      </c>
      <c r="E207" s="136"/>
      <c r="F207" s="20" t="s">
        <v>28</v>
      </c>
      <c r="G207" s="33">
        <v>0</v>
      </c>
      <c r="H207" s="33">
        <v>0</v>
      </c>
      <c r="I207" s="33">
        <v>0</v>
      </c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18"/>
      <c r="AN207" s="100">
        <v>0</v>
      </c>
    </row>
    <row r="208" spans="3:40" s="1" customFormat="1" hidden="1" x14ac:dyDescent="0.25">
      <c r="C208" s="15"/>
      <c r="D208" s="11" t="s">
        <v>118</v>
      </c>
      <c r="E208" s="136"/>
      <c r="F208" s="20" t="s">
        <v>28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0</v>
      </c>
      <c r="R208" s="33">
        <v>0</v>
      </c>
      <c r="S208" s="33">
        <v>0</v>
      </c>
      <c r="T208" s="33">
        <v>0</v>
      </c>
      <c r="U208" s="33">
        <v>0</v>
      </c>
      <c r="V208" s="33">
        <v>0</v>
      </c>
      <c r="W208" s="33">
        <v>0</v>
      </c>
      <c r="X208" s="33">
        <v>0</v>
      </c>
      <c r="Y208" s="33">
        <v>0</v>
      </c>
      <c r="Z208" s="33">
        <v>0</v>
      </c>
      <c r="AA208" s="33">
        <v>0</v>
      </c>
      <c r="AB208" s="33">
        <v>0</v>
      </c>
      <c r="AC208" s="33">
        <v>0</v>
      </c>
      <c r="AD208" s="33">
        <v>0</v>
      </c>
      <c r="AE208" s="33">
        <v>0</v>
      </c>
      <c r="AF208" s="33">
        <v>0</v>
      </c>
      <c r="AG208" s="33">
        <v>0</v>
      </c>
      <c r="AH208" s="33">
        <v>0</v>
      </c>
      <c r="AI208" s="33">
        <v>0</v>
      </c>
      <c r="AJ208" s="33"/>
      <c r="AK208" s="33"/>
      <c r="AL208" s="33">
        <v>0</v>
      </c>
      <c r="AM208" s="18"/>
      <c r="AN208" s="100">
        <v>0</v>
      </c>
    </row>
    <row r="209" spans="3:102 15068:15460" s="1" customFormat="1" hidden="1" x14ac:dyDescent="0.25">
      <c r="C209" s="15"/>
      <c r="D209" s="53" t="s">
        <v>30</v>
      </c>
      <c r="E209" s="140"/>
      <c r="F209" s="108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  <c r="AH209" s="286"/>
      <c r="AI209" s="286"/>
      <c r="AJ209" s="286"/>
      <c r="AK209" s="286"/>
      <c r="AL209" s="286"/>
      <c r="AM209" s="18"/>
      <c r="AN209" s="87" t="s">
        <v>132</v>
      </c>
    </row>
    <row r="210" spans="3:102 15068:15460" s="1" customFormat="1" hidden="1" x14ac:dyDescent="0.25">
      <c r="C210" s="15"/>
      <c r="D210" s="30" t="s">
        <v>29</v>
      </c>
      <c r="E210" s="136"/>
      <c r="F210" s="20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18"/>
      <c r="AN210" s="100"/>
    </row>
    <row r="211" spans="3:102 15068:15460" s="1" customFormat="1" hidden="1" x14ac:dyDescent="0.25">
      <c r="C211" s="15"/>
      <c r="D211" s="11" t="s">
        <v>89</v>
      </c>
      <c r="E211" s="136">
        <v>0.3</v>
      </c>
      <c r="F211" s="20" t="s">
        <v>25</v>
      </c>
      <c r="G211" s="33" t="e">
        <v>#DIV/0!</v>
      </c>
      <c r="H211" s="33" t="e">
        <v>#DIV/0!</v>
      </c>
      <c r="I211" s="33" t="e">
        <v>#DIV/0!</v>
      </c>
      <c r="J211" s="33" t="e">
        <v>#DIV/0!</v>
      </c>
      <c r="K211" s="33" t="e">
        <v>#DIV/0!</v>
      </c>
      <c r="L211" s="33" t="e">
        <v>#DIV/0!</v>
      </c>
      <c r="M211" s="33" t="e">
        <v>#DIV/0!</v>
      </c>
      <c r="N211" s="33" t="e">
        <v>#DIV/0!</v>
      </c>
      <c r="O211" s="33" t="e">
        <v>#DIV/0!</v>
      </c>
      <c r="P211" s="33" t="e">
        <v>#DIV/0!</v>
      </c>
      <c r="Q211" s="33" t="e">
        <v>#DIV/0!</v>
      </c>
      <c r="R211" s="33" t="e">
        <v>#DIV/0!</v>
      </c>
      <c r="S211" s="33" t="e">
        <v>#DIV/0!</v>
      </c>
      <c r="T211" s="33" t="e">
        <v>#DIV/0!</v>
      </c>
      <c r="U211" s="33" t="e">
        <v>#DIV/0!</v>
      </c>
      <c r="V211" s="33" t="e">
        <v>#DIV/0!</v>
      </c>
      <c r="W211" s="33" t="e">
        <v>#DIV/0!</v>
      </c>
      <c r="X211" s="33" t="e">
        <v>#DIV/0!</v>
      </c>
      <c r="Y211" s="33" t="e">
        <v>#DIV/0!</v>
      </c>
      <c r="Z211" s="33" t="e">
        <v>#DIV/0!</v>
      </c>
      <c r="AA211" s="33" t="e">
        <v>#DIV/0!</v>
      </c>
      <c r="AB211" s="33" t="e">
        <v>#DIV/0!</v>
      </c>
      <c r="AC211" s="33" t="e">
        <v>#DIV/0!</v>
      </c>
      <c r="AD211" s="33" t="e">
        <v>#DIV/0!</v>
      </c>
      <c r="AE211" s="33" t="e">
        <v>#DIV/0!</v>
      </c>
      <c r="AF211" s="33" t="e">
        <v>#DIV/0!</v>
      </c>
      <c r="AG211" s="33" t="e">
        <v>#DIV/0!</v>
      </c>
      <c r="AH211" s="33" t="e">
        <v>#DIV/0!</v>
      </c>
      <c r="AI211" s="33" t="e">
        <v>#DIV/0!</v>
      </c>
      <c r="AJ211" s="33"/>
      <c r="AK211" s="33"/>
      <c r="AL211" s="33" t="e">
        <v>#DIV/0!</v>
      </c>
      <c r="AM211" s="18"/>
      <c r="AN211" s="109" t="e">
        <v>#DIV/0!</v>
      </c>
    </row>
    <row r="212" spans="3:102 15068:15460" s="1" customFormat="1" hidden="1" x14ac:dyDescent="0.25">
      <c r="C212" s="15"/>
      <c r="D212" s="11" t="s">
        <v>118</v>
      </c>
      <c r="E212" s="136">
        <v>0.3</v>
      </c>
      <c r="F212" s="20" t="s">
        <v>25</v>
      </c>
      <c r="G212" s="33" t="e">
        <v>#DIV/0!</v>
      </c>
      <c r="H212" s="33" t="e">
        <v>#DIV/0!</v>
      </c>
      <c r="I212" s="33" t="e">
        <v>#DIV/0!</v>
      </c>
      <c r="J212" s="33" t="e">
        <v>#DIV/0!</v>
      </c>
      <c r="K212" s="33" t="e">
        <v>#DIV/0!</v>
      </c>
      <c r="L212" s="33" t="e">
        <v>#DIV/0!</v>
      </c>
      <c r="M212" s="33" t="e">
        <v>#DIV/0!</v>
      </c>
      <c r="N212" s="33" t="e">
        <v>#DIV/0!</v>
      </c>
      <c r="O212" s="33" t="e">
        <v>#DIV/0!</v>
      </c>
      <c r="P212" s="33" t="e">
        <v>#DIV/0!</v>
      </c>
      <c r="Q212" s="33" t="e">
        <v>#DIV/0!</v>
      </c>
      <c r="R212" s="33" t="e">
        <v>#DIV/0!</v>
      </c>
      <c r="S212" s="33" t="e">
        <v>#DIV/0!</v>
      </c>
      <c r="T212" s="33" t="e">
        <v>#DIV/0!</v>
      </c>
      <c r="U212" s="33" t="e">
        <v>#DIV/0!</v>
      </c>
      <c r="V212" s="33" t="e">
        <v>#DIV/0!</v>
      </c>
      <c r="W212" s="33" t="e">
        <v>#DIV/0!</v>
      </c>
      <c r="X212" s="33" t="e">
        <v>#DIV/0!</v>
      </c>
      <c r="Y212" s="33" t="e">
        <v>#DIV/0!</v>
      </c>
      <c r="Z212" s="33" t="e">
        <v>#DIV/0!</v>
      </c>
      <c r="AA212" s="33" t="e">
        <v>#DIV/0!</v>
      </c>
      <c r="AB212" s="33" t="e">
        <v>#DIV/0!</v>
      </c>
      <c r="AC212" s="33" t="e">
        <v>#DIV/0!</v>
      </c>
      <c r="AD212" s="33" t="e">
        <v>#DIV/0!</v>
      </c>
      <c r="AE212" s="33" t="e">
        <v>#DIV/0!</v>
      </c>
      <c r="AF212" s="33" t="e">
        <v>#DIV/0!</v>
      </c>
      <c r="AG212" s="33" t="e">
        <v>#DIV/0!</v>
      </c>
      <c r="AH212" s="33" t="e">
        <v>#DIV/0!</v>
      </c>
      <c r="AI212" s="33" t="e">
        <v>#DIV/0!</v>
      </c>
      <c r="AJ212" s="33"/>
      <c r="AK212" s="33"/>
      <c r="AL212" s="33" t="e">
        <v>#DIV/0!</v>
      </c>
      <c r="AM212" s="18"/>
      <c r="AN212" s="109" t="e">
        <v>#DIV/0!</v>
      </c>
    </row>
    <row r="213" spans="3:102 15068:15460" s="1" customFormat="1" hidden="1" x14ac:dyDescent="0.25">
      <c r="C213" s="15"/>
      <c r="D213" s="30" t="s">
        <v>28</v>
      </c>
      <c r="E213" s="136"/>
      <c r="F213" s="20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18"/>
      <c r="AN213" s="100"/>
    </row>
    <row r="214" spans="3:102 15068:15460" s="1" customFormat="1" hidden="1" x14ac:dyDescent="0.25">
      <c r="C214" s="15"/>
      <c r="D214" s="11" t="s">
        <v>89</v>
      </c>
      <c r="E214" s="136">
        <v>0.5</v>
      </c>
      <c r="F214" s="20" t="s">
        <v>25</v>
      </c>
      <c r="G214" s="33" t="e">
        <v>#DIV/0!</v>
      </c>
      <c r="H214" s="33" t="e">
        <v>#DIV/0!</v>
      </c>
      <c r="I214" s="33" t="e">
        <v>#DIV/0!</v>
      </c>
      <c r="J214" s="33" t="e">
        <v>#DIV/0!</v>
      </c>
      <c r="K214" s="33" t="e">
        <v>#DIV/0!</v>
      </c>
      <c r="L214" s="33" t="e">
        <v>#DIV/0!</v>
      </c>
      <c r="M214" s="33" t="e">
        <v>#DIV/0!</v>
      </c>
      <c r="N214" s="33" t="e">
        <v>#DIV/0!</v>
      </c>
      <c r="O214" s="33" t="e">
        <v>#DIV/0!</v>
      </c>
      <c r="P214" s="33" t="e">
        <v>#DIV/0!</v>
      </c>
      <c r="Q214" s="33" t="e">
        <v>#DIV/0!</v>
      </c>
      <c r="R214" s="33" t="e">
        <v>#DIV/0!</v>
      </c>
      <c r="S214" s="33" t="e">
        <v>#DIV/0!</v>
      </c>
      <c r="T214" s="33" t="e">
        <v>#DIV/0!</v>
      </c>
      <c r="U214" s="33" t="e">
        <v>#DIV/0!</v>
      </c>
      <c r="V214" s="33" t="e">
        <v>#DIV/0!</v>
      </c>
      <c r="W214" s="33" t="e">
        <v>#DIV/0!</v>
      </c>
      <c r="X214" s="33" t="e">
        <v>#DIV/0!</v>
      </c>
      <c r="Y214" s="33" t="e">
        <v>#DIV/0!</v>
      </c>
      <c r="Z214" s="33" t="e">
        <v>#DIV/0!</v>
      </c>
      <c r="AA214" s="33" t="e">
        <v>#DIV/0!</v>
      </c>
      <c r="AB214" s="33" t="e">
        <v>#DIV/0!</v>
      </c>
      <c r="AC214" s="33" t="e">
        <v>#DIV/0!</v>
      </c>
      <c r="AD214" s="33" t="e">
        <v>#DIV/0!</v>
      </c>
      <c r="AE214" s="33" t="e">
        <v>#DIV/0!</v>
      </c>
      <c r="AF214" s="33" t="e">
        <v>#DIV/0!</v>
      </c>
      <c r="AG214" s="33" t="e">
        <v>#DIV/0!</v>
      </c>
      <c r="AH214" s="33" t="e">
        <v>#DIV/0!</v>
      </c>
      <c r="AI214" s="33" t="e">
        <v>#DIV/0!</v>
      </c>
      <c r="AJ214" s="33"/>
      <c r="AK214" s="33"/>
      <c r="AL214" s="33" t="e">
        <v>#DIV/0!</v>
      </c>
      <c r="AM214" s="18"/>
      <c r="AN214" s="67" t="e">
        <v>#DIV/0!</v>
      </c>
    </row>
    <row r="215" spans="3:102 15068:15460" s="1" customFormat="1" hidden="1" x14ac:dyDescent="0.25">
      <c r="C215" s="15"/>
      <c r="D215" s="11" t="s">
        <v>118</v>
      </c>
      <c r="E215" s="136">
        <v>0.5</v>
      </c>
      <c r="F215" s="20" t="s">
        <v>25</v>
      </c>
      <c r="G215" s="33" t="e">
        <v>#DIV/0!</v>
      </c>
      <c r="H215" s="33" t="e">
        <v>#DIV/0!</v>
      </c>
      <c r="I215" s="33" t="e">
        <v>#DIV/0!</v>
      </c>
      <c r="J215" s="33" t="e">
        <v>#DIV/0!</v>
      </c>
      <c r="K215" s="33" t="e">
        <v>#DIV/0!</v>
      </c>
      <c r="L215" s="33" t="e">
        <v>#DIV/0!</v>
      </c>
      <c r="M215" s="33" t="e">
        <v>#DIV/0!</v>
      </c>
      <c r="N215" s="33" t="e">
        <v>#DIV/0!</v>
      </c>
      <c r="O215" s="33" t="e">
        <v>#DIV/0!</v>
      </c>
      <c r="P215" s="33" t="e">
        <v>#DIV/0!</v>
      </c>
      <c r="Q215" s="33" t="e">
        <v>#DIV/0!</v>
      </c>
      <c r="R215" s="33" t="e">
        <v>#DIV/0!</v>
      </c>
      <c r="S215" s="33" t="e">
        <v>#DIV/0!</v>
      </c>
      <c r="T215" s="33" t="e">
        <v>#DIV/0!</v>
      </c>
      <c r="U215" s="33" t="e">
        <v>#DIV/0!</v>
      </c>
      <c r="V215" s="33" t="e">
        <v>#DIV/0!</v>
      </c>
      <c r="W215" s="33" t="e">
        <v>#DIV/0!</v>
      </c>
      <c r="X215" s="33" t="e">
        <v>#DIV/0!</v>
      </c>
      <c r="Y215" s="33" t="e">
        <v>#DIV/0!</v>
      </c>
      <c r="Z215" s="33" t="e">
        <v>#DIV/0!</v>
      </c>
      <c r="AA215" s="33" t="e">
        <v>#DIV/0!</v>
      </c>
      <c r="AB215" s="33" t="e">
        <v>#DIV/0!</v>
      </c>
      <c r="AC215" s="33" t="e">
        <v>#DIV/0!</v>
      </c>
      <c r="AD215" s="33" t="e">
        <v>#DIV/0!</v>
      </c>
      <c r="AE215" s="33" t="e">
        <v>#DIV/0!</v>
      </c>
      <c r="AF215" s="33" t="e">
        <v>#DIV/0!</v>
      </c>
      <c r="AG215" s="33" t="e">
        <v>#DIV/0!</v>
      </c>
      <c r="AH215" s="33" t="e">
        <v>#DIV/0!</v>
      </c>
      <c r="AI215" s="33" t="e">
        <v>#DIV/0!</v>
      </c>
      <c r="AJ215" s="33"/>
      <c r="AK215" s="33"/>
      <c r="AL215" s="33" t="e">
        <v>#DIV/0!</v>
      </c>
      <c r="AM215" s="18"/>
      <c r="AN215" s="67" t="e">
        <v>#DIV/0!</v>
      </c>
    </row>
    <row r="216" spans="3:102 15068:15460" s="1" customFormat="1" hidden="1" x14ac:dyDescent="0.25">
      <c r="C216" s="15"/>
      <c r="D216" s="110" t="s">
        <v>95</v>
      </c>
      <c r="E216" s="141"/>
      <c r="F216" s="111" t="s">
        <v>14</v>
      </c>
      <c r="G216" s="305">
        <v>0</v>
      </c>
      <c r="H216" s="305">
        <v>0</v>
      </c>
      <c r="I216" s="305">
        <v>0</v>
      </c>
      <c r="J216" s="305">
        <v>0</v>
      </c>
      <c r="K216" s="305">
        <v>0</v>
      </c>
      <c r="L216" s="305">
        <v>0</v>
      </c>
      <c r="M216" s="305">
        <v>0</v>
      </c>
      <c r="N216" s="305">
        <v>0</v>
      </c>
      <c r="O216" s="305">
        <v>0</v>
      </c>
      <c r="P216" s="305">
        <v>0</v>
      </c>
      <c r="Q216" s="305">
        <v>0</v>
      </c>
      <c r="R216" s="305">
        <v>0</v>
      </c>
      <c r="S216" s="305">
        <v>0</v>
      </c>
      <c r="T216" s="305">
        <v>0</v>
      </c>
      <c r="U216" s="305">
        <v>0</v>
      </c>
      <c r="V216" s="305">
        <v>0</v>
      </c>
      <c r="W216" s="305">
        <v>0</v>
      </c>
      <c r="X216" s="305">
        <v>0</v>
      </c>
      <c r="Y216" s="305">
        <v>0</v>
      </c>
      <c r="Z216" s="305">
        <v>0</v>
      </c>
      <c r="AA216" s="305">
        <v>0</v>
      </c>
      <c r="AB216" s="305">
        <v>0</v>
      </c>
      <c r="AC216" s="305">
        <v>0</v>
      </c>
      <c r="AD216" s="305">
        <v>0</v>
      </c>
      <c r="AE216" s="305">
        <v>0</v>
      </c>
      <c r="AF216" s="305">
        <v>0</v>
      </c>
      <c r="AG216" s="305">
        <v>0</v>
      </c>
      <c r="AH216" s="305">
        <v>0</v>
      </c>
      <c r="AI216" s="305">
        <v>0</v>
      </c>
      <c r="AJ216" s="305"/>
      <c r="AK216" s="305"/>
      <c r="AL216" s="305">
        <v>0</v>
      </c>
      <c r="AM216" s="142"/>
      <c r="AN216" s="112">
        <v>0</v>
      </c>
    </row>
    <row r="217" spans="3:102 15068:15460" s="1" customFormat="1" hidden="1" x14ac:dyDescent="0.25">
      <c r="C217" s="15"/>
      <c r="D217" s="80" t="s">
        <v>119</v>
      </c>
      <c r="E217" s="143"/>
      <c r="F217" s="74" t="s">
        <v>14</v>
      </c>
      <c r="G217" s="306">
        <v>0</v>
      </c>
      <c r="H217" s="306">
        <v>0</v>
      </c>
      <c r="I217" s="306">
        <v>0</v>
      </c>
      <c r="J217" s="306">
        <v>0</v>
      </c>
      <c r="K217" s="306">
        <v>0</v>
      </c>
      <c r="L217" s="306">
        <v>0</v>
      </c>
      <c r="M217" s="306">
        <v>0</v>
      </c>
      <c r="N217" s="306">
        <v>0</v>
      </c>
      <c r="O217" s="306">
        <v>0</v>
      </c>
      <c r="P217" s="306">
        <v>0</v>
      </c>
      <c r="Q217" s="306">
        <v>0</v>
      </c>
      <c r="R217" s="306">
        <v>0</v>
      </c>
      <c r="S217" s="306">
        <v>0</v>
      </c>
      <c r="T217" s="306">
        <v>0</v>
      </c>
      <c r="U217" s="306">
        <v>0</v>
      </c>
      <c r="V217" s="306">
        <v>0</v>
      </c>
      <c r="W217" s="306">
        <v>0</v>
      </c>
      <c r="X217" s="306">
        <v>0</v>
      </c>
      <c r="Y217" s="306">
        <v>0</v>
      </c>
      <c r="Z217" s="306">
        <v>0</v>
      </c>
      <c r="AA217" s="306">
        <v>0</v>
      </c>
      <c r="AB217" s="306">
        <v>0</v>
      </c>
      <c r="AC217" s="306">
        <v>0</v>
      </c>
      <c r="AD217" s="306">
        <v>0</v>
      </c>
      <c r="AE217" s="306">
        <v>0</v>
      </c>
      <c r="AF217" s="306">
        <v>0</v>
      </c>
      <c r="AG217" s="306">
        <v>0</v>
      </c>
      <c r="AH217" s="306">
        <v>0</v>
      </c>
      <c r="AI217" s="306">
        <v>0</v>
      </c>
      <c r="AJ217" s="306"/>
      <c r="AK217" s="306"/>
      <c r="AL217" s="306">
        <v>0</v>
      </c>
      <c r="AM217" s="142"/>
      <c r="AN217" s="66">
        <v>0</v>
      </c>
    </row>
    <row r="218" spans="3:102 15068:15460" s="1" customFormat="1" hidden="1" x14ac:dyDescent="0.25">
      <c r="C218" s="15"/>
      <c r="D218" s="113" t="s">
        <v>90</v>
      </c>
      <c r="E218" s="144"/>
      <c r="F218" s="114" t="s">
        <v>14</v>
      </c>
      <c r="G218" s="307">
        <v>0</v>
      </c>
      <c r="H218" s="307">
        <v>0</v>
      </c>
      <c r="I218" s="307">
        <v>0</v>
      </c>
      <c r="J218" s="307">
        <v>0</v>
      </c>
      <c r="K218" s="307">
        <v>0</v>
      </c>
      <c r="L218" s="307">
        <v>0</v>
      </c>
      <c r="M218" s="307">
        <v>0</v>
      </c>
      <c r="N218" s="307">
        <v>0</v>
      </c>
      <c r="O218" s="307">
        <v>0</v>
      </c>
      <c r="P218" s="307">
        <v>0</v>
      </c>
      <c r="Q218" s="307">
        <v>0</v>
      </c>
      <c r="R218" s="307">
        <v>0</v>
      </c>
      <c r="S218" s="307">
        <v>0</v>
      </c>
      <c r="T218" s="307">
        <v>0</v>
      </c>
      <c r="U218" s="307">
        <v>0</v>
      </c>
      <c r="V218" s="307">
        <v>0</v>
      </c>
      <c r="W218" s="307">
        <v>0</v>
      </c>
      <c r="X218" s="307">
        <v>0</v>
      </c>
      <c r="Y218" s="307">
        <v>0</v>
      </c>
      <c r="Z218" s="307">
        <v>0</v>
      </c>
      <c r="AA218" s="307">
        <v>0</v>
      </c>
      <c r="AB218" s="307">
        <v>0</v>
      </c>
      <c r="AC218" s="307">
        <v>0</v>
      </c>
      <c r="AD218" s="307">
        <v>0</v>
      </c>
      <c r="AE218" s="307">
        <v>0</v>
      </c>
      <c r="AF218" s="307">
        <v>0</v>
      </c>
      <c r="AG218" s="307">
        <v>0</v>
      </c>
      <c r="AH218" s="307">
        <v>0</v>
      </c>
      <c r="AI218" s="307">
        <v>0</v>
      </c>
      <c r="AJ218" s="307"/>
      <c r="AK218" s="307"/>
      <c r="AL218" s="307">
        <v>0</v>
      </c>
      <c r="AM218" s="142"/>
      <c r="AN218" s="115">
        <v>0</v>
      </c>
    </row>
    <row r="219" spans="3:102 15068:15460" s="1" customFormat="1" hidden="1" x14ac:dyDescent="0.25">
      <c r="C219" s="15"/>
      <c r="D219" s="116" t="s">
        <v>91</v>
      </c>
      <c r="E219" s="145"/>
      <c r="F219" s="117" t="s">
        <v>87</v>
      </c>
      <c r="G219" s="308">
        <v>0</v>
      </c>
      <c r="H219" s="308">
        <v>0</v>
      </c>
      <c r="I219" s="308">
        <v>0</v>
      </c>
      <c r="J219" s="308">
        <v>0</v>
      </c>
      <c r="K219" s="308">
        <v>0</v>
      </c>
      <c r="L219" s="308">
        <v>0</v>
      </c>
      <c r="M219" s="308">
        <v>0</v>
      </c>
      <c r="N219" s="308">
        <v>0</v>
      </c>
      <c r="O219" s="308">
        <v>0</v>
      </c>
      <c r="P219" s="308">
        <v>0</v>
      </c>
      <c r="Q219" s="308">
        <v>0</v>
      </c>
      <c r="R219" s="308">
        <v>0</v>
      </c>
      <c r="S219" s="308">
        <v>0</v>
      </c>
      <c r="T219" s="308">
        <v>0</v>
      </c>
      <c r="U219" s="308">
        <v>0</v>
      </c>
      <c r="V219" s="308">
        <v>0</v>
      </c>
      <c r="W219" s="308">
        <v>0</v>
      </c>
      <c r="X219" s="308">
        <v>0</v>
      </c>
      <c r="Y219" s="308">
        <v>0</v>
      </c>
      <c r="Z219" s="308">
        <v>0</v>
      </c>
      <c r="AA219" s="308">
        <v>0</v>
      </c>
      <c r="AB219" s="308">
        <v>0</v>
      </c>
      <c r="AC219" s="308">
        <v>0</v>
      </c>
      <c r="AD219" s="308">
        <v>0</v>
      </c>
      <c r="AE219" s="308">
        <v>0</v>
      </c>
      <c r="AF219" s="308">
        <v>0</v>
      </c>
      <c r="AG219" s="308">
        <v>0</v>
      </c>
      <c r="AH219" s="308">
        <v>0</v>
      </c>
      <c r="AI219" s="308">
        <v>0</v>
      </c>
      <c r="AJ219" s="308"/>
      <c r="AK219" s="308"/>
      <c r="AL219" s="308">
        <v>0</v>
      </c>
      <c r="AM219" s="142"/>
      <c r="AN219" s="118">
        <v>0</v>
      </c>
    </row>
    <row r="220" spans="3:102 15068:15460" s="1" customFormat="1" hidden="1" x14ac:dyDescent="0.25">
      <c r="C220" s="15"/>
      <c r="D220" s="119" t="s">
        <v>96</v>
      </c>
      <c r="E220" s="145"/>
      <c r="F220" s="120" t="s">
        <v>14</v>
      </c>
      <c r="G220" s="309">
        <v>0</v>
      </c>
      <c r="H220" s="309">
        <v>0</v>
      </c>
      <c r="I220" s="309">
        <v>0</v>
      </c>
      <c r="J220" s="309">
        <v>0</v>
      </c>
      <c r="K220" s="309">
        <v>0</v>
      </c>
      <c r="L220" s="309">
        <v>0</v>
      </c>
      <c r="M220" s="309">
        <v>0</v>
      </c>
      <c r="N220" s="309">
        <v>0</v>
      </c>
      <c r="O220" s="309">
        <v>0</v>
      </c>
      <c r="P220" s="309">
        <v>0</v>
      </c>
      <c r="Q220" s="309">
        <v>0</v>
      </c>
      <c r="R220" s="309">
        <v>0</v>
      </c>
      <c r="S220" s="309">
        <v>0</v>
      </c>
      <c r="T220" s="309">
        <v>0</v>
      </c>
      <c r="U220" s="309">
        <v>0</v>
      </c>
      <c r="V220" s="309">
        <v>0</v>
      </c>
      <c r="W220" s="309">
        <v>0</v>
      </c>
      <c r="X220" s="309">
        <v>0</v>
      </c>
      <c r="Y220" s="309">
        <v>0</v>
      </c>
      <c r="Z220" s="309">
        <v>0</v>
      </c>
      <c r="AA220" s="309">
        <v>0</v>
      </c>
      <c r="AB220" s="309">
        <v>0</v>
      </c>
      <c r="AC220" s="309">
        <v>0</v>
      </c>
      <c r="AD220" s="309">
        <v>0</v>
      </c>
      <c r="AE220" s="309">
        <v>0</v>
      </c>
      <c r="AF220" s="309">
        <v>0</v>
      </c>
      <c r="AG220" s="309">
        <v>0</v>
      </c>
      <c r="AH220" s="309">
        <v>0</v>
      </c>
      <c r="AI220" s="309">
        <v>0</v>
      </c>
      <c r="AJ220" s="309"/>
      <c r="AK220" s="309"/>
      <c r="AL220" s="309">
        <v>0</v>
      </c>
      <c r="AM220" s="122"/>
      <c r="AN220" s="123">
        <v>0</v>
      </c>
    </row>
    <row r="221" spans="3:102 15068:15460" s="1" customFormat="1" x14ac:dyDescent="0.25">
      <c r="C221" s="8">
        <v>4</v>
      </c>
      <c r="D221" s="84" t="s">
        <v>24</v>
      </c>
      <c r="E221" s="54"/>
      <c r="F221" s="86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3"/>
      <c r="AN221" s="90" t="s">
        <v>133</v>
      </c>
      <c r="CX221" s="151"/>
      <c r="VGN221" s="50"/>
      <c r="VGO221" s="50"/>
      <c r="VGP221" s="50"/>
      <c r="VGQ221" s="50"/>
      <c r="VGR221" s="50"/>
      <c r="VGS221" s="50"/>
      <c r="VGT221" s="50"/>
      <c r="VGU221" s="50"/>
      <c r="VGV221" s="50"/>
      <c r="VGW221" s="50"/>
      <c r="VGX221" s="50"/>
      <c r="VGY221" s="50"/>
      <c r="VGZ221" s="50"/>
      <c r="VHA221" s="50"/>
      <c r="VHB221" s="50"/>
      <c r="VHC221" s="50"/>
      <c r="VHD221" s="50"/>
      <c r="VHE221" s="50"/>
      <c r="VHF221" s="50"/>
      <c r="VHG221" s="50"/>
      <c r="VHH221" s="50"/>
      <c r="VHI221" s="50"/>
      <c r="VHJ221" s="50"/>
      <c r="VHK221" s="50"/>
      <c r="VHL221" s="50"/>
      <c r="VHM221" s="50"/>
      <c r="VHN221" s="50"/>
      <c r="VHO221" s="50"/>
      <c r="VHP221" s="50"/>
      <c r="VHQ221" s="50"/>
      <c r="VHR221" s="50"/>
      <c r="VHS221" s="50"/>
      <c r="VHT221" s="50"/>
      <c r="VHU221" s="50"/>
      <c r="VHV221" s="50"/>
      <c r="VHW221" s="50"/>
      <c r="VHX221" s="50"/>
      <c r="VHY221" s="50"/>
      <c r="VHZ221" s="50"/>
      <c r="VIA221" s="50"/>
      <c r="VIB221" s="50"/>
      <c r="VIC221" s="50"/>
      <c r="VID221" s="50"/>
      <c r="VIE221" s="50"/>
      <c r="VIF221" s="50"/>
      <c r="VIG221" s="50"/>
      <c r="VIH221" s="50"/>
      <c r="VII221" s="50"/>
      <c r="VIJ221" s="50"/>
      <c r="VIK221" s="50"/>
      <c r="VIL221" s="50"/>
      <c r="VIM221" s="50"/>
      <c r="VIN221" s="50"/>
      <c r="VIO221" s="50"/>
      <c r="VIP221" s="50"/>
      <c r="VIQ221" s="50"/>
      <c r="VIR221" s="50"/>
      <c r="VIS221" s="50"/>
      <c r="VIT221" s="50"/>
      <c r="VIU221" s="50"/>
      <c r="VIV221" s="50"/>
      <c r="VIW221" s="50"/>
      <c r="VIX221" s="50"/>
      <c r="VIY221" s="50"/>
      <c r="VIZ221" s="50"/>
      <c r="VJA221" s="50"/>
      <c r="VJB221" s="50"/>
      <c r="VJC221" s="50"/>
      <c r="VJD221" s="50"/>
      <c r="VJE221" s="50"/>
      <c r="VJF221" s="50"/>
      <c r="VJG221" s="50"/>
      <c r="VJH221" s="50"/>
      <c r="VJI221" s="50"/>
      <c r="VJJ221" s="50"/>
      <c r="VJK221" s="50"/>
      <c r="VJL221" s="50"/>
      <c r="VJM221" s="50"/>
      <c r="VJN221" s="50"/>
      <c r="VJO221" s="50"/>
      <c r="VJP221" s="50"/>
      <c r="VJQ221" s="50"/>
      <c r="VJR221" s="50"/>
      <c r="VJS221" s="50"/>
      <c r="VJT221" s="50"/>
      <c r="VJU221" s="50"/>
      <c r="VJV221" s="50"/>
      <c r="VJW221" s="50"/>
      <c r="VJX221" s="50"/>
      <c r="VJY221" s="50"/>
      <c r="VJZ221" s="50"/>
      <c r="VKA221" s="50"/>
      <c r="VKB221" s="50"/>
      <c r="VKC221" s="50"/>
      <c r="VKD221" s="50"/>
      <c r="VKE221" s="50"/>
      <c r="VKF221" s="50"/>
      <c r="VKG221" s="50"/>
      <c r="VKH221" s="50"/>
      <c r="VKI221" s="50"/>
      <c r="VKJ221" s="50"/>
      <c r="VKK221" s="50"/>
      <c r="VKL221" s="50"/>
      <c r="VKM221" s="50"/>
      <c r="VKN221" s="50"/>
      <c r="VKO221" s="50"/>
      <c r="VKP221" s="50"/>
      <c r="VKQ221" s="50"/>
      <c r="VKR221" s="50"/>
      <c r="VKS221" s="50"/>
      <c r="VKT221" s="50"/>
      <c r="VKU221" s="50"/>
      <c r="VKV221" s="50"/>
      <c r="VKW221" s="50"/>
      <c r="VKX221" s="50"/>
      <c r="VKY221" s="50"/>
      <c r="VKZ221" s="50"/>
      <c r="VLA221" s="50"/>
      <c r="VLB221" s="50"/>
      <c r="VLC221" s="50"/>
      <c r="VLD221" s="50"/>
      <c r="VLE221" s="50"/>
      <c r="VLF221" s="50"/>
      <c r="VLG221" s="50"/>
      <c r="VLH221" s="50"/>
      <c r="VLI221" s="50"/>
      <c r="VLJ221" s="50"/>
      <c r="VLK221" s="50"/>
      <c r="VLL221" s="50"/>
      <c r="VLM221" s="50"/>
      <c r="VLN221" s="50"/>
      <c r="VLO221" s="50"/>
      <c r="VLP221" s="50"/>
      <c r="VLQ221" s="50"/>
      <c r="VLR221" s="50"/>
      <c r="VLS221" s="50"/>
      <c r="VLT221" s="50"/>
      <c r="VLU221" s="50"/>
      <c r="VLV221" s="50"/>
      <c r="VLW221" s="50"/>
      <c r="VLX221" s="50"/>
      <c r="VLY221" s="50"/>
      <c r="VLZ221" s="50"/>
      <c r="VMA221" s="50"/>
      <c r="VMB221" s="50"/>
      <c r="VMC221" s="50"/>
      <c r="VMD221" s="50"/>
      <c r="VME221" s="50"/>
      <c r="VMF221" s="50"/>
      <c r="VMG221" s="50"/>
      <c r="VMH221" s="50"/>
      <c r="VMI221" s="50"/>
      <c r="VMJ221" s="50"/>
      <c r="VMK221" s="50"/>
      <c r="VML221" s="50"/>
      <c r="VMM221" s="50"/>
      <c r="VMN221" s="50"/>
      <c r="VMO221" s="50"/>
      <c r="VMP221" s="50"/>
      <c r="VMQ221" s="50"/>
      <c r="VMR221" s="50"/>
      <c r="VMS221" s="50"/>
      <c r="VMT221" s="50"/>
      <c r="VMU221" s="50"/>
      <c r="VMV221" s="50"/>
      <c r="VMW221" s="50"/>
      <c r="VMX221" s="50"/>
      <c r="VMY221" s="50"/>
      <c r="VMZ221" s="50"/>
      <c r="VNA221" s="50"/>
      <c r="VNB221" s="50"/>
      <c r="VNC221" s="50"/>
      <c r="VND221" s="50"/>
      <c r="VNE221" s="50"/>
      <c r="VNF221" s="50"/>
      <c r="VNG221" s="50"/>
      <c r="VNH221" s="50"/>
      <c r="VNI221" s="50"/>
      <c r="VNJ221" s="50"/>
      <c r="VNK221" s="50"/>
      <c r="VNL221" s="50"/>
      <c r="VNM221" s="50"/>
      <c r="VNN221" s="50"/>
      <c r="VNO221" s="50"/>
      <c r="VNP221" s="50"/>
      <c r="VNQ221" s="50"/>
      <c r="VNR221" s="50"/>
      <c r="VNS221" s="50"/>
      <c r="VNT221" s="50"/>
      <c r="VNU221" s="50"/>
      <c r="VNV221" s="50"/>
      <c r="VNW221" s="50"/>
      <c r="VNX221" s="50"/>
      <c r="VNY221" s="50"/>
      <c r="VNZ221" s="50"/>
      <c r="VOA221" s="50"/>
      <c r="VOB221" s="50"/>
      <c r="VOC221" s="50"/>
      <c r="VOD221" s="50"/>
      <c r="VOE221" s="50"/>
      <c r="VOF221" s="50"/>
      <c r="VOG221" s="50"/>
      <c r="VOH221" s="50"/>
      <c r="VOI221" s="50"/>
      <c r="VOJ221" s="50"/>
      <c r="VOK221" s="50"/>
      <c r="VOL221" s="50"/>
      <c r="VOM221" s="50"/>
      <c r="VON221" s="50"/>
      <c r="VOO221" s="50"/>
      <c r="VOP221" s="50"/>
      <c r="VOQ221" s="50"/>
      <c r="VOR221" s="50"/>
      <c r="VOS221" s="50"/>
      <c r="VOT221" s="50"/>
      <c r="VOU221" s="50"/>
      <c r="VOV221" s="50"/>
      <c r="VOW221" s="50"/>
      <c r="VOX221" s="50"/>
      <c r="VOY221" s="50"/>
      <c r="VOZ221" s="50"/>
      <c r="VPA221" s="50"/>
      <c r="VPB221" s="50"/>
      <c r="VPC221" s="50"/>
      <c r="VPD221" s="50"/>
      <c r="VPE221" s="50"/>
      <c r="VPF221" s="50"/>
      <c r="VPG221" s="50"/>
      <c r="VPH221" s="50"/>
      <c r="VPI221" s="50"/>
      <c r="VPJ221" s="50"/>
      <c r="VPK221" s="50"/>
      <c r="VPL221" s="50"/>
      <c r="VPM221" s="50"/>
      <c r="VPN221" s="50"/>
      <c r="VPO221" s="50"/>
      <c r="VPP221" s="50"/>
      <c r="VPQ221" s="50"/>
      <c r="VPR221" s="50"/>
      <c r="VPS221" s="50"/>
      <c r="VPT221" s="50"/>
      <c r="VPU221" s="50"/>
      <c r="VPV221" s="50"/>
      <c r="VPW221" s="50"/>
      <c r="VPX221" s="50"/>
      <c r="VPY221" s="50"/>
      <c r="VPZ221" s="50"/>
      <c r="VQA221" s="50"/>
      <c r="VQB221" s="50"/>
      <c r="VQC221" s="50"/>
      <c r="VQD221" s="50"/>
      <c r="VQE221" s="50"/>
      <c r="VQF221" s="50"/>
      <c r="VQG221" s="50"/>
      <c r="VQH221" s="50"/>
      <c r="VQI221" s="50"/>
      <c r="VQJ221" s="50"/>
      <c r="VQK221" s="50"/>
      <c r="VQL221" s="50"/>
      <c r="VQM221" s="50"/>
      <c r="VQN221" s="50"/>
      <c r="VQO221" s="50"/>
      <c r="VQP221" s="50"/>
      <c r="VQQ221" s="50"/>
      <c r="VQR221" s="50"/>
      <c r="VQS221" s="50"/>
      <c r="VQT221" s="50"/>
      <c r="VQU221" s="50"/>
      <c r="VQV221" s="50"/>
      <c r="VQW221" s="50"/>
      <c r="VQX221" s="50"/>
      <c r="VQY221" s="50"/>
      <c r="VQZ221" s="50"/>
      <c r="VRA221" s="50"/>
      <c r="VRB221" s="50"/>
      <c r="VRC221" s="50"/>
      <c r="VRD221" s="50"/>
      <c r="VRE221" s="50"/>
      <c r="VRF221" s="50"/>
      <c r="VRG221" s="50"/>
      <c r="VRH221" s="50"/>
      <c r="VRI221" s="50"/>
      <c r="VRJ221" s="50"/>
      <c r="VRK221" s="50"/>
      <c r="VRL221" s="50"/>
      <c r="VRM221" s="50"/>
      <c r="VRN221" s="50"/>
      <c r="VRO221" s="50"/>
      <c r="VRP221" s="50"/>
      <c r="VRQ221" s="50"/>
      <c r="VRR221" s="50"/>
      <c r="VRS221" s="50"/>
      <c r="VRT221" s="50"/>
      <c r="VRU221" s="50"/>
      <c r="VRV221" s="50"/>
      <c r="VRW221" s="50"/>
      <c r="VRX221" s="50"/>
      <c r="VRY221" s="50"/>
      <c r="VRZ221" s="50"/>
      <c r="VSA221" s="50"/>
      <c r="VSB221" s="50"/>
      <c r="VSC221" s="50"/>
      <c r="VSD221" s="50"/>
      <c r="VSE221" s="50"/>
      <c r="VSF221" s="50"/>
      <c r="VSG221" s="50"/>
      <c r="VSH221" s="50"/>
      <c r="VSI221" s="50"/>
      <c r="VSJ221" s="50"/>
      <c r="VSK221" s="50"/>
      <c r="VSL221" s="50"/>
      <c r="VSM221" s="50"/>
      <c r="VSN221" s="50"/>
      <c r="VSO221" s="50"/>
      <c r="VSP221" s="50"/>
      <c r="VSQ221" s="50"/>
      <c r="VSR221" s="50"/>
      <c r="VSS221" s="50"/>
      <c r="VST221" s="50"/>
      <c r="VSU221" s="50"/>
      <c r="VSV221" s="50"/>
      <c r="VSW221" s="50"/>
      <c r="VSX221" s="50"/>
      <c r="VSY221" s="50"/>
      <c r="VSZ221" s="50"/>
      <c r="VTA221" s="50"/>
      <c r="VTB221" s="50"/>
      <c r="VTC221" s="50"/>
      <c r="VTD221" s="50"/>
      <c r="VTE221" s="50"/>
      <c r="VTF221" s="50"/>
      <c r="VTG221" s="50"/>
      <c r="VTH221" s="50"/>
      <c r="VTI221" s="50"/>
      <c r="VTJ221" s="50"/>
      <c r="VTK221" s="50"/>
      <c r="VTL221" s="50"/>
      <c r="VTM221" s="50"/>
      <c r="VTN221" s="50"/>
      <c r="VTO221" s="50"/>
      <c r="VTP221" s="50"/>
      <c r="VTQ221" s="50"/>
      <c r="VTR221" s="50"/>
      <c r="VTS221" s="50"/>
      <c r="VTT221" s="50"/>
      <c r="VTU221" s="50"/>
      <c r="VTV221" s="50"/>
      <c r="VTW221" s="50"/>
      <c r="VTX221" s="50"/>
      <c r="VTY221" s="50"/>
      <c r="VTZ221" s="50"/>
      <c r="VUA221" s="50"/>
      <c r="VUB221" s="50"/>
      <c r="VUC221" s="50"/>
      <c r="VUD221" s="50"/>
      <c r="VUE221" s="50"/>
      <c r="VUF221" s="50"/>
      <c r="VUG221" s="50"/>
      <c r="VUH221" s="50"/>
      <c r="VUI221" s="50"/>
      <c r="VUJ221" s="50"/>
      <c r="VUK221" s="50"/>
      <c r="VUL221" s="50"/>
      <c r="VUM221" s="50"/>
      <c r="VUN221" s="50"/>
      <c r="VUO221" s="50"/>
      <c r="VUP221" s="50"/>
      <c r="VUQ221" s="50"/>
      <c r="VUR221" s="50"/>
      <c r="VUS221" s="50"/>
      <c r="VUT221" s="50"/>
      <c r="VUU221" s="50"/>
      <c r="VUV221" s="50"/>
      <c r="VUW221" s="50"/>
      <c r="VUX221" s="50"/>
      <c r="VUY221" s="50"/>
      <c r="VUZ221" s="50"/>
      <c r="VVA221" s="50"/>
      <c r="VVB221" s="50"/>
      <c r="VVC221" s="50"/>
      <c r="VVD221" s="50"/>
      <c r="VVE221" s="50"/>
      <c r="VVF221" s="50"/>
      <c r="VVG221" s="50"/>
      <c r="VVH221" s="50"/>
      <c r="VVI221" s="50"/>
      <c r="VVJ221" s="50"/>
      <c r="VVK221" s="50"/>
      <c r="VVL221" s="50"/>
      <c r="VVM221" s="50"/>
      <c r="VVN221" s="50"/>
      <c r="VVO221" s="50"/>
      <c r="VVP221" s="50"/>
    </row>
    <row r="222" spans="3:102 15068:15460" s="1" customFormat="1" x14ac:dyDescent="0.25">
      <c r="C222" s="8"/>
      <c r="D222" s="247" t="s">
        <v>23</v>
      </c>
      <c r="E222" s="266"/>
      <c r="F222" s="248" t="s">
        <v>19</v>
      </c>
      <c r="G222" s="310">
        <v>1327.4862000000001</v>
      </c>
      <c r="H222" s="311">
        <v>1313.9538</v>
      </c>
      <c r="I222" s="311">
        <v>1349.4</v>
      </c>
      <c r="J222" s="311">
        <v>1260.5281</v>
      </c>
      <c r="K222" s="311">
        <v>1280.7387000000001</v>
      </c>
      <c r="L222" s="311">
        <v>1105.4504999999999</v>
      </c>
      <c r="M222" s="311">
        <v>1249.7209</v>
      </c>
      <c r="N222" s="311">
        <v>1014.9602</v>
      </c>
      <c r="O222" s="311">
        <v>1130.1944000000001</v>
      </c>
      <c r="P222" s="311">
        <v>1274.2888</v>
      </c>
      <c r="Q222" s="311">
        <v>1174.183</v>
      </c>
      <c r="R222" s="311">
        <v>1116.5060000000001</v>
      </c>
      <c r="S222" s="311">
        <v>853.28430000000003</v>
      </c>
      <c r="T222" s="311">
        <v>1277.9386999999999</v>
      </c>
      <c r="U222" s="311">
        <v>1359.3724999999999</v>
      </c>
      <c r="V222" s="311">
        <v>1105.2782999999999</v>
      </c>
      <c r="W222" s="311">
        <v>1121.2215000000001</v>
      </c>
      <c r="X222" s="311">
        <v>933.35919999999999</v>
      </c>
      <c r="Y222" s="311">
        <v>645.72429999999997</v>
      </c>
      <c r="Z222" s="311">
        <v>817.3664</v>
      </c>
      <c r="AA222" s="311">
        <v>1169.5898</v>
      </c>
      <c r="AB222" s="311">
        <v>1367.5592999999999</v>
      </c>
      <c r="AC222" s="311">
        <v>1290.9993999999999</v>
      </c>
      <c r="AD222" s="311">
        <v>1267.8839</v>
      </c>
      <c r="AE222" s="311">
        <v>1274.4498000000001</v>
      </c>
      <c r="AF222" s="311">
        <v>1345.17</v>
      </c>
      <c r="AG222" s="311">
        <v>1119.0427999999999</v>
      </c>
      <c r="AH222" s="311">
        <v>1245.5171</v>
      </c>
      <c r="AI222" s="311">
        <v>1222.3268</v>
      </c>
      <c r="AJ222" s="311">
        <v>1128.9178999999999</v>
      </c>
      <c r="AK222" s="311">
        <v>1076.9857999999999</v>
      </c>
      <c r="AL222" s="311"/>
      <c r="AN222" s="124">
        <f>SUM(G222:AL222)</f>
        <v>36219.398400000005</v>
      </c>
      <c r="CX222" s="152"/>
    </row>
    <row r="223" spans="3:102 15068:15460" s="71" customFormat="1" x14ac:dyDescent="0.25">
      <c r="C223" s="77"/>
      <c r="D223" s="247" t="s">
        <v>22</v>
      </c>
      <c r="E223" s="272">
        <v>1460.001</v>
      </c>
      <c r="F223" s="248" t="s">
        <v>19</v>
      </c>
      <c r="G223" s="310">
        <v>1290.5807</v>
      </c>
      <c r="H223" s="311">
        <v>1329.9971</v>
      </c>
      <c r="I223" s="311">
        <v>1222.0368000000001</v>
      </c>
      <c r="J223" s="311">
        <v>1252.3320000000001</v>
      </c>
      <c r="K223" s="311">
        <v>1070.5832</v>
      </c>
      <c r="L223" s="311">
        <v>1228.4779000000001</v>
      </c>
      <c r="M223" s="311">
        <v>989.98239999999998</v>
      </c>
      <c r="N223" s="311">
        <v>1070.4774</v>
      </c>
      <c r="O223" s="311">
        <v>1242.4348</v>
      </c>
      <c r="P223" s="311">
        <v>1146.8044</v>
      </c>
      <c r="Q223" s="311">
        <v>1099.0201999999999</v>
      </c>
      <c r="R223" s="311">
        <v>806.50170000000003</v>
      </c>
      <c r="S223" s="311">
        <v>1236.7545</v>
      </c>
      <c r="T223" s="311">
        <v>1327.4954</v>
      </c>
      <c r="U223" s="311">
        <v>1084.2739999999999</v>
      </c>
      <c r="V223" s="311">
        <v>1089.5305000000001</v>
      </c>
      <c r="W223" s="311">
        <v>929.23389999999995</v>
      </c>
      <c r="X223" s="311">
        <v>610.90920000000006</v>
      </c>
      <c r="Y223" s="311">
        <v>773.81119999999999</v>
      </c>
      <c r="Z223" s="311">
        <v>1146.1713999999999</v>
      </c>
      <c r="AA223" s="311">
        <v>1357.182</v>
      </c>
      <c r="AB223" s="311">
        <v>1299.4176</v>
      </c>
      <c r="AC223" s="311">
        <v>1228.4218000000001</v>
      </c>
      <c r="AD223" s="311">
        <v>1250.5737999999999</v>
      </c>
      <c r="AE223" s="311">
        <v>1326.788</v>
      </c>
      <c r="AF223" s="311">
        <v>1104.3948</v>
      </c>
      <c r="AG223" s="311">
        <v>1230.9275</v>
      </c>
      <c r="AH223" s="311">
        <v>1193.3972000000001</v>
      </c>
      <c r="AI223" s="311">
        <v>1116.6387</v>
      </c>
      <c r="AJ223" s="311">
        <v>1041.6601000000001</v>
      </c>
      <c r="AK223" s="311">
        <v>1211.7825</v>
      </c>
      <c r="AL223" s="311"/>
      <c r="AN223" s="124">
        <f>SUM(G223:AL223)</f>
        <v>35308.592700000008</v>
      </c>
      <c r="AO223" s="183">
        <f>AN223/AN6</f>
        <v>1261.0211678571432</v>
      </c>
      <c r="CX223" s="153"/>
    </row>
    <row r="224" spans="3:102 15068:15460" s="1" customFormat="1" x14ac:dyDescent="0.25">
      <c r="C224" s="15"/>
      <c r="D224" s="28" t="s">
        <v>11</v>
      </c>
      <c r="E224" s="266"/>
      <c r="F224" s="13"/>
      <c r="G224" s="312"/>
      <c r="H224" s="312"/>
      <c r="I224" s="312"/>
      <c r="J224" s="312"/>
      <c r="K224" s="312"/>
      <c r="L224" s="312"/>
      <c r="M224" s="312"/>
      <c r="N224" s="312"/>
      <c r="O224" s="312"/>
      <c r="P224" s="312"/>
      <c r="Q224" s="312"/>
      <c r="R224" s="312"/>
      <c r="S224" s="312"/>
      <c r="T224" s="312"/>
      <c r="U224" s="312"/>
      <c r="V224" s="312"/>
      <c r="W224" s="312"/>
      <c r="X224" s="312"/>
      <c r="Y224" s="312"/>
      <c r="Z224" s="312"/>
      <c r="AA224" s="312"/>
      <c r="AB224" s="312"/>
      <c r="AC224" s="312"/>
      <c r="AD224" s="312"/>
      <c r="AE224" s="312"/>
      <c r="AF224" s="312"/>
      <c r="AG224" s="312"/>
      <c r="AH224" s="312"/>
      <c r="AI224" s="312"/>
      <c r="AJ224" s="312"/>
      <c r="AK224" s="312"/>
      <c r="AL224" s="312"/>
      <c r="AN224" s="125" t="s">
        <v>11</v>
      </c>
      <c r="CX224" s="151"/>
      <c r="VGN224" s="50"/>
      <c r="VGO224" s="50"/>
      <c r="VGP224" s="50"/>
      <c r="VGQ224" s="50"/>
      <c r="VGR224" s="50"/>
      <c r="VGS224" s="50"/>
      <c r="VGT224" s="50"/>
      <c r="VGU224" s="50"/>
      <c r="VGV224" s="50"/>
      <c r="VGW224" s="50"/>
      <c r="VGX224" s="50"/>
      <c r="VGY224" s="50"/>
      <c r="VGZ224" s="50"/>
      <c r="VHA224" s="50"/>
      <c r="VHB224" s="50"/>
      <c r="VHC224" s="50"/>
      <c r="VHD224" s="50"/>
      <c r="VHE224" s="50"/>
      <c r="VHF224" s="50"/>
      <c r="VHG224" s="50"/>
      <c r="VHH224" s="50"/>
      <c r="VHI224" s="50"/>
      <c r="VHJ224" s="50"/>
      <c r="VHK224" s="50"/>
      <c r="VHL224" s="50"/>
      <c r="VHM224" s="50"/>
      <c r="VHN224" s="50"/>
      <c r="VHO224" s="50"/>
      <c r="VHP224" s="50"/>
      <c r="VHQ224" s="50"/>
      <c r="VHR224" s="50"/>
      <c r="VHS224" s="50"/>
      <c r="VHT224" s="50"/>
      <c r="VHU224" s="50"/>
      <c r="VHV224" s="50"/>
      <c r="VHW224" s="50"/>
      <c r="VHX224" s="50"/>
      <c r="VHY224" s="50"/>
      <c r="VHZ224" s="50"/>
      <c r="VIA224" s="50"/>
      <c r="VIB224" s="50"/>
      <c r="VIC224" s="50"/>
      <c r="VID224" s="50"/>
      <c r="VIE224" s="50"/>
      <c r="VIF224" s="50"/>
      <c r="VIG224" s="50"/>
      <c r="VIH224" s="50"/>
      <c r="VII224" s="50"/>
      <c r="VIJ224" s="50"/>
      <c r="VIK224" s="50"/>
      <c r="VIL224" s="50"/>
      <c r="VIM224" s="50"/>
      <c r="VIN224" s="50"/>
      <c r="VIO224" s="50"/>
      <c r="VIP224" s="50"/>
      <c r="VIQ224" s="50"/>
      <c r="VIR224" s="50"/>
      <c r="VIS224" s="50"/>
      <c r="VIT224" s="50"/>
      <c r="VIU224" s="50"/>
      <c r="VIV224" s="50"/>
      <c r="VIW224" s="50"/>
      <c r="VIX224" s="50"/>
      <c r="VIY224" s="50"/>
      <c r="VIZ224" s="50"/>
      <c r="VJA224" s="50"/>
      <c r="VJB224" s="50"/>
      <c r="VJC224" s="50"/>
      <c r="VJD224" s="50"/>
      <c r="VJE224" s="50"/>
      <c r="VJF224" s="50"/>
      <c r="VJG224" s="50"/>
      <c r="VJH224" s="50"/>
      <c r="VJI224" s="50"/>
      <c r="VJJ224" s="50"/>
      <c r="VJK224" s="50"/>
      <c r="VJL224" s="50"/>
      <c r="VJM224" s="50"/>
      <c r="VJN224" s="50"/>
      <c r="VJO224" s="50"/>
      <c r="VJP224" s="50"/>
      <c r="VJQ224" s="50"/>
      <c r="VJR224" s="50"/>
      <c r="VJS224" s="50"/>
      <c r="VJT224" s="50"/>
      <c r="VJU224" s="50"/>
      <c r="VJV224" s="50"/>
      <c r="VJW224" s="50"/>
      <c r="VJX224" s="50"/>
      <c r="VJY224" s="50"/>
      <c r="VJZ224" s="50"/>
      <c r="VKA224" s="50"/>
      <c r="VKB224" s="50"/>
      <c r="VKC224" s="50"/>
      <c r="VKD224" s="50"/>
      <c r="VKE224" s="50"/>
      <c r="VKF224" s="50"/>
      <c r="VKG224" s="50"/>
      <c r="VKH224" s="50"/>
      <c r="VKI224" s="50"/>
      <c r="VKJ224" s="50"/>
      <c r="VKK224" s="50"/>
      <c r="VKL224" s="50"/>
      <c r="VKM224" s="50"/>
      <c r="VKN224" s="50"/>
      <c r="VKO224" s="50"/>
      <c r="VKP224" s="50"/>
      <c r="VKQ224" s="50"/>
      <c r="VKR224" s="50"/>
      <c r="VKS224" s="50"/>
      <c r="VKT224" s="50"/>
      <c r="VKU224" s="50"/>
      <c r="VKV224" s="50"/>
      <c r="VKW224" s="50"/>
      <c r="VKX224" s="50"/>
      <c r="VKY224" s="50"/>
      <c r="VKZ224" s="50"/>
      <c r="VLA224" s="50"/>
      <c r="VLB224" s="50"/>
      <c r="VLC224" s="50"/>
      <c r="VLD224" s="50"/>
      <c r="VLE224" s="50"/>
      <c r="VLF224" s="50"/>
      <c r="VLG224" s="50"/>
      <c r="VLH224" s="50"/>
      <c r="VLI224" s="50"/>
      <c r="VLJ224" s="50"/>
      <c r="VLK224" s="50"/>
      <c r="VLL224" s="50"/>
      <c r="VLM224" s="50"/>
      <c r="VLN224" s="50"/>
      <c r="VLO224" s="50"/>
      <c r="VLP224" s="50"/>
      <c r="VLQ224" s="50"/>
      <c r="VLR224" s="50"/>
      <c r="VLS224" s="50"/>
      <c r="VLT224" s="50"/>
      <c r="VLU224" s="50"/>
      <c r="VLV224" s="50"/>
      <c r="VLW224" s="50"/>
      <c r="VLX224" s="50"/>
      <c r="VLY224" s="50"/>
      <c r="VLZ224" s="50"/>
      <c r="VMA224" s="50"/>
      <c r="VMB224" s="50"/>
      <c r="VMC224" s="50"/>
      <c r="VMD224" s="50"/>
      <c r="VME224" s="50"/>
      <c r="VMF224" s="50"/>
      <c r="VMG224" s="50"/>
      <c r="VMH224" s="50"/>
      <c r="VMI224" s="50"/>
      <c r="VMJ224" s="50"/>
      <c r="VMK224" s="50"/>
      <c r="VML224" s="50"/>
      <c r="VMM224" s="50"/>
      <c r="VMN224" s="50"/>
      <c r="VMO224" s="50"/>
      <c r="VMP224" s="50"/>
      <c r="VMQ224" s="50"/>
      <c r="VMR224" s="50"/>
      <c r="VMS224" s="50"/>
      <c r="VMT224" s="50"/>
      <c r="VMU224" s="50"/>
      <c r="VMV224" s="50"/>
      <c r="VMW224" s="50"/>
      <c r="VMX224" s="50"/>
      <c r="VMY224" s="50"/>
      <c r="VMZ224" s="50"/>
      <c r="VNA224" s="50"/>
      <c r="VNB224" s="50"/>
      <c r="VNC224" s="50"/>
      <c r="VND224" s="50"/>
      <c r="VNE224" s="50"/>
      <c r="VNF224" s="50"/>
      <c r="VNG224" s="50"/>
      <c r="VNH224" s="50"/>
      <c r="VNI224" s="50"/>
      <c r="VNJ224" s="50"/>
      <c r="VNK224" s="50"/>
      <c r="VNL224" s="50"/>
      <c r="VNM224" s="50"/>
      <c r="VNN224" s="50"/>
      <c r="VNO224" s="50"/>
      <c r="VNP224" s="50"/>
      <c r="VNQ224" s="50"/>
      <c r="VNR224" s="50"/>
      <c r="VNS224" s="50"/>
      <c r="VNT224" s="50"/>
      <c r="VNU224" s="50"/>
      <c r="VNV224" s="50"/>
      <c r="VNW224" s="50"/>
      <c r="VNX224" s="50"/>
      <c r="VNY224" s="50"/>
      <c r="VNZ224" s="50"/>
      <c r="VOA224" s="50"/>
      <c r="VOB224" s="50"/>
      <c r="VOC224" s="50"/>
      <c r="VOD224" s="50"/>
      <c r="VOE224" s="50"/>
      <c r="VOF224" s="50"/>
      <c r="VOG224" s="50"/>
      <c r="VOH224" s="50"/>
      <c r="VOI224" s="50"/>
      <c r="VOJ224" s="50"/>
      <c r="VOK224" s="50"/>
      <c r="VOL224" s="50"/>
      <c r="VOM224" s="50"/>
      <c r="VON224" s="50"/>
      <c r="VOO224" s="50"/>
      <c r="VOP224" s="50"/>
      <c r="VOQ224" s="50"/>
      <c r="VOR224" s="50"/>
      <c r="VOS224" s="50"/>
      <c r="VOT224" s="50"/>
      <c r="VOU224" s="50"/>
      <c r="VOV224" s="50"/>
      <c r="VOW224" s="50"/>
      <c r="VOX224" s="50"/>
      <c r="VOY224" s="50"/>
      <c r="VOZ224" s="50"/>
      <c r="VPA224" s="50"/>
      <c r="VPB224" s="50"/>
      <c r="VPC224" s="50"/>
      <c r="VPD224" s="50"/>
      <c r="VPE224" s="50"/>
      <c r="VPF224" s="50"/>
      <c r="VPG224" s="50"/>
      <c r="VPH224" s="50"/>
      <c r="VPI224" s="50"/>
      <c r="VPJ224" s="50"/>
      <c r="VPK224" s="50"/>
      <c r="VPL224" s="50"/>
      <c r="VPM224" s="50"/>
      <c r="VPN224" s="50"/>
      <c r="VPO224" s="50"/>
      <c r="VPP224" s="50"/>
      <c r="VPQ224" s="50"/>
      <c r="VPR224" s="50"/>
      <c r="VPS224" s="50"/>
      <c r="VPT224" s="50"/>
      <c r="VPU224" s="50"/>
      <c r="VPV224" s="50"/>
      <c r="VPW224" s="50"/>
      <c r="VPX224" s="50"/>
      <c r="VPY224" s="50"/>
      <c r="VPZ224" s="50"/>
      <c r="VQA224" s="50"/>
      <c r="VQB224" s="50"/>
      <c r="VQC224" s="50"/>
      <c r="VQD224" s="50"/>
      <c r="VQE224" s="50"/>
      <c r="VQF224" s="50"/>
      <c r="VQG224" s="50"/>
      <c r="VQH224" s="50"/>
      <c r="VQI224" s="50"/>
      <c r="VQJ224" s="50"/>
      <c r="VQK224" s="50"/>
      <c r="VQL224" s="50"/>
      <c r="VQM224" s="50"/>
      <c r="VQN224" s="50"/>
      <c r="VQO224" s="50"/>
      <c r="VQP224" s="50"/>
      <c r="VQQ224" s="50"/>
      <c r="VQR224" s="50"/>
      <c r="VQS224" s="50"/>
      <c r="VQT224" s="50"/>
      <c r="VQU224" s="50"/>
      <c r="VQV224" s="50"/>
      <c r="VQW224" s="50"/>
      <c r="VQX224" s="50"/>
      <c r="VQY224" s="50"/>
      <c r="VQZ224" s="50"/>
      <c r="VRA224" s="50"/>
      <c r="VRB224" s="50"/>
      <c r="VRC224" s="50"/>
      <c r="VRD224" s="50"/>
      <c r="VRE224" s="50"/>
      <c r="VRF224" s="50"/>
      <c r="VRG224" s="50"/>
      <c r="VRH224" s="50"/>
      <c r="VRI224" s="50"/>
      <c r="VRJ224" s="50"/>
      <c r="VRK224" s="50"/>
      <c r="VRL224" s="50"/>
      <c r="VRM224" s="50"/>
      <c r="VRN224" s="50"/>
      <c r="VRO224" s="50"/>
      <c r="VRP224" s="50"/>
      <c r="VRQ224" s="50"/>
      <c r="VRR224" s="50"/>
      <c r="VRS224" s="50"/>
      <c r="VRT224" s="50"/>
      <c r="VRU224" s="50"/>
      <c r="VRV224" s="50"/>
      <c r="VRW224" s="50"/>
      <c r="VRX224" s="50"/>
      <c r="VRY224" s="50"/>
      <c r="VRZ224" s="50"/>
      <c r="VSA224" s="50"/>
      <c r="VSB224" s="50"/>
      <c r="VSC224" s="50"/>
      <c r="VSD224" s="50"/>
      <c r="VSE224" s="50"/>
      <c r="VSF224" s="50"/>
      <c r="VSG224" s="50"/>
      <c r="VSH224" s="50"/>
      <c r="VSI224" s="50"/>
      <c r="VSJ224" s="50"/>
      <c r="VSK224" s="50"/>
      <c r="VSL224" s="50"/>
      <c r="VSM224" s="50"/>
      <c r="VSN224" s="50"/>
      <c r="VSO224" s="50"/>
      <c r="VSP224" s="50"/>
      <c r="VSQ224" s="50"/>
      <c r="VSR224" s="50"/>
      <c r="VSS224" s="50"/>
      <c r="VST224" s="50"/>
      <c r="VSU224" s="50"/>
      <c r="VSV224" s="50"/>
      <c r="VSW224" s="50"/>
      <c r="VSX224" s="50"/>
      <c r="VSY224" s="50"/>
      <c r="VSZ224" s="50"/>
      <c r="VTA224" s="50"/>
      <c r="VTB224" s="50"/>
      <c r="VTC224" s="50"/>
      <c r="VTD224" s="50"/>
      <c r="VTE224" s="50"/>
      <c r="VTF224" s="50"/>
      <c r="VTG224" s="50"/>
      <c r="VTH224" s="50"/>
      <c r="VTI224" s="50"/>
      <c r="VTJ224" s="50"/>
      <c r="VTK224" s="50"/>
      <c r="VTL224" s="50"/>
      <c r="VTM224" s="50"/>
      <c r="VTN224" s="50"/>
      <c r="VTO224" s="50"/>
      <c r="VTP224" s="50"/>
      <c r="VTQ224" s="50"/>
      <c r="VTR224" s="50"/>
      <c r="VTS224" s="50"/>
      <c r="VTT224" s="50"/>
      <c r="VTU224" s="50"/>
      <c r="VTV224" s="50"/>
      <c r="VTW224" s="50"/>
      <c r="VTX224" s="50"/>
      <c r="VTY224" s="50"/>
      <c r="VTZ224" s="50"/>
      <c r="VUA224" s="50"/>
      <c r="VUB224" s="50"/>
      <c r="VUC224" s="50"/>
      <c r="VUD224" s="50"/>
      <c r="VUE224" s="50"/>
      <c r="VUF224" s="50"/>
      <c r="VUG224" s="50"/>
      <c r="VUH224" s="50"/>
      <c r="VUI224" s="50"/>
      <c r="VUJ224" s="50"/>
      <c r="VUK224" s="50"/>
      <c r="VUL224" s="50"/>
      <c r="VUM224" s="50"/>
      <c r="VUN224" s="50"/>
      <c r="VUO224" s="50"/>
      <c r="VUP224" s="50"/>
      <c r="VUQ224" s="50"/>
      <c r="VUR224" s="50"/>
      <c r="VUS224" s="50"/>
      <c r="VUT224" s="50"/>
      <c r="VUU224" s="50"/>
      <c r="VUV224" s="50"/>
      <c r="VUW224" s="50"/>
      <c r="VUX224" s="50"/>
      <c r="VUY224" s="50"/>
      <c r="VUZ224" s="50"/>
      <c r="VVA224" s="50"/>
      <c r="VVB224" s="50"/>
      <c r="VVC224" s="50"/>
      <c r="VVD224" s="50"/>
      <c r="VVE224" s="50"/>
      <c r="VVF224" s="50"/>
      <c r="VVG224" s="50"/>
      <c r="VVH224" s="50"/>
      <c r="VVI224" s="50"/>
      <c r="VVJ224" s="50"/>
      <c r="VVK224" s="50"/>
      <c r="VVL224" s="50"/>
      <c r="VVM224" s="50"/>
      <c r="VVN224" s="50"/>
      <c r="VVO224" s="50"/>
      <c r="VVP224" s="50"/>
    </row>
    <row r="225" spans="3:102 15068:15460" s="1" customFormat="1" x14ac:dyDescent="0.25">
      <c r="C225" s="15"/>
      <c r="D225" s="247" t="s">
        <v>21</v>
      </c>
      <c r="E225" s="264">
        <f>292</f>
        <v>292</v>
      </c>
      <c r="F225" s="248" t="s">
        <v>19</v>
      </c>
      <c r="G225" s="311">
        <v>237.59893722248063</v>
      </c>
      <c r="H225" s="311">
        <v>250.44550027663448</v>
      </c>
      <c r="I225" s="311">
        <v>253.47435921958765</v>
      </c>
      <c r="J225" s="311">
        <v>258.26614514724275</v>
      </c>
      <c r="K225" s="311">
        <v>122.22184086972733</v>
      </c>
      <c r="L225" s="311">
        <v>211.24360245714752</v>
      </c>
      <c r="M225" s="311">
        <v>93.916237645082731</v>
      </c>
      <c r="N225" s="311">
        <f>'Convert Gas'!I15</f>
        <v>1037.32187</v>
      </c>
      <c r="O225" s="311">
        <f>'Convert Gas'!J16</f>
        <v>244.98736893645238</v>
      </c>
      <c r="P225" s="311">
        <f>'Convert Gas'!J17</f>
        <v>228.95770652612509</v>
      </c>
      <c r="Q225" s="311">
        <f>'Convert Gas'!J18</f>
        <v>100.24841192556123</v>
      </c>
      <c r="R225" s="311">
        <v>94.909879022857169</v>
      </c>
      <c r="S225" s="311">
        <v>249.80368224176661</v>
      </c>
      <c r="T225" s="311">
        <v>222.29675491646282</v>
      </c>
      <c r="U225" s="311">
        <v>184.08015427462786</v>
      </c>
      <c r="V225" s="311">
        <f>'Convert Gas'!J23</f>
        <v>224.15184237265862</v>
      </c>
      <c r="W225" s="311">
        <f>'Convert Gas'!J24</f>
        <v>70.157513943008098</v>
      </c>
      <c r="X225" s="311">
        <v>0</v>
      </c>
      <c r="Y225" s="311">
        <v>117.59708838625492</v>
      </c>
      <c r="Z225" s="311">
        <v>234.17040385005876</v>
      </c>
      <c r="AA225" s="311">
        <v>280.80941997235078</v>
      </c>
      <c r="AB225" s="311">
        <v>301.96439231450478</v>
      </c>
      <c r="AC225" s="311">
        <v>280.32246212824305</v>
      </c>
      <c r="AD225" s="311">
        <f>'Convert Gas'!J31</f>
        <v>322.01882183367769</v>
      </c>
      <c r="AE225" s="311">
        <f>'Convert Gas'!J32</f>
        <v>271.60943314762034</v>
      </c>
      <c r="AF225" s="311">
        <v>154.81822804726261</v>
      </c>
      <c r="AG225" s="311">
        <v>210.52806473189057</v>
      </c>
      <c r="AH225" s="311">
        <v>276.82932192045803</v>
      </c>
      <c r="AI225" s="311">
        <v>301.84953425971128</v>
      </c>
      <c r="AJ225" s="311">
        <v>143.09335124385231</v>
      </c>
      <c r="AK225" s="311">
        <v>286.13436232075054</v>
      </c>
      <c r="AL225" s="311"/>
      <c r="AN225" s="124">
        <f>SUM(G225:AL225)</f>
        <v>7265.8266911540595</v>
      </c>
      <c r="CW225" s="40"/>
      <c r="CX225" s="151"/>
      <c r="VGN225" s="50"/>
      <c r="VGO225" s="50"/>
      <c r="VGP225" s="50"/>
      <c r="VGQ225" s="50"/>
      <c r="VGR225" s="50"/>
      <c r="VGS225" s="50"/>
      <c r="VGT225" s="50"/>
      <c r="VGU225" s="50"/>
      <c r="VGV225" s="50"/>
      <c r="VGW225" s="50"/>
      <c r="VGX225" s="50"/>
      <c r="VGY225" s="50"/>
      <c r="VGZ225" s="50"/>
      <c r="VHA225" s="50"/>
      <c r="VHB225" s="50"/>
      <c r="VHC225" s="50"/>
      <c r="VHD225" s="50"/>
      <c r="VHE225" s="50"/>
      <c r="VHF225" s="50"/>
      <c r="VHG225" s="50"/>
      <c r="VHH225" s="50"/>
      <c r="VHI225" s="50"/>
      <c r="VHJ225" s="50"/>
      <c r="VHK225" s="50"/>
      <c r="VHL225" s="50"/>
      <c r="VHM225" s="50"/>
      <c r="VHN225" s="50"/>
      <c r="VHO225" s="50"/>
      <c r="VHP225" s="50"/>
      <c r="VHQ225" s="50"/>
      <c r="VHR225" s="50"/>
      <c r="VHS225" s="50"/>
      <c r="VHT225" s="50"/>
      <c r="VHU225" s="50"/>
      <c r="VHV225" s="50"/>
      <c r="VHW225" s="50"/>
      <c r="VHX225" s="50"/>
      <c r="VHY225" s="50"/>
      <c r="VHZ225" s="50"/>
      <c r="VIA225" s="50"/>
      <c r="VIB225" s="50"/>
      <c r="VIC225" s="50"/>
      <c r="VID225" s="50"/>
      <c r="VIE225" s="50"/>
      <c r="VIF225" s="50"/>
      <c r="VIG225" s="50"/>
      <c r="VIH225" s="50"/>
      <c r="VII225" s="50"/>
      <c r="VIJ225" s="50"/>
      <c r="VIK225" s="50"/>
      <c r="VIL225" s="50"/>
      <c r="VIM225" s="50"/>
      <c r="VIN225" s="50"/>
      <c r="VIO225" s="50"/>
      <c r="VIP225" s="50"/>
      <c r="VIQ225" s="50"/>
      <c r="VIR225" s="50"/>
      <c r="VIS225" s="50"/>
      <c r="VIT225" s="50"/>
      <c r="VIU225" s="50"/>
      <c r="VIV225" s="50"/>
      <c r="VIW225" s="50"/>
      <c r="VIX225" s="50"/>
      <c r="VIY225" s="50"/>
      <c r="VIZ225" s="50"/>
      <c r="VJA225" s="50"/>
      <c r="VJB225" s="50"/>
      <c r="VJC225" s="50"/>
      <c r="VJD225" s="50"/>
      <c r="VJE225" s="50"/>
      <c r="VJF225" s="50"/>
      <c r="VJG225" s="50"/>
      <c r="VJH225" s="50"/>
      <c r="VJI225" s="50"/>
      <c r="VJJ225" s="50"/>
      <c r="VJK225" s="50"/>
      <c r="VJL225" s="50"/>
      <c r="VJM225" s="50"/>
      <c r="VJN225" s="50"/>
      <c r="VJO225" s="50"/>
      <c r="VJP225" s="50"/>
      <c r="VJQ225" s="50"/>
      <c r="VJR225" s="50"/>
      <c r="VJS225" s="50"/>
      <c r="VJT225" s="50"/>
      <c r="VJU225" s="50"/>
      <c r="VJV225" s="50"/>
      <c r="VJW225" s="50"/>
      <c r="VJX225" s="50"/>
      <c r="VJY225" s="50"/>
      <c r="VJZ225" s="50"/>
      <c r="VKA225" s="50"/>
      <c r="VKB225" s="50"/>
      <c r="VKC225" s="50"/>
      <c r="VKD225" s="50"/>
      <c r="VKE225" s="50"/>
      <c r="VKF225" s="50"/>
      <c r="VKG225" s="50"/>
      <c r="VKH225" s="50"/>
      <c r="VKI225" s="50"/>
      <c r="VKJ225" s="50"/>
      <c r="VKK225" s="50"/>
      <c r="VKL225" s="50"/>
      <c r="VKM225" s="50"/>
      <c r="VKN225" s="50"/>
      <c r="VKO225" s="50"/>
      <c r="VKP225" s="50"/>
      <c r="VKQ225" s="50"/>
      <c r="VKR225" s="50"/>
      <c r="VKS225" s="50"/>
      <c r="VKT225" s="50"/>
      <c r="VKU225" s="50"/>
      <c r="VKV225" s="50"/>
      <c r="VKW225" s="50"/>
      <c r="VKX225" s="50"/>
      <c r="VKY225" s="50"/>
      <c r="VKZ225" s="50"/>
      <c r="VLA225" s="50"/>
      <c r="VLB225" s="50"/>
      <c r="VLC225" s="50"/>
      <c r="VLD225" s="50"/>
      <c r="VLE225" s="50"/>
      <c r="VLF225" s="50"/>
      <c r="VLG225" s="50"/>
      <c r="VLH225" s="50"/>
      <c r="VLI225" s="50"/>
      <c r="VLJ225" s="50"/>
      <c r="VLK225" s="50"/>
      <c r="VLL225" s="50"/>
      <c r="VLM225" s="50"/>
      <c r="VLN225" s="50"/>
      <c r="VLO225" s="50"/>
      <c r="VLP225" s="50"/>
      <c r="VLQ225" s="50"/>
      <c r="VLR225" s="50"/>
      <c r="VLS225" s="50"/>
      <c r="VLT225" s="50"/>
      <c r="VLU225" s="50"/>
      <c r="VLV225" s="50"/>
      <c r="VLW225" s="50"/>
      <c r="VLX225" s="50"/>
      <c r="VLY225" s="50"/>
      <c r="VLZ225" s="50"/>
      <c r="VMA225" s="50"/>
      <c r="VMB225" s="50"/>
      <c r="VMC225" s="50"/>
      <c r="VMD225" s="50"/>
      <c r="VME225" s="50"/>
      <c r="VMF225" s="50"/>
      <c r="VMG225" s="50"/>
      <c r="VMH225" s="50"/>
      <c r="VMI225" s="50"/>
      <c r="VMJ225" s="50"/>
      <c r="VMK225" s="50"/>
      <c r="VML225" s="50"/>
      <c r="VMM225" s="50"/>
      <c r="VMN225" s="50"/>
      <c r="VMO225" s="50"/>
      <c r="VMP225" s="50"/>
      <c r="VMQ225" s="50"/>
      <c r="VMR225" s="50"/>
      <c r="VMS225" s="50"/>
      <c r="VMT225" s="50"/>
      <c r="VMU225" s="50"/>
      <c r="VMV225" s="50"/>
      <c r="VMW225" s="50"/>
      <c r="VMX225" s="50"/>
      <c r="VMY225" s="50"/>
      <c r="VMZ225" s="50"/>
      <c r="VNA225" s="50"/>
      <c r="VNB225" s="50"/>
      <c r="VNC225" s="50"/>
      <c r="VND225" s="50"/>
      <c r="VNE225" s="50"/>
      <c r="VNF225" s="50"/>
      <c r="VNG225" s="50"/>
      <c r="VNH225" s="50"/>
      <c r="VNI225" s="50"/>
      <c r="VNJ225" s="50"/>
      <c r="VNK225" s="50"/>
      <c r="VNL225" s="50"/>
      <c r="VNM225" s="50"/>
      <c r="VNN225" s="50"/>
      <c r="VNO225" s="50"/>
      <c r="VNP225" s="50"/>
      <c r="VNQ225" s="50"/>
      <c r="VNR225" s="50"/>
      <c r="VNS225" s="50"/>
      <c r="VNT225" s="50"/>
      <c r="VNU225" s="50"/>
      <c r="VNV225" s="50"/>
      <c r="VNW225" s="50"/>
      <c r="VNX225" s="50"/>
      <c r="VNY225" s="50"/>
      <c r="VNZ225" s="50"/>
      <c r="VOA225" s="50"/>
      <c r="VOB225" s="50"/>
      <c r="VOC225" s="50"/>
      <c r="VOD225" s="50"/>
      <c r="VOE225" s="50"/>
      <c r="VOF225" s="50"/>
      <c r="VOG225" s="50"/>
      <c r="VOH225" s="50"/>
      <c r="VOI225" s="50"/>
      <c r="VOJ225" s="50"/>
      <c r="VOK225" s="50"/>
      <c r="VOL225" s="50"/>
      <c r="VOM225" s="50"/>
      <c r="VON225" s="50"/>
      <c r="VOO225" s="50"/>
      <c r="VOP225" s="50"/>
      <c r="VOQ225" s="50"/>
      <c r="VOR225" s="50"/>
      <c r="VOS225" s="50"/>
      <c r="VOT225" s="50"/>
      <c r="VOU225" s="50"/>
      <c r="VOV225" s="50"/>
      <c r="VOW225" s="50"/>
      <c r="VOX225" s="50"/>
      <c r="VOY225" s="50"/>
      <c r="VOZ225" s="50"/>
      <c r="VPA225" s="50"/>
      <c r="VPB225" s="50"/>
      <c r="VPC225" s="50"/>
      <c r="VPD225" s="50"/>
      <c r="VPE225" s="50"/>
      <c r="VPF225" s="50"/>
      <c r="VPG225" s="50"/>
      <c r="VPH225" s="50"/>
      <c r="VPI225" s="50"/>
      <c r="VPJ225" s="50"/>
      <c r="VPK225" s="50"/>
      <c r="VPL225" s="50"/>
      <c r="VPM225" s="50"/>
      <c r="VPN225" s="50"/>
      <c r="VPO225" s="50"/>
      <c r="VPP225" s="50"/>
      <c r="VPQ225" s="50"/>
      <c r="VPR225" s="50"/>
      <c r="VPS225" s="50"/>
      <c r="VPT225" s="50"/>
      <c r="VPU225" s="50"/>
      <c r="VPV225" s="50"/>
      <c r="VPW225" s="50"/>
      <c r="VPX225" s="50"/>
      <c r="VPY225" s="50"/>
      <c r="VPZ225" s="50"/>
      <c r="VQA225" s="50"/>
      <c r="VQB225" s="50"/>
      <c r="VQC225" s="50"/>
      <c r="VQD225" s="50"/>
      <c r="VQE225" s="50"/>
      <c r="VQF225" s="50"/>
      <c r="VQG225" s="50"/>
      <c r="VQH225" s="50"/>
      <c r="VQI225" s="50"/>
      <c r="VQJ225" s="50"/>
      <c r="VQK225" s="50"/>
      <c r="VQL225" s="50"/>
      <c r="VQM225" s="50"/>
      <c r="VQN225" s="50"/>
      <c r="VQO225" s="50"/>
      <c r="VQP225" s="50"/>
      <c r="VQQ225" s="50"/>
      <c r="VQR225" s="50"/>
      <c r="VQS225" s="50"/>
      <c r="VQT225" s="50"/>
      <c r="VQU225" s="50"/>
      <c r="VQV225" s="50"/>
      <c r="VQW225" s="50"/>
      <c r="VQX225" s="50"/>
      <c r="VQY225" s="50"/>
      <c r="VQZ225" s="50"/>
      <c r="VRA225" s="50"/>
      <c r="VRB225" s="50"/>
      <c r="VRC225" s="50"/>
      <c r="VRD225" s="50"/>
      <c r="VRE225" s="50"/>
      <c r="VRF225" s="50"/>
      <c r="VRG225" s="50"/>
      <c r="VRH225" s="50"/>
      <c r="VRI225" s="50"/>
      <c r="VRJ225" s="50"/>
      <c r="VRK225" s="50"/>
      <c r="VRL225" s="50"/>
      <c r="VRM225" s="50"/>
      <c r="VRN225" s="50"/>
      <c r="VRO225" s="50"/>
      <c r="VRP225" s="50"/>
      <c r="VRQ225" s="50"/>
      <c r="VRR225" s="50"/>
      <c r="VRS225" s="50"/>
      <c r="VRT225" s="50"/>
      <c r="VRU225" s="50"/>
      <c r="VRV225" s="50"/>
      <c r="VRW225" s="50"/>
      <c r="VRX225" s="50"/>
      <c r="VRY225" s="50"/>
      <c r="VRZ225" s="50"/>
      <c r="VSA225" s="50"/>
      <c r="VSB225" s="50"/>
      <c r="VSC225" s="50"/>
      <c r="VSD225" s="50"/>
      <c r="VSE225" s="50"/>
      <c r="VSF225" s="50"/>
      <c r="VSG225" s="50"/>
      <c r="VSH225" s="50"/>
      <c r="VSI225" s="50"/>
      <c r="VSJ225" s="50"/>
      <c r="VSK225" s="50"/>
      <c r="VSL225" s="50"/>
      <c r="VSM225" s="50"/>
      <c r="VSN225" s="50"/>
      <c r="VSO225" s="50"/>
      <c r="VSP225" s="50"/>
      <c r="VSQ225" s="50"/>
      <c r="VSR225" s="50"/>
      <c r="VSS225" s="50"/>
      <c r="VST225" s="50"/>
      <c r="VSU225" s="50"/>
      <c r="VSV225" s="50"/>
      <c r="VSW225" s="50"/>
      <c r="VSX225" s="50"/>
      <c r="VSY225" s="50"/>
      <c r="VSZ225" s="50"/>
      <c r="VTA225" s="50"/>
      <c r="VTB225" s="50"/>
      <c r="VTC225" s="50"/>
      <c r="VTD225" s="50"/>
      <c r="VTE225" s="50"/>
      <c r="VTF225" s="50"/>
      <c r="VTG225" s="50"/>
      <c r="VTH225" s="50"/>
      <c r="VTI225" s="50"/>
      <c r="VTJ225" s="50"/>
      <c r="VTK225" s="50"/>
      <c r="VTL225" s="50"/>
      <c r="VTM225" s="50"/>
      <c r="VTN225" s="50"/>
      <c r="VTO225" s="50"/>
      <c r="VTP225" s="50"/>
      <c r="VTQ225" s="50"/>
      <c r="VTR225" s="50"/>
      <c r="VTS225" s="50"/>
      <c r="VTT225" s="50"/>
      <c r="VTU225" s="50"/>
      <c r="VTV225" s="50"/>
      <c r="VTW225" s="50"/>
      <c r="VTX225" s="50"/>
      <c r="VTY225" s="50"/>
      <c r="VTZ225" s="50"/>
      <c r="VUA225" s="50"/>
      <c r="VUB225" s="50"/>
      <c r="VUC225" s="50"/>
      <c r="VUD225" s="50"/>
      <c r="VUE225" s="50"/>
      <c r="VUF225" s="50"/>
      <c r="VUG225" s="50"/>
      <c r="VUH225" s="50"/>
      <c r="VUI225" s="50"/>
      <c r="VUJ225" s="50"/>
      <c r="VUK225" s="50"/>
      <c r="VUL225" s="50"/>
      <c r="VUM225" s="50"/>
      <c r="VUN225" s="50"/>
      <c r="VUO225" s="50"/>
      <c r="VUP225" s="50"/>
      <c r="VUQ225" s="50"/>
      <c r="VUR225" s="50"/>
      <c r="VUS225" s="50"/>
      <c r="VUT225" s="50"/>
      <c r="VUU225" s="50"/>
      <c r="VUV225" s="50"/>
      <c r="VUW225" s="50"/>
      <c r="VUX225" s="50"/>
      <c r="VUY225" s="50"/>
      <c r="VUZ225" s="50"/>
      <c r="VVA225" s="50"/>
      <c r="VVB225" s="50"/>
      <c r="VVC225" s="50"/>
      <c r="VVD225" s="50"/>
      <c r="VVE225" s="50"/>
      <c r="VVF225" s="50"/>
      <c r="VVG225" s="50"/>
      <c r="VVH225" s="50"/>
      <c r="VVI225" s="50"/>
      <c r="VVJ225" s="50"/>
      <c r="VVK225" s="50"/>
      <c r="VVL225" s="50"/>
      <c r="VVM225" s="50"/>
      <c r="VVN225" s="50"/>
      <c r="VVO225" s="50"/>
      <c r="VVP225" s="50"/>
    </row>
    <row r="226" spans="3:102 15068:15460" s="1" customFormat="1" x14ac:dyDescent="0.25">
      <c r="C226" s="15"/>
      <c r="D226" s="14" t="s">
        <v>20</v>
      </c>
      <c r="E226" s="264">
        <v>1168.001</v>
      </c>
      <c r="F226" s="20" t="s">
        <v>19</v>
      </c>
      <c r="G226" s="312">
        <f>G223-G225</f>
        <v>1052.9817627775194</v>
      </c>
      <c r="H226" s="312">
        <f>H223-H225</f>
        <v>1079.5515997233656</v>
      </c>
      <c r="I226" s="312">
        <f>I223-I225</f>
        <v>968.56244078041243</v>
      </c>
      <c r="J226" s="312">
        <f>J223-J225</f>
        <v>994.06585485275741</v>
      </c>
      <c r="K226" s="312">
        <f t="shared" ref="K226:AL226" si="113">K223-K225</f>
        <v>948.36135913027272</v>
      </c>
      <c r="L226" s="312">
        <f t="shared" si="113"/>
        <v>1017.2342975428526</v>
      </c>
      <c r="M226" s="312">
        <f t="shared" si="113"/>
        <v>896.0661623549172</v>
      </c>
      <c r="N226" s="312">
        <f t="shared" ref="N226:P226" si="114">N223-N225</f>
        <v>33.155529999999999</v>
      </c>
      <c r="O226" s="312">
        <f t="shared" ref="O226" si="115">O223-O225</f>
        <v>997.44743106354758</v>
      </c>
      <c r="P226" s="312">
        <f t="shared" si="114"/>
        <v>917.84669347387489</v>
      </c>
      <c r="Q226" s="312">
        <f>Q223-Q225</f>
        <v>998.77178807443875</v>
      </c>
      <c r="R226" s="312">
        <f t="shared" si="113"/>
        <v>711.5918209771429</v>
      </c>
      <c r="S226" s="312">
        <f t="shared" si="113"/>
        <v>986.95081775823337</v>
      </c>
      <c r="T226" s="312">
        <f t="shared" si="113"/>
        <v>1105.1986450835373</v>
      </c>
      <c r="U226" s="312">
        <f t="shared" si="113"/>
        <v>900.19384572537206</v>
      </c>
      <c r="V226" s="312">
        <f t="shared" si="113"/>
        <v>865.37865762734145</v>
      </c>
      <c r="W226" s="312">
        <f t="shared" si="113"/>
        <v>859.07638605699185</v>
      </c>
      <c r="X226" s="312">
        <f t="shared" si="113"/>
        <v>610.90920000000006</v>
      </c>
      <c r="Y226" s="312">
        <f t="shared" si="113"/>
        <v>656.2141116137451</v>
      </c>
      <c r="Z226" s="312">
        <f t="shared" si="113"/>
        <v>912.00099614994122</v>
      </c>
      <c r="AA226" s="312">
        <f t="shared" si="113"/>
        <v>1076.3725800276493</v>
      </c>
      <c r="AB226" s="312">
        <f t="shared" si="113"/>
        <v>997.45320768549527</v>
      </c>
      <c r="AC226" s="312">
        <f t="shared" si="113"/>
        <v>948.09933787175703</v>
      </c>
      <c r="AD226" s="312">
        <f t="shared" si="113"/>
        <v>928.55497816632214</v>
      </c>
      <c r="AE226" s="312">
        <f t="shared" si="113"/>
        <v>1055.1785668523796</v>
      </c>
      <c r="AF226" s="312">
        <f t="shared" si="113"/>
        <v>949.57657195273737</v>
      </c>
      <c r="AG226" s="312">
        <f t="shared" si="113"/>
        <v>1020.3994352681094</v>
      </c>
      <c r="AH226" s="312">
        <f t="shared" si="113"/>
        <v>916.56787807954208</v>
      </c>
      <c r="AI226" s="312">
        <f t="shared" si="113"/>
        <v>814.78916574028869</v>
      </c>
      <c r="AJ226" s="312">
        <f t="shared" si="113"/>
        <v>898.56674875614772</v>
      </c>
      <c r="AK226" s="312">
        <f t="shared" si="113"/>
        <v>925.64813767924943</v>
      </c>
      <c r="AL226" s="312">
        <f t="shared" si="113"/>
        <v>0</v>
      </c>
      <c r="AN226" s="124">
        <f>SUM(G226:AL226)</f>
        <v>28042.766008845945</v>
      </c>
      <c r="CX226" s="151"/>
      <c r="VGN226" s="50"/>
      <c r="VGO226" s="50"/>
      <c r="VGP226" s="50"/>
      <c r="VGQ226" s="50"/>
      <c r="VGR226" s="50"/>
      <c r="VGS226" s="50"/>
      <c r="VGT226" s="50"/>
      <c r="VGU226" s="50"/>
      <c r="VGV226" s="50"/>
      <c r="VGW226" s="50"/>
      <c r="VGX226" s="50"/>
      <c r="VGY226" s="50"/>
      <c r="VGZ226" s="50"/>
      <c r="VHA226" s="50"/>
      <c r="VHB226" s="50"/>
      <c r="VHC226" s="50"/>
      <c r="VHD226" s="50"/>
      <c r="VHE226" s="50"/>
      <c r="VHF226" s="50"/>
      <c r="VHG226" s="50"/>
      <c r="VHH226" s="50"/>
      <c r="VHI226" s="50"/>
      <c r="VHJ226" s="50"/>
      <c r="VHK226" s="50"/>
      <c r="VHL226" s="50"/>
      <c r="VHM226" s="50"/>
      <c r="VHN226" s="50"/>
      <c r="VHO226" s="50"/>
      <c r="VHP226" s="50"/>
      <c r="VHQ226" s="50"/>
      <c r="VHR226" s="50"/>
      <c r="VHS226" s="50"/>
      <c r="VHT226" s="50"/>
      <c r="VHU226" s="50"/>
      <c r="VHV226" s="50"/>
      <c r="VHW226" s="50"/>
      <c r="VHX226" s="50"/>
      <c r="VHY226" s="50"/>
      <c r="VHZ226" s="50"/>
      <c r="VIA226" s="50"/>
      <c r="VIB226" s="50"/>
      <c r="VIC226" s="50"/>
      <c r="VID226" s="50"/>
      <c r="VIE226" s="50"/>
      <c r="VIF226" s="50"/>
      <c r="VIG226" s="50"/>
      <c r="VIH226" s="50"/>
      <c r="VII226" s="50"/>
      <c r="VIJ226" s="50"/>
      <c r="VIK226" s="50"/>
      <c r="VIL226" s="50"/>
      <c r="VIM226" s="50"/>
      <c r="VIN226" s="50"/>
      <c r="VIO226" s="50"/>
      <c r="VIP226" s="50"/>
      <c r="VIQ226" s="50"/>
      <c r="VIR226" s="50"/>
      <c r="VIS226" s="50"/>
      <c r="VIT226" s="50"/>
      <c r="VIU226" s="50"/>
      <c r="VIV226" s="50"/>
      <c r="VIW226" s="50"/>
      <c r="VIX226" s="50"/>
      <c r="VIY226" s="50"/>
      <c r="VIZ226" s="50"/>
      <c r="VJA226" s="50"/>
      <c r="VJB226" s="50"/>
      <c r="VJC226" s="50"/>
      <c r="VJD226" s="50"/>
      <c r="VJE226" s="50"/>
      <c r="VJF226" s="50"/>
      <c r="VJG226" s="50"/>
      <c r="VJH226" s="50"/>
      <c r="VJI226" s="50"/>
      <c r="VJJ226" s="50"/>
      <c r="VJK226" s="50"/>
      <c r="VJL226" s="50"/>
      <c r="VJM226" s="50"/>
      <c r="VJN226" s="50"/>
      <c r="VJO226" s="50"/>
      <c r="VJP226" s="50"/>
      <c r="VJQ226" s="50"/>
      <c r="VJR226" s="50"/>
      <c r="VJS226" s="50"/>
      <c r="VJT226" s="50"/>
      <c r="VJU226" s="50"/>
      <c r="VJV226" s="50"/>
      <c r="VJW226" s="50"/>
      <c r="VJX226" s="50"/>
      <c r="VJY226" s="50"/>
      <c r="VJZ226" s="50"/>
      <c r="VKA226" s="50"/>
      <c r="VKB226" s="50"/>
      <c r="VKC226" s="50"/>
      <c r="VKD226" s="50"/>
      <c r="VKE226" s="50"/>
      <c r="VKF226" s="50"/>
      <c r="VKG226" s="50"/>
      <c r="VKH226" s="50"/>
      <c r="VKI226" s="50"/>
      <c r="VKJ226" s="50"/>
      <c r="VKK226" s="50"/>
      <c r="VKL226" s="50"/>
      <c r="VKM226" s="50"/>
      <c r="VKN226" s="50"/>
      <c r="VKO226" s="50"/>
      <c r="VKP226" s="50"/>
      <c r="VKQ226" s="50"/>
      <c r="VKR226" s="50"/>
      <c r="VKS226" s="50"/>
      <c r="VKT226" s="50"/>
      <c r="VKU226" s="50"/>
      <c r="VKV226" s="50"/>
      <c r="VKW226" s="50"/>
      <c r="VKX226" s="50"/>
      <c r="VKY226" s="50"/>
      <c r="VKZ226" s="50"/>
      <c r="VLA226" s="50"/>
      <c r="VLB226" s="50"/>
      <c r="VLC226" s="50"/>
      <c r="VLD226" s="50"/>
      <c r="VLE226" s="50"/>
      <c r="VLF226" s="50"/>
      <c r="VLG226" s="50"/>
      <c r="VLH226" s="50"/>
      <c r="VLI226" s="50"/>
      <c r="VLJ226" s="50"/>
      <c r="VLK226" s="50"/>
      <c r="VLL226" s="50"/>
      <c r="VLM226" s="50"/>
      <c r="VLN226" s="50"/>
      <c r="VLO226" s="50"/>
      <c r="VLP226" s="50"/>
      <c r="VLQ226" s="50"/>
      <c r="VLR226" s="50"/>
      <c r="VLS226" s="50"/>
      <c r="VLT226" s="50"/>
      <c r="VLU226" s="50"/>
      <c r="VLV226" s="50"/>
      <c r="VLW226" s="50"/>
      <c r="VLX226" s="50"/>
      <c r="VLY226" s="50"/>
      <c r="VLZ226" s="50"/>
      <c r="VMA226" s="50"/>
      <c r="VMB226" s="50"/>
      <c r="VMC226" s="50"/>
      <c r="VMD226" s="50"/>
      <c r="VME226" s="50"/>
      <c r="VMF226" s="50"/>
      <c r="VMG226" s="50"/>
      <c r="VMH226" s="50"/>
      <c r="VMI226" s="50"/>
      <c r="VMJ226" s="50"/>
      <c r="VMK226" s="50"/>
      <c r="VML226" s="50"/>
      <c r="VMM226" s="50"/>
      <c r="VMN226" s="50"/>
      <c r="VMO226" s="50"/>
      <c r="VMP226" s="50"/>
      <c r="VMQ226" s="50"/>
      <c r="VMR226" s="50"/>
      <c r="VMS226" s="50"/>
      <c r="VMT226" s="50"/>
      <c r="VMU226" s="50"/>
      <c r="VMV226" s="50"/>
      <c r="VMW226" s="50"/>
      <c r="VMX226" s="50"/>
      <c r="VMY226" s="50"/>
      <c r="VMZ226" s="50"/>
      <c r="VNA226" s="50"/>
      <c r="VNB226" s="50"/>
      <c r="VNC226" s="50"/>
      <c r="VND226" s="50"/>
      <c r="VNE226" s="50"/>
      <c r="VNF226" s="50"/>
      <c r="VNG226" s="50"/>
      <c r="VNH226" s="50"/>
      <c r="VNI226" s="50"/>
      <c r="VNJ226" s="50"/>
      <c r="VNK226" s="50"/>
      <c r="VNL226" s="50"/>
      <c r="VNM226" s="50"/>
      <c r="VNN226" s="50"/>
      <c r="VNO226" s="50"/>
      <c r="VNP226" s="50"/>
      <c r="VNQ226" s="50"/>
      <c r="VNR226" s="50"/>
      <c r="VNS226" s="50"/>
      <c r="VNT226" s="50"/>
      <c r="VNU226" s="50"/>
      <c r="VNV226" s="50"/>
      <c r="VNW226" s="50"/>
      <c r="VNX226" s="50"/>
      <c r="VNY226" s="50"/>
      <c r="VNZ226" s="50"/>
      <c r="VOA226" s="50"/>
      <c r="VOB226" s="50"/>
      <c r="VOC226" s="50"/>
      <c r="VOD226" s="50"/>
      <c r="VOE226" s="50"/>
      <c r="VOF226" s="50"/>
      <c r="VOG226" s="50"/>
      <c r="VOH226" s="50"/>
      <c r="VOI226" s="50"/>
      <c r="VOJ226" s="50"/>
      <c r="VOK226" s="50"/>
      <c r="VOL226" s="50"/>
      <c r="VOM226" s="50"/>
      <c r="VON226" s="50"/>
      <c r="VOO226" s="50"/>
      <c r="VOP226" s="50"/>
      <c r="VOQ226" s="50"/>
      <c r="VOR226" s="50"/>
      <c r="VOS226" s="50"/>
      <c r="VOT226" s="50"/>
      <c r="VOU226" s="50"/>
      <c r="VOV226" s="50"/>
      <c r="VOW226" s="50"/>
      <c r="VOX226" s="50"/>
      <c r="VOY226" s="50"/>
      <c r="VOZ226" s="50"/>
      <c r="VPA226" s="50"/>
      <c r="VPB226" s="50"/>
      <c r="VPC226" s="50"/>
      <c r="VPD226" s="50"/>
      <c r="VPE226" s="50"/>
      <c r="VPF226" s="50"/>
      <c r="VPG226" s="50"/>
      <c r="VPH226" s="50"/>
      <c r="VPI226" s="50"/>
      <c r="VPJ226" s="50"/>
      <c r="VPK226" s="50"/>
      <c r="VPL226" s="50"/>
      <c r="VPM226" s="50"/>
      <c r="VPN226" s="50"/>
      <c r="VPO226" s="50"/>
      <c r="VPP226" s="50"/>
      <c r="VPQ226" s="50"/>
      <c r="VPR226" s="50"/>
      <c r="VPS226" s="50"/>
      <c r="VPT226" s="50"/>
      <c r="VPU226" s="50"/>
      <c r="VPV226" s="50"/>
      <c r="VPW226" s="50"/>
      <c r="VPX226" s="50"/>
      <c r="VPY226" s="50"/>
      <c r="VPZ226" s="50"/>
      <c r="VQA226" s="50"/>
      <c r="VQB226" s="50"/>
      <c r="VQC226" s="50"/>
      <c r="VQD226" s="50"/>
      <c r="VQE226" s="50"/>
      <c r="VQF226" s="50"/>
      <c r="VQG226" s="50"/>
      <c r="VQH226" s="50"/>
      <c r="VQI226" s="50"/>
      <c r="VQJ226" s="50"/>
      <c r="VQK226" s="50"/>
      <c r="VQL226" s="50"/>
      <c r="VQM226" s="50"/>
      <c r="VQN226" s="50"/>
      <c r="VQO226" s="50"/>
      <c r="VQP226" s="50"/>
      <c r="VQQ226" s="50"/>
      <c r="VQR226" s="50"/>
      <c r="VQS226" s="50"/>
      <c r="VQT226" s="50"/>
      <c r="VQU226" s="50"/>
      <c r="VQV226" s="50"/>
      <c r="VQW226" s="50"/>
      <c r="VQX226" s="50"/>
      <c r="VQY226" s="50"/>
      <c r="VQZ226" s="50"/>
      <c r="VRA226" s="50"/>
      <c r="VRB226" s="50"/>
      <c r="VRC226" s="50"/>
      <c r="VRD226" s="50"/>
      <c r="VRE226" s="50"/>
      <c r="VRF226" s="50"/>
      <c r="VRG226" s="50"/>
      <c r="VRH226" s="50"/>
      <c r="VRI226" s="50"/>
      <c r="VRJ226" s="50"/>
      <c r="VRK226" s="50"/>
      <c r="VRL226" s="50"/>
      <c r="VRM226" s="50"/>
      <c r="VRN226" s="50"/>
      <c r="VRO226" s="50"/>
      <c r="VRP226" s="50"/>
      <c r="VRQ226" s="50"/>
      <c r="VRR226" s="50"/>
      <c r="VRS226" s="50"/>
      <c r="VRT226" s="50"/>
      <c r="VRU226" s="50"/>
      <c r="VRV226" s="50"/>
      <c r="VRW226" s="50"/>
      <c r="VRX226" s="50"/>
      <c r="VRY226" s="50"/>
      <c r="VRZ226" s="50"/>
      <c r="VSA226" s="50"/>
      <c r="VSB226" s="50"/>
      <c r="VSC226" s="50"/>
      <c r="VSD226" s="50"/>
      <c r="VSE226" s="50"/>
      <c r="VSF226" s="50"/>
      <c r="VSG226" s="50"/>
      <c r="VSH226" s="50"/>
      <c r="VSI226" s="50"/>
      <c r="VSJ226" s="50"/>
      <c r="VSK226" s="50"/>
      <c r="VSL226" s="50"/>
      <c r="VSM226" s="50"/>
      <c r="VSN226" s="50"/>
      <c r="VSO226" s="50"/>
      <c r="VSP226" s="50"/>
      <c r="VSQ226" s="50"/>
      <c r="VSR226" s="50"/>
      <c r="VSS226" s="50"/>
      <c r="VST226" s="50"/>
      <c r="VSU226" s="50"/>
      <c r="VSV226" s="50"/>
      <c r="VSW226" s="50"/>
      <c r="VSX226" s="50"/>
      <c r="VSY226" s="50"/>
      <c r="VSZ226" s="50"/>
      <c r="VTA226" s="50"/>
      <c r="VTB226" s="50"/>
      <c r="VTC226" s="50"/>
      <c r="VTD226" s="50"/>
      <c r="VTE226" s="50"/>
      <c r="VTF226" s="50"/>
      <c r="VTG226" s="50"/>
      <c r="VTH226" s="50"/>
      <c r="VTI226" s="50"/>
      <c r="VTJ226" s="50"/>
      <c r="VTK226" s="50"/>
      <c r="VTL226" s="50"/>
      <c r="VTM226" s="50"/>
      <c r="VTN226" s="50"/>
      <c r="VTO226" s="50"/>
      <c r="VTP226" s="50"/>
      <c r="VTQ226" s="50"/>
      <c r="VTR226" s="50"/>
      <c r="VTS226" s="50"/>
      <c r="VTT226" s="50"/>
      <c r="VTU226" s="50"/>
      <c r="VTV226" s="50"/>
      <c r="VTW226" s="50"/>
      <c r="VTX226" s="50"/>
      <c r="VTY226" s="50"/>
      <c r="VTZ226" s="50"/>
      <c r="VUA226" s="50"/>
      <c r="VUB226" s="50"/>
      <c r="VUC226" s="50"/>
      <c r="VUD226" s="50"/>
      <c r="VUE226" s="50"/>
      <c r="VUF226" s="50"/>
      <c r="VUG226" s="50"/>
      <c r="VUH226" s="50"/>
      <c r="VUI226" s="50"/>
      <c r="VUJ226" s="50"/>
      <c r="VUK226" s="50"/>
      <c r="VUL226" s="50"/>
      <c r="VUM226" s="50"/>
      <c r="VUN226" s="50"/>
      <c r="VUO226" s="50"/>
      <c r="VUP226" s="50"/>
      <c r="VUQ226" s="50"/>
      <c r="VUR226" s="50"/>
      <c r="VUS226" s="50"/>
      <c r="VUT226" s="50"/>
      <c r="VUU226" s="50"/>
      <c r="VUV226" s="50"/>
      <c r="VUW226" s="50"/>
      <c r="VUX226" s="50"/>
      <c r="VUY226" s="50"/>
      <c r="VUZ226" s="50"/>
      <c r="VVA226" s="50"/>
      <c r="VVB226" s="50"/>
      <c r="VVC226" s="50"/>
      <c r="VVD226" s="50"/>
      <c r="VVE226" s="50"/>
      <c r="VVF226" s="50"/>
      <c r="VVG226" s="50"/>
      <c r="VVH226" s="50"/>
      <c r="VVI226" s="50"/>
      <c r="VVJ226" s="50"/>
      <c r="VVK226" s="50"/>
      <c r="VVL226" s="50"/>
      <c r="VVM226" s="50"/>
      <c r="VVN226" s="50"/>
      <c r="VVO226" s="50"/>
      <c r="VVP226" s="50"/>
    </row>
    <row r="227" spans="3:102 15068:15460" s="2" customFormat="1" ht="15.75" thickBot="1" x14ac:dyDescent="0.3">
      <c r="C227" s="41"/>
      <c r="D227" s="42" t="s">
        <v>1</v>
      </c>
      <c r="E227" s="273">
        <v>1460.001</v>
      </c>
      <c r="F227" s="25" t="s">
        <v>19</v>
      </c>
      <c r="G227" s="313">
        <f>G225+G226</f>
        <v>1290.5807</v>
      </c>
      <c r="H227" s="313">
        <f>H225+H226</f>
        <v>1329.9971</v>
      </c>
      <c r="I227" s="313">
        <f t="shared" ref="I227:AL227" si="116">I225+I226</f>
        <v>1222.0368000000001</v>
      </c>
      <c r="J227" s="313">
        <f t="shared" si="116"/>
        <v>1252.3320000000001</v>
      </c>
      <c r="K227" s="313">
        <f t="shared" si="116"/>
        <v>1070.5832</v>
      </c>
      <c r="L227" s="313">
        <f t="shared" si="116"/>
        <v>1228.4779000000001</v>
      </c>
      <c r="M227" s="313">
        <f t="shared" si="116"/>
        <v>989.98239999999987</v>
      </c>
      <c r="N227" s="313">
        <f t="shared" ref="N227:P227" si="117">N225+N226</f>
        <v>1070.4774</v>
      </c>
      <c r="O227" s="313">
        <f t="shared" ref="O227" si="118">O225+O226</f>
        <v>1242.4348</v>
      </c>
      <c r="P227" s="313">
        <f t="shared" si="117"/>
        <v>1146.8044</v>
      </c>
      <c r="Q227" s="313">
        <f t="shared" si="116"/>
        <v>1099.0201999999999</v>
      </c>
      <c r="R227" s="313">
        <f t="shared" si="116"/>
        <v>806.50170000000003</v>
      </c>
      <c r="S227" s="313">
        <f t="shared" si="116"/>
        <v>1236.7545</v>
      </c>
      <c r="T227" s="313">
        <f t="shared" si="116"/>
        <v>1327.4954</v>
      </c>
      <c r="U227" s="313">
        <f t="shared" si="116"/>
        <v>1084.2739999999999</v>
      </c>
      <c r="V227" s="313">
        <f t="shared" si="116"/>
        <v>1089.5305000000001</v>
      </c>
      <c r="W227" s="313">
        <f t="shared" si="116"/>
        <v>929.23389999999995</v>
      </c>
      <c r="X227" s="313">
        <f t="shared" si="116"/>
        <v>610.90920000000006</v>
      </c>
      <c r="Y227" s="313">
        <f t="shared" si="116"/>
        <v>773.81119999999999</v>
      </c>
      <c r="Z227" s="313">
        <f t="shared" si="116"/>
        <v>1146.1713999999999</v>
      </c>
      <c r="AA227" s="313">
        <f t="shared" si="116"/>
        <v>1357.182</v>
      </c>
      <c r="AB227" s="313">
        <f t="shared" si="116"/>
        <v>1299.4176</v>
      </c>
      <c r="AC227" s="313">
        <f t="shared" si="116"/>
        <v>1228.4218000000001</v>
      </c>
      <c r="AD227" s="313">
        <f t="shared" si="116"/>
        <v>1250.5737999999999</v>
      </c>
      <c r="AE227" s="313">
        <f t="shared" si="116"/>
        <v>1326.788</v>
      </c>
      <c r="AF227" s="313">
        <f t="shared" si="116"/>
        <v>1104.3948</v>
      </c>
      <c r="AG227" s="313">
        <f t="shared" si="116"/>
        <v>1230.9275</v>
      </c>
      <c r="AH227" s="313">
        <f t="shared" si="116"/>
        <v>1193.3972000000001</v>
      </c>
      <c r="AI227" s="313">
        <f t="shared" si="116"/>
        <v>1116.6387</v>
      </c>
      <c r="AJ227" s="313">
        <f t="shared" si="116"/>
        <v>1041.6601000000001</v>
      </c>
      <c r="AK227" s="313">
        <f t="shared" si="116"/>
        <v>1211.7825</v>
      </c>
      <c r="AL227" s="313">
        <f t="shared" si="116"/>
        <v>0</v>
      </c>
      <c r="AN227" s="126">
        <f>SUM(G227:AL227)</f>
        <v>35308.592700000001</v>
      </c>
      <c r="CX227" s="161"/>
    </row>
    <row r="228" spans="3:102 15068:15460" s="2" customFormat="1" x14ac:dyDescent="0.25">
      <c r="C228" s="8">
        <v>5</v>
      </c>
      <c r="D228" s="127" t="s">
        <v>18</v>
      </c>
      <c r="E228" s="128"/>
      <c r="F228" s="128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314"/>
      <c r="AB228" s="314"/>
      <c r="AC228" s="314"/>
      <c r="AD228" s="314"/>
      <c r="AE228" s="314"/>
      <c r="AF228" s="314"/>
      <c r="AG228" s="314"/>
      <c r="AH228" s="314"/>
      <c r="AI228" s="314"/>
      <c r="AJ228" s="314"/>
      <c r="AK228" s="314"/>
      <c r="AL228" s="314"/>
      <c r="AN228" s="146" t="s">
        <v>134</v>
      </c>
      <c r="CX228" s="161"/>
    </row>
    <row r="229" spans="3:102 15068:15460" s="2" customFormat="1" x14ac:dyDescent="0.25">
      <c r="C229" s="8"/>
      <c r="D229" s="247" t="s">
        <v>4</v>
      </c>
      <c r="E229" s="246">
        <v>408000</v>
      </c>
      <c r="F229" s="248" t="s">
        <v>14</v>
      </c>
      <c r="G229" s="315">
        <v>255815</v>
      </c>
      <c r="H229" s="315">
        <v>259054</v>
      </c>
      <c r="I229" s="315">
        <v>233972</v>
      </c>
      <c r="J229" s="315">
        <v>231314</v>
      </c>
      <c r="K229" s="315">
        <v>218946</v>
      </c>
      <c r="L229" s="315">
        <v>227233</v>
      </c>
      <c r="M229" s="315">
        <v>207348</v>
      </c>
      <c r="N229" s="315">
        <v>229499</v>
      </c>
      <c r="O229" s="315">
        <v>231091</v>
      </c>
      <c r="P229" s="315">
        <v>254103</v>
      </c>
      <c r="Q229" s="315">
        <v>208467</v>
      </c>
      <c r="R229" s="315">
        <v>131885</v>
      </c>
      <c r="S229" s="315">
        <v>214728</v>
      </c>
      <c r="T229" s="315">
        <v>264960</v>
      </c>
      <c r="U229" s="315">
        <v>190299</v>
      </c>
      <c r="V229" s="315">
        <v>183549</v>
      </c>
      <c r="W229" s="315">
        <v>154071</v>
      </c>
      <c r="X229" s="315">
        <v>20932</v>
      </c>
      <c r="Y229" s="315">
        <v>85435</v>
      </c>
      <c r="Z229" s="315">
        <v>191684</v>
      </c>
      <c r="AA229" s="315">
        <v>241721</v>
      </c>
      <c r="AB229" s="315">
        <v>229327</v>
      </c>
      <c r="AC229" s="315">
        <v>224348</v>
      </c>
      <c r="AD229" s="315">
        <v>225065</v>
      </c>
      <c r="AE229" s="315">
        <v>248294</v>
      </c>
      <c r="AF229" s="315">
        <v>225352</v>
      </c>
      <c r="AG229" s="315">
        <v>238780</v>
      </c>
      <c r="AH229" s="315">
        <v>238883</v>
      </c>
      <c r="AI229" s="315">
        <v>200288</v>
      </c>
      <c r="AJ229" s="315">
        <v>202152</v>
      </c>
      <c r="AK229" s="315">
        <v>238227</v>
      </c>
      <c r="AL229" s="315"/>
      <c r="AN229" s="1074">
        <f>SUM(G229:AL229)</f>
        <v>6506822</v>
      </c>
      <c r="AO229" s="27">
        <f>AN229/AN9*1000</f>
        <v>281.98131288578475</v>
      </c>
      <c r="CX229" s="161"/>
    </row>
    <row r="230" spans="3:102 15068:15460" s="2" customFormat="1" x14ac:dyDescent="0.25">
      <c r="C230" s="8"/>
      <c r="D230" s="30" t="s">
        <v>17</v>
      </c>
      <c r="E230" s="274"/>
      <c r="F230" s="13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  <c r="AA230" s="297"/>
      <c r="AB230" s="297"/>
      <c r="AC230" s="297"/>
      <c r="AD230" s="297"/>
      <c r="AE230" s="297"/>
      <c r="AF230" s="297"/>
      <c r="AG230" s="297"/>
      <c r="AH230" s="297"/>
      <c r="AI230" s="297"/>
      <c r="AJ230" s="297"/>
      <c r="AK230" s="297"/>
      <c r="AL230" s="297"/>
      <c r="AN230" s="129" t="s">
        <v>17</v>
      </c>
      <c r="CX230" s="161"/>
    </row>
    <row r="231" spans="3:102 15068:15460" s="1" customFormat="1" x14ac:dyDescent="0.25">
      <c r="C231" s="15"/>
      <c r="D231" s="247" t="s">
        <v>16</v>
      </c>
      <c r="E231" s="246">
        <f>180000</f>
        <v>180000</v>
      </c>
      <c r="F231" s="248" t="s">
        <v>422</v>
      </c>
      <c r="G231" s="290">
        <v>159700</v>
      </c>
      <c r="H231" s="290">
        <v>162600</v>
      </c>
      <c r="I231" s="290">
        <v>157100</v>
      </c>
      <c r="J231" s="290">
        <v>160100</v>
      </c>
      <c r="K231" s="290">
        <v>145500</v>
      </c>
      <c r="L231" s="290">
        <v>151400</v>
      </c>
      <c r="M231" s="290">
        <v>131500</v>
      </c>
      <c r="N231" s="290">
        <v>143200</v>
      </c>
      <c r="O231" s="290">
        <v>156000</v>
      </c>
      <c r="P231" s="290">
        <v>155900</v>
      </c>
      <c r="Q231" s="290">
        <v>134100</v>
      </c>
      <c r="R231" s="290">
        <v>35000</v>
      </c>
      <c r="S231" s="290">
        <v>167000</v>
      </c>
      <c r="T231" s="290">
        <v>151000</v>
      </c>
      <c r="U231" s="290">
        <v>136200</v>
      </c>
      <c r="V231" s="290">
        <v>160600</v>
      </c>
      <c r="W231" s="290">
        <v>108400</v>
      </c>
      <c r="X231" s="290">
        <f>69300-60000</f>
        <v>9300</v>
      </c>
      <c r="Y231" s="290">
        <f>103300-20000</f>
        <v>83300</v>
      </c>
      <c r="Z231" s="290">
        <f>161400-10000</f>
        <v>151400</v>
      </c>
      <c r="AA231" s="290">
        <v>163300</v>
      </c>
      <c r="AB231" s="290">
        <v>152400</v>
      </c>
      <c r="AC231" s="290">
        <f>165300-5000</f>
        <v>160300</v>
      </c>
      <c r="AD231" s="290">
        <f>165600-10000</f>
        <v>155600</v>
      </c>
      <c r="AE231" s="290">
        <v>158400</v>
      </c>
      <c r="AF231" s="290">
        <v>136200</v>
      </c>
      <c r="AG231" s="290">
        <v>142700</v>
      </c>
      <c r="AH231" s="290">
        <v>151900</v>
      </c>
      <c r="AI231" s="290">
        <f>145000-12000</f>
        <v>133000</v>
      </c>
      <c r="AJ231" s="290">
        <v>128000</v>
      </c>
      <c r="AK231" s="290">
        <v>145700</v>
      </c>
      <c r="AL231" s="290"/>
      <c r="AN231" s="1074">
        <f>SUM(G231:AL231)</f>
        <v>4286800</v>
      </c>
      <c r="AU231" s="955"/>
      <c r="CX231" s="151"/>
      <c r="VGN231" s="50"/>
      <c r="VGO231" s="50"/>
      <c r="VGP231" s="50"/>
      <c r="VGQ231" s="50"/>
      <c r="VGR231" s="50"/>
      <c r="VGS231" s="50"/>
      <c r="VGT231" s="50"/>
      <c r="VGU231" s="50"/>
      <c r="VGV231" s="50"/>
      <c r="VGW231" s="50"/>
      <c r="VGX231" s="50"/>
      <c r="VGY231" s="50"/>
      <c r="VGZ231" s="50"/>
      <c r="VHA231" s="50"/>
      <c r="VHB231" s="50"/>
      <c r="VHC231" s="50"/>
      <c r="VHD231" s="50"/>
      <c r="VHE231" s="50"/>
      <c r="VHF231" s="50"/>
      <c r="VHG231" s="50"/>
      <c r="VHH231" s="50"/>
      <c r="VHI231" s="50"/>
      <c r="VHJ231" s="50"/>
      <c r="VHK231" s="50"/>
      <c r="VHL231" s="50"/>
      <c r="VHM231" s="50"/>
      <c r="VHN231" s="50"/>
      <c r="VHO231" s="50"/>
      <c r="VHP231" s="50"/>
      <c r="VHQ231" s="50"/>
      <c r="VHR231" s="50"/>
      <c r="VHS231" s="50"/>
      <c r="VHT231" s="50"/>
      <c r="VHU231" s="50"/>
      <c r="VHV231" s="50"/>
      <c r="VHW231" s="50"/>
      <c r="VHX231" s="50"/>
      <c r="VHY231" s="50"/>
      <c r="VHZ231" s="50"/>
      <c r="VIA231" s="50"/>
      <c r="VIB231" s="50"/>
      <c r="VIC231" s="50"/>
      <c r="VID231" s="50"/>
      <c r="VIE231" s="50"/>
      <c r="VIF231" s="50"/>
      <c r="VIG231" s="50"/>
      <c r="VIH231" s="50"/>
      <c r="VII231" s="50"/>
      <c r="VIJ231" s="50"/>
      <c r="VIK231" s="50"/>
      <c r="VIL231" s="50"/>
      <c r="VIM231" s="50"/>
      <c r="VIN231" s="50"/>
      <c r="VIO231" s="50"/>
      <c r="VIP231" s="50"/>
      <c r="VIQ231" s="50"/>
      <c r="VIR231" s="50"/>
      <c r="VIS231" s="50"/>
      <c r="VIT231" s="50"/>
      <c r="VIU231" s="50"/>
      <c r="VIV231" s="50"/>
      <c r="VIW231" s="50"/>
      <c r="VIX231" s="50"/>
      <c r="VIY231" s="50"/>
      <c r="VIZ231" s="50"/>
      <c r="VJA231" s="50"/>
      <c r="VJB231" s="50"/>
      <c r="VJC231" s="50"/>
      <c r="VJD231" s="50"/>
      <c r="VJE231" s="50"/>
      <c r="VJF231" s="50"/>
      <c r="VJG231" s="50"/>
      <c r="VJH231" s="50"/>
      <c r="VJI231" s="50"/>
      <c r="VJJ231" s="50"/>
      <c r="VJK231" s="50"/>
      <c r="VJL231" s="50"/>
      <c r="VJM231" s="50"/>
      <c r="VJN231" s="50"/>
      <c r="VJO231" s="50"/>
      <c r="VJP231" s="50"/>
      <c r="VJQ231" s="50"/>
      <c r="VJR231" s="50"/>
      <c r="VJS231" s="50"/>
      <c r="VJT231" s="50"/>
      <c r="VJU231" s="50"/>
      <c r="VJV231" s="50"/>
      <c r="VJW231" s="50"/>
      <c r="VJX231" s="50"/>
      <c r="VJY231" s="50"/>
      <c r="VJZ231" s="50"/>
      <c r="VKA231" s="50"/>
      <c r="VKB231" s="50"/>
      <c r="VKC231" s="50"/>
      <c r="VKD231" s="50"/>
      <c r="VKE231" s="50"/>
      <c r="VKF231" s="50"/>
      <c r="VKG231" s="50"/>
      <c r="VKH231" s="50"/>
      <c r="VKI231" s="50"/>
      <c r="VKJ231" s="50"/>
      <c r="VKK231" s="50"/>
      <c r="VKL231" s="50"/>
      <c r="VKM231" s="50"/>
      <c r="VKN231" s="50"/>
      <c r="VKO231" s="50"/>
      <c r="VKP231" s="50"/>
      <c r="VKQ231" s="50"/>
      <c r="VKR231" s="50"/>
      <c r="VKS231" s="50"/>
      <c r="VKT231" s="50"/>
      <c r="VKU231" s="50"/>
      <c r="VKV231" s="50"/>
      <c r="VKW231" s="50"/>
      <c r="VKX231" s="50"/>
      <c r="VKY231" s="50"/>
      <c r="VKZ231" s="50"/>
      <c r="VLA231" s="50"/>
      <c r="VLB231" s="50"/>
      <c r="VLC231" s="50"/>
      <c r="VLD231" s="50"/>
      <c r="VLE231" s="50"/>
      <c r="VLF231" s="50"/>
      <c r="VLG231" s="50"/>
      <c r="VLH231" s="50"/>
      <c r="VLI231" s="50"/>
      <c r="VLJ231" s="50"/>
      <c r="VLK231" s="50"/>
      <c r="VLL231" s="50"/>
      <c r="VLM231" s="50"/>
      <c r="VLN231" s="50"/>
      <c r="VLO231" s="50"/>
      <c r="VLP231" s="50"/>
      <c r="VLQ231" s="50"/>
      <c r="VLR231" s="50"/>
      <c r="VLS231" s="50"/>
      <c r="VLT231" s="50"/>
      <c r="VLU231" s="50"/>
      <c r="VLV231" s="50"/>
      <c r="VLW231" s="50"/>
      <c r="VLX231" s="50"/>
      <c r="VLY231" s="50"/>
      <c r="VLZ231" s="50"/>
      <c r="VMA231" s="50"/>
      <c r="VMB231" s="50"/>
      <c r="VMC231" s="50"/>
      <c r="VMD231" s="50"/>
      <c r="VME231" s="50"/>
      <c r="VMF231" s="50"/>
      <c r="VMG231" s="50"/>
      <c r="VMH231" s="50"/>
      <c r="VMI231" s="50"/>
      <c r="VMJ231" s="50"/>
      <c r="VMK231" s="50"/>
      <c r="VML231" s="50"/>
      <c r="VMM231" s="50"/>
      <c r="VMN231" s="50"/>
      <c r="VMO231" s="50"/>
      <c r="VMP231" s="50"/>
      <c r="VMQ231" s="50"/>
      <c r="VMR231" s="50"/>
      <c r="VMS231" s="50"/>
      <c r="VMT231" s="50"/>
      <c r="VMU231" s="50"/>
      <c r="VMV231" s="50"/>
      <c r="VMW231" s="50"/>
      <c r="VMX231" s="50"/>
      <c r="VMY231" s="50"/>
      <c r="VMZ231" s="50"/>
      <c r="VNA231" s="50"/>
      <c r="VNB231" s="50"/>
      <c r="VNC231" s="50"/>
      <c r="VND231" s="50"/>
      <c r="VNE231" s="50"/>
      <c r="VNF231" s="50"/>
      <c r="VNG231" s="50"/>
      <c r="VNH231" s="50"/>
      <c r="VNI231" s="50"/>
      <c r="VNJ231" s="50"/>
      <c r="VNK231" s="50"/>
      <c r="VNL231" s="50"/>
      <c r="VNM231" s="50"/>
      <c r="VNN231" s="50"/>
      <c r="VNO231" s="50"/>
      <c r="VNP231" s="50"/>
      <c r="VNQ231" s="50"/>
      <c r="VNR231" s="50"/>
      <c r="VNS231" s="50"/>
      <c r="VNT231" s="50"/>
      <c r="VNU231" s="50"/>
      <c r="VNV231" s="50"/>
      <c r="VNW231" s="50"/>
      <c r="VNX231" s="50"/>
      <c r="VNY231" s="50"/>
      <c r="VNZ231" s="50"/>
      <c r="VOA231" s="50"/>
      <c r="VOB231" s="50"/>
      <c r="VOC231" s="50"/>
      <c r="VOD231" s="50"/>
      <c r="VOE231" s="50"/>
      <c r="VOF231" s="50"/>
      <c r="VOG231" s="50"/>
      <c r="VOH231" s="50"/>
      <c r="VOI231" s="50"/>
      <c r="VOJ231" s="50"/>
      <c r="VOK231" s="50"/>
      <c r="VOL231" s="50"/>
      <c r="VOM231" s="50"/>
      <c r="VON231" s="50"/>
      <c r="VOO231" s="50"/>
      <c r="VOP231" s="50"/>
      <c r="VOQ231" s="50"/>
      <c r="VOR231" s="50"/>
      <c r="VOS231" s="50"/>
      <c r="VOT231" s="50"/>
      <c r="VOU231" s="50"/>
      <c r="VOV231" s="50"/>
      <c r="VOW231" s="50"/>
      <c r="VOX231" s="50"/>
      <c r="VOY231" s="50"/>
      <c r="VOZ231" s="50"/>
      <c r="VPA231" s="50"/>
      <c r="VPB231" s="50"/>
      <c r="VPC231" s="50"/>
      <c r="VPD231" s="50"/>
      <c r="VPE231" s="50"/>
      <c r="VPF231" s="50"/>
      <c r="VPG231" s="50"/>
      <c r="VPH231" s="50"/>
      <c r="VPI231" s="50"/>
      <c r="VPJ231" s="50"/>
      <c r="VPK231" s="50"/>
      <c r="VPL231" s="50"/>
      <c r="VPM231" s="50"/>
      <c r="VPN231" s="50"/>
      <c r="VPO231" s="50"/>
      <c r="VPP231" s="50"/>
      <c r="VPQ231" s="50"/>
      <c r="VPR231" s="50"/>
      <c r="VPS231" s="50"/>
      <c r="VPT231" s="50"/>
      <c r="VPU231" s="50"/>
      <c r="VPV231" s="50"/>
      <c r="VPW231" s="50"/>
      <c r="VPX231" s="50"/>
      <c r="VPY231" s="50"/>
      <c r="VPZ231" s="50"/>
      <c r="VQA231" s="50"/>
      <c r="VQB231" s="50"/>
      <c r="VQC231" s="50"/>
      <c r="VQD231" s="50"/>
      <c r="VQE231" s="50"/>
      <c r="VQF231" s="50"/>
      <c r="VQG231" s="50"/>
      <c r="VQH231" s="50"/>
      <c r="VQI231" s="50"/>
      <c r="VQJ231" s="50"/>
      <c r="VQK231" s="50"/>
      <c r="VQL231" s="50"/>
      <c r="VQM231" s="50"/>
      <c r="VQN231" s="50"/>
      <c r="VQO231" s="50"/>
      <c r="VQP231" s="50"/>
      <c r="VQQ231" s="50"/>
      <c r="VQR231" s="50"/>
      <c r="VQS231" s="50"/>
      <c r="VQT231" s="50"/>
      <c r="VQU231" s="50"/>
      <c r="VQV231" s="50"/>
      <c r="VQW231" s="50"/>
      <c r="VQX231" s="50"/>
      <c r="VQY231" s="50"/>
      <c r="VQZ231" s="50"/>
      <c r="VRA231" s="50"/>
      <c r="VRB231" s="50"/>
      <c r="VRC231" s="50"/>
      <c r="VRD231" s="50"/>
      <c r="VRE231" s="50"/>
      <c r="VRF231" s="50"/>
      <c r="VRG231" s="50"/>
      <c r="VRH231" s="50"/>
      <c r="VRI231" s="50"/>
      <c r="VRJ231" s="50"/>
      <c r="VRK231" s="50"/>
      <c r="VRL231" s="50"/>
      <c r="VRM231" s="50"/>
      <c r="VRN231" s="50"/>
      <c r="VRO231" s="50"/>
      <c r="VRP231" s="50"/>
      <c r="VRQ231" s="50"/>
      <c r="VRR231" s="50"/>
      <c r="VRS231" s="50"/>
      <c r="VRT231" s="50"/>
      <c r="VRU231" s="50"/>
      <c r="VRV231" s="50"/>
      <c r="VRW231" s="50"/>
      <c r="VRX231" s="50"/>
      <c r="VRY231" s="50"/>
      <c r="VRZ231" s="50"/>
      <c r="VSA231" s="50"/>
      <c r="VSB231" s="50"/>
      <c r="VSC231" s="50"/>
      <c r="VSD231" s="50"/>
      <c r="VSE231" s="50"/>
      <c r="VSF231" s="50"/>
      <c r="VSG231" s="50"/>
      <c r="VSH231" s="50"/>
      <c r="VSI231" s="50"/>
      <c r="VSJ231" s="50"/>
      <c r="VSK231" s="50"/>
      <c r="VSL231" s="50"/>
      <c r="VSM231" s="50"/>
      <c r="VSN231" s="50"/>
      <c r="VSO231" s="50"/>
      <c r="VSP231" s="50"/>
      <c r="VSQ231" s="50"/>
      <c r="VSR231" s="50"/>
      <c r="VSS231" s="50"/>
      <c r="VST231" s="50"/>
      <c r="VSU231" s="50"/>
      <c r="VSV231" s="50"/>
      <c r="VSW231" s="50"/>
      <c r="VSX231" s="50"/>
      <c r="VSY231" s="50"/>
      <c r="VSZ231" s="50"/>
      <c r="VTA231" s="50"/>
      <c r="VTB231" s="50"/>
      <c r="VTC231" s="50"/>
      <c r="VTD231" s="50"/>
      <c r="VTE231" s="50"/>
      <c r="VTF231" s="50"/>
      <c r="VTG231" s="50"/>
      <c r="VTH231" s="50"/>
      <c r="VTI231" s="50"/>
      <c r="VTJ231" s="50"/>
      <c r="VTK231" s="50"/>
      <c r="VTL231" s="50"/>
      <c r="VTM231" s="50"/>
      <c r="VTN231" s="50"/>
      <c r="VTO231" s="50"/>
      <c r="VTP231" s="50"/>
      <c r="VTQ231" s="50"/>
      <c r="VTR231" s="50"/>
      <c r="VTS231" s="50"/>
      <c r="VTT231" s="50"/>
      <c r="VTU231" s="50"/>
      <c r="VTV231" s="50"/>
      <c r="VTW231" s="50"/>
      <c r="VTX231" s="50"/>
      <c r="VTY231" s="50"/>
      <c r="VTZ231" s="50"/>
      <c r="VUA231" s="50"/>
      <c r="VUB231" s="50"/>
      <c r="VUC231" s="50"/>
      <c r="VUD231" s="50"/>
      <c r="VUE231" s="50"/>
      <c r="VUF231" s="50"/>
      <c r="VUG231" s="50"/>
      <c r="VUH231" s="50"/>
      <c r="VUI231" s="50"/>
      <c r="VUJ231" s="50"/>
      <c r="VUK231" s="50"/>
      <c r="VUL231" s="50"/>
      <c r="VUM231" s="50"/>
      <c r="VUN231" s="50"/>
      <c r="VUO231" s="50"/>
      <c r="VUP231" s="50"/>
      <c r="VUQ231" s="50"/>
      <c r="VUR231" s="50"/>
      <c r="VUS231" s="50"/>
      <c r="VUT231" s="50"/>
      <c r="VUU231" s="50"/>
      <c r="VUV231" s="50"/>
      <c r="VUW231" s="50"/>
      <c r="VUX231" s="50"/>
      <c r="VUY231" s="50"/>
      <c r="VUZ231" s="50"/>
      <c r="VVA231" s="50"/>
      <c r="VVB231" s="50"/>
      <c r="VVC231" s="50"/>
      <c r="VVD231" s="50"/>
      <c r="VVE231" s="50"/>
      <c r="VVF231" s="50"/>
      <c r="VVG231" s="50"/>
      <c r="VVH231" s="50"/>
      <c r="VVI231" s="50"/>
      <c r="VVJ231" s="50"/>
      <c r="VVK231" s="50"/>
      <c r="VVL231" s="50"/>
      <c r="VVM231" s="50"/>
      <c r="VVN231" s="50"/>
      <c r="VVO231" s="50"/>
      <c r="VVP231" s="50"/>
    </row>
    <row r="232" spans="3:102 15068:15460" s="1" customFormat="1" x14ac:dyDescent="0.25">
      <c r="C232" s="15"/>
      <c r="D232" s="247"/>
      <c r="E232" s="246">
        <f>E231/2000</f>
        <v>90</v>
      </c>
      <c r="F232" s="20" t="s">
        <v>423</v>
      </c>
      <c r="G232" s="33">
        <f>G231/G9*1000</f>
        <v>112.65535081172519</v>
      </c>
      <c r="H232" s="33">
        <f t="shared" ref="H232:Z232" si="119">H231/H9*1000</f>
        <v>147.155846729855</v>
      </c>
      <c r="I232" s="33">
        <f t="shared" si="119"/>
        <v>150.68532568556549</v>
      </c>
      <c r="J232" s="33">
        <f t="shared" si="119"/>
        <v>150.68476389739882</v>
      </c>
      <c r="K232" s="33">
        <f t="shared" si="119"/>
        <v>354.61079332893013</v>
      </c>
      <c r="L232" s="33">
        <f t="shared" si="119"/>
        <v>199.40179461615153</v>
      </c>
      <c r="M232" s="33">
        <f t="shared" si="119"/>
        <v>605.76466848779955</v>
      </c>
      <c r="N232" s="33">
        <f t="shared" si="119"/>
        <v>407.13972967286668</v>
      </c>
      <c r="O232" s="33">
        <f t="shared" si="119"/>
        <v>209.83084405802092</v>
      </c>
      <c r="P232" s="33">
        <f t="shared" si="119"/>
        <v>135.24404219197714</v>
      </c>
      <c r="Q232" s="33">
        <f t="shared" si="119"/>
        <v>257.30123431680863</v>
      </c>
      <c r="R232" s="33">
        <f t="shared" si="119"/>
        <v>103.71784006116388</v>
      </c>
      <c r="S232" s="33">
        <f t="shared" si="119"/>
        <v>125.24815258974931</v>
      </c>
      <c r="T232" s="33">
        <f t="shared" si="119"/>
        <v>208.6955560285374</v>
      </c>
      <c r="U232" s="33">
        <f t="shared" si="119"/>
        <v>520.02000664342745</v>
      </c>
      <c r="V232" s="33">
        <f t="shared" si="119"/>
        <v>190.45992633019537</v>
      </c>
      <c r="W232" s="33">
        <v>0</v>
      </c>
      <c r="X232" s="33" t="e">
        <f t="shared" si="119"/>
        <v>#DIV/0!</v>
      </c>
      <c r="Y232" s="33" t="e">
        <f t="shared" si="119"/>
        <v>#DIV/0!</v>
      </c>
      <c r="Z232" s="33">
        <f t="shared" si="119"/>
        <v>151.71480822707116</v>
      </c>
      <c r="AA232" s="33">
        <f t="shared" ref="AA232:AL232" si="120">AA231/AA9*1000</f>
        <v>112.45410247440343</v>
      </c>
      <c r="AB232" s="33">
        <f t="shared" si="120"/>
        <v>211.60406713014066</v>
      </c>
      <c r="AC232" s="33">
        <f t="shared" si="120"/>
        <v>164.16359009283488</v>
      </c>
      <c r="AD232" s="33">
        <f t="shared" si="120"/>
        <v>99.542208199309599</v>
      </c>
      <c r="AE232" s="33">
        <f t="shared" si="120"/>
        <v>113.43617066987497</v>
      </c>
      <c r="AF232" s="33">
        <f t="shared" si="120"/>
        <v>605.00528602268992</v>
      </c>
      <c r="AG232" s="33">
        <f t="shared" si="120"/>
        <v>212.27600938953168</v>
      </c>
      <c r="AH232" s="33">
        <f t="shared" si="120"/>
        <v>149.34691449667929</v>
      </c>
      <c r="AI232" s="33">
        <f t="shared" si="120"/>
        <v>223.03947463303297</v>
      </c>
      <c r="AJ232" s="33">
        <f t="shared" si="120"/>
        <v>368.04559164766539</v>
      </c>
      <c r="AK232" s="33">
        <f t="shared" si="120"/>
        <v>176.0301752207022</v>
      </c>
      <c r="AL232" s="290" t="e">
        <f t="shared" si="120"/>
        <v>#DIV/0!</v>
      </c>
      <c r="AN232" s="33">
        <f t="shared" ref="AN232" si="121">AN231/AN9*1000</f>
        <v>185.77386811546131</v>
      </c>
      <c r="AU232" s="955"/>
      <c r="CX232" s="151"/>
      <c r="VGN232" s="50"/>
      <c r="VGO232" s="50"/>
      <c r="VGP232" s="50"/>
      <c r="VGQ232" s="50"/>
      <c r="VGR232" s="50"/>
      <c r="VGS232" s="50"/>
      <c r="VGT232" s="50"/>
      <c r="VGU232" s="50"/>
      <c r="VGV232" s="50"/>
      <c r="VGW232" s="50"/>
      <c r="VGX232" s="50"/>
      <c r="VGY232" s="50"/>
      <c r="VGZ232" s="50"/>
      <c r="VHA232" s="50"/>
      <c r="VHB232" s="50"/>
      <c r="VHC232" s="50"/>
      <c r="VHD232" s="50"/>
      <c r="VHE232" s="50"/>
      <c r="VHF232" s="50"/>
      <c r="VHG232" s="50"/>
      <c r="VHH232" s="50"/>
      <c r="VHI232" s="50"/>
      <c r="VHJ232" s="50"/>
      <c r="VHK232" s="50"/>
      <c r="VHL232" s="50"/>
      <c r="VHM232" s="50"/>
      <c r="VHN232" s="50"/>
      <c r="VHO232" s="50"/>
      <c r="VHP232" s="50"/>
      <c r="VHQ232" s="50"/>
      <c r="VHR232" s="50"/>
      <c r="VHS232" s="50"/>
      <c r="VHT232" s="50"/>
      <c r="VHU232" s="50"/>
      <c r="VHV232" s="50"/>
      <c r="VHW232" s="50"/>
      <c r="VHX232" s="50"/>
      <c r="VHY232" s="50"/>
      <c r="VHZ232" s="50"/>
      <c r="VIA232" s="50"/>
      <c r="VIB232" s="50"/>
      <c r="VIC232" s="50"/>
      <c r="VID232" s="50"/>
      <c r="VIE232" s="50"/>
      <c r="VIF232" s="50"/>
      <c r="VIG232" s="50"/>
      <c r="VIH232" s="50"/>
      <c r="VII232" s="50"/>
      <c r="VIJ232" s="50"/>
      <c r="VIK232" s="50"/>
      <c r="VIL232" s="50"/>
      <c r="VIM232" s="50"/>
      <c r="VIN232" s="50"/>
      <c r="VIO232" s="50"/>
      <c r="VIP232" s="50"/>
      <c r="VIQ232" s="50"/>
      <c r="VIR232" s="50"/>
      <c r="VIS232" s="50"/>
      <c r="VIT232" s="50"/>
      <c r="VIU232" s="50"/>
      <c r="VIV232" s="50"/>
      <c r="VIW232" s="50"/>
      <c r="VIX232" s="50"/>
      <c r="VIY232" s="50"/>
      <c r="VIZ232" s="50"/>
      <c r="VJA232" s="50"/>
      <c r="VJB232" s="50"/>
      <c r="VJC232" s="50"/>
      <c r="VJD232" s="50"/>
      <c r="VJE232" s="50"/>
      <c r="VJF232" s="50"/>
      <c r="VJG232" s="50"/>
      <c r="VJH232" s="50"/>
      <c r="VJI232" s="50"/>
      <c r="VJJ232" s="50"/>
      <c r="VJK232" s="50"/>
      <c r="VJL232" s="50"/>
      <c r="VJM232" s="50"/>
      <c r="VJN232" s="50"/>
      <c r="VJO232" s="50"/>
      <c r="VJP232" s="50"/>
      <c r="VJQ232" s="50"/>
      <c r="VJR232" s="50"/>
      <c r="VJS232" s="50"/>
      <c r="VJT232" s="50"/>
      <c r="VJU232" s="50"/>
      <c r="VJV232" s="50"/>
      <c r="VJW232" s="50"/>
      <c r="VJX232" s="50"/>
      <c r="VJY232" s="50"/>
      <c r="VJZ232" s="50"/>
      <c r="VKA232" s="50"/>
      <c r="VKB232" s="50"/>
      <c r="VKC232" s="50"/>
      <c r="VKD232" s="50"/>
      <c r="VKE232" s="50"/>
      <c r="VKF232" s="50"/>
      <c r="VKG232" s="50"/>
      <c r="VKH232" s="50"/>
      <c r="VKI232" s="50"/>
      <c r="VKJ232" s="50"/>
      <c r="VKK232" s="50"/>
      <c r="VKL232" s="50"/>
      <c r="VKM232" s="50"/>
      <c r="VKN232" s="50"/>
      <c r="VKO232" s="50"/>
      <c r="VKP232" s="50"/>
      <c r="VKQ232" s="50"/>
      <c r="VKR232" s="50"/>
      <c r="VKS232" s="50"/>
      <c r="VKT232" s="50"/>
      <c r="VKU232" s="50"/>
      <c r="VKV232" s="50"/>
      <c r="VKW232" s="50"/>
      <c r="VKX232" s="50"/>
      <c r="VKY232" s="50"/>
      <c r="VKZ232" s="50"/>
      <c r="VLA232" s="50"/>
      <c r="VLB232" s="50"/>
      <c r="VLC232" s="50"/>
      <c r="VLD232" s="50"/>
      <c r="VLE232" s="50"/>
      <c r="VLF232" s="50"/>
      <c r="VLG232" s="50"/>
      <c r="VLH232" s="50"/>
      <c r="VLI232" s="50"/>
      <c r="VLJ232" s="50"/>
      <c r="VLK232" s="50"/>
      <c r="VLL232" s="50"/>
      <c r="VLM232" s="50"/>
      <c r="VLN232" s="50"/>
      <c r="VLO232" s="50"/>
      <c r="VLP232" s="50"/>
      <c r="VLQ232" s="50"/>
      <c r="VLR232" s="50"/>
      <c r="VLS232" s="50"/>
      <c r="VLT232" s="50"/>
      <c r="VLU232" s="50"/>
      <c r="VLV232" s="50"/>
      <c r="VLW232" s="50"/>
      <c r="VLX232" s="50"/>
      <c r="VLY232" s="50"/>
      <c r="VLZ232" s="50"/>
      <c r="VMA232" s="50"/>
      <c r="VMB232" s="50"/>
      <c r="VMC232" s="50"/>
      <c r="VMD232" s="50"/>
      <c r="VME232" s="50"/>
      <c r="VMF232" s="50"/>
      <c r="VMG232" s="50"/>
      <c r="VMH232" s="50"/>
      <c r="VMI232" s="50"/>
      <c r="VMJ232" s="50"/>
      <c r="VMK232" s="50"/>
      <c r="VML232" s="50"/>
      <c r="VMM232" s="50"/>
      <c r="VMN232" s="50"/>
      <c r="VMO232" s="50"/>
      <c r="VMP232" s="50"/>
      <c r="VMQ232" s="50"/>
      <c r="VMR232" s="50"/>
      <c r="VMS232" s="50"/>
      <c r="VMT232" s="50"/>
      <c r="VMU232" s="50"/>
      <c r="VMV232" s="50"/>
      <c r="VMW232" s="50"/>
      <c r="VMX232" s="50"/>
      <c r="VMY232" s="50"/>
      <c r="VMZ232" s="50"/>
      <c r="VNA232" s="50"/>
      <c r="VNB232" s="50"/>
      <c r="VNC232" s="50"/>
      <c r="VND232" s="50"/>
      <c r="VNE232" s="50"/>
      <c r="VNF232" s="50"/>
      <c r="VNG232" s="50"/>
      <c r="VNH232" s="50"/>
      <c r="VNI232" s="50"/>
      <c r="VNJ232" s="50"/>
      <c r="VNK232" s="50"/>
      <c r="VNL232" s="50"/>
      <c r="VNM232" s="50"/>
      <c r="VNN232" s="50"/>
      <c r="VNO232" s="50"/>
      <c r="VNP232" s="50"/>
      <c r="VNQ232" s="50"/>
      <c r="VNR232" s="50"/>
      <c r="VNS232" s="50"/>
      <c r="VNT232" s="50"/>
      <c r="VNU232" s="50"/>
      <c r="VNV232" s="50"/>
      <c r="VNW232" s="50"/>
      <c r="VNX232" s="50"/>
      <c r="VNY232" s="50"/>
      <c r="VNZ232" s="50"/>
      <c r="VOA232" s="50"/>
      <c r="VOB232" s="50"/>
      <c r="VOC232" s="50"/>
      <c r="VOD232" s="50"/>
      <c r="VOE232" s="50"/>
      <c r="VOF232" s="50"/>
      <c r="VOG232" s="50"/>
      <c r="VOH232" s="50"/>
      <c r="VOI232" s="50"/>
      <c r="VOJ232" s="50"/>
      <c r="VOK232" s="50"/>
      <c r="VOL232" s="50"/>
      <c r="VOM232" s="50"/>
      <c r="VON232" s="50"/>
      <c r="VOO232" s="50"/>
      <c r="VOP232" s="50"/>
      <c r="VOQ232" s="50"/>
      <c r="VOR232" s="50"/>
      <c r="VOS232" s="50"/>
      <c r="VOT232" s="50"/>
      <c r="VOU232" s="50"/>
      <c r="VOV232" s="50"/>
      <c r="VOW232" s="50"/>
      <c r="VOX232" s="50"/>
      <c r="VOY232" s="50"/>
      <c r="VOZ232" s="50"/>
      <c r="VPA232" s="50"/>
      <c r="VPB232" s="50"/>
      <c r="VPC232" s="50"/>
      <c r="VPD232" s="50"/>
      <c r="VPE232" s="50"/>
      <c r="VPF232" s="50"/>
      <c r="VPG232" s="50"/>
      <c r="VPH232" s="50"/>
      <c r="VPI232" s="50"/>
      <c r="VPJ232" s="50"/>
      <c r="VPK232" s="50"/>
      <c r="VPL232" s="50"/>
      <c r="VPM232" s="50"/>
      <c r="VPN232" s="50"/>
      <c r="VPO232" s="50"/>
      <c r="VPP232" s="50"/>
      <c r="VPQ232" s="50"/>
      <c r="VPR232" s="50"/>
      <c r="VPS232" s="50"/>
      <c r="VPT232" s="50"/>
      <c r="VPU232" s="50"/>
      <c r="VPV232" s="50"/>
      <c r="VPW232" s="50"/>
      <c r="VPX232" s="50"/>
      <c r="VPY232" s="50"/>
      <c r="VPZ232" s="50"/>
      <c r="VQA232" s="50"/>
      <c r="VQB232" s="50"/>
      <c r="VQC232" s="50"/>
      <c r="VQD232" s="50"/>
      <c r="VQE232" s="50"/>
      <c r="VQF232" s="50"/>
      <c r="VQG232" s="50"/>
      <c r="VQH232" s="50"/>
      <c r="VQI232" s="50"/>
      <c r="VQJ232" s="50"/>
      <c r="VQK232" s="50"/>
      <c r="VQL232" s="50"/>
      <c r="VQM232" s="50"/>
      <c r="VQN232" s="50"/>
      <c r="VQO232" s="50"/>
      <c r="VQP232" s="50"/>
      <c r="VQQ232" s="50"/>
      <c r="VQR232" s="50"/>
      <c r="VQS232" s="50"/>
      <c r="VQT232" s="50"/>
      <c r="VQU232" s="50"/>
      <c r="VQV232" s="50"/>
      <c r="VQW232" s="50"/>
      <c r="VQX232" s="50"/>
      <c r="VQY232" s="50"/>
      <c r="VQZ232" s="50"/>
      <c r="VRA232" s="50"/>
      <c r="VRB232" s="50"/>
      <c r="VRC232" s="50"/>
      <c r="VRD232" s="50"/>
      <c r="VRE232" s="50"/>
      <c r="VRF232" s="50"/>
      <c r="VRG232" s="50"/>
      <c r="VRH232" s="50"/>
      <c r="VRI232" s="50"/>
      <c r="VRJ232" s="50"/>
      <c r="VRK232" s="50"/>
      <c r="VRL232" s="50"/>
      <c r="VRM232" s="50"/>
      <c r="VRN232" s="50"/>
      <c r="VRO232" s="50"/>
      <c r="VRP232" s="50"/>
      <c r="VRQ232" s="50"/>
      <c r="VRR232" s="50"/>
      <c r="VRS232" s="50"/>
      <c r="VRT232" s="50"/>
      <c r="VRU232" s="50"/>
      <c r="VRV232" s="50"/>
      <c r="VRW232" s="50"/>
      <c r="VRX232" s="50"/>
      <c r="VRY232" s="50"/>
      <c r="VRZ232" s="50"/>
      <c r="VSA232" s="50"/>
      <c r="VSB232" s="50"/>
      <c r="VSC232" s="50"/>
      <c r="VSD232" s="50"/>
      <c r="VSE232" s="50"/>
      <c r="VSF232" s="50"/>
      <c r="VSG232" s="50"/>
      <c r="VSH232" s="50"/>
      <c r="VSI232" s="50"/>
      <c r="VSJ232" s="50"/>
      <c r="VSK232" s="50"/>
      <c r="VSL232" s="50"/>
      <c r="VSM232" s="50"/>
      <c r="VSN232" s="50"/>
      <c r="VSO232" s="50"/>
      <c r="VSP232" s="50"/>
      <c r="VSQ232" s="50"/>
      <c r="VSR232" s="50"/>
      <c r="VSS232" s="50"/>
      <c r="VST232" s="50"/>
      <c r="VSU232" s="50"/>
      <c r="VSV232" s="50"/>
      <c r="VSW232" s="50"/>
      <c r="VSX232" s="50"/>
      <c r="VSY232" s="50"/>
      <c r="VSZ232" s="50"/>
      <c r="VTA232" s="50"/>
      <c r="VTB232" s="50"/>
      <c r="VTC232" s="50"/>
      <c r="VTD232" s="50"/>
      <c r="VTE232" s="50"/>
      <c r="VTF232" s="50"/>
      <c r="VTG232" s="50"/>
      <c r="VTH232" s="50"/>
      <c r="VTI232" s="50"/>
      <c r="VTJ232" s="50"/>
      <c r="VTK232" s="50"/>
      <c r="VTL232" s="50"/>
      <c r="VTM232" s="50"/>
      <c r="VTN232" s="50"/>
      <c r="VTO232" s="50"/>
      <c r="VTP232" s="50"/>
      <c r="VTQ232" s="50"/>
      <c r="VTR232" s="50"/>
      <c r="VTS232" s="50"/>
      <c r="VTT232" s="50"/>
      <c r="VTU232" s="50"/>
      <c r="VTV232" s="50"/>
      <c r="VTW232" s="50"/>
      <c r="VTX232" s="50"/>
      <c r="VTY232" s="50"/>
      <c r="VTZ232" s="50"/>
      <c r="VUA232" s="50"/>
      <c r="VUB232" s="50"/>
      <c r="VUC232" s="50"/>
      <c r="VUD232" s="50"/>
      <c r="VUE232" s="50"/>
      <c r="VUF232" s="50"/>
      <c r="VUG232" s="50"/>
      <c r="VUH232" s="50"/>
      <c r="VUI232" s="50"/>
      <c r="VUJ232" s="50"/>
      <c r="VUK232" s="50"/>
      <c r="VUL232" s="50"/>
      <c r="VUM232" s="50"/>
      <c r="VUN232" s="50"/>
      <c r="VUO232" s="50"/>
      <c r="VUP232" s="50"/>
      <c r="VUQ232" s="50"/>
      <c r="VUR232" s="50"/>
      <c r="VUS232" s="50"/>
      <c r="VUT232" s="50"/>
      <c r="VUU232" s="50"/>
      <c r="VUV232" s="50"/>
      <c r="VUW232" s="50"/>
      <c r="VUX232" s="50"/>
      <c r="VUY232" s="50"/>
      <c r="VUZ232" s="50"/>
      <c r="VVA232" s="50"/>
      <c r="VVB232" s="50"/>
      <c r="VVC232" s="50"/>
      <c r="VVD232" s="50"/>
      <c r="VVE232" s="50"/>
      <c r="VVF232" s="50"/>
      <c r="VVG232" s="50"/>
      <c r="VVH232" s="50"/>
      <c r="VVI232" s="50"/>
      <c r="VVJ232" s="50"/>
      <c r="VVK232" s="50"/>
      <c r="VVL232" s="50"/>
      <c r="VVM232" s="50"/>
      <c r="VVN232" s="50"/>
      <c r="VVO232" s="50"/>
      <c r="VVP232" s="50"/>
    </row>
    <row r="233" spans="3:102 15068:15460" s="1" customFormat="1" x14ac:dyDescent="0.25">
      <c r="C233" s="15"/>
      <c r="D233" s="247" t="s">
        <v>15</v>
      </c>
      <c r="E233" s="246">
        <v>122000</v>
      </c>
      <c r="F233" s="248" t="s">
        <v>14</v>
      </c>
      <c r="G233" s="290">
        <f>100400-6520</f>
        <v>93880</v>
      </c>
      <c r="H233" s="290">
        <v>84700</v>
      </c>
      <c r="I233" s="290">
        <f>78900-5000</f>
        <v>73900</v>
      </c>
      <c r="J233" s="290">
        <f>80700-10000</f>
        <v>70700</v>
      </c>
      <c r="K233" s="290">
        <f>81700-10000</f>
        <v>71700</v>
      </c>
      <c r="L233" s="290">
        <f>81300-8000</f>
        <v>73300</v>
      </c>
      <c r="M233" s="290">
        <f>80600-7000</f>
        <v>73600</v>
      </c>
      <c r="N233" s="290">
        <v>79700</v>
      </c>
      <c r="O233" s="290">
        <v>56500</v>
      </c>
      <c r="P233" s="290">
        <v>69500</v>
      </c>
      <c r="Q233" s="290">
        <v>71300</v>
      </c>
      <c r="R233" s="290">
        <v>33000</v>
      </c>
      <c r="S233" s="290">
        <f>51600-5000</f>
        <v>46600</v>
      </c>
      <c r="T233" s="290">
        <v>79700</v>
      </c>
      <c r="U233" s="290">
        <v>38100</v>
      </c>
      <c r="V233" s="290">
        <f>56000-35000</f>
        <v>21000</v>
      </c>
      <c r="W233" s="290">
        <v>35100</v>
      </c>
      <c r="X233" s="290">
        <v>11400</v>
      </c>
      <c r="Y233" s="290">
        <v>0</v>
      </c>
      <c r="Z233" s="290">
        <v>37800</v>
      </c>
      <c r="AA233" s="290">
        <v>69300</v>
      </c>
      <c r="AB233" s="290">
        <v>74700</v>
      </c>
      <c r="AC233" s="290">
        <v>61900</v>
      </c>
      <c r="AD233" s="290">
        <f>75000-7000</f>
        <v>68000</v>
      </c>
      <c r="AE233" s="290">
        <v>84400</v>
      </c>
      <c r="AF233" s="290">
        <v>84800</v>
      </c>
      <c r="AG233" s="290">
        <v>80900</v>
      </c>
      <c r="AH233" s="290">
        <v>79600</v>
      </c>
      <c r="AI233" s="290">
        <v>66100</v>
      </c>
      <c r="AJ233" s="290">
        <f>85900-13000</f>
        <v>72900</v>
      </c>
      <c r="AK233" s="290">
        <v>87200</v>
      </c>
      <c r="AL233" s="290"/>
      <c r="AN233" s="1074">
        <f>SUM(G233:AL233)</f>
        <v>1951280</v>
      </c>
      <c r="CX233" s="151"/>
      <c r="VGN233" s="50"/>
      <c r="VGO233" s="50"/>
      <c r="VGP233" s="50"/>
      <c r="VGQ233" s="50"/>
      <c r="VGR233" s="50"/>
      <c r="VGS233" s="50"/>
      <c r="VGT233" s="50"/>
      <c r="VGU233" s="50"/>
      <c r="VGV233" s="50"/>
      <c r="VGW233" s="50"/>
      <c r="VGX233" s="50"/>
      <c r="VGY233" s="50"/>
      <c r="VGZ233" s="50"/>
      <c r="VHA233" s="50"/>
      <c r="VHB233" s="50"/>
      <c r="VHC233" s="50"/>
      <c r="VHD233" s="50"/>
      <c r="VHE233" s="50"/>
      <c r="VHF233" s="50"/>
      <c r="VHG233" s="50"/>
      <c r="VHH233" s="50"/>
      <c r="VHI233" s="50"/>
      <c r="VHJ233" s="50"/>
      <c r="VHK233" s="50"/>
      <c r="VHL233" s="50"/>
      <c r="VHM233" s="50"/>
      <c r="VHN233" s="50"/>
      <c r="VHO233" s="50"/>
      <c r="VHP233" s="50"/>
      <c r="VHQ233" s="50"/>
      <c r="VHR233" s="50"/>
      <c r="VHS233" s="50"/>
      <c r="VHT233" s="50"/>
      <c r="VHU233" s="50"/>
      <c r="VHV233" s="50"/>
      <c r="VHW233" s="50"/>
      <c r="VHX233" s="50"/>
      <c r="VHY233" s="50"/>
      <c r="VHZ233" s="50"/>
      <c r="VIA233" s="50"/>
      <c r="VIB233" s="50"/>
      <c r="VIC233" s="50"/>
      <c r="VID233" s="50"/>
      <c r="VIE233" s="50"/>
      <c r="VIF233" s="50"/>
      <c r="VIG233" s="50"/>
      <c r="VIH233" s="50"/>
      <c r="VII233" s="50"/>
      <c r="VIJ233" s="50"/>
      <c r="VIK233" s="50"/>
      <c r="VIL233" s="50"/>
      <c r="VIM233" s="50"/>
      <c r="VIN233" s="50"/>
      <c r="VIO233" s="50"/>
      <c r="VIP233" s="50"/>
      <c r="VIQ233" s="50"/>
      <c r="VIR233" s="50"/>
      <c r="VIS233" s="50"/>
      <c r="VIT233" s="50"/>
      <c r="VIU233" s="50"/>
      <c r="VIV233" s="50"/>
      <c r="VIW233" s="50"/>
      <c r="VIX233" s="50"/>
      <c r="VIY233" s="50"/>
      <c r="VIZ233" s="50"/>
      <c r="VJA233" s="50"/>
      <c r="VJB233" s="50"/>
      <c r="VJC233" s="50"/>
      <c r="VJD233" s="50"/>
      <c r="VJE233" s="50"/>
      <c r="VJF233" s="50"/>
      <c r="VJG233" s="50"/>
      <c r="VJH233" s="50"/>
      <c r="VJI233" s="50"/>
      <c r="VJJ233" s="50"/>
      <c r="VJK233" s="50"/>
      <c r="VJL233" s="50"/>
      <c r="VJM233" s="50"/>
      <c r="VJN233" s="50"/>
      <c r="VJO233" s="50"/>
      <c r="VJP233" s="50"/>
      <c r="VJQ233" s="50"/>
      <c r="VJR233" s="50"/>
      <c r="VJS233" s="50"/>
      <c r="VJT233" s="50"/>
      <c r="VJU233" s="50"/>
      <c r="VJV233" s="50"/>
      <c r="VJW233" s="50"/>
      <c r="VJX233" s="50"/>
      <c r="VJY233" s="50"/>
      <c r="VJZ233" s="50"/>
      <c r="VKA233" s="50"/>
      <c r="VKB233" s="50"/>
      <c r="VKC233" s="50"/>
      <c r="VKD233" s="50"/>
      <c r="VKE233" s="50"/>
      <c r="VKF233" s="50"/>
      <c r="VKG233" s="50"/>
      <c r="VKH233" s="50"/>
      <c r="VKI233" s="50"/>
      <c r="VKJ233" s="50"/>
      <c r="VKK233" s="50"/>
      <c r="VKL233" s="50"/>
      <c r="VKM233" s="50"/>
      <c r="VKN233" s="50"/>
      <c r="VKO233" s="50"/>
      <c r="VKP233" s="50"/>
      <c r="VKQ233" s="50"/>
      <c r="VKR233" s="50"/>
      <c r="VKS233" s="50"/>
      <c r="VKT233" s="50"/>
      <c r="VKU233" s="50"/>
      <c r="VKV233" s="50"/>
      <c r="VKW233" s="50"/>
      <c r="VKX233" s="50"/>
      <c r="VKY233" s="50"/>
      <c r="VKZ233" s="50"/>
      <c r="VLA233" s="50"/>
      <c r="VLB233" s="50"/>
      <c r="VLC233" s="50"/>
      <c r="VLD233" s="50"/>
      <c r="VLE233" s="50"/>
      <c r="VLF233" s="50"/>
      <c r="VLG233" s="50"/>
      <c r="VLH233" s="50"/>
      <c r="VLI233" s="50"/>
      <c r="VLJ233" s="50"/>
      <c r="VLK233" s="50"/>
      <c r="VLL233" s="50"/>
      <c r="VLM233" s="50"/>
      <c r="VLN233" s="50"/>
      <c r="VLO233" s="50"/>
      <c r="VLP233" s="50"/>
      <c r="VLQ233" s="50"/>
      <c r="VLR233" s="50"/>
      <c r="VLS233" s="50"/>
      <c r="VLT233" s="50"/>
      <c r="VLU233" s="50"/>
      <c r="VLV233" s="50"/>
      <c r="VLW233" s="50"/>
      <c r="VLX233" s="50"/>
      <c r="VLY233" s="50"/>
      <c r="VLZ233" s="50"/>
      <c r="VMA233" s="50"/>
      <c r="VMB233" s="50"/>
      <c r="VMC233" s="50"/>
      <c r="VMD233" s="50"/>
      <c r="VME233" s="50"/>
      <c r="VMF233" s="50"/>
      <c r="VMG233" s="50"/>
      <c r="VMH233" s="50"/>
      <c r="VMI233" s="50"/>
      <c r="VMJ233" s="50"/>
      <c r="VMK233" s="50"/>
      <c r="VML233" s="50"/>
      <c r="VMM233" s="50"/>
      <c r="VMN233" s="50"/>
      <c r="VMO233" s="50"/>
      <c r="VMP233" s="50"/>
      <c r="VMQ233" s="50"/>
      <c r="VMR233" s="50"/>
      <c r="VMS233" s="50"/>
      <c r="VMT233" s="50"/>
      <c r="VMU233" s="50"/>
      <c r="VMV233" s="50"/>
      <c r="VMW233" s="50"/>
      <c r="VMX233" s="50"/>
      <c r="VMY233" s="50"/>
      <c r="VMZ233" s="50"/>
      <c r="VNA233" s="50"/>
      <c r="VNB233" s="50"/>
      <c r="VNC233" s="50"/>
      <c r="VND233" s="50"/>
      <c r="VNE233" s="50"/>
      <c r="VNF233" s="50"/>
      <c r="VNG233" s="50"/>
      <c r="VNH233" s="50"/>
      <c r="VNI233" s="50"/>
      <c r="VNJ233" s="50"/>
      <c r="VNK233" s="50"/>
      <c r="VNL233" s="50"/>
      <c r="VNM233" s="50"/>
      <c r="VNN233" s="50"/>
      <c r="VNO233" s="50"/>
      <c r="VNP233" s="50"/>
      <c r="VNQ233" s="50"/>
      <c r="VNR233" s="50"/>
      <c r="VNS233" s="50"/>
      <c r="VNT233" s="50"/>
      <c r="VNU233" s="50"/>
      <c r="VNV233" s="50"/>
      <c r="VNW233" s="50"/>
      <c r="VNX233" s="50"/>
      <c r="VNY233" s="50"/>
      <c r="VNZ233" s="50"/>
      <c r="VOA233" s="50"/>
      <c r="VOB233" s="50"/>
      <c r="VOC233" s="50"/>
      <c r="VOD233" s="50"/>
      <c r="VOE233" s="50"/>
      <c r="VOF233" s="50"/>
      <c r="VOG233" s="50"/>
      <c r="VOH233" s="50"/>
      <c r="VOI233" s="50"/>
      <c r="VOJ233" s="50"/>
      <c r="VOK233" s="50"/>
      <c r="VOL233" s="50"/>
      <c r="VOM233" s="50"/>
      <c r="VON233" s="50"/>
      <c r="VOO233" s="50"/>
      <c r="VOP233" s="50"/>
      <c r="VOQ233" s="50"/>
      <c r="VOR233" s="50"/>
      <c r="VOS233" s="50"/>
      <c r="VOT233" s="50"/>
      <c r="VOU233" s="50"/>
      <c r="VOV233" s="50"/>
      <c r="VOW233" s="50"/>
      <c r="VOX233" s="50"/>
      <c r="VOY233" s="50"/>
      <c r="VOZ233" s="50"/>
      <c r="VPA233" s="50"/>
      <c r="VPB233" s="50"/>
      <c r="VPC233" s="50"/>
      <c r="VPD233" s="50"/>
      <c r="VPE233" s="50"/>
      <c r="VPF233" s="50"/>
      <c r="VPG233" s="50"/>
      <c r="VPH233" s="50"/>
      <c r="VPI233" s="50"/>
      <c r="VPJ233" s="50"/>
      <c r="VPK233" s="50"/>
      <c r="VPL233" s="50"/>
      <c r="VPM233" s="50"/>
      <c r="VPN233" s="50"/>
      <c r="VPO233" s="50"/>
      <c r="VPP233" s="50"/>
      <c r="VPQ233" s="50"/>
      <c r="VPR233" s="50"/>
      <c r="VPS233" s="50"/>
      <c r="VPT233" s="50"/>
      <c r="VPU233" s="50"/>
      <c r="VPV233" s="50"/>
      <c r="VPW233" s="50"/>
      <c r="VPX233" s="50"/>
      <c r="VPY233" s="50"/>
      <c r="VPZ233" s="50"/>
      <c r="VQA233" s="50"/>
      <c r="VQB233" s="50"/>
      <c r="VQC233" s="50"/>
      <c r="VQD233" s="50"/>
      <c r="VQE233" s="50"/>
      <c r="VQF233" s="50"/>
      <c r="VQG233" s="50"/>
      <c r="VQH233" s="50"/>
      <c r="VQI233" s="50"/>
      <c r="VQJ233" s="50"/>
      <c r="VQK233" s="50"/>
      <c r="VQL233" s="50"/>
      <c r="VQM233" s="50"/>
      <c r="VQN233" s="50"/>
      <c r="VQO233" s="50"/>
      <c r="VQP233" s="50"/>
      <c r="VQQ233" s="50"/>
      <c r="VQR233" s="50"/>
      <c r="VQS233" s="50"/>
      <c r="VQT233" s="50"/>
      <c r="VQU233" s="50"/>
      <c r="VQV233" s="50"/>
      <c r="VQW233" s="50"/>
      <c r="VQX233" s="50"/>
      <c r="VQY233" s="50"/>
      <c r="VQZ233" s="50"/>
      <c r="VRA233" s="50"/>
      <c r="VRB233" s="50"/>
      <c r="VRC233" s="50"/>
      <c r="VRD233" s="50"/>
      <c r="VRE233" s="50"/>
      <c r="VRF233" s="50"/>
      <c r="VRG233" s="50"/>
      <c r="VRH233" s="50"/>
      <c r="VRI233" s="50"/>
      <c r="VRJ233" s="50"/>
      <c r="VRK233" s="50"/>
      <c r="VRL233" s="50"/>
      <c r="VRM233" s="50"/>
      <c r="VRN233" s="50"/>
      <c r="VRO233" s="50"/>
      <c r="VRP233" s="50"/>
      <c r="VRQ233" s="50"/>
      <c r="VRR233" s="50"/>
      <c r="VRS233" s="50"/>
      <c r="VRT233" s="50"/>
      <c r="VRU233" s="50"/>
      <c r="VRV233" s="50"/>
      <c r="VRW233" s="50"/>
      <c r="VRX233" s="50"/>
      <c r="VRY233" s="50"/>
      <c r="VRZ233" s="50"/>
      <c r="VSA233" s="50"/>
      <c r="VSB233" s="50"/>
      <c r="VSC233" s="50"/>
      <c r="VSD233" s="50"/>
      <c r="VSE233" s="50"/>
      <c r="VSF233" s="50"/>
      <c r="VSG233" s="50"/>
      <c r="VSH233" s="50"/>
      <c r="VSI233" s="50"/>
      <c r="VSJ233" s="50"/>
      <c r="VSK233" s="50"/>
      <c r="VSL233" s="50"/>
      <c r="VSM233" s="50"/>
      <c r="VSN233" s="50"/>
      <c r="VSO233" s="50"/>
      <c r="VSP233" s="50"/>
      <c r="VSQ233" s="50"/>
      <c r="VSR233" s="50"/>
      <c r="VSS233" s="50"/>
      <c r="VST233" s="50"/>
      <c r="VSU233" s="50"/>
      <c r="VSV233" s="50"/>
      <c r="VSW233" s="50"/>
      <c r="VSX233" s="50"/>
      <c r="VSY233" s="50"/>
      <c r="VSZ233" s="50"/>
      <c r="VTA233" s="50"/>
      <c r="VTB233" s="50"/>
      <c r="VTC233" s="50"/>
      <c r="VTD233" s="50"/>
      <c r="VTE233" s="50"/>
      <c r="VTF233" s="50"/>
      <c r="VTG233" s="50"/>
      <c r="VTH233" s="50"/>
      <c r="VTI233" s="50"/>
      <c r="VTJ233" s="50"/>
      <c r="VTK233" s="50"/>
      <c r="VTL233" s="50"/>
      <c r="VTM233" s="50"/>
      <c r="VTN233" s="50"/>
      <c r="VTO233" s="50"/>
      <c r="VTP233" s="50"/>
      <c r="VTQ233" s="50"/>
      <c r="VTR233" s="50"/>
      <c r="VTS233" s="50"/>
      <c r="VTT233" s="50"/>
      <c r="VTU233" s="50"/>
      <c r="VTV233" s="50"/>
      <c r="VTW233" s="50"/>
      <c r="VTX233" s="50"/>
      <c r="VTY233" s="50"/>
      <c r="VTZ233" s="50"/>
      <c r="VUA233" s="50"/>
      <c r="VUB233" s="50"/>
      <c r="VUC233" s="50"/>
      <c r="VUD233" s="50"/>
      <c r="VUE233" s="50"/>
      <c r="VUF233" s="50"/>
      <c r="VUG233" s="50"/>
      <c r="VUH233" s="50"/>
      <c r="VUI233" s="50"/>
      <c r="VUJ233" s="50"/>
      <c r="VUK233" s="50"/>
      <c r="VUL233" s="50"/>
      <c r="VUM233" s="50"/>
      <c r="VUN233" s="50"/>
      <c r="VUO233" s="50"/>
      <c r="VUP233" s="50"/>
      <c r="VUQ233" s="50"/>
      <c r="VUR233" s="50"/>
      <c r="VUS233" s="50"/>
      <c r="VUT233" s="50"/>
      <c r="VUU233" s="50"/>
      <c r="VUV233" s="50"/>
      <c r="VUW233" s="50"/>
      <c r="VUX233" s="50"/>
      <c r="VUY233" s="50"/>
      <c r="VUZ233" s="50"/>
      <c r="VVA233" s="50"/>
      <c r="VVB233" s="50"/>
      <c r="VVC233" s="50"/>
      <c r="VVD233" s="50"/>
      <c r="VVE233" s="50"/>
      <c r="VVF233" s="50"/>
      <c r="VVG233" s="50"/>
      <c r="VVH233" s="50"/>
      <c r="VVI233" s="50"/>
      <c r="VVJ233" s="50"/>
      <c r="VVK233" s="50"/>
      <c r="VVL233" s="50"/>
      <c r="VVM233" s="50"/>
      <c r="VVN233" s="50"/>
      <c r="VVO233" s="50"/>
      <c r="VVP233" s="50"/>
    </row>
    <row r="234" spans="3:102 15068:15460" s="1" customFormat="1" x14ac:dyDescent="0.25">
      <c r="C234" s="15"/>
      <c r="D234" s="247"/>
      <c r="E234" s="246">
        <v>61</v>
      </c>
      <c r="F234" s="20" t="s">
        <v>423</v>
      </c>
      <c r="G234" s="33">
        <f>G233/G21*1000</f>
        <v>109.34358905073273</v>
      </c>
      <c r="H234" s="33">
        <f t="shared" ref="H234:AK234" si="122">H233/H21*1000</f>
        <v>80.299887371586536</v>
      </c>
      <c r="I234" s="33">
        <f t="shared" si="122"/>
        <v>85.837208978177131</v>
      </c>
      <c r="J234" s="33">
        <f t="shared" si="122"/>
        <v>76.643969789050203</v>
      </c>
      <c r="K234" s="33">
        <f t="shared" si="122"/>
        <v>69.023343752617265</v>
      </c>
      <c r="L234" s="33">
        <f t="shared" si="122"/>
        <v>51.972582867199058</v>
      </c>
      <c r="M234" s="33">
        <f t="shared" si="122"/>
        <v>62.807905945160847</v>
      </c>
      <c r="N234" s="33">
        <f t="shared" si="122"/>
        <v>76.014802380589032</v>
      </c>
      <c r="O234" s="33">
        <f t="shared" si="122"/>
        <v>109.05967397913389</v>
      </c>
      <c r="P234" s="33">
        <f t="shared" si="122"/>
        <v>54.622304448220419</v>
      </c>
      <c r="Q234" s="33">
        <f t="shared" si="122"/>
        <v>101.4265148540767</v>
      </c>
      <c r="R234" s="33">
        <f t="shared" si="122"/>
        <v>652.52209677100427</v>
      </c>
      <c r="S234" s="33">
        <f t="shared" si="122"/>
        <v>50.010087871802462</v>
      </c>
      <c r="T234" s="33">
        <f t="shared" si="122"/>
        <v>62.324394956806927</v>
      </c>
      <c r="U234" s="33">
        <f>U233/U22*1000</f>
        <v>82.65359250260326</v>
      </c>
      <c r="V234" s="33">
        <f t="shared" si="122"/>
        <v>23.45603445579766</v>
      </c>
      <c r="W234" s="33">
        <f t="shared" si="122"/>
        <v>131.79781989133252</v>
      </c>
      <c r="X234" s="33" t="e">
        <f t="shared" si="122"/>
        <v>#DIV/0!</v>
      </c>
      <c r="Y234" s="33" t="e">
        <f t="shared" si="122"/>
        <v>#DIV/0!</v>
      </c>
      <c r="Z234" s="33">
        <f t="shared" si="122"/>
        <v>65.850561036327548</v>
      </c>
      <c r="AA234" s="33">
        <f t="shared" si="122"/>
        <v>62.439688936822392</v>
      </c>
      <c r="AB234" s="33">
        <f t="shared" si="122"/>
        <v>65.25231331243279</v>
      </c>
      <c r="AC234" s="33">
        <f t="shared" si="122"/>
        <v>172.46999885763006</v>
      </c>
      <c r="AD234" s="33">
        <f t="shared" si="122"/>
        <v>63.362734884726407</v>
      </c>
      <c r="AE234" s="33">
        <f t="shared" si="122"/>
        <v>104.6654240747837</v>
      </c>
      <c r="AF234" s="33">
        <f t="shared" si="122"/>
        <v>104.18496763263005</v>
      </c>
      <c r="AG234" s="33">
        <f t="shared" si="122"/>
        <v>99.971701459043118</v>
      </c>
      <c r="AH234" s="33">
        <f t="shared" si="122"/>
        <v>121.70583882232783</v>
      </c>
      <c r="AI234" s="33">
        <f t="shared" si="122"/>
        <v>71.374119161305515</v>
      </c>
      <c r="AJ234" s="33">
        <f t="shared" si="122"/>
        <v>84.52134714737555</v>
      </c>
      <c r="AK234" s="33">
        <f t="shared" si="122"/>
        <v>84.099341382566166</v>
      </c>
      <c r="AL234" s="290"/>
      <c r="AN234" s="33">
        <f>AN233/AN21*1000</f>
        <v>79.799674712694923</v>
      </c>
      <c r="CX234" s="151"/>
      <c r="VGN234" s="50"/>
      <c r="VGO234" s="50"/>
      <c r="VGP234" s="50"/>
      <c r="VGQ234" s="50"/>
      <c r="VGR234" s="50"/>
      <c r="VGS234" s="50"/>
      <c r="VGT234" s="50"/>
      <c r="VGU234" s="50"/>
      <c r="VGV234" s="50"/>
      <c r="VGW234" s="50"/>
      <c r="VGX234" s="50"/>
      <c r="VGY234" s="50"/>
      <c r="VGZ234" s="50"/>
      <c r="VHA234" s="50"/>
      <c r="VHB234" s="50"/>
      <c r="VHC234" s="50"/>
      <c r="VHD234" s="50"/>
      <c r="VHE234" s="50"/>
      <c r="VHF234" s="50"/>
      <c r="VHG234" s="50"/>
      <c r="VHH234" s="50"/>
      <c r="VHI234" s="50"/>
      <c r="VHJ234" s="50"/>
      <c r="VHK234" s="50"/>
      <c r="VHL234" s="50"/>
      <c r="VHM234" s="50"/>
      <c r="VHN234" s="50"/>
      <c r="VHO234" s="50"/>
      <c r="VHP234" s="50"/>
      <c r="VHQ234" s="50"/>
      <c r="VHR234" s="50"/>
      <c r="VHS234" s="50"/>
      <c r="VHT234" s="50"/>
      <c r="VHU234" s="50"/>
      <c r="VHV234" s="50"/>
      <c r="VHW234" s="50"/>
      <c r="VHX234" s="50"/>
      <c r="VHY234" s="50"/>
      <c r="VHZ234" s="50"/>
      <c r="VIA234" s="50"/>
      <c r="VIB234" s="50"/>
      <c r="VIC234" s="50"/>
      <c r="VID234" s="50"/>
      <c r="VIE234" s="50"/>
      <c r="VIF234" s="50"/>
      <c r="VIG234" s="50"/>
      <c r="VIH234" s="50"/>
      <c r="VII234" s="50"/>
      <c r="VIJ234" s="50"/>
      <c r="VIK234" s="50"/>
      <c r="VIL234" s="50"/>
      <c r="VIM234" s="50"/>
      <c r="VIN234" s="50"/>
      <c r="VIO234" s="50"/>
      <c r="VIP234" s="50"/>
      <c r="VIQ234" s="50"/>
      <c r="VIR234" s="50"/>
      <c r="VIS234" s="50"/>
      <c r="VIT234" s="50"/>
      <c r="VIU234" s="50"/>
      <c r="VIV234" s="50"/>
      <c r="VIW234" s="50"/>
      <c r="VIX234" s="50"/>
      <c r="VIY234" s="50"/>
      <c r="VIZ234" s="50"/>
      <c r="VJA234" s="50"/>
      <c r="VJB234" s="50"/>
      <c r="VJC234" s="50"/>
      <c r="VJD234" s="50"/>
      <c r="VJE234" s="50"/>
      <c r="VJF234" s="50"/>
      <c r="VJG234" s="50"/>
      <c r="VJH234" s="50"/>
      <c r="VJI234" s="50"/>
      <c r="VJJ234" s="50"/>
      <c r="VJK234" s="50"/>
      <c r="VJL234" s="50"/>
      <c r="VJM234" s="50"/>
      <c r="VJN234" s="50"/>
      <c r="VJO234" s="50"/>
      <c r="VJP234" s="50"/>
      <c r="VJQ234" s="50"/>
      <c r="VJR234" s="50"/>
      <c r="VJS234" s="50"/>
      <c r="VJT234" s="50"/>
      <c r="VJU234" s="50"/>
      <c r="VJV234" s="50"/>
      <c r="VJW234" s="50"/>
      <c r="VJX234" s="50"/>
      <c r="VJY234" s="50"/>
      <c r="VJZ234" s="50"/>
      <c r="VKA234" s="50"/>
      <c r="VKB234" s="50"/>
      <c r="VKC234" s="50"/>
      <c r="VKD234" s="50"/>
      <c r="VKE234" s="50"/>
      <c r="VKF234" s="50"/>
      <c r="VKG234" s="50"/>
      <c r="VKH234" s="50"/>
      <c r="VKI234" s="50"/>
      <c r="VKJ234" s="50"/>
      <c r="VKK234" s="50"/>
      <c r="VKL234" s="50"/>
      <c r="VKM234" s="50"/>
      <c r="VKN234" s="50"/>
      <c r="VKO234" s="50"/>
      <c r="VKP234" s="50"/>
      <c r="VKQ234" s="50"/>
      <c r="VKR234" s="50"/>
      <c r="VKS234" s="50"/>
      <c r="VKT234" s="50"/>
      <c r="VKU234" s="50"/>
      <c r="VKV234" s="50"/>
      <c r="VKW234" s="50"/>
      <c r="VKX234" s="50"/>
      <c r="VKY234" s="50"/>
      <c r="VKZ234" s="50"/>
      <c r="VLA234" s="50"/>
      <c r="VLB234" s="50"/>
      <c r="VLC234" s="50"/>
      <c r="VLD234" s="50"/>
      <c r="VLE234" s="50"/>
      <c r="VLF234" s="50"/>
      <c r="VLG234" s="50"/>
      <c r="VLH234" s="50"/>
      <c r="VLI234" s="50"/>
      <c r="VLJ234" s="50"/>
      <c r="VLK234" s="50"/>
      <c r="VLL234" s="50"/>
      <c r="VLM234" s="50"/>
      <c r="VLN234" s="50"/>
      <c r="VLO234" s="50"/>
      <c r="VLP234" s="50"/>
      <c r="VLQ234" s="50"/>
      <c r="VLR234" s="50"/>
      <c r="VLS234" s="50"/>
      <c r="VLT234" s="50"/>
      <c r="VLU234" s="50"/>
      <c r="VLV234" s="50"/>
      <c r="VLW234" s="50"/>
      <c r="VLX234" s="50"/>
      <c r="VLY234" s="50"/>
      <c r="VLZ234" s="50"/>
      <c r="VMA234" s="50"/>
      <c r="VMB234" s="50"/>
      <c r="VMC234" s="50"/>
      <c r="VMD234" s="50"/>
      <c r="VME234" s="50"/>
      <c r="VMF234" s="50"/>
      <c r="VMG234" s="50"/>
      <c r="VMH234" s="50"/>
      <c r="VMI234" s="50"/>
      <c r="VMJ234" s="50"/>
      <c r="VMK234" s="50"/>
      <c r="VML234" s="50"/>
      <c r="VMM234" s="50"/>
      <c r="VMN234" s="50"/>
      <c r="VMO234" s="50"/>
      <c r="VMP234" s="50"/>
      <c r="VMQ234" s="50"/>
      <c r="VMR234" s="50"/>
      <c r="VMS234" s="50"/>
      <c r="VMT234" s="50"/>
      <c r="VMU234" s="50"/>
      <c r="VMV234" s="50"/>
      <c r="VMW234" s="50"/>
      <c r="VMX234" s="50"/>
      <c r="VMY234" s="50"/>
      <c r="VMZ234" s="50"/>
      <c r="VNA234" s="50"/>
      <c r="VNB234" s="50"/>
      <c r="VNC234" s="50"/>
      <c r="VND234" s="50"/>
      <c r="VNE234" s="50"/>
      <c r="VNF234" s="50"/>
      <c r="VNG234" s="50"/>
      <c r="VNH234" s="50"/>
      <c r="VNI234" s="50"/>
      <c r="VNJ234" s="50"/>
      <c r="VNK234" s="50"/>
      <c r="VNL234" s="50"/>
      <c r="VNM234" s="50"/>
      <c r="VNN234" s="50"/>
      <c r="VNO234" s="50"/>
      <c r="VNP234" s="50"/>
      <c r="VNQ234" s="50"/>
      <c r="VNR234" s="50"/>
      <c r="VNS234" s="50"/>
      <c r="VNT234" s="50"/>
      <c r="VNU234" s="50"/>
      <c r="VNV234" s="50"/>
      <c r="VNW234" s="50"/>
      <c r="VNX234" s="50"/>
      <c r="VNY234" s="50"/>
      <c r="VNZ234" s="50"/>
      <c r="VOA234" s="50"/>
      <c r="VOB234" s="50"/>
      <c r="VOC234" s="50"/>
      <c r="VOD234" s="50"/>
      <c r="VOE234" s="50"/>
      <c r="VOF234" s="50"/>
      <c r="VOG234" s="50"/>
      <c r="VOH234" s="50"/>
      <c r="VOI234" s="50"/>
      <c r="VOJ234" s="50"/>
      <c r="VOK234" s="50"/>
      <c r="VOL234" s="50"/>
      <c r="VOM234" s="50"/>
      <c r="VON234" s="50"/>
      <c r="VOO234" s="50"/>
      <c r="VOP234" s="50"/>
      <c r="VOQ234" s="50"/>
      <c r="VOR234" s="50"/>
      <c r="VOS234" s="50"/>
      <c r="VOT234" s="50"/>
      <c r="VOU234" s="50"/>
      <c r="VOV234" s="50"/>
      <c r="VOW234" s="50"/>
      <c r="VOX234" s="50"/>
      <c r="VOY234" s="50"/>
      <c r="VOZ234" s="50"/>
      <c r="VPA234" s="50"/>
      <c r="VPB234" s="50"/>
      <c r="VPC234" s="50"/>
      <c r="VPD234" s="50"/>
      <c r="VPE234" s="50"/>
      <c r="VPF234" s="50"/>
      <c r="VPG234" s="50"/>
      <c r="VPH234" s="50"/>
      <c r="VPI234" s="50"/>
      <c r="VPJ234" s="50"/>
      <c r="VPK234" s="50"/>
      <c r="VPL234" s="50"/>
      <c r="VPM234" s="50"/>
      <c r="VPN234" s="50"/>
      <c r="VPO234" s="50"/>
      <c r="VPP234" s="50"/>
      <c r="VPQ234" s="50"/>
      <c r="VPR234" s="50"/>
      <c r="VPS234" s="50"/>
      <c r="VPT234" s="50"/>
      <c r="VPU234" s="50"/>
      <c r="VPV234" s="50"/>
      <c r="VPW234" s="50"/>
      <c r="VPX234" s="50"/>
      <c r="VPY234" s="50"/>
      <c r="VPZ234" s="50"/>
      <c r="VQA234" s="50"/>
      <c r="VQB234" s="50"/>
      <c r="VQC234" s="50"/>
      <c r="VQD234" s="50"/>
      <c r="VQE234" s="50"/>
      <c r="VQF234" s="50"/>
      <c r="VQG234" s="50"/>
      <c r="VQH234" s="50"/>
      <c r="VQI234" s="50"/>
      <c r="VQJ234" s="50"/>
      <c r="VQK234" s="50"/>
      <c r="VQL234" s="50"/>
      <c r="VQM234" s="50"/>
      <c r="VQN234" s="50"/>
      <c r="VQO234" s="50"/>
      <c r="VQP234" s="50"/>
      <c r="VQQ234" s="50"/>
      <c r="VQR234" s="50"/>
      <c r="VQS234" s="50"/>
      <c r="VQT234" s="50"/>
      <c r="VQU234" s="50"/>
      <c r="VQV234" s="50"/>
      <c r="VQW234" s="50"/>
      <c r="VQX234" s="50"/>
      <c r="VQY234" s="50"/>
      <c r="VQZ234" s="50"/>
      <c r="VRA234" s="50"/>
      <c r="VRB234" s="50"/>
      <c r="VRC234" s="50"/>
      <c r="VRD234" s="50"/>
      <c r="VRE234" s="50"/>
      <c r="VRF234" s="50"/>
      <c r="VRG234" s="50"/>
      <c r="VRH234" s="50"/>
      <c r="VRI234" s="50"/>
      <c r="VRJ234" s="50"/>
      <c r="VRK234" s="50"/>
      <c r="VRL234" s="50"/>
      <c r="VRM234" s="50"/>
      <c r="VRN234" s="50"/>
      <c r="VRO234" s="50"/>
      <c r="VRP234" s="50"/>
      <c r="VRQ234" s="50"/>
      <c r="VRR234" s="50"/>
      <c r="VRS234" s="50"/>
      <c r="VRT234" s="50"/>
      <c r="VRU234" s="50"/>
      <c r="VRV234" s="50"/>
      <c r="VRW234" s="50"/>
      <c r="VRX234" s="50"/>
      <c r="VRY234" s="50"/>
      <c r="VRZ234" s="50"/>
      <c r="VSA234" s="50"/>
      <c r="VSB234" s="50"/>
      <c r="VSC234" s="50"/>
      <c r="VSD234" s="50"/>
      <c r="VSE234" s="50"/>
      <c r="VSF234" s="50"/>
      <c r="VSG234" s="50"/>
      <c r="VSH234" s="50"/>
      <c r="VSI234" s="50"/>
      <c r="VSJ234" s="50"/>
      <c r="VSK234" s="50"/>
      <c r="VSL234" s="50"/>
      <c r="VSM234" s="50"/>
      <c r="VSN234" s="50"/>
      <c r="VSO234" s="50"/>
      <c r="VSP234" s="50"/>
      <c r="VSQ234" s="50"/>
      <c r="VSR234" s="50"/>
      <c r="VSS234" s="50"/>
      <c r="VST234" s="50"/>
      <c r="VSU234" s="50"/>
      <c r="VSV234" s="50"/>
      <c r="VSW234" s="50"/>
      <c r="VSX234" s="50"/>
      <c r="VSY234" s="50"/>
      <c r="VSZ234" s="50"/>
      <c r="VTA234" s="50"/>
      <c r="VTB234" s="50"/>
      <c r="VTC234" s="50"/>
      <c r="VTD234" s="50"/>
      <c r="VTE234" s="50"/>
      <c r="VTF234" s="50"/>
      <c r="VTG234" s="50"/>
      <c r="VTH234" s="50"/>
      <c r="VTI234" s="50"/>
      <c r="VTJ234" s="50"/>
      <c r="VTK234" s="50"/>
      <c r="VTL234" s="50"/>
      <c r="VTM234" s="50"/>
      <c r="VTN234" s="50"/>
      <c r="VTO234" s="50"/>
      <c r="VTP234" s="50"/>
      <c r="VTQ234" s="50"/>
      <c r="VTR234" s="50"/>
      <c r="VTS234" s="50"/>
      <c r="VTT234" s="50"/>
      <c r="VTU234" s="50"/>
      <c r="VTV234" s="50"/>
      <c r="VTW234" s="50"/>
      <c r="VTX234" s="50"/>
      <c r="VTY234" s="50"/>
      <c r="VTZ234" s="50"/>
      <c r="VUA234" s="50"/>
      <c r="VUB234" s="50"/>
      <c r="VUC234" s="50"/>
      <c r="VUD234" s="50"/>
      <c r="VUE234" s="50"/>
      <c r="VUF234" s="50"/>
      <c r="VUG234" s="50"/>
      <c r="VUH234" s="50"/>
      <c r="VUI234" s="50"/>
      <c r="VUJ234" s="50"/>
      <c r="VUK234" s="50"/>
      <c r="VUL234" s="50"/>
      <c r="VUM234" s="50"/>
      <c r="VUN234" s="50"/>
      <c r="VUO234" s="50"/>
      <c r="VUP234" s="50"/>
      <c r="VUQ234" s="50"/>
      <c r="VUR234" s="50"/>
      <c r="VUS234" s="50"/>
      <c r="VUT234" s="50"/>
      <c r="VUU234" s="50"/>
      <c r="VUV234" s="50"/>
      <c r="VUW234" s="50"/>
      <c r="VUX234" s="50"/>
      <c r="VUY234" s="50"/>
      <c r="VUZ234" s="50"/>
      <c r="VVA234" s="50"/>
      <c r="VVB234" s="50"/>
      <c r="VVC234" s="50"/>
      <c r="VVD234" s="50"/>
      <c r="VVE234" s="50"/>
      <c r="VVF234" s="50"/>
      <c r="VVG234" s="50"/>
      <c r="VVH234" s="50"/>
      <c r="VVI234" s="50"/>
      <c r="VVJ234" s="50"/>
      <c r="VVK234" s="50"/>
      <c r="VVL234" s="50"/>
      <c r="VVM234" s="50"/>
      <c r="VVN234" s="50"/>
      <c r="VVO234" s="50"/>
      <c r="VVP234" s="50"/>
    </row>
    <row r="235" spans="3:102 15068:15460" s="1" customFormat="1" x14ac:dyDescent="0.25">
      <c r="C235" s="15"/>
      <c r="D235" s="14" t="s">
        <v>7</v>
      </c>
      <c r="E235" s="246">
        <v>106000</v>
      </c>
      <c r="F235" s="20" t="s">
        <v>14</v>
      </c>
      <c r="G235" s="33">
        <f t="shared" ref="G235:AL235" si="123">G229-G231-G233</f>
        <v>2235</v>
      </c>
      <c r="H235" s="33">
        <f t="shared" si="123"/>
        <v>11754</v>
      </c>
      <c r="I235" s="33">
        <f t="shared" si="123"/>
        <v>2972</v>
      </c>
      <c r="J235" s="33">
        <f t="shared" si="123"/>
        <v>514</v>
      </c>
      <c r="K235" s="33">
        <f t="shared" si="123"/>
        <v>1746</v>
      </c>
      <c r="L235" s="33">
        <f t="shared" si="123"/>
        <v>2533</v>
      </c>
      <c r="M235" s="33">
        <f t="shared" si="123"/>
        <v>2248</v>
      </c>
      <c r="N235" s="33">
        <f t="shared" si="123"/>
        <v>6599</v>
      </c>
      <c r="O235" s="33">
        <f t="shared" si="123"/>
        <v>18591</v>
      </c>
      <c r="P235" s="33">
        <f t="shared" si="123"/>
        <v>28703</v>
      </c>
      <c r="Q235" s="33">
        <f t="shared" si="123"/>
        <v>3067</v>
      </c>
      <c r="R235" s="33">
        <f t="shared" si="123"/>
        <v>63885</v>
      </c>
      <c r="S235" s="33">
        <f t="shared" si="123"/>
        <v>1128</v>
      </c>
      <c r="T235" s="33">
        <f t="shared" si="123"/>
        <v>34260</v>
      </c>
      <c r="U235" s="33">
        <f t="shared" si="123"/>
        <v>15999</v>
      </c>
      <c r="V235" s="33">
        <f t="shared" si="123"/>
        <v>1949</v>
      </c>
      <c r="W235" s="33">
        <f t="shared" si="123"/>
        <v>10571</v>
      </c>
      <c r="X235" s="33">
        <f t="shared" si="123"/>
        <v>232</v>
      </c>
      <c r="Y235" s="33">
        <f t="shared" si="123"/>
        <v>2135</v>
      </c>
      <c r="Z235" s="33">
        <f t="shared" si="123"/>
        <v>2484</v>
      </c>
      <c r="AA235" s="33">
        <f t="shared" si="123"/>
        <v>9121</v>
      </c>
      <c r="AB235" s="33">
        <f t="shared" si="123"/>
        <v>2227</v>
      </c>
      <c r="AC235" s="33">
        <f t="shared" si="123"/>
        <v>2148</v>
      </c>
      <c r="AD235" s="33">
        <f t="shared" si="123"/>
        <v>1465</v>
      </c>
      <c r="AE235" s="33">
        <f t="shared" si="123"/>
        <v>5494</v>
      </c>
      <c r="AF235" s="33">
        <f t="shared" si="123"/>
        <v>4352</v>
      </c>
      <c r="AG235" s="33">
        <f t="shared" si="123"/>
        <v>15180</v>
      </c>
      <c r="AH235" s="33">
        <f t="shared" si="123"/>
        <v>7383</v>
      </c>
      <c r="AI235" s="33">
        <f t="shared" si="123"/>
        <v>1188</v>
      </c>
      <c r="AJ235" s="33">
        <f t="shared" si="123"/>
        <v>1252</v>
      </c>
      <c r="AK235" s="33">
        <f t="shared" si="123"/>
        <v>5327</v>
      </c>
      <c r="AL235" s="33">
        <f t="shared" si="123"/>
        <v>0</v>
      </c>
      <c r="AN235" s="63">
        <f>SUM(G235:AL235)</f>
        <v>268742</v>
      </c>
      <c r="CX235" s="151"/>
      <c r="VGN235" s="50"/>
      <c r="VGO235" s="50"/>
      <c r="VGP235" s="50"/>
      <c r="VGQ235" s="50"/>
      <c r="VGR235" s="50"/>
      <c r="VGS235" s="50"/>
      <c r="VGT235" s="50"/>
      <c r="VGU235" s="50"/>
      <c r="VGV235" s="50"/>
      <c r="VGW235" s="50"/>
      <c r="VGX235" s="50"/>
      <c r="VGY235" s="50"/>
      <c r="VGZ235" s="50"/>
      <c r="VHA235" s="50"/>
      <c r="VHB235" s="50"/>
      <c r="VHC235" s="50"/>
      <c r="VHD235" s="50"/>
      <c r="VHE235" s="50"/>
      <c r="VHF235" s="50"/>
      <c r="VHG235" s="50"/>
      <c r="VHH235" s="50"/>
      <c r="VHI235" s="50"/>
      <c r="VHJ235" s="50"/>
      <c r="VHK235" s="50"/>
      <c r="VHL235" s="50"/>
      <c r="VHM235" s="50"/>
      <c r="VHN235" s="50"/>
      <c r="VHO235" s="50"/>
      <c r="VHP235" s="50"/>
      <c r="VHQ235" s="50"/>
      <c r="VHR235" s="50"/>
      <c r="VHS235" s="50"/>
      <c r="VHT235" s="50"/>
      <c r="VHU235" s="50"/>
      <c r="VHV235" s="50"/>
      <c r="VHW235" s="50"/>
      <c r="VHX235" s="50"/>
      <c r="VHY235" s="50"/>
      <c r="VHZ235" s="50"/>
      <c r="VIA235" s="50"/>
      <c r="VIB235" s="50"/>
      <c r="VIC235" s="50"/>
      <c r="VID235" s="50"/>
      <c r="VIE235" s="50"/>
      <c r="VIF235" s="50"/>
      <c r="VIG235" s="50"/>
      <c r="VIH235" s="50"/>
      <c r="VII235" s="50"/>
      <c r="VIJ235" s="50"/>
      <c r="VIK235" s="50"/>
      <c r="VIL235" s="50"/>
      <c r="VIM235" s="50"/>
      <c r="VIN235" s="50"/>
      <c r="VIO235" s="50"/>
      <c r="VIP235" s="50"/>
      <c r="VIQ235" s="50"/>
      <c r="VIR235" s="50"/>
      <c r="VIS235" s="50"/>
      <c r="VIT235" s="50"/>
      <c r="VIU235" s="50"/>
      <c r="VIV235" s="50"/>
      <c r="VIW235" s="50"/>
      <c r="VIX235" s="50"/>
      <c r="VIY235" s="50"/>
      <c r="VIZ235" s="50"/>
      <c r="VJA235" s="50"/>
      <c r="VJB235" s="50"/>
      <c r="VJC235" s="50"/>
      <c r="VJD235" s="50"/>
      <c r="VJE235" s="50"/>
      <c r="VJF235" s="50"/>
      <c r="VJG235" s="50"/>
      <c r="VJH235" s="50"/>
      <c r="VJI235" s="50"/>
      <c r="VJJ235" s="50"/>
      <c r="VJK235" s="50"/>
      <c r="VJL235" s="50"/>
      <c r="VJM235" s="50"/>
      <c r="VJN235" s="50"/>
      <c r="VJO235" s="50"/>
      <c r="VJP235" s="50"/>
      <c r="VJQ235" s="50"/>
      <c r="VJR235" s="50"/>
      <c r="VJS235" s="50"/>
      <c r="VJT235" s="50"/>
      <c r="VJU235" s="50"/>
      <c r="VJV235" s="50"/>
      <c r="VJW235" s="50"/>
      <c r="VJX235" s="50"/>
      <c r="VJY235" s="50"/>
      <c r="VJZ235" s="50"/>
      <c r="VKA235" s="50"/>
      <c r="VKB235" s="50"/>
      <c r="VKC235" s="50"/>
      <c r="VKD235" s="50"/>
      <c r="VKE235" s="50"/>
      <c r="VKF235" s="50"/>
      <c r="VKG235" s="50"/>
      <c r="VKH235" s="50"/>
      <c r="VKI235" s="50"/>
      <c r="VKJ235" s="50"/>
      <c r="VKK235" s="50"/>
      <c r="VKL235" s="50"/>
      <c r="VKM235" s="50"/>
      <c r="VKN235" s="50"/>
      <c r="VKO235" s="50"/>
      <c r="VKP235" s="50"/>
      <c r="VKQ235" s="50"/>
      <c r="VKR235" s="50"/>
      <c r="VKS235" s="50"/>
      <c r="VKT235" s="50"/>
      <c r="VKU235" s="50"/>
      <c r="VKV235" s="50"/>
      <c r="VKW235" s="50"/>
      <c r="VKX235" s="50"/>
      <c r="VKY235" s="50"/>
      <c r="VKZ235" s="50"/>
      <c r="VLA235" s="50"/>
      <c r="VLB235" s="50"/>
      <c r="VLC235" s="50"/>
      <c r="VLD235" s="50"/>
      <c r="VLE235" s="50"/>
      <c r="VLF235" s="50"/>
      <c r="VLG235" s="50"/>
      <c r="VLH235" s="50"/>
      <c r="VLI235" s="50"/>
      <c r="VLJ235" s="50"/>
      <c r="VLK235" s="50"/>
      <c r="VLL235" s="50"/>
      <c r="VLM235" s="50"/>
      <c r="VLN235" s="50"/>
      <c r="VLO235" s="50"/>
      <c r="VLP235" s="50"/>
      <c r="VLQ235" s="50"/>
      <c r="VLR235" s="50"/>
      <c r="VLS235" s="50"/>
      <c r="VLT235" s="50"/>
      <c r="VLU235" s="50"/>
      <c r="VLV235" s="50"/>
      <c r="VLW235" s="50"/>
      <c r="VLX235" s="50"/>
      <c r="VLY235" s="50"/>
      <c r="VLZ235" s="50"/>
      <c r="VMA235" s="50"/>
      <c r="VMB235" s="50"/>
      <c r="VMC235" s="50"/>
      <c r="VMD235" s="50"/>
      <c r="VME235" s="50"/>
      <c r="VMF235" s="50"/>
      <c r="VMG235" s="50"/>
      <c r="VMH235" s="50"/>
      <c r="VMI235" s="50"/>
      <c r="VMJ235" s="50"/>
      <c r="VMK235" s="50"/>
      <c r="VML235" s="50"/>
      <c r="VMM235" s="50"/>
      <c r="VMN235" s="50"/>
      <c r="VMO235" s="50"/>
      <c r="VMP235" s="50"/>
      <c r="VMQ235" s="50"/>
      <c r="VMR235" s="50"/>
      <c r="VMS235" s="50"/>
      <c r="VMT235" s="50"/>
      <c r="VMU235" s="50"/>
      <c r="VMV235" s="50"/>
      <c r="VMW235" s="50"/>
      <c r="VMX235" s="50"/>
      <c r="VMY235" s="50"/>
      <c r="VMZ235" s="50"/>
      <c r="VNA235" s="50"/>
      <c r="VNB235" s="50"/>
      <c r="VNC235" s="50"/>
      <c r="VND235" s="50"/>
      <c r="VNE235" s="50"/>
      <c r="VNF235" s="50"/>
      <c r="VNG235" s="50"/>
      <c r="VNH235" s="50"/>
      <c r="VNI235" s="50"/>
      <c r="VNJ235" s="50"/>
      <c r="VNK235" s="50"/>
      <c r="VNL235" s="50"/>
      <c r="VNM235" s="50"/>
      <c r="VNN235" s="50"/>
      <c r="VNO235" s="50"/>
      <c r="VNP235" s="50"/>
      <c r="VNQ235" s="50"/>
      <c r="VNR235" s="50"/>
      <c r="VNS235" s="50"/>
      <c r="VNT235" s="50"/>
      <c r="VNU235" s="50"/>
      <c r="VNV235" s="50"/>
      <c r="VNW235" s="50"/>
      <c r="VNX235" s="50"/>
      <c r="VNY235" s="50"/>
      <c r="VNZ235" s="50"/>
      <c r="VOA235" s="50"/>
      <c r="VOB235" s="50"/>
      <c r="VOC235" s="50"/>
      <c r="VOD235" s="50"/>
      <c r="VOE235" s="50"/>
      <c r="VOF235" s="50"/>
      <c r="VOG235" s="50"/>
      <c r="VOH235" s="50"/>
      <c r="VOI235" s="50"/>
      <c r="VOJ235" s="50"/>
      <c r="VOK235" s="50"/>
      <c r="VOL235" s="50"/>
      <c r="VOM235" s="50"/>
      <c r="VON235" s="50"/>
      <c r="VOO235" s="50"/>
      <c r="VOP235" s="50"/>
      <c r="VOQ235" s="50"/>
      <c r="VOR235" s="50"/>
      <c r="VOS235" s="50"/>
      <c r="VOT235" s="50"/>
      <c r="VOU235" s="50"/>
      <c r="VOV235" s="50"/>
      <c r="VOW235" s="50"/>
      <c r="VOX235" s="50"/>
      <c r="VOY235" s="50"/>
      <c r="VOZ235" s="50"/>
      <c r="VPA235" s="50"/>
      <c r="VPB235" s="50"/>
      <c r="VPC235" s="50"/>
      <c r="VPD235" s="50"/>
      <c r="VPE235" s="50"/>
      <c r="VPF235" s="50"/>
      <c r="VPG235" s="50"/>
      <c r="VPH235" s="50"/>
      <c r="VPI235" s="50"/>
      <c r="VPJ235" s="50"/>
      <c r="VPK235" s="50"/>
      <c r="VPL235" s="50"/>
      <c r="VPM235" s="50"/>
      <c r="VPN235" s="50"/>
      <c r="VPO235" s="50"/>
      <c r="VPP235" s="50"/>
      <c r="VPQ235" s="50"/>
      <c r="VPR235" s="50"/>
      <c r="VPS235" s="50"/>
      <c r="VPT235" s="50"/>
      <c r="VPU235" s="50"/>
      <c r="VPV235" s="50"/>
      <c r="VPW235" s="50"/>
      <c r="VPX235" s="50"/>
      <c r="VPY235" s="50"/>
      <c r="VPZ235" s="50"/>
      <c r="VQA235" s="50"/>
      <c r="VQB235" s="50"/>
      <c r="VQC235" s="50"/>
      <c r="VQD235" s="50"/>
      <c r="VQE235" s="50"/>
      <c r="VQF235" s="50"/>
      <c r="VQG235" s="50"/>
      <c r="VQH235" s="50"/>
      <c r="VQI235" s="50"/>
      <c r="VQJ235" s="50"/>
      <c r="VQK235" s="50"/>
      <c r="VQL235" s="50"/>
      <c r="VQM235" s="50"/>
      <c r="VQN235" s="50"/>
      <c r="VQO235" s="50"/>
      <c r="VQP235" s="50"/>
      <c r="VQQ235" s="50"/>
      <c r="VQR235" s="50"/>
      <c r="VQS235" s="50"/>
      <c r="VQT235" s="50"/>
      <c r="VQU235" s="50"/>
      <c r="VQV235" s="50"/>
      <c r="VQW235" s="50"/>
      <c r="VQX235" s="50"/>
      <c r="VQY235" s="50"/>
      <c r="VQZ235" s="50"/>
      <c r="VRA235" s="50"/>
      <c r="VRB235" s="50"/>
      <c r="VRC235" s="50"/>
      <c r="VRD235" s="50"/>
      <c r="VRE235" s="50"/>
      <c r="VRF235" s="50"/>
      <c r="VRG235" s="50"/>
      <c r="VRH235" s="50"/>
      <c r="VRI235" s="50"/>
      <c r="VRJ235" s="50"/>
      <c r="VRK235" s="50"/>
      <c r="VRL235" s="50"/>
      <c r="VRM235" s="50"/>
      <c r="VRN235" s="50"/>
      <c r="VRO235" s="50"/>
      <c r="VRP235" s="50"/>
      <c r="VRQ235" s="50"/>
      <c r="VRR235" s="50"/>
      <c r="VRS235" s="50"/>
      <c r="VRT235" s="50"/>
      <c r="VRU235" s="50"/>
      <c r="VRV235" s="50"/>
      <c r="VRW235" s="50"/>
      <c r="VRX235" s="50"/>
      <c r="VRY235" s="50"/>
      <c r="VRZ235" s="50"/>
      <c r="VSA235" s="50"/>
      <c r="VSB235" s="50"/>
      <c r="VSC235" s="50"/>
      <c r="VSD235" s="50"/>
      <c r="VSE235" s="50"/>
      <c r="VSF235" s="50"/>
      <c r="VSG235" s="50"/>
      <c r="VSH235" s="50"/>
      <c r="VSI235" s="50"/>
      <c r="VSJ235" s="50"/>
      <c r="VSK235" s="50"/>
      <c r="VSL235" s="50"/>
      <c r="VSM235" s="50"/>
      <c r="VSN235" s="50"/>
      <c r="VSO235" s="50"/>
      <c r="VSP235" s="50"/>
      <c r="VSQ235" s="50"/>
      <c r="VSR235" s="50"/>
      <c r="VSS235" s="50"/>
      <c r="VST235" s="50"/>
      <c r="VSU235" s="50"/>
      <c r="VSV235" s="50"/>
      <c r="VSW235" s="50"/>
      <c r="VSX235" s="50"/>
      <c r="VSY235" s="50"/>
      <c r="VSZ235" s="50"/>
      <c r="VTA235" s="50"/>
      <c r="VTB235" s="50"/>
      <c r="VTC235" s="50"/>
      <c r="VTD235" s="50"/>
      <c r="VTE235" s="50"/>
      <c r="VTF235" s="50"/>
      <c r="VTG235" s="50"/>
      <c r="VTH235" s="50"/>
      <c r="VTI235" s="50"/>
      <c r="VTJ235" s="50"/>
      <c r="VTK235" s="50"/>
      <c r="VTL235" s="50"/>
      <c r="VTM235" s="50"/>
      <c r="VTN235" s="50"/>
      <c r="VTO235" s="50"/>
      <c r="VTP235" s="50"/>
      <c r="VTQ235" s="50"/>
      <c r="VTR235" s="50"/>
      <c r="VTS235" s="50"/>
      <c r="VTT235" s="50"/>
      <c r="VTU235" s="50"/>
      <c r="VTV235" s="50"/>
      <c r="VTW235" s="50"/>
      <c r="VTX235" s="50"/>
      <c r="VTY235" s="50"/>
      <c r="VTZ235" s="50"/>
      <c r="VUA235" s="50"/>
      <c r="VUB235" s="50"/>
      <c r="VUC235" s="50"/>
      <c r="VUD235" s="50"/>
      <c r="VUE235" s="50"/>
      <c r="VUF235" s="50"/>
      <c r="VUG235" s="50"/>
      <c r="VUH235" s="50"/>
      <c r="VUI235" s="50"/>
      <c r="VUJ235" s="50"/>
      <c r="VUK235" s="50"/>
      <c r="VUL235" s="50"/>
      <c r="VUM235" s="50"/>
      <c r="VUN235" s="50"/>
      <c r="VUO235" s="50"/>
      <c r="VUP235" s="50"/>
      <c r="VUQ235" s="50"/>
      <c r="VUR235" s="50"/>
      <c r="VUS235" s="50"/>
      <c r="VUT235" s="50"/>
      <c r="VUU235" s="50"/>
      <c r="VUV235" s="50"/>
      <c r="VUW235" s="50"/>
      <c r="VUX235" s="50"/>
      <c r="VUY235" s="50"/>
      <c r="VUZ235" s="50"/>
      <c r="VVA235" s="50"/>
      <c r="VVB235" s="50"/>
      <c r="VVC235" s="50"/>
      <c r="VVD235" s="50"/>
      <c r="VVE235" s="50"/>
      <c r="VVF235" s="50"/>
      <c r="VVG235" s="50"/>
      <c r="VVH235" s="50"/>
      <c r="VVI235" s="50"/>
      <c r="VVJ235" s="50"/>
      <c r="VVK235" s="50"/>
      <c r="VVL235" s="50"/>
      <c r="VVM235" s="50"/>
      <c r="VVN235" s="50"/>
      <c r="VVO235" s="50"/>
      <c r="VVP235" s="50"/>
    </row>
    <row r="236" spans="3:102 15068:15460" s="2" customFormat="1" ht="15.75" thickBot="1" x14ac:dyDescent="0.3">
      <c r="C236" s="41"/>
      <c r="D236" s="28" t="s">
        <v>1</v>
      </c>
      <c r="E236" s="275">
        <v>408000</v>
      </c>
      <c r="F236" s="20" t="s">
        <v>14</v>
      </c>
      <c r="G236" s="297">
        <f t="shared" ref="G236:AL236" si="124">SUM(G231:G235)</f>
        <v>256036.99893986245</v>
      </c>
      <c r="H236" s="297">
        <f t="shared" si="124"/>
        <v>259281.45573410144</v>
      </c>
      <c r="I236" s="297">
        <f t="shared" si="124"/>
        <v>234208.52253466376</v>
      </c>
      <c r="J236" s="297">
        <f t="shared" si="124"/>
        <v>231541.32873368645</v>
      </c>
      <c r="K236" s="297">
        <f t="shared" si="124"/>
        <v>219369.63413708154</v>
      </c>
      <c r="L236" s="297">
        <f t="shared" si="124"/>
        <v>227484.37437748336</v>
      </c>
      <c r="M236" s="297">
        <f t="shared" si="124"/>
        <v>208016.57257443297</v>
      </c>
      <c r="N236" s="297">
        <f t="shared" si="124"/>
        <v>229982.15453205345</v>
      </c>
      <c r="O236" s="297">
        <f t="shared" si="124"/>
        <v>231409.89051803714</v>
      </c>
      <c r="P236" s="297">
        <f t="shared" si="124"/>
        <v>254292.86634664019</v>
      </c>
      <c r="Q236" s="297">
        <f t="shared" si="124"/>
        <v>208825.72774917088</v>
      </c>
      <c r="R236" s="297">
        <f t="shared" si="124"/>
        <v>132641.23993683216</v>
      </c>
      <c r="S236" s="297">
        <f t="shared" si="124"/>
        <v>214903.25824046155</v>
      </c>
      <c r="T236" s="297">
        <f t="shared" si="124"/>
        <v>265231.01995098533</v>
      </c>
      <c r="U236" s="297">
        <f t="shared" si="124"/>
        <v>190901.67359914604</v>
      </c>
      <c r="V236" s="297">
        <f t="shared" si="124"/>
        <v>183762.91596078599</v>
      </c>
      <c r="W236" s="297">
        <f>SUM(W231:W235)</f>
        <v>154202.79781989133</v>
      </c>
      <c r="X236" s="297" t="e">
        <f t="shared" si="124"/>
        <v>#DIV/0!</v>
      </c>
      <c r="Y236" s="297" t="e">
        <f t="shared" si="124"/>
        <v>#DIV/0!</v>
      </c>
      <c r="Z236" s="297">
        <f t="shared" si="124"/>
        <v>191901.56536926338</v>
      </c>
      <c r="AA236" s="297">
        <f t="shared" si="124"/>
        <v>241895.89379141125</v>
      </c>
      <c r="AB236" s="297">
        <f t="shared" si="124"/>
        <v>229603.85638044256</v>
      </c>
      <c r="AC236" s="297">
        <f t="shared" si="124"/>
        <v>224684.63358895044</v>
      </c>
      <c r="AD236" s="297">
        <f t="shared" si="124"/>
        <v>225227.90494308402</v>
      </c>
      <c r="AE236" s="297">
        <f t="shared" si="124"/>
        <v>248512.10159474466</v>
      </c>
      <c r="AF236" s="297">
        <f t="shared" si="124"/>
        <v>226061.19025365534</v>
      </c>
      <c r="AG236" s="297">
        <f t="shared" si="124"/>
        <v>239092.24771084858</v>
      </c>
      <c r="AH236" s="297">
        <f t="shared" si="124"/>
        <v>239154.052753319</v>
      </c>
      <c r="AI236" s="297">
        <f t="shared" si="124"/>
        <v>200582.41359379434</v>
      </c>
      <c r="AJ236" s="297">
        <f t="shared" si="124"/>
        <v>202604.56693879506</v>
      </c>
      <c r="AK236" s="297">
        <f t="shared" si="124"/>
        <v>238487.12951660328</v>
      </c>
      <c r="AL236" s="297" t="e">
        <f t="shared" si="124"/>
        <v>#DIV/0!</v>
      </c>
      <c r="AN236" s="63" t="e">
        <f>SUM(G236:AL236)</f>
        <v>#DIV/0!</v>
      </c>
      <c r="CX236" s="161"/>
    </row>
    <row r="237" spans="3:102 15068:15460" s="1" customFormat="1" x14ac:dyDescent="0.25">
      <c r="C237" s="8">
        <v>6</v>
      </c>
      <c r="D237" s="84" t="s">
        <v>13</v>
      </c>
      <c r="E237" s="85"/>
      <c r="F237" s="86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3"/>
      <c r="AN237" s="146" t="s">
        <v>135</v>
      </c>
      <c r="CX237" s="151"/>
      <c r="VGN237" s="50"/>
      <c r="VGO237" s="50"/>
      <c r="VGP237" s="50"/>
      <c r="VGQ237" s="50"/>
      <c r="VGR237" s="50"/>
      <c r="VGS237" s="50"/>
      <c r="VGT237" s="50"/>
      <c r="VGU237" s="50"/>
      <c r="VGV237" s="50"/>
      <c r="VGW237" s="50"/>
      <c r="VGX237" s="50"/>
      <c r="VGY237" s="50"/>
      <c r="VGZ237" s="50"/>
      <c r="VHA237" s="50"/>
      <c r="VHB237" s="50"/>
      <c r="VHC237" s="50"/>
      <c r="VHD237" s="50"/>
      <c r="VHE237" s="50"/>
      <c r="VHF237" s="50"/>
      <c r="VHG237" s="50"/>
      <c r="VHH237" s="50"/>
      <c r="VHI237" s="50"/>
      <c r="VHJ237" s="50"/>
      <c r="VHK237" s="50"/>
      <c r="VHL237" s="50"/>
      <c r="VHM237" s="50"/>
      <c r="VHN237" s="50"/>
      <c r="VHO237" s="50"/>
      <c r="VHP237" s="50"/>
      <c r="VHQ237" s="50"/>
      <c r="VHR237" s="50"/>
      <c r="VHS237" s="50"/>
      <c r="VHT237" s="50"/>
      <c r="VHU237" s="50"/>
      <c r="VHV237" s="50"/>
      <c r="VHW237" s="50"/>
      <c r="VHX237" s="50"/>
      <c r="VHY237" s="50"/>
      <c r="VHZ237" s="50"/>
      <c r="VIA237" s="50"/>
      <c r="VIB237" s="50"/>
      <c r="VIC237" s="50"/>
      <c r="VID237" s="50"/>
      <c r="VIE237" s="50"/>
      <c r="VIF237" s="50"/>
      <c r="VIG237" s="50"/>
      <c r="VIH237" s="50"/>
      <c r="VII237" s="50"/>
      <c r="VIJ237" s="50"/>
      <c r="VIK237" s="50"/>
      <c r="VIL237" s="50"/>
      <c r="VIM237" s="50"/>
      <c r="VIN237" s="50"/>
      <c r="VIO237" s="50"/>
      <c r="VIP237" s="50"/>
      <c r="VIQ237" s="50"/>
      <c r="VIR237" s="50"/>
      <c r="VIS237" s="50"/>
      <c r="VIT237" s="50"/>
      <c r="VIU237" s="50"/>
      <c r="VIV237" s="50"/>
      <c r="VIW237" s="50"/>
      <c r="VIX237" s="50"/>
      <c r="VIY237" s="50"/>
      <c r="VIZ237" s="50"/>
      <c r="VJA237" s="50"/>
      <c r="VJB237" s="50"/>
      <c r="VJC237" s="50"/>
      <c r="VJD237" s="50"/>
      <c r="VJE237" s="50"/>
      <c r="VJF237" s="50"/>
      <c r="VJG237" s="50"/>
      <c r="VJH237" s="50"/>
      <c r="VJI237" s="50"/>
      <c r="VJJ237" s="50"/>
      <c r="VJK237" s="50"/>
      <c r="VJL237" s="50"/>
      <c r="VJM237" s="50"/>
      <c r="VJN237" s="50"/>
      <c r="VJO237" s="50"/>
      <c r="VJP237" s="50"/>
      <c r="VJQ237" s="50"/>
      <c r="VJR237" s="50"/>
      <c r="VJS237" s="50"/>
      <c r="VJT237" s="50"/>
      <c r="VJU237" s="50"/>
      <c r="VJV237" s="50"/>
      <c r="VJW237" s="50"/>
      <c r="VJX237" s="50"/>
      <c r="VJY237" s="50"/>
      <c r="VJZ237" s="50"/>
      <c r="VKA237" s="50"/>
      <c r="VKB237" s="50"/>
      <c r="VKC237" s="50"/>
      <c r="VKD237" s="50"/>
      <c r="VKE237" s="50"/>
      <c r="VKF237" s="50"/>
      <c r="VKG237" s="50"/>
      <c r="VKH237" s="50"/>
      <c r="VKI237" s="50"/>
      <c r="VKJ237" s="50"/>
      <c r="VKK237" s="50"/>
      <c r="VKL237" s="50"/>
      <c r="VKM237" s="50"/>
      <c r="VKN237" s="50"/>
      <c r="VKO237" s="50"/>
      <c r="VKP237" s="50"/>
      <c r="VKQ237" s="50"/>
      <c r="VKR237" s="50"/>
      <c r="VKS237" s="50"/>
      <c r="VKT237" s="50"/>
      <c r="VKU237" s="50"/>
      <c r="VKV237" s="50"/>
      <c r="VKW237" s="50"/>
      <c r="VKX237" s="50"/>
      <c r="VKY237" s="50"/>
      <c r="VKZ237" s="50"/>
      <c r="VLA237" s="50"/>
      <c r="VLB237" s="50"/>
      <c r="VLC237" s="50"/>
      <c r="VLD237" s="50"/>
      <c r="VLE237" s="50"/>
      <c r="VLF237" s="50"/>
      <c r="VLG237" s="50"/>
      <c r="VLH237" s="50"/>
      <c r="VLI237" s="50"/>
      <c r="VLJ237" s="50"/>
      <c r="VLK237" s="50"/>
      <c r="VLL237" s="50"/>
      <c r="VLM237" s="50"/>
      <c r="VLN237" s="50"/>
      <c r="VLO237" s="50"/>
      <c r="VLP237" s="50"/>
      <c r="VLQ237" s="50"/>
      <c r="VLR237" s="50"/>
      <c r="VLS237" s="50"/>
      <c r="VLT237" s="50"/>
      <c r="VLU237" s="50"/>
      <c r="VLV237" s="50"/>
      <c r="VLW237" s="50"/>
      <c r="VLX237" s="50"/>
      <c r="VLY237" s="50"/>
      <c r="VLZ237" s="50"/>
      <c r="VMA237" s="50"/>
      <c r="VMB237" s="50"/>
      <c r="VMC237" s="50"/>
      <c r="VMD237" s="50"/>
      <c r="VME237" s="50"/>
      <c r="VMF237" s="50"/>
      <c r="VMG237" s="50"/>
      <c r="VMH237" s="50"/>
      <c r="VMI237" s="50"/>
      <c r="VMJ237" s="50"/>
      <c r="VMK237" s="50"/>
      <c r="VML237" s="50"/>
      <c r="VMM237" s="50"/>
      <c r="VMN237" s="50"/>
      <c r="VMO237" s="50"/>
      <c r="VMP237" s="50"/>
      <c r="VMQ237" s="50"/>
      <c r="VMR237" s="50"/>
      <c r="VMS237" s="50"/>
      <c r="VMT237" s="50"/>
      <c r="VMU237" s="50"/>
      <c r="VMV237" s="50"/>
      <c r="VMW237" s="50"/>
      <c r="VMX237" s="50"/>
      <c r="VMY237" s="50"/>
      <c r="VMZ237" s="50"/>
      <c r="VNA237" s="50"/>
      <c r="VNB237" s="50"/>
      <c r="VNC237" s="50"/>
      <c r="VND237" s="50"/>
      <c r="VNE237" s="50"/>
      <c r="VNF237" s="50"/>
      <c r="VNG237" s="50"/>
      <c r="VNH237" s="50"/>
      <c r="VNI237" s="50"/>
      <c r="VNJ237" s="50"/>
      <c r="VNK237" s="50"/>
      <c r="VNL237" s="50"/>
      <c r="VNM237" s="50"/>
      <c r="VNN237" s="50"/>
      <c r="VNO237" s="50"/>
      <c r="VNP237" s="50"/>
      <c r="VNQ237" s="50"/>
      <c r="VNR237" s="50"/>
      <c r="VNS237" s="50"/>
      <c r="VNT237" s="50"/>
      <c r="VNU237" s="50"/>
      <c r="VNV237" s="50"/>
      <c r="VNW237" s="50"/>
      <c r="VNX237" s="50"/>
      <c r="VNY237" s="50"/>
      <c r="VNZ237" s="50"/>
      <c r="VOA237" s="50"/>
      <c r="VOB237" s="50"/>
      <c r="VOC237" s="50"/>
      <c r="VOD237" s="50"/>
      <c r="VOE237" s="50"/>
      <c r="VOF237" s="50"/>
      <c r="VOG237" s="50"/>
      <c r="VOH237" s="50"/>
      <c r="VOI237" s="50"/>
      <c r="VOJ237" s="50"/>
      <c r="VOK237" s="50"/>
      <c r="VOL237" s="50"/>
      <c r="VOM237" s="50"/>
      <c r="VON237" s="50"/>
      <c r="VOO237" s="50"/>
      <c r="VOP237" s="50"/>
      <c r="VOQ237" s="50"/>
      <c r="VOR237" s="50"/>
      <c r="VOS237" s="50"/>
      <c r="VOT237" s="50"/>
      <c r="VOU237" s="50"/>
      <c r="VOV237" s="50"/>
      <c r="VOW237" s="50"/>
      <c r="VOX237" s="50"/>
      <c r="VOY237" s="50"/>
      <c r="VOZ237" s="50"/>
      <c r="VPA237" s="50"/>
      <c r="VPB237" s="50"/>
      <c r="VPC237" s="50"/>
      <c r="VPD237" s="50"/>
      <c r="VPE237" s="50"/>
      <c r="VPF237" s="50"/>
      <c r="VPG237" s="50"/>
      <c r="VPH237" s="50"/>
      <c r="VPI237" s="50"/>
      <c r="VPJ237" s="50"/>
      <c r="VPK237" s="50"/>
      <c r="VPL237" s="50"/>
      <c r="VPM237" s="50"/>
      <c r="VPN237" s="50"/>
      <c r="VPO237" s="50"/>
      <c r="VPP237" s="50"/>
      <c r="VPQ237" s="50"/>
      <c r="VPR237" s="50"/>
      <c r="VPS237" s="50"/>
      <c r="VPT237" s="50"/>
      <c r="VPU237" s="50"/>
      <c r="VPV237" s="50"/>
      <c r="VPW237" s="50"/>
      <c r="VPX237" s="50"/>
      <c r="VPY237" s="50"/>
      <c r="VPZ237" s="50"/>
      <c r="VQA237" s="50"/>
      <c r="VQB237" s="50"/>
      <c r="VQC237" s="50"/>
      <c r="VQD237" s="50"/>
      <c r="VQE237" s="50"/>
      <c r="VQF237" s="50"/>
      <c r="VQG237" s="50"/>
      <c r="VQH237" s="50"/>
      <c r="VQI237" s="50"/>
      <c r="VQJ237" s="50"/>
      <c r="VQK237" s="50"/>
      <c r="VQL237" s="50"/>
      <c r="VQM237" s="50"/>
      <c r="VQN237" s="50"/>
      <c r="VQO237" s="50"/>
      <c r="VQP237" s="50"/>
      <c r="VQQ237" s="50"/>
      <c r="VQR237" s="50"/>
      <c r="VQS237" s="50"/>
      <c r="VQT237" s="50"/>
      <c r="VQU237" s="50"/>
      <c r="VQV237" s="50"/>
      <c r="VQW237" s="50"/>
      <c r="VQX237" s="50"/>
      <c r="VQY237" s="50"/>
      <c r="VQZ237" s="50"/>
      <c r="VRA237" s="50"/>
      <c r="VRB237" s="50"/>
      <c r="VRC237" s="50"/>
      <c r="VRD237" s="50"/>
      <c r="VRE237" s="50"/>
      <c r="VRF237" s="50"/>
      <c r="VRG237" s="50"/>
      <c r="VRH237" s="50"/>
      <c r="VRI237" s="50"/>
      <c r="VRJ237" s="50"/>
      <c r="VRK237" s="50"/>
      <c r="VRL237" s="50"/>
      <c r="VRM237" s="50"/>
      <c r="VRN237" s="50"/>
      <c r="VRO237" s="50"/>
      <c r="VRP237" s="50"/>
      <c r="VRQ237" s="50"/>
      <c r="VRR237" s="50"/>
      <c r="VRS237" s="50"/>
      <c r="VRT237" s="50"/>
      <c r="VRU237" s="50"/>
      <c r="VRV237" s="50"/>
      <c r="VRW237" s="50"/>
      <c r="VRX237" s="50"/>
      <c r="VRY237" s="50"/>
      <c r="VRZ237" s="50"/>
      <c r="VSA237" s="50"/>
      <c r="VSB237" s="50"/>
      <c r="VSC237" s="50"/>
      <c r="VSD237" s="50"/>
      <c r="VSE237" s="50"/>
      <c r="VSF237" s="50"/>
      <c r="VSG237" s="50"/>
      <c r="VSH237" s="50"/>
      <c r="VSI237" s="50"/>
      <c r="VSJ237" s="50"/>
      <c r="VSK237" s="50"/>
      <c r="VSL237" s="50"/>
      <c r="VSM237" s="50"/>
      <c r="VSN237" s="50"/>
      <c r="VSO237" s="50"/>
      <c r="VSP237" s="50"/>
      <c r="VSQ237" s="50"/>
      <c r="VSR237" s="50"/>
      <c r="VSS237" s="50"/>
      <c r="VST237" s="50"/>
      <c r="VSU237" s="50"/>
      <c r="VSV237" s="50"/>
      <c r="VSW237" s="50"/>
      <c r="VSX237" s="50"/>
      <c r="VSY237" s="50"/>
      <c r="VSZ237" s="50"/>
      <c r="VTA237" s="50"/>
      <c r="VTB237" s="50"/>
      <c r="VTC237" s="50"/>
      <c r="VTD237" s="50"/>
      <c r="VTE237" s="50"/>
      <c r="VTF237" s="50"/>
      <c r="VTG237" s="50"/>
      <c r="VTH237" s="50"/>
      <c r="VTI237" s="50"/>
      <c r="VTJ237" s="50"/>
      <c r="VTK237" s="50"/>
      <c r="VTL237" s="50"/>
      <c r="VTM237" s="50"/>
      <c r="VTN237" s="50"/>
      <c r="VTO237" s="50"/>
      <c r="VTP237" s="50"/>
      <c r="VTQ237" s="50"/>
      <c r="VTR237" s="50"/>
      <c r="VTS237" s="50"/>
      <c r="VTT237" s="50"/>
      <c r="VTU237" s="50"/>
      <c r="VTV237" s="50"/>
      <c r="VTW237" s="50"/>
      <c r="VTX237" s="50"/>
      <c r="VTY237" s="50"/>
      <c r="VTZ237" s="50"/>
      <c r="VUA237" s="50"/>
      <c r="VUB237" s="50"/>
      <c r="VUC237" s="50"/>
      <c r="VUD237" s="50"/>
      <c r="VUE237" s="50"/>
      <c r="VUF237" s="50"/>
      <c r="VUG237" s="50"/>
      <c r="VUH237" s="50"/>
      <c r="VUI237" s="50"/>
      <c r="VUJ237" s="50"/>
      <c r="VUK237" s="50"/>
      <c r="VUL237" s="50"/>
      <c r="VUM237" s="50"/>
      <c r="VUN237" s="50"/>
      <c r="VUO237" s="50"/>
      <c r="VUP237" s="50"/>
      <c r="VUQ237" s="50"/>
      <c r="VUR237" s="50"/>
      <c r="VUS237" s="50"/>
      <c r="VUT237" s="50"/>
      <c r="VUU237" s="50"/>
      <c r="VUV237" s="50"/>
      <c r="VUW237" s="50"/>
      <c r="VUX237" s="50"/>
      <c r="VUY237" s="50"/>
      <c r="VUZ237" s="50"/>
      <c r="VVA237" s="50"/>
      <c r="VVB237" s="50"/>
      <c r="VVC237" s="50"/>
      <c r="VVD237" s="50"/>
      <c r="VVE237" s="50"/>
      <c r="VVF237" s="50"/>
      <c r="VVG237" s="50"/>
      <c r="VVH237" s="50"/>
      <c r="VVI237" s="50"/>
      <c r="VVJ237" s="50"/>
      <c r="VVK237" s="50"/>
      <c r="VVL237" s="50"/>
      <c r="VVM237" s="50"/>
      <c r="VVN237" s="50"/>
      <c r="VVO237" s="50"/>
      <c r="VVP237" s="50"/>
    </row>
    <row r="238" spans="3:102 15068:15460" s="16" customFormat="1" x14ac:dyDescent="0.2">
      <c r="C238" s="17"/>
      <c r="D238" s="254" t="s">
        <v>12</v>
      </c>
      <c r="E238" s="276">
        <v>1100</v>
      </c>
      <c r="F238" s="255" t="s">
        <v>125</v>
      </c>
      <c r="G238" s="256">
        <v>980</v>
      </c>
      <c r="H238" s="256">
        <v>899</v>
      </c>
      <c r="I238" s="256">
        <v>708</v>
      </c>
      <c r="J238" s="256">
        <v>845</v>
      </c>
      <c r="K238" s="315">
        <v>620</v>
      </c>
      <c r="L238" s="315">
        <v>497</v>
      </c>
      <c r="M238" s="315">
        <v>761</v>
      </c>
      <c r="N238" s="315">
        <v>917</v>
      </c>
      <c r="O238" s="315">
        <v>817</v>
      </c>
      <c r="P238" s="315">
        <v>820</v>
      </c>
      <c r="Q238" s="315">
        <v>929</v>
      </c>
      <c r="R238" s="315">
        <v>208</v>
      </c>
      <c r="S238" s="315">
        <v>865</v>
      </c>
      <c r="T238" s="315">
        <v>1217</v>
      </c>
      <c r="U238" s="315">
        <v>447</v>
      </c>
      <c r="V238" s="315">
        <v>686</v>
      </c>
      <c r="W238" s="315">
        <v>455</v>
      </c>
      <c r="X238" s="315">
        <v>735</v>
      </c>
      <c r="Y238" s="315">
        <v>661</v>
      </c>
      <c r="Z238" s="315">
        <v>645</v>
      </c>
      <c r="AA238" s="315">
        <v>729</v>
      </c>
      <c r="AB238" s="315">
        <v>741</v>
      </c>
      <c r="AC238" s="315">
        <v>712</v>
      </c>
      <c r="AD238" s="315">
        <v>693</v>
      </c>
      <c r="AE238" s="315">
        <v>689</v>
      </c>
      <c r="AF238" s="315">
        <v>863</v>
      </c>
      <c r="AG238" s="315">
        <v>714</v>
      </c>
      <c r="AH238" s="315">
        <v>611</v>
      </c>
      <c r="AI238" s="315">
        <v>732</v>
      </c>
      <c r="AJ238" s="315">
        <v>557</v>
      </c>
      <c r="AK238" s="315">
        <v>798</v>
      </c>
      <c r="AL238" s="315"/>
      <c r="AM238" s="954"/>
      <c r="AN238" s="1074">
        <f>SUM(G238:AL238)</f>
        <v>22551</v>
      </c>
      <c r="AO238" s="388">
        <f>AN238/4</f>
        <v>5637.75</v>
      </c>
      <c r="AP238" s="388"/>
      <c r="AQ238" s="149"/>
      <c r="AR238" s="149"/>
      <c r="AS238" s="149"/>
      <c r="CX238" s="154"/>
    </row>
    <row r="239" spans="3:102 15068:15460" s="16" customFormat="1" x14ac:dyDescent="0.25">
      <c r="C239" s="17"/>
      <c r="D239" s="45" t="s">
        <v>11</v>
      </c>
      <c r="E239" s="263"/>
      <c r="F239" s="12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N239" s="130" t="s">
        <v>11</v>
      </c>
      <c r="CX239" s="154"/>
    </row>
    <row r="240" spans="3:102 15068:15460" s="16" customFormat="1" x14ac:dyDescent="0.2">
      <c r="C240" s="17"/>
      <c r="D240" s="254" t="s">
        <v>10</v>
      </c>
      <c r="E240" s="277">
        <v>91.5</v>
      </c>
      <c r="F240" s="255" t="s">
        <v>424</v>
      </c>
      <c r="G240" s="257">
        <v>83</v>
      </c>
      <c r="H240" s="257">
        <v>110</v>
      </c>
      <c r="I240" s="257">
        <v>141</v>
      </c>
      <c r="J240" s="257">
        <v>111</v>
      </c>
      <c r="K240" s="257">
        <v>98</v>
      </c>
      <c r="L240" s="257">
        <v>67</v>
      </c>
      <c r="M240" s="257">
        <v>132</v>
      </c>
      <c r="N240" s="257">
        <v>42</v>
      </c>
      <c r="O240" s="257">
        <v>146</v>
      </c>
      <c r="P240" s="257">
        <v>110</v>
      </c>
      <c r="Q240" s="257">
        <v>135</v>
      </c>
      <c r="R240" s="257">
        <v>35</v>
      </c>
      <c r="S240" s="257">
        <v>174</v>
      </c>
      <c r="T240" s="257">
        <v>140</v>
      </c>
      <c r="U240" s="257">
        <v>91</v>
      </c>
      <c r="V240" s="257">
        <v>112</v>
      </c>
      <c r="W240" s="257">
        <v>75</v>
      </c>
      <c r="X240" s="257">
        <v>59</v>
      </c>
      <c r="Y240" s="257">
        <v>64</v>
      </c>
      <c r="Z240" s="257">
        <v>119</v>
      </c>
      <c r="AA240" s="257">
        <v>86</v>
      </c>
      <c r="AB240" s="257">
        <v>92</v>
      </c>
      <c r="AC240" s="257">
        <v>84</v>
      </c>
      <c r="AD240" s="257">
        <v>142</v>
      </c>
      <c r="AE240" s="257">
        <v>119</v>
      </c>
      <c r="AF240" s="257">
        <v>52</v>
      </c>
      <c r="AG240" s="257">
        <v>97</v>
      </c>
      <c r="AH240" s="257">
        <v>97</v>
      </c>
      <c r="AI240" s="257">
        <v>107</v>
      </c>
      <c r="AJ240" s="257">
        <v>61</v>
      </c>
      <c r="AK240" s="257">
        <v>127</v>
      </c>
      <c r="AL240" s="257"/>
      <c r="AN240" s="1074">
        <f>SUM(G240:AL240)</f>
        <v>3108</v>
      </c>
      <c r="CX240" s="154"/>
    </row>
    <row r="241" spans="3:102 15068:15460" s="16" customFormat="1" x14ac:dyDescent="0.25">
      <c r="C241" s="17"/>
      <c r="D241" s="254"/>
      <c r="E241" s="277"/>
      <c r="F241" s="32" t="s">
        <v>425</v>
      </c>
      <c r="G241" s="34">
        <f>G240/(G9/1000)</f>
        <v>5.8549744003589171E-2</v>
      </c>
      <c r="H241" s="34">
        <f>H240/(H9/1000)</f>
        <v>9.9551925832005214E-2</v>
      </c>
      <c r="I241" s="34">
        <f t="shared" ref="I241:AK241" si="125">I240/(I9/1000)</f>
        <v>0.13524271751537068</v>
      </c>
      <c r="J241" s="34">
        <f t="shared" si="125"/>
        <v>0.10447225979145079</v>
      </c>
      <c r="K241" s="34">
        <f t="shared" si="125"/>
        <v>0.23884438313563677</v>
      </c>
      <c r="L241" s="34">
        <f t="shared" si="125"/>
        <v>8.8242537908072349E-2</v>
      </c>
      <c r="M241" s="34">
        <f t="shared" si="125"/>
        <v>0.60806795620068088</v>
      </c>
      <c r="N241" s="34">
        <f t="shared" si="125"/>
        <v>0.11941249054651117</v>
      </c>
      <c r="O241" s="34">
        <f t="shared" si="125"/>
        <v>0.19638014892609651</v>
      </c>
      <c r="P241" s="34">
        <f t="shared" si="125"/>
        <v>9.5425558955211584E-2</v>
      </c>
      <c r="Q241" s="34">
        <f t="shared" si="125"/>
        <v>0.25902808823839796</v>
      </c>
      <c r="R241" s="34">
        <f t="shared" si="125"/>
        <v>0.10371784006116389</v>
      </c>
      <c r="S241" s="34">
        <f t="shared" si="125"/>
        <v>0.13049807515339149</v>
      </c>
      <c r="T241" s="34">
        <f t="shared" si="125"/>
        <v>0.1934925685032797</v>
      </c>
      <c r="U241" s="34">
        <f t="shared" si="125"/>
        <v>0.34744361677350877</v>
      </c>
      <c r="V241" s="34">
        <f t="shared" si="125"/>
        <v>0.13282385896003662</v>
      </c>
      <c r="W241" s="34"/>
      <c r="X241" s="34"/>
      <c r="Y241" s="34"/>
      <c r="Z241" s="34">
        <f t="shared" si="125"/>
        <v>0.11924743843475212</v>
      </c>
      <c r="AA241" s="34">
        <f t="shared" si="125"/>
        <v>5.92226136729865E-2</v>
      </c>
      <c r="AB241" s="34">
        <f t="shared" si="125"/>
        <v>0.12773998803131853</v>
      </c>
      <c r="AC241" s="34">
        <f t="shared" si="125"/>
        <v>8.6024588694935303E-2</v>
      </c>
      <c r="AD241" s="34">
        <f t="shared" si="125"/>
        <v>9.0841860953097459E-2</v>
      </c>
      <c r="AE241" s="34">
        <f t="shared" si="125"/>
        <v>8.522035549062576E-2</v>
      </c>
      <c r="AF241" s="34">
        <f t="shared" si="125"/>
        <v>0.23098586544184929</v>
      </c>
      <c r="AG241" s="34">
        <f t="shared" si="125"/>
        <v>0.1442941339228071</v>
      </c>
      <c r="AH241" s="34">
        <f t="shared" si="125"/>
        <v>9.5369655735206643E-2</v>
      </c>
      <c r="AI241" s="34">
        <f t="shared" si="125"/>
        <v>0.17943777282507165</v>
      </c>
      <c r="AJ241" s="34">
        <f t="shared" si="125"/>
        <v>0.17539672726959052</v>
      </c>
      <c r="AK241" s="34">
        <f t="shared" si="125"/>
        <v>0.15343742109148376</v>
      </c>
      <c r="AL241" s="257"/>
      <c r="AN241" s="34">
        <f t="shared" ref="AN241" si="126">AN240/(AN9/1000)</f>
        <v>0.13468908792172568</v>
      </c>
      <c r="CX241" s="154"/>
    </row>
    <row r="242" spans="3:102 15068:15460" s="16" customFormat="1" x14ac:dyDescent="0.2">
      <c r="C242" s="17"/>
      <c r="D242" s="254" t="s">
        <v>9</v>
      </c>
      <c r="E242" s="277">
        <v>179.63</v>
      </c>
      <c r="F242" s="255" t="s">
        <v>424</v>
      </c>
      <c r="G242" s="257">
        <v>118</v>
      </c>
      <c r="H242" s="257">
        <v>121</v>
      </c>
      <c r="I242" s="257">
        <v>91</v>
      </c>
      <c r="J242" s="257">
        <v>107</v>
      </c>
      <c r="K242" s="257">
        <v>90</v>
      </c>
      <c r="L242" s="257">
        <v>55</v>
      </c>
      <c r="M242" s="257">
        <v>136</v>
      </c>
      <c r="N242" s="257">
        <v>111</v>
      </c>
      <c r="O242" s="257">
        <v>68</v>
      </c>
      <c r="P242" s="257">
        <v>86</v>
      </c>
      <c r="Q242" s="257">
        <v>80</v>
      </c>
      <c r="R242" s="257">
        <v>33</v>
      </c>
      <c r="S242" s="257">
        <v>40</v>
      </c>
      <c r="T242" s="257">
        <v>92</v>
      </c>
      <c r="U242" s="257">
        <v>48</v>
      </c>
      <c r="V242" s="257">
        <v>72</v>
      </c>
      <c r="W242" s="257">
        <v>68</v>
      </c>
      <c r="X242" s="257">
        <v>0</v>
      </c>
      <c r="Y242" s="257">
        <v>0</v>
      </c>
      <c r="Z242" s="257">
        <v>39</v>
      </c>
      <c r="AA242" s="257">
        <v>94</v>
      </c>
      <c r="AB242" s="257">
        <v>71</v>
      </c>
      <c r="AC242" s="257">
        <v>102</v>
      </c>
      <c r="AD242" s="257">
        <v>80</v>
      </c>
      <c r="AE242" s="257">
        <v>87</v>
      </c>
      <c r="AF242" s="257">
        <v>91</v>
      </c>
      <c r="AG242" s="257">
        <v>72</v>
      </c>
      <c r="AH242" s="257">
        <v>95</v>
      </c>
      <c r="AI242" s="257">
        <v>64</v>
      </c>
      <c r="AJ242" s="257">
        <v>96</v>
      </c>
      <c r="AK242" s="257">
        <v>98</v>
      </c>
      <c r="AL242" s="257"/>
      <c r="AN242" s="1074">
        <f>SUM(G242:AL242)</f>
        <v>2405</v>
      </c>
      <c r="CX242" s="154"/>
    </row>
    <row r="243" spans="3:102 15068:15460" s="16" customFormat="1" x14ac:dyDescent="0.25">
      <c r="C243" s="17"/>
      <c r="D243" s="254"/>
      <c r="E243" s="277">
        <v>0.4</v>
      </c>
      <c r="F243" s="32" t="s">
        <v>425</v>
      </c>
      <c r="G243" s="34">
        <f>G242/(G21/1000)</f>
        <v>0.13743655206632363</v>
      </c>
      <c r="H243" s="34">
        <f t="shared" ref="H243:AI243" si="127">H242/(H21/1000)</f>
        <v>0.1147141248165522</v>
      </c>
      <c r="I243" s="34">
        <f t="shared" si="127"/>
        <v>0.10569940483104356</v>
      </c>
      <c r="J243" s="34">
        <f t="shared" si="127"/>
        <v>0.11599582415033059</v>
      </c>
      <c r="K243" s="34">
        <f t="shared" si="127"/>
        <v>8.6640180442615802E-2</v>
      </c>
      <c r="L243" s="34">
        <f t="shared" si="127"/>
        <v>3.8997163133641863E-2</v>
      </c>
      <c r="M243" s="34">
        <f t="shared" si="127"/>
        <v>0.11605808707257982</v>
      </c>
      <c r="N243" s="34">
        <f t="shared" si="127"/>
        <v>0.10586754158400732</v>
      </c>
      <c r="O243" s="34">
        <f t="shared" si="127"/>
        <v>0.13125766071824962</v>
      </c>
      <c r="P243" s="34">
        <f t="shared" si="127"/>
        <v>6.7590189676934614E-2</v>
      </c>
      <c r="Q243" s="34">
        <f t="shared" si="127"/>
        <v>0.11380254121074523</v>
      </c>
      <c r="R243" s="34">
        <f t="shared" si="127"/>
        <v>0.65252209677100426</v>
      </c>
      <c r="S243" s="34">
        <f t="shared" si="127"/>
        <v>4.2927114053049324E-2</v>
      </c>
      <c r="T243" s="34">
        <f t="shared" si="127"/>
        <v>7.1942839849764587E-2</v>
      </c>
      <c r="U243" s="34" t="e">
        <f t="shared" si="127"/>
        <v>#DIV/0!</v>
      </c>
      <c r="V243" s="34">
        <f t="shared" si="127"/>
        <v>8.0420689562734834E-2</v>
      </c>
      <c r="W243" s="34">
        <f t="shared" si="127"/>
        <v>0.25533480776668405</v>
      </c>
      <c r="X243" s="34" t="e">
        <f t="shared" si="127"/>
        <v>#DIV/0!</v>
      </c>
      <c r="Y243" s="34" t="e">
        <f t="shared" si="127"/>
        <v>#DIV/0!</v>
      </c>
      <c r="Z243" s="34">
        <f t="shared" si="127"/>
        <v>6.794105503748081E-2</v>
      </c>
      <c r="AA243" s="34">
        <f t="shared" si="127"/>
        <v>8.4694527562212171E-2</v>
      </c>
      <c r="AB243" s="34">
        <f t="shared" si="127"/>
        <v>6.2020271019849103E-2</v>
      </c>
      <c r="AC243" s="34">
        <f t="shared" si="127"/>
        <v>0.2841993519140269</v>
      </c>
      <c r="AD243" s="34">
        <f t="shared" si="127"/>
        <v>7.4544393982031082E-2</v>
      </c>
      <c r="AE243" s="34">
        <f t="shared" si="127"/>
        <v>0.10788971438988366</v>
      </c>
      <c r="AF243" s="34">
        <f t="shared" si="127"/>
        <v>0.11180226479444969</v>
      </c>
      <c r="AG243" s="34">
        <f t="shared" si="127"/>
        <v>8.8973578554401772E-2</v>
      </c>
      <c r="AH243" s="34">
        <f t="shared" si="127"/>
        <v>0.14525194331810481</v>
      </c>
      <c r="AI243" s="34">
        <f t="shared" si="127"/>
        <v>6.910656015618083E-2</v>
      </c>
      <c r="AJ243" s="34">
        <f>AJ242/(AJ21/1000)</f>
        <v>0.11130383163440401</v>
      </c>
      <c r="AK243" s="34">
        <f>AK242/(AK21/1000)</f>
        <v>9.4515314856553734E-2</v>
      </c>
      <c r="AL243" s="257" t="e">
        <f t="shared" ref="AL243" si="128">AL242/(AL11/1000)</f>
        <v>#DIV/0!</v>
      </c>
      <c r="AM243" s="34"/>
      <c r="AN243" s="34">
        <f>AN242/(AN21/1000)</f>
        <v>9.8355037556901767E-2</v>
      </c>
      <c r="CX243" s="154"/>
    </row>
    <row r="244" spans="3:102 15068:15460" s="16" customFormat="1" x14ac:dyDescent="0.2">
      <c r="C244" s="17"/>
      <c r="D244" s="254" t="s">
        <v>8</v>
      </c>
      <c r="E244" s="276">
        <v>491.59</v>
      </c>
      <c r="F244" s="255" t="s">
        <v>125</v>
      </c>
      <c r="G244" s="257">
        <v>319.8</v>
      </c>
      <c r="H244" s="257">
        <v>384</v>
      </c>
      <c r="I244" s="257">
        <v>320</v>
      </c>
      <c r="J244" s="257">
        <v>304</v>
      </c>
      <c r="K244" s="257">
        <v>320</v>
      </c>
      <c r="L244" s="257">
        <v>320</v>
      </c>
      <c r="M244" s="257">
        <v>336</v>
      </c>
      <c r="N244" s="257">
        <v>370.3</v>
      </c>
      <c r="O244" s="257">
        <v>364.5</v>
      </c>
      <c r="P244" s="257">
        <v>301.89999999999998</v>
      </c>
      <c r="Q244" s="257">
        <v>257.89999999999998</v>
      </c>
      <c r="R244" s="257">
        <v>254.8</v>
      </c>
      <c r="S244" s="257">
        <v>315.8</v>
      </c>
      <c r="T244" s="257">
        <v>355.3</v>
      </c>
      <c r="U244" s="257">
        <v>281.8</v>
      </c>
      <c r="V244" s="257">
        <v>274.2</v>
      </c>
      <c r="W244" s="257">
        <v>258.3</v>
      </c>
      <c r="X244" s="257">
        <v>378.7</v>
      </c>
      <c r="Y244" s="257">
        <v>268.39999999999998</v>
      </c>
      <c r="Z244" s="257">
        <v>270.89999999999998</v>
      </c>
      <c r="AA244" s="257">
        <v>364.1</v>
      </c>
      <c r="AB244" s="257">
        <v>301.3</v>
      </c>
      <c r="AC244" s="257">
        <v>283.39999999999998</v>
      </c>
      <c r="AD244" s="257">
        <v>203.1</v>
      </c>
      <c r="AE244" s="257">
        <v>384</v>
      </c>
      <c r="AF244" s="257">
        <v>384</v>
      </c>
      <c r="AG244" s="257">
        <v>352</v>
      </c>
      <c r="AH244" s="257">
        <v>394</v>
      </c>
      <c r="AI244" s="257">
        <v>352</v>
      </c>
      <c r="AJ244" s="257">
        <v>352</v>
      </c>
      <c r="AK244" s="257">
        <v>384</v>
      </c>
      <c r="AL244" s="257"/>
      <c r="AN244" s="1074">
        <f>SUM(G244:AL244)</f>
        <v>10010.5</v>
      </c>
      <c r="CX244" s="154"/>
    </row>
    <row r="245" spans="3:102 15068:15460" s="16" customFormat="1" x14ac:dyDescent="0.2">
      <c r="C245" s="17"/>
      <c r="D245" s="31" t="s">
        <v>7</v>
      </c>
      <c r="E245" s="276">
        <v>337.28</v>
      </c>
      <c r="F245" s="32" t="s">
        <v>125</v>
      </c>
      <c r="G245" s="34">
        <f>G238-G240-G242-G244</f>
        <v>459.2</v>
      </c>
      <c r="H245" s="34">
        <f>H238-H240-H242-H244</f>
        <v>284</v>
      </c>
      <c r="I245" s="34">
        <f>I238-I240-I242-I244</f>
        <v>156</v>
      </c>
      <c r="J245" s="34">
        <f t="shared" ref="J245:AL245" si="129">J238-J240-J242-J244</f>
        <v>323</v>
      </c>
      <c r="K245" s="34">
        <f t="shared" si="129"/>
        <v>112</v>
      </c>
      <c r="L245" s="34">
        <f t="shared" si="129"/>
        <v>55</v>
      </c>
      <c r="M245" s="34">
        <f t="shared" si="129"/>
        <v>157</v>
      </c>
      <c r="N245" s="34">
        <f t="shared" ref="N245:P245" si="130">N238-N240-N242-N244</f>
        <v>393.7</v>
      </c>
      <c r="O245" s="34">
        <f t="shared" ref="O245" si="131">O238-O240-O242-O244</f>
        <v>238.5</v>
      </c>
      <c r="P245" s="34">
        <f t="shared" si="130"/>
        <v>322.10000000000002</v>
      </c>
      <c r="Q245" s="34">
        <f t="shared" si="129"/>
        <v>456.1</v>
      </c>
      <c r="R245" s="33">
        <f t="shared" si="129"/>
        <v>-114.80000000000001</v>
      </c>
      <c r="S245" s="34">
        <f t="shared" si="129"/>
        <v>335.2</v>
      </c>
      <c r="T245" s="34">
        <f t="shared" si="129"/>
        <v>629.70000000000005</v>
      </c>
      <c r="U245" s="34">
        <f t="shared" si="129"/>
        <v>26.199999999999989</v>
      </c>
      <c r="V245" s="34">
        <f>V238-V240-V242-V244</f>
        <v>227.8</v>
      </c>
      <c r="W245" s="34">
        <f t="shared" ref="W245:X245" si="132">W238-W240-W242-W244</f>
        <v>53.699999999999989</v>
      </c>
      <c r="X245" s="34">
        <f t="shared" si="132"/>
        <v>297.3</v>
      </c>
      <c r="Y245" s="34">
        <f t="shared" si="129"/>
        <v>328.6</v>
      </c>
      <c r="Z245" s="34">
        <f t="shared" si="129"/>
        <v>216.10000000000002</v>
      </c>
      <c r="AA245" s="34">
        <f t="shared" si="129"/>
        <v>184.89999999999998</v>
      </c>
      <c r="AB245" s="34">
        <f t="shared" si="129"/>
        <v>276.7</v>
      </c>
      <c r="AC245" s="34">
        <f t="shared" si="129"/>
        <v>242.60000000000002</v>
      </c>
      <c r="AD245" s="34">
        <f t="shared" si="129"/>
        <v>267.89999999999998</v>
      </c>
      <c r="AE245" s="34">
        <f t="shared" si="129"/>
        <v>99</v>
      </c>
      <c r="AF245" s="34">
        <f t="shared" si="129"/>
        <v>336</v>
      </c>
      <c r="AG245" s="34">
        <f t="shared" si="129"/>
        <v>193</v>
      </c>
      <c r="AH245" s="34">
        <f t="shared" si="129"/>
        <v>25</v>
      </c>
      <c r="AI245" s="34">
        <f>AI238-AI240-AI242-AI244</f>
        <v>209</v>
      </c>
      <c r="AJ245" s="34">
        <f>AJ238-AJ240-AJ242-AJ244</f>
        <v>48</v>
      </c>
      <c r="AK245" s="34">
        <f>AK238-AK240-AK242-AK244</f>
        <v>189</v>
      </c>
      <c r="AL245" s="34">
        <f t="shared" si="129"/>
        <v>0</v>
      </c>
      <c r="AN245" s="63">
        <f>SUM(G245:AL245)</f>
        <v>7027.5</v>
      </c>
      <c r="CX245" s="154"/>
    </row>
    <row r="246" spans="3:102 15068:15460" s="16" customFormat="1" ht="15.75" thickBot="1" x14ac:dyDescent="0.25">
      <c r="C246" s="46"/>
      <c r="D246" s="254" t="s">
        <v>6</v>
      </c>
      <c r="E246" s="276">
        <v>330</v>
      </c>
      <c r="F246" s="255" t="s">
        <v>125</v>
      </c>
      <c r="G246" s="257">
        <v>254</v>
      </c>
      <c r="H246" s="257">
        <v>245</v>
      </c>
      <c r="I246" s="257">
        <v>225</v>
      </c>
      <c r="J246" s="257">
        <v>376</v>
      </c>
      <c r="K246" s="257">
        <v>257</v>
      </c>
      <c r="L246" s="257">
        <v>171</v>
      </c>
      <c r="M246" s="257">
        <v>95</v>
      </c>
      <c r="N246" s="257">
        <v>336</v>
      </c>
      <c r="O246" s="257">
        <v>207</v>
      </c>
      <c r="P246" s="257">
        <v>293</v>
      </c>
      <c r="Q246" s="257">
        <v>198</v>
      </c>
      <c r="R246" s="257">
        <v>104</v>
      </c>
      <c r="S246" s="257">
        <v>158</v>
      </c>
      <c r="T246" s="257">
        <v>308</v>
      </c>
      <c r="U246" s="257">
        <v>143</v>
      </c>
      <c r="V246" s="257">
        <v>172</v>
      </c>
      <c r="W246" s="257">
        <v>120</v>
      </c>
      <c r="X246" s="257">
        <v>124</v>
      </c>
      <c r="Y246" s="257">
        <v>60</v>
      </c>
      <c r="Z246" s="257">
        <v>86</v>
      </c>
      <c r="AA246" s="257">
        <v>247</v>
      </c>
      <c r="AB246" s="257">
        <v>127</v>
      </c>
      <c r="AC246" s="257">
        <v>190</v>
      </c>
      <c r="AD246" s="257">
        <v>142</v>
      </c>
      <c r="AE246" s="257">
        <v>133</v>
      </c>
      <c r="AF246" s="257">
        <v>231</v>
      </c>
      <c r="AG246" s="257">
        <v>227</v>
      </c>
      <c r="AH246" s="257">
        <v>177</v>
      </c>
      <c r="AI246" s="257">
        <v>220</v>
      </c>
      <c r="AJ246" s="257">
        <v>243</v>
      </c>
      <c r="AK246" s="257">
        <v>260</v>
      </c>
      <c r="AL246" s="257"/>
      <c r="AN246" s="1074">
        <f>SUM(G246:AL246)</f>
        <v>6129</v>
      </c>
      <c r="CX246" s="154"/>
    </row>
    <row r="247" spans="3:102 15068:15460" s="1" customFormat="1" x14ac:dyDescent="0.25">
      <c r="C247" s="92">
        <v>7</v>
      </c>
      <c r="D247" s="84" t="s">
        <v>5</v>
      </c>
      <c r="E247" s="85"/>
      <c r="F247" s="86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3"/>
      <c r="AN247" s="131" t="s">
        <v>136</v>
      </c>
      <c r="CX247" s="151"/>
      <c r="VGN247" s="50"/>
      <c r="VGO247" s="50"/>
      <c r="VGP247" s="50"/>
      <c r="VGQ247" s="50"/>
      <c r="VGR247" s="50"/>
      <c r="VGS247" s="50"/>
      <c r="VGT247" s="50"/>
      <c r="VGU247" s="50"/>
      <c r="VGV247" s="50"/>
      <c r="VGW247" s="50"/>
      <c r="VGX247" s="50"/>
      <c r="VGY247" s="50"/>
      <c r="VGZ247" s="50"/>
      <c r="VHA247" s="50"/>
      <c r="VHB247" s="50"/>
      <c r="VHC247" s="50"/>
      <c r="VHD247" s="50"/>
      <c r="VHE247" s="50"/>
      <c r="VHF247" s="50"/>
      <c r="VHG247" s="50"/>
      <c r="VHH247" s="50"/>
      <c r="VHI247" s="50"/>
      <c r="VHJ247" s="50"/>
      <c r="VHK247" s="50"/>
      <c r="VHL247" s="50"/>
      <c r="VHM247" s="50"/>
      <c r="VHN247" s="50"/>
      <c r="VHO247" s="50"/>
      <c r="VHP247" s="50"/>
      <c r="VHQ247" s="50"/>
      <c r="VHR247" s="50"/>
      <c r="VHS247" s="50"/>
      <c r="VHT247" s="50"/>
      <c r="VHU247" s="50"/>
      <c r="VHV247" s="50"/>
      <c r="VHW247" s="50"/>
      <c r="VHX247" s="50"/>
      <c r="VHY247" s="50"/>
      <c r="VHZ247" s="50"/>
      <c r="VIA247" s="50"/>
      <c r="VIB247" s="50"/>
      <c r="VIC247" s="50"/>
      <c r="VID247" s="50"/>
      <c r="VIE247" s="50"/>
      <c r="VIF247" s="50"/>
      <c r="VIG247" s="50"/>
      <c r="VIH247" s="50"/>
      <c r="VII247" s="50"/>
      <c r="VIJ247" s="50"/>
      <c r="VIK247" s="50"/>
      <c r="VIL247" s="50"/>
      <c r="VIM247" s="50"/>
      <c r="VIN247" s="50"/>
      <c r="VIO247" s="50"/>
      <c r="VIP247" s="50"/>
      <c r="VIQ247" s="50"/>
      <c r="VIR247" s="50"/>
      <c r="VIS247" s="50"/>
      <c r="VIT247" s="50"/>
      <c r="VIU247" s="50"/>
      <c r="VIV247" s="50"/>
      <c r="VIW247" s="50"/>
      <c r="VIX247" s="50"/>
      <c r="VIY247" s="50"/>
      <c r="VIZ247" s="50"/>
      <c r="VJA247" s="50"/>
      <c r="VJB247" s="50"/>
      <c r="VJC247" s="50"/>
      <c r="VJD247" s="50"/>
      <c r="VJE247" s="50"/>
      <c r="VJF247" s="50"/>
      <c r="VJG247" s="50"/>
      <c r="VJH247" s="50"/>
      <c r="VJI247" s="50"/>
      <c r="VJJ247" s="50"/>
      <c r="VJK247" s="50"/>
      <c r="VJL247" s="50"/>
      <c r="VJM247" s="50"/>
      <c r="VJN247" s="50"/>
      <c r="VJO247" s="50"/>
      <c r="VJP247" s="50"/>
      <c r="VJQ247" s="50"/>
      <c r="VJR247" s="50"/>
      <c r="VJS247" s="50"/>
      <c r="VJT247" s="50"/>
      <c r="VJU247" s="50"/>
      <c r="VJV247" s="50"/>
      <c r="VJW247" s="50"/>
      <c r="VJX247" s="50"/>
      <c r="VJY247" s="50"/>
      <c r="VJZ247" s="50"/>
      <c r="VKA247" s="50"/>
      <c r="VKB247" s="50"/>
      <c r="VKC247" s="50"/>
      <c r="VKD247" s="50"/>
      <c r="VKE247" s="50"/>
      <c r="VKF247" s="50"/>
      <c r="VKG247" s="50"/>
      <c r="VKH247" s="50"/>
      <c r="VKI247" s="50"/>
      <c r="VKJ247" s="50"/>
      <c r="VKK247" s="50"/>
      <c r="VKL247" s="50"/>
      <c r="VKM247" s="50"/>
      <c r="VKN247" s="50"/>
      <c r="VKO247" s="50"/>
      <c r="VKP247" s="50"/>
      <c r="VKQ247" s="50"/>
      <c r="VKR247" s="50"/>
      <c r="VKS247" s="50"/>
      <c r="VKT247" s="50"/>
      <c r="VKU247" s="50"/>
      <c r="VKV247" s="50"/>
      <c r="VKW247" s="50"/>
      <c r="VKX247" s="50"/>
      <c r="VKY247" s="50"/>
      <c r="VKZ247" s="50"/>
      <c r="VLA247" s="50"/>
      <c r="VLB247" s="50"/>
      <c r="VLC247" s="50"/>
      <c r="VLD247" s="50"/>
      <c r="VLE247" s="50"/>
      <c r="VLF247" s="50"/>
      <c r="VLG247" s="50"/>
      <c r="VLH247" s="50"/>
      <c r="VLI247" s="50"/>
      <c r="VLJ247" s="50"/>
      <c r="VLK247" s="50"/>
      <c r="VLL247" s="50"/>
      <c r="VLM247" s="50"/>
      <c r="VLN247" s="50"/>
      <c r="VLO247" s="50"/>
      <c r="VLP247" s="50"/>
      <c r="VLQ247" s="50"/>
      <c r="VLR247" s="50"/>
      <c r="VLS247" s="50"/>
      <c r="VLT247" s="50"/>
      <c r="VLU247" s="50"/>
      <c r="VLV247" s="50"/>
      <c r="VLW247" s="50"/>
      <c r="VLX247" s="50"/>
      <c r="VLY247" s="50"/>
      <c r="VLZ247" s="50"/>
      <c r="VMA247" s="50"/>
      <c r="VMB247" s="50"/>
      <c r="VMC247" s="50"/>
      <c r="VMD247" s="50"/>
      <c r="VME247" s="50"/>
      <c r="VMF247" s="50"/>
      <c r="VMG247" s="50"/>
      <c r="VMH247" s="50"/>
      <c r="VMI247" s="50"/>
      <c r="VMJ247" s="50"/>
      <c r="VMK247" s="50"/>
      <c r="VML247" s="50"/>
      <c r="VMM247" s="50"/>
      <c r="VMN247" s="50"/>
      <c r="VMO247" s="50"/>
      <c r="VMP247" s="50"/>
      <c r="VMQ247" s="50"/>
      <c r="VMR247" s="50"/>
      <c r="VMS247" s="50"/>
      <c r="VMT247" s="50"/>
      <c r="VMU247" s="50"/>
      <c r="VMV247" s="50"/>
      <c r="VMW247" s="50"/>
      <c r="VMX247" s="50"/>
      <c r="VMY247" s="50"/>
      <c r="VMZ247" s="50"/>
      <c r="VNA247" s="50"/>
      <c r="VNB247" s="50"/>
      <c r="VNC247" s="50"/>
      <c r="VND247" s="50"/>
      <c r="VNE247" s="50"/>
      <c r="VNF247" s="50"/>
      <c r="VNG247" s="50"/>
      <c r="VNH247" s="50"/>
      <c r="VNI247" s="50"/>
      <c r="VNJ247" s="50"/>
      <c r="VNK247" s="50"/>
      <c r="VNL247" s="50"/>
      <c r="VNM247" s="50"/>
      <c r="VNN247" s="50"/>
      <c r="VNO247" s="50"/>
      <c r="VNP247" s="50"/>
      <c r="VNQ247" s="50"/>
      <c r="VNR247" s="50"/>
      <c r="VNS247" s="50"/>
      <c r="VNT247" s="50"/>
      <c r="VNU247" s="50"/>
      <c r="VNV247" s="50"/>
      <c r="VNW247" s="50"/>
      <c r="VNX247" s="50"/>
      <c r="VNY247" s="50"/>
      <c r="VNZ247" s="50"/>
      <c r="VOA247" s="50"/>
      <c r="VOB247" s="50"/>
      <c r="VOC247" s="50"/>
      <c r="VOD247" s="50"/>
      <c r="VOE247" s="50"/>
      <c r="VOF247" s="50"/>
      <c r="VOG247" s="50"/>
      <c r="VOH247" s="50"/>
      <c r="VOI247" s="50"/>
      <c r="VOJ247" s="50"/>
      <c r="VOK247" s="50"/>
      <c r="VOL247" s="50"/>
      <c r="VOM247" s="50"/>
      <c r="VON247" s="50"/>
      <c r="VOO247" s="50"/>
      <c r="VOP247" s="50"/>
      <c r="VOQ247" s="50"/>
      <c r="VOR247" s="50"/>
      <c r="VOS247" s="50"/>
      <c r="VOT247" s="50"/>
      <c r="VOU247" s="50"/>
      <c r="VOV247" s="50"/>
      <c r="VOW247" s="50"/>
      <c r="VOX247" s="50"/>
      <c r="VOY247" s="50"/>
      <c r="VOZ247" s="50"/>
      <c r="VPA247" s="50"/>
      <c r="VPB247" s="50"/>
      <c r="VPC247" s="50"/>
      <c r="VPD247" s="50"/>
      <c r="VPE247" s="50"/>
      <c r="VPF247" s="50"/>
      <c r="VPG247" s="50"/>
      <c r="VPH247" s="50"/>
      <c r="VPI247" s="50"/>
      <c r="VPJ247" s="50"/>
      <c r="VPK247" s="50"/>
      <c r="VPL247" s="50"/>
      <c r="VPM247" s="50"/>
      <c r="VPN247" s="50"/>
      <c r="VPO247" s="50"/>
      <c r="VPP247" s="50"/>
      <c r="VPQ247" s="50"/>
      <c r="VPR247" s="50"/>
      <c r="VPS247" s="50"/>
      <c r="VPT247" s="50"/>
      <c r="VPU247" s="50"/>
      <c r="VPV247" s="50"/>
      <c r="VPW247" s="50"/>
      <c r="VPX247" s="50"/>
      <c r="VPY247" s="50"/>
      <c r="VPZ247" s="50"/>
      <c r="VQA247" s="50"/>
      <c r="VQB247" s="50"/>
      <c r="VQC247" s="50"/>
      <c r="VQD247" s="50"/>
      <c r="VQE247" s="50"/>
      <c r="VQF247" s="50"/>
      <c r="VQG247" s="50"/>
      <c r="VQH247" s="50"/>
      <c r="VQI247" s="50"/>
      <c r="VQJ247" s="50"/>
      <c r="VQK247" s="50"/>
      <c r="VQL247" s="50"/>
      <c r="VQM247" s="50"/>
      <c r="VQN247" s="50"/>
      <c r="VQO247" s="50"/>
      <c r="VQP247" s="50"/>
      <c r="VQQ247" s="50"/>
      <c r="VQR247" s="50"/>
      <c r="VQS247" s="50"/>
      <c r="VQT247" s="50"/>
      <c r="VQU247" s="50"/>
      <c r="VQV247" s="50"/>
      <c r="VQW247" s="50"/>
      <c r="VQX247" s="50"/>
      <c r="VQY247" s="50"/>
      <c r="VQZ247" s="50"/>
      <c r="VRA247" s="50"/>
      <c r="VRB247" s="50"/>
      <c r="VRC247" s="50"/>
      <c r="VRD247" s="50"/>
      <c r="VRE247" s="50"/>
      <c r="VRF247" s="50"/>
      <c r="VRG247" s="50"/>
      <c r="VRH247" s="50"/>
      <c r="VRI247" s="50"/>
      <c r="VRJ247" s="50"/>
      <c r="VRK247" s="50"/>
      <c r="VRL247" s="50"/>
      <c r="VRM247" s="50"/>
      <c r="VRN247" s="50"/>
      <c r="VRO247" s="50"/>
      <c r="VRP247" s="50"/>
      <c r="VRQ247" s="50"/>
      <c r="VRR247" s="50"/>
      <c r="VRS247" s="50"/>
      <c r="VRT247" s="50"/>
      <c r="VRU247" s="50"/>
      <c r="VRV247" s="50"/>
      <c r="VRW247" s="50"/>
      <c r="VRX247" s="50"/>
      <c r="VRY247" s="50"/>
      <c r="VRZ247" s="50"/>
      <c r="VSA247" s="50"/>
      <c r="VSB247" s="50"/>
      <c r="VSC247" s="50"/>
      <c r="VSD247" s="50"/>
      <c r="VSE247" s="50"/>
      <c r="VSF247" s="50"/>
      <c r="VSG247" s="50"/>
      <c r="VSH247" s="50"/>
      <c r="VSI247" s="50"/>
      <c r="VSJ247" s="50"/>
      <c r="VSK247" s="50"/>
      <c r="VSL247" s="50"/>
      <c r="VSM247" s="50"/>
      <c r="VSN247" s="50"/>
      <c r="VSO247" s="50"/>
      <c r="VSP247" s="50"/>
      <c r="VSQ247" s="50"/>
      <c r="VSR247" s="50"/>
      <c r="VSS247" s="50"/>
      <c r="VST247" s="50"/>
      <c r="VSU247" s="50"/>
      <c r="VSV247" s="50"/>
      <c r="VSW247" s="50"/>
      <c r="VSX247" s="50"/>
      <c r="VSY247" s="50"/>
      <c r="VSZ247" s="50"/>
      <c r="VTA247" s="50"/>
      <c r="VTB247" s="50"/>
      <c r="VTC247" s="50"/>
      <c r="VTD247" s="50"/>
      <c r="VTE247" s="50"/>
      <c r="VTF247" s="50"/>
      <c r="VTG247" s="50"/>
      <c r="VTH247" s="50"/>
      <c r="VTI247" s="50"/>
      <c r="VTJ247" s="50"/>
      <c r="VTK247" s="50"/>
      <c r="VTL247" s="50"/>
      <c r="VTM247" s="50"/>
      <c r="VTN247" s="50"/>
      <c r="VTO247" s="50"/>
      <c r="VTP247" s="50"/>
      <c r="VTQ247" s="50"/>
      <c r="VTR247" s="50"/>
      <c r="VTS247" s="50"/>
      <c r="VTT247" s="50"/>
      <c r="VTU247" s="50"/>
      <c r="VTV247" s="50"/>
      <c r="VTW247" s="50"/>
      <c r="VTX247" s="50"/>
      <c r="VTY247" s="50"/>
      <c r="VTZ247" s="50"/>
      <c r="VUA247" s="50"/>
      <c r="VUB247" s="50"/>
      <c r="VUC247" s="50"/>
      <c r="VUD247" s="50"/>
      <c r="VUE247" s="50"/>
      <c r="VUF247" s="50"/>
      <c r="VUG247" s="50"/>
      <c r="VUH247" s="50"/>
      <c r="VUI247" s="50"/>
      <c r="VUJ247" s="50"/>
      <c r="VUK247" s="50"/>
      <c r="VUL247" s="50"/>
      <c r="VUM247" s="50"/>
      <c r="VUN247" s="50"/>
      <c r="VUO247" s="50"/>
      <c r="VUP247" s="50"/>
      <c r="VUQ247" s="50"/>
      <c r="VUR247" s="50"/>
      <c r="VUS247" s="50"/>
      <c r="VUT247" s="50"/>
      <c r="VUU247" s="50"/>
      <c r="VUV247" s="50"/>
      <c r="VUW247" s="50"/>
      <c r="VUX247" s="50"/>
      <c r="VUY247" s="50"/>
      <c r="VUZ247" s="50"/>
      <c r="VVA247" s="50"/>
      <c r="VVB247" s="50"/>
      <c r="VVC247" s="50"/>
      <c r="VVD247" s="50"/>
      <c r="VVE247" s="50"/>
      <c r="VVF247" s="50"/>
      <c r="VVG247" s="50"/>
      <c r="VVH247" s="50"/>
      <c r="VVI247" s="50"/>
      <c r="VVJ247" s="50"/>
      <c r="VVK247" s="50"/>
      <c r="VVL247" s="50"/>
      <c r="VVM247" s="50"/>
      <c r="VVN247" s="50"/>
      <c r="VVO247" s="50"/>
      <c r="VVP247" s="50"/>
    </row>
    <row r="248" spans="3:102 15068:15460" s="1" customFormat="1" x14ac:dyDescent="0.25">
      <c r="C248" s="92"/>
      <c r="D248" s="132" t="s">
        <v>4</v>
      </c>
      <c r="E248" s="278"/>
      <c r="F248" s="1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N248" s="61" t="s">
        <v>4</v>
      </c>
      <c r="CX248" s="151"/>
      <c r="VGN248" s="50"/>
      <c r="VGO248" s="50"/>
      <c r="VGP248" s="50"/>
      <c r="VGQ248" s="50"/>
      <c r="VGR248" s="50"/>
      <c r="VGS248" s="50"/>
      <c r="VGT248" s="50"/>
      <c r="VGU248" s="50"/>
      <c r="VGV248" s="50"/>
      <c r="VGW248" s="50"/>
      <c r="VGX248" s="50"/>
      <c r="VGY248" s="50"/>
      <c r="VGZ248" s="50"/>
      <c r="VHA248" s="50"/>
      <c r="VHB248" s="50"/>
      <c r="VHC248" s="50"/>
      <c r="VHD248" s="50"/>
      <c r="VHE248" s="50"/>
      <c r="VHF248" s="50"/>
      <c r="VHG248" s="50"/>
      <c r="VHH248" s="50"/>
      <c r="VHI248" s="50"/>
      <c r="VHJ248" s="50"/>
      <c r="VHK248" s="50"/>
      <c r="VHL248" s="50"/>
      <c r="VHM248" s="50"/>
      <c r="VHN248" s="50"/>
      <c r="VHO248" s="50"/>
      <c r="VHP248" s="50"/>
      <c r="VHQ248" s="50"/>
      <c r="VHR248" s="50"/>
      <c r="VHS248" s="50"/>
      <c r="VHT248" s="50"/>
      <c r="VHU248" s="50"/>
      <c r="VHV248" s="50"/>
      <c r="VHW248" s="50"/>
      <c r="VHX248" s="50"/>
      <c r="VHY248" s="50"/>
      <c r="VHZ248" s="50"/>
      <c r="VIA248" s="50"/>
      <c r="VIB248" s="50"/>
      <c r="VIC248" s="50"/>
      <c r="VID248" s="50"/>
      <c r="VIE248" s="50"/>
      <c r="VIF248" s="50"/>
      <c r="VIG248" s="50"/>
      <c r="VIH248" s="50"/>
      <c r="VII248" s="50"/>
      <c r="VIJ248" s="50"/>
      <c r="VIK248" s="50"/>
      <c r="VIL248" s="50"/>
      <c r="VIM248" s="50"/>
      <c r="VIN248" s="50"/>
      <c r="VIO248" s="50"/>
      <c r="VIP248" s="50"/>
      <c r="VIQ248" s="50"/>
      <c r="VIR248" s="50"/>
      <c r="VIS248" s="50"/>
      <c r="VIT248" s="50"/>
      <c r="VIU248" s="50"/>
      <c r="VIV248" s="50"/>
      <c r="VIW248" s="50"/>
      <c r="VIX248" s="50"/>
      <c r="VIY248" s="50"/>
      <c r="VIZ248" s="50"/>
      <c r="VJA248" s="50"/>
      <c r="VJB248" s="50"/>
      <c r="VJC248" s="50"/>
      <c r="VJD248" s="50"/>
      <c r="VJE248" s="50"/>
      <c r="VJF248" s="50"/>
      <c r="VJG248" s="50"/>
      <c r="VJH248" s="50"/>
      <c r="VJI248" s="50"/>
      <c r="VJJ248" s="50"/>
      <c r="VJK248" s="50"/>
      <c r="VJL248" s="50"/>
      <c r="VJM248" s="50"/>
      <c r="VJN248" s="50"/>
      <c r="VJO248" s="50"/>
      <c r="VJP248" s="50"/>
      <c r="VJQ248" s="50"/>
      <c r="VJR248" s="50"/>
      <c r="VJS248" s="50"/>
      <c r="VJT248" s="50"/>
      <c r="VJU248" s="50"/>
      <c r="VJV248" s="50"/>
      <c r="VJW248" s="50"/>
      <c r="VJX248" s="50"/>
      <c r="VJY248" s="50"/>
      <c r="VJZ248" s="50"/>
      <c r="VKA248" s="50"/>
      <c r="VKB248" s="50"/>
      <c r="VKC248" s="50"/>
      <c r="VKD248" s="50"/>
      <c r="VKE248" s="50"/>
      <c r="VKF248" s="50"/>
      <c r="VKG248" s="50"/>
      <c r="VKH248" s="50"/>
      <c r="VKI248" s="50"/>
      <c r="VKJ248" s="50"/>
      <c r="VKK248" s="50"/>
      <c r="VKL248" s="50"/>
      <c r="VKM248" s="50"/>
      <c r="VKN248" s="50"/>
      <c r="VKO248" s="50"/>
      <c r="VKP248" s="50"/>
      <c r="VKQ248" s="50"/>
      <c r="VKR248" s="50"/>
      <c r="VKS248" s="50"/>
      <c r="VKT248" s="50"/>
      <c r="VKU248" s="50"/>
      <c r="VKV248" s="50"/>
      <c r="VKW248" s="50"/>
      <c r="VKX248" s="50"/>
      <c r="VKY248" s="50"/>
      <c r="VKZ248" s="50"/>
      <c r="VLA248" s="50"/>
      <c r="VLB248" s="50"/>
      <c r="VLC248" s="50"/>
      <c r="VLD248" s="50"/>
      <c r="VLE248" s="50"/>
      <c r="VLF248" s="50"/>
      <c r="VLG248" s="50"/>
      <c r="VLH248" s="50"/>
      <c r="VLI248" s="50"/>
      <c r="VLJ248" s="50"/>
      <c r="VLK248" s="50"/>
      <c r="VLL248" s="50"/>
      <c r="VLM248" s="50"/>
      <c r="VLN248" s="50"/>
      <c r="VLO248" s="50"/>
      <c r="VLP248" s="50"/>
      <c r="VLQ248" s="50"/>
      <c r="VLR248" s="50"/>
      <c r="VLS248" s="50"/>
      <c r="VLT248" s="50"/>
      <c r="VLU248" s="50"/>
      <c r="VLV248" s="50"/>
      <c r="VLW248" s="50"/>
      <c r="VLX248" s="50"/>
      <c r="VLY248" s="50"/>
      <c r="VLZ248" s="50"/>
      <c r="VMA248" s="50"/>
      <c r="VMB248" s="50"/>
      <c r="VMC248" s="50"/>
      <c r="VMD248" s="50"/>
      <c r="VME248" s="50"/>
      <c r="VMF248" s="50"/>
      <c r="VMG248" s="50"/>
      <c r="VMH248" s="50"/>
      <c r="VMI248" s="50"/>
      <c r="VMJ248" s="50"/>
      <c r="VMK248" s="50"/>
      <c r="VML248" s="50"/>
      <c r="VMM248" s="50"/>
      <c r="VMN248" s="50"/>
      <c r="VMO248" s="50"/>
      <c r="VMP248" s="50"/>
      <c r="VMQ248" s="50"/>
      <c r="VMR248" s="50"/>
      <c r="VMS248" s="50"/>
      <c r="VMT248" s="50"/>
      <c r="VMU248" s="50"/>
      <c r="VMV248" s="50"/>
      <c r="VMW248" s="50"/>
      <c r="VMX248" s="50"/>
      <c r="VMY248" s="50"/>
      <c r="VMZ248" s="50"/>
      <c r="VNA248" s="50"/>
      <c r="VNB248" s="50"/>
      <c r="VNC248" s="50"/>
      <c r="VND248" s="50"/>
      <c r="VNE248" s="50"/>
      <c r="VNF248" s="50"/>
      <c r="VNG248" s="50"/>
      <c r="VNH248" s="50"/>
      <c r="VNI248" s="50"/>
      <c r="VNJ248" s="50"/>
      <c r="VNK248" s="50"/>
      <c r="VNL248" s="50"/>
      <c r="VNM248" s="50"/>
      <c r="VNN248" s="50"/>
      <c r="VNO248" s="50"/>
      <c r="VNP248" s="50"/>
      <c r="VNQ248" s="50"/>
      <c r="VNR248" s="50"/>
      <c r="VNS248" s="50"/>
      <c r="VNT248" s="50"/>
      <c r="VNU248" s="50"/>
      <c r="VNV248" s="50"/>
      <c r="VNW248" s="50"/>
      <c r="VNX248" s="50"/>
      <c r="VNY248" s="50"/>
      <c r="VNZ248" s="50"/>
      <c r="VOA248" s="50"/>
      <c r="VOB248" s="50"/>
      <c r="VOC248" s="50"/>
      <c r="VOD248" s="50"/>
      <c r="VOE248" s="50"/>
      <c r="VOF248" s="50"/>
      <c r="VOG248" s="50"/>
      <c r="VOH248" s="50"/>
      <c r="VOI248" s="50"/>
      <c r="VOJ248" s="50"/>
      <c r="VOK248" s="50"/>
      <c r="VOL248" s="50"/>
      <c r="VOM248" s="50"/>
      <c r="VON248" s="50"/>
      <c r="VOO248" s="50"/>
      <c r="VOP248" s="50"/>
      <c r="VOQ248" s="50"/>
      <c r="VOR248" s="50"/>
      <c r="VOS248" s="50"/>
      <c r="VOT248" s="50"/>
      <c r="VOU248" s="50"/>
      <c r="VOV248" s="50"/>
      <c r="VOW248" s="50"/>
      <c r="VOX248" s="50"/>
      <c r="VOY248" s="50"/>
      <c r="VOZ248" s="50"/>
      <c r="VPA248" s="50"/>
      <c r="VPB248" s="50"/>
      <c r="VPC248" s="50"/>
      <c r="VPD248" s="50"/>
      <c r="VPE248" s="50"/>
      <c r="VPF248" s="50"/>
      <c r="VPG248" s="50"/>
      <c r="VPH248" s="50"/>
      <c r="VPI248" s="50"/>
      <c r="VPJ248" s="50"/>
      <c r="VPK248" s="50"/>
      <c r="VPL248" s="50"/>
      <c r="VPM248" s="50"/>
      <c r="VPN248" s="50"/>
      <c r="VPO248" s="50"/>
      <c r="VPP248" s="50"/>
      <c r="VPQ248" s="50"/>
      <c r="VPR248" s="50"/>
      <c r="VPS248" s="50"/>
      <c r="VPT248" s="50"/>
      <c r="VPU248" s="50"/>
      <c r="VPV248" s="50"/>
      <c r="VPW248" s="50"/>
      <c r="VPX248" s="50"/>
      <c r="VPY248" s="50"/>
      <c r="VPZ248" s="50"/>
      <c r="VQA248" s="50"/>
      <c r="VQB248" s="50"/>
      <c r="VQC248" s="50"/>
      <c r="VQD248" s="50"/>
      <c r="VQE248" s="50"/>
      <c r="VQF248" s="50"/>
      <c r="VQG248" s="50"/>
      <c r="VQH248" s="50"/>
      <c r="VQI248" s="50"/>
      <c r="VQJ248" s="50"/>
      <c r="VQK248" s="50"/>
      <c r="VQL248" s="50"/>
      <c r="VQM248" s="50"/>
      <c r="VQN248" s="50"/>
      <c r="VQO248" s="50"/>
      <c r="VQP248" s="50"/>
      <c r="VQQ248" s="50"/>
      <c r="VQR248" s="50"/>
      <c r="VQS248" s="50"/>
      <c r="VQT248" s="50"/>
      <c r="VQU248" s="50"/>
      <c r="VQV248" s="50"/>
      <c r="VQW248" s="50"/>
      <c r="VQX248" s="50"/>
      <c r="VQY248" s="50"/>
      <c r="VQZ248" s="50"/>
      <c r="VRA248" s="50"/>
      <c r="VRB248" s="50"/>
      <c r="VRC248" s="50"/>
      <c r="VRD248" s="50"/>
      <c r="VRE248" s="50"/>
      <c r="VRF248" s="50"/>
      <c r="VRG248" s="50"/>
      <c r="VRH248" s="50"/>
      <c r="VRI248" s="50"/>
      <c r="VRJ248" s="50"/>
      <c r="VRK248" s="50"/>
      <c r="VRL248" s="50"/>
      <c r="VRM248" s="50"/>
      <c r="VRN248" s="50"/>
      <c r="VRO248" s="50"/>
      <c r="VRP248" s="50"/>
      <c r="VRQ248" s="50"/>
      <c r="VRR248" s="50"/>
      <c r="VRS248" s="50"/>
      <c r="VRT248" s="50"/>
      <c r="VRU248" s="50"/>
      <c r="VRV248" s="50"/>
      <c r="VRW248" s="50"/>
      <c r="VRX248" s="50"/>
      <c r="VRY248" s="50"/>
      <c r="VRZ248" s="50"/>
      <c r="VSA248" s="50"/>
      <c r="VSB248" s="50"/>
      <c r="VSC248" s="50"/>
      <c r="VSD248" s="50"/>
      <c r="VSE248" s="50"/>
      <c r="VSF248" s="50"/>
      <c r="VSG248" s="50"/>
      <c r="VSH248" s="50"/>
      <c r="VSI248" s="50"/>
      <c r="VSJ248" s="50"/>
      <c r="VSK248" s="50"/>
      <c r="VSL248" s="50"/>
      <c r="VSM248" s="50"/>
      <c r="VSN248" s="50"/>
      <c r="VSO248" s="50"/>
      <c r="VSP248" s="50"/>
      <c r="VSQ248" s="50"/>
      <c r="VSR248" s="50"/>
      <c r="VSS248" s="50"/>
      <c r="VST248" s="50"/>
      <c r="VSU248" s="50"/>
      <c r="VSV248" s="50"/>
      <c r="VSW248" s="50"/>
      <c r="VSX248" s="50"/>
      <c r="VSY248" s="50"/>
      <c r="VSZ248" s="50"/>
      <c r="VTA248" s="50"/>
      <c r="VTB248" s="50"/>
      <c r="VTC248" s="50"/>
      <c r="VTD248" s="50"/>
      <c r="VTE248" s="50"/>
      <c r="VTF248" s="50"/>
      <c r="VTG248" s="50"/>
      <c r="VTH248" s="50"/>
      <c r="VTI248" s="50"/>
      <c r="VTJ248" s="50"/>
      <c r="VTK248" s="50"/>
      <c r="VTL248" s="50"/>
      <c r="VTM248" s="50"/>
      <c r="VTN248" s="50"/>
      <c r="VTO248" s="50"/>
      <c r="VTP248" s="50"/>
      <c r="VTQ248" s="50"/>
      <c r="VTR248" s="50"/>
      <c r="VTS248" s="50"/>
      <c r="VTT248" s="50"/>
      <c r="VTU248" s="50"/>
      <c r="VTV248" s="50"/>
      <c r="VTW248" s="50"/>
      <c r="VTX248" s="50"/>
      <c r="VTY248" s="50"/>
      <c r="VTZ248" s="50"/>
      <c r="VUA248" s="50"/>
      <c r="VUB248" s="50"/>
      <c r="VUC248" s="50"/>
      <c r="VUD248" s="50"/>
      <c r="VUE248" s="50"/>
      <c r="VUF248" s="50"/>
      <c r="VUG248" s="50"/>
      <c r="VUH248" s="50"/>
      <c r="VUI248" s="50"/>
      <c r="VUJ248" s="50"/>
      <c r="VUK248" s="50"/>
      <c r="VUL248" s="50"/>
      <c r="VUM248" s="50"/>
      <c r="VUN248" s="50"/>
      <c r="VUO248" s="50"/>
      <c r="VUP248" s="50"/>
      <c r="VUQ248" s="50"/>
      <c r="VUR248" s="50"/>
      <c r="VUS248" s="50"/>
      <c r="VUT248" s="50"/>
      <c r="VUU248" s="50"/>
      <c r="VUV248" s="50"/>
      <c r="VUW248" s="50"/>
      <c r="VUX248" s="50"/>
      <c r="VUY248" s="50"/>
      <c r="VUZ248" s="50"/>
      <c r="VVA248" s="50"/>
      <c r="VVB248" s="50"/>
      <c r="VVC248" s="50"/>
      <c r="VVD248" s="50"/>
      <c r="VVE248" s="50"/>
      <c r="VVF248" s="50"/>
      <c r="VVG248" s="50"/>
      <c r="VVH248" s="50"/>
      <c r="VVI248" s="50"/>
      <c r="VVJ248" s="50"/>
      <c r="VVK248" s="50"/>
      <c r="VVL248" s="50"/>
      <c r="VVM248" s="50"/>
      <c r="VVN248" s="50"/>
      <c r="VVO248" s="50"/>
      <c r="VVP248" s="50"/>
    </row>
    <row r="249" spans="3:102 15068:15460" s="1" customFormat="1" x14ac:dyDescent="0.25">
      <c r="C249" s="92"/>
      <c r="D249" s="247" t="s">
        <v>3</v>
      </c>
      <c r="E249" s="246">
        <v>28770</v>
      </c>
      <c r="F249" s="258" t="s">
        <v>2</v>
      </c>
      <c r="G249" s="290">
        <v>26600</v>
      </c>
      <c r="H249" s="290">
        <v>26000</v>
      </c>
      <c r="I249" s="290">
        <v>24300</v>
      </c>
      <c r="J249" s="290">
        <v>23500</v>
      </c>
      <c r="K249" s="290">
        <v>23700</v>
      </c>
      <c r="L249" s="290">
        <v>25600</v>
      </c>
      <c r="M249" s="290">
        <v>22100</v>
      </c>
      <c r="N249" s="290">
        <v>22800</v>
      </c>
      <c r="O249" s="290">
        <v>22500</v>
      </c>
      <c r="P249" s="290">
        <v>23100</v>
      </c>
      <c r="Q249" s="290">
        <v>20900</v>
      </c>
      <c r="R249" s="290">
        <v>17400</v>
      </c>
      <c r="S249" s="290">
        <v>23200</v>
      </c>
      <c r="T249" s="290">
        <v>24200</v>
      </c>
      <c r="U249" s="290">
        <v>18700</v>
      </c>
      <c r="V249" s="290">
        <v>22100</v>
      </c>
      <c r="W249" s="290">
        <v>17200</v>
      </c>
      <c r="X249" s="290">
        <v>14100</v>
      </c>
      <c r="Y249" s="290">
        <v>15200</v>
      </c>
      <c r="Z249" s="290">
        <v>20400</v>
      </c>
      <c r="AA249" s="290">
        <v>24200</v>
      </c>
      <c r="AB249" s="290">
        <v>24000</v>
      </c>
      <c r="AC249" s="290">
        <v>22900</v>
      </c>
      <c r="AD249" s="290">
        <v>23500</v>
      </c>
      <c r="AE249" s="290">
        <v>22800</v>
      </c>
      <c r="AF249" s="290">
        <v>21900</v>
      </c>
      <c r="AG249" s="290">
        <v>22300</v>
      </c>
      <c r="AH249" s="290">
        <v>23000</v>
      </c>
      <c r="AI249" s="290">
        <v>21900</v>
      </c>
      <c r="AJ249" s="290">
        <v>21900</v>
      </c>
      <c r="AK249" s="290">
        <v>22700</v>
      </c>
      <c r="AL249" s="290"/>
      <c r="AN249" s="91">
        <f>SUM(G249:AL249)</f>
        <v>684700</v>
      </c>
      <c r="AO249" s="183">
        <f>AN249/4</f>
        <v>171175</v>
      </c>
      <c r="AP249" s="71"/>
      <c r="CX249" s="151"/>
      <c r="VGN249" s="50"/>
      <c r="VGO249" s="50"/>
      <c r="VGP249" s="50"/>
      <c r="VGQ249" s="50"/>
      <c r="VGR249" s="50"/>
      <c r="VGS249" s="50"/>
      <c r="VGT249" s="50"/>
      <c r="VGU249" s="50"/>
      <c r="VGV249" s="50"/>
      <c r="VGW249" s="50"/>
      <c r="VGX249" s="50"/>
      <c r="VGY249" s="50"/>
      <c r="VGZ249" s="50"/>
      <c r="VHA249" s="50"/>
      <c r="VHB249" s="50"/>
      <c r="VHC249" s="50"/>
      <c r="VHD249" s="50"/>
      <c r="VHE249" s="50"/>
      <c r="VHF249" s="50"/>
      <c r="VHG249" s="50"/>
      <c r="VHH249" s="50"/>
      <c r="VHI249" s="50"/>
      <c r="VHJ249" s="50"/>
      <c r="VHK249" s="50"/>
      <c r="VHL249" s="50"/>
      <c r="VHM249" s="50"/>
      <c r="VHN249" s="50"/>
      <c r="VHO249" s="50"/>
      <c r="VHP249" s="50"/>
      <c r="VHQ249" s="50"/>
      <c r="VHR249" s="50"/>
      <c r="VHS249" s="50"/>
      <c r="VHT249" s="50"/>
      <c r="VHU249" s="50"/>
      <c r="VHV249" s="50"/>
      <c r="VHW249" s="50"/>
      <c r="VHX249" s="50"/>
      <c r="VHY249" s="50"/>
      <c r="VHZ249" s="50"/>
      <c r="VIA249" s="50"/>
      <c r="VIB249" s="50"/>
      <c r="VIC249" s="50"/>
      <c r="VID249" s="50"/>
      <c r="VIE249" s="50"/>
      <c r="VIF249" s="50"/>
      <c r="VIG249" s="50"/>
      <c r="VIH249" s="50"/>
      <c r="VII249" s="50"/>
      <c r="VIJ249" s="50"/>
      <c r="VIK249" s="50"/>
      <c r="VIL249" s="50"/>
      <c r="VIM249" s="50"/>
      <c r="VIN249" s="50"/>
      <c r="VIO249" s="50"/>
      <c r="VIP249" s="50"/>
      <c r="VIQ249" s="50"/>
      <c r="VIR249" s="50"/>
      <c r="VIS249" s="50"/>
      <c r="VIT249" s="50"/>
      <c r="VIU249" s="50"/>
      <c r="VIV249" s="50"/>
      <c r="VIW249" s="50"/>
      <c r="VIX249" s="50"/>
      <c r="VIY249" s="50"/>
      <c r="VIZ249" s="50"/>
      <c r="VJA249" s="50"/>
      <c r="VJB249" s="50"/>
      <c r="VJC249" s="50"/>
      <c r="VJD249" s="50"/>
      <c r="VJE249" s="50"/>
      <c r="VJF249" s="50"/>
      <c r="VJG249" s="50"/>
      <c r="VJH249" s="50"/>
      <c r="VJI249" s="50"/>
      <c r="VJJ249" s="50"/>
      <c r="VJK249" s="50"/>
      <c r="VJL249" s="50"/>
      <c r="VJM249" s="50"/>
      <c r="VJN249" s="50"/>
      <c r="VJO249" s="50"/>
      <c r="VJP249" s="50"/>
      <c r="VJQ249" s="50"/>
      <c r="VJR249" s="50"/>
      <c r="VJS249" s="50"/>
      <c r="VJT249" s="50"/>
      <c r="VJU249" s="50"/>
      <c r="VJV249" s="50"/>
      <c r="VJW249" s="50"/>
      <c r="VJX249" s="50"/>
      <c r="VJY249" s="50"/>
      <c r="VJZ249" s="50"/>
      <c r="VKA249" s="50"/>
      <c r="VKB249" s="50"/>
      <c r="VKC249" s="50"/>
      <c r="VKD249" s="50"/>
      <c r="VKE249" s="50"/>
      <c r="VKF249" s="50"/>
      <c r="VKG249" s="50"/>
      <c r="VKH249" s="50"/>
      <c r="VKI249" s="50"/>
      <c r="VKJ249" s="50"/>
      <c r="VKK249" s="50"/>
      <c r="VKL249" s="50"/>
      <c r="VKM249" s="50"/>
      <c r="VKN249" s="50"/>
      <c r="VKO249" s="50"/>
      <c r="VKP249" s="50"/>
      <c r="VKQ249" s="50"/>
      <c r="VKR249" s="50"/>
      <c r="VKS249" s="50"/>
      <c r="VKT249" s="50"/>
      <c r="VKU249" s="50"/>
      <c r="VKV249" s="50"/>
      <c r="VKW249" s="50"/>
      <c r="VKX249" s="50"/>
      <c r="VKY249" s="50"/>
      <c r="VKZ249" s="50"/>
      <c r="VLA249" s="50"/>
      <c r="VLB249" s="50"/>
      <c r="VLC249" s="50"/>
      <c r="VLD249" s="50"/>
      <c r="VLE249" s="50"/>
      <c r="VLF249" s="50"/>
      <c r="VLG249" s="50"/>
      <c r="VLH249" s="50"/>
      <c r="VLI249" s="50"/>
      <c r="VLJ249" s="50"/>
      <c r="VLK249" s="50"/>
      <c r="VLL249" s="50"/>
      <c r="VLM249" s="50"/>
      <c r="VLN249" s="50"/>
      <c r="VLO249" s="50"/>
      <c r="VLP249" s="50"/>
      <c r="VLQ249" s="50"/>
      <c r="VLR249" s="50"/>
      <c r="VLS249" s="50"/>
      <c r="VLT249" s="50"/>
      <c r="VLU249" s="50"/>
      <c r="VLV249" s="50"/>
      <c r="VLW249" s="50"/>
      <c r="VLX249" s="50"/>
      <c r="VLY249" s="50"/>
      <c r="VLZ249" s="50"/>
      <c r="VMA249" s="50"/>
      <c r="VMB249" s="50"/>
      <c r="VMC249" s="50"/>
      <c r="VMD249" s="50"/>
      <c r="VME249" s="50"/>
      <c r="VMF249" s="50"/>
      <c r="VMG249" s="50"/>
      <c r="VMH249" s="50"/>
      <c r="VMI249" s="50"/>
      <c r="VMJ249" s="50"/>
      <c r="VMK249" s="50"/>
      <c r="VML249" s="50"/>
      <c r="VMM249" s="50"/>
      <c r="VMN249" s="50"/>
      <c r="VMO249" s="50"/>
      <c r="VMP249" s="50"/>
      <c r="VMQ249" s="50"/>
      <c r="VMR249" s="50"/>
      <c r="VMS249" s="50"/>
      <c r="VMT249" s="50"/>
      <c r="VMU249" s="50"/>
      <c r="VMV249" s="50"/>
      <c r="VMW249" s="50"/>
      <c r="VMX249" s="50"/>
      <c r="VMY249" s="50"/>
      <c r="VMZ249" s="50"/>
      <c r="VNA249" s="50"/>
      <c r="VNB249" s="50"/>
      <c r="VNC249" s="50"/>
      <c r="VND249" s="50"/>
      <c r="VNE249" s="50"/>
      <c r="VNF249" s="50"/>
      <c r="VNG249" s="50"/>
      <c r="VNH249" s="50"/>
      <c r="VNI249" s="50"/>
      <c r="VNJ249" s="50"/>
      <c r="VNK249" s="50"/>
      <c r="VNL249" s="50"/>
      <c r="VNM249" s="50"/>
      <c r="VNN249" s="50"/>
      <c r="VNO249" s="50"/>
      <c r="VNP249" s="50"/>
      <c r="VNQ249" s="50"/>
      <c r="VNR249" s="50"/>
      <c r="VNS249" s="50"/>
      <c r="VNT249" s="50"/>
      <c r="VNU249" s="50"/>
      <c r="VNV249" s="50"/>
      <c r="VNW249" s="50"/>
      <c r="VNX249" s="50"/>
      <c r="VNY249" s="50"/>
      <c r="VNZ249" s="50"/>
      <c r="VOA249" s="50"/>
      <c r="VOB249" s="50"/>
      <c r="VOC249" s="50"/>
      <c r="VOD249" s="50"/>
      <c r="VOE249" s="50"/>
      <c r="VOF249" s="50"/>
      <c r="VOG249" s="50"/>
      <c r="VOH249" s="50"/>
      <c r="VOI249" s="50"/>
      <c r="VOJ249" s="50"/>
      <c r="VOK249" s="50"/>
      <c r="VOL249" s="50"/>
      <c r="VOM249" s="50"/>
      <c r="VON249" s="50"/>
      <c r="VOO249" s="50"/>
      <c r="VOP249" s="50"/>
      <c r="VOQ249" s="50"/>
      <c r="VOR249" s="50"/>
      <c r="VOS249" s="50"/>
      <c r="VOT249" s="50"/>
      <c r="VOU249" s="50"/>
      <c r="VOV249" s="50"/>
      <c r="VOW249" s="50"/>
      <c r="VOX249" s="50"/>
      <c r="VOY249" s="50"/>
      <c r="VOZ249" s="50"/>
      <c r="VPA249" s="50"/>
      <c r="VPB249" s="50"/>
      <c r="VPC249" s="50"/>
      <c r="VPD249" s="50"/>
      <c r="VPE249" s="50"/>
      <c r="VPF249" s="50"/>
      <c r="VPG249" s="50"/>
      <c r="VPH249" s="50"/>
      <c r="VPI249" s="50"/>
      <c r="VPJ249" s="50"/>
      <c r="VPK249" s="50"/>
      <c r="VPL249" s="50"/>
      <c r="VPM249" s="50"/>
      <c r="VPN249" s="50"/>
      <c r="VPO249" s="50"/>
      <c r="VPP249" s="50"/>
      <c r="VPQ249" s="50"/>
      <c r="VPR249" s="50"/>
      <c r="VPS249" s="50"/>
      <c r="VPT249" s="50"/>
      <c r="VPU249" s="50"/>
      <c r="VPV249" s="50"/>
      <c r="VPW249" s="50"/>
      <c r="VPX249" s="50"/>
      <c r="VPY249" s="50"/>
      <c r="VPZ249" s="50"/>
      <c r="VQA249" s="50"/>
      <c r="VQB249" s="50"/>
      <c r="VQC249" s="50"/>
      <c r="VQD249" s="50"/>
      <c r="VQE249" s="50"/>
      <c r="VQF249" s="50"/>
      <c r="VQG249" s="50"/>
      <c r="VQH249" s="50"/>
      <c r="VQI249" s="50"/>
      <c r="VQJ249" s="50"/>
      <c r="VQK249" s="50"/>
      <c r="VQL249" s="50"/>
      <c r="VQM249" s="50"/>
      <c r="VQN249" s="50"/>
      <c r="VQO249" s="50"/>
      <c r="VQP249" s="50"/>
      <c r="VQQ249" s="50"/>
      <c r="VQR249" s="50"/>
      <c r="VQS249" s="50"/>
      <c r="VQT249" s="50"/>
      <c r="VQU249" s="50"/>
      <c r="VQV249" s="50"/>
      <c r="VQW249" s="50"/>
      <c r="VQX249" s="50"/>
      <c r="VQY249" s="50"/>
      <c r="VQZ249" s="50"/>
      <c r="VRA249" s="50"/>
      <c r="VRB249" s="50"/>
      <c r="VRC249" s="50"/>
      <c r="VRD249" s="50"/>
      <c r="VRE249" s="50"/>
      <c r="VRF249" s="50"/>
      <c r="VRG249" s="50"/>
      <c r="VRH249" s="50"/>
      <c r="VRI249" s="50"/>
      <c r="VRJ249" s="50"/>
      <c r="VRK249" s="50"/>
      <c r="VRL249" s="50"/>
      <c r="VRM249" s="50"/>
      <c r="VRN249" s="50"/>
      <c r="VRO249" s="50"/>
      <c r="VRP249" s="50"/>
      <c r="VRQ249" s="50"/>
      <c r="VRR249" s="50"/>
      <c r="VRS249" s="50"/>
      <c r="VRT249" s="50"/>
      <c r="VRU249" s="50"/>
      <c r="VRV249" s="50"/>
      <c r="VRW249" s="50"/>
      <c r="VRX249" s="50"/>
      <c r="VRY249" s="50"/>
      <c r="VRZ249" s="50"/>
      <c r="VSA249" s="50"/>
      <c r="VSB249" s="50"/>
      <c r="VSC249" s="50"/>
      <c r="VSD249" s="50"/>
      <c r="VSE249" s="50"/>
      <c r="VSF249" s="50"/>
      <c r="VSG249" s="50"/>
      <c r="VSH249" s="50"/>
      <c r="VSI249" s="50"/>
      <c r="VSJ249" s="50"/>
      <c r="VSK249" s="50"/>
      <c r="VSL249" s="50"/>
      <c r="VSM249" s="50"/>
      <c r="VSN249" s="50"/>
      <c r="VSO249" s="50"/>
      <c r="VSP249" s="50"/>
      <c r="VSQ249" s="50"/>
      <c r="VSR249" s="50"/>
      <c r="VSS249" s="50"/>
      <c r="VST249" s="50"/>
      <c r="VSU249" s="50"/>
      <c r="VSV249" s="50"/>
      <c r="VSW249" s="50"/>
      <c r="VSX249" s="50"/>
      <c r="VSY249" s="50"/>
      <c r="VSZ249" s="50"/>
      <c r="VTA249" s="50"/>
      <c r="VTB249" s="50"/>
      <c r="VTC249" s="50"/>
      <c r="VTD249" s="50"/>
      <c r="VTE249" s="50"/>
      <c r="VTF249" s="50"/>
      <c r="VTG249" s="50"/>
      <c r="VTH249" s="50"/>
      <c r="VTI249" s="50"/>
      <c r="VTJ249" s="50"/>
      <c r="VTK249" s="50"/>
      <c r="VTL249" s="50"/>
      <c r="VTM249" s="50"/>
      <c r="VTN249" s="50"/>
      <c r="VTO249" s="50"/>
      <c r="VTP249" s="50"/>
      <c r="VTQ249" s="50"/>
      <c r="VTR249" s="50"/>
      <c r="VTS249" s="50"/>
      <c r="VTT249" s="50"/>
      <c r="VTU249" s="50"/>
      <c r="VTV249" s="50"/>
      <c r="VTW249" s="50"/>
      <c r="VTX249" s="50"/>
      <c r="VTY249" s="50"/>
      <c r="VTZ249" s="50"/>
      <c r="VUA249" s="50"/>
      <c r="VUB249" s="50"/>
      <c r="VUC249" s="50"/>
      <c r="VUD249" s="50"/>
      <c r="VUE249" s="50"/>
      <c r="VUF249" s="50"/>
      <c r="VUG249" s="50"/>
      <c r="VUH249" s="50"/>
      <c r="VUI249" s="50"/>
      <c r="VUJ249" s="50"/>
      <c r="VUK249" s="50"/>
      <c r="VUL249" s="50"/>
      <c r="VUM249" s="50"/>
      <c r="VUN249" s="50"/>
      <c r="VUO249" s="50"/>
      <c r="VUP249" s="50"/>
      <c r="VUQ249" s="50"/>
      <c r="VUR249" s="50"/>
      <c r="VUS249" s="50"/>
      <c r="VUT249" s="50"/>
      <c r="VUU249" s="50"/>
      <c r="VUV249" s="50"/>
      <c r="VUW249" s="50"/>
      <c r="VUX249" s="50"/>
      <c r="VUY249" s="50"/>
      <c r="VUZ249" s="50"/>
      <c r="VVA249" s="50"/>
      <c r="VVB249" s="50"/>
      <c r="VVC249" s="50"/>
      <c r="VVD249" s="50"/>
      <c r="VVE249" s="50"/>
      <c r="VVF249" s="50"/>
      <c r="VVG249" s="50"/>
      <c r="VVH249" s="50"/>
      <c r="VVI249" s="50"/>
      <c r="VVJ249" s="50"/>
      <c r="VVK249" s="50"/>
      <c r="VVL249" s="50"/>
      <c r="VVM249" s="50"/>
      <c r="VVN249" s="50"/>
      <c r="VVO249" s="50"/>
      <c r="VVP249" s="50"/>
    </row>
    <row r="250" spans="3:102 15068:15460" s="1" customFormat="1" x14ac:dyDescent="0.25">
      <c r="C250" s="92"/>
      <c r="D250" s="132" t="s">
        <v>1</v>
      </c>
      <c r="E250" s="274"/>
      <c r="F250" s="78" t="s">
        <v>0</v>
      </c>
      <c r="G250" s="297">
        <f>G249</f>
        <v>26600</v>
      </c>
      <c r="H250" s="297">
        <f>H249</f>
        <v>26000</v>
      </c>
      <c r="I250" s="297">
        <f t="shared" ref="I250:AL250" si="133">I249</f>
        <v>24300</v>
      </c>
      <c r="J250" s="297">
        <f t="shared" si="133"/>
        <v>23500</v>
      </c>
      <c r="K250" s="297">
        <f t="shared" si="133"/>
        <v>23700</v>
      </c>
      <c r="L250" s="297">
        <f t="shared" si="133"/>
        <v>25600</v>
      </c>
      <c r="M250" s="297">
        <f t="shared" si="133"/>
        <v>22100</v>
      </c>
      <c r="N250" s="297">
        <f t="shared" ref="N250:P250" si="134">N249</f>
        <v>22800</v>
      </c>
      <c r="O250" s="297">
        <f t="shared" ref="O250" si="135">O249</f>
        <v>22500</v>
      </c>
      <c r="P250" s="297">
        <f t="shared" si="134"/>
        <v>23100</v>
      </c>
      <c r="Q250" s="297">
        <f t="shared" si="133"/>
        <v>20900</v>
      </c>
      <c r="R250" s="297">
        <f t="shared" si="133"/>
        <v>17400</v>
      </c>
      <c r="S250" s="297">
        <f t="shared" si="133"/>
        <v>23200</v>
      </c>
      <c r="T250" s="297">
        <f t="shared" si="133"/>
        <v>24200</v>
      </c>
      <c r="U250" s="297">
        <f t="shared" si="133"/>
        <v>18700</v>
      </c>
      <c r="V250" s="297">
        <f t="shared" si="133"/>
        <v>22100</v>
      </c>
      <c r="W250" s="297">
        <f t="shared" si="133"/>
        <v>17200</v>
      </c>
      <c r="X250" s="297">
        <f>X249</f>
        <v>14100</v>
      </c>
      <c r="Y250" s="297">
        <f t="shared" si="133"/>
        <v>15200</v>
      </c>
      <c r="Z250" s="297">
        <f t="shared" si="133"/>
        <v>20400</v>
      </c>
      <c r="AA250" s="297">
        <f t="shared" si="133"/>
        <v>24200</v>
      </c>
      <c r="AB250" s="297">
        <f t="shared" si="133"/>
        <v>24000</v>
      </c>
      <c r="AC250" s="297">
        <f t="shared" si="133"/>
        <v>22900</v>
      </c>
      <c r="AD250" s="297">
        <f t="shared" si="133"/>
        <v>23500</v>
      </c>
      <c r="AE250" s="297">
        <f t="shared" si="133"/>
        <v>22800</v>
      </c>
      <c r="AF250" s="297">
        <f t="shared" si="133"/>
        <v>21900</v>
      </c>
      <c r="AG250" s="297">
        <f t="shared" si="133"/>
        <v>22300</v>
      </c>
      <c r="AH250" s="297">
        <f t="shared" si="133"/>
        <v>23000</v>
      </c>
      <c r="AI250" s="297">
        <f t="shared" si="133"/>
        <v>21900</v>
      </c>
      <c r="AJ250" s="297">
        <f t="shared" si="133"/>
        <v>21900</v>
      </c>
      <c r="AK250" s="297">
        <f t="shared" si="133"/>
        <v>22700</v>
      </c>
      <c r="AL250" s="297">
        <f t="shared" si="133"/>
        <v>0</v>
      </c>
      <c r="AM250" s="71"/>
      <c r="AN250" s="91">
        <f>SUM(G250:AL250)</f>
        <v>684700</v>
      </c>
      <c r="CX250" s="151"/>
      <c r="VGN250" s="50"/>
      <c r="VGO250" s="50"/>
      <c r="VGP250" s="50"/>
      <c r="VGQ250" s="50"/>
      <c r="VGR250" s="50"/>
      <c r="VGS250" s="50"/>
      <c r="VGT250" s="50"/>
      <c r="VGU250" s="50"/>
      <c r="VGV250" s="50"/>
      <c r="VGW250" s="50"/>
      <c r="VGX250" s="50"/>
      <c r="VGY250" s="50"/>
      <c r="VGZ250" s="50"/>
      <c r="VHA250" s="50"/>
      <c r="VHB250" s="50"/>
      <c r="VHC250" s="50"/>
      <c r="VHD250" s="50"/>
      <c r="VHE250" s="50"/>
      <c r="VHF250" s="50"/>
      <c r="VHG250" s="50"/>
      <c r="VHH250" s="50"/>
      <c r="VHI250" s="50"/>
      <c r="VHJ250" s="50"/>
      <c r="VHK250" s="50"/>
      <c r="VHL250" s="50"/>
      <c r="VHM250" s="50"/>
      <c r="VHN250" s="50"/>
      <c r="VHO250" s="50"/>
      <c r="VHP250" s="50"/>
      <c r="VHQ250" s="50"/>
      <c r="VHR250" s="50"/>
      <c r="VHS250" s="50"/>
      <c r="VHT250" s="50"/>
      <c r="VHU250" s="50"/>
      <c r="VHV250" s="50"/>
      <c r="VHW250" s="50"/>
      <c r="VHX250" s="50"/>
      <c r="VHY250" s="50"/>
      <c r="VHZ250" s="50"/>
      <c r="VIA250" s="50"/>
      <c r="VIB250" s="50"/>
      <c r="VIC250" s="50"/>
      <c r="VID250" s="50"/>
      <c r="VIE250" s="50"/>
      <c r="VIF250" s="50"/>
      <c r="VIG250" s="50"/>
      <c r="VIH250" s="50"/>
      <c r="VII250" s="50"/>
      <c r="VIJ250" s="50"/>
      <c r="VIK250" s="50"/>
      <c r="VIL250" s="50"/>
      <c r="VIM250" s="50"/>
      <c r="VIN250" s="50"/>
      <c r="VIO250" s="50"/>
      <c r="VIP250" s="50"/>
      <c r="VIQ250" s="50"/>
      <c r="VIR250" s="50"/>
      <c r="VIS250" s="50"/>
      <c r="VIT250" s="50"/>
      <c r="VIU250" s="50"/>
      <c r="VIV250" s="50"/>
      <c r="VIW250" s="50"/>
      <c r="VIX250" s="50"/>
      <c r="VIY250" s="50"/>
      <c r="VIZ250" s="50"/>
      <c r="VJA250" s="50"/>
      <c r="VJB250" s="50"/>
      <c r="VJC250" s="50"/>
      <c r="VJD250" s="50"/>
      <c r="VJE250" s="50"/>
      <c r="VJF250" s="50"/>
      <c r="VJG250" s="50"/>
      <c r="VJH250" s="50"/>
      <c r="VJI250" s="50"/>
      <c r="VJJ250" s="50"/>
      <c r="VJK250" s="50"/>
      <c r="VJL250" s="50"/>
      <c r="VJM250" s="50"/>
      <c r="VJN250" s="50"/>
      <c r="VJO250" s="50"/>
      <c r="VJP250" s="50"/>
      <c r="VJQ250" s="50"/>
      <c r="VJR250" s="50"/>
      <c r="VJS250" s="50"/>
      <c r="VJT250" s="50"/>
      <c r="VJU250" s="50"/>
      <c r="VJV250" s="50"/>
      <c r="VJW250" s="50"/>
      <c r="VJX250" s="50"/>
      <c r="VJY250" s="50"/>
      <c r="VJZ250" s="50"/>
      <c r="VKA250" s="50"/>
      <c r="VKB250" s="50"/>
      <c r="VKC250" s="50"/>
      <c r="VKD250" s="50"/>
      <c r="VKE250" s="50"/>
      <c r="VKF250" s="50"/>
      <c r="VKG250" s="50"/>
      <c r="VKH250" s="50"/>
      <c r="VKI250" s="50"/>
      <c r="VKJ250" s="50"/>
      <c r="VKK250" s="50"/>
      <c r="VKL250" s="50"/>
      <c r="VKM250" s="50"/>
      <c r="VKN250" s="50"/>
      <c r="VKO250" s="50"/>
      <c r="VKP250" s="50"/>
      <c r="VKQ250" s="50"/>
      <c r="VKR250" s="50"/>
      <c r="VKS250" s="50"/>
      <c r="VKT250" s="50"/>
      <c r="VKU250" s="50"/>
      <c r="VKV250" s="50"/>
      <c r="VKW250" s="50"/>
      <c r="VKX250" s="50"/>
      <c r="VKY250" s="50"/>
      <c r="VKZ250" s="50"/>
      <c r="VLA250" s="50"/>
      <c r="VLB250" s="50"/>
      <c r="VLC250" s="50"/>
      <c r="VLD250" s="50"/>
      <c r="VLE250" s="50"/>
      <c r="VLF250" s="50"/>
      <c r="VLG250" s="50"/>
      <c r="VLH250" s="50"/>
      <c r="VLI250" s="50"/>
      <c r="VLJ250" s="50"/>
      <c r="VLK250" s="50"/>
      <c r="VLL250" s="50"/>
      <c r="VLM250" s="50"/>
      <c r="VLN250" s="50"/>
      <c r="VLO250" s="50"/>
      <c r="VLP250" s="50"/>
      <c r="VLQ250" s="50"/>
      <c r="VLR250" s="50"/>
      <c r="VLS250" s="50"/>
      <c r="VLT250" s="50"/>
      <c r="VLU250" s="50"/>
      <c r="VLV250" s="50"/>
      <c r="VLW250" s="50"/>
      <c r="VLX250" s="50"/>
      <c r="VLY250" s="50"/>
      <c r="VLZ250" s="50"/>
      <c r="VMA250" s="50"/>
      <c r="VMB250" s="50"/>
      <c r="VMC250" s="50"/>
      <c r="VMD250" s="50"/>
      <c r="VME250" s="50"/>
      <c r="VMF250" s="50"/>
      <c r="VMG250" s="50"/>
      <c r="VMH250" s="50"/>
      <c r="VMI250" s="50"/>
      <c r="VMJ250" s="50"/>
      <c r="VMK250" s="50"/>
      <c r="VML250" s="50"/>
      <c r="VMM250" s="50"/>
      <c r="VMN250" s="50"/>
      <c r="VMO250" s="50"/>
      <c r="VMP250" s="50"/>
      <c r="VMQ250" s="50"/>
      <c r="VMR250" s="50"/>
      <c r="VMS250" s="50"/>
      <c r="VMT250" s="50"/>
      <c r="VMU250" s="50"/>
      <c r="VMV250" s="50"/>
      <c r="VMW250" s="50"/>
      <c r="VMX250" s="50"/>
      <c r="VMY250" s="50"/>
      <c r="VMZ250" s="50"/>
      <c r="VNA250" s="50"/>
      <c r="VNB250" s="50"/>
      <c r="VNC250" s="50"/>
      <c r="VND250" s="50"/>
      <c r="VNE250" s="50"/>
      <c r="VNF250" s="50"/>
      <c r="VNG250" s="50"/>
      <c r="VNH250" s="50"/>
      <c r="VNI250" s="50"/>
      <c r="VNJ250" s="50"/>
      <c r="VNK250" s="50"/>
      <c r="VNL250" s="50"/>
      <c r="VNM250" s="50"/>
      <c r="VNN250" s="50"/>
      <c r="VNO250" s="50"/>
      <c r="VNP250" s="50"/>
      <c r="VNQ250" s="50"/>
      <c r="VNR250" s="50"/>
      <c r="VNS250" s="50"/>
      <c r="VNT250" s="50"/>
      <c r="VNU250" s="50"/>
      <c r="VNV250" s="50"/>
      <c r="VNW250" s="50"/>
      <c r="VNX250" s="50"/>
      <c r="VNY250" s="50"/>
      <c r="VNZ250" s="50"/>
      <c r="VOA250" s="50"/>
      <c r="VOB250" s="50"/>
      <c r="VOC250" s="50"/>
      <c r="VOD250" s="50"/>
      <c r="VOE250" s="50"/>
      <c r="VOF250" s="50"/>
      <c r="VOG250" s="50"/>
      <c r="VOH250" s="50"/>
      <c r="VOI250" s="50"/>
      <c r="VOJ250" s="50"/>
      <c r="VOK250" s="50"/>
      <c r="VOL250" s="50"/>
      <c r="VOM250" s="50"/>
      <c r="VON250" s="50"/>
      <c r="VOO250" s="50"/>
      <c r="VOP250" s="50"/>
      <c r="VOQ250" s="50"/>
      <c r="VOR250" s="50"/>
      <c r="VOS250" s="50"/>
      <c r="VOT250" s="50"/>
      <c r="VOU250" s="50"/>
      <c r="VOV250" s="50"/>
      <c r="VOW250" s="50"/>
      <c r="VOX250" s="50"/>
      <c r="VOY250" s="50"/>
      <c r="VOZ250" s="50"/>
      <c r="VPA250" s="50"/>
      <c r="VPB250" s="50"/>
      <c r="VPC250" s="50"/>
      <c r="VPD250" s="50"/>
      <c r="VPE250" s="50"/>
      <c r="VPF250" s="50"/>
      <c r="VPG250" s="50"/>
      <c r="VPH250" s="50"/>
      <c r="VPI250" s="50"/>
      <c r="VPJ250" s="50"/>
      <c r="VPK250" s="50"/>
      <c r="VPL250" s="50"/>
      <c r="VPM250" s="50"/>
      <c r="VPN250" s="50"/>
      <c r="VPO250" s="50"/>
      <c r="VPP250" s="50"/>
      <c r="VPQ250" s="50"/>
      <c r="VPR250" s="50"/>
      <c r="VPS250" s="50"/>
      <c r="VPT250" s="50"/>
      <c r="VPU250" s="50"/>
      <c r="VPV250" s="50"/>
      <c r="VPW250" s="50"/>
      <c r="VPX250" s="50"/>
      <c r="VPY250" s="50"/>
      <c r="VPZ250" s="50"/>
      <c r="VQA250" s="50"/>
      <c r="VQB250" s="50"/>
      <c r="VQC250" s="50"/>
      <c r="VQD250" s="50"/>
      <c r="VQE250" s="50"/>
      <c r="VQF250" s="50"/>
      <c r="VQG250" s="50"/>
      <c r="VQH250" s="50"/>
      <c r="VQI250" s="50"/>
      <c r="VQJ250" s="50"/>
      <c r="VQK250" s="50"/>
      <c r="VQL250" s="50"/>
      <c r="VQM250" s="50"/>
      <c r="VQN250" s="50"/>
      <c r="VQO250" s="50"/>
      <c r="VQP250" s="50"/>
      <c r="VQQ250" s="50"/>
      <c r="VQR250" s="50"/>
      <c r="VQS250" s="50"/>
      <c r="VQT250" s="50"/>
      <c r="VQU250" s="50"/>
      <c r="VQV250" s="50"/>
      <c r="VQW250" s="50"/>
      <c r="VQX250" s="50"/>
      <c r="VQY250" s="50"/>
      <c r="VQZ250" s="50"/>
      <c r="VRA250" s="50"/>
      <c r="VRB250" s="50"/>
      <c r="VRC250" s="50"/>
      <c r="VRD250" s="50"/>
      <c r="VRE250" s="50"/>
      <c r="VRF250" s="50"/>
      <c r="VRG250" s="50"/>
      <c r="VRH250" s="50"/>
      <c r="VRI250" s="50"/>
      <c r="VRJ250" s="50"/>
      <c r="VRK250" s="50"/>
      <c r="VRL250" s="50"/>
      <c r="VRM250" s="50"/>
      <c r="VRN250" s="50"/>
      <c r="VRO250" s="50"/>
      <c r="VRP250" s="50"/>
      <c r="VRQ250" s="50"/>
      <c r="VRR250" s="50"/>
      <c r="VRS250" s="50"/>
      <c r="VRT250" s="50"/>
      <c r="VRU250" s="50"/>
      <c r="VRV250" s="50"/>
      <c r="VRW250" s="50"/>
      <c r="VRX250" s="50"/>
      <c r="VRY250" s="50"/>
      <c r="VRZ250" s="50"/>
      <c r="VSA250" s="50"/>
      <c r="VSB250" s="50"/>
      <c r="VSC250" s="50"/>
      <c r="VSD250" s="50"/>
      <c r="VSE250" s="50"/>
      <c r="VSF250" s="50"/>
      <c r="VSG250" s="50"/>
      <c r="VSH250" s="50"/>
      <c r="VSI250" s="50"/>
      <c r="VSJ250" s="50"/>
      <c r="VSK250" s="50"/>
      <c r="VSL250" s="50"/>
      <c r="VSM250" s="50"/>
      <c r="VSN250" s="50"/>
      <c r="VSO250" s="50"/>
      <c r="VSP250" s="50"/>
      <c r="VSQ250" s="50"/>
      <c r="VSR250" s="50"/>
      <c r="VSS250" s="50"/>
      <c r="VST250" s="50"/>
      <c r="VSU250" s="50"/>
      <c r="VSV250" s="50"/>
      <c r="VSW250" s="50"/>
      <c r="VSX250" s="50"/>
      <c r="VSY250" s="50"/>
      <c r="VSZ250" s="50"/>
      <c r="VTA250" s="50"/>
      <c r="VTB250" s="50"/>
      <c r="VTC250" s="50"/>
      <c r="VTD250" s="50"/>
      <c r="VTE250" s="50"/>
      <c r="VTF250" s="50"/>
      <c r="VTG250" s="50"/>
      <c r="VTH250" s="50"/>
      <c r="VTI250" s="50"/>
      <c r="VTJ250" s="50"/>
      <c r="VTK250" s="50"/>
      <c r="VTL250" s="50"/>
      <c r="VTM250" s="50"/>
      <c r="VTN250" s="50"/>
      <c r="VTO250" s="50"/>
      <c r="VTP250" s="50"/>
      <c r="VTQ250" s="50"/>
      <c r="VTR250" s="50"/>
      <c r="VTS250" s="50"/>
      <c r="VTT250" s="50"/>
      <c r="VTU250" s="50"/>
      <c r="VTV250" s="50"/>
      <c r="VTW250" s="50"/>
      <c r="VTX250" s="50"/>
      <c r="VTY250" s="50"/>
      <c r="VTZ250" s="50"/>
      <c r="VUA250" s="50"/>
      <c r="VUB250" s="50"/>
      <c r="VUC250" s="50"/>
      <c r="VUD250" s="50"/>
      <c r="VUE250" s="50"/>
      <c r="VUF250" s="50"/>
      <c r="VUG250" s="50"/>
      <c r="VUH250" s="50"/>
      <c r="VUI250" s="50"/>
      <c r="VUJ250" s="50"/>
      <c r="VUK250" s="50"/>
      <c r="VUL250" s="50"/>
      <c r="VUM250" s="50"/>
      <c r="VUN250" s="50"/>
      <c r="VUO250" s="50"/>
      <c r="VUP250" s="50"/>
      <c r="VUQ250" s="50"/>
      <c r="VUR250" s="50"/>
      <c r="VUS250" s="50"/>
      <c r="VUT250" s="50"/>
      <c r="VUU250" s="50"/>
      <c r="VUV250" s="50"/>
      <c r="VUW250" s="50"/>
      <c r="VUX250" s="50"/>
      <c r="VUY250" s="50"/>
      <c r="VUZ250" s="50"/>
      <c r="VVA250" s="50"/>
      <c r="VVB250" s="50"/>
      <c r="VVC250" s="50"/>
      <c r="VVD250" s="50"/>
      <c r="VVE250" s="50"/>
      <c r="VVF250" s="50"/>
      <c r="VVG250" s="50"/>
      <c r="VVH250" s="50"/>
      <c r="VVI250" s="50"/>
      <c r="VVJ250" s="50"/>
      <c r="VVK250" s="50"/>
      <c r="VVL250" s="50"/>
      <c r="VVM250" s="50"/>
      <c r="VVN250" s="50"/>
      <c r="VVO250" s="50"/>
      <c r="VVP250" s="50"/>
    </row>
    <row r="251" spans="3:102 15068:15460" s="1" customFormat="1" x14ac:dyDescent="0.25">
      <c r="C251" s="92"/>
      <c r="D251" s="132" t="s">
        <v>16</v>
      </c>
      <c r="E251" s="274"/>
      <c r="F251" s="78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  <c r="Z251" s="297"/>
      <c r="AA251" s="297"/>
      <c r="AB251" s="297"/>
      <c r="AC251" s="297"/>
      <c r="AD251" s="297"/>
      <c r="AE251" s="297"/>
      <c r="AF251" s="297"/>
      <c r="AG251" s="297"/>
      <c r="AH251" s="297"/>
      <c r="AI251" s="297"/>
      <c r="AJ251" s="297"/>
      <c r="AK251" s="297"/>
      <c r="AL251" s="297"/>
      <c r="AM251" s="71"/>
      <c r="AN251" s="134" t="s">
        <v>16</v>
      </c>
      <c r="CX251" s="151"/>
      <c r="VGN251" s="50"/>
      <c r="VGO251" s="50"/>
      <c r="VGP251" s="50"/>
      <c r="VGQ251" s="50"/>
      <c r="VGR251" s="50"/>
      <c r="VGS251" s="50"/>
      <c r="VGT251" s="50"/>
      <c r="VGU251" s="50"/>
      <c r="VGV251" s="50"/>
      <c r="VGW251" s="50"/>
      <c r="VGX251" s="50"/>
      <c r="VGY251" s="50"/>
      <c r="VGZ251" s="50"/>
      <c r="VHA251" s="50"/>
      <c r="VHB251" s="50"/>
      <c r="VHC251" s="50"/>
      <c r="VHD251" s="50"/>
      <c r="VHE251" s="50"/>
      <c r="VHF251" s="50"/>
      <c r="VHG251" s="50"/>
      <c r="VHH251" s="50"/>
      <c r="VHI251" s="50"/>
      <c r="VHJ251" s="50"/>
      <c r="VHK251" s="50"/>
      <c r="VHL251" s="50"/>
      <c r="VHM251" s="50"/>
      <c r="VHN251" s="50"/>
      <c r="VHO251" s="50"/>
      <c r="VHP251" s="50"/>
      <c r="VHQ251" s="50"/>
      <c r="VHR251" s="50"/>
      <c r="VHS251" s="50"/>
      <c r="VHT251" s="50"/>
      <c r="VHU251" s="50"/>
      <c r="VHV251" s="50"/>
      <c r="VHW251" s="50"/>
      <c r="VHX251" s="50"/>
      <c r="VHY251" s="50"/>
      <c r="VHZ251" s="50"/>
      <c r="VIA251" s="50"/>
      <c r="VIB251" s="50"/>
      <c r="VIC251" s="50"/>
      <c r="VID251" s="50"/>
      <c r="VIE251" s="50"/>
      <c r="VIF251" s="50"/>
      <c r="VIG251" s="50"/>
      <c r="VIH251" s="50"/>
      <c r="VII251" s="50"/>
      <c r="VIJ251" s="50"/>
      <c r="VIK251" s="50"/>
      <c r="VIL251" s="50"/>
      <c r="VIM251" s="50"/>
      <c r="VIN251" s="50"/>
      <c r="VIO251" s="50"/>
      <c r="VIP251" s="50"/>
      <c r="VIQ251" s="50"/>
      <c r="VIR251" s="50"/>
      <c r="VIS251" s="50"/>
      <c r="VIT251" s="50"/>
      <c r="VIU251" s="50"/>
      <c r="VIV251" s="50"/>
      <c r="VIW251" s="50"/>
      <c r="VIX251" s="50"/>
      <c r="VIY251" s="50"/>
      <c r="VIZ251" s="50"/>
      <c r="VJA251" s="50"/>
      <c r="VJB251" s="50"/>
      <c r="VJC251" s="50"/>
      <c r="VJD251" s="50"/>
      <c r="VJE251" s="50"/>
      <c r="VJF251" s="50"/>
      <c r="VJG251" s="50"/>
      <c r="VJH251" s="50"/>
      <c r="VJI251" s="50"/>
      <c r="VJJ251" s="50"/>
      <c r="VJK251" s="50"/>
      <c r="VJL251" s="50"/>
      <c r="VJM251" s="50"/>
      <c r="VJN251" s="50"/>
      <c r="VJO251" s="50"/>
      <c r="VJP251" s="50"/>
      <c r="VJQ251" s="50"/>
      <c r="VJR251" s="50"/>
      <c r="VJS251" s="50"/>
      <c r="VJT251" s="50"/>
      <c r="VJU251" s="50"/>
      <c r="VJV251" s="50"/>
      <c r="VJW251" s="50"/>
      <c r="VJX251" s="50"/>
      <c r="VJY251" s="50"/>
      <c r="VJZ251" s="50"/>
      <c r="VKA251" s="50"/>
      <c r="VKB251" s="50"/>
      <c r="VKC251" s="50"/>
      <c r="VKD251" s="50"/>
      <c r="VKE251" s="50"/>
      <c r="VKF251" s="50"/>
      <c r="VKG251" s="50"/>
      <c r="VKH251" s="50"/>
      <c r="VKI251" s="50"/>
      <c r="VKJ251" s="50"/>
      <c r="VKK251" s="50"/>
      <c r="VKL251" s="50"/>
      <c r="VKM251" s="50"/>
      <c r="VKN251" s="50"/>
      <c r="VKO251" s="50"/>
      <c r="VKP251" s="50"/>
      <c r="VKQ251" s="50"/>
      <c r="VKR251" s="50"/>
      <c r="VKS251" s="50"/>
      <c r="VKT251" s="50"/>
      <c r="VKU251" s="50"/>
      <c r="VKV251" s="50"/>
      <c r="VKW251" s="50"/>
      <c r="VKX251" s="50"/>
      <c r="VKY251" s="50"/>
      <c r="VKZ251" s="50"/>
      <c r="VLA251" s="50"/>
      <c r="VLB251" s="50"/>
      <c r="VLC251" s="50"/>
      <c r="VLD251" s="50"/>
      <c r="VLE251" s="50"/>
      <c r="VLF251" s="50"/>
      <c r="VLG251" s="50"/>
      <c r="VLH251" s="50"/>
      <c r="VLI251" s="50"/>
      <c r="VLJ251" s="50"/>
      <c r="VLK251" s="50"/>
      <c r="VLL251" s="50"/>
      <c r="VLM251" s="50"/>
      <c r="VLN251" s="50"/>
      <c r="VLO251" s="50"/>
      <c r="VLP251" s="50"/>
      <c r="VLQ251" s="50"/>
      <c r="VLR251" s="50"/>
      <c r="VLS251" s="50"/>
      <c r="VLT251" s="50"/>
      <c r="VLU251" s="50"/>
      <c r="VLV251" s="50"/>
      <c r="VLW251" s="50"/>
      <c r="VLX251" s="50"/>
      <c r="VLY251" s="50"/>
      <c r="VLZ251" s="50"/>
      <c r="VMA251" s="50"/>
      <c r="VMB251" s="50"/>
      <c r="VMC251" s="50"/>
      <c r="VMD251" s="50"/>
      <c r="VME251" s="50"/>
      <c r="VMF251" s="50"/>
      <c r="VMG251" s="50"/>
      <c r="VMH251" s="50"/>
      <c r="VMI251" s="50"/>
      <c r="VMJ251" s="50"/>
      <c r="VMK251" s="50"/>
      <c r="VML251" s="50"/>
      <c r="VMM251" s="50"/>
      <c r="VMN251" s="50"/>
      <c r="VMO251" s="50"/>
      <c r="VMP251" s="50"/>
      <c r="VMQ251" s="50"/>
      <c r="VMR251" s="50"/>
      <c r="VMS251" s="50"/>
      <c r="VMT251" s="50"/>
      <c r="VMU251" s="50"/>
      <c r="VMV251" s="50"/>
      <c r="VMW251" s="50"/>
      <c r="VMX251" s="50"/>
      <c r="VMY251" s="50"/>
      <c r="VMZ251" s="50"/>
      <c r="VNA251" s="50"/>
      <c r="VNB251" s="50"/>
      <c r="VNC251" s="50"/>
      <c r="VND251" s="50"/>
      <c r="VNE251" s="50"/>
      <c r="VNF251" s="50"/>
      <c r="VNG251" s="50"/>
      <c r="VNH251" s="50"/>
      <c r="VNI251" s="50"/>
      <c r="VNJ251" s="50"/>
      <c r="VNK251" s="50"/>
      <c r="VNL251" s="50"/>
      <c r="VNM251" s="50"/>
      <c r="VNN251" s="50"/>
      <c r="VNO251" s="50"/>
      <c r="VNP251" s="50"/>
      <c r="VNQ251" s="50"/>
      <c r="VNR251" s="50"/>
      <c r="VNS251" s="50"/>
      <c r="VNT251" s="50"/>
      <c r="VNU251" s="50"/>
      <c r="VNV251" s="50"/>
      <c r="VNW251" s="50"/>
      <c r="VNX251" s="50"/>
      <c r="VNY251" s="50"/>
      <c r="VNZ251" s="50"/>
      <c r="VOA251" s="50"/>
      <c r="VOB251" s="50"/>
      <c r="VOC251" s="50"/>
      <c r="VOD251" s="50"/>
      <c r="VOE251" s="50"/>
      <c r="VOF251" s="50"/>
      <c r="VOG251" s="50"/>
      <c r="VOH251" s="50"/>
      <c r="VOI251" s="50"/>
      <c r="VOJ251" s="50"/>
      <c r="VOK251" s="50"/>
      <c r="VOL251" s="50"/>
      <c r="VOM251" s="50"/>
      <c r="VON251" s="50"/>
      <c r="VOO251" s="50"/>
      <c r="VOP251" s="50"/>
      <c r="VOQ251" s="50"/>
      <c r="VOR251" s="50"/>
      <c r="VOS251" s="50"/>
      <c r="VOT251" s="50"/>
      <c r="VOU251" s="50"/>
      <c r="VOV251" s="50"/>
      <c r="VOW251" s="50"/>
      <c r="VOX251" s="50"/>
      <c r="VOY251" s="50"/>
      <c r="VOZ251" s="50"/>
      <c r="VPA251" s="50"/>
      <c r="VPB251" s="50"/>
      <c r="VPC251" s="50"/>
      <c r="VPD251" s="50"/>
      <c r="VPE251" s="50"/>
      <c r="VPF251" s="50"/>
      <c r="VPG251" s="50"/>
      <c r="VPH251" s="50"/>
      <c r="VPI251" s="50"/>
      <c r="VPJ251" s="50"/>
      <c r="VPK251" s="50"/>
      <c r="VPL251" s="50"/>
      <c r="VPM251" s="50"/>
      <c r="VPN251" s="50"/>
      <c r="VPO251" s="50"/>
      <c r="VPP251" s="50"/>
      <c r="VPQ251" s="50"/>
      <c r="VPR251" s="50"/>
      <c r="VPS251" s="50"/>
      <c r="VPT251" s="50"/>
      <c r="VPU251" s="50"/>
      <c r="VPV251" s="50"/>
      <c r="VPW251" s="50"/>
      <c r="VPX251" s="50"/>
      <c r="VPY251" s="50"/>
      <c r="VPZ251" s="50"/>
      <c r="VQA251" s="50"/>
      <c r="VQB251" s="50"/>
      <c r="VQC251" s="50"/>
      <c r="VQD251" s="50"/>
      <c r="VQE251" s="50"/>
      <c r="VQF251" s="50"/>
      <c r="VQG251" s="50"/>
      <c r="VQH251" s="50"/>
      <c r="VQI251" s="50"/>
      <c r="VQJ251" s="50"/>
      <c r="VQK251" s="50"/>
      <c r="VQL251" s="50"/>
      <c r="VQM251" s="50"/>
      <c r="VQN251" s="50"/>
      <c r="VQO251" s="50"/>
      <c r="VQP251" s="50"/>
      <c r="VQQ251" s="50"/>
      <c r="VQR251" s="50"/>
      <c r="VQS251" s="50"/>
      <c r="VQT251" s="50"/>
      <c r="VQU251" s="50"/>
      <c r="VQV251" s="50"/>
      <c r="VQW251" s="50"/>
      <c r="VQX251" s="50"/>
      <c r="VQY251" s="50"/>
      <c r="VQZ251" s="50"/>
      <c r="VRA251" s="50"/>
      <c r="VRB251" s="50"/>
      <c r="VRC251" s="50"/>
      <c r="VRD251" s="50"/>
      <c r="VRE251" s="50"/>
      <c r="VRF251" s="50"/>
      <c r="VRG251" s="50"/>
      <c r="VRH251" s="50"/>
      <c r="VRI251" s="50"/>
      <c r="VRJ251" s="50"/>
      <c r="VRK251" s="50"/>
      <c r="VRL251" s="50"/>
      <c r="VRM251" s="50"/>
      <c r="VRN251" s="50"/>
      <c r="VRO251" s="50"/>
      <c r="VRP251" s="50"/>
      <c r="VRQ251" s="50"/>
      <c r="VRR251" s="50"/>
      <c r="VRS251" s="50"/>
      <c r="VRT251" s="50"/>
      <c r="VRU251" s="50"/>
      <c r="VRV251" s="50"/>
      <c r="VRW251" s="50"/>
      <c r="VRX251" s="50"/>
      <c r="VRY251" s="50"/>
      <c r="VRZ251" s="50"/>
      <c r="VSA251" s="50"/>
      <c r="VSB251" s="50"/>
      <c r="VSC251" s="50"/>
      <c r="VSD251" s="50"/>
      <c r="VSE251" s="50"/>
      <c r="VSF251" s="50"/>
      <c r="VSG251" s="50"/>
      <c r="VSH251" s="50"/>
      <c r="VSI251" s="50"/>
      <c r="VSJ251" s="50"/>
      <c r="VSK251" s="50"/>
      <c r="VSL251" s="50"/>
      <c r="VSM251" s="50"/>
      <c r="VSN251" s="50"/>
      <c r="VSO251" s="50"/>
      <c r="VSP251" s="50"/>
      <c r="VSQ251" s="50"/>
      <c r="VSR251" s="50"/>
      <c r="VSS251" s="50"/>
      <c r="VST251" s="50"/>
      <c r="VSU251" s="50"/>
      <c r="VSV251" s="50"/>
      <c r="VSW251" s="50"/>
      <c r="VSX251" s="50"/>
      <c r="VSY251" s="50"/>
      <c r="VSZ251" s="50"/>
      <c r="VTA251" s="50"/>
      <c r="VTB251" s="50"/>
      <c r="VTC251" s="50"/>
      <c r="VTD251" s="50"/>
      <c r="VTE251" s="50"/>
      <c r="VTF251" s="50"/>
      <c r="VTG251" s="50"/>
      <c r="VTH251" s="50"/>
      <c r="VTI251" s="50"/>
      <c r="VTJ251" s="50"/>
      <c r="VTK251" s="50"/>
      <c r="VTL251" s="50"/>
      <c r="VTM251" s="50"/>
      <c r="VTN251" s="50"/>
      <c r="VTO251" s="50"/>
      <c r="VTP251" s="50"/>
      <c r="VTQ251" s="50"/>
      <c r="VTR251" s="50"/>
      <c r="VTS251" s="50"/>
      <c r="VTT251" s="50"/>
      <c r="VTU251" s="50"/>
      <c r="VTV251" s="50"/>
      <c r="VTW251" s="50"/>
      <c r="VTX251" s="50"/>
      <c r="VTY251" s="50"/>
      <c r="VTZ251" s="50"/>
      <c r="VUA251" s="50"/>
      <c r="VUB251" s="50"/>
      <c r="VUC251" s="50"/>
      <c r="VUD251" s="50"/>
      <c r="VUE251" s="50"/>
      <c r="VUF251" s="50"/>
      <c r="VUG251" s="50"/>
      <c r="VUH251" s="50"/>
      <c r="VUI251" s="50"/>
      <c r="VUJ251" s="50"/>
      <c r="VUK251" s="50"/>
      <c r="VUL251" s="50"/>
      <c r="VUM251" s="50"/>
      <c r="VUN251" s="50"/>
      <c r="VUO251" s="50"/>
      <c r="VUP251" s="50"/>
      <c r="VUQ251" s="50"/>
      <c r="VUR251" s="50"/>
      <c r="VUS251" s="50"/>
      <c r="VUT251" s="50"/>
      <c r="VUU251" s="50"/>
      <c r="VUV251" s="50"/>
      <c r="VUW251" s="50"/>
      <c r="VUX251" s="50"/>
      <c r="VUY251" s="50"/>
      <c r="VUZ251" s="50"/>
      <c r="VVA251" s="50"/>
      <c r="VVB251" s="50"/>
      <c r="VVC251" s="50"/>
      <c r="VVD251" s="50"/>
      <c r="VVE251" s="50"/>
      <c r="VVF251" s="50"/>
      <c r="VVG251" s="50"/>
      <c r="VVH251" s="50"/>
      <c r="VVI251" s="50"/>
      <c r="VVJ251" s="50"/>
      <c r="VVK251" s="50"/>
      <c r="VVL251" s="50"/>
      <c r="VVM251" s="50"/>
      <c r="VVN251" s="50"/>
      <c r="VVO251" s="50"/>
      <c r="VVP251" s="50"/>
    </row>
    <row r="252" spans="3:102 15068:15460" x14ac:dyDescent="0.25">
      <c r="C252" s="15"/>
      <c r="D252" s="259" t="s">
        <v>120</v>
      </c>
      <c r="E252" s="279">
        <v>5404.17</v>
      </c>
      <c r="F252" s="258" t="s">
        <v>2</v>
      </c>
      <c r="G252" s="290">
        <v>4400</v>
      </c>
      <c r="H252" s="290">
        <v>4300</v>
      </c>
      <c r="I252" s="290">
        <v>4200</v>
      </c>
      <c r="J252" s="290">
        <v>4400</v>
      </c>
      <c r="K252" s="290">
        <v>2600</v>
      </c>
      <c r="L252" s="290">
        <v>3800</v>
      </c>
      <c r="M252" s="290">
        <v>2100</v>
      </c>
      <c r="N252" s="290">
        <v>2500</v>
      </c>
      <c r="O252" s="290">
        <v>3800</v>
      </c>
      <c r="P252" s="290">
        <v>4100</v>
      </c>
      <c r="Q252" s="290">
        <v>2600</v>
      </c>
      <c r="R252" s="290">
        <v>2300</v>
      </c>
      <c r="S252" s="290">
        <v>4600</v>
      </c>
      <c r="T252" s="290">
        <v>3200</v>
      </c>
      <c r="U252" s="290">
        <v>2700</v>
      </c>
      <c r="V252" s="290">
        <v>4300</v>
      </c>
      <c r="W252" s="290">
        <v>2610</v>
      </c>
      <c r="X252" s="290">
        <v>1400</v>
      </c>
      <c r="Y252" s="290">
        <v>1900</v>
      </c>
      <c r="Z252" s="290">
        <v>3500</v>
      </c>
      <c r="AA252" s="290">
        <v>4600</v>
      </c>
      <c r="AB252" s="290">
        <v>3900</v>
      </c>
      <c r="AC252" s="290">
        <v>4300</v>
      </c>
      <c r="AD252" s="290">
        <v>4500</v>
      </c>
      <c r="AE252" s="290">
        <v>4200</v>
      </c>
      <c r="AF252" s="290">
        <v>2300</v>
      </c>
      <c r="AG252" s="290">
        <v>3200</v>
      </c>
      <c r="AH252" s="290">
        <v>3600</v>
      </c>
      <c r="AI252" s="290">
        <v>3400</v>
      </c>
      <c r="AJ252" s="290">
        <v>2500</v>
      </c>
      <c r="AK252" s="290">
        <v>3100</v>
      </c>
      <c r="AL252" s="290"/>
      <c r="AN252" s="91">
        <f>SUM(G252:AL252)</f>
        <v>104910</v>
      </c>
    </row>
    <row r="253" spans="3:102 15068:15460" x14ac:dyDescent="0.25">
      <c r="C253" s="15"/>
      <c r="D253" s="259" t="s">
        <v>121</v>
      </c>
      <c r="E253" s="279">
        <v>3850.42</v>
      </c>
      <c r="F253" s="258" t="s">
        <v>2</v>
      </c>
      <c r="G253" s="290">
        <v>2690</v>
      </c>
      <c r="H253" s="290">
        <v>2920</v>
      </c>
      <c r="I253" s="290">
        <v>2710</v>
      </c>
      <c r="J253" s="290">
        <v>2810</v>
      </c>
      <c r="K253" s="290">
        <v>2720</v>
      </c>
      <c r="L253" s="290">
        <v>2760</v>
      </c>
      <c r="M253" s="290">
        <v>2660</v>
      </c>
      <c r="N253" s="290">
        <v>2670</v>
      </c>
      <c r="O253" s="290">
        <v>2730</v>
      </c>
      <c r="P253" s="290">
        <v>2850</v>
      </c>
      <c r="Q253" s="290">
        <v>894</v>
      </c>
      <c r="R253" s="290">
        <v>2540</v>
      </c>
      <c r="S253" s="290">
        <v>2820</v>
      </c>
      <c r="T253" s="290">
        <v>2460</v>
      </c>
      <c r="U253" s="290">
        <v>2520</v>
      </c>
      <c r="V253" s="290">
        <v>3280</v>
      </c>
      <c r="W253" s="290">
        <v>1800</v>
      </c>
      <c r="X253" s="290">
        <v>2660</v>
      </c>
      <c r="Y253" s="290">
        <v>2600</v>
      </c>
      <c r="Z253" s="290">
        <v>2600</v>
      </c>
      <c r="AA253" s="290">
        <v>2640</v>
      </c>
      <c r="AB253" s="290">
        <v>2760</v>
      </c>
      <c r="AC253" s="290">
        <v>2640</v>
      </c>
      <c r="AD253" s="290">
        <v>2650</v>
      </c>
      <c r="AE253" s="290">
        <v>2740</v>
      </c>
      <c r="AF253" s="290">
        <v>2630</v>
      </c>
      <c r="AG253" s="290">
        <v>2660</v>
      </c>
      <c r="AH253" s="290">
        <v>2630</v>
      </c>
      <c r="AI253" s="290">
        <v>2630</v>
      </c>
      <c r="AJ253" s="290">
        <v>2720</v>
      </c>
      <c r="AK253" s="290">
        <v>2560</v>
      </c>
      <c r="AL253" s="290"/>
      <c r="AN253" s="91">
        <f>SUM(G253:AL253)</f>
        <v>80954</v>
      </c>
    </row>
    <row r="254" spans="3:102 15068:15460" x14ac:dyDescent="0.25">
      <c r="C254" s="15"/>
      <c r="D254" s="47" t="s">
        <v>15</v>
      </c>
      <c r="E254" s="279"/>
      <c r="F254" s="48"/>
      <c r="G254" s="316"/>
      <c r="H254" s="316"/>
      <c r="I254" s="316"/>
      <c r="J254" s="316"/>
      <c r="K254" s="316"/>
      <c r="L254" s="316"/>
      <c r="M254" s="316"/>
      <c r="N254" s="316"/>
      <c r="O254" s="316"/>
      <c r="P254" s="316"/>
      <c r="Q254" s="316"/>
      <c r="R254" s="316"/>
      <c r="S254" s="316"/>
      <c r="T254" s="316"/>
      <c r="U254" s="316"/>
      <c r="V254" s="316"/>
      <c r="W254" s="316"/>
      <c r="X254" s="316"/>
      <c r="Y254" s="316"/>
      <c r="Z254" s="316"/>
      <c r="AA254" s="316"/>
      <c r="AB254" s="316"/>
      <c r="AC254" s="316"/>
      <c r="AD254" s="316"/>
      <c r="AE254" s="316"/>
      <c r="AF254" s="316"/>
      <c r="AG254" s="316"/>
      <c r="AH254" s="316"/>
      <c r="AI254" s="316"/>
      <c r="AJ254" s="316"/>
      <c r="AK254" s="316"/>
      <c r="AL254" s="316"/>
      <c r="AN254" s="135" t="s">
        <v>15</v>
      </c>
    </row>
    <row r="255" spans="3:102 15068:15460" x14ac:dyDescent="0.25">
      <c r="C255" s="15"/>
      <c r="D255" s="259" t="s">
        <v>122</v>
      </c>
      <c r="E255" s="279">
        <v>5759.67</v>
      </c>
      <c r="F255" s="258" t="s">
        <v>2</v>
      </c>
      <c r="G255" s="290">
        <v>4900</v>
      </c>
      <c r="H255" s="290">
        <v>4700</v>
      </c>
      <c r="I255" s="290">
        <v>4500</v>
      </c>
      <c r="J255" s="290">
        <v>4200</v>
      </c>
      <c r="K255" s="290">
        <v>4900</v>
      </c>
      <c r="L255" s="290">
        <v>5100</v>
      </c>
      <c r="M255" s="290">
        <v>4600</v>
      </c>
      <c r="N255" s="290">
        <v>4400</v>
      </c>
      <c r="O255" s="290">
        <v>3200</v>
      </c>
      <c r="P255" s="290">
        <v>4000</v>
      </c>
      <c r="Q255" s="290">
        <v>4100</v>
      </c>
      <c r="R255" s="290">
        <v>900</v>
      </c>
      <c r="S255" s="290">
        <v>2700</v>
      </c>
      <c r="T255" s="290">
        <v>3800</v>
      </c>
      <c r="U255" s="290">
        <v>2000</v>
      </c>
      <c r="V255" s="290">
        <v>3100</v>
      </c>
      <c r="W255" s="290">
        <v>1900</v>
      </c>
      <c r="X255" s="290">
        <v>0</v>
      </c>
      <c r="Y255" s="290">
        <v>100</v>
      </c>
      <c r="Z255" s="290">
        <v>1900</v>
      </c>
      <c r="AA255" s="290">
        <v>3700</v>
      </c>
      <c r="AB255" s="290">
        <v>4200</v>
      </c>
      <c r="AC255" s="290">
        <v>3100</v>
      </c>
      <c r="AD255" s="290">
        <v>3800</v>
      </c>
      <c r="AE255" s="290">
        <v>4200</v>
      </c>
      <c r="AF255" s="290">
        <v>4000</v>
      </c>
      <c r="AG255" s="290">
        <v>3900</v>
      </c>
      <c r="AH255" s="290">
        <v>3700</v>
      </c>
      <c r="AI255" s="290">
        <v>3600</v>
      </c>
      <c r="AJ255" s="290">
        <v>4300</v>
      </c>
      <c r="AK255" s="290">
        <v>4000</v>
      </c>
      <c r="AL255" s="290"/>
      <c r="AN255" s="91">
        <f>SUM(G255:AL255)</f>
        <v>107500</v>
      </c>
    </row>
    <row r="256" spans="3:102 15068:15460" x14ac:dyDescent="0.25">
      <c r="C256" s="15"/>
      <c r="D256" s="259" t="s">
        <v>121</v>
      </c>
      <c r="E256" s="279">
        <v>1308.96</v>
      </c>
      <c r="F256" s="258" t="s">
        <v>2</v>
      </c>
      <c r="G256" s="290">
        <v>1418</v>
      </c>
      <c r="H256" s="290">
        <v>1442</v>
      </c>
      <c r="I256" s="290">
        <v>1276</v>
      </c>
      <c r="J256" s="290">
        <v>1029</v>
      </c>
      <c r="K256" s="290">
        <v>1254</v>
      </c>
      <c r="L256" s="290">
        <v>1400</v>
      </c>
      <c r="M256" s="290">
        <v>1154</v>
      </c>
      <c r="N256" s="290">
        <v>1038</v>
      </c>
      <c r="O256" s="290">
        <v>780</v>
      </c>
      <c r="P256" s="290">
        <v>946</v>
      </c>
      <c r="Q256" s="290">
        <v>894</v>
      </c>
      <c r="R256" s="290">
        <v>215</v>
      </c>
      <c r="S256" s="290">
        <v>683</v>
      </c>
      <c r="T256" s="290">
        <v>856</v>
      </c>
      <c r="U256" s="290">
        <v>528</v>
      </c>
      <c r="V256" s="290">
        <v>902</v>
      </c>
      <c r="W256" s="290">
        <v>552</v>
      </c>
      <c r="X256" s="290">
        <v>24</v>
      </c>
      <c r="Y256" s="290">
        <v>1</v>
      </c>
      <c r="Z256" s="290">
        <v>481</v>
      </c>
      <c r="AA256" s="290">
        <v>973</v>
      </c>
      <c r="AB256" s="290">
        <v>966</v>
      </c>
      <c r="AC256" s="290">
        <v>792</v>
      </c>
      <c r="AD256" s="290">
        <v>849</v>
      </c>
      <c r="AE256" s="290">
        <v>925</v>
      </c>
      <c r="AF256" s="290">
        <v>930</v>
      </c>
      <c r="AG256" s="290">
        <v>902</v>
      </c>
      <c r="AH256" s="290">
        <v>944</v>
      </c>
      <c r="AI256" s="290">
        <v>735</v>
      </c>
      <c r="AJ256" s="290">
        <v>962</v>
      </c>
      <c r="AK256" s="290">
        <v>949</v>
      </c>
      <c r="AL256" s="290"/>
      <c r="AN256" s="91">
        <f>SUM(G256:AL256)</f>
        <v>26800</v>
      </c>
    </row>
    <row r="257" spans="3:40" x14ac:dyDescent="0.25">
      <c r="C257" s="15"/>
      <c r="D257" s="47" t="s">
        <v>7</v>
      </c>
      <c r="E257" s="279"/>
      <c r="F257" s="70"/>
      <c r="G257" s="316"/>
      <c r="H257" s="316"/>
      <c r="I257" s="316"/>
      <c r="J257" s="316"/>
      <c r="K257" s="316"/>
      <c r="L257" s="316"/>
      <c r="M257" s="316"/>
      <c r="N257" s="316"/>
      <c r="O257" s="316"/>
      <c r="P257" s="316"/>
      <c r="Q257" s="316"/>
      <c r="R257" s="316"/>
      <c r="S257" s="316"/>
      <c r="T257" s="316"/>
      <c r="U257" s="316"/>
      <c r="V257" s="316"/>
      <c r="W257" s="316"/>
      <c r="X257" s="316"/>
      <c r="Y257" s="316"/>
      <c r="Z257" s="316"/>
      <c r="AA257" s="316"/>
      <c r="AB257" s="316"/>
      <c r="AC257" s="316"/>
      <c r="AD257" s="316"/>
      <c r="AE257" s="316"/>
      <c r="AF257" s="316"/>
      <c r="AG257" s="316"/>
      <c r="AH257" s="316"/>
      <c r="AI257" s="316"/>
      <c r="AJ257" s="316"/>
      <c r="AK257" s="316"/>
      <c r="AL257" s="316"/>
      <c r="AN257" s="135" t="s">
        <v>7</v>
      </c>
    </row>
    <row r="258" spans="3:40" x14ac:dyDescent="0.25">
      <c r="C258" s="15"/>
      <c r="D258" s="259" t="s">
        <v>123</v>
      </c>
      <c r="E258" s="279">
        <v>11.81</v>
      </c>
      <c r="F258" s="258" t="s">
        <v>2</v>
      </c>
      <c r="G258" s="257">
        <v>19.16</v>
      </c>
      <c r="H258" s="257">
        <v>33.549999999999997</v>
      </c>
      <c r="I258" s="257">
        <v>17.14</v>
      </c>
      <c r="J258" s="257">
        <v>26.24</v>
      </c>
      <c r="K258" s="257">
        <v>12.11</v>
      </c>
      <c r="L258" s="257">
        <v>20.46</v>
      </c>
      <c r="M258" s="257">
        <v>17.87</v>
      </c>
      <c r="N258" s="257">
        <v>26.87</v>
      </c>
      <c r="O258" s="257">
        <v>13.79</v>
      </c>
      <c r="P258" s="257">
        <v>21.02</v>
      </c>
      <c r="Q258" s="257">
        <v>22.84</v>
      </c>
      <c r="R258" s="257">
        <v>2.79</v>
      </c>
      <c r="S258" s="257">
        <v>16.46</v>
      </c>
      <c r="T258" s="257">
        <v>18.23</v>
      </c>
      <c r="U258" s="257">
        <v>8.5299999999999994</v>
      </c>
      <c r="V258" s="257">
        <v>10.39</v>
      </c>
      <c r="W258" s="257">
        <v>6.3</v>
      </c>
      <c r="X258" s="257">
        <v>2.79</v>
      </c>
      <c r="Y258" s="257">
        <v>5.95</v>
      </c>
      <c r="Z258" s="257">
        <v>5.8</v>
      </c>
      <c r="AA258" s="257">
        <v>18.66</v>
      </c>
      <c r="AB258" s="257">
        <v>13.88</v>
      </c>
      <c r="AC258" s="257">
        <v>50.35</v>
      </c>
      <c r="AD258" s="257">
        <v>48.29</v>
      </c>
      <c r="AE258" s="257">
        <v>40.549999999999997</v>
      </c>
      <c r="AF258" s="257">
        <v>32.36</v>
      </c>
      <c r="AG258" s="257">
        <v>22.28</v>
      </c>
      <c r="AH258" s="257">
        <v>0.69</v>
      </c>
      <c r="AI258" s="257">
        <v>18.899999999999999</v>
      </c>
      <c r="AJ258" s="257">
        <v>23.54</v>
      </c>
      <c r="AK258" s="257">
        <v>22.76</v>
      </c>
      <c r="AL258" s="257"/>
      <c r="AN258" s="91">
        <f>SUM(G258:AL258)</f>
        <v>600.55000000000007</v>
      </c>
    </row>
    <row r="259" spans="3:40" ht="15.75" thickBot="1" x14ac:dyDescent="0.3">
      <c r="C259" s="19"/>
      <c r="D259" s="260" t="s">
        <v>124</v>
      </c>
      <c r="E259" s="280">
        <v>241.12</v>
      </c>
      <c r="F259" s="261" t="s">
        <v>2</v>
      </c>
      <c r="G259" s="317">
        <v>261.2</v>
      </c>
      <c r="H259" s="317">
        <v>271.8</v>
      </c>
      <c r="I259" s="317">
        <v>256.60000000000002</v>
      </c>
      <c r="J259" s="317">
        <v>270.3</v>
      </c>
      <c r="K259" s="317">
        <v>265.10000000000002</v>
      </c>
      <c r="L259" s="317">
        <v>263.10000000000002</v>
      </c>
      <c r="M259" s="317">
        <v>246</v>
      </c>
      <c r="N259" s="317">
        <v>255.6</v>
      </c>
      <c r="O259" s="317">
        <v>262.89999999999998</v>
      </c>
      <c r="P259" s="317">
        <v>256.3</v>
      </c>
      <c r="Q259" s="317">
        <v>234.4</v>
      </c>
      <c r="R259" s="317">
        <v>245</v>
      </c>
      <c r="S259" s="317">
        <v>247.3</v>
      </c>
      <c r="T259" s="317">
        <v>228.8</v>
      </c>
      <c r="U259" s="317">
        <v>243.8</v>
      </c>
      <c r="V259" s="317">
        <v>301.10000000000002</v>
      </c>
      <c r="W259" s="317">
        <v>262.7</v>
      </c>
      <c r="X259" s="317">
        <v>234.4</v>
      </c>
      <c r="Y259" s="317">
        <v>238.6</v>
      </c>
      <c r="Z259" s="317">
        <v>240.8</v>
      </c>
      <c r="AA259" s="317">
        <v>260.2</v>
      </c>
      <c r="AB259" s="317">
        <v>261.10000000000002</v>
      </c>
      <c r="AC259" s="317">
        <v>247</v>
      </c>
      <c r="AD259" s="317">
        <v>236</v>
      </c>
      <c r="AE259" s="317">
        <v>257.39999999999998</v>
      </c>
      <c r="AF259" s="317">
        <v>251.7</v>
      </c>
      <c r="AG259" s="317">
        <v>246.3</v>
      </c>
      <c r="AH259" s="317">
        <v>259</v>
      </c>
      <c r="AI259" s="317">
        <v>248.2</v>
      </c>
      <c r="AJ259" s="317">
        <v>265.39999999999998</v>
      </c>
      <c r="AK259" s="317">
        <v>246.5</v>
      </c>
      <c r="AL259" s="317"/>
      <c r="AN259" s="281">
        <f>SUM(G259:AL259)</f>
        <v>7864.6</v>
      </c>
    </row>
    <row r="282" spans="3:102 15068:15460" s="1" customFormat="1" x14ac:dyDescent="0.25">
      <c r="C282" s="5"/>
      <c r="F282" s="2"/>
      <c r="Z282" s="49"/>
      <c r="CX282" s="151"/>
      <c r="VGN282" s="50"/>
      <c r="VGO282" s="50"/>
      <c r="VGP282" s="50"/>
      <c r="VGQ282" s="50"/>
      <c r="VGR282" s="50"/>
      <c r="VGS282" s="50"/>
      <c r="VGT282" s="50"/>
      <c r="VGU282" s="50"/>
      <c r="VGV282" s="50"/>
      <c r="VGW282" s="50"/>
      <c r="VGX282" s="50"/>
      <c r="VGY282" s="50"/>
      <c r="VGZ282" s="50"/>
      <c r="VHA282" s="50"/>
      <c r="VHB282" s="50"/>
      <c r="VHC282" s="50"/>
      <c r="VHD282" s="50"/>
      <c r="VHE282" s="50"/>
      <c r="VHF282" s="50"/>
      <c r="VHG282" s="50"/>
      <c r="VHH282" s="50"/>
      <c r="VHI282" s="50"/>
      <c r="VHJ282" s="50"/>
      <c r="VHK282" s="50"/>
      <c r="VHL282" s="50"/>
      <c r="VHM282" s="50"/>
      <c r="VHN282" s="50"/>
      <c r="VHO282" s="50"/>
      <c r="VHP282" s="50"/>
      <c r="VHQ282" s="50"/>
      <c r="VHR282" s="50"/>
      <c r="VHS282" s="50"/>
      <c r="VHT282" s="50"/>
      <c r="VHU282" s="50"/>
      <c r="VHV282" s="50"/>
      <c r="VHW282" s="50"/>
      <c r="VHX282" s="50"/>
      <c r="VHY282" s="50"/>
      <c r="VHZ282" s="50"/>
      <c r="VIA282" s="50"/>
      <c r="VIB282" s="50"/>
      <c r="VIC282" s="50"/>
      <c r="VID282" s="50"/>
      <c r="VIE282" s="50"/>
      <c r="VIF282" s="50"/>
      <c r="VIG282" s="50"/>
      <c r="VIH282" s="50"/>
      <c r="VII282" s="50"/>
      <c r="VIJ282" s="50"/>
      <c r="VIK282" s="50"/>
      <c r="VIL282" s="50"/>
      <c r="VIM282" s="50"/>
      <c r="VIN282" s="50"/>
      <c r="VIO282" s="50"/>
      <c r="VIP282" s="50"/>
      <c r="VIQ282" s="50"/>
      <c r="VIR282" s="50"/>
      <c r="VIS282" s="50"/>
      <c r="VIT282" s="50"/>
      <c r="VIU282" s="50"/>
      <c r="VIV282" s="50"/>
      <c r="VIW282" s="50"/>
      <c r="VIX282" s="50"/>
      <c r="VIY282" s="50"/>
      <c r="VIZ282" s="50"/>
      <c r="VJA282" s="50"/>
      <c r="VJB282" s="50"/>
      <c r="VJC282" s="50"/>
      <c r="VJD282" s="50"/>
      <c r="VJE282" s="50"/>
      <c r="VJF282" s="50"/>
      <c r="VJG282" s="50"/>
      <c r="VJH282" s="50"/>
      <c r="VJI282" s="50"/>
      <c r="VJJ282" s="50"/>
      <c r="VJK282" s="50"/>
      <c r="VJL282" s="50"/>
      <c r="VJM282" s="50"/>
      <c r="VJN282" s="50"/>
      <c r="VJO282" s="50"/>
      <c r="VJP282" s="50"/>
      <c r="VJQ282" s="50"/>
      <c r="VJR282" s="50"/>
      <c r="VJS282" s="50"/>
      <c r="VJT282" s="50"/>
      <c r="VJU282" s="50"/>
      <c r="VJV282" s="50"/>
      <c r="VJW282" s="50"/>
      <c r="VJX282" s="50"/>
      <c r="VJY282" s="50"/>
      <c r="VJZ282" s="50"/>
      <c r="VKA282" s="50"/>
      <c r="VKB282" s="50"/>
      <c r="VKC282" s="50"/>
      <c r="VKD282" s="50"/>
      <c r="VKE282" s="50"/>
      <c r="VKF282" s="50"/>
      <c r="VKG282" s="50"/>
      <c r="VKH282" s="50"/>
      <c r="VKI282" s="50"/>
      <c r="VKJ282" s="50"/>
      <c r="VKK282" s="50"/>
      <c r="VKL282" s="50"/>
      <c r="VKM282" s="50"/>
      <c r="VKN282" s="50"/>
      <c r="VKO282" s="50"/>
      <c r="VKP282" s="50"/>
      <c r="VKQ282" s="50"/>
      <c r="VKR282" s="50"/>
      <c r="VKS282" s="50"/>
      <c r="VKT282" s="50"/>
      <c r="VKU282" s="50"/>
      <c r="VKV282" s="50"/>
      <c r="VKW282" s="50"/>
      <c r="VKX282" s="50"/>
      <c r="VKY282" s="50"/>
      <c r="VKZ282" s="50"/>
      <c r="VLA282" s="50"/>
      <c r="VLB282" s="50"/>
      <c r="VLC282" s="50"/>
      <c r="VLD282" s="50"/>
      <c r="VLE282" s="50"/>
      <c r="VLF282" s="50"/>
      <c r="VLG282" s="50"/>
      <c r="VLH282" s="50"/>
      <c r="VLI282" s="50"/>
      <c r="VLJ282" s="50"/>
      <c r="VLK282" s="50"/>
      <c r="VLL282" s="50"/>
      <c r="VLM282" s="50"/>
      <c r="VLN282" s="50"/>
      <c r="VLO282" s="50"/>
      <c r="VLP282" s="50"/>
      <c r="VLQ282" s="50"/>
      <c r="VLR282" s="50"/>
      <c r="VLS282" s="50"/>
      <c r="VLT282" s="50"/>
      <c r="VLU282" s="50"/>
      <c r="VLV282" s="50"/>
      <c r="VLW282" s="50"/>
      <c r="VLX282" s="50"/>
      <c r="VLY282" s="50"/>
      <c r="VLZ282" s="50"/>
      <c r="VMA282" s="50"/>
      <c r="VMB282" s="50"/>
      <c r="VMC282" s="50"/>
      <c r="VMD282" s="50"/>
      <c r="VME282" s="50"/>
      <c r="VMF282" s="50"/>
      <c r="VMG282" s="50"/>
      <c r="VMH282" s="50"/>
      <c r="VMI282" s="50"/>
      <c r="VMJ282" s="50"/>
      <c r="VMK282" s="50"/>
      <c r="VML282" s="50"/>
      <c r="VMM282" s="50"/>
      <c r="VMN282" s="50"/>
      <c r="VMO282" s="50"/>
      <c r="VMP282" s="50"/>
      <c r="VMQ282" s="50"/>
      <c r="VMR282" s="50"/>
      <c r="VMS282" s="50"/>
      <c r="VMT282" s="50"/>
      <c r="VMU282" s="50"/>
      <c r="VMV282" s="50"/>
      <c r="VMW282" s="50"/>
      <c r="VMX282" s="50"/>
      <c r="VMY282" s="50"/>
      <c r="VMZ282" s="50"/>
      <c r="VNA282" s="50"/>
      <c r="VNB282" s="50"/>
      <c r="VNC282" s="50"/>
      <c r="VND282" s="50"/>
      <c r="VNE282" s="50"/>
      <c r="VNF282" s="50"/>
      <c r="VNG282" s="50"/>
      <c r="VNH282" s="50"/>
      <c r="VNI282" s="50"/>
      <c r="VNJ282" s="50"/>
      <c r="VNK282" s="50"/>
      <c r="VNL282" s="50"/>
      <c r="VNM282" s="50"/>
      <c r="VNN282" s="50"/>
      <c r="VNO282" s="50"/>
      <c r="VNP282" s="50"/>
      <c r="VNQ282" s="50"/>
      <c r="VNR282" s="50"/>
      <c r="VNS282" s="50"/>
      <c r="VNT282" s="50"/>
      <c r="VNU282" s="50"/>
      <c r="VNV282" s="50"/>
      <c r="VNW282" s="50"/>
      <c r="VNX282" s="50"/>
      <c r="VNY282" s="50"/>
      <c r="VNZ282" s="50"/>
      <c r="VOA282" s="50"/>
      <c r="VOB282" s="50"/>
      <c r="VOC282" s="50"/>
      <c r="VOD282" s="50"/>
      <c r="VOE282" s="50"/>
      <c r="VOF282" s="50"/>
      <c r="VOG282" s="50"/>
      <c r="VOH282" s="50"/>
      <c r="VOI282" s="50"/>
      <c r="VOJ282" s="50"/>
      <c r="VOK282" s="50"/>
      <c r="VOL282" s="50"/>
      <c r="VOM282" s="50"/>
      <c r="VON282" s="50"/>
      <c r="VOO282" s="50"/>
      <c r="VOP282" s="50"/>
      <c r="VOQ282" s="50"/>
      <c r="VOR282" s="50"/>
      <c r="VOS282" s="50"/>
      <c r="VOT282" s="50"/>
      <c r="VOU282" s="50"/>
      <c r="VOV282" s="50"/>
      <c r="VOW282" s="50"/>
      <c r="VOX282" s="50"/>
      <c r="VOY282" s="50"/>
      <c r="VOZ282" s="50"/>
      <c r="VPA282" s="50"/>
      <c r="VPB282" s="50"/>
      <c r="VPC282" s="50"/>
      <c r="VPD282" s="50"/>
      <c r="VPE282" s="50"/>
      <c r="VPF282" s="50"/>
      <c r="VPG282" s="50"/>
      <c r="VPH282" s="50"/>
      <c r="VPI282" s="50"/>
      <c r="VPJ282" s="50"/>
      <c r="VPK282" s="50"/>
      <c r="VPL282" s="50"/>
      <c r="VPM282" s="50"/>
      <c r="VPN282" s="50"/>
      <c r="VPO282" s="50"/>
      <c r="VPP282" s="50"/>
      <c r="VPQ282" s="50"/>
      <c r="VPR282" s="50"/>
      <c r="VPS282" s="50"/>
      <c r="VPT282" s="50"/>
      <c r="VPU282" s="50"/>
      <c r="VPV282" s="50"/>
      <c r="VPW282" s="50"/>
      <c r="VPX282" s="50"/>
      <c r="VPY282" s="50"/>
      <c r="VPZ282" s="50"/>
      <c r="VQA282" s="50"/>
      <c r="VQB282" s="50"/>
      <c r="VQC282" s="50"/>
      <c r="VQD282" s="50"/>
      <c r="VQE282" s="50"/>
      <c r="VQF282" s="50"/>
      <c r="VQG282" s="50"/>
      <c r="VQH282" s="50"/>
      <c r="VQI282" s="50"/>
      <c r="VQJ282" s="50"/>
      <c r="VQK282" s="50"/>
      <c r="VQL282" s="50"/>
      <c r="VQM282" s="50"/>
      <c r="VQN282" s="50"/>
      <c r="VQO282" s="50"/>
      <c r="VQP282" s="50"/>
      <c r="VQQ282" s="50"/>
      <c r="VQR282" s="50"/>
      <c r="VQS282" s="50"/>
      <c r="VQT282" s="50"/>
      <c r="VQU282" s="50"/>
      <c r="VQV282" s="50"/>
      <c r="VQW282" s="50"/>
      <c r="VQX282" s="50"/>
      <c r="VQY282" s="50"/>
      <c r="VQZ282" s="50"/>
      <c r="VRA282" s="50"/>
      <c r="VRB282" s="50"/>
      <c r="VRC282" s="50"/>
      <c r="VRD282" s="50"/>
      <c r="VRE282" s="50"/>
      <c r="VRF282" s="50"/>
      <c r="VRG282" s="50"/>
      <c r="VRH282" s="50"/>
      <c r="VRI282" s="50"/>
      <c r="VRJ282" s="50"/>
      <c r="VRK282" s="50"/>
      <c r="VRL282" s="50"/>
      <c r="VRM282" s="50"/>
      <c r="VRN282" s="50"/>
      <c r="VRO282" s="50"/>
      <c r="VRP282" s="50"/>
      <c r="VRQ282" s="50"/>
      <c r="VRR282" s="50"/>
      <c r="VRS282" s="50"/>
      <c r="VRT282" s="50"/>
      <c r="VRU282" s="50"/>
      <c r="VRV282" s="50"/>
      <c r="VRW282" s="50"/>
      <c r="VRX282" s="50"/>
      <c r="VRY282" s="50"/>
      <c r="VRZ282" s="50"/>
      <c r="VSA282" s="50"/>
      <c r="VSB282" s="50"/>
      <c r="VSC282" s="50"/>
      <c r="VSD282" s="50"/>
      <c r="VSE282" s="50"/>
      <c r="VSF282" s="50"/>
      <c r="VSG282" s="50"/>
      <c r="VSH282" s="50"/>
      <c r="VSI282" s="50"/>
      <c r="VSJ282" s="50"/>
      <c r="VSK282" s="50"/>
      <c r="VSL282" s="50"/>
      <c r="VSM282" s="50"/>
      <c r="VSN282" s="50"/>
      <c r="VSO282" s="50"/>
      <c r="VSP282" s="50"/>
      <c r="VSQ282" s="50"/>
      <c r="VSR282" s="50"/>
      <c r="VSS282" s="50"/>
      <c r="VST282" s="50"/>
      <c r="VSU282" s="50"/>
      <c r="VSV282" s="50"/>
      <c r="VSW282" s="50"/>
      <c r="VSX282" s="50"/>
      <c r="VSY282" s="50"/>
      <c r="VSZ282" s="50"/>
      <c r="VTA282" s="50"/>
      <c r="VTB282" s="50"/>
      <c r="VTC282" s="50"/>
      <c r="VTD282" s="50"/>
      <c r="VTE282" s="50"/>
      <c r="VTF282" s="50"/>
      <c r="VTG282" s="50"/>
      <c r="VTH282" s="50"/>
      <c r="VTI282" s="50"/>
      <c r="VTJ282" s="50"/>
      <c r="VTK282" s="50"/>
      <c r="VTL282" s="50"/>
      <c r="VTM282" s="50"/>
      <c r="VTN282" s="50"/>
      <c r="VTO282" s="50"/>
      <c r="VTP282" s="50"/>
      <c r="VTQ282" s="50"/>
      <c r="VTR282" s="50"/>
      <c r="VTS282" s="50"/>
      <c r="VTT282" s="50"/>
      <c r="VTU282" s="50"/>
      <c r="VTV282" s="50"/>
      <c r="VTW282" s="50"/>
      <c r="VTX282" s="50"/>
      <c r="VTY282" s="50"/>
      <c r="VTZ282" s="50"/>
      <c r="VUA282" s="50"/>
      <c r="VUB282" s="50"/>
      <c r="VUC282" s="50"/>
      <c r="VUD282" s="50"/>
      <c r="VUE282" s="50"/>
      <c r="VUF282" s="50"/>
      <c r="VUG282" s="50"/>
      <c r="VUH282" s="50"/>
      <c r="VUI282" s="50"/>
      <c r="VUJ282" s="50"/>
      <c r="VUK282" s="50"/>
      <c r="VUL282" s="50"/>
      <c r="VUM282" s="50"/>
      <c r="VUN282" s="50"/>
      <c r="VUO282" s="50"/>
      <c r="VUP282" s="50"/>
      <c r="VUQ282" s="50"/>
      <c r="VUR282" s="50"/>
      <c r="VUS282" s="50"/>
      <c r="VUT282" s="50"/>
      <c r="VUU282" s="50"/>
      <c r="VUV282" s="50"/>
      <c r="VUW282" s="50"/>
      <c r="VUX282" s="50"/>
      <c r="VUY282" s="50"/>
      <c r="VUZ282" s="50"/>
      <c r="VVA282" s="50"/>
      <c r="VVB282" s="50"/>
      <c r="VVC282" s="50"/>
      <c r="VVD282" s="50"/>
      <c r="VVE282" s="50"/>
      <c r="VVF282" s="50"/>
      <c r="VVG282" s="50"/>
      <c r="VVH282" s="50"/>
      <c r="VVI282" s="50"/>
      <c r="VVJ282" s="50"/>
      <c r="VVK282" s="50"/>
      <c r="VVL282" s="50"/>
      <c r="VVM282" s="50"/>
      <c r="VVN282" s="50"/>
      <c r="VVO282" s="50"/>
      <c r="VVP282" s="50"/>
    </row>
  </sheetData>
  <mergeCells count="7">
    <mergeCell ref="C1:U1"/>
    <mergeCell ref="G2:U2"/>
    <mergeCell ref="C2:C3"/>
    <mergeCell ref="D2:D3"/>
    <mergeCell ref="E2:E3"/>
    <mergeCell ref="F2:F3"/>
    <mergeCell ref="AN2:AN3"/>
  </mergeCells>
  <pageMargins left="0" right="0" top="0.39370078740157483" bottom="0" header="0.31496062992125984" footer="0.31496062992125984"/>
  <pageSetup paperSize="9" scale="53" orientation="landscape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D7BD-BE8C-45D9-ABC8-33784094BAC2}">
  <dimension ref="B1:AS52"/>
  <sheetViews>
    <sheetView workbookViewId="0">
      <selection activeCell="M10" sqref="M10"/>
    </sheetView>
  </sheetViews>
  <sheetFormatPr defaultColWidth="8.7109375" defaultRowHeight="15" x14ac:dyDescent="0.25"/>
  <cols>
    <col min="1" max="1" width="5.28515625" style="391" customWidth="1"/>
    <col min="2" max="2" width="4" style="391" customWidth="1"/>
    <col min="3" max="3" width="31.28515625" style="391" customWidth="1"/>
    <col min="4" max="4" width="15.28515625" style="391" bestFit="1" customWidth="1"/>
    <col min="5" max="5" width="14.7109375" style="391" customWidth="1"/>
    <col min="6" max="6" width="13" style="391" customWidth="1"/>
    <col min="7" max="7" width="11.28515625" style="391" customWidth="1"/>
    <col min="8" max="8" width="7.42578125" style="391" customWidth="1"/>
    <col min="9" max="9" width="4" style="391" customWidth="1"/>
    <col min="10" max="10" width="15.28515625" style="391" customWidth="1"/>
    <col min="11" max="11" width="10.28515625" style="391" customWidth="1"/>
    <col min="12" max="12" width="7" style="391" customWidth="1"/>
    <col min="13" max="13" width="18.7109375" style="391" customWidth="1"/>
    <col min="14" max="14" width="9.7109375" style="391" customWidth="1"/>
    <col min="15" max="15" width="8.7109375" style="391"/>
    <col min="16" max="16" width="10.7109375" style="391" customWidth="1"/>
    <col min="17" max="18" width="0" style="391" hidden="1" customWidth="1"/>
    <col min="19" max="19" width="10.85546875" style="391" bestFit="1" customWidth="1"/>
    <col min="20" max="20" width="17.5703125" style="391" hidden="1" customWidth="1"/>
    <col min="21" max="22" width="0" style="391" hidden="1" customWidth="1"/>
    <col min="23" max="23" width="15.28515625" style="391" hidden="1" customWidth="1"/>
    <col min="24" max="24" width="17" style="391" hidden="1" customWidth="1"/>
    <col min="25" max="26" width="0" style="391" hidden="1" customWidth="1"/>
    <col min="27" max="28" width="9.42578125" style="391" hidden="1" customWidth="1"/>
    <col min="29" max="32" width="0" style="391" hidden="1" customWidth="1"/>
    <col min="33" max="33" width="12.28515625" style="391" bestFit="1" customWidth="1"/>
    <col min="34" max="34" width="8.7109375" style="391"/>
    <col min="35" max="35" width="13.7109375" style="391" bestFit="1" customWidth="1"/>
    <col min="36" max="16384" width="8.7109375" style="391"/>
  </cols>
  <sheetData>
    <row r="1" spans="2:28" ht="6.6" customHeight="1" x14ac:dyDescent="0.25"/>
    <row r="2" spans="2:28" ht="25.15" customHeight="1" x14ac:dyDescent="0.25">
      <c r="B2" s="392" t="s">
        <v>224</v>
      </c>
      <c r="C2" s="393"/>
      <c r="D2" s="394"/>
      <c r="E2" s="394"/>
      <c r="F2" s="395"/>
      <c r="G2" s="395"/>
      <c r="H2" s="395"/>
      <c r="I2" s="395"/>
      <c r="J2" s="395"/>
      <c r="K2" s="394"/>
      <c r="L2" s="394"/>
      <c r="M2" s="394"/>
      <c r="N2" s="394"/>
      <c r="O2" s="394"/>
      <c r="P2" s="394"/>
    </row>
    <row r="3" spans="2:28" ht="26.25" customHeight="1" x14ac:dyDescent="0.25">
      <c r="B3" s="396" t="s">
        <v>100</v>
      </c>
      <c r="C3" s="397" t="s">
        <v>225</v>
      </c>
      <c r="D3" s="1091" t="s">
        <v>226</v>
      </c>
      <c r="E3" s="1091"/>
      <c r="F3" s="1092" t="s">
        <v>227</v>
      </c>
      <c r="G3" s="1092"/>
      <c r="H3" s="1093" t="s">
        <v>228</v>
      </c>
      <c r="I3" s="1094"/>
      <c r="J3" s="398" t="s">
        <v>229</v>
      </c>
      <c r="K3" s="1095" t="s">
        <v>230</v>
      </c>
      <c r="L3" s="1096"/>
      <c r="M3" s="396" t="s">
        <v>231</v>
      </c>
      <c r="N3" s="396" t="s">
        <v>232</v>
      </c>
      <c r="O3" s="396" t="s">
        <v>233</v>
      </c>
      <c r="P3" s="396" t="s">
        <v>234</v>
      </c>
      <c r="T3" s="399"/>
    </row>
    <row r="4" spans="2:28" x14ac:dyDescent="0.25">
      <c r="B4" s="400" t="s">
        <v>235</v>
      </c>
      <c r="C4" s="401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3">
        <f>'Agustus - 2024'!AQ7</f>
        <v>0</v>
      </c>
      <c r="P4" s="404" t="s">
        <v>236</v>
      </c>
      <c r="Z4" s="405"/>
    </row>
    <row r="5" spans="2:28" x14ac:dyDescent="0.25">
      <c r="B5" s="406" t="s">
        <v>237</v>
      </c>
      <c r="C5" s="407"/>
      <c r="D5" s="408"/>
      <c r="E5" s="408"/>
      <c r="F5" s="408"/>
      <c r="G5" s="408"/>
      <c r="H5" s="408"/>
      <c r="I5" s="408"/>
      <c r="J5" s="408"/>
      <c r="K5" s="408"/>
      <c r="L5" s="408"/>
      <c r="M5" s="408"/>
      <c r="N5" s="408"/>
      <c r="O5" s="409">
        <v>18</v>
      </c>
      <c r="P5" s="410" t="s">
        <v>236</v>
      </c>
    </row>
    <row r="6" spans="2:28" x14ac:dyDescent="0.25">
      <c r="B6" s="411" t="s">
        <v>238</v>
      </c>
      <c r="C6" s="408"/>
      <c r="D6" s="408"/>
      <c r="E6" s="408"/>
      <c r="F6" s="408"/>
      <c r="G6" s="408"/>
      <c r="H6" s="408"/>
      <c r="I6" s="408"/>
      <c r="J6" s="408"/>
      <c r="K6" s="408"/>
      <c r="L6" s="408"/>
      <c r="M6" s="408"/>
      <c r="N6" s="408"/>
      <c r="O6" s="409">
        <v>300</v>
      </c>
      <c r="P6" s="410" t="s">
        <v>236</v>
      </c>
    </row>
    <row r="7" spans="2:28" x14ac:dyDescent="0.25">
      <c r="B7" s="411" t="s">
        <v>239</v>
      </c>
      <c r="C7" s="408"/>
      <c r="D7" s="408"/>
      <c r="E7" s="408"/>
      <c r="F7" s="408"/>
      <c r="G7" s="408"/>
      <c r="H7" s="408"/>
      <c r="I7" s="408"/>
      <c r="J7" s="408"/>
      <c r="K7" s="408"/>
      <c r="L7" s="408"/>
      <c r="M7" s="408"/>
      <c r="N7" s="408"/>
      <c r="O7" s="409">
        <f>[15]Formula!G6</f>
        <v>0</v>
      </c>
      <c r="P7" s="410" t="s">
        <v>236</v>
      </c>
    </row>
    <row r="8" spans="2:28" x14ac:dyDescent="0.25">
      <c r="B8" s="411" t="s">
        <v>240</v>
      </c>
      <c r="C8" s="408"/>
      <c r="D8" s="408"/>
      <c r="E8" s="408"/>
      <c r="F8" s="408"/>
      <c r="G8" s="408"/>
      <c r="H8" s="408"/>
      <c r="I8" s="408"/>
      <c r="J8" s="408"/>
      <c r="K8" s="408"/>
      <c r="L8" s="408"/>
      <c r="M8" s="408"/>
      <c r="N8" s="408"/>
      <c r="O8" s="409">
        <v>600000</v>
      </c>
      <c r="P8" s="410" t="s">
        <v>241</v>
      </c>
    </row>
    <row r="9" spans="2:28" x14ac:dyDescent="0.25">
      <c r="B9" s="412" t="s">
        <v>242</v>
      </c>
      <c r="C9" s="413"/>
      <c r="D9" s="413"/>
      <c r="E9" s="413"/>
      <c r="F9" s="413"/>
      <c r="G9" s="413"/>
      <c r="H9" s="413"/>
      <c r="I9" s="413"/>
      <c r="J9" s="413"/>
      <c r="K9" s="413"/>
      <c r="L9" s="413"/>
      <c r="M9" s="413"/>
      <c r="N9" s="413"/>
      <c r="O9" s="414">
        <v>16200</v>
      </c>
      <c r="P9" s="415" t="s">
        <v>243</v>
      </c>
    </row>
    <row r="10" spans="2:28" x14ac:dyDescent="0.25">
      <c r="B10" s="416">
        <v>1</v>
      </c>
      <c r="C10" s="417" t="s">
        <v>244</v>
      </c>
      <c r="D10" s="595">
        <f>'Agustus - 2024'!AN63</f>
        <v>1.1201462814261758</v>
      </c>
      <c r="E10" s="418" t="s">
        <v>327</v>
      </c>
      <c r="F10" s="419">
        <f>D10*$O$4*1000</f>
        <v>0</v>
      </c>
      <c r="G10" s="419" t="s">
        <v>245</v>
      </c>
      <c r="H10" s="419">
        <f>O5</f>
        <v>18</v>
      </c>
      <c r="I10" s="419"/>
      <c r="J10" s="419">
        <f>H10*F10</f>
        <v>0</v>
      </c>
      <c r="K10" s="420">
        <v>2750</v>
      </c>
      <c r="L10" s="420"/>
      <c r="M10" s="419">
        <f>K10*J10</f>
        <v>0</v>
      </c>
      <c r="N10" s="421" t="e">
        <f>M10/($O$5*$O$4*1000)</f>
        <v>#DIV/0!</v>
      </c>
      <c r="O10" s="419">
        <f>O9</f>
        <v>16200</v>
      </c>
      <c r="P10" s="421" t="e">
        <f>(M10/O10)/($O$4*$O$5)</f>
        <v>#DIV/0!</v>
      </c>
      <c r="Q10" s="422">
        <v>44.1</v>
      </c>
      <c r="R10" s="422">
        <v>3.0413793103448277</v>
      </c>
      <c r="T10" s="419"/>
      <c r="U10" s="419"/>
      <c r="V10" s="419"/>
      <c r="W10" s="419"/>
      <c r="X10" s="419"/>
      <c r="Y10" s="421"/>
    </row>
    <row r="11" spans="2:28" x14ac:dyDescent="0.25">
      <c r="B11" s="423">
        <v>2</v>
      </c>
      <c r="C11" s="424" t="s">
        <v>246</v>
      </c>
      <c r="D11" s="431">
        <f>'Agustus - 2024'!AN67</f>
        <v>5.087347260277475E-2</v>
      </c>
      <c r="E11" s="425" t="s">
        <v>327</v>
      </c>
      <c r="F11" s="426">
        <f>D11*$O$4*1000</f>
        <v>0</v>
      </c>
      <c r="G11" s="426" t="s">
        <v>245</v>
      </c>
      <c r="H11" s="426">
        <f>O5</f>
        <v>18</v>
      </c>
      <c r="I11" s="426"/>
      <c r="J11" s="426">
        <f>H11*F11</f>
        <v>0</v>
      </c>
      <c r="K11" s="427">
        <v>18100</v>
      </c>
      <c r="L11" s="427"/>
      <c r="M11" s="426">
        <f>K11*J11</f>
        <v>0</v>
      </c>
      <c r="N11" s="428" t="e">
        <f t="shared" ref="N11:N12" si="0">M11/($O$5*$O$4*1000)</f>
        <v>#DIV/0!</v>
      </c>
      <c r="O11" s="426">
        <f>O10</f>
        <v>16200</v>
      </c>
      <c r="P11" s="428" t="e">
        <f>(M11/O11)/($O$4*$O$5)</f>
        <v>#DIV/0!</v>
      </c>
      <c r="Q11" s="422">
        <v>9.35</v>
      </c>
      <c r="R11" s="422">
        <v>0.64482758620689662</v>
      </c>
      <c r="T11" s="426"/>
      <c r="U11" s="426"/>
      <c r="V11" s="426"/>
      <c r="W11" s="426"/>
      <c r="X11" s="419"/>
      <c r="Y11" s="428"/>
      <c r="AA11" s="429"/>
      <c r="AB11" s="430"/>
    </row>
    <row r="12" spans="2:28" x14ac:dyDescent="0.25">
      <c r="B12" s="423">
        <v>3</v>
      </c>
      <c r="C12" s="424" t="s">
        <v>247</v>
      </c>
      <c r="D12" s="431">
        <f>(35*25)/30</f>
        <v>29.166666666666668</v>
      </c>
      <c r="E12" s="426" t="s">
        <v>248</v>
      </c>
      <c r="F12" s="426">
        <f>D12</f>
        <v>29.166666666666668</v>
      </c>
      <c r="G12" s="426" t="s">
        <v>248</v>
      </c>
      <c r="H12" s="426">
        <f>O5</f>
        <v>18</v>
      </c>
      <c r="I12" s="426"/>
      <c r="J12" s="426">
        <f>H12*F12</f>
        <v>525</v>
      </c>
      <c r="K12" s="427">
        <v>15700</v>
      </c>
      <c r="L12" s="427"/>
      <c r="M12" s="426">
        <f>K12*J12</f>
        <v>8242500</v>
      </c>
      <c r="N12" s="428" t="e">
        <f t="shared" si="0"/>
        <v>#DIV/0!</v>
      </c>
      <c r="O12" s="426">
        <f>O11</f>
        <v>16200</v>
      </c>
      <c r="P12" s="428" t="e">
        <f>(M12/O12)/($O$4*$O$5)</f>
        <v>#DIV/0!</v>
      </c>
      <c r="Q12" s="422"/>
      <c r="R12" s="422"/>
      <c r="T12" s="426"/>
      <c r="U12" s="426"/>
      <c r="V12" s="426"/>
      <c r="W12" s="426"/>
      <c r="X12" s="419"/>
      <c r="Y12" s="428"/>
      <c r="AA12" s="429"/>
      <c r="AB12" s="430"/>
    </row>
    <row r="13" spans="2:28" x14ac:dyDescent="0.25">
      <c r="B13" s="432">
        <v>4</v>
      </c>
      <c r="C13" s="424" t="s">
        <v>249</v>
      </c>
      <c r="D13" s="428"/>
      <c r="E13" s="425"/>
      <c r="F13" s="426"/>
      <c r="G13" s="426"/>
      <c r="H13" s="426"/>
      <c r="I13" s="426"/>
      <c r="J13" s="426"/>
      <c r="K13" s="427"/>
      <c r="L13" s="427"/>
      <c r="M13" s="426"/>
      <c r="N13" s="428"/>
      <c r="O13" s="426"/>
      <c r="P13" s="428"/>
      <c r="Q13" s="422">
        <v>32</v>
      </c>
      <c r="R13" s="422">
        <v>2.2068965517241379</v>
      </c>
      <c r="T13" s="426"/>
      <c r="U13" s="426"/>
      <c r="V13" s="426"/>
      <c r="W13" s="426"/>
      <c r="X13" s="419"/>
      <c r="Y13" s="428"/>
      <c r="AA13" s="429"/>
    </row>
    <row r="14" spans="2:28" x14ac:dyDescent="0.25">
      <c r="B14" s="433"/>
      <c r="C14" s="434" t="s">
        <v>250</v>
      </c>
      <c r="D14" s="428">
        <v>0.18</v>
      </c>
      <c r="E14" s="425" t="s">
        <v>251</v>
      </c>
      <c r="F14" s="426">
        <f>D14*O4</f>
        <v>0</v>
      </c>
      <c r="G14" s="426" t="s">
        <v>252</v>
      </c>
      <c r="H14" s="426">
        <f>O5</f>
        <v>18</v>
      </c>
      <c r="I14" s="426"/>
      <c r="J14" s="426">
        <f>H14*F14</f>
        <v>0</v>
      </c>
      <c r="K14" s="427">
        <f>L14*O9</f>
        <v>205740</v>
      </c>
      <c r="L14" s="435">
        <v>12.7</v>
      </c>
      <c r="M14" s="426">
        <f t="shared" ref="M14:M16" si="1">K14*J14</f>
        <v>0</v>
      </c>
      <c r="N14" s="428" t="e">
        <f t="shared" ref="N14:N16" si="2">M14/($O$5*$O$4*1000)</f>
        <v>#DIV/0!</v>
      </c>
      <c r="O14" s="426">
        <f>O11</f>
        <v>16200</v>
      </c>
      <c r="P14" s="428" t="e">
        <f t="shared" ref="P14:P16" si="3">(M14/O14)/($O$4*$O$5)</f>
        <v>#DIV/0!</v>
      </c>
      <c r="Q14" s="422"/>
      <c r="R14" s="422"/>
      <c r="T14" s="426"/>
      <c r="U14" s="426"/>
      <c r="V14" s="426"/>
      <c r="W14" s="426"/>
      <c r="X14" s="419"/>
      <c r="Y14" s="428"/>
      <c r="AA14" s="429"/>
    </row>
    <row r="15" spans="2:28" x14ac:dyDescent="0.25">
      <c r="B15" s="433"/>
      <c r="C15" s="434" t="s">
        <v>253</v>
      </c>
      <c r="D15" s="428">
        <v>0</v>
      </c>
      <c r="E15" s="425" t="s">
        <v>251</v>
      </c>
      <c r="F15" s="426">
        <f>D15*O4</f>
        <v>0</v>
      </c>
      <c r="G15" s="426" t="s">
        <v>252</v>
      </c>
      <c r="H15" s="426">
        <f>O5</f>
        <v>18</v>
      </c>
      <c r="I15" s="426"/>
      <c r="J15" s="426">
        <f>H15*F15</f>
        <v>0</v>
      </c>
      <c r="K15" s="427">
        <f>12.7*O9</f>
        <v>205740</v>
      </c>
      <c r="L15" s="427"/>
      <c r="M15" s="426">
        <f t="shared" si="1"/>
        <v>0</v>
      </c>
      <c r="N15" s="428" t="e">
        <f t="shared" si="2"/>
        <v>#DIV/0!</v>
      </c>
      <c r="O15" s="426">
        <f t="shared" ref="O15:O16" si="4">O14</f>
        <v>16200</v>
      </c>
      <c r="P15" s="428" t="e">
        <f t="shared" si="3"/>
        <v>#DIV/0!</v>
      </c>
      <c r="Q15" s="422"/>
      <c r="R15" s="422"/>
      <c r="T15" s="426"/>
      <c r="U15" s="426"/>
      <c r="V15" s="426"/>
      <c r="W15" s="426"/>
      <c r="X15" s="419"/>
      <c r="Y15" s="428"/>
      <c r="AA15" s="429"/>
    </row>
    <row r="16" spans="2:28" x14ac:dyDescent="0.25">
      <c r="B16" s="436"/>
      <c r="C16" s="434" t="s">
        <v>254</v>
      </c>
      <c r="D16" s="428">
        <v>0</v>
      </c>
      <c r="E16" s="425" t="s">
        <v>251</v>
      </c>
      <c r="F16" s="426">
        <f>D16*O4</f>
        <v>0</v>
      </c>
      <c r="G16" s="426" t="s">
        <v>252</v>
      </c>
      <c r="H16" s="426">
        <f>O5</f>
        <v>18</v>
      </c>
      <c r="I16" s="426"/>
      <c r="J16" s="426">
        <f>H16*F16</f>
        <v>0</v>
      </c>
      <c r="K16" s="427">
        <f>12.7*O9</f>
        <v>205740</v>
      </c>
      <c r="L16" s="427"/>
      <c r="M16" s="426">
        <f t="shared" si="1"/>
        <v>0</v>
      </c>
      <c r="N16" s="428" t="e">
        <f t="shared" si="2"/>
        <v>#DIV/0!</v>
      </c>
      <c r="O16" s="426">
        <f t="shared" si="4"/>
        <v>16200</v>
      </c>
      <c r="P16" s="428" t="e">
        <f t="shared" si="3"/>
        <v>#DIV/0!</v>
      </c>
      <c r="Q16" s="422"/>
      <c r="R16" s="422"/>
      <c r="T16" s="426"/>
      <c r="U16" s="426"/>
      <c r="V16" s="426"/>
      <c r="W16" s="426"/>
      <c r="X16" s="419"/>
      <c r="Y16" s="428"/>
      <c r="AA16" s="429"/>
    </row>
    <row r="17" spans="2:45" x14ac:dyDescent="0.25">
      <c r="B17" s="432">
        <v>5</v>
      </c>
      <c r="C17" s="424" t="s">
        <v>134</v>
      </c>
      <c r="D17" s="428"/>
      <c r="E17" s="425"/>
      <c r="F17" s="426"/>
      <c r="G17" s="426"/>
      <c r="H17" s="426"/>
      <c r="I17" s="426"/>
      <c r="J17" s="426"/>
      <c r="K17" s="427"/>
      <c r="L17" s="427"/>
      <c r="M17" s="426"/>
      <c r="N17" s="428"/>
      <c r="O17" s="426"/>
      <c r="P17" s="428"/>
      <c r="Q17" s="422"/>
      <c r="R17" s="422"/>
      <c r="T17" s="426"/>
      <c r="U17" s="426"/>
      <c r="V17" s="426"/>
      <c r="W17" s="426"/>
      <c r="X17" s="419"/>
      <c r="Y17" s="428"/>
      <c r="AA17" s="429"/>
      <c r="AJ17" s="405"/>
    </row>
    <row r="18" spans="2:45" x14ac:dyDescent="0.25">
      <c r="B18" s="433"/>
      <c r="C18" s="434" t="s">
        <v>255</v>
      </c>
      <c r="D18" s="437">
        <v>45.12</v>
      </c>
      <c r="E18" s="438" t="s">
        <v>256</v>
      </c>
      <c r="F18" s="426">
        <f>(D18*$O$4)/1000</f>
        <v>0</v>
      </c>
      <c r="G18" s="426" t="s">
        <v>257</v>
      </c>
      <c r="H18" s="426">
        <f>O5</f>
        <v>18</v>
      </c>
      <c r="I18" s="426"/>
      <c r="J18" s="426">
        <f>(H18*F18)</f>
        <v>0</v>
      </c>
      <c r="K18" s="427">
        <f>'[16]MP BOILER'!H15</f>
        <v>516233.21125343133</v>
      </c>
      <c r="L18" s="427"/>
      <c r="M18" s="426">
        <f>(F18*H18*K18)+(F18*I18*L18)</f>
        <v>0</v>
      </c>
      <c r="N18" s="428" t="e">
        <f t="shared" ref="N18:N19" si="5">M18/($O$5*$O$4*1000)</f>
        <v>#DIV/0!</v>
      </c>
      <c r="O18" s="426">
        <f>O16</f>
        <v>16200</v>
      </c>
      <c r="P18" s="428" t="e">
        <f t="shared" ref="P18:P47" si="6">(M18/O18)/($O$4*$O$5)</f>
        <v>#DIV/0!</v>
      </c>
      <c r="Q18" s="422">
        <v>32.159999999999997</v>
      </c>
      <c r="R18" s="422">
        <v>2.2179310344827581</v>
      </c>
      <c r="S18" s="422"/>
      <c r="T18" s="439"/>
      <c r="U18" s="426"/>
      <c r="V18" s="426"/>
      <c r="W18" s="426"/>
      <c r="X18" s="419"/>
      <c r="Y18" s="428"/>
      <c r="AG18" s="422"/>
    </row>
    <row r="19" spans="2:45" x14ac:dyDescent="0.25">
      <c r="B19" s="436"/>
      <c r="C19" s="434" t="s">
        <v>258</v>
      </c>
      <c r="D19" s="437">
        <v>30</v>
      </c>
      <c r="E19" s="438" t="s">
        <v>256</v>
      </c>
      <c r="F19" s="426">
        <f>(D19*$O$4)/1000</f>
        <v>0</v>
      </c>
      <c r="G19" s="426" t="s">
        <v>257</v>
      </c>
      <c r="H19" s="426">
        <f>O5</f>
        <v>18</v>
      </c>
      <c r="I19" s="426"/>
      <c r="J19" s="426">
        <f>H19*F19</f>
        <v>0</v>
      </c>
      <c r="K19" s="427">
        <f>'[16]MP BOILER'!H15</f>
        <v>516233.21125343133</v>
      </c>
      <c r="L19" s="427"/>
      <c r="M19" s="426">
        <f>(F19*H19*K19)+(F19*I19*L19)</f>
        <v>0</v>
      </c>
      <c r="N19" s="428" t="e">
        <f t="shared" si="5"/>
        <v>#DIV/0!</v>
      </c>
      <c r="O19" s="426">
        <f>O18</f>
        <v>16200</v>
      </c>
      <c r="P19" s="428" t="e">
        <f t="shared" si="6"/>
        <v>#DIV/0!</v>
      </c>
      <c r="Q19" s="422"/>
      <c r="R19" s="422"/>
      <c r="T19" s="439"/>
      <c r="U19" s="426"/>
      <c r="V19" s="426"/>
      <c r="W19" s="426"/>
      <c r="X19" s="419"/>
      <c r="Y19" s="428"/>
    </row>
    <row r="20" spans="2:45" x14ac:dyDescent="0.25">
      <c r="B20" s="433">
        <v>6</v>
      </c>
      <c r="C20" s="424" t="s">
        <v>259</v>
      </c>
      <c r="D20" s="440"/>
      <c r="E20" s="438"/>
      <c r="F20" s="439"/>
      <c r="G20" s="426"/>
      <c r="H20" s="426"/>
      <c r="I20" s="426"/>
      <c r="J20" s="426"/>
      <c r="K20" s="427"/>
      <c r="L20" s="427"/>
      <c r="M20" s="426"/>
      <c r="N20" s="428"/>
      <c r="O20" s="426"/>
      <c r="P20" s="428"/>
      <c r="Q20" s="422"/>
      <c r="R20" s="422"/>
      <c r="T20" s="439"/>
      <c r="U20" s="426"/>
      <c r="V20" s="426"/>
      <c r="W20" s="426"/>
      <c r="X20" s="419"/>
      <c r="Y20" s="428"/>
      <c r="AB20" s="441"/>
      <c r="AS20" s="442"/>
    </row>
    <row r="21" spans="2:45" x14ac:dyDescent="0.25">
      <c r="B21" s="433"/>
      <c r="C21" s="434" t="s">
        <v>255</v>
      </c>
      <c r="D21" s="443">
        <f>1.5</f>
        <v>1.5</v>
      </c>
      <c r="E21" s="438" t="s">
        <v>260</v>
      </c>
      <c r="F21" s="426">
        <f>D21*$O$4</f>
        <v>0</v>
      </c>
      <c r="G21" s="426" t="s">
        <v>261</v>
      </c>
      <c r="H21" s="426">
        <f>O6</f>
        <v>300</v>
      </c>
      <c r="I21" s="426">
        <f>O7</f>
        <v>0</v>
      </c>
      <c r="J21" s="426">
        <f>(H21*F21)+(F21*I21)</f>
        <v>0</v>
      </c>
      <c r="K21" s="427">
        <v>1550</v>
      </c>
      <c r="L21" s="427"/>
      <c r="M21" s="426">
        <f>(F21*H21*K21)+(F21*I21*L21)</f>
        <v>0</v>
      </c>
      <c r="N21" s="428" t="e">
        <f>M21/($O$5*$O$4*1000)</f>
        <v>#DIV/0!</v>
      </c>
      <c r="O21" s="426">
        <f>O19</f>
        <v>16200</v>
      </c>
      <c r="P21" s="428" t="e">
        <f>(M21/O21)/($O$4*$O$5)</f>
        <v>#DIV/0!</v>
      </c>
      <c r="Q21" s="422"/>
      <c r="R21" s="422"/>
      <c r="S21" s="422"/>
      <c r="T21" s="439"/>
      <c r="U21" s="426"/>
      <c r="V21" s="426"/>
      <c r="W21" s="426"/>
      <c r="X21" s="419"/>
      <c r="Y21" s="428"/>
      <c r="AB21" s="441"/>
      <c r="AG21" s="422"/>
    </row>
    <row r="22" spans="2:45" x14ac:dyDescent="0.25">
      <c r="B22" s="433"/>
      <c r="C22" s="434" t="s">
        <v>262</v>
      </c>
      <c r="D22" s="443">
        <f>1.18</f>
        <v>1.18</v>
      </c>
      <c r="E22" s="438" t="s">
        <v>260</v>
      </c>
      <c r="F22" s="426">
        <f>D22*$O$4</f>
        <v>0</v>
      </c>
      <c r="G22" s="426" t="s">
        <v>261</v>
      </c>
      <c r="H22" s="426">
        <f t="shared" ref="H22:H23" si="7">H21</f>
        <v>300</v>
      </c>
      <c r="I22" s="426">
        <f>$O$7</f>
        <v>0</v>
      </c>
      <c r="J22" s="426">
        <f>(H22*F22)+(F22*I22)</f>
        <v>0</v>
      </c>
      <c r="K22" s="427">
        <v>1550</v>
      </c>
      <c r="L22" s="427"/>
      <c r="M22" s="426">
        <f>(F22*H22*K22)+(F22*I22*L22)</f>
        <v>0</v>
      </c>
      <c r="N22" s="428" t="e">
        <f t="shared" ref="N22:N23" si="8">M22/($O$5*$O$4*1000)</f>
        <v>#DIV/0!</v>
      </c>
      <c r="O22" s="426">
        <f>O21</f>
        <v>16200</v>
      </c>
      <c r="P22" s="428" t="e">
        <f>(M22/O22)/($O$4*$O$5)</f>
        <v>#DIV/0!</v>
      </c>
      <c r="Q22" s="422"/>
      <c r="R22" s="422"/>
      <c r="T22" s="439"/>
      <c r="U22" s="426"/>
      <c r="V22" s="426"/>
      <c r="W22" s="426"/>
      <c r="X22" s="419"/>
      <c r="Y22" s="428"/>
      <c r="AB22" s="441"/>
    </row>
    <row r="23" spans="2:45" x14ac:dyDescent="0.25">
      <c r="B23" s="433"/>
      <c r="C23" s="434" t="s">
        <v>263</v>
      </c>
      <c r="D23" s="444">
        <f>(680.98/24)/84</f>
        <v>0.3377876984126984</v>
      </c>
      <c r="E23" s="438" t="s">
        <v>260</v>
      </c>
      <c r="F23" s="426">
        <f>D23*$O$4</f>
        <v>0</v>
      </c>
      <c r="G23" s="426" t="s">
        <v>261</v>
      </c>
      <c r="H23" s="426">
        <f t="shared" si="7"/>
        <v>300</v>
      </c>
      <c r="I23" s="426">
        <f>$O$7</f>
        <v>0</v>
      </c>
      <c r="J23" s="426">
        <f>(H23*F23)+(F23*I23)</f>
        <v>0</v>
      </c>
      <c r="K23" s="427">
        <v>1550</v>
      </c>
      <c r="L23" s="427"/>
      <c r="M23" s="426">
        <f>(F23*H23*K23)+(F23*I23*L23)</f>
        <v>0</v>
      </c>
      <c r="N23" s="428" t="e">
        <f t="shared" si="8"/>
        <v>#DIV/0!</v>
      </c>
      <c r="O23" s="426">
        <f>O22</f>
        <v>16200</v>
      </c>
      <c r="P23" s="428" t="e">
        <f t="shared" si="6"/>
        <v>#DIV/0!</v>
      </c>
      <c r="Q23" s="422"/>
      <c r="R23" s="422"/>
      <c r="T23" s="439"/>
      <c r="U23" s="426"/>
      <c r="V23" s="426"/>
      <c r="W23" s="426"/>
      <c r="X23" s="419"/>
      <c r="Y23" s="428"/>
      <c r="AB23" s="441"/>
    </row>
    <row r="24" spans="2:45" x14ac:dyDescent="0.25">
      <c r="B24" s="433">
        <v>7</v>
      </c>
      <c r="C24" s="424" t="s">
        <v>264</v>
      </c>
      <c r="D24" s="443"/>
      <c r="E24" s="438"/>
      <c r="F24" s="426"/>
      <c r="G24" s="426"/>
      <c r="H24" s="426"/>
      <c r="I24" s="426"/>
      <c r="J24" s="426"/>
      <c r="K24" s="427"/>
      <c r="L24" s="427"/>
      <c r="M24" s="426"/>
      <c r="N24" s="428"/>
      <c r="O24" s="426"/>
      <c r="P24" s="428"/>
      <c r="Q24" s="422">
        <v>0.29483999999999994</v>
      </c>
      <c r="R24" s="422">
        <v>2.0333793103448274E-2</v>
      </c>
      <c r="T24" s="445"/>
      <c r="U24" s="426"/>
      <c r="V24" s="426"/>
      <c r="W24" s="426"/>
      <c r="X24" s="419"/>
      <c r="Y24" s="428"/>
      <c r="AA24" s="446"/>
      <c r="AB24" s="405"/>
    </row>
    <row r="25" spans="2:45" x14ac:dyDescent="0.25">
      <c r="B25" s="433"/>
      <c r="C25" s="434" t="s">
        <v>265</v>
      </c>
      <c r="D25" s="437">
        <v>60</v>
      </c>
      <c r="E25" s="438" t="s">
        <v>266</v>
      </c>
      <c r="F25" s="426">
        <f>D25</f>
        <v>60</v>
      </c>
      <c r="G25" s="426" t="str">
        <f>E25</f>
        <v>M3/day</v>
      </c>
      <c r="H25" s="426">
        <f>O5</f>
        <v>18</v>
      </c>
      <c r="I25" s="426"/>
      <c r="J25" s="426">
        <f t="shared" ref="J25:J47" si="9">H25*F25</f>
        <v>1080</v>
      </c>
      <c r="K25" s="427">
        <f>[15]L.Water!F6</f>
        <v>8700</v>
      </c>
      <c r="L25" s="427"/>
      <c r="M25" s="426">
        <f>K25*J25</f>
        <v>9396000</v>
      </c>
      <c r="N25" s="428" t="e">
        <f>M25/($O$5*$O$4*1000)</f>
        <v>#DIV/0!</v>
      </c>
      <c r="O25" s="426">
        <f>O23</f>
        <v>16200</v>
      </c>
      <c r="P25" s="428" t="e">
        <f t="shared" si="6"/>
        <v>#DIV/0!</v>
      </c>
      <c r="Q25" s="422"/>
      <c r="R25" s="422"/>
      <c r="T25" s="445"/>
      <c r="U25" s="426"/>
      <c r="V25" s="426"/>
      <c r="W25" s="426"/>
      <c r="X25" s="419"/>
      <c r="Y25" s="428"/>
      <c r="AA25" s="446"/>
      <c r="AB25" s="405"/>
    </row>
    <row r="26" spans="2:45" x14ac:dyDescent="0.25">
      <c r="B26" s="432">
        <v>8</v>
      </c>
      <c r="C26" s="424" t="s">
        <v>267</v>
      </c>
      <c r="D26" s="447"/>
      <c r="E26" s="438"/>
      <c r="F26" s="426"/>
      <c r="G26" s="426"/>
      <c r="H26" s="426"/>
      <c r="I26" s="426"/>
      <c r="J26" s="426"/>
      <c r="K26" s="427"/>
      <c r="L26" s="427"/>
      <c r="M26" s="426"/>
      <c r="N26" s="428"/>
      <c r="O26" s="426"/>
      <c r="P26" s="428"/>
      <c r="Q26" s="422">
        <v>32.592264421052626</v>
      </c>
      <c r="R26" s="422">
        <v>2.2477423738656985</v>
      </c>
      <c r="T26" s="426"/>
      <c r="U26" s="426"/>
      <c r="V26" s="426"/>
      <c r="W26" s="426"/>
      <c r="X26" s="419"/>
      <c r="Y26" s="428"/>
      <c r="AB26" s="405"/>
      <c r="AG26" s="429"/>
    </row>
    <row r="27" spans="2:45" x14ac:dyDescent="0.25">
      <c r="B27" s="433"/>
      <c r="C27" s="434" t="s">
        <v>268</v>
      </c>
      <c r="D27" s="447">
        <v>0.4</v>
      </c>
      <c r="E27" s="438" t="s">
        <v>245</v>
      </c>
      <c r="F27" s="439">
        <f>D27</f>
        <v>0.4</v>
      </c>
      <c r="G27" s="426" t="str">
        <f>E27</f>
        <v>Kg/day</v>
      </c>
      <c r="H27" s="426">
        <f>O5</f>
        <v>18</v>
      </c>
      <c r="I27" s="426"/>
      <c r="J27" s="426">
        <f t="shared" si="9"/>
        <v>7.2</v>
      </c>
      <c r="K27" s="427">
        <v>27240</v>
      </c>
      <c r="L27" s="427"/>
      <c r="M27" s="426">
        <f>K27*J27</f>
        <v>196128</v>
      </c>
      <c r="N27" s="428" t="e">
        <f t="shared" ref="N27:N30" si="10">M27/($O$5*$O$4*1000)</f>
        <v>#DIV/0!</v>
      </c>
      <c r="O27" s="426">
        <f>O25</f>
        <v>16200</v>
      </c>
      <c r="P27" s="428" t="e">
        <f>(M27/O27)/($O$4*$O$5)</f>
        <v>#DIV/0!</v>
      </c>
      <c r="Q27" s="422"/>
      <c r="R27" s="422"/>
      <c r="T27" s="426"/>
      <c r="U27" s="426"/>
      <c r="V27" s="426"/>
      <c r="W27" s="426"/>
      <c r="X27" s="419"/>
      <c r="Y27" s="428"/>
      <c r="AB27" s="405"/>
      <c r="AG27" s="429"/>
    </row>
    <row r="28" spans="2:45" x14ac:dyDescent="0.25">
      <c r="B28" s="433"/>
      <c r="C28" s="434" t="s">
        <v>269</v>
      </c>
      <c r="D28" s="447">
        <v>0.66</v>
      </c>
      <c r="E28" s="438" t="s">
        <v>245</v>
      </c>
      <c r="F28" s="439">
        <f>D28</f>
        <v>0.66</v>
      </c>
      <c r="G28" s="426" t="str">
        <f t="shared" ref="G28:G30" si="11">E28</f>
        <v>Kg/day</v>
      </c>
      <c r="H28" s="426">
        <f>O5</f>
        <v>18</v>
      </c>
      <c r="I28" s="426"/>
      <c r="J28" s="426">
        <f t="shared" si="9"/>
        <v>11.88</v>
      </c>
      <c r="K28" s="427">
        <v>29120</v>
      </c>
      <c r="L28" s="427"/>
      <c r="M28" s="426">
        <f>K28*J28</f>
        <v>345945.60000000003</v>
      </c>
      <c r="N28" s="428" t="e">
        <f t="shared" si="10"/>
        <v>#DIV/0!</v>
      </c>
      <c r="O28" s="426">
        <f>O27</f>
        <v>16200</v>
      </c>
      <c r="P28" s="428" t="e">
        <f t="shared" si="6"/>
        <v>#DIV/0!</v>
      </c>
      <c r="Q28" s="422"/>
      <c r="R28" s="422"/>
      <c r="T28" s="426"/>
      <c r="U28" s="426"/>
      <c r="V28" s="426"/>
      <c r="W28" s="426"/>
      <c r="X28" s="419"/>
      <c r="Y28" s="428"/>
      <c r="AB28" s="405"/>
      <c r="AG28" s="429"/>
    </row>
    <row r="29" spans="2:45" x14ac:dyDescent="0.25">
      <c r="B29" s="433"/>
      <c r="C29" s="434" t="s">
        <v>270</v>
      </c>
      <c r="D29" s="447">
        <v>0.41</v>
      </c>
      <c r="E29" s="438" t="s">
        <v>245</v>
      </c>
      <c r="F29" s="439">
        <f>D29</f>
        <v>0.41</v>
      </c>
      <c r="G29" s="426" t="str">
        <f t="shared" si="11"/>
        <v>Kg/day</v>
      </c>
      <c r="H29" s="426">
        <f>O5</f>
        <v>18</v>
      </c>
      <c r="I29" s="426"/>
      <c r="J29" s="426">
        <f t="shared" si="9"/>
        <v>7.38</v>
      </c>
      <c r="K29" s="427">
        <v>117212</v>
      </c>
      <c r="L29" s="427"/>
      <c r="M29" s="426">
        <f>K29*J29</f>
        <v>865024.55999999994</v>
      </c>
      <c r="N29" s="428" t="e">
        <f t="shared" si="10"/>
        <v>#DIV/0!</v>
      </c>
      <c r="O29" s="426">
        <f t="shared" ref="O29:O30" si="12">O27</f>
        <v>16200</v>
      </c>
      <c r="P29" s="428" t="e">
        <f t="shared" si="6"/>
        <v>#DIV/0!</v>
      </c>
      <c r="Q29" s="422"/>
      <c r="R29" s="422"/>
      <c r="T29" s="426"/>
      <c r="U29" s="426"/>
      <c r="V29" s="426"/>
      <c r="W29" s="426"/>
      <c r="X29" s="419"/>
      <c r="Y29" s="428"/>
      <c r="AB29" s="405"/>
      <c r="AG29" s="429"/>
    </row>
    <row r="30" spans="2:45" x14ac:dyDescent="0.25">
      <c r="B30" s="436"/>
      <c r="C30" s="434" t="s">
        <v>271</v>
      </c>
      <c r="D30" s="447">
        <v>0.1</v>
      </c>
      <c r="E30" s="438" t="s">
        <v>245</v>
      </c>
      <c r="F30" s="439">
        <f>D30</f>
        <v>0.1</v>
      </c>
      <c r="G30" s="426" t="str">
        <f t="shared" si="11"/>
        <v>Kg/day</v>
      </c>
      <c r="H30" s="426">
        <f>O5</f>
        <v>18</v>
      </c>
      <c r="I30" s="426"/>
      <c r="J30" s="426">
        <f t="shared" si="9"/>
        <v>1.8</v>
      </c>
      <c r="K30" s="427">
        <v>45940</v>
      </c>
      <c r="L30" s="427"/>
      <c r="M30" s="426">
        <f>K30*J30</f>
        <v>82692</v>
      </c>
      <c r="N30" s="428" t="e">
        <f t="shared" si="10"/>
        <v>#DIV/0!</v>
      </c>
      <c r="O30" s="426">
        <f t="shared" si="12"/>
        <v>16200</v>
      </c>
      <c r="P30" s="428" t="e">
        <f t="shared" si="6"/>
        <v>#DIV/0!</v>
      </c>
      <c r="Q30" s="422"/>
      <c r="R30" s="422"/>
      <c r="T30" s="426"/>
      <c r="U30" s="426"/>
      <c r="V30" s="426"/>
      <c r="W30" s="426"/>
      <c r="X30" s="419"/>
      <c r="Y30" s="428"/>
      <c r="AB30" s="405"/>
      <c r="AG30" s="429"/>
    </row>
    <row r="31" spans="2:45" x14ac:dyDescent="0.25">
      <c r="B31" s="432">
        <v>9</v>
      </c>
      <c r="C31" s="424" t="s">
        <v>7</v>
      </c>
      <c r="D31" s="447"/>
      <c r="E31" s="438"/>
      <c r="F31" s="426"/>
      <c r="G31" s="426"/>
      <c r="H31" s="426"/>
      <c r="I31" s="426"/>
      <c r="J31" s="426"/>
      <c r="K31" s="427"/>
      <c r="L31" s="427"/>
      <c r="M31" s="426"/>
      <c r="N31" s="428"/>
      <c r="O31" s="426"/>
      <c r="P31" s="428"/>
      <c r="Q31" s="422">
        <v>2.7410526315789472</v>
      </c>
      <c r="R31" s="422">
        <v>0.18903811252268601</v>
      </c>
      <c r="T31" s="426"/>
      <c r="U31" s="426"/>
      <c r="V31" s="426"/>
      <c r="W31" s="426"/>
      <c r="X31" s="419"/>
      <c r="Y31" s="428"/>
    </row>
    <row r="32" spans="2:45" x14ac:dyDescent="0.25">
      <c r="B32" s="433"/>
      <c r="C32" s="448" t="s">
        <v>272</v>
      </c>
      <c r="D32" s="449">
        <f>300/332</f>
        <v>0.90361445783132532</v>
      </c>
      <c r="E32" s="450" t="s">
        <v>273</v>
      </c>
      <c r="F32" s="451">
        <f>D32</f>
        <v>0.90361445783132532</v>
      </c>
      <c r="G32" s="452" t="str">
        <f>E32</f>
        <v>Pcs/day</v>
      </c>
      <c r="H32" s="452">
        <f>O5</f>
        <v>18</v>
      </c>
      <c r="I32" s="426"/>
      <c r="J32" s="426">
        <f t="shared" si="9"/>
        <v>16.265060240963855</v>
      </c>
      <c r="K32" s="427">
        <v>40000</v>
      </c>
      <c r="L32" s="427"/>
      <c r="M32" s="426">
        <f>J32*K32</f>
        <v>650602.40963855421</v>
      </c>
      <c r="N32" s="428" t="e">
        <f t="shared" ref="N32:N37" si="13">M32/($O$5*$O$4*1000)</f>
        <v>#DIV/0!</v>
      </c>
      <c r="O32" s="426">
        <f>O30</f>
        <v>16200</v>
      </c>
      <c r="P32" s="428" t="e">
        <f t="shared" ref="P32:P36" si="14">(M32/O32)/($O$4*$O$5)</f>
        <v>#DIV/0!</v>
      </c>
      <c r="Q32" s="422"/>
      <c r="R32" s="422"/>
      <c r="T32" s="452"/>
      <c r="U32" s="452"/>
      <c r="V32" s="452"/>
      <c r="W32" s="452"/>
      <c r="X32" s="453"/>
      <c r="Y32" s="454"/>
    </row>
    <row r="33" spans="2:33" x14ac:dyDescent="0.25">
      <c r="B33" s="433"/>
      <c r="C33" s="448" t="s">
        <v>274</v>
      </c>
      <c r="D33" s="449">
        <f>210/332</f>
        <v>0.63253012048192769</v>
      </c>
      <c r="E33" s="450" t="s">
        <v>273</v>
      </c>
      <c r="F33" s="451">
        <f>D33</f>
        <v>0.63253012048192769</v>
      </c>
      <c r="G33" s="452" t="str">
        <f>E33</f>
        <v>Pcs/day</v>
      </c>
      <c r="H33" s="452">
        <f>O5</f>
        <v>18</v>
      </c>
      <c r="I33" s="426"/>
      <c r="J33" s="426">
        <f t="shared" si="9"/>
        <v>11.385542168674698</v>
      </c>
      <c r="K33" s="427">
        <v>125000</v>
      </c>
      <c r="L33" s="427"/>
      <c r="M33" s="426">
        <f>J33*K33</f>
        <v>1423192.7710843373</v>
      </c>
      <c r="N33" s="428" t="e">
        <f t="shared" si="13"/>
        <v>#DIV/0!</v>
      </c>
      <c r="O33" s="426">
        <f>O32</f>
        <v>16200</v>
      </c>
      <c r="P33" s="428" t="e">
        <f t="shared" si="6"/>
        <v>#DIV/0!</v>
      </c>
      <c r="Q33" s="422"/>
      <c r="R33" s="422"/>
      <c r="T33" s="452"/>
      <c r="U33" s="452"/>
      <c r="V33" s="452"/>
      <c r="W33" s="452"/>
      <c r="X33" s="453"/>
      <c r="Y33" s="454"/>
    </row>
    <row r="34" spans="2:33" x14ac:dyDescent="0.25">
      <c r="B34" s="433"/>
      <c r="C34" s="448" t="s">
        <v>275</v>
      </c>
      <c r="D34" s="449">
        <f>47/30</f>
        <v>1.5666666666666667</v>
      </c>
      <c r="E34" s="450" t="s">
        <v>273</v>
      </c>
      <c r="F34" s="451">
        <f t="shared" ref="F34:G36" si="15">D34</f>
        <v>1.5666666666666667</v>
      </c>
      <c r="G34" s="452" t="str">
        <f t="shared" si="15"/>
        <v>Pcs/day</v>
      </c>
      <c r="H34" s="452">
        <f>O5</f>
        <v>18</v>
      </c>
      <c r="I34" s="426"/>
      <c r="J34" s="426">
        <f t="shared" si="9"/>
        <v>28.2</v>
      </c>
      <c r="K34" s="427">
        <v>145000</v>
      </c>
      <c r="L34" s="427"/>
      <c r="M34" s="426">
        <f>J34*K34</f>
        <v>4089000</v>
      </c>
      <c r="N34" s="428" t="e">
        <f t="shared" si="13"/>
        <v>#DIV/0!</v>
      </c>
      <c r="O34" s="426">
        <f>O33</f>
        <v>16200</v>
      </c>
      <c r="P34" s="428" t="e">
        <f t="shared" si="14"/>
        <v>#DIV/0!</v>
      </c>
      <c r="Q34" s="422"/>
      <c r="R34" s="422"/>
      <c r="T34" s="452"/>
      <c r="U34" s="452"/>
      <c r="V34" s="452"/>
      <c r="W34" s="452"/>
      <c r="X34" s="453"/>
      <c r="Y34" s="454"/>
    </row>
    <row r="35" spans="2:33" x14ac:dyDescent="0.25">
      <c r="B35" s="433"/>
      <c r="C35" s="448" t="s">
        <v>276</v>
      </c>
      <c r="D35" s="449">
        <f>40/332</f>
        <v>0.12048192771084337</v>
      </c>
      <c r="E35" s="450" t="s">
        <v>273</v>
      </c>
      <c r="F35" s="455">
        <f t="shared" si="15"/>
        <v>0.12048192771084337</v>
      </c>
      <c r="G35" s="452" t="str">
        <f t="shared" si="15"/>
        <v>Pcs/day</v>
      </c>
      <c r="H35" s="452">
        <f>O5</f>
        <v>18</v>
      </c>
      <c r="I35" s="426"/>
      <c r="J35" s="426">
        <f t="shared" si="9"/>
        <v>2.1686746987951806</v>
      </c>
      <c r="K35" s="427">
        <v>682500</v>
      </c>
      <c r="L35" s="427"/>
      <c r="M35" s="426">
        <f t="shared" ref="M35" si="16">J35*K35</f>
        <v>1480120.4819277108</v>
      </c>
      <c r="N35" s="428" t="e">
        <f t="shared" si="13"/>
        <v>#DIV/0!</v>
      </c>
      <c r="O35" s="426">
        <f t="shared" ref="O35:O36" si="17">O34</f>
        <v>16200</v>
      </c>
      <c r="P35" s="428" t="e">
        <f t="shared" si="14"/>
        <v>#DIV/0!</v>
      </c>
      <c r="Q35" s="422"/>
      <c r="R35" s="422"/>
      <c r="T35" s="452"/>
      <c r="U35" s="452"/>
      <c r="V35" s="452"/>
      <c r="W35" s="452"/>
      <c r="X35" s="453"/>
      <c r="Y35" s="454"/>
    </row>
    <row r="36" spans="2:33" x14ac:dyDescent="0.25">
      <c r="B36" s="436"/>
      <c r="C36" s="448" t="s">
        <v>277</v>
      </c>
      <c r="D36" s="456">
        <f>1200/332</f>
        <v>3.6144578313253013</v>
      </c>
      <c r="E36" s="450" t="s">
        <v>273</v>
      </c>
      <c r="F36" s="455">
        <f t="shared" si="15"/>
        <v>3.6144578313253013</v>
      </c>
      <c r="G36" s="452" t="str">
        <f t="shared" si="15"/>
        <v>Pcs/day</v>
      </c>
      <c r="H36" s="452">
        <f>O5</f>
        <v>18</v>
      </c>
      <c r="I36" s="426"/>
      <c r="J36" s="426">
        <f t="shared" si="9"/>
        <v>65.060240963855421</v>
      </c>
      <c r="K36" s="427">
        <v>14500</v>
      </c>
      <c r="L36" s="427"/>
      <c r="M36" s="426">
        <f>J36*K36</f>
        <v>943373.49397590361</v>
      </c>
      <c r="N36" s="428" t="e">
        <f t="shared" si="13"/>
        <v>#DIV/0!</v>
      </c>
      <c r="O36" s="426">
        <f t="shared" si="17"/>
        <v>16200</v>
      </c>
      <c r="P36" s="428" t="e">
        <f t="shared" si="14"/>
        <v>#DIV/0!</v>
      </c>
      <c r="Q36" s="422"/>
      <c r="R36" s="422"/>
      <c r="T36" s="452"/>
      <c r="U36" s="452"/>
      <c r="V36" s="452"/>
      <c r="W36" s="452"/>
      <c r="X36" s="453"/>
      <c r="Y36" s="454"/>
    </row>
    <row r="37" spans="2:33" x14ac:dyDescent="0.25">
      <c r="B37" s="423">
        <v>10</v>
      </c>
      <c r="C37" s="457" t="s">
        <v>278</v>
      </c>
      <c r="D37" s="458">
        <f>200</f>
        <v>200</v>
      </c>
      <c r="E37" s="438" t="s">
        <v>266</v>
      </c>
      <c r="F37" s="426">
        <f>D37</f>
        <v>200</v>
      </c>
      <c r="G37" s="452" t="str">
        <f>E37</f>
        <v>M3/day</v>
      </c>
      <c r="H37" s="426">
        <f>O5</f>
        <v>18</v>
      </c>
      <c r="I37" s="426"/>
      <c r="J37" s="426">
        <f t="shared" si="9"/>
        <v>3600</v>
      </c>
      <c r="K37" s="427">
        <f>[16]L.WWTP!H17</f>
        <v>27499.71691588785</v>
      </c>
      <c r="L37" s="427"/>
      <c r="M37" s="426">
        <f>J37*K37</f>
        <v>98998980.897196263</v>
      </c>
      <c r="N37" s="428" t="e">
        <f t="shared" si="13"/>
        <v>#DIV/0!</v>
      </c>
      <c r="O37" s="452">
        <f>O36</f>
        <v>16200</v>
      </c>
      <c r="P37" s="428" t="e">
        <f t="shared" si="6"/>
        <v>#DIV/0!</v>
      </c>
      <c r="Q37" s="422">
        <v>1.0462652140555471</v>
      </c>
      <c r="R37" s="422">
        <v>7.2156221659003247E-2</v>
      </c>
      <c r="T37" s="459"/>
      <c r="U37" s="460"/>
      <c r="V37" s="460"/>
      <c r="W37" s="460"/>
      <c r="X37" s="426"/>
      <c r="Y37" s="454"/>
    </row>
    <row r="38" spans="2:33" x14ac:dyDescent="0.25">
      <c r="B38" s="433">
        <v>11</v>
      </c>
      <c r="C38" s="461" t="s">
        <v>279</v>
      </c>
      <c r="D38" s="456"/>
      <c r="E38" s="450"/>
      <c r="F38" s="452"/>
      <c r="G38" s="452"/>
      <c r="H38" s="452"/>
      <c r="I38" s="426"/>
      <c r="J38" s="452"/>
      <c r="K38" s="462"/>
      <c r="L38" s="462"/>
      <c r="M38" s="452"/>
      <c r="N38" s="428"/>
      <c r="O38" s="426"/>
      <c r="P38" s="428"/>
      <c r="Q38" s="422"/>
      <c r="R38" s="422"/>
      <c r="T38" s="459"/>
      <c r="U38" s="460"/>
      <c r="V38" s="460"/>
      <c r="W38" s="460"/>
      <c r="X38" s="426"/>
      <c r="Y38" s="454"/>
    </row>
    <row r="39" spans="2:33" x14ac:dyDescent="0.25">
      <c r="B39" s="433"/>
      <c r="C39" s="448" t="s">
        <v>280</v>
      </c>
      <c r="D39" s="463">
        <f>(D10*O4*1000)*120%</f>
        <v>0</v>
      </c>
      <c r="E39" s="450" t="s">
        <v>245</v>
      </c>
      <c r="F39" s="452">
        <f>D39</f>
        <v>0</v>
      </c>
      <c r="G39" s="452" t="s">
        <v>245</v>
      </c>
      <c r="H39" s="452">
        <f>O5</f>
        <v>18</v>
      </c>
      <c r="I39" s="426"/>
      <c r="J39" s="426">
        <f t="shared" si="9"/>
        <v>0</v>
      </c>
      <c r="K39" s="462">
        <v>300</v>
      </c>
      <c r="L39" s="462"/>
      <c r="M39" s="452">
        <f>J39*K39</f>
        <v>0</v>
      </c>
      <c r="N39" s="428" t="e">
        <f t="shared" ref="N39:N40" si="18">M39/($O$5*$O$4*1000)</f>
        <v>#DIV/0!</v>
      </c>
      <c r="O39" s="426">
        <f>O37</f>
        <v>16200</v>
      </c>
      <c r="P39" s="428" t="e">
        <f t="shared" ref="P39:P40" si="19">(M39/O39)/($O$4*$O$5)</f>
        <v>#DIV/0!</v>
      </c>
      <c r="Q39" s="422"/>
      <c r="R39" s="422"/>
      <c r="T39" s="459"/>
      <c r="U39" s="460"/>
      <c r="V39" s="460"/>
      <c r="W39" s="460"/>
      <c r="X39" s="426"/>
      <c r="Y39" s="454"/>
      <c r="AG39" s="429"/>
    </row>
    <row r="40" spans="2:33" x14ac:dyDescent="0.25">
      <c r="B40" s="433"/>
      <c r="C40" s="448" t="s">
        <v>281</v>
      </c>
      <c r="D40" s="449">
        <v>0.1</v>
      </c>
      <c r="E40" s="450" t="s">
        <v>282</v>
      </c>
      <c r="F40" s="451">
        <f>D40</f>
        <v>0.1</v>
      </c>
      <c r="G40" s="452" t="s">
        <v>282</v>
      </c>
      <c r="H40" s="452">
        <f>O5</f>
        <v>18</v>
      </c>
      <c r="I40" s="426"/>
      <c r="J40" s="426">
        <f t="shared" si="9"/>
        <v>1.8</v>
      </c>
      <c r="K40" s="462">
        <v>303030.30303030298</v>
      </c>
      <c r="L40" s="462"/>
      <c r="M40" s="452">
        <f>J40*K40</f>
        <v>545454.54545454541</v>
      </c>
      <c r="N40" s="428" t="e">
        <f t="shared" si="18"/>
        <v>#DIV/0!</v>
      </c>
      <c r="O40" s="426">
        <f>O39</f>
        <v>16200</v>
      </c>
      <c r="P40" s="428" t="e">
        <f t="shared" si="19"/>
        <v>#DIV/0!</v>
      </c>
      <c r="Q40" s="422"/>
      <c r="R40" s="422"/>
      <c r="T40" s="459"/>
      <c r="U40" s="460"/>
      <c r="V40" s="460"/>
      <c r="W40" s="460"/>
      <c r="X40" s="426"/>
      <c r="Y40" s="454"/>
    </row>
    <row r="41" spans="2:33" s="473" customFormat="1" x14ac:dyDescent="0.25">
      <c r="B41" s="464">
        <v>12</v>
      </c>
      <c r="C41" s="465" t="s">
        <v>283</v>
      </c>
      <c r="D41" s="466"/>
      <c r="E41" s="467"/>
      <c r="F41" s="468"/>
      <c r="G41" s="468"/>
      <c r="H41" s="468"/>
      <c r="I41" s="469"/>
      <c r="J41" s="468"/>
      <c r="K41" s="470"/>
      <c r="L41" s="470"/>
      <c r="M41" s="468"/>
      <c r="N41" s="471"/>
      <c r="O41" s="468"/>
      <c r="P41" s="471"/>
      <c r="Q41" s="472"/>
      <c r="R41" s="472"/>
      <c r="T41" s="474"/>
      <c r="U41" s="474"/>
      <c r="V41" s="474"/>
      <c r="W41" s="474"/>
      <c r="X41" s="469"/>
      <c r="Y41" s="475"/>
    </row>
    <row r="42" spans="2:33" s="473" customFormat="1" x14ac:dyDescent="0.25">
      <c r="B42" s="476"/>
      <c r="C42" s="477" t="s">
        <v>284</v>
      </c>
      <c r="D42" s="478">
        <f>[15]L.Lab!H132*13%</f>
        <v>1046459.8514845942</v>
      </c>
      <c r="E42" s="467" t="s">
        <v>285</v>
      </c>
      <c r="F42" s="479">
        <f t="shared" ref="F42:F43" si="20">D42</f>
        <v>1046459.8514845942</v>
      </c>
      <c r="G42" s="468" t="str">
        <f>E42</f>
        <v>Rp/day</v>
      </c>
      <c r="H42" s="468">
        <f>O5</f>
        <v>18</v>
      </c>
      <c r="I42" s="469"/>
      <c r="J42" s="469">
        <f>H42*F42</f>
        <v>18836277.326722696</v>
      </c>
      <c r="K42" s="470"/>
      <c r="L42" s="470"/>
      <c r="M42" s="468">
        <f>J42</f>
        <v>18836277.326722696</v>
      </c>
      <c r="N42" s="471" t="e">
        <f t="shared" ref="N42:N44" si="21">M42/($O$5*$O$4*1000)</f>
        <v>#DIV/0!</v>
      </c>
      <c r="O42" s="469">
        <f>O40</f>
        <v>16200</v>
      </c>
      <c r="P42" s="471" t="e">
        <f t="shared" ref="P42:P44" si="22">(M42/O42)/($O$4*$O$5)</f>
        <v>#DIV/0!</v>
      </c>
      <c r="Q42" s="472"/>
      <c r="R42" s="472"/>
      <c r="T42" s="474"/>
      <c r="U42" s="474"/>
      <c r="V42" s="474"/>
      <c r="W42" s="474"/>
      <c r="X42" s="469"/>
      <c r="Y42" s="475"/>
    </row>
    <row r="43" spans="2:33" s="473" customFormat="1" x14ac:dyDescent="0.25">
      <c r="B43" s="476"/>
      <c r="C43" s="477" t="s">
        <v>286</v>
      </c>
      <c r="D43" s="466">
        <v>13909.09090909091</v>
      </c>
      <c r="E43" s="467" t="s">
        <v>285</v>
      </c>
      <c r="F43" s="479">
        <f t="shared" si="20"/>
        <v>13909.09090909091</v>
      </c>
      <c r="G43" s="468" t="str">
        <f>E43</f>
        <v>Rp/day</v>
      </c>
      <c r="H43" s="468">
        <f>O5</f>
        <v>18</v>
      </c>
      <c r="I43" s="469"/>
      <c r="J43" s="469">
        <f>H43*F43</f>
        <v>250363.63636363638</v>
      </c>
      <c r="K43" s="470"/>
      <c r="L43" s="470"/>
      <c r="M43" s="468">
        <f t="shared" ref="M43:M44" si="23">J43</f>
        <v>250363.63636363638</v>
      </c>
      <c r="N43" s="471" t="e">
        <f t="shared" si="21"/>
        <v>#DIV/0!</v>
      </c>
      <c r="O43" s="469">
        <f>O42</f>
        <v>16200</v>
      </c>
      <c r="P43" s="471" t="e">
        <f t="shared" si="22"/>
        <v>#DIV/0!</v>
      </c>
      <c r="Q43" s="472"/>
      <c r="R43" s="472"/>
      <c r="T43" s="474"/>
      <c r="U43" s="474"/>
      <c r="V43" s="474"/>
      <c r="W43" s="474"/>
      <c r="X43" s="469"/>
      <c r="Y43" s="475"/>
    </row>
    <row r="44" spans="2:33" s="473" customFormat="1" x14ac:dyDescent="0.25">
      <c r="B44" s="480"/>
      <c r="C44" s="477" t="s">
        <v>287</v>
      </c>
      <c r="D44" s="466">
        <f>[17]UP.Lab!H131</f>
        <v>135770.30812324933</v>
      </c>
      <c r="E44" s="467" t="s">
        <v>285</v>
      </c>
      <c r="F44" s="479">
        <f>D44</f>
        <v>135770.30812324933</v>
      </c>
      <c r="G44" s="468" t="str">
        <f>E44</f>
        <v>Rp/day</v>
      </c>
      <c r="H44" s="468">
        <f>O5</f>
        <v>18</v>
      </c>
      <c r="I44" s="469"/>
      <c r="J44" s="469">
        <f>H44*F44</f>
        <v>2443865.5462184879</v>
      </c>
      <c r="K44" s="470"/>
      <c r="L44" s="470"/>
      <c r="M44" s="468">
        <f t="shared" si="23"/>
        <v>2443865.5462184879</v>
      </c>
      <c r="N44" s="471" t="e">
        <f t="shared" si="21"/>
        <v>#DIV/0!</v>
      </c>
      <c r="O44" s="469">
        <f>O43</f>
        <v>16200</v>
      </c>
      <c r="P44" s="471" t="e">
        <f t="shared" si="22"/>
        <v>#DIV/0!</v>
      </c>
      <c r="Q44" s="472"/>
      <c r="R44" s="472"/>
      <c r="T44" s="474"/>
      <c r="U44" s="474"/>
      <c r="V44" s="474"/>
      <c r="W44" s="474"/>
      <c r="X44" s="469"/>
      <c r="Y44" s="475"/>
    </row>
    <row r="45" spans="2:33" x14ac:dyDescent="0.25">
      <c r="B45" s="433">
        <v>13</v>
      </c>
      <c r="C45" s="457" t="s">
        <v>288</v>
      </c>
      <c r="D45" s="458"/>
      <c r="E45" s="438"/>
      <c r="F45" s="439"/>
      <c r="G45" s="426"/>
      <c r="H45" s="426"/>
      <c r="I45" s="426"/>
      <c r="J45" s="426"/>
      <c r="K45" s="427"/>
      <c r="L45" s="427"/>
      <c r="M45" s="426"/>
      <c r="N45" s="428"/>
      <c r="O45" s="426"/>
      <c r="P45" s="428"/>
      <c r="Q45" s="422"/>
      <c r="R45" s="422"/>
      <c r="T45" s="460"/>
      <c r="U45" s="460"/>
      <c r="V45" s="460"/>
      <c r="W45" s="460"/>
      <c r="X45" s="426"/>
      <c r="Y45" s="454"/>
    </row>
    <row r="46" spans="2:33" x14ac:dyDescent="0.25">
      <c r="B46" s="433"/>
      <c r="C46" s="434" t="s">
        <v>289</v>
      </c>
      <c r="D46" s="447">
        <f>2.2*7</f>
        <v>15.400000000000002</v>
      </c>
      <c r="E46" s="426" t="s">
        <v>290</v>
      </c>
      <c r="F46" s="426">
        <f>D46</f>
        <v>15.400000000000002</v>
      </c>
      <c r="G46" s="426" t="s">
        <v>290</v>
      </c>
      <c r="H46" s="426">
        <f>O5</f>
        <v>18</v>
      </c>
      <c r="I46" s="426"/>
      <c r="J46" s="426">
        <f t="shared" si="9"/>
        <v>277.20000000000005</v>
      </c>
      <c r="K46" s="427">
        <v>14500</v>
      </c>
      <c r="L46" s="427"/>
      <c r="M46" s="426">
        <f>J46*K46</f>
        <v>4019400.0000000005</v>
      </c>
      <c r="N46" s="428" t="e">
        <f t="shared" ref="N46:N47" si="24">M46/($O$5*$O$4*1000)</f>
        <v>#DIV/0!</v>
      </c>
      <c r="O46" s="426">
        <f>O42</f>
        <v>16200</v>
      </c>
      <c r="P46" s="428" t="e">
        <f t="shared" ref="P46" si="25">(M46/O46)/($O$4*$O$5)</f>
        <v>#DIV/0!</v>
      </c>
      <c r="Q46" s="422"/>
      <c r="R46" s="422"/>
      <c r="T46" s="460"/>
      <c r="U46" s="460"/>
      <c r="V46" s="460"/>
      <c r="W46" s="460"/>
      <c r="X46" s="426"/>
      <c r="Y46" s="454"/>
    </row>
    <row r="47" spans="2:33" x14ac:dyDescent="0.25">
      <c r="B47" s="481"/>
      <c r="C47" s="482" t="s">
        <v>291</v>
      </c>
      <c r="D47" s="483">
        <v>50</v>
      </c>
      <c r="E47" s="426" t="s">
        <v>290</v>
      </c>
      <c r="F47" s="460">
        <f>D47</f>
        <v>50</v>
      </c>
      <c r="G47" s="460" t="s">
        <v>290</v>
      </c>
      <c r="H47" s="460">
        <f>O5</f>
        <v>18</v>
      </c>
      <c r="I47" s="460"/>
      <c r="J47" s="460">
        <f t="shared" si="9"/>
        <v>900</v>
      </c>
      <c r="K47" s="484">
        <v>14500</v>
      </c>
      <c r="L47" s="484"/>
      <c r="M47" s="460">
        <f>J47*K47</f>
        <v>13050000</v>
      </c>
      <c r="N47" s="485" t="e">
        <f t="shared" si="24"/>
        <v>#DIV/0!</v>
      </c>
      <c r="O47" s="460">
        <f>O43</f>
        <v>16200</v>
      </c>
      <c r="P47" s="485" t="e">
        <f t="shared" si="6"/>
        <v>#DIV/0!</v>
      </c>
      <c r="Q47" s="422"/>
      <c r="R47" s="422"/>
      <c r="T47" s="460"/>
      <c r="U47" s="460"/>
      <c r="V47" s="460"/>
      <c r="W47" s="460"/>
      <c r="X47" s="426"/>
      <c r="Y47" s="454"/>
    </row>
    <row r="48" spans="2:33" x14ac:dyDescent="0.25">
      <c r="B48" s="486"/>
      <c r="C48" s="393"/>
      <c r="D48" s="394"/>
      <c r="E48" s="394"/>
      <c r="F48" s="395"/>
      <c r="G48" s="395"/>
      <c r="H48" s="395"/>
      <c r="I48" s="395"/>
      <c r="J48" s="395"/>
      <c r="K48" s="394"/>
      <c r="L48" s="394"/>
      <c r="M48" s="487">
        <f>SUM(M10:M47)</f>
        <v>165858921.26858214</v>
      </c>
      <c r="N48" s="488" t="e">
        <f>SUM(N10:N47)</f>
        <v>#DIV/0!</v>
      </c>
      <c r="O48" s="489"/>
      <c r="P48" s="488" t="e">
        <f>SUM(P10:P47)</f>
        <v>#DIV/0!</v>
      </c>
      <c r="Q48" s="422">
        <f>SUM(Q10:Q37)</f>
        <v>154.28442226668713</v>
      </c>
      <c r="R48" s="422">
        <f>SUM(R10:R37)</f>
        <v>10.640304983909457</v>
      </c>
      <c r="X48" s="490"/>
      <c r="Y48" s="491"/>
      <c r="AB48" s="405"/>
      <c r="AF48" s="446"/>
    </row>
    <row r="49" spans="4:16" x14ac:dyDescent="0.25">
      <c r="N49" s="422"/>
      <c r="P49" s="422"/>
    </row>
    <row r="50" spans="4:16" x14ac:dyDescent="0.25">
      <c r="F50" s="429"/>
      <c r="P50" s="422"/>
    </row>
    <row r="51" spans="4:16" x14ac:dyDescent="0.25">
      <c r="D51" s="405"/>
      <c r="F51" s="492"/>
      <c r="P51" s="422"/>
    </row>
    <row r="52" spans="4:16" x14ac:dyDescent="0.25">
      <c r="P52" s="422"/>
    </row>
  </sheetData>
  <mergeCells count="4">
    <mergeCell ref="D3:E3"/>
    <mergeCell ref="F3:G3"/>
    <mergeCell ref="H3:I3"/>
    <mergeCell ref="K3:L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D447-5C88-4443-8F1D-42A376EBDB8A}">
  <dimension ref="B1:T25"/>
  <sheetViews>
    <sheetView workbookViewId="0">
      <selection activeCell="U16" sqref="U16"/>
    </sheetView>
  </sheetViews>
  <sheetFormatPr defaultColWidth="8.7109375" defaultRowHeight="15" x14ac:dyDescent="0.25"/>
  <cols>
    <col min="1" max="2" width="3.42578125" style="391" customWidth="1"/>
    <col min="3" max="3" width="33.42578125" style="391" customWidth="1"/>
    <col min="4" max="4" width="8.28515625" style="391" customWidth="1"/>
    <col min="5" max="5" width="13" style="391" customWidth="1"/>
    <col min="6" max="6" width="11.42578125" style="391" bestFit="1" customWidth="1"/>
    <col min="7" max="7" width="7.42578125" style="391" customWidth="1"/>
    <col min="8" max="8" width="4.42578125" style="391" customWidth="1"/>
    <col min="9" max="9" width="3.42578125" style="391" customWidth="1"/>
    <col min="10" max="10" width="18.42578125" style="391" customWidth="1"/>
    <col min="11" max="11" width="13.42578125" style="391" customWidth="1"/>
    <col min="12" max="12" width="9" style="391" customWidth="1"/>
    <col min="13" max="13" width="14.7109375" style="391" bestFit="1" customWidth="1"/>
    <col min="14" max="14" width="7.7109375" style="391" customWidth="1"/>
    <col min="15" max="15" width="10.28515625" style="391" customWidth="1"/>
    <col min="16" max="16" width="12" style="391" customWidth="1"/>
    <col min="17" max="18" width="0" style="391" hidden="1" customWidth="1"/>
    <col min="19" max="16384" width="8.7109375" style="391"/>
  </cols>
  <sheetData>
    <row r="1" spans="2:20" ht="8.65" customHeight="1" x14ac:dyDescent="0.25"/>
    <row r="2" spans="2:20" ht="18.75" x14ac:dyDescent="0.25">
      <c r="B2" s="493" t="s">
        <v>292</v>
      </c>
      <c r="C2" s="494"/>
      <c r="D2" s="495"/>
      <c r="E2" s="495"/>
      <c r="F2" s="496"/>
      <c r="G2" s="496"/>
      <c r="H2" s="496"/>
      <c r="I2" s="496"/>
      <c r="J2" s="496"/>
      <c r="K2" s="495"/>
      <c r="L2" s="495"/>
      <c r="M2" s="495"/>
      <c r="N2" s="495"/>
      <c r="O2" s="495"/>
      <c r="P2" s="495"/>
    </row>
    <row r="3" spans="2:20" ht="24" customHeight="1" x14ac:dyDescent="0.25">
      <c r="B3" s="497" t="s">
        <v>100</v>
      </c>
      <c r="C3" s="498" t="s">
        <v>225</v>
      </c>
      <c r="D3" s="1097" t="s">
        <v>226</v>
      </c>
      <c r="E3" s="1097"/>
      <c r="F3" s="1098" t="s">
        <v>227</v>
      </c>
      <c r="G3" s="1098"/>
      <c r="H3" s="1099" t="s">
        <v>228</v>
      </c>
      <c r="I3" s="1100"/>
      <c r="J3" s="499" t="s">
        <v>229</v>
      </c>
      <c r="K3" s="1101" t="s">
        <v>230</v>
      </c>
      <c r="L3" s="1102"/>
      <c r="M3" s="497" t="s">
        <v>231</v>
      </c>
      <c r="N3" s="497" t="s">
        <v>232</v>
      </c>
      <c r="O3" s="497" t="s">
        <v>233</v>
      </c>
      <c r="P3" s="497" t="s">
        <v>234</v>
      </c>
    </row>
    <row r="4" spans="2:20" x14ac:dyDescent="0.25">
      <c r="B4" s="500" t="s">
        <v>293</v>
      </c>
      <c r="C4" s="501"/>
      <c r="D4" s="502"/>
      <c r="E4" s="502"/>
      <c r="F4" s="502"/>
      <c r="G4" s="502"/>
      <c r="H4" s="502"/>
      <c r="I4" s="502"/>
      <c r="J4" s="502"/>
      <c r="K4" s="502"/>
      <c r="L4" s="502"/>
      <c r="M4" s="502"/>
      <c r="N4" s="502"/>
      <c r="O4" s="503">
        <v>2000</v>
      </c>
      <c r="P4" s="504" t="s">
        <v>294</v>
      </c>
    </row>
    <row r="5" spans="2:20" x14ac:dyDescent="0.25">
      <c r="B5" s="505" t="s">
        <v>295</v>
      </c>
      <c r="C5" s="506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8">
        <v>300</v>
      </c>
      <c r="P5" s="509" t="s">
        <v>236</v>
      </c>
    </row>
    <row r="6" spans="2:20" x14ac:dyDescent="0.25">
      <c r="B6" s="510" t="s">
        <v>238</v>
      </c>
      <c r="C6" s="507"/>
      <c r="D6" s="507"/>
      <c r="E6" s="507"/>
      <c r="F6" s="507"/>
      <c r="G6" s="507"/>
      <c r="H6" s="507"/>
      <c r="I6" s="507"/>
      <c r="J6" s="507"/>
      <c r="K6" s="507"/>
      <c r="L6" s="507"/>
      <c r="M6" s="507"/>
      <c r="N6" s="507"/>
      <c r="O6" s="508">
        <v>300</v>
      </c>
      <c r="P6" s="509" t="s">
        <v>236</v>
      </c>
    </row>
    <row r="7" spans="2:20" x14ac:dyDescent="0.25">
      <c r="B7" s="510" t="s">
        <v>239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  <c r="O7" s="508">
        <f>[15]Formula!G6</f>
        <v>0</v>
      </c>
      <c r="P7" s="509" t="s">
        <v>236</v>
      </c>
    </row>
    <row r="8" spans="2:20" x14ac:dyDescent="0.25">
      <c r="B8" s="511" t="s">
        <v>296</v>
      </c>
      <c r="C8" s="512"/>
      <c r="D8" s="512"/>
      <c r="E8" s="512"/>
      <c r="F8" s="512"/>
      <c r="G8" s="512"/>
      <c r="H8" s="512"/>
      <c r="I8" s="512"/>
      <c r="J8" s="512"/>
      <c r="K8" s="512"/>
      <c r="L8" s="512"/>
      <c r="M8" s="512"/>
      <c r="N8" s="512"/>
      <c r="O8" s="508">
        <v>600000</v>
      </c>
      <c r="P8" s="509" t="s">
        <v>241</v>
      </c>
    </row>
    <row r="9" spans="2:20" x14ac:dyDescent="0.25">
      <c r="B9" s="513" t="s">
        <v>242</v>
      </c>
      <c r="C9" s="514"/>
      <c r="D9" s="514"/>
      <c r="E9" s="514"/>
      <c r="F9" s="514"/>
      <c r="G9" s="514"/>
      <c r="H9" s="514"/>
      <c r="I9" s="514"/>
      <c r="J9" s="514"/>
      <c r="K9" s="514"/>
      <c r="L9" s="514"/>
      <c r="M9" s="514"/>
      <c r="N9" s="514"/>
      <c r="O9" s="515">
        <v>16200</v>
      </c>
      <c r="P9" s="516" t="s">
        <v>243</v>
      </c>
    </row>
    <row r="10" spans="2:20" x14ac:dyDescent="0.25">
      <c r="B10" s="517">
        <v>1</v>
      </c>
      <c r="C10" s="518" t="s">
        <v>134</v>
      </c>
      <c r="D10" s="519">
        <v>60</v>
      </c>
      <c r="E10" s="520" t="s">
        <v>256</v>
      </c>
      <c r="F10" s="521">
        <f>(D10*$O$4)/1000</f>
        <v>120</v>
      </c>
      <c r="G10" s="521" t="s">
        <v>245</v>
      </c>
      <c r="H10" s="521">
        <f>O5</f>
        <v>300</v>
      </c>
      <c r="I10" s="521"/>
      <c r="J10" s="521">
        <f>(H10*F10)+(I10*F10)</f>
        <v>36000</v>
      </c>
      <c r="K10" s="522">
        <f>'[18]MP BOILER'!H15</f>
        <v>516233.21125343133</v>
      </c>
      <c r="L10" s="522">
        <v>0</v>
      </c>
      <c r="M10" s="521">
        <f>(K10*H10*F10)+(L10*I10*F10)</f>
        <v>18584395605.123528</v>
      </c>
      <c r="N10" s="523">
        <f>M10/($O$5*$O$4*1000)</f>
        <v>30.973992675205878</v>
      </c>
      <c r="O10" s="521">
        <f>O9</f>
        <v>16200</v>
      </c>
      <c r="P10" s="523">
        <f>(M10/O10)/($O$4*$O$5)</f>
        <v>1.9119748564941901</v>
      </c>
      <c r="Q10" s="422">
        <v>32.159999999999997</v>
      </c>
      <c r="R10" s="422">
        <v>2.2179310344827581</v>
      </c>
      <c r="T10" s="524"/>
    </row>
    <row r="11" spans="2:20" x14ac:dyDescent="0.25">
      <c r="B11" s="525">
        <v>2</v>
      </c>
      <c r="C11" s="457" t="s">
        <v>297</v>
      </c>
      <c r="D11" s="444"/>
      <c r="E11" s="438"/>
      <c r="F11" s="458"/>
      <c r="G11" s="458"/>
      <c r="H11" s="458"/>
      <c r="I11" s="458"/>
      <c r="J11" s="458"/>
      <c r="K11" s="427"/>
      <c r="L11" s="427"/>
      <c r="M11" s="458"/>
      <c r="N11" s="526"/>
      <c r="O11" s="458"/>
      <c r="P11" s="526"/>
      <c r="Q11" s="422"/>
      <c r="R11" s="422"/>
    </row>
    <row r="12" spans="2:20" x14ac:dyDescent="0.25">
      <c r="B12" s="527"/>
      <c r="C12" s="434" t="s">
        <v>255</v>
      </c>
      <c r="D12" s="443">
        <v>3</v>
      </c>
      <c r="E12" s="438" t="s">
        <v>260</v>
      </c>
      <c r="F12" s="458">
        <f>D12*$O$4</f>
        <v>6000</v>
      </c>
      <c r="G12" s="458" t="s">
        <v>261</v>
      </c>
      <c r="H12" s="458">
        <f>O6</f>
        <v>300</v>
      </c>
      <c r="I12" s="458">
        <f>O7</f>
        <v>0</v>
      </c>
      <c r="J12" s="458">
        <f t="shared" ref="J12:J13" si="0">H12*F12</f>
        <v>1800000</v>
      </c>
      <c r="K12" s="427">
        <v>1550</v>
      </c>
      <c r="L12" s="427"/>
      <c r="M12" s="458">
        <f>(K12*H12*F12)+(L12*I12*F12)</f>
        <v>2790000000</v>
      </c>
      <c r="N12" s="526">
        <f>M12/($O$5*$O$4*1000)</f>
        <v>4.6500000000000004</v>
      </c>
      <c r="O12" s="458">
        <f>O10</f>
        <v>16200</v>
      </c>
      <c r="P12" s="526">
        <f>(M12/O12)/($O$4*$O$5)</f>
        <v>0.28703703703703703</v>
      </c>
      <c r="Q12" s="422"/>
      <c r="R12" s="422"/>
    </row>
    <row r="13" spans="2:20" x14ac:dyDescent="0.25">
      <c r="B13" s="517"/>
      <c r="C13" s="434" t="s">
        <v>262</v>
      </c>
      <c r="D13" s="443">
        <v>1.97</v>
      </c>
      <c r="E13" s="438" t="s">
        <v>260</v>
      </c>
      <c r="F13" s="458">
        <f>D13*$O$4</f>
        <v>3940</v>
      </c>
      <c r="G13" s="458" t="s">
        <v>261</v>
      </c>
      <c r="H13" s="458">
        <f>O6</f>
        <v>300</v>
      </c>
      <c r="I13" s="458">
        <f>O7</f>
        <v>0</v>
      </c>
      <c r="J13" s="458">
        <f t="shared" si="0"/>
        <v>1182000</v>
      </c>
      <c r="K13" s="427">
        <v>1550</v>
      </c>
      <c r="L13" s="427"/>
      <c r="M13" s="458">
        <f>(K13*H13*F13)+(L13*I13*F13)</f>
        <v>1832100000</v>
      </c>
      <c r="N13" s="526">
        <f>M13/($O$5*$O$4*1000)</f>
        <v>3.0535000000000001</v>
      </c>
      <c r="O13" s="458">
        <f>O12</f>
        <v>16200</v>
      </c>
      <c r="P13" s="526">
        <f>(M13/O13)/($O$4*$O$5)</f>
        <v>0.18848765432098766</v>
      </c>
      <c r="Q13" s="422"/>
      <c r="R13" s="422"/>
    </row>
    <row r="14" spans="2:20" x14ac:dyDescent="0.25">
      <c r="B14" s="527">
        <v>3</v>
      </c>
      <c r="C14" s="424" t="s">
        <v>264</v>
      </c>
      <c r="D14" s="443"/>
      <c r="E14" s="438"/>
      <c r="F14" s="458"/>
      <c r="G14" s="458"/>
      <c r="H14" s="458"/>
      <c r="I14" s="458"/>
      <c r="J14" s="458"/>
      <c r="K14" s="427"/>
      <c r="L14" s="427"/>
      <c r="M14" s="458"/>
      <c r="N14" s="526"/>
      <c r="O14" s="458"/>
      <c r="P14" s="526"/>
      <c r="Q14" s="422">
        <v>0.29483999999999994</v>
      </c>
      <c r="R14" s="422">
        <v>2.0333793103448274E-2</v>
      </c>
    </row>
    <row r="15" spans="2:20" x14ac:dyDescent="0.25">
      <c r="B15" s="527"/>
      <c r="C15" s="434" t="s">
        <v>265</v>
      </c>
      <c r="D15" s="437">
        <f>110-60</f>
        <v>50</v>
      </c>
      <c r="E15" s="438" t="s">
        <v>266</v>
      </c>
      <c r="F15" s="458">
        <f>D15</f>
        <v>50</v>
      </c>
      <c r="G15" s="458" t="str">
        <f>E15</f>
        <v>M3/day</v>
      </c>
      <c r="H15" s="458">
        <f>O5</f>
        <v>300</v>
      </c>
      <c r="I15" s="458"/>
      <c r="J15" s="458">
        <f t="shared" ref="J15:J20" si="1">H15*F15</f>
        <v>15000</v>
      </c>
      <c r="K15" s="427">
        <f>[18]LWTP!H13</f>
        <v>22504.0903</v>
      </c>
      <c r="L15" s="427"/>
      <c r="M15" s="458">
        <f t="shared" ref="M15:M20" si="2">K15*J15</f>
        <v>337561354.5</v>
      </c>
      <c r="N15" s="526">
        <f>M15/($O$5*$O$4*1000)</f>
        <v>0.56260225750000004</v>
      </c>
      <c r="O15" s="458">
        <f>O13</f>
        <v>16200</v>
      </c>
      <c r="P15" s="526">
        <f>(M15/O15)/($O$4*$O$5)</f>
        <v>3.4728534413580252E-2</v>
      </c>
      <c r="Q15" s="422"/>
      <c r="R15" s="422"/>
    </row>
    <row r="16" spans="2:20" x14ac:dyDescent="0.25">
      <c r="B16" s="525">
        <v>4</v>
      </c>
      <c r="C16" s="424" t="s">
        <v>267</v>
      </c>
      <c r="D16" s="458"/>
      <c r="E16" s="438"/>
      <c r="F16" s="458"/>
      <c r="G16" s="458"/>
      <c r="H16" s="458"/>
      <c r="I16" s="458"/>
      <c r="J16" s="458"/>
      <c r="K16" s="427"/>
      <c r="L16" s="427"/>
      <c r="M16" s="458"/>
      <c r="N16" s="526"/>
      <c r="O16" s="458"/>
      <c r="P16" s="526"/>
      <c r="Q16" s="422">
        <v>32.592264421052626</v>
      </c>
      <c r="R16" s="422">
        <v>2.2477423738656985</v>
      </c>
    </row>
    <row r="17" spans="2:18" x14ac:dyDescent="0.25">
      <c r="B17" s="527"/>
      <c r="C17" s="434" t="s">
        <v>268</v>
      </c>
      <c r="D17" s="447">
        <v>0.4</v>
      </c>
      <c r="E17" s="438" t="s">
        <v>245</v>
      </c>
      <c r="F17" s="447">
        <f>D17</f>
        <v>0.4</v>
      </c>
      <c r="G17" s="458" t="str">
        <f>E17</f>
        <v>Kg/day</v>
      </c>
      <c r="H17" s="458">
        <f>O5</f>
        <v>300</v>
      </c>
      <c r="I17" s="458"/>
      <c r="J17" s="458">
        <f t="shared" si="1"/>
        <v>120</v>
      </c>
      <c r="K17" s="427">
        <v>27240</v>
      </c>
      <c r="L17" s="427"/>
      <c r="M17" s="458">
        <f t="shared" si="2"/>
        <v>3268800</v>
      </c>
      <c r="N17" s="526">
        <f>M17/($O$5*$O$4*1000)</f>
        <v>5.4479999999999997E-3</v>
      </c>
      <c r="O17" s="458">
        <f>O15</f>
        <v>16200</v>
      </c>
      <c r="P17" s="526">
        <f>(M17/O17)/($O$4*$O$5)</f>
        <v>3.3629629629629629E-4</v>
      </c>
      <c r="Q17" s="422"/>
      <c r="R17" s="422"/>
    </row>
    <row r="18" spans="2:18" x14ac:dyDescent="0.25">
      <c r="B18" s="527"/>
      <c r="C18" s="434" t="s">
        <v>269</v>
      </c>
      <c r="D18" s="447">
        <v>0.66</v>
      </c>
      <c r="E18" s="438" t="s">
        <v>245</v>
      </c>
      <c r="F18" s="447">
        <f>D18</f>
        <v>0.66</v>
      </c>
      <c r="G18" s="458" t="str">
        <f t="shared" ref="G18:G20" si="3">E18</f>
        <v>Kg/day</v>
      </c>
      <c r="H18" s="458">
        <f>O5</f>
        <v>300</v>
      </c>
      <c r="I18" s="458"/>
      <c r="J18" s="458">
        <f t="shared" si="1"/>
        <v>198</v>
      </c>
      <c r="K18" s="427">
        <v>29120</v>
      </c>
      <c r="L18" s="427"/>
      <c r="M18" s="458">
        <f t="shared" si="2"/>
        <v>5765760</v>
      </c>
      <c r="N18" s="526">
        <f>M18/($O$5*$O$4*1000)</f>
        <v>9.6095999999999994E-3</v>
      </c>
      <c r="O18" s="458">
        <f>O17</f>
        <v>16200</v>
      </c>
      <c r="P18" s="526">
        <f>(M18/O18)/($O$4*$O$5)</f>
        <v>5.931851851851852E-4</v>
      </c>
      <c r="Q18" s="422"/>
      <c r="R18" s="422"/>
    </row>
    <row r="19" spans="2:18" x14ac:dyDescent="0.25">
      <c r="B19" s="527"/>
      <c r="C19" s="434" t="s">
        <v>270</v>
      </c>
      <c r="D19" s="447">
        <v>0.41</v>
      </c>
      <c r="E19" s="438" t="s">
        <v>245</v>
      </c>
      <c r="F19" s="447">
        <f>D19</f>
        <v>0.41</v>
      </c>
      <c r="G19" s="458" t="str">
        <f t="shared" si="3"/>
        <v>Kg/day</v>
      </c>
      <c r="H19" s="458">
        <f>O5</f>
        <v>300</v>
      </c>
      <c r="I19" s="458"/>
      <c r="J19" s="458">
        <f t="shared" si="1"/>
        <v>122.99999999999999</v>
      </c>
      <c r="K19" s="427">
        <v>117212</v>
      </c>
      <c r="L19" s="427"/>
      <c r="M19" s="458">
        <f t="shared" si="2"/>
        <v>14417075.999999998</v>
      </c>
      <c r="N19" s="526">
        <f>M19/($O$5*$O$4*1000)</f>
        <v>2.4028459999999998E-2</v>
      </c>
      <c r="O19" s="458">
        <f t="shared" ref="O19:O20" si="4">O17</f>
        <v>16200</v>
      </c>
      <c r="P19" s="526">
        <f>(M19/O19)/($O$4*$O$5)</f>
        <v>1.483238271604938E-3</v>
      </c>
      <c r="Q19" s="422"/>
      <c r="R19" s="422"/>
    </row>
    <row r="20" spans="2:18" x14ac:dyDescent="0.25">
      <c r="B20" s="527"/>
      <c r="C20" s="448" t="s">
        <v>271</v>
      </c>
      <c r="D20" s="447">
        <v>0.1</v>
      </c>
      <c r="E20" s="438" t="s">
        <v>245</v>
      </c>
      <c r="F20" s="447">
        <f>D20</f>
        <v>0.1</v>
      </c>
      <c r="G20" s="458" t="str">
        <f t="shared" si="3"/>
        <v>Kg/day</v>
      </c>
      <c r="H20" s="458">
        <f>O5</f>
        <v>300</v>
      </c>
      <c r="I20" s="458"/>
      <c r="J20" s="458">
        <f t="shared" si="1"/>
        <v>30</v>
      </c>
      <c r="K20" s="427">
        <v>45940</v>
      </c>
      <c r="L20" s="427"/>
      <c r="M20" s="458">
        <f t="shared" si="2"/>
        <v>1378200</v>
      </c>
      <c r="N20" s="526">
        <f>M20/($O$5*$O$4*1000)</f>
        <v>2.297E-3</v>
      </c>
      <c r="O20" s="458">
        <f t="shared" si="4"/>
        <v>16200</v>
      </c>
      <c r="P20" s="526">
        <f>(M20/O20)/($O$4*$O$5)</f>
        <v>1.4179012345679013E-4</v>
      </c>
      <c r="Q20" s="422"/>
      <c r="R20" s="422"/>
    </row>
    <row r="21" spans="2:18" x14ac:dyDescent="0.25">
      <c r="B21" s="525">
        <v>5</v>
      </c>
      <c r="C21" s="528" t="s">
        <v>7</v>
      </c>
      <c r="D21" s="458"/>
      <c r="E21" s="438"/>
      <c r="F21" s="458"/>
      <c r="G21" s="458"/>
      <c r="H21" s="458"/>
      <c r="I21" s="458"/>
      <c r="J21" s="458"/>
      <c r="K21" s="427"/>
      <c r="L21" s="427"/>
      <c r="M21" s="458"/>
      <c r="N21" s="526"/>
      <c r="O21" s="458"/>
      <c r="P21" s="526"/>
      <c r="Q21" s="422">
        <v>2.7410526315789472</v>
      </c>
      <c r="R21" s="422">
        <v>0.18903811252268601</v>
      </c>
    </row>
    <row r="22" spans="2:18" x14ac:dyDescent="0.25">
      <c r="B22" s="527"/>
      <c r="C22" s="529" t="s">
        <v>298</v>
      </c>
      <c r="D22" s="447">
        <f>110/330</f>
        <v>0.33333333333333331</v>
      </c>
      <c r="E22" s="438" t="s">
        <v>273</v>
      </c>
      <c r="F22" s="447">
        <f>D22*1</f>
        <v>0.33333333333333331</v>
      </c>
      <c r="G22" s="458" t="str">
        <f>E22</f>
        <v>Pcs/day</v>
      </c>
      <c r="H22" s="458">
        <f>O5</f>
        <v>300</v>
      </c>
      <c r="I22" s="458"/>
      <c r="J22" s="458">
        <f>F22*H22</f>
        <v>100</v>
      </c>
      <c r="K22" s="427">
        <v>895000</v>
      </c>
      <c r="L22" s="427"/>
      <c r="M22" s="458">
        <f>J22*K22</f>
        <v>89500000</v>
      </c>
      <c r="N22" s="526">
        <f>M22/($O$5*$O$4*1000)</f>
        <v>0.14916666666666667</v>
      </c>
      <c r="O22" s="458">
        <f>O20</f>
        <v>16200</v>
      </c>
      <c r="P22" s="526">
        <f>(M22/O22)/($O$4*$O$5)</f>
        <v>9.2078189300411513E-3</v>
      </c>
      <c r="Q22" s="422">
        <v>0.27527032635351817</v>
      </c>
      <c r="R22" s="422">
        <v>1.8984160438173667E-2</v>
      </c>
    </row>
    <row r="23" spans="2:18" x14ac:dyDescent="0.25">
      <c r="B23" s="527"/>
      <c r="C23" s="530" t="s">
        <v>299</v>
      </c>
      <c r="D23" s="483">
        <f>150/332</f>
        <v>0.45180722891566266</v>
      </c>
      <c r="E23" s="531" t="s">
        <v>273</v>
      </c>
      <c r="F23" s="483">
        <f>D23</f>
        <v>0.45180722891566266</v>
      </c>
      <c r="G23" s="532" t="str">
        <f>E23</f>
        <v>Pcs/day</v>
      </c>
      <c r="H23" s="532">
        <f>O5</f>
        <v>300</v>
      </c>
      <c r="I23" s="532"/>
      <c r="J23" s="532">
        <f>F23*H23</f>
        <v>135.54216867469879</v>
      </c>
      <c r="K23" s="462">
        <v>130000</v>
      </c>
      <c r="L23" s="462"/>
      <c r="M23" s="458">
        <f>J23*K23</f>
        <v>17620481.927710842</v>
      </c>
      <c r="N23" s="526">
        <f>M23/($O$5*$O$4*1000)</f>
        <v>2.936746987951807E-2</v>
      </c>
      <c r="O23" s="458">
        <v>16200</v>
      </c>
      <c r="P23" s="526">
        <f t="shared" ref="P23" si="5">(M23/O23)/($O$4*$O$5)</f>
        <v>1.8128067826863007E-3</v>
      </c>
      <c r="Q23" s="422"/>
      <c r="R23" s="422"/>
    </row>
    <row r="24" spans="2:18" x14ac:dyDescent="0.25">
      <c r="B24" s="533"/>
      <c r="C24" s="530" t="s">
        <v>300</v>
      </c>
      <c r="D24" s="483">
        <f>150/332</f>
        <v>0.45180722891566266</v>
      </c>
      <c r="E24" s="531" t="s">
        <v>273</v>
      </c>
      <c r="F24" s="483">
        <f>D24</f>
        <v>0.45180722891566266</v>
      </c>
      <c r="G24" s="532" t="str">
        <f>E24</f>
        <v>Pcs/day</v>
      </c>
      <c r="H24" s="532">
        <f>O5</f>
        <v>300</v>
      </c>
      <c r="I24" s="532"/>
      <c r="J24" s="532">
        <f>F24*H24</f>
        <v>135.54216867469879</v>
      </c>
      <c r="K24" s="462">
        <v>125000</v>
      </c>
      <c r="L24" s="462"/>
      <c r="M24" s="458">
        <f>J24*K24</f>
        <v>16942771.08433735</v>
      </c>
      <c r="N24" s="526">
        <f>M24/($O$5*$O$4*1000)</f>
        <v>2.8237951807228916E-2</v>
      </c>
      <c r="O24" s="458">
        <f>O22</f>
        <v>16200</v>
      </c>
      <c r="P24" s="526">
        <f>(M24/O24)/($O$4*$O$5)</f>
        <v>1.7430834448906739E-3</v>
      </c>
      <c r="Q24" s="422"/>
      <c r="R24" s="422"/>
    </row>
    <row r="25" spans="2:18" x14ac:dyDescent="0.25">
      <c r="B25" s="534"/>
      <c r="C25" s="494"/>
      <c r="D25" s="495"/>
      <c r="E25" s="495"/>
      <c r="F25" s="496"/>
      <c r="G25" s="496"/>
      <c r="H25" s="496"/>
      <c r="I25" s="496"/>
      <c r="J25" s="535" t="s">
        <v>301</v>
      </c>
      <c r="K25" s="536"/>
      <c r="L25" s="536"/>
      <c r="M25" s="537">
        <f>SUM(M10:M24)</f>
        <v>23692950048.635578</v>
      </c>
      <c r="N25" s="538">
        <f>SUM(N10:N24)</f>
        <v>39.488250081059277</v>
      </c>
      <c r="O25" s="539"/>
      <c r="P25" s="540">
        <f>SUM(P10:P24)</f>
        <v>2.4375463012999563</v>
      </c>
      <c r="Q25" s="422"/>
      <c r="R25" s="422"/>
    </row>
  </sheetData>
  <mergeCells count="4">
    <mergeCell ref="D3:E3"/>
    <mergeCell ref="F3:G3"/>
    <mergeCell ref="H3:I3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0FAC-0759-42C4-B3CA-E69F725D7FBF}">
  <dimension ref="B2:M28"/>
  <sheetViews>
    <sheetView workbookViewId="0">
      <selection activeCell="F31" sqref="F31"/>
    </sheetView>
  </sheetViews>
  <sheetFormatPr defaultColWidth="8.7109375" defaultRowHeight="15" x14ac:dyDescent="0.25"/>
  <cols>
    <col min="1" max="1" width="13.7109375" style="391" customWidth="1"/>
    <col min="2" max="2" width="4.5703125" style="391" customWidth="1"/>
    <col min="3" max="3" width="31.28515625" style="391" customWidth="1"/>
    <col min="4" max="4" width="3.42578125" style="541" customWidth="1"/>
    <col min="5" max="5" width="47.28515625" style="391" customWidth="1"/>
    <col min="6" max="6" width="20.7109375" style="541" customWidth="1"/>
    <col min="7" max="7" width="13.7109375" style="541" customWidth="1"/>
    <col min="8" max="8" width="13.42578125" style="541" customWidth="1"/>
    <col min="9" max="9" width="15.28515625" style="391" bestFit="1" customWidth="1"/>
    <col min="10" max="10" width="13.42578125" style="391" bestFit="1" customWidth="1"/>
    <col min="11" max="11" width="17.28515625" style="391" bestFit="1" customWidth="1"/>
    <col min="12" max="16384" width="8.7109375" style="391"/>
  </cols>
  <sheetData>
    <row r="2" spans="2:13" x14ac:dyDescent="0.25">
      <c r="B2" s="391" t="s">
        <v>302</v>
      </c>
    </row>
    <row r="3" spans="2:13" s="545" customFormat="1" ht="12.75" x14ac:dyDescent="0.2">
      <c r="B3" s="542" t="s">
        <v>235</v>
      </c>
      <c r="C3" s="502"/>
      <c r="D3" s="502"/>
      <c r="E3" s="502"/>
      <c r="F3" s="543"/>
      <c r="G3" s="544">
        <f>[16]REF!O4</f>
        <v>2200</v>
      </c>
      <c r="H3" s="504" t="s">
        <v>294</v>
      </c>
      <c r="M3" s="546"/>
    </row>
    <row r="4" spans="2:13" s="545" customFormat="1" ht="12.75" x14ac:dyDescent="0.2">
      <c r="B4" s="542" t="s">
        <v>303</v>
      </c>
      <c r="C4" s="502"/>
      <c r="D4" s="547"/>
      <c r="E4" s="547"/>
      <c r="F4" s="548"/>
      <c r="G4" s="549">
        <f>[16]FRACT!O4</f>
        <v>4314</v>
      </c>
      <c r="H4" s="504" t="s">
        <v>294</v>
      </c>
      <c r="M4" s="546"/>
    </row>
    <row r="5" spans="2:13" s="545" customFormat="1" ht="12.75" x14ac:dyDescent="0.2">
      <c r="B5" s="510" t="s">
        <v>237</v>
      </c>
      <c r="C5" s="507"/>
      <c r="D5" s="507"/>
      <c r="E5" s="507"/>
      <c r="F5" s="550"/>
      <c r="G5" s="508">
        <v>18</v>
      </c>
      <c r="H5" s="551" t="s">
        <v>236</v>
      </c>
    </row>
    <row r="6" spans="2:13" s="545" customFormat="1" ht="12.75" x14ac:dyDescent="0.2">
      <c r="B6" s="510" t="s">
        <v>238</v>
      </c>
      <c r="C6" s="507"/>
      <c r="D6" s="507"/>
      <c r="E6" s="507"/>
      <c r="F6" s="550"/>
      <c r="G6" s="508">
        <v>300</v>
      </c>
      <c r="H6" s="551" t="s">
        <v>236</v>
      </c>
    </row>
    <row r="7" spans="2:13" s="545" customFormat="1" ht="12.75" x14ac:dyDescent="0.2">
      <c r="B7" s="510" t="s">
        <v>239</v>
      </c>
      <c r="C7" s="507"/>
      <c r="D7" s="507"/>
      <c r="E7" s="507"/>
      <c r="F7" s="550"/>
      <c r="G7" s="552">
        <v>0</v>
      </c>
      <c r="H7" s="551" t="s">
        <v>236</v>
      </c>
    </row>
    <row r="8" spans="2:13" s="545" customFormat="1" ht="12.75" x14ac:dyDescent="0.2">
      <c r="B8" s="510" t="s">
        <v>240</v>
      </c>
      <c r="C8" s="507"/>
      <c r="D8" s="507"/>
      <c r="E8" s="507"/>
      <c r="F8" s="550"/>
      <c r="G8" s="508">
        <f>G3*G5</f>
        <v>39600</v>
      </c>
      <c r="H8" s="551" t="s">
        <v>241</v>
      </c>
      <c r="J8" s="553"/>
    </row>
    <row r="9" spans="2:13" s="545" customFormat="1" ht="12.75" x14ac:dyDescent="0.2">
      <c r="B9" s="554" t="s">
        <v>242</v>
      </c>
      <c r="C9" s="555"/>
      <c r="D9" s="555"/>
      <c r="E9" s="555"/>
      <c r="F9" s="556"/>
      <c r="G9" s="515">
        <v>16200</v>
      </c>
      <c r="H9" s="557" t="s">
        <v>243</v>
      </c>
    </row>
    <row r="10" spans="2:13" s="541" customFormat="1" ht="22.9" customHeight="1" x14ac:dyDescent="0.25">
      <c r="B10" s="558" t="s">
        <v>100</v>
      </c>
      <c r="C10" s="559" t="s">
        <v>304</v>
      </c>
      <c r="D10" s="1103" t="s">
        <v>305</v>
      </c>
      <c r="E10" s="1103"/>
      <c r="F10" s="559" t="s">
        <v>306</v>
      </c>
      <c r="G10" s="558" t="s">
        <v>307</v>
      </c>
      <c r="H10" s="559" t="s">
        <v>234</v>
      </c>
    </row>
    <row r="11" spans="2:13" x14ac:dyDescent="0.25">
      <c r="B11" s="560" t="s">
        <v>308</v>
      </c>
      <c r="C11" s="561" t="s">
        <v>309</v>
      </c>
      <c r="D11" s="562">
        <v>1</v>
      </c>
      <c r="E11" s="563" t="s">
        <v>310</v>
      </c>
      <c r="F11" s="564">
        <f>[16]REF!M48</f>
        <v>16422668234.387341</v>
      </c>
      <c r="G11" s="565">
        <f>F11/($G$8*1000)</f>
        <v>414.71384430271064</v>
      </c>
      <c r="H11" s="566">
        <f>(F11/$G$8)/$G$9</f>
        <v>25.59962001868584</v>
      </c>
      <c r="I11" s="567"/>
    </row>
    <row r="12" spans="2:13" x14ac:dyDescent="0.25">
      <c r="B12" s="568"/>
      <c r="D12" s="569">
        <v>2</v>
      </c>
      <c r="E12" s="570" t="s">
        <v>292</v>
      </c>
      <c r="F12" s="571">
        <f>[16]FRACT!M25</f>
        <v>17406850764.555809</v>
      </c>
      <c r="G12" s="572">
        <f>F12/($G$8*1000)</f>
        <v>439.56693849888404</v>
      </c>
      <c r="H12" s="573">
        <f>(F12/$G$8)/$G$9</f>
        <v>27.133761635733585</v>
      </c>
    </row>
    <row r="13" spans="2:13" ht="15.75" thickBot="1" x14ac:dyDescent="0.3">
      <c r="B13" s="568"/>
      <c r="D13" s="569">
        <v>3</v>
      </c>
      <c r="E13" s="570" t="s">
        <v>311</v>
      </c>
      <c r="F13" s="571">
        <f>[16]MTC!C15+[16]ELECTRICAL!C19</f>
        <v>9471784672.9411774</v>
      </c>
      <c r="G13" s="574">
        <f>F13/($G$8*1000)</f>
        <v>239.18648163992873</v>
      </c>
      <c r="H13" s="573">
        <f>(F13/$G$8)/$G$9</f>
        <v>14.764597632094365</v>
      </c>
    </row>
    <row r="14" spans="2:13" ht="15.75" thickBot="1" x14ac:dyDescent="0.3">
      <c r="B14" s="575"/>
      <c r="C14" s="576"/>
      <c r="D14" s="577"/>
      <c r="E14" s="578"/>
      <c r="F14" s="579"/>
      <c r="G14" s="580">
        <f>SUM(G11:G13)</f>
        <v>1093.4672644415234</v>
      </c>
      <c r="H14" s="581">
        <f>SUM(H11:H13)</f>
        <v>67.497979286513782</v>
      </c>
    </row>
    <row r="15" spans="2:13" hidden="1" x14ac:dyDescent="0.25">
      <c r="B15" s="568" t="s">
        <v>312</v>
      </c>
      <c r="C15" s="391" t="s">
        <v>313</v>
      </c>
      <c r="D15" s="569">
        <v>1</v>
      </c>
      <c r="E15" s="570" t="s">
        <v>314</v>
      </c>
      <c r="F15" s="571">
        <f>SUM('[15]FC-1 New'!I17,'[15]FC-1 New'!I38)</f>
        <v>57497185067.839973</v>
      </c>
      <c r="G15" s="574">
        <f>F15/($G$8*1000)</f>
        <v>1451.9491178747469</v>
      </c>
      <c r="H15" s="573">
        <f>(F15/$G$8)/$G$9</f>
        <v>89.626488757700429</v>
      </c>
      <c r="I15" s="405"/>
      <c r="K15" s="582"/>
    </row>
    <row r="16" spans="2:13" hidden="1" x14ac:dyDescent="0.25">
      <c r="B16" s="568"/>
      <c r="D16" s="569">
        <v>2</v>
      </c>
      <c r="E16" s="570" t="s">
        <v>315</v>
      </c>
      <c r="F16" s="571">
        <f>'[15]FC-2'!J69</f>
        <v>11780863262.314999</v>
      </c>
      <c r="G16" s="574">
        <f>F16/($G$8*1000)</f>
        <v>297.49654702815656</v>
      </c>
      <c r="H16" s="573">
        <f>(F16/$G$8)/$G$9</f>
        <v>18.363984384454106</v>
      </c>
      <c r="K16" s="583"/>
    </row>
    <row r="17" spans="2:11" hidden="1" x14ac:dyDescent="0.25">
      <c r="B17" s="568"/>
      <c r="D17" s="569">
        <v>3</v>
      </c>
      <c r="E17" s="570" t="s">
        <v>316</v>
      </c>
      <c r="F17" s="571">
        <f>'[15]FC-4'!E5</f>
        <v>41807174181.370003</v>
      </c>
      <c r="G17" s="574">
        <f>F17/($G$8*1000)</f>
        <v>1055.7367217517678</v>
      </c>
      <c r="H17" s="573">
        <f>(F17/$G$8)/$G$9</f>
        <v>65.168933441467146</v>
      </c>
      <c r="K17" s="583"/>
    </row>
    <row r="18" spans="2:11" hidden="1" x14ac:dyDescent="0.25">
      <c r="B18" s="568"/>
      <c r="D18" s="569">
        <v>4</v>
      </c>
      <c r="E18" s="570" t="s">
        <v>317</v>
      </c>
      <c r="F18" s="571">
        <f>'[15]FC-5'!D5</f>
        <v>24145564059.079998</v>
      </c>
      <c r="G18" s="574">
        <f>F18/($G$8*1000)</f>
        <v>609.73646613838378</v>
      </c>
      <c r="H18" s="573">
        <f>(F18/$G$8)/$G$9</f>
        <v>37.638053465332334</v>
      </c>
    </row>
    <row r="19" spans="2:11" hidden="1" x14ac:dyDescent="0.25">
      <c r="B19" s="568"/>
      <c r="D19" s="569"/>
      <c r="E19" s="570"/>
      <c r="G19" s="584">
        <f>SUM(G15:G18)</f>
        <v>3414.9188527930546</v>
      </c>
      <c r="H19" s="584">
        <f>SUM(H15:H18)</f>
        <v>210.79746004895401</v>
      </c>
      <c r="K19" s="405"/>
    </row>
    <row r="20" spans="2:11" hidden="1" x14ac:dyDescent="0.25">
      <c r="B20" s="568" t="s">
        <v>318</v>
      </c>
      <c r="C20" s="391" t="s">
        <v>319</v>
      </c>
      <c r="D20" s="569">
        <v>1</v>
      </c>
      <c r="E20" s="570" t="s">
        <v>320</v>
      </c>
      <c r="F20" s="571">
        <f>[15]Finance!H8</f>
        <v>57976217057.57</v>
      </c>
      <c r="G20" s="574">
        <f>F20/($G$8*1000)</f>
        <v>1464.0458852921718</v>
      </c>
      <c r="H20" s="573">
        <f>(F20/$G$8)/$G$9</f>
        <v>90.373202795813071</v>
      </c>
      <c r="K20" s="583"/>
    </row>
    <row r="21" spans="2:11" hidden="1" x14ac:dyDescent="0.25">
      <c r="B21" s="568"/>
      <c r="D21" s="569">
        <v>2</v>
      </c>
      <c r="E21" s="570" t="s">
        <v>321</v>
      </c>
      <c r="F21" s="571">
        <f>[15]Finance!H22</f>
        <v>0</v>
      </c>
      <c r="G21" s="574">
        <f>F21/($G$8*1000)</f>
        <v>0</v>
      </c>
      <c r="H21" s="573">
        <f>(F21/$G$8)/$G$9</f>
        <v>0</v>
      </c>
      <c r="K21" s="583"/>
    </row>
    <row r="22" spans="2:11" hidden="1" x14ac:dyDescent="0.25">
      <c r="B22" s="568"/>
      <c r="D22" s="569">
        <v>3</v>
      </c>
      <c r="E22" s="570" t="s">
        <v>322</v>
      </c>
      <c r="F22" s="571">
        <f>[15]Finance!H26</f>
        <v>0</v>
      </c>
      <c r="G22" s="574">
        <f>F22/($G$8*1000)</f>
        <v>0</v>
      </c>
      <c r="H22" s="573">
        <f>(F22/$G$8)/$G$9</f>
        <v>0</v>
      </c>
    </row>
    <row r="23" spans="2:11" hidden="1" x14ac:dyDescent="0.25">
      <c r="B23" s="568"/>
      <c r="D23" s="569"/>
      <c r="E23" s="570"/>
      <c r="G23" s="584">
        <f>SUM(G20:G22)</f>
        <v>1464.0458852921718</v>
      </c>
      <c r="H23" s="584">
        <f>SUM(H20:H22)</f>
        <v>90.373202795813071</v>
      </c>
    </row>
    <row r="24" spans="2:11" hidden="1" x14ac:dyDescent="0.25">
      <c r="B24" s="568" t="s">
        <v>323</v>
      </c>
      <c r="C24" s="570" t="s">
        <v>324</v>
      </c>
      <c r="D24" s="569">
        <v>1</v>
      </c>
      <c r="E24" s="570" t="s">
        <v>325</v>
      </c>
      <c r="F24" s="585">
        <f>'[15]Sales-1'!M26</f>
        <v>119217295738.35999</v>
      </c>
      <c r="G24" s="574">
        <f>F24/($G$8*1000)</f>
        <v>3010.5377711707065</v>
      </c>
      <c r="H24" s="574">
        <f>(F24/$G$8)/$G$9</f>
        <v>185.83566488708064</v>
      </c>
      <c r="K24" s="586"/>
    </row>
    <row r="25" spans="2:11" hidden="1" x14ac:dyDescent="0.25">
      <c r="B25" s="587"/>
      <c r="C25" s="570"/>
      <c r="D25" s="569">
        <v>2</v>
      </c>
      <c r="E25" s="570" t="s">
        <v>326</v>
      </c>
      <c r="F25" s="585">
        <f>'[15]Sales-2'!G13</f>
        <v>79024015564.76001</v>
      </c>
      <c r="G25" s="574">
        <f>F25/($G$8*1000)</f>
        <v>1995.5559486050508</v>
      </c>
      <c r="H25" s="574">
        <f>(F25/$G$8)/$G$9</f>
        <v>123.18246596327474</v>
      </c>
      <c r="K25" s="586"/>
    </row>
    <row r="26" spans="2:11" hidden="1" x14ac:dyDescent="0.25">
      <c r="B26" s="588"/>
      <c r="C26" s="589"/>
      <c r="D26" s="590"/>
      <c r="E26" s="589"/>
      <c r="F26" s="591"/>
      <c r="G26" s="592">
        <f>SUM(G24:G25)</f>
        <v>5006.0937197757576</v>
      </c>
      <c r="H26" s="592">
        <f>SUM(H24:H25)</f>
        <v>309.01813085035536</v>
      </c>
      <c r="I26" s="422"/>
    </row>
    <row r="27" spans="2:11" hidden="1" x14ac:dyDescent="0.25">
      <c r="F27" s="571">
        <f>(SUM(F11:F26)/G9)/G8</f>
        <v>677.6867729816363</v>
      </c>
      <c r="G27" s="593"/>
      <c r="H27" s="593">
        <f>SUM(H14,H19,H23,H24)</f>
        <v>554.50430701836149</v>
      </c>
      <c r="J27" s="594"/>
      <c r="K27" s="582"/>
    </row>
    <row r="28" spans="2:11" x14ac:dyDescent="0.25">
      <c r="J28" s="594"/>
      <c r="K28" s="582"/>
    </row>
  </sheetData>
  <mergeCells count="1">
    <mergeCell ref="D10:E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8"/>
  <sheetViews>
    <sheetView showGridLines="0" topLeftCell="A3" workbookViewId="0">
      <pane xSplit="2" ySplit="5" topLeftCell="C38" activePane="bottomRight" state="frozen"/>
      <selection pane="topRight"/>
      <selection pane="bottomLeft"/>
      <selection pane="bottomRight" activeCell="J38" sqref="J38"/>
    </sheetView>
  </sheetViews>
  <sheetFormatPr defaultColWidth="9" defaultRowHeight="14.25" x14ac:dyDescent="0.2"/>
  <cols>
    <col min="1" max="1" width="9" style="191"/>
    <col min="2" max="2" width="8.7109375" style="191" customWidth="1"/>
    <col min="3" max="3" width="18" style="185" customWidth="1"/>
    <col min="4" max="4" width="11.28515625" style="191" customWidth="1"/>
    <col min="5" max="5" width="15.5703125" style="191" customWidth="1"/>
    <col min="6" max="6" width="14.7109375" style="191" customWidth="1"/>
    <col min="7" max="7" width="13.5703125" style="191" customWidth="1"/>
    <col min="8" max="8" width="15.42578125" style="191" customWidth="1"/>
    <col min="9" max="9" width="14.85546875" style="240" customWidth="1"/>
    <col min="10" max="10" width="16.28515625" style="191" customWidth="1"/>
    <col min="11" max="11" width="17.85546875" style="191" customWidth="1"/>
    <col min="12" max="12" width="17.140625" style="240" customWidth="1"/>
    <col min="13" max="13" width="10.42578125" style="191" customWidth="1"/>
    <col min="14" max="14" width="8.85546875" style="191" customWidth="1"/>
    <col min="15" max="16384" width="9" style="191"/>
  </cols>
  <sheetData>
    <row r="2" spans="2:14" s="186" customFormat="1" x14ac:dyDescent="0.2">
      <c r="C2" s="162"/>
    </row>
    <row r="3" spans="2:14" s="186" customFormat="1" ht="21" customHeight="1" x14ac:dyDescent="0.2">
      <c r="B3" s="1104" t="s">
        <v>138</v>
      </c>
      <c r="C3" s="1104"/>
      <c r="D3" s="1104"/>
      <c r="E3" s="1104"/>
      <c r="F3" s="1104"/>
      <c r="G3" s="1104"/>
      <c r="H3" s="1104"/>
      <c r="I3" s="1104"/>
      <c r="J3" s="1104"/>
      <c r="K3" s="1104"/>
      <c r="L3" s="1104"/>
      <c r="M3" s="1104"/>
      <c r="N3" s="1104"/>
    </row>
    <row r="4" spans="2:14" s="186" customFormat="1" ht="15" thickBot="1" x14ac:dyDescent="0.25">
      <c r="B4" s="187"/>
      <c r="C4" s="162"/>
      <c r="D4" s="186">
        <v>2024</v>
      </c>
    </row>
    <row r="5" spans="2:14" ht="18.75" customHeight="1" thickBot="1" x14ac:dyDescent="0.25">
      <c r="B5" s="1105"/>
      <c r="C5" s="1106" t="s">
        <v>139</v>
      </c>
      <c r="D5" s="1107"/>
      <c r="E5" s="1108"/>
      <c r="F5" s="1105" t="s">
        <v>140</v>
      </c>
      <c r="G5" s="188"/>
      <c r="H5" s="189"/>
      <c r="I5" s="190"/>
      <c r="J5" s="189"/>
      <c r="K5" s="1109" t="s">
        <v>141</v>
      </c>
      <c r="L5" s="1111" t="s">
        <v>142</v>
      </c>
      <c r="M5" s="1113" t="s">
        <v>143</v>
      </c>
      <c r="N5" s="1109"/>
    </row>
    <row r="6" spans="2:14" ht="60.75" thickBot="1" x14ac:dyDescent="0.25">
      <c r="B6" s="1105"/>
      <c r="C6" s="163" t="s">
        <v>144</v>
      </c>
      <c r="D6" s="188" t="s">
        <v>145</v>
      </c>
      <c r="E6" s="188" t="s">
        <v>146</v>
      </c>
      <c r="F6" s="1105"/>
      <c r="G6" s="188" t="s">
        <v>147</v>
      </c>
      <c r="H6" s="188" t="s">
        <v>148</v>
      </c>
      <c r="I6" s="192" t="s">
        <v>149</v>
      </c>
      <c r="J6" s="188" t="s">
        <v>150</v>
      </c>
      <c r="K6" s="1110"/>
      <c r="L6" s="1112"/>
      <c r="M6" s="188" t="s">
        <v>151</v>
      </c>
      <c r="N6" s="188" t="s">
        <v>152</v>
      </c>
    </row>
    <row r="7" spans="2:14" s="196" customFormat="1" ht="15" customHeight="1" thickBot="1" x14ac:dyDescent="0.25">
      <c r="B7" s="1105"/>
      <c r="C7" s="164">
        <v>1</v>
      </c>
      <c r="D7" s="193">
        <v>2</v>
      </c>
      <c r="E7" s="193" t="s">
        <v>153</v>
      </c>
      <c r="F7" s="193" t="s">
        <v>154</v>
      </c>
      <c r="G7" s="193">
        <v>5</v>
      </c>
      <c r="H7" s="193" t="s">
        <v>155</v>
      </c>
      <c r="I7" s="194">
        <v>7</v>
      </c>
      <c r="J7" s="193" t="s">
        <v>156</v>
      </c>
      <c r="K7" s="195" t="s">
        <v>157</v>
      </c>
      <c r="L7" s="194">
        <v>10</v>
      </c>
      <c r="M7" s="193" t="s">
        <v>158</v>
      </c>
      <c r="N7" s="193" t="s">
        <v>159</v>
      </c>
    </row>
    <row r="8" spans="2:14" x14ac:dyDescent="0.2">
      <c r="B8" s="197">
        <v>1</v>
      </c>
      <c r="C8" s="165">
        <v>1266.7</v>
      </c>
      <c r="D8" s="166">
        <v>5</v>
      </c>
      <c r="E8" s="167">
        <f>C8*D8</f>
        <v>6333.5</v>
      </c>
      <c r="F8" s="167">
        <f t="shared" ref="F8:F21" si="0">E8</f>
        <v>6333.5</v>
      </c>
      <c r="G8" s="168">
        <v>35.314667</v>
      </c>
      <c r="H8" s="168">
        <f>(F8*G8)/1000</f>
        <v>223.6654434445</v>
      </c>
      <c r="I8" s="198">
        <v>1062.2961399999999</v>
      </c>
      <c r="J8" s="169">
        <f>(H8*I8)/1000</f>
        <v>237.59893722248063</v>
      </c>
      <c r="K8" s="199">
        <f t="shared" ref="K8:K21" si="1">L8-J8</f>
        <v>-237.59893722248063</v>
      </c>
      <c r="L8" s="170"/>
      <c r="M8" s="171" t="e">
        <f t="shared" ref="M8:M21" si="2">(J8/L8)</f>
        <v>#DIV/0!</v>
      </c>
      <c r="N8" s="171" t="e">
        <f t="shared" ref="N8:N21" si="3">K8/L8</f>
        <v>#DIV/0!</v>
      </c>
    </row>
    <row r="9" spans="2:14" x14ac:dyDescent="0.2">
      <c r="B9" s="200">
        <f>B8+1</f>
        <v>2</v>
      </c>
      <c r="C9" s="201">
        <v>1335.7</v>
      </c>
      <c r="D9" s="172">
        <v>5</v>
      </c>
      <c r="E9" s="173">
        <f t="shared" ref="E9:E21" si="4">C9*D9</f>
        <v>6678.5</v>
      </c>
      <c r="F9" s="173">
        <f t="shared" si="0"/>
        <v>6678.5</v>
      </c>
      <c r="G9" s="174">
        <v>35.314667</v>
      </c>
      <c r="H9" s="174">
        <f t="shared" ref="H9:H21" si="5">(F9*G9)/1000</f>
        <v>235.84900355950001</v>
      </c>
      <c r="I9" s="202">
        <v>1061.8891599999999</v>
      </c>
      <c r="J9" s="175">
        <f t="shared" ref="J9:J21" si="6">(H9*I9)/1000</f>
        <v>250.44550027663448</v>
      </c>
      <c r="K9" s="203">
        <f t="shared" si="1"/>
        <v>-250.44550027663448</v>
      </c>
      <c r="L9" s="176"/>
      <c r="M9" s="177" t="e">
        <f t="shared" si="2"/>
        <v>#DIV/0!</v>
      </c>
      <c r="N9" s="178" t="e">
        <f t="shared" si="3"/>
        <v>#DIV/0!</v>
      </c>
    </row>
    <row r="10" spans="2:14" x14ac:dyDescent="0.2">
      <c r="B10" s="200">
        <f t="shared" ref="B10:B38" si="7">B9+1</f>
        <v>3</v>
      </c>
      <c r="C10" s="201">
        <v>1352.6</v>
      </c>
      <c r="D10" s="172">
        <v>5</v>
      </c>
      <c r="E10" s="173">
        <f t="shared" si="4"/>
        <v>6763</v>
      </c>
      <c r="F10" s="173">
        <f t="shared" si="0"/>
        <v>6763</v>
      </c>
      <c r="G10" s="174">
        <v>35.314667</v>
      </c>
      <c r="H10" s="174">
        <f t="shared" si="5"/>
        <v>238.833092921</v>
      </c>
      <c r="I10" s="202">
        <v>1061.3033399999999</v>
      </c>
      <c r="J10" s="175">
        <f t="shared" si="6"/>
        <v>253.47435921958765</v>
      </c>
      <c r="K10" s="203">
        <f t="shared" si="1"/>
        <v>-253.47435921958765</v>
      </c>
      <c r="L10" s="176"/>
      <c r="M10" s="177" t="e">
        <f t="shared" si="2"/>
        <v>#DIV/0!</v>
      </c>
      <c r="N10" s="178" t="e">
        <f t="shared" si="3"/>
        <v>#DIV/0!</v>
      </c>
    </row>
    <row r="11" spans="2:14" x14ac:dyDescent="0.2">
      <c r="B11" s="200">
        <f t="shared" si="7"/>
        <v>4</v>
      </c>
      <c r="C11" s="201">
        <v>1378.9</v>
      </c>
      <c r="D11" s="172">
        <v>5</v>
      </c>
      <c r="E11" s="173">
        <f t="shared" si="4"/>
        <v>6894.5</v>
      </c>
      <c r="F11" s="173">
        <f t="shared" si="0"/>
        <v>6894.5</v>
      </c>
      <c r="G11" s="174">
        <v>35.314667</v>
      </c>
      <c r="H11" s="174">
        <f t="shared" si="5"/>
        <v>243.47697163149999</v>
      </c>
      <c r="I11" s="202">
        <v>1060.7415699999999</v>
      </c>
      <c r="J11" s="175">
        <f>(H11*I11)/1000</f>
        <v>258.26614514724275</v>
      </c>
      <c r="K11" s="203">
        <f t="shared" si="1"/>
        <v>-258.26614514724275</v>
      </c>
      <c r="L11" s="179"/>
      <c r="M11" s="177" t="e">
        <f t="shared" si="2"/>
        <v>#DIV/0!</v>
      </c>
      <c r="N11" s="178" t="e">
        <f t="shared" si="3"/>
        <v>#DIV/0!</v>
      </c>
    </row>
    <row r="12" spans="2:14" x14ac:dyDescent="0.2">
      <c r="B12" s="200">
        <f t="shared" si="7"/>
        <v>5</v>
      </c>
      <c r="C12" s="201">
        <v>654.29999999999995</v>
      </c>
      <c r="D12" s="172">
        <v>5</v>
      </c>
      <c r="E12" s="173">
        <f t="shared" si="4"/>
        <v>3271.5</v>
      </c>
      <c r="F12" s="173">
        <f t="shared" si="0"/>
        <v>3271.5</v>
      </c>
      <c r="G12" s="174">
        <v>35.314667</v>
      </c>
      <c r="H12" s="174">
        <f t="shared" si="5"/>
        <v>115.53193309049999</v>
      </c>
      <c r="I12" s="202">
        <v>1057.90527</v>
      </c>
      <c r="J12" s="175">
        <f t="shared" si="6"/>
        <v>122.22184086972733</v>
      </c>
      <c r="K12" s="203">
        <f t="shared" si="1"/>
        <v>-122.22184086972733</v>
      </c>
      <c r="L12" s="176"/>
      <c r="M12" s="177" t="e">
        <f t="shared" si="2"/>
        <v>#DIV/0!</v>
      </c>
      <c r="N12" s="178" t="e">
        <f t="shared" si="3"/>
        <v>#DIV/0!</v>
      </c>
    </row>
    <row r="13" spans="2:14" x14ac:dyDescent="0.2">
      <c r="B13" s="200">
        <f t="shared" si="7"/>
        <v>6</v>
      </c>
      <c r="C13" s="201">
        <v>1129.3</v>
      </c>
      <c r="D13" s="172">
        <v>5</v>
      </c>
      <c r="E13" s="173">
        <f t="shared" si="4"/>
        <v>5646.5</v>
      </c>
      <c r="F13" s="173">
        <f t="shared" si="0"/>
        <v>5646.5</v>
      </c>
      <c r="G13" s="174">
        <v>35.314667</v>
      </c>
      <c r="H13" s="174">
        <f t="shared" si="5"/>
        <v>199.4042672155</v>
      </c>
      <c r="I13" s="202">
        <v>1059.3735300000001</v>
      </c>
      <c r="J13" s="175">
        <f t="shared" si="6"/>
        <v>211.24360245714752</v>
      </c>
      <c r="K13" s="203">
        <f t="shared" si="1"/>
        <v>-211.24360245714752</v>
      </c>
      <c r="L13" s="176"/>
      <c r="M13" s="177" t="e">
        <f t="shared" si="2"/>
        <v>#DIV/0!</v>
      </c>
      <c r="N13" s="178" t="e">
        <f t="shared" si="3"/>
        <v>#DIV/0!</v>
      </c>
    </row>
    <row r="14" spans="2:14" x14ac:dyDescent="0.2">
      <c r="B14" s="200">
        <f t="shared" si="7"/>
        <v>7</v>
      </c>
      <c r="C14" s="201">
        <v>503.2</v>
      </c>
      <c r="D14" s="172">
        <v>5</v>
      </c>
      <c r="E14" s="173">
        <f t="shared" si="4"/>
        <v>2516</v>
      </c>
      <c r="F14" s="173">
        <f t="shared" si="0"/>
        <v>2516</v>
      </c>
      <c r="G14" s="174">
        <v>35.314667</v>
      </c>
      <c r="H14" s="174">
        <f t="shared" si="5"/>
        <v>88.851702172000003</v>
      </c>
      <c r="I14" s="202">
        <v>1056.9998700000001</v>
      </c>
      <c r="J14" s="175">
        <f t="shared" si="6"/>
        <v>93.916237645082731</v>
      </c>
      <c r="K14" s="203">
        <f t="shared" si="1"/>
        <v>-93.916237645082731</v>
      </c>
      <c r="L14" s="176"/>
      <c r="M14" s="177" t="e">
        <f t="shared" si="2"/>
        <v>#DIV/0!</v>
      </c>
      <c r="N14" s="178" t="e">
        <f t="shared" si="3"/>
        <v>#DIV/0!</v>
      </c>
    </row>
    <row r="15" spans="2:14" x14ac:dyDescent="0.2">
      <c r="B15" s="200">
        <f t="shared" si="7"/>
        <v>8</v>
      </c>
      <c r="C15" s="201">
        <v>610.79999999999995</v>
      </c>
      <c r="D15" s="172">
        <v>5</v>
      </c>
      <c r="E15" s="173">
        <f t="shared" si="4"/>
        <v>3054</v>
      </c>
      <c r="F15" s="173">
        <f t="shared" si="0"/>
        <v>3054</v>
      </c>
      <c r="G15" s="174">
        <v>35.314667</v>
      </c>
      <c r="H15" s="174">
        <f t="shared" si="5"/>
        <v>107.850993018</v>
      </c>
      <c r="I15" s="202">
        <v>1037.32187</v>
      </c>
      <c r="J15" s="175">
        <f t="shared" si="6"/>
        <v>111.87619375878869</v>
      </c>
      <c r="K15" s="203">
        <f t="shared" si="1"/>
        <v>-111.87619375878869</v>
      </c>
      <c r="L15" s="176"/>
      <c r="M15" s="177" t="e">
        <f t="shared" si="2"/>
        <v>#DIV/0!</v>
      </c>
      <c r="N15" s="178" t="e">
        <f t="shared" si="3"/>
        <v>#DIV/0!</v>
      </c>
    </row>
    <row r="16" spans="2:14" x14ac:dyDescent="0.2">
      <c r="B16" s="200">
        <f t="shared" si="7"/>
        <v>9</v>
      </c>
      <c r="C16" s="201">
        <v>1327.2</v>
      </c>
      <c r="D16" s="172">
        <v>5</v>
      </c>
      <c r="E16" s="173">
        <f t="shared" si="4"/>
        <v>6636</v>
      </c>
      <c r="F16" s="173">
        <f t="shared" si="0"/>
        <v>6636</v>
      </c>
      <c r="G16" s="174">
        <v>35.314667</v>
      </c>
      <c r="H16" s="174">
        <f t="shared" si="5"/>
        <v>234.348130212</v>
      </c>
      <c r="I16" s="202">
        <v>1045.3992900000001</v>
      </c>
      <c r="J16" s="175">
        <f t="shared" si="6"/>
        <v>244.98736893645238</v>
      </c>
      <c r="K16" s="203">
        <f t="shared" si="1"/>
        <v>-244.98736893645238</v>
      </c>
      <c r="L16" s="176"/>
      <c r="M16" s="177" t="e">
        <f t="shared" si="2"/>
        <v>#DIV/0!</v>
      </c>
      <c r="N16" s="178" t="e">
        <f t="shared" si="3"/>
        <v>#DIV/0!</v>
      </c>
    </row>
    <row r="17" spans="2:14" x14ac:dyDescent="0.2">
      <c r="B17" s="200">
        <f t="shared" si="7"/>
        <v>10</v>
      </c>
      <c r="C17" s="201">
        <v>1237.5</v>
      </c>
      <c r="D17" s="172">
        <v>5</v>
      </c>
      <c r="E17" s="173">
        <f t="shared" si="4"/>
        <v>6187.5</v>
      </c>
      <c r="F17" s="173">
        <f t="shared" si="0"/>
        <v>6187.5</v>
      </c>
      <c r="G17" s="174">
        <v>35.314667</v>
      </c>
      <c r="H17" s="174">
        <f t="shared" si="5"/>
        <v>218.50950206249999</v>
      </c>
      <c r="I17" s="202">
        <v>1047.8157900000001</v>
      </c>
      <c r="J17" s="175">
        <f t="shared" si="6"/>
        <v>228.95770652612509</v>
      </c>
      <c r="K17" s="203">
        <f t="shared" si="1"/>
        <v>-228.95770652612509</v>
      </c>
      <c r="L17" s="176"/>
      <c r="M17" s="177" t="e">
        <f t="shared" si="2"/>
        <v>#DIV/0!</v>
      </c>
      <c r="N17" s="178" t="e">
        <f t="shared" si="3"/>
        <v>#DIV/0!</v>
      </c>
    </row>
    <row r="18" spans="2:14" x14ac:dyDescent="0.2">
      <c r="B18" s="200">
        <f t="shared" si="7"/>
        <v>11</v>
      </c>
      <c r="C18" s="201">
        <v>541.5</v>
      </c>
      <c r="D18" s="172">
        <v>5</v>
      </c>
      <c r="E18" s="173">
        <f t="shared" si="4"/>
        <v>2707.5</v>
      </c>
      <c r="F18" s="173">
        <f t="shared" si="0"/>
        <v>2707.5</v>
      </c>
      <c r="G18" s="174">
        <v>35.314667</v>
      </c>
      <c r="H18" s="174">
        <f t="shared" si="5"/>
        <v>95.614460902499999</v>
      </c>
      <c r="I18" s="202">
        <v>1048.46496</v>
      </c>
      <c r="J18" s="175">
        <f t="shared" si="6"/>
        <v>100.24841192556123</v>
      </c>
      <c r="K18" s="203">
        <f t="shared" si="1"/>
        <v>-100.24841192556123</v>
      </c>
      <c r="L18" s="176"/>
      <c r="M18" s="177" t="e">
        <f t="shared" si="2"/>
        <v>#DIV/0!</v>
      </c>
      <c r="N18" s="178" t="e">
        <f t="shared" si="3"/>
        <v>#DIV/0!</v>
      </c>
    </row>
    <row r="19" spans="2:14" x14ac:dyDescent="0.2">
      <c r="B19" s="200">
        <f t="shared" si="7"/>
        <v>12</v>
      </c>
      <c r="C19" s="201">
        <v>514.4</v>
      </c>
      <c r="D19" s="172">
        <v>5</v>
      </c>
      <c r="E19" s="173">
        <f t="shared" si="4"/>
        <v>2572</v>
      </c>
      <c r="F19" s="173">
        <f t="shared" si="0"/>
        <v>2572</v>
      </c>
      <c r="G19" s="174">
        <v>35.314667</v>
      </c>
      <c r="H19" s="174">
        <f t="shared" si="5"/>
        <v>90.829323524000003</v>
      </c>
      <c r="I19" s="202">
        <v>1044.92553</v>
      </c>
      <c r="J19" s="175">
        <f t="shared" si="6"/>
        <v>94.909879022857169</v>
      </c>
      <c r="K19" s="203">
        <f t="shared" si="1"/>
        <v>-94.909879022857169</v>
      </c>
      <c r="L19" s="176"/>
      <c r="M19" s="177" t="e">
        <f t="shared" si="2"/>
        <v>#DIV/0!</v>
      </c>
      <c r="N19" s="178" t="e">
        <f t="shared" si="3"/>
        <v>#DIV/0!</v>
      </c>
    </row>
    <row r="20" spans="2:14" x14ac:dyDescent="0.2">
      <c r="B20" s="200">
        <f t="shared" si="7"/>
        <v>13</v>
      </c>
      <c r="C20" s="201">
        <v>1349.3</v>
      </c>
      <c r="D20" s="172">
        <v>5</v>
      </c>
      <c r="E20" s="173">
        <f t="shared" si="4"/>
        <v>6746.5</v>
      </c>
      <c r="F20" s="173">
        <f t="shared" si="0"/>
        <v>6746.5</v>
      </c>
      <c r="G20" s="174">
        <v>35.314667</v>
      </c>
      <c r="H20" s="174">
        <f t="shared" si="5"/>
        <v>238.25040091550002</v>
      </c>
      <c r="I20" s="202">
        <v>1048.49218</v>
      </c>
      <c r="J20" s="175">
        <f t="shared" si="6"/>
        <v>249.80368224176661</v>
      </c>
      <c r="K20" s="203">
        <f t="shared" si="1"/>
        <v>-249.80368224176661</v>
      </c>
      <c r="L20" s="176"/>
      <c r="M20" s="177" t="e">
        <f t="shared" si="2"/>
        <v>#DIV/0!</v>
      </c>
      <c r="N20" s="178" t="e">
        <f t="shared" si="3"/>
        <v>#DIV/0!</v>
      </c>
    </row>
    <row r="21" spans="2:14" x14ac:dyDescent="0.2">
      <c r="B21" s="200">
        <f t="shared" si="7"/>
        <v>14</v>
      </c>
      <c r="C21" s="201">
        <v>1200.5</v>
      </c>
      <c r="D21" s="172">
        <v>5</v>
      </c>
      <c r="E21" s="173">
        <f t="shared" si="4"/>
        <v>6002.5</v>
      </c>
      <c r="F21" s="173">
        <f t="shared" si="0"/>
        <v>6002.5</v>
      </c>
      <c r="G21" s="174">
        <v>35.314667</v>
      </c>
      <c r="H21" s="174">
        <f t="shared" si="5"/>
        <v>211.9762886675</v>
      </c>
      <c r="I21" s="202">
        <v>1048.6868899999999</v>
      </c>
      <c r="J21" s="175">
        <f t="shared" si="6"/>
        <v>222.29675491646282</v>
      </c>
      <c r="K21" s="203">
        <f t="shared" si="1"/>
        <v>-222.29675491646282</v>
      </c>
      <c r="L21" s="176"/>
      <c r="M21" s="177" t="e">
        <f t="shared" si="2"/>
        <v>#DIV/0!</v>
      </c>
      <c r="N21" s="178" t="e">
        <f t="shared" si="3"/>
        <v>#DIV/0!</v>
      </c>
    </row>
    <row r="22" spans="2:14" x14ac:dyDescent="0.2">
      <c r="B22" s="200">
        <f t="shared" si="7"/>
        <v>15</v>
      </c>
      <c r="C22" s="201">
        <v>966.9</v>
      </c>
      <c r="D22" s="172">
        <v>5</v>
      </c>
      <c r="E22" s="173">
        <f t="shared" ref="E22:E38" si="8">C22*D22</f>
        <v>4834.5</v>
      </c>
      <c r="F22" s="173">
        <f t="shared" ref="F22:F38" si="9">E22</f>
        <v>4834.5</v>
      </c>
      <c r="G22" s="174">
        <v>36.314667</v>
      </c>
      <c r="H22" s="174">
        <f t="shared" ref="H22:H38" si="10">(F22*G22)/1000</f>
        <v>175.56325761150001</v>
      </c>
      <c r="I22" s="202">
        <v>1048.5118399999999</v>
      </c>
      <c r="J22" s="175">
        <f t="shared" ref="J22:J38" si="11">(H22*I22)/1000</f>
        <v>184.08015427462786</v>
      </c>
      <c r="K22" s="203">
        <f t="shared" ref="K22:K38" si="12">L22-J22</f>
        <v>-184.08015427462786</v>
      </c>
      <c r="L22" s="176"/>
      <c r="M22" s="177" t="e">
        <f t="shared" ref="M22:M38" si="13">(J22/L22)</f>
        <v>#DIV/0!</v>
      </c>
      <c r="N22" s="178" t="e">
        <f t="shared" ref="N22:N38" si="14">K22/L22</f>
        <v>#DIV/0!</v>
      </c>
    </row>
    <row r="23" spans="2:14" x14ac:dyDescent="0.2">
      <c r="B23" s="200">
        <f t="shared" si="7"/>
        <v>16</v>
      </c>
      <c r="C23" s="201">
        <v>1145.4000000000001</v>
      </c>
      <c r="D23" s="172">
        <v>5</v>
      </c>
      <c r="E23" s="173">
        <f t="shared" si="8"/>
        <v>5727</v>
      </c>
      <c r="F23" s="173">
        <f t="shared" si="9"/>
        <v>5727</v>
      </c>
      <c r="G23" s="174">
        <v>37.314667</v>
      </c>
      <c r="H23" s="174">
        <f t="shared" si="10"/>
        <v>213.701097909</v>
      </c>
      <c r="I23" s="202">
        <v>1048.90356</v>
      </c>
      <c r="J23" s="175">
        <f t="shared" si="11"/>
        <v>224.15184237265862</v>
      </c>
      <c r="K23" s="203">
        <f t="shared" si="12"/>
        <v>-224.15184237265862</v>
      </c>
      <c r="L23" s="176"/>
      <c r="M23" s="177" t="e">
        <f t="shared" si="13"/>
        <v>#DIV/0!</v>
      </c>
      <c r="N23" s="178" t="e">
        <f t="shared" si="14"/>
        <v>#DIV/0!</v>
      </c>
    </row>
    <row r="24" spans="2:14" x14ac:dyDescent="0.2">
      <c r="B24" s="200">
        <f t="shared" si="7"/>
        <v>17</v>
      </c>
      <c r="C24" s="201">
        <v>349.1</v>
      </c>
      <c r="D24" s="172">
        <v>5</v>
      </c>
      <c r="E24" s="173">
        <f t="shared" si="8"/>
        <v>1745.5</v>
      </c>
      <c r="F24" s="173">
        <f t="shared" si="9"/>
        <v>1745.5</v>
      </c>
      <c r="G24" s="174">
        <v>38.314667</v>
      </c>
      <c r="H24" s="174">
        <f t="shared" si="10"/>
        <v>66.878251248500007</v>
      </c>
      <c r="I24" s="202">
        <v>1049.03332</v>
      </c>
      <c r="J24" s="175">
        <f t="shared" si="11"/>
        <v>70.157513943008098</v>
      </c>
      <c r="K24" s="203">
        <f t="shared" si="12"/>
        <v>-70.157513943008098</v>
      </c>
      <c r="L24" s="176"/>
      <c r="M24" s="177" t="e">
        <f t="shared" si="13"/>
        <v>#DIV/0!</v>
      </c>
      <c r="N24" s="178" t="e">
        <f t="shared" si="14"/>
        <v>#DIV/0!</v>
      </c>
    </row>
    <row r="25" spans="2:14" x14ac:dyDescent="0.2">
      <c r="B25" s="200">
        <f t="shared" si="7"/>
        <v>18</v>
      </c>
      <c r="C25" s="201">
        <v>569.9</v>
      </c>
      <c r="D25" s="172">
        <v>5</v>
      </c>
      <c r="E25" s="173">
        <f t="shared" si="8"/>
        <v>2849.5</v>
      </c>
      <c r="F25" s="173">
        <f t="shared" si="9"/>
        <v>2849.5</v>
      </c>
      <c r="G25" s="174">
        <v>39.314667</v>
      </c>
      <c r="H25" s="174">
        <f t="shared" si="10"/>
        <v>112.0271436165</v>
      </c>
      <c r="I25" s="202">
        <v>1049.7195999999999</v>
      </c>
      <c r="J25" s="175">
        <f t="shared" si="11"/>
        <v>117.59708838625492</v>
      </c>
      <c r="K25" s="203">
        <f t="shared" si="12"/>
        <v>-117.59708838625492</v>
      </c>
      <c r="L25" s="176"/>
      <c r="M25" s="177" t="e">
        <f t="shared" si="13"/>
        <v>#DIV/0!</v>
      </c>
      <c r="N25" s="178" t="e">
        <f t="shared" si="14"/>
        <v>#DIV/0!</v>
      </c>
    </row>
    <row r="26" spans="2:14" x14ac:dyDescent="0.2">
      <c r="B26" s="200">
        <f t="shared" si="7"/>
        <v>19</v>
      </c>
      <c r="C26" s="201">
        <v>1099.0999999999999</v>
      </c>
      <c r="D26" s="172">
        <v>5</v>
      </c>
      <c r="E26" s="173">
        <f t="shared" si="8"/>
        <v>5495.5</v>
      </c>
      <c r="F26" s="173">
        <f t="shared" si="9"/>
        <v>5495.5</v>
      </c>
      <c r="G26" s="174">
        <v>40.314667</v>
      </c>
      <c r="H26" s="174">
        <f t="shared" si="10"/>
        <v>221.54925249849998</v>
      </c>
      <c r="I26" s="202">
        <v>1056.9676999999999</v>
      </c>
      <c r="J26" s="175">
        <f t="shared" si="11"/>
        <v>234.17040385005876</v>
      </c>
      <c r="K26" s="203">
        <f t="shared" si="12"/>
        <v>-234.17040385005876</v>
      </c>
      <c r="L26" s="176"/>
      <c r="M26" s="177" t="e">
        <f t="shared" si="13"/>
        <v>#DIV/0!</v>
      </c>
      <c r="N26" s="178" t="e">
        <f t="shared" si="14"/>
        <v>#DIV/0!</v>
      </c>
    </row>
    <row r="27" spans="2:14" x14ac:dyDescent="0.2">
      <c r="B27" s="200">
        <f t="shared" si="7"/>
        <v>20</v>
      </c>
      <c r="C27" s="201">
        <v>1280.0999999999999</v>
      </c>
      <c r="D27" s="172">
        <v>5</v>
      </c>
      <c r="E27" s="173">
        <f t="shared" si="8"/>
        <v>6400.5</v>
      </c>
      <c r="F27" s="173">
        <f t="shared" si="9"/>
        <v>6400.5</v>
      </c>
      <c r="G27" s="174">
        <v>41.314667</v>
      </c>
      <c r="H27" s="174">
        <f t="shared" si="10"/>
        <v>264.43452613349996</v>
      </c>
      <c r="I27" s="202">
        <v>1061.92419</v>
      </c>
      <c r="J27" s="175">
        <f t="shared" si="11"/>
        <v>280.80941997235078</v>
      </c>
      <c r="K27" s="203">
        <f t="shared" si="12"/>
        <v>-280.80941997235078</v>
      </c>
      <c r="L27" s="176"/>
      <c r="M27" s="177" t="e">
        <f t="shared" si="13"/>
        <v>#DIV/0!</v>
      </c>
      <c r="N27" s="178" t="e">
        <f t="shared" si="14"/>
        <v>#DIV/0!</v>
      </c>
    </row>
    <row r="28" spans="2:14" x14ac:dyDescent="0.2">
      <c r="B28" s="200">
        <f t="shared" si="7"/>
        <v>21</v>
      </c>
      <c r="C28" s="201">
        <v>1280.0999999999999</v>
      </c>
      <c r="D28" s="172">
        <v>5</v>
      </c>
      <c r="E28" s="173">
        <f t="shared" si="8"/>
        <v>6400.5</v>
      </c>
      <c r="F28" s="173">
        <f t="shared" si="9"/>
        <v>6400.5</v>
      </c>
      <c r="G28" s="174">
        <v>42.314667</v>
      </c>
      <c r="H28" s="174">
        <f t="shared" si="10"/>
        <v>270.83502613349998</v>
      </c>
      <c r="I28" s="202">
        <v>1061.92419</v>
      </c>
      <c r="J28" s="175">
        <f t="shared" si="11"/>
        <v>287.6062657504458</v>
      </c>
      <c r="K28" s="203">
        <f t="shared" si="12"/>
        <v>-287.6062657504458</v>
      </c>
      <c r="L28" s="176"/>
      <c r="M28" s="177" t="e">
        <f t="shared" si="13"/>
        <v>#DIV/0!</v>
      </c>
      <c r="N28" s="178" t="e">
        <f t="shared" si="14"/>
        <v>#DIV/0!</v>
      </c>
    </row>
    <row r="29" spans="2:14" x14ac:dyDescent="0.2">
      <c r="B29" s="200">
        <f t="shared" si="7"/>
        <v>22</v>
      </c>
      <c r="C29" s="201">
        <v>1304</v>
      </c>
      <c r="D29" s="172">
        <v>5</v>
      </c>
      <c r="E29" s="173">
        <f t="shared" si="8"/>
        <v>6520</v>
      </c>
      <c r="F29" s="173">
        <f t="shared" si="9"/>
        <v>6520</v>
      </c>
      <c r="G29" s="174">
        <v>43.314667</v>
      </c>
      <c r="H29" s="174">
        <f t="shared" si="10"/>
        <v>282.41162883999999</v>
      </c>
      <c r="I29" s="202">
        <v>1069.23498</v>
      </c>
      <c r="J29" s="175">
        <f t="shared" si="11"/>
        <v>301.96439231450478</v>
      </c>
      <c r="K29" s="203">
        <f t="shared" si="12"/>
        <v>-301.96439231450478</v>
      </c>
      <c r="L29" s="176"/>
      <c r="M29" s="177" t="e">
        <f t="shared" si="13"/>
        <v>#DIV/0!</v>
      </c>
      <c r="N29" s="178" t="e">
        <f t="shared" si="14"/>
        <v>#DIV/0!</v>
      </c>
    </row>
    <row r="30" spans="2:14" x14ac:dyDescent="0.2">
      <c r="B30" s="200">
        <f t="shared" si="7"/>
        <v>23</v>
      </c>
      <c r="C30" s="201">
        <v>1194.7</v>
      </c>
      <c r="D30" s="172">
        <v>5</v>
      </c>
      <c r="E30" s="173">
        <f t="shared" si="8"/>
        <v>5973.5</v>
      </c>
      <c r="F30" s="173">
        <f t="shared" si="9"/>
        <v>5973.5</v>
      </c>
      <c r="G30" s="174">
        <v>44.314667</v>
      </c>
      <c r="H30" s="174">
        <f t="shared" si="10"/>
        <v>264.71366332450003</v>
      </c>
      <c r="I30" s="202">
        <v>1058.9648400000001</v>
      </c>
      <c r="J30" s="175">
        <f>(H30*I30)/1000</f>
        <v>280.32246212824305</v>
      </c>
      <c r="K30" s="203">
        <f t="shared" si="12"/>
        <v>-280.32246212824305</v>
      </c>
      <c r="L30" s="176"/>
      <c r="M30" s="177" t="e">
        <f t="shared" si="13"/>
        <v>#DIV/0!</v>
      </c>
      <c r="N30" s="178" t="e">
        <f t="shared" si="14"/>
        <v>#DIV/0!</v>
      </c>
    </row>
    <row r="31" spans="2:14" x14ac:dyDescent="0.2">
      <c r="B31" s="200">
        <f t="shared" si="7"/>
        <v>24</v>
      </c>
      <c r="C31" s="201">
        <v>1337.2</v>
      </c>
      <c r="D31" s="172">
        <v>5</v>
      </c>
      <c r="E31" s="173">
        <f t="shared" si="8"/>
        <v>6686</v>
      </c>
      <c r="F31" s="173">
        <f t="shared" si="9"/>
        <v>6686</v>
      </c>
      <c r="G31" s="174">
        <v>45.314667</v>
      </c>
      <c r="H31" s="174">
        <f t="shared" si="10"/>
        <v>302.97386356199996</v>
      </c>
      <c r="I31" s="202">
        <v>1062.86007</v>
      </c>
      <c r="J31" s="175">
        <f>(H31*I31)/1000</f>
        <v>322.01882183367769</v>
      </c>
      <c r="K31" s="203">
        <f t="shared" si="12"/>
        <v>-322.01882183367769</v>
      </c>
      <c r="L31" s="176"/>
      <c r="M31" s="177" t="e">
        <f t="shared" si="13"/>
        <v>#DIV/0!</v>
      </c>
      <c r="N31" s="178" t="e">
        <f t="shared" si="14"/>
        <v>#DIV/0!</v>
      </c>
    </row>
    <row r="32" spans="2:14" x14ac:dyDescent="0.2">
      <c r="B32" s="200">
        <f t="shared" si="7"/>
        <v>25</v>
      </c>
      <c r="C32" s="201">
        <v>1100.8</v>
      </c>
      <c r="D32" s="172">
        <v>5</v>
      </c>
      <c r="E32" s="173">
        <f t="shared" si="8"/>
        <v>5504</v>
      </c>
      <c r="F32" s="173">
        <f t="shared" si="9"/>
        <v>5504</v>
      </c>
      <c r="G32" s="174">
        <v>46.314667</v>
      </c>
      <c r="H32" s="174">
        <f t="shared" si="10"/>
        <v>254.915927168</v>
      </c>
      <c r="I32" s="202">
        <v>1065.48632</v>
      </c>
      <c r="J32" s="175">
        <f>(H32*I32)/1000</f>
        <v>271.60943314762034</v>
      </c>
      <c r="K32" s="203">
        <f t="shared" si="12"/>
        <v>-271.60943314762034</v>
      </c>
      <c r="L32" s="176"/>
      <c r="M32" s="177" t="e">
        <f t="shared" si="13"/>
        <v>#DIV/0!</v>
      </c>
      <c r="N32" s="178" t="e">
        <f t="shared" si="14"/>
        <v>#DIV/0!</v>
      </c>
    </row>
    <row r="33" spans="2:14" x14ac:dyDescent="0.2">
      <c r="B33" s="200">
        <f t="shared" si="7"/>
        <v>26</v>
      </c>
      <c r="C33" s="201">
        <v>614.20000000000005</v>
      </c>
      <c r="D33" s="172">
        <v>5</v>
      </c>
      <c r="E33" s="173">
        <f t="shared" si="8"/>
        <v>3071</v>
      </c>
      <c r="F33" s="173">
        <f t="shared" si="9"/>
        <v>3071</v>
      </c>
      <c r="G33" s="174">
        <v>47.314667</v>
      </c>
      <c r="H33" s="174">
        <f t="shared" si="10"/>
        <v>145.30334235699999</v>
      </c>
      <c r="I33" s="202">
        <v>1065.4829099999999</v>
      </c>
      <c r="J33" s="175">
        <f t="shared" si="11"/>
        <v>154.81822804726261</v>
      </c>
      <c r="K33" s="203">
        <f t="shared" si="12"/>
        <v>-154.81822804726261</v>
      </c>
      <c r="L33" s="176"/>
      <c r="M33" s="177" t="e">
        <f t="shared" si="13"/>
        <v>#DIV/0!</v>
      </c>
      <c r="N33" s="178" t="e">
        <f t="shared" si="14"/>
        <v>#DIV/0!</v>
      </c>
    </row>
    <row r="34" spans="2:14" x14ac:dyDescent="0.2">
      <c r="B34" s="200">
        <f t="shared" si="7"/>
        <v>27</v>
      </c>
      <c r="C34" s="201">
        <v>817.1</v>
      </c>
      <c r="D34" s="172">
        <v>5</v>
      </c>
      <c r="E34" s="173">
        <f t="shared" si="8"/>
        <v>4085.5</v>
      </c>
      <c r="F34" s="173">
        <f t="shared" si="9"/>
        <v>4085.5</v>
      </c>
      <c r="G34" s="174">
        <v>48.314667</v>
      </c>
      <c r="H34" s="174">
        <f t="shared" si="10"/>
        <v>197.3895720285</v>
      </c>
      <c r="I34" s="202">
        <v>1066.56123</v>
      </c>
      <c r="J34" s="175">
        <f t="shared" si="11"/>
        <v>210.52806473189057</v>
      </c>
      <c r="K34" s="203">
        <f t="shared" si="12"/>
        <v>-210.52806473189057</v>
      </c>
      <c r="L34" s="176"/>
      <c r="M34" s="177" t="e">
        <f t="shared" si="13"/>
        <v>#DIV/0!</v>
      </c>
      <c r="N34" s="178" t="e">
        <f t="shared" si="14"/>
        <v>#DIV/0!</v>
      </c>
    </row>
    <row r="35" spans="2:14" x14ac:dyDescent="0.2">
      <c r="B35" s="200">
        <f t="shared" si="7"/>
        <v>28</v>
      </c>
      <c r="C35" s="201">
        <v>1051.8</v>
      </c>
      <c r="D35" s="172">
        <v>5</v>
      </c>
      <c r="E35" s="173">
        <f t="shared" si="8"/>
        <v>5259</v>
      </c>
      <c r="F35" s="173">
        <f t="shared" si="9"/>
        <v>5259</v>
      </c>
      <c r="G35" s="174">
        <v>49.314667</v>
      </c>
      <c r="H35" s="174">
        <f t="shared" si="10"/>
        <v>259.34583375300002</v>
      </c>
      <c r="I35" s="202">
        <v>1067.4138</v>
      </c>
      <c r="J35" s="175">
        <f t="shared" si="11"/>
        <v>276.82932192045803</v>
      </c>
      <c r="K35" s="203">
        <f t="shared" si="12"/>
        <v>-276.82932192045803</v>
      </c>
      <c r="L35" s="176"/>
      <c r="M35" s="177" t="e">
        <f t="shared" si="13"/>
        <v>#DIV/0!</v>
      </c>
      <c r="N35" s="178" t="e">
        <f t="shared" si="14"/>
        <v>#DIV/0!</v>
      </c>
    </row>
    <row r="36" spans="2:14" x14ac:dyDescent="0.2">
      <c r="B36" s="200">
        <f t="shared" si="7"/>
        <v>29</v>
      </c>
      <c r="C36" s="201">
        <v>1129.0999999999999</v>
      </c>
      <c r="D36" s="172">
        <v>5</v>
      </c>
      <c r="E36" s="173">
        <f t="shared" si="8"/>
        <v>5645.5</v>
      </c>
      <c r="F36" s="173">
        <f t="shared" si="9"/>
        <v>5645.5</v>
      </c>
      <c r="G36" s="174">
        <v>50.314667</v>
      </c>
      <c r="H36" s="174">
        <f t="shared" si="10"/>
        <v>284.05145254849998</v>
      </c>
      <c r="I36" s="202">
        <v>1062.65795</v>
      </c>
      <c r="J36" s="175">
        <f t="shared" si="11"/>
        <v>301.84953425971128</v>
      </c>
      <c r="K36" s="203">
        <f t="shared" si="12"/>
        <v>-301.84953425971128</v>
      </c>
      <c r="L36" s="176"/>
      <c r="M36" s="177" t="e">
        <f t="shared" si="13"/>
        <v>#DIV/0!</v>
      </c>
      <c r="N36" s="178" t="e">
        <f t="shared" si="14"/>
        <v>#DIV/0!</v>
      </c>
    </row>
    <row r="37" spans="2:14" x14ac:dyDescent="0.2">
      <c r="B37" s="200">
        <f t="shared" si="7"/>
        <v>30</v>
      </c>
      <c r="C37" s="201">
        <v>525.70000000000005</v>
      </c>
      <c r="D37" s="172">
        <v>5</v>
      </c>
      <c r="E37" s="173">
        <f t="shared" si="8"/>
        <v>2628.5</v>
      </c>
      <c r="F37" s="173">
        <f t="shared" si="9"/>
        <v>2628.5</v>
      </c>
      <c r="G37" s="174">
        <v>51.314667</v>
      </c>
      <c r="H37" s="174">
        <f t="shared" si="10"/>
        <v>134.88060220950001</v>
      </c>
      <c r="I37" s="202">
        <v>1060.88903</v>
      </c>
      <c r="J37" s="175">
        <f t="shared" si="11"/>
        <v>143.09335124385231</v>
      </c>
      <c r="K37" s="203">
        <f t="shared" si="12"/>
        <v>-143.09335124385231</v>
      </c>
      <c r="L37" s="176"/>
      <c r="M37" s="177" t="e">
        <f t="shared" si="13"/>
        <v>#DIV/0!</v>
      </c>
      <c r="N37" s="178" t="e">
        <f t="shared" si="14"/>
        <v>#DIV/0!</v>
      </c>
    </row>
    <row r="38" spans="2:14" ht="15" thickBot="1" x14ac:dyDescent="0.25">
      <c r="B38" s="200">
        <f t="shared" si="7"/>
        <v>31</v>
      </c>
      <c r="C38" s="201">
        <v>1028.9000000000001</v>
      </c>
      <c r="D38" s="172">
        <v>5</v>
      </c>
      <c r="E38" s="173">
        <f t="shared" si="8"/>
        <v>5144.5</v>
      </c>
      <c r="F38" s="173">
        <f t="shared" si="9"/>
        <v>5144.5</v>
      </c>
      <c r="G38" s="174">
        <v>52.314667</v>
      </c>
      <c r="H38" s="174">
        <f t="shared" si="10"/>
        <v>269.13280438150002</v>
      </c>
      <c r="I38" s="202">
        <v>1063.1716300000001</v>
      </c>
      <c r="J38" s="175">
        <f t="shared" si="11"/>
        <v>286.13436232075054</v>
      </c>
      <c r="K38" s="203">
        <f t="shared" si="12"/>
        <v>-286.13436232075054</v>
      </c>
      <c r="L38" s="176"/>
      <c r="M38" s="177" t="e">
        <f t="shared" si="13"/>
        <v>#DIV/0!</v>
      </c>
      <c r="N38" s="178" t="e">
        <f t="shared" si="14"/>
        <v>#DIV/0!</v>
      </c>
    </row>
    <row r="39" spans="2:14" ht="15" x14ac:dyDescent="0.25">
      <c r="B39" s="204" t="s">
        <v>160</v>
      </c>
      <c r="C39" s="180"/>
      <c r="D39" s="205"/>
      <c r="E39" s="205"/>
      <c r="F39" s="206">
        <f>AVERAGE(F8:F38)</f>
        <v>5031.6129032258068</v>
      </c>
      <c r="G39" s="206"/>
      <c r="H39" s="206">
        <f t="shared" ref="H39:N39" si="15">AVERAGE(H8:H38)</f>
        <v>202.03544382774191</v>
      </c>
      <c r="I39" s="207">
        <f>AVERAGE(I8:I38)</f>
        <v>1056.8168564516129</v>
      </c>
      <c r="J39" s="208">
        <f t="shared" si="15"/>
        <v>213.80604131171918</v>
      </c>
      <c r="K39" s="209">
        <f t="shared" si="15"/>
        <v>-213.80604131171918</v>
      </c>
      <c r="L39" s="210" t="e">
        <f t="shared" si="15"/>
        <v>#DIV/0!</v>
      </c>
      <c r="M39" s="211" t="e">
        <f t="shared" si="15"/>
        <v>#DIV/0!</v>
      </c>
      <c r="N39" s="211" t="e">
        <f t="shared" si="15"/>
        <v>#DIV/0!</v>
      </c>
    </row>
    <row r="40" spans="2:14" ht="15" x14ac:dyDescent="0.25">
      <c r="B40" s="212" t="s">
        <v>161</v>
      </c>
      <c r="C40" s="121">
        <f>SUM(C8:C38)</f>
        <v>31195.999999999996</v>
      </c>
      <c r="D40" s="213"/>
      <c r="E40" s="214">
        <f>SUM(E8:E38)</f>
        <v>155980</v>
      </c>
      <c r="F40" s="214">
        <f>SUM(F8:F38)</f>
        <v>155980</v>
      </c>
      <c r="G40" s="214"/>
      <c r="H40" s="214">
        <f>SUM(H8:H38)</f>
        <v>6263.0987586599995</v>
      </c>
      <c r="I40" s="215"/>
      <c r="J40" s="216">
        <f>SUM(J8:J38)</f>
        <v>6627.9872806632948</v>
      </c>
      <c r="K40" s="217"/>
      <c r="L40" s="218"/>
      <c r="M40" s="219"/>
      <c r="N40" s="219"/>
    </row>
    <row r="41" spans="2:14" ht="15" x14ac:dyDescent="0.25">
      <c r="B41" s="220" t="s">
        <v>162</v>
      </c>
      <c r="C41" s="181"/>
      <c r="D41" s="221"/>
      <c r="E41" s="221"/>
      <c r="F41" s="222"/>
      <c r="G41" s="222"/>
      <c r="H41" s="222"/>
      <c r="I41" s="223"/>
      <c r="J41" s="219"/>
      <c r="K41" s="217"/>
      <c r="L41" s="224"/>
      <c r="M41" s="219"/>
      <c r="N41" s="219"/>
    </row>
    <row r="42" spans="2:14" ht="30.75" customHeight="1" thickBot="1" x14ac:dyDescent="0.25">
      <c r="B42" s="225" t="s">
        <v>163</v>
      </c>
      <c r="C42" s="182"/>
      <c r="D42" s="226"/>
      <c r="E42" s="226"/>
      <c r="F42" s="227"/>
      <c r="G42" s="227"/>
      <c r="H42" s="228">
        <f>H40+H41</f>
        <v>6263.0987586599995</v>
      </c>
      <c r="I42" s="229"/>
      <c r="J42" s="230">
        <f>J40+J41</f>
        <v>6627.9872806632948</v>
      </c>
      <c r="K42" s="231"/>
      <c r="L42" s="232"/>
      <c r="M42" s="233"/>
      <c r="N42" s="233"/>
    </row>
    <row r="43" spans="2:14" s="186" customFormat="1" x14ac:dyDescent="0.2">
      <c r="C43" s="162"/>
    </row>
    <row r="44" spans="2:14" s="186" customFormat="1" x14ac:dyDescent="0.2">
      <c r="C44" s="162" t="s">
        <v>164</v>
      </c>
      <c r="F44" s="234"/>
    </row>
    <row r="45" spans="2:14" s="186" customFormat="1" x14ac:dyDescent="0.2">
      <c r="C45" s="162">
        <f>C40</f>
        <v>31195.999999999996</v>
      </c>
      <c r="D45" s="186" t="s">
        <v>125</v>
      </c>
      <c r="F45" s="162">
        <f>C40*5</f>
        <v>155979.99999999997</v>
      </c>
      <c r="G45" s="186">
        <v>9983.7000000000007</v>
      </c>
    </row>
    <row r="46" spans="2:14" s="186" customFormat="1" ht="15" x14ac:dyDescent="0.25">
      <c r="C46" s="162">
        <v>5</v>
      </c>
      <c r="D46" s="186" t="s">
        <v>165</v>
      </c>
      <c r="F46" s="162">
        <v>21286.9</v>
      </c>
      <c r="G46" s="234">
        <f>G45-C40</f>
        <v>-21212.299999999996</v>
      </c>
      <c r="H46" s="235"/>
      <c r="L46" s="235"/>
    </row>
    <row r="47" spans="2:14" s="186" customFormat="1" x14ac:dyDescent="0.2">
      <c r="C47" s="162">
        <f>C45*C46</f>
        <v>155979.99999999997</v>
      </c>
      <c r="D47" s="186" t="s">
        <v>166</v>
      </c>
      <c r="F47" s="162">
        <f>F45/F46</f>
        <v>7.327511286284051</v>
      </c>
      <c r="G47" s="234"/>
      <c r="H47" s="153"/>
      <c r="J47" s="153"/>
      <c r="L47" s="236"/>
    </row>
    <row r="48" spans="2:14" s="186" customFormat="1" x14ac:dyDescent="0.2">
      <c r="C48" s="162">
        <f>G38</f>
        <v>52.314667</v>
      </c>
      <c r="D48" s="186" t="s">
        <v>167</v>
      </c>
      <c r="H48" s="237"/>
      <c r="J48" s="162"/>
      <c r="L48" s="236"/>
    </row>
    <row r="49" spans="3:12" s="186" customFormat="1" ht="15" x14ac:dyDescent="0.25">
      <c r="C49" s="162">
        <f>(C47*C48)/1000</f>
        <v>8160.0417586599988</v>
      </c>
      <c r="D49" s="186" t="s">
        <v>168</v>
      </c>
      <c r="H49" s="184"/>
      <c r="J49" s="153"/>
      <c r="L49" s="162"/>
    </row>
    <row r="50" spans="3:12" s="186" customFormat="1" x14ac:dyDescent="0.2">
      <c r="C50" s="162">
        <f>I39</f>
        <v>1056.8168564516129</v>
      </c>
      <c r="D50" s="186" t="s">
        <v>169</v>
      </c>
      <c r="H50" s="162"/>
      <c r="J50" s="238"/>
    </row>
    <row r="51" spans="3:12" s="186" customFormat="1" ht="15" x14ac:dyDescent="0.25">
      <c r="C51" s="184">
        <f>(C49*C50)/1000</f>
        <v>8623.6696799009515</v>
      </c>
      <c r="D51" s="186" t="s">
        <v>170</v>
      </c>
      <c r="H51" s="239"/>
      <c r="I51" s="235"/>
    </row>
    <row r="52" spans="3:12" s="186" customFormat="1" x14ac:dyDescent="0.2">
      <c r="C52" s="162"/>
    </row>
    <row r="53" spans="3:12" s="186" customFormat="1" x14ac:dyDescent="0.2">
      <c r="C53" s="162"/>
    </row>
    <row r="54" spans="3:12" s="186" customFormat="1" x14ac:dyDescent="0.2">
      <c r="C54" s="162"/>
    </row>
    <row r="55" spans="3:12" s="186" customFormat="1" x14ac:dyDescent="0.2">
      <c r="C55" s="162"/>
    </row>
    <row r="56" spans="3:12" s="186" customFormat="1" x14ac:dyDescent="0.2">
      <c r="C56" s="162"/>
    </row>
    <row r="57" spans="3:12" s="186" customFormat="1" x14ac:dyDescent="0.2">
      <c r="C57" s="162"/>
    </row>
    <row r="58" spans="3:12" s="186" customFormat="1" x14ac:dyDescent="0.2">
      <c r="C58" s="162"/>
    </row>
    <row r="59" spans="3:12" s="186" customFormat="1" x14ac:dyDescent="0.2">
      <c r="C59" s="162"/>
    </row>
    <row r="60" spans="3:12" s="186" customFormat="1" x14ac:dyDescent="0.2">
      <c r="C60" s="162"/>
      <c r="F60" s="153"/>
    </row>
    <row r="61" spans="3:12" s="186" customFormat="1" x14ac:dyDescent="0.2">
      <c r="C61" s="162"/>
      <c r="F61" s="153"/>
    </row>
    <row r="62" spans="3:12" s="186" customFormat="1" x14ac:dyDescent="0.2">
      <c r="C62" s="162"/>
      <c r="F62" s="153"/>
    </row>
    <row r="63" spans="3:12" s="186" customFormat="1" x14ac:dyDescent="0.2">
      <c r="C63" s="162"/>
      <c r="F63" s="153"/>
    </row>
    <row r="64" spans="3:12" s="186" customFormat="1" x14ac:dyDescent="0.2">
      <c r="C64" s="162"/>
    </row>
    <row r="65" spans="3:3" s="186" customFormat="1" x14ac:dyDescent="0.2">
      <c r="C65" s="162"/>
    </row>
    <row r="66" spans="3:3" s="186" customFormat="1" x14ac:dyDescent="0.2">
      <c r="C66" s="162"/>
    </row>
    <row r="67" spans="3:3" s="186" customFormat="1" x14ac:dyDescent="0.2">
      <c r="C67" s="162"/>
    </row>
    <row r="68" spans="3:3" s="186" customFormat="1" x14ac:dyDescent="0.2">
      <c r="C68" s="162"/>
    </row>
    <row r="69" spans="3:3" s="186" customFormat="1" x14ac:dyDescent="0.2">
      <c r="C69" s="162"/>
    </row>
    <row r="70" spans="3:3" s="186" customFormat="1" x14ac:dyDescent="0.2">
      <c r="C70" s="162"/>
    </row>
    <row r="71" spans="3:3" s="186" customFormat="1" x14ac:dyDescent="0.2">
      <c r="C71" s="162"/>
    </row>
    <row r="72" spans="3:3" s="186" customFormat="1" x14ac:dyDescent="0.2">
      <c r="C72" s="162"/>
    </row>
    <row r="73" spans="3:3" s="186" customFormat="1" x14ac:dyDescent="0.2">
      <c r="C73" s="162"/>
    </row>
    <row r="74" spans="3:3" s="186" customFormat="1" x14ac:dyDescent="0.2">
      <c r="C74" s="162"/>
    </row>
    <row r="75" spans="3:3" s="186" customFormat="1" x14ac:dyDescent="0.2">
      <c r="C75" s="162"/>
    </row>
    <row r="76" spans="3:3" s="186" customFormat="1" x14ac:dyDescent="0.2">
      <c r="C76" s="162"/>
    </row>
    <row r="77" spans="3:3" s="186" customFormat="1" x14ac:dyDescent="0.2">
      <c r="C77" s="162"/>
    </row>
    <row r="78" spans="3:3" s="186" customFormat="1" x14ac:dyDescent="0.2">
      <c r="C78" s="162"/>
    </row>
    <row r="79" spans="3:3" s="186" customFormat="1" x14ac:dyDescent="0.2">
      <c r="C79" s="162"/>
    </row>
    <row r="80" spans="3:3" s="186" customFormat="1" x14ac:dyDescent="0.2">
      <c r="C80" s="162"/>
    </row>
    <row r="81" spans="3:3" s="186" customFormat="1" x14ac:dyDescent="0.2">
      <c r="C81" s="162"/>
    </row>
    <row r="82" spans="3:3" s="186" customFormat="1" x14ac:dyDescent="0.2">
      <c r="C82" s="162"/>
    </row>
    <row r="83" spans="3:3" s="186" customFormat="1" x14ac:dyDescent="0.2">
      <c r="C83" s="162"/>
    </row>
    <row r="84" spans="3:3" s="186" customFormat="1" x14ac:dyDescent="0.2">
      <c r="C84" s="162"/>
    </row>
    <row r="85" spans="3:3" s="186" customFormat="1" x14ac:dyDescent="0.2">
      <c r="C85" s="162"/>
    </row>
    <row r="86" spans="3:3" s="186" customFormat="1" x14ac:dyDescent="0.2">
      <c r="C86" s="162"/>
    </row>
    <row r="87" spans="3:3" s="186" customFormat="1" x14ac:dyDescent="0.2">
      <c r="C87" s="162"/>
    </row>
    <row r="88" spans="3:3" s="186" customFormat="1" x14ac:dyDescent="0.2">
      <c r="C88" s="162"/>
    </row>
    <row r="89" spans="3:3" s="186" customFormat="1" x14ac:dyDescent="0.2">
      <c r="C89" s="162"/>
    </row>
    <row r="90" spans="3:3" s="186" customFormat="1" x14ac:dyDescent="0.2">
      <c r="C90" s="162"/>
    </row>
    <row r="91" spans="3:3" s="186" customFormat="1" x14ac:dyDescent="0.2">
      <c r="C91" s="162"/>
    </row>
    <row r="92" spans="3:3" s="186" customFormat="1" x14ac:dyDescent="0.2">
      <c r="C92" s="162"/>
    </row>
    <row r="93" spans="3:3" s="186" customFormat="1" x14ac:dyDescent="0.2">
      <c r="C93" s="162"/>
    </row>
    <row r="94" spans="3:3" s="186" customFormat="1" x14ac:dyDescent="0.2">
      <c r="C94" s="162"/>
    </row>
    <row r="95" spans="3:3" s="186" customFormat="1" x14ac:dyDescent="0.2">
      <c r="C95" s="162"/>
    </row>
    <row r="96" spans="3:3" s="186" customFormat="1" x14ac:dyDescent="0.2">
      <c r="C96" s="162"/>
    </row>
    <row r="97" spans="3:3" s="186" customFormat="1" x14ac:dyDescent="0.2">
      <c r="C97" s="162"/>
    </row>
    <row r="98" spans="3:3" s="186" customFormat="1" x14ac:dyDescent="0.2">
      <c r="C98" s="162"/>
    </row>
    <row r="99" spans="3:3" s="186" customFormat="1" x14ac:dyDescent="0.2">
      <c r="C99" s="162"/>
    </row>
    <row r="100" spans="3:3" s="186" customFormat="1" x14ac:dyDescent="0.2">
      <c r="C100" s="162"/>
    </row>
    <row r="101" spans="3:3" s="186" customFormat="1" x14ac:dyDescent="0.2">
      <c r="C101" s="162"/>
    </row>
    <row r="102" spans="3:3" s="186" customFormat="1" x14ac:dyDescent="0.2">
      <c r="C102" s="162"/>
    </row>
    <row r="103" spans="3:3" s="186" customFormat="1" x14ac:dyDescent="0.2">
      <c r="C103" s="162"/>
    </row>
    <row r="104" spans="3:3" s="186" customFormat="1" x14ac:dyDescent="0.2">
      <c r="C104" s="162"/>
    </row>
    <row r="105" spans="3:3" s="186" customFormat="1" x14ac:dyDescent="0.2">
      <c r="C105" s="162"/>
    </row>
    <row r="106" spans="3:3" s="186" customFormat="1" x14ac:dyDescent="0.2">
      <c r="C106" s="162"/>
    </row>
    <row r="107" spans="3:3" s="186" customFormat="1" x14ac:dyDescent="0.2">
      <c r="C107" s="162"/>
    </row>
    <row r="108" spans="3:3" s="186" customFormat="1" x14ac:dyDescent="0.2">
      <c r="C108" s="162"/>
    </row>
    <row r="109" spans="3:3" s="186" customFormat="1" x14ac:dyDescent="0.2">
      <c r="C109" s="162"/>
    </row>
    <row r="110" spans="3:3" s="186" customFormat="1" x14ac:dyDescent="0.2">
      <c r="C110" s="162"/>
    </row>
    <row r="111" spans="3:3" s="186" customFormat="1" x14ac:dyDescent="0.2">
      <c r="C111" s="162"/>
    </row>
    <row r="112" spans="3:3" s="186" customFormat="1" x14ac:dyDescent="0.2">
      <c r="C112" s="162"/>
    </row>
    <row r="113" spans="3:3" s="186" customFormat="1" x14ac:dyDescent="0.2">
      <c r="C113" s="162"/>
    </row>
    <row r="114" spans="3:3" s="186" customFormat="1" x14ac:dyDescent="0.2">
      <c r="C114" s="162"/>
    </row>
    <row r="115" spans="3:3" s="186" customFormat="1" x14ac:dyDescent="0.2">
      <c r="C115" s="162"/>
    </row>
    <row r="116" spans="3:3" s="186" customFormat="1" x14ac:dyDescent="0.2">
      <c r="C116" s="162"/>
    </row>
    <row r="117" spans="3:3" s="186" customFormat="1" x14ac:dyDescent="0.2">
      <c r="C117" s="162"/>
    </row>
    <row r="118" spans="3:3" s="186" customFormat="1" x14ac:dyDescent="0.2">
      <c r="C118" s="162"/>
    </row>
    <row r="119" spans="3:3" s="186" customFormat="1" x14ac:dyDescent="0.2">
      <c r="C119" s="162"/>
    </row>
    <row r="120" spans="3:3" s="186" customFormat="1" x14ac:dyDescent="0.2">
      <c r="C120" s="162"/>
    </row>
    <row r="121" spans="3:3" s="186" customFormat="1" x14ac:dyDescent="0.2">
      <c r="C121" s="162"/>
    </row>
    <row r="122" spans="3:3" s="186" customFormat="1" x14ac:dyDescent="0.2">
      <c r="C122" s="162"/>
    </row>
    <row r="123" spans="3:3" s="186" customFormat="1" x14ac:dyDescent="0.2">
      <c r="C123" s="162"/>
    </row>
    <row r="124" spans="3:3" s="186" customFormat="1" x14ac:dyDescent="0.2">
      <c r="C124" s="162"/>
    </row>
    <row r="125" spans="3:3" s="186" customFormat="1" x14ac:dyDescent="0.2">
      <c r="C125" s="162"/>
    </row>
    <row r="126" spans="3:3" s="186" customFormat="1" x14ac:dyDescent="0.2">
      <c r="C126" s="162"/>
    </row>
    <row r="127" spans="3:3" s="186" customFormat="1" x14ac:dyDescent="0.2">
      <c r="C127" s="162"/>
    </row>
    <row r="128" spans="3:3" s="186" customFormat="1" x14ac:dyDescent="0.2">
      <c r="C128" s="162"/>
    </row>
    <row r="129" spans="3:3" s="186" customFormat="1" x14ac:dyDescent="0.2">
      <c r="C129" s="162"/>
    </row>
    <row r="130" spans="3:3" s="186" customFormat="1" x14ac:dyDescent="0.2">
      <c r="C130" s="162"/>
    </row>
    <row r="131" spans="3:3" s="186" customFormat="1" x14ac:dyDescent="0.2">
      <c r="C131" s="162"/>
    </row>
    <row r="132" spans="3:3" s="186" customFormat="1" x14ac:dyDescent="0.2">
      <c r="C132" s="162"/>
    </row>
    <row r="133" spans="3:3" s="186" customFormat="1" x14ac:dyDescent="0.2">
      <c r="C133" s="162"/>
    </row>
    <row r="134" spans="3:3" s="186" customFormat="1" x14ac:dyDescent="0.2">
      <c r="C134" s="162"/>
    </row>
    <row r="135" spans="3:3" s="186" customFormat="1" x14ac:dyDescent="0.2">
      <c r="C135" s="162"/>
    </row>
    <row r="136" spans="3:3" s="186" customFormat="1" x14ac:dyDescent="0.2">
      <c r="C136" s="162"/>
    </row>
    <row r="137" spans="3:3" s="186" customFormat="1" x14ac:dyDescent="0.2">
      <c r="C137" s="162"/>
    </row>
    <row r="138" spans="3:3" s="186" customFormat="1" x14ac:dyDescent="0.2">
      <c r="C138" s="162"/>
    </row>
    <row r="139" spans="3:3" s="186" customFormat="1" x14ac:dyDescent="0.2">
      <c r="C139" s="162"/>
    </row>
    <row r="140" spans="3:3" s="186" customFormat="1" x14ac:dyDescent="0.2">
      <c r="C140" s="162"/>
    </row>
    <row r="141" spans="3:3" s="186" customFormat="1" x14ac:dyDescent="0.2">
      <c r="C141" s="162"/>
    </row>
    <row r="142" spans="3:3" s="186" customFormat="1" x14ac:dyDescent="0.2">
      <c r="C142" s="162"/>
    </row>
    <row r="143" spans="3:3" s="186" customFormat="1" x14ac:dyDescent="0.2">
      <c r="C143" s="162"/>
    </row>
    <row r="144" spans="3:3" s="186" customFormat="1" x14ac:dyDescent="0.2">
      <c r="C144" s="162"/>
    </row>
    <row r="145" spans="3:3" s="186" customFormat="1" x14ac:dyDescent="0.2">
      <c r="C145" s="162"/>
    </row>
    <row r="146" spans="3:3" s="186" customFormat="1" x14ac:dyDescent="0.2">
      <c r="C146" s="162"/>
    </row>
    <row r="147" spans="3:3" s="186" customFormat="1" x14ac:dyDescent="0.2">
      <c r="C147" s="162"/>
    </row>
    <row r="148" spans="3:3" s="186" customFormat="1" x14ac:dyDescent="0.2">
      <c r="C148" s="162"/>
    </row>
    <row r="149" spans="3:3" s="186" customFormat="1" x14ac:dyDescent="0.2">
      <c r="C149" s="162"/>
    </row>
    <row r="150" spans="3:3" s="186" customFormat="1" x14ac:dyDescent="0.2">
      <c r="C150" s="162"/>
    </row>
    <row r="151" spans="3:3" s="186" customFormat="1" x14ac:dyDescent="0.2">
      <c r="C151" s="162"/>
    </row>
    <row r="152" spans="3:3" s="186" customFormat="1" x14ac:dyDescent="0.2">
      <c r="C152" s="162"/>
    </row>
    <row r="153" spans="3:3" s="186" customFormat="1" x14ac:dyDescent="0.2">
      <c r="C153" s="162"/>
    </row>
    <row r="154" spans="3:3" s="186" customFormat="1" x14ac:dyDescent="0.2">
      <c r="C154" s="162"/>
    </row>
    <row r="155" spans="3:3" s="186" customFormat="1" x14ac:dyDescent="0.2">
      <c r="C155" s="162"/>
    </row>
    <row r="156" spans="3:3" s="186" customFormat="1" x14ac:dyDescent="0.2">
      <c r="C156" s="162"/>
    </row>
    <row r="157" spans="3:3" s="186" customFormat="1" x14ac:dyDescent="0.2">
      <c r="C157" s="162"/>
    </row>
    <row r="158" spans="3:3" s="186" customFormat="1" x14ac:dyDescent="0.2">
      <c r="C158" s="162"/>
    </row>
    <row r="159" spans="3:3" s="186" customFormat="1" x14ac:dyDescent="0.2">
      <c r="C159" s="162"/>
    </row>
    <row r="160" spans="3:3" s="186" customFormat="1" x14ac:dyDescent="0.2">
      <c r="C160" s="162"/>
    </row>
    <row r="161" spans="3:3" s="186" customFormat="1" x14ac:dyDescent="0.2">
      <c r="C161" s="162"/>
    </row>
    <row r="162" spans="3:3" s="186" customFormat="1" x14ac:dyDescent="0.2">
      <c r="C162" s="162"/>
    </row>
    <row r="163" spans="3:3" s="186" customFormat="1" x14ac:dyDescent="0.2">
      <c r="C163" s="162"/>
    </row>
    <row r="164" spans="3:3" s="186" customFormat="1" x14ac:dyDescent="0.2">
      <c r="C164" s="162"/>
    </row>
    <row r="165" spans="3:3" s="186" customFormat="1" x14ac:dyDescent="0.2">
      <c r="C165" s="162"/>
    </row>
    <row r="166" spans="3:3" s="186" customFormat="1" x14ac:dyDescent="0.2">
      <c r="C166" s="162"/>
    </row>
    <row r="167" spans="3:3" s="186" customFormat="1" x14ac:dyDescent="0.2">
      <c r="C167" s="162"/>
    </row>
    <row r="168" spans="3:3" s="186" customFormat="1" x14ac:dyDescent="0.2">
      <c r="C168" s="162"/>
    </row>
    <row r="169" spans="3:3" s="186" customFormat="1" x14ac:dyDescent="0.2">
      <c r="C169" s="162"/>
    </row>
    <row r="170" spans="3:3" s="186" customFormat="1" x14ac:dyDescent="0.2">
      <c r="C170" s="162"/>
    </row>
    <row r="171" spans="3:3" s="186" customFormat="1" x14ac:dyDescent="0.2">
      <c r="C171" s="162"/>
    </row>
    <row r="172" spans="3:3" s="186" customFormat="1" x14ac:dyDescent="0.2">
      <c r="C172" s="162"/>
    </row>
    <row r="173" spans="3:3" s="186" customFormat="1" x14ac:dyDescent="0.2">
      <c r="C173" s="162"/>
    </row>
    <row r="174" spans="3:3" s="186" customFormat="1" x14ac:dyDescent="0.2">
      <c r="C174" s="162"/>
    </row>
    <row r="175" spans="3:3" s="186" customFormat="1" x14ac:dyDescent="0.2">
      <c r="C175" s="162"/>
    </row>
    <row r="176" spans="3:3" s="186" customFormat="1" x14ac:dyDescent="0.2">
      <c r="C176" s="162"/>
    </row>
    <row r="177" spans="3:3" s="186" customFormat="1" x14ac:dyDescent="0.2">
      <c r="C177" s="162"/>
    </row>
    <row r="178" spans="3:3" s="186" customFormat="1" x14ac:dyDescent="0.2">
      <c r="C178" s="162"/>
    </row>
    <row r="179" spans="3:3" s="186" customFormat="1" x14ac:dyDescent="0.2">
      <c r="C179" s="162"/>
    </row>
    <row r="180" spans="3:3" s="186" customFormat="1" x14ac:dyDescent="0.2">
      <c r="C180" s="162"/>
    </row>
    <row r="181" spans="3:3" s="186" customFormat="1" x14ac:dyDescent="0.2">
      <c r="C181" s="162"/>
    </row>
    <row r="182" spans="3:3" s="186" customFormat="1" x14ac:dyDescent="0.2">
      <c r="C182" s="162"/>
    </row>
    <row r="183" spans="3:3" s="186" customFormat="1" x14ac:dyDescent="0.2">
      <c r="C183" s="162"/>
    </row>
    <row r="184" spans="3:3" s="186" customFormat="1" x14ac:dyDescent="0.2">
      <c r="C184" s="162"/>
    </row>
    <row r="185" spans="3:3" s="186" customFormat="1" x14ac:dyDescent="0.2">
      <c r="C185" s="162"/>
    </row>
    <row r="186" spans="3:3" s="186" customFormat="1" x14ac:dyDescent="0.2">
      <c r="C186" s="162"/>
    </row>
    <row r="187" spans="3:3" s="186" customFormat="1" x14ac:dyDescent="0.2">
      <c r="C187" s="162"/>
    </row>
    <row r="188" spans="3:3" s="186" customFormat="1" x14ac:dyDescent="0.2">
      <c r="C188" s="162"/>
    </row>
    <row r="189" spans="3:3" s="186" customFormat="1" x14ac:dyDescent="0.2">
      <c r="C189" s="162"/>
    </row>
    <row r="190" spans="3:3" s="186" customFormat="1" x14ac:dyDescent="0.2">
      <c r="C190" s="162"/>
    </row>
    <row r="191" spans="3:3" s="186" customFormat="1" x14ac:dyDescent="0.2">
      <c r="C191" s="162"/>
    </row>
    <row r="192" spans="3:3" s="186" customFormat="1" x14ac:dyDescent="0.2">
      <c r="C192" s="162"/>
    </row>
    <row r="193" spans="3:3" s="186" customFormat="1" x14ac:dyDescent="0.2">
      <c r="C193" s="162"/>
    </row>
    <row r="194" spans="3:3" s="186" customFormat="1" x14ac:dyDescent="0.2">
      <c r="C194" s="162"/>
    </row>
    <row r="195" spans="3:3" s="186" customFormat="1" x14ac:dyDescent="0.2">
      <c r="C195" s="162"/>
    </row>
    <row r="196" spans="3:3" s="186" customFormat="1" x14ac:dyDescent="0.2">
      <c r="C196" s="162"/>
    </row>
    <row r="197" spans="3:3" s="186" customFormat="1" x14ac:dyDescent="0.2">
      <c r="C197" s="162"/>
    </row>
    <row r="198" spans="3:3" s="186" customFormat="1" x14ac:dyDescent="0.2">
      <c r="C198" s="162"/>
    </row>
    <row r="199" spans="3:3" s="186" customFormat="1" x14ac:dyDescent="0.2">
      <c r="C199" s="162"/>
    </row>
    <row r="200" spans="3:3" s="186" customFormat="1" x14ac:dyDescent="0.2">
      <c r="C200" s="162"/>
    </row>
    <row r="201" spans="3:3" s="186" customFormat="1" x14ac:dyDescent="0.2">
      <c r="C201" s="162"/>
    </row>
    <row r="202" spans="3:3" s="186" customFormat="1" x14ac:dyDescent="0.2">
      <c r="C202" s="162"/>
    </row>
    <row r="203" spans="3:3" s="186" customFormat="1" x14ac:dyDescent="0.2">
      <c r="C203" s="162"/>
    </row>
    <row r="204" spans="3:3" s="186" customFormat="1" x14ac:dyDescent="0.2">
      <c r="C204" s="162"/>
    </row>
    <row r="205" spans="3:3" s="186" customFormat="1" x14ac:dyDescent="0.2">
      <c r="C205" s="162"/>
    </row>
    <row r="206" spans="3:3" s="186" customFormat="1" x14ac:dyDescent="0.2">
      <c r="C206" s="162"/>
    </row>
    <row r="207" spans="3:3" s="186" customFormat="1" x14ac:dyDescent="0.2">
      <c r="C207" s="162"/>
    </row>
    <row r="208" spans="3:3" s="186" customFormat="1" x14ac:dyDescent="0.2">
      <c r="C208" s="162"/>
    </row>
    <row r="209" spans="3:3" s="186" customFormat="1" x14ac:dyDescent="0.2">
      <c r="C209" s="162"/>
    </row>
    <row r="210" spans="3:3" s="186" customFormat="1" x14ac:dyDescent="0.2">
      <c r="C210" s="162"/>
    </row>
    <row r="211" spans="3:3" s="186" customFormat="1" x14ac:dyDescent="0.2">
      <c r="C211" s="162"/>
    </row>
    <row r="212" spans="3:3" s="186" customFormat="1" x14ac:dyDescent="0.2">
      <c r="C212" s="162"/>
    </row>
    <row r="213" spans="3:3" s="186" customFormat="1" x14ac:dyDescent="0.2">
      <c r="C213" s="162"/>
    </row>
    <row r="214" spans="3:3" s="186" customFormat="1" x14ac:dyDescent="0.2">
      <c r="C214" s="162"/>
    </row>
    <row r="215" spans="3:3" s="186" customFormat="1" x14ac:dyDescent="0.2">
      <c r="C215" s="162"/>
    </row>
    <row r="216" spans="3:3" s="186" customFormat="1" x14ac:dyDescent="0.2">
      <c r="C216" s="162"/>
    </row>
    <row r="217" spans="3:3" s="186" customFormat="1" x14ac:dyDescent="0.2">
      <c r="C217" s="162"/>
    </row>
    <row r="218" spans="3:3" s="186" customFormat="1" x14ac:dyDescent="0.2">
      <c r="C218" s="162"/>
    </row>
    <row r="219" spans="3:3" s="186" customFormat="1" x14ac:dyDescent="0.2">
      <c r="C219" s="162"/>
    </row>
    <row r="220" spans="3:3" s="186" customFormat="1" x14ac:dyDescent="0.2">
      <c r="C220" s="162"/>
    </row>
    <row r="221" spans="3:3" s="186" customFormat="1" x14ac:dyDescent="0.2">
      <c r="C221" s="162"/>
    </row>
    <row r="222" spans="3:3" s="186" customFormat="1" x14ac:dyDescent="0.2">
      <c r="C222" s="162"/>
    </row>
    <row r="223" spans="3:3" s="186" customFormat="1" x14ac:dyDescent="0.2">
      <c r="C223" s="162"/>
    </row>
    <row r="224" spans="3:3" s="186" customFormat="1" x14ac:dyDescent="0.2">
      <c r="C224" s="162"/>
    </row>
    <row r="225" spans="3:3" s="186" customFormat="1" x14ac:dyDescent="0.2">
      <c r="C225" s="162"/>
    </row>
    <row r="226" spans="3:3" s="186" customFormat="1" x14ac:dyDescent="0.2">
      <c r="C226" s="162"/>
    </row>
    <row r="227" spans="3:3" s="186" customFormat="1" x14ac:dyDescent="0.2">
      <c r="C227" s="162"/>
    </row>
    <row r="228" spans="3:3" s="186" customFormat="1" x14ac:dyDescent="0.2">
      <c r="C228" s="162"/>
    </row>
    <row r="229" spans="3:3" s="186" customFormat="1" x14ac:dyDescent="0.2">
      <c r="C229" s="162"/>
    </row>
    <row r="230" spans="3:3" s="186" customFormat="1" x14ac:dyDescent="0.2">
      <c r="C230" s="162"/>
    </row>
    <row r="231" spans="3:3" s="186" customFormat="1" x14ac:dyDescent="0.2">
      <c r="C231" s="162"/>
    </row>
    <row r="232" spans="3:3" s="186" customFormat="1" x14ac:dyDescent="0.2">
      <c r="C232" s="162"/>
    </row>
    <row r="233" spans="3:3" s="186" customFormat="1" x14ac:dyDescent="0.2">
      <c r="C233" s="162"/>
    </row>
    <row r="234" spans="3:3" s="186" customFormat="1" x14ac:dyDescent="0.2">
      <c r="C234" s="162"/>
    </row>
    <row r="235" spans="3:3" s="186" customFormat="1" x14ac:dyDescent="0.2">
      <c r="C235" s="162"/>
    </row>
    <row r="236" spans="3:3" s="186" customFormat="1" x14ac:dyDescent="0.2">
      <c r="C236" s="162"/>
    </row>
    <row r="237" spans="3:3" s="186" customFormat="1" x14ac:dyDescent="0.2">
      <c r="C237" s="162"/>
    </row>
    <row r="238" spans="3:3" s="186" customFormat="1" x14ac:dyDescent="0.2">
      <c r="C238" s="162"/>
    </row>
    <row r="239" spans="3:3" s="186" customFormat="1" x14ac:dyDescent="0.2">
      <c r="C239" s="162"/>
    </row>
    <row r="240" spans="3:3" s="186" customFormat="1" x14ac:dyDescent="0.2">
      <c r="C240" s="162"/>
    </row>
    <row r="241" spans="3:3" s="186" customFormat="1" x14ac:dyDescent="0.2">
      <c r="C241" s="162"/>
    </row>
    <row r="242" spans="3:3" s="186" customFormat="1" x14ac:dyDescent="0.2">
      <c r="C242" s="162"/>
    </row>
    <row r="243" spans="3:3" s="186" customFormat="1" x14ac:dyDescent="0.2">
      <c r="C243" s="162"/>
    </row>
    <row r="244" spans="3:3" s="186" customFormat="1" x14ac:dyDescent="0.2">
      <c r="C244" s="162"/>
    </row>
    <row r="245" spans="3:3" s="186" customFormat="1" x14ac:dyDescent="0.2">
      <c r="C245" s="162"/>
    </row>
    <row r="246" spans="3:3" s="186" customFormat="1" x14ac:dyDescent="0.2">
      <c r="C246" s="162"/>
    </row>
    <row r="247" spans="3:3" s="186" customFormat="1" x14ac:dyDescent="0.2">
      <c r="C247" s="162"/>
    </row>
    <row r="248" spans="3:3" s="186" customFormat="1" x14ac:dyDescent="0.2">
      <c r="C248" s="162"/>
    </row>
    <row r="249" spans="3:3" s="186" customFormat="1" x14ac:dyDescent="0.2">
      <c r="C249" s="162"/>
    </row>
    <row r="250" spans="3:3" s="186" customFormat="1" x14ac:dyDescent="0.2">
      <c r="C250" s="162"/>
    </row>
    <row r="251" spans="3:3" s="186" customFormat="1" x14ac:dyDescent="0.2">
      <c r="C251" s="162"/>
    </row>
    <row r="252" spans="3:3" s="186" customFormat="1" x14ac:dyDescent="0.2">
      <c r="C252" s="162"/>
    </row>
    <row r="253" spans="3:3" s="186" customFormat="1" x14ac:dyDescent="0.2">
      <c r="C253" s="162"/>
    </row>
    <row r="254" spans="3:3" s="186" customFormat="1" x14ac:dyDescent="0.2">
      <c r="C254" s="162"/>
    </row>
    <row r="255" spans="3:3" s="186" customFormat="1" x14ac:dyDescent="0.2">
      <c r="C255" s="162"/>
    </row>
    <row r="256" spans="3:3" s="186" customFormat="1" x14ac:dyDescent="0.2">
      <c r="C256" s="162"/>
    </row>
    <row r="257" spans="3:3" s="186" customFormat="1" x14ac:dyDescent="0.2">
      <c r="C257" s="162"/>
    </row>
    <row r="258" spans="3:3" s="186" customFormat="1" x14ac:dyDescent="0.2">
      <c r="C258" s="162"/>
    </row>
    <row r="259" spans="3:3" s="186" customFormat="1" x14ac:dyDescent="0.2">
      <c r="C259" s="162"/>
    </row>
    <row r="260" spans="3:3" s="186" customFormat="1" x14ac:dyDescent="0.2">
      <c r="C260" s="162"/>
    </row>
    <row r="261" spans="3:3" s="186" customFormat="1" x14ac:dyDescent="0.2">
      <c r="C261" s="162"/>
    </row>
    <row r="262" spans="3:3" s="186" customFormat="1" x14ac:dyDescent="0.2">
      <c r="C262" s="162"/>
    </row>
    <row r="263" spans="3:3" s="186" customFormat="1" x14ac:dyDescent="0.2">
      <c r="C263" s="162"/>
    </row>
    <row r="264" spans="3:3" s="186" customFormat="1" x14ac:dyDescent="0.2">
      <c r="C264" s="162"/>
    </row>
    <row r="265" spans="3:3" s="186" customFormat="1" x14ac:dyDescent="0.2">
      <c r="C265" s="162"/>
    </row>
    <row r="266" spans="3:3" s="186" customFormat="1" x14ac:dyDescent="0.2">
      <c r="C266" s="162"/>
    </row>
    <row r="267" spans="3:3" s="186" customFormat="1" x14ac:dyDescent="0.2">
      <c r="C267" s="162"/>
    </row>
    <row r="268" spans="3:3" s="186" customFormat="1" x14ac:dyDescent="0.2">
      <c r="C268" s="162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2193-B474-4F44-B5CF-B68E824798F6}">
  <dimension ref="B2:J35"/>
  <sheetViews>
    <sheetView topLeftCell="A19" workbookViewId="0">
      <selection activeCell="G34" sqref="G34"/>
    </sheetView>
  </sheetViews>
  <sheetFormatPr defaultRowHeight="15" x14ac:dyDescent="0.25"/>
  <cols>
    <col min="3" max="3" width="18.140625" customWidth="1"/>
    <col min="4" max="4" width="15.85546875" customWidth="1"/>
    <col min="5" max="5" width="14.42578125" customWidth="1"/>
    <col min="6" max="6" width="14.42578125" hidden="1" customWidth="1"/>
    <col min="7" max="7" width="12.5703125" customWidth="1"/>
    <col min="9" max="9" width="2.7109375" customWidth="1"/>
    <col min="10" max="10" width="11.7109375" customWidth="1"/>
  </cols>
  <sheetData>
    <row r="2" spans="2:10" ht="14.45" customHeight="1" x14ac:dyDescent="0.25">
      <c r="B2" s="1114" t="s">
        <v>172</v>
      </c>
      <c r="C2" s="1115"/>
      <c r="D2" s="1115"/>
      <c r="E2" s="1115"/>
      <c r="F2" s="1115"/>
      <c r="G2" s="1116"/>
    </row>
    <row r="3" spans="2:10" ht="14.45" customHeight="1" x14ac:dyDescent="0.25">
      <c r="B3" s="1117"/>
      <c r="C3" s="1118"/>
      <c r="D3" s="1118"/>
      <c r="E3" s="1118"/>
      <c r="F3" s="1118"/>
      <c r="G3" s="1119"/>
    </row>
    <row r="4" spans="2:10" ht="34.9" customHeight="1" x14ac:dyDescent="0.25">
      <c r="B4" s="326" t="s">
        <v>173</v>
      </c>
      <c r="C4" s="326" t="s">
        <v>174</v>
      </c>
      <c r="D4" s="326" t="s">
        <v>175</v>
      </c>
      <c r="E4" s="326" t="s">
        <v>176</v>
      </c>
      <c r="F4" s="326" t="s">
        <v>176</v>
      </c>
      <c r="G4" s="336" t="s">
        <v>328</v>
      </c>
    </row>
    <row r="5" spans="2:10" x14ac:dyDescent="0.25">
      <c r="B5" s="326">
        <v>1</v>
      </c>
      <c r="C5" s="326" t="s">
        <v>388</v>
      </c>
      <c r="D5" s="327">
        <v>268536</v>
      </c>
      <c r="E5" s="327">
        <v>278115</v>
      </c>
      <c r="F5" s="327">
        <v>278115</v>
      </c>
      <c r="G5" s="390">
        <f t="shared" ref="G5:G35" si="0">E5-D5</f>
        <v>9579</v>
      </c>
      <c r="I5" s="1120"/>
      <c r="J5" s="1120"/>
    </row>
    <row r="6" spans="2:10" x14ac:dyDescent="0.25">
      <c r="B6" s="326">
        <v>2</v>
      </c>
      <c r="C6" s="326" t="s">
        <v>411</v>
      </c>
      <c r="D6" s="327">
        <f>E5</f>
        <v>278115</v>
      </c>
      <c r="E6" s="327">
        <v>218067</v>
      </c>
      <c r="F6" s="327">
        <v>218067</v>
      </c>
      <c r="G6" s="390">
        <f t="shared" si="0"/>
        <v>-60048</v>
      </c>
    </row>
    <row r="7" spans="2:10" x14ac:dyDescent="0.25">
      <c r="B7" s="326">
        <v>3</v>
      </c>
      <c r="C7" s="326" t="s">
        <v>412</v>
      </c>
      <c r="D7" s="327">
        <f>E6</f>
        <v>218067</v>
      </c>
      <c r="E7" s="327">
        <v>257614</v>
      </c>
      <c r="F7" s="327">
        <v>257614</v>
      </c>
      <c r="G7" s="390">
        <f t="shared" si="0"/>
        <v>39547</v>
      </c>
    </row>
    <row r="8" spans="2:10" x14ac:dyDescent="0.25">
      <c r="B8" s="326">
        <v>4</v>
      </c>
      <c r="C8" s="326" t="s">
        <v>413</v>
      </c>
      <c r="D8" s="327">
        <f>E7</f>
        <v>257614</v>
      </c>
      <c r="E8" s="327">
        <v>246851</v>
      </c>
      <c r="F8" s="327">
        <v>246851</v>
      </c>
      <c r="G8" s="390">
        <f t="shared" si="0"/>
        <v>-10763</v>
      </c>
    </row>
    <row r="9" spans="2:10" x14ac:dyDescent="0.25">
      <c r="B9" s="326">
        <v>5</v>
      </c>
      <c r="C9" s="326" t="s">
        <v>414</v>
      </c>
      <c r="D9" s="327">
        <f>E8</f>
        <v>246851</v>
      </c>
      <c r="E9" s="327">
        <v>255653</v>
      </c>
      <c r="F9" s="327">
        <v>255653</v>
      </c>
      <c r="G9" s="390">
        <f t="shared" si="0"/>
        <v>8802</v>
      </c>
    </row>
    <row r="10" spans="2:10" x14ac:dyDescent="0.25">
      <c r="B10" s="326">
        <v>6</v>
      </c>
      <c r="C10" s="326" t="s">
        <v>415</v>
      </c>
      <c r="D10" s="327">
        <f t="shared" ref="D10:D35" si="1">E9</f>
        <v>255653</v>
      </c>
      <c r="E10" s="327">
        <v>258450</v>
      </c>
      <c r="F10" s="327">
        <v>258450</v>
      </c>
      <c r="G10" s="390">
        <f t="shared" si="0"/>
        <v>2797</v>
      </c>
    </row>
    <row r="11" spans="2:10" x14ac:dyDescent="0.25">
      <c r="B11" s="326">
        <v>7</v>
      </c>
      <c r="C11" s="326" t="s">
        <v>416</v>
      </c>
      <c r="D11" s="327">
        <f t="shared" si="1"/>
        <v>258450</v>
      </c>
      <c r="E11" s="327">
        <v>238552</v>
      </c>
      <c r="F11" s="327">
        <v>238552</v>
      </c>
      <c r="G11" s="390">
        <f t="shared" si="0"/>
        <v>-19898</v>
      </c>
    </row>
    <row r="12" spans="2:10" x14ac:dyDescent="0.25">
      <c r="B12" s="326">
        <v>8</v>
      </c>
      <c r="C12" s="326" t="s">
        <v>417</v>
      </c>
      <c r="D12" s="327">
        <f t="shared" si="1"/>
        <v>238552</v>
      </c>
      <c r="E12" s="327">
        <v>283505</v>
      </c>
      <c r="F12" s="327">
        <v>283505</v>
      </c>
      <c r="G12" s="390">
        <f t="shared" si="0"/>
        <v>44953</v>
      </c>
      <c r="H12" s="387"/>
    </row>
    <row r="13" spans="2:10" x14ac:dyDescent="0.25">
      <c r="B13" s="326">
        <v>9</v>
      </c>
      <c r="C13" s="326" t="s">
        <v>418</v>
      </c>
      <c r="D13" s="327">
        <f t="shared" si="1"/>
        <v>283505</v>
      </c>
      <c r="E13" s="327">
        <v>269320</v>
      </c>
      <c r="F13" s="327">
        <v>269320</v>
      </c>
      <c r="G13" s="390">
        <f t="shared" si="0"/>
        <v>-14185</v>
      </c>
    </row>
    <row r="14" spans="2:10" x14ac:dyDescent="0.25">
      <c r="B14" s="326">
        <v>10</v>
      </c>
      <c r="C14" s="326" t="s">
        <v>389</v>
      </c>
      <c r="D14" s="327">
        <f t="shared" si="1"/>
        <v>269320</v>
      </c>
      <c r="E14" s="327">
        <v>281809</v>
      </c>
      <c r="F14" s="327">
        <v>281809</v>
      </c>
      <c r="G14" s="390">
        <f t="shared" si="0"/>
        <v>12489</v>
      </c>
    </row>
    <row r="15" spans="2:10" x14ac:dyDescent="0.25">
      <c r="B15" s="326">
        <v>11</v>
      </c>
      <c r="C15" s="326" t="s">
        <v>390</v>
      </c>
      <c r="D15" s="327">
        <f t="shared" si="1"/>
        <v>281809</v>
      </c>
      <c r="E15" s="327">
        <v>267958</v>
      </c>
      <c r="F15" s="327">
        <v>267958</v>
      </c>
      <c r="G15" s="390">
        <f t="shared" si="0"/>
        <v>-13851</v>
      </c>
    </row>
    <row r="16" spans="2:10" x14ac:dyDescent="0.25">
      <c r="B16" s="326">
        <v>12</v>
      </c>
      <c r="C16" s="326" t="s">
        <v>391</v>
      </c>
      <c r="D16" s="327">
        <f t="shared" si="1"/>
        <v>267958</v>
      </c>
      <c r="E16" s="327">
        <v>267268</v>
      </c>
      <c r="F16" s="327">
        <v>267268</v>
      </c>
      <c r="G16" s="390">
        <f t="shared" si="0"/>
        <v>-690</v>
      </c>
    </row>
    <row r="17" spans="2:7" x14ac:dyDescent="0.25">
      <c r="B17" s="326">
        <v>13</v>
      </c>
      <c r="C17" s="326" t="s">
        <v>392</v>
      </c>
      <c r="D17" s="327">
        <f t="shared" si="1"/>
        <v>267268</v>
      </c>
      <c r="E17" s="327">
        <v>285895</v>
      </c>
      <c r="F17" s="327">
        <v>285895</v>
      </c>
      <c r="G17" s="390">
        <f t="shared" si="0"/>
        <v>18627</v>
      </c>
    </row>
    <row r="18" spans="2:7" x14ac:dyDescent="0.25">
      <c r="B18" s="326">
        <v>14</v>
      </c>
      <c r="C18" s="326" t="s">
        <v>393</v>
      </c>
      <c r="D18" s="327">
        <f t="shared" si="1"/>
        <v>285895</v>
      </c>
      <c r="E18" s="327">
        <v>259934</v>
      </c>
      <c r="F18" s="327">
        <f>286934-27000</f>
        <v>259934</v>
      </c>
      <c r="G18" s="390">
        <f t="shared" si="0"/>
        <v>-25961</v>
      </c>
    </row>
    <row r="19" spans="2:7" x14ac:dyDescent="0.25">
      <c r="B19" s="326">
        <v>15</v>
      </c>
      <c r="C19" s="326" t="s">
        <v>394</v>
      </c>
      <c r="D19" s="327">
        <f t="shared" si="1"/>
        <v>259934</v>
      </c>
      <c r="E19" s="327">
        <v>229375</v>
      </c>
      <c r="F19" s="327">
        <f>259375-30000</f>
        <v>229375</v>
      </c>
      <c r="G19" s="390">
        <f t="shared" si="0"/>
        <v>-30559</v>
      </c>
    </row>
    <row r="20" spans="2:7" x14ac:dyDescent="0.25">
      <c r="B20" s="326">
        <v>16</v>
      </c>
      <c r="C20" s="326" t="s">
        <v>395</v>
      </c>
      <c r="D20" s="327">
        <f t="shared" si="1"/>
        <v>229375</v>
      </c>
      <c r="E20" s="327">
        <v>206080</v>
      </c>
      <c r="F20" s="327">
        <v>206080</v>
      </c>
      <c r="G20" s="390">
        <f t="shared" si="0"/>
        <v>-23295</v>
      </c>
    </row>
    <row r="21" spans="2:7" x14ac:dyDescent="0.25">
      <c r="B21" s="326">
        <v>17</v>
      </c>
      <c r="C21" s="326" t="s">
        <v>396</v>
      </c>
      <c r="D21" s="327">
        <f t="shared" si="1"/>
        <v>206080</v>
      </c>
      <c r="E21" s="327">
        <v>205580</v>
      </c>
      <c r="F21" s="327">
        <v>205580</v>
      </c>
      <c r="G21" s="390">
        <f t="shared" si="0"/>
        <v>-500</v>
      </c>
    </row>
    <row r="22" spans="2:7" x14ac:dyDescent="0.25">
      <c r="B22" s="326">
        <v>18</v>
      </c>
      <c r="C22" s="326" t="s">
        <v>397</v>
      </c>
      <c r="D22" s="327">
        <f t="shared" si="1"/>
        <v>205580</v>
      </c>
      <c r="E22" s="327">
        <v>204650</v>
      </c>
      <c r="F22" s="327">
        <v>204650</v>
      </c>
      <c r="G22" s="390">
        <f t="shared" si="0"/>
        <v>-930</v>
      </c>
    </row>
    <row r="23" spans="2:7" x14ac:dyDescent="0.25">
      <c r="B23" s="326">
        <v>19</v>
      </c>
      <c r="C23" s="326" t="s">
        <v>398</v>
      </c>
      <c r="D23" s="327">
        <f t="shared" si="1"/>
        <v>204650</v>
      </c>
      <c r="E23" s="327">
        <v>204650</v>
      </c>
      <c r="F23" s="327">
        <v>204650</v>
      </c>
      <c r="G23" s="390">
        <f>E23-D23</f>
        <v>0</v>
      </c>
    </row>
    <row r="24" spans="2:7" x14ac:dyDescent="0.25">
      <c r="B24" s="326">
        <v>20</v>
      </c>
      <c r="C24" s="326" t="s">
        <v>399</v>
      </c>
      <c r="D24" s="327">
        <f t="shared" si="1"/>
        <v>204650</v>
      </c>
      <c r="E24" s="327">
        <v>239103</v>
      </c>
      <c r="F24" s="327">
        <f>259103-20000</f>
        <v>239103</v>
      </c>
      <c r="G24" s="390">
        <f t="shared" si="0"/>
        <v>34453</v>
      </c>
    </row>
    <row r="25" spans="2:7" x14ac:dyDescent="0.25">
      <c r="B25" s="326">
        <v>21</v>
      </c>
      <c r="C25" s="326" t="s">
        <v>400</v>
      </c>
      <c r="D25" s="327">
        <f t="shared" si="1"/>
        <v>239103</v>
      </c>
      <c r="E25" s="327">
        <v>242878</v>
      </c>
      <c r="F25" s="327">
        <f>222878+20000</f>
        <v>242878</v>
      </c>
      <c r="G25" s="390">
        <f t="shared" si="0"/>
        <v>3775</v>
      </c>
    </row>
    <row r="26" spans="2:7" x14ac:dyDescent="0.25">
      <c r="B26" s="326">
        <v>22</v>
      </c>
      <c r="C26" s="326" t="s">
        <v>401</v>
      </c>
      <c r="D26" s="327">
        <f t="shared" si="1"/>
        <v>242878</v>
      </c>
      <c r="E26" s="327">
        <v>243484</v>
      </c>
      <c r="F26" s="327">
        <f>222984+20500</f>
        <v>243484</v>
      </c>
      <c r="G26" s="390">
        <f t="shared" si="0"/>
        <v>606</v>
      </c>
    </row>
    <row r="27" spans="2:7" x14ac:dyDescent="0.25">
      <c r="B27" s="326">
        <v>23</v>
      </c>
      <c r="C27" s="326" t="s">
        <v>402</v>
      </c>
      <c r="D27" s="327">
        <f t="shared" si="1"/>
        <v>243484</v>
      </c>
      <c r="E27" s="327">
        <v>219216</v>
      </c>
      <c r="F27" s="327">
        <v>219216</v>
      </c>
      <c r="G27" s="390">
        <f t="shared" si="0"/>
        <v>-24268</v>
      </c>
    </row>
    <row r="28" spans="2:7" x14ac:dyDescent="0.25">
      <c r="B28" s="326">
        <v>24</v>
      </c>
      <c r="C28" s="326" t="s">
        <v>403</v>
      </c>
      <c r="D28" s="327">
        <f t="shared" si="1"/>
        <v>219216</v>
      </c>
      <c r="E28" s="327">
        <v>244970</v>
      </c>
      <c r="F28" s="327">
        <v>244970</v>
      </c>
      <c r="G28" s="390">
        <f t="shared" si="0"/>
        <v>25754</v>
      </c>
    </row>
    <row r="29" spans="2:7" x14ac:dyDescent="0.25">
      <c r="B29" s="326">
        <v>25</v>
      </c>
      <c r="C29" s="326" t="s">
        <v>404</v>
      </c>
      <c r="D29" s="327">
        <f t="shared" si="1"/>
        <v>244970</v>
      </c>
      <c r="E29" s="327">
        <v>234886</v>
      </c>
      <c r="F29" s="327">
        <f>209886+25000</f>
        <v>234886</v>
      </c>
      <c r="G29" s="390">
        <f t="shared" si="0"/>
        <v>-10084</v>
      </c>
    </row>
    <row r="30" spans="2:7" x14ac:dyDescent="0.25">
      <c r="B30" s="326">
        <v>26</v>
      </c>
      <c r="C30" s="326" t="s">
        <v>405</v>
      </c>
      <c r="D30" s="327">
        <f t="shared" si="1"/>
        <v>234886</v>
      </c>
      <c r="E30" s="327">
        <v>267925</v>
      </c>
      <c r="F30" s="327">
        <v>0</v>
      </c>
      <c r="G30" s="390">
        <f t="shared" si="0"/>
        <v>33039</v>
      </c>
    </row>
    <row r="31" spans="2:7" x14ac:dyDescent="0.25">
      <c r="B31" s="326">
        <v>27</v>
      </c>
      <c r="C31" s="326" t="s">
        <v>406</v>
      </c>
      <c r="D31" s="327">
        <f t="shared" si="1"/>
        <v>267925</v>
      </c>
      <c r="E31" s="327">
        <v>263146</v>
      </c>
      <c r="F31" s="327">
        <v>0</v>
      </c>
      <c r="G31" s="390">
        <f t="shared" si="0"/>
        <v>-4779</v>
      </c>
    </row>
    <row r="32" spans="2:7" x14ac:dyDescent="0.25">
      <c r="B32" s="326">
        <v>28</v>
      </c>
      <c r="C32" s="326" t="s">
        <v>407</v>
      </c>
      <c r="D32" s="327">
        <f t="shared" si="1"/>
        <v>263146</v>
      </c>
      <c r="E32" s="327">
        <v>290180.2</v>
      </c>
      <c r="F32" s="327">
        <v>0</v>
      </c>
      <c r="G32" s="390">
        <f t="shared" si="0"/>
        <v>27034.200000000012</v>
      </c>
    </row>
    <row r="33" spans="2:7" x14ac:dyDescent="0.25">
      <c r="B33" s="326">
        <v>29</v>
      </c>
      <c r="C33" s="326" t="s">
        <v>408</v>
      </c>
      <c r="D33" s="327">
        <f t="shared" si="1"/>
        <v>290180.2</v>
      </c>
      <c r="E33" s="327">
        <v>263346</v>
      </c>
      <c r="F33" s="327">
        <v>0</v>
      </c>
      <c r="G33" s="390">
        <f t="shared" si="0"/>
        <v>-26834.200000000012</v>
      </c>
    </row>
    <row r="34" spans="2:7" x14ac:dyDescent="0.25">
      <c r="B34" s="326">
        <v>30</v>
      </c>
      <c r="C34" s="326" t="s">
        <v>409</v>
      </c>
      <c r="D34" s="327">
        <f t="shared" si="1"/>
        <v>263346</v>
      </c>
      <c r="E34" s="327">
        <v>270438</v>
      </c>
      <c r="F34" s="327">
        <v>0</v>
      </c>
      <c r="G34" s="390">
        <f t="shared" si="0"/>
        <v>7092</v>
      </c>
    </row>
    <row r="35" spans="2:7" x14ac:dyDescent="0.25">
      <c r="B35" s="326">
        <v>31</v>
      </c>
      <c r="C35" s="326" t="s">
        <v>410</v>
      </c>
      <c r="D35" s="327">
        <f t="shared" si="1"/>
        <v>270438</v>
      </c>
      <c r="E35" s="327">
        <v>283428</v>
      </c>
      <c r="F35" s="327">
        <v>0</v>
      </c>
      <c r="G35" s="390">
        <f t="shared" si="0"/>
        <v>12990</v>
      </c>
    </row>
  </sheetData>
  <mergeCells count="2">
    <mergeCell ref="B2:G3"/>
    <mergeCell ref="I5:J5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7CF8-DDCE-4F62-9413-DD7D1400D2BC}">
  <dimension ref="B2:G35"/>
  <sheetViews>
    <sheetView topLeftCell="A19" workbookViewId="0">
      <selection activeCell="E33" sqref="E33"/>
    </sheetView>
  </sheetViews>
  <sheetFormatPr defaultRowHeight="15" x14ac:dyDescent="0.25"/>
  <cols>
    <col min="3" max="3" width="19.5703125" customWidth="1"/>
    <col min="4" max="4" width="15.85546875" customWidth="1"/>
    <col min="5" max="5" width="14.42578125" customWidth="1"/>
    <col min="6" max="6" width="14" customWidth="1"/>
  </cols>
  <sheetData>
    <row r="2" spans="2:7" ht="14.45" customHeight="1" x14ac:dyDescent="0.25">
      <c r="B2" s="1114" t="s">
        <v>221</v>
      </c>
      <c r="C2" s="1115"/>
      <c r="D2" s="1115"/>
      <c r="E2" s="1115"/>
      <c r="F2" s="1116"/>
    </row>
    <row r="3" spans="2:7" ht="14.45" customHeight="1" x14ac:dyDescent="0.25">
      <c r="B3" s="1117"/>
      <c r="C3" s="1118"/>
      <c r="D3" s="1118"/>
      <c r="E3" s="1118"/>
      <c r="F3" s="1119"/>
    </row>
    <row r="4" spans="2:7" x14ac:dyDescent="0.25">
      <c r="B4" s="326" t="s">
        <v>173</v>
      </c>
      <c r="C4" s="326" t="s">
        <v>174</v>
      </c>
      <c r="D4" s="326" t="s">
        <v>175</v>
      </c>
      <c r="E4" s="326" t="s">
        <v>176</v>
      </c>
      <c r="F4" s="326" t="s">
        <v>222</v>
      </c>
    </row>
    <row r="5" spans="2:7" x14ac:dyDescent="0.25">
      <c r="B5" s="326">
        <v>1</v>
      </c>
      <c r="C5" s="326" t="s">
        <v>388</v>
      </c>
      <c r="D5" s="327"/>
      <c r="E5" s="327"/>
      <c r="F5" s="390">
        <f>E5-D5</f>
        <v>0</v>
      </c>
    </row>
    <row r="6" spans="2:7" x14ac:dyDescent="0.25">
      <c r="B6" s="326">
        <v>2</v>
      </c>
      <c r="C6" s="326" t="s">
        <v>411</v>
      </c>
      <c r="D6" s="327">
        <f>E5</f>
        <v>0</v>
      </c>
      <c r="E6" s="327">
        <v>0</v>
      </c>
      <c r="F6" s="390">
        <f t="shared" ref="F6:F35" si="0">E6-D6</f>
        <v>0</v>
      </c>
    </row>
    <row r="7" spans="2:7" x14ac:dyDescent="0.25">
      <c r="B7" s="326">
        <v>3</v>
      </c>
      <c r="C7" s="326" t="s">
        <v>412</v>
      </c>
      <c r="D7" s="327">
        <f>E6</f>
        <v>0</v>
      </c>
      <c r="E7" s="327">
        <v>0</v>
      </c>
      <c r="F7" s="390">
        <f t="shared" si="0"/>
        <v>0</v>
      </c>
    </row>
    <row r="8" spans="2:7" x14ac:dyDescent="0.25">
      <c r="B8" s="326">
        <v>4</v>
      </c>
      <c r="C8" s="326" t="s">
        <v>413</v>
      </c>
      <c r="D8" s="327">
        <f>E7</f>
        <v>0</v>
      </c>
      <c r="E8" s="327">
        <v>0</v>
      </c>
      <c r="F8" s="390">
        <f t="shared" si="0"/>
        <v>0</v>
      </c>
    </row>
    <row r="9" spans="2:7" x14ac:dyDescent="0.25">
      <c r="B9" s="326">
        <v>5</v>
      </c>
      <c r="C9" s="326" t="s">
        <v>414</v>
      </c>
      <c r="D9" s="327">
        <f>E8</f>
        <v>0</v>
      </c>
      <c r="E9" s="327">
        <v>0</v>
      </c>
      <c r="F9" s="390">
        <f t="shared" si="0"/>
        <v>0</v>
      </c>
    </row>
    <row r="10" spans="2:7" x14ac:dyDescent="0.25">
      <c r="B10" s="326">
        <v>6</v>
      </c>
      <c r="C10" s="326" t="s">
        <v>415</v>
      </c>
      <c r="D10" s="327">
        <f t="shared" ref="D10:D34" si="1">E9</f>
        <v>0</v>
      </c>
      <c r="E10" s="327">
        <v>0</v>
      </c>
      <c r="F10" s="390">
        <f t="shared" si="0"/>
        <v>0</v>
      </c>
    </row>
    <row r="11" spans="2:7" x14ac:dyDescent="0.25">
      <c r="B11" s="326">
        <v>7</v>
      </c>
      <c r="C11" s="326" t="s">
        <v>416</v>
      </c>
      <c r="D11" s="327">
        <f t="shared" si="1"/>
        <v>0</v>
      </c>
      <c r="E11" s="327">
        <v>630010</v>
      </c>
      <c r="F11" s="390">
        <f t="shared" si="0"/>
        <v>630010</v>
      </c>
    </row>
    <row r="12" spans="2:7" x14ac:dyDescent="0.25">
      <c r="B12" s="326">
        <v>8</v>
      </c>
      <c r="C12" s="326" t="s">
        <v>417</v>
      </c>
      <c r="D12" s="327">
        <f t="shared" si="1"/>
        <v>630010</v>
      </c>
      <c r="E12" s="327">
        <v>452800</v>
      </c>
      <c r="F12" s="390">
        <f t="shared" si="0"/>
        <v>-177210</v>
      </c>
      <c r="G12" s="387"/>
    </row>
    <row r="13" spans="2:7" x14ac:dyDescent="0.25">
      <c r="B13" s="326">
        <v>9</v>
      </c>
      <c r="C13" s="326" t="s">
        <v>418</v>
      </c>
      <c r="D13" s="327">
        <f t="shared" si="1"/>
        <v>452800</v>
      </c>
      <c r="E13" s="327">
        <v>0</v>
      </c>
      <c r="F13" s="390">
        <f t="shared" si="0"/>
        <v>-452800</v>
      </c>
    </row>
    <row r="14" spans="2:7" x14ac:dyDescent="0.25">
      <c r="B14" s="326">
        <v>10</v>
      </c>
      <c r="C14" s="326" t="s">
        <v>389</v>
      </c>
      <c r="D14" s="327">
        <f t="shared" si="1"/>
        <v>0</v>
      </c>
      <c r="E14" s="327">
        <v>0</v>
      </c>
      <c r="F14" s="390">
        <f t="shared" si="0"/>
        <v>0</v>
      </c>
    </row>
    <row r="15" spans="2:7" x14ac:dyDescent="0.25">
      <c r="B15" s="326">
        <v>11</v>
      </c>
      <c r="C15" s="326" t="s">
        <v>390</v>
      </c>
      <c r="D15" s="327">
        <f t="shared" si="1"/>
        <v>0</v>
      </c>
      <c r="E15" s="327">
        <v>0</v>
      </c>
      <c r="F15" s="390">
        <f t="shared" si="0"/>
        <v>0</v>
      </c>
    </row>
    <row r="16" spans="2:7" x14ac:dyDescent="0.25">
      <c r="B16" s="326">
        <v>12</v>
      </c>
      <c r="C16" s="326" t="s">
        <v>391</v>
      </c>
      <c r="D16" s="327">
        <f t="shared" si="1"/>
        <v>0</v>
      </c>
      <c r="E16" s="327">
        <v>32710</v>
      </c>
      <c r="F16" s="390">
        <f t="shared" si="0"/>
        <v>32710</v>
      </c>
    </row>
    <row r="17" spans="2:6" x14ac:dyDescent="0.25">
      <c r="B17" s="326">
        <v>13</v>
      </c>
      <c r="C17" s="326" t="s">
        <v>392</v>
      </c>
      <c r="D17" s="327">
        <f t="shared" si="1"/>
        <v>32710</v>
      </c>
      <c r="E17" s="327">
        <v>386480</v>
      </c>
      <c r="F17" s="390">
        <f t="shared" si="0"/>
        <v>353770</v>
      </c>
    </row>
    <row r="18" spans="2:6" x14ac:dyDescent="0.25">
      <c r="B18" s="326">
        <v>14</v>
      </c>
      <c r="C18" s="326" t="s">
        <v>393</v>
      </c>
      <c r="D18" s="327">
        <f t="shared" si="1"/>
        <v>386480</v>
      </c>
      <c r="E18" s="327">
        <v>300270</v>
      </c>
      <c r="F18" s="390">
        <f t="shared" si="0"/>
        <v>-86210</v>
      </c>
    </row>
    <row r="19" spans="2:6" x14ac:dyDescent="0.25">
      <c r="B19" s="326">
        <v>15</v>
      </c>
      <c r="C19" s="326" t="s">
        <v>394</v>
      </c>
      <c r="D19" s="327">
        <f t="shared" si="1"/>
        <v>300270</v>
      </c>
      <c r="E19" s="327">
        <v>25720</v>
      </c>
      <c r="F19" s="390">
        <f t="shared" si="0"/>
        <v>-274550</v>
      </c>
    </row>
    <row r="20" spans="2:6" x14ac:dyDescent="0.25">
      <c r="B20" s="326">
        <v>16</v>
      </c>
      <c r="C20" s="326" t="s">
        <v>395</v>
      </c>
      <c r="D20" s="327">
        <f t="shared" si="1"/>
        <v>25720</v>
      </c>
      <c r="E20" s="327">
        <v>216740</v>
      </c>
      <c r="F20" s="390">
        <f t="shared" si="0"/>
        <v>191020</v>
      </c>
    </row>
    <row r="21" spans="2:6" x14ac:dyDescent="0.25">
      <c r="B21" s="326">
        <v>17</v>
      </c>
      <c r="C21" s="326" t="s">
        <v>396</v>
      </c>
      <c r="D21" s="327">
        <f t="shared" si="1"/>
        <v>216740</v>
      </c>
      <c r="E21" s="327">
        <v>300320</v>
      </c>
      <c r="F21" s="390">
        <f t="shared" si="0"/>
        <v>83580</v>
      </c>
    </row>
    <row r="22" spans="2:6" x14ac:dyDescent="0.25">
      <c r="B22" s="326">
        <v>18</v>
      </c>
      <c r="C22" s="326" t="s">
        <v>397</v>
      </c>
      <c r="D22" s="327">
        <f t="shared" si="1"/>
        <v>300320</v>
      </c>
      <c r="E22" s="327">
        <v>0</v>
      </c>
      <c r="F22" s="390">
        <f t="shared" si="0"/>
        <v>-300320</v>
      </c>
    </row>
    <row r="23" spans="2:6" x14ac:dyDescent="0.25">
      <c r="B23" s="326">
        <v>19</v>
      </c>
      <c r="C23" s="326" t="s">
        <v>398</v>
      </c>
      <c r="D23" s="327">
        <f t="shared" si="1"/>
        <v>0</v>
      </c>
      <c r="E23" s="327">
        <v>25870</v>
      </c>
      <c r="F23" s="390">
        <f t="shared" si="0"/>
        <v>25870</v>
      </c>
    </row>
    <row r="24" spans="2:6" x14ac:dyDescent="0.25">
      <c r="B24" s="326">
        <v>20</v>
      </c>
      <c r="C24" s="326" t="s">
        <v>399</v>
      </c>
      <c r="D24" s="327">
        <f t="shared" si="1"/>
        <v>25870</v>
      </c>
      <c r="E24" s="327">
        <v>300320</v>
      </c>
      <c r="F24" s="390">
        <f t="shared" si="0"/>
        <v>274450</v>
      </c>
    </row>
    <row r="25" spans="2:6" x14ac:dyDescent="0.25">
      <c r="B25" s="326">
        <v>21</v>
      </c>
      <c r="C25" s="326" t="s">
        <v>400</v>
      </c>
      <c r="D25" s="327">
        <f t="shared" si="1"/>
        <v>300320</v>
      </c>
      <c r="E25" s="327">
        <v>520220</v>
      </c>
      <c r="F25" s="390">
        <f t="shared" si="0"/>
        <v>219900</v>
      </c>
    </row>
    <row r="26" spans="2:6" x14ac:dyDescent="0.25">
      <c r="B26" s="326">
        <v>22</v>
      </c>
      <c r="C26" s="326" t="s">
        <v>401</v>
      </c>
      <c r="D26" s="327">
        <f t="shared" si="1"/>
        <v>520220</v>
      </c>
      <c r="E26" s="327">
        <v>561780</v>
      </c>
      <c r="F26" s="390">
        <f t="shared" si="0"/>
        <v>41560</v>
      </c>
    </row>
    <row r="27" spans="2:6" x14ac:dyDescent="0.25">
      <c r="B27" s="326">
        <v>23</v>
      </c>
      <c r="C27" s="326" t="s">
        <v>402</v>
      </c>
      <c r="D27" s="327">
        <f t="shared" si="1"/>
        <v>561780</v>
      </c>
      <c r="E27" s="327">
        <v>246870</v>
      </c>
      <c r="F27" s="390">
        <f t="shared" si="0"/>
        <v>-314910</v>
      </c>
    </row>
    <row r="28" spans="2:6" x14ac:dyDescent="0.25">
      <c r="B28" s="326">
        <v>24</v>
      </c>
      <c r="C28" s="326" t="s">
        <v>403</v>
      </c>
      <c r="D28" s="327">
        <f t="shared" si="1"/>
        <v>246870</v>
      </c>
      <c r="E28" s="327">
        <v>663590</v>
      </c>
      <c r="F28" s="390">
        <f t="shared" si="0"/>
        <v>416720</v>
      </c>
    </row>
    <row r="29" spans="2:6" x14ac:dyDescent="0.25">
      <c r="B29" s="326">
        <v>25</v>
      </c>
      <c r="C29" s="326" t="s">
        <v>404</v>
      </c>
      <c r="D29" s="327">
        <f t="shared" si="1"/>
        <v>663590</v>
      </c>
      <c r="E29" s="327">
        <v>671610</v>
      </c>
      <c r="F29" s="390">
        <f t="shared" si="0"/>
        <v>8020</v>
      </c>
    </row>
    <row r="30" spans="2:6" x14ac:dyDescent="0.25">
      <c r="B30" s="326">
        <v>26</v>
      </c>
      <c r="C30" s="326" t="s">
        <v>405</v>
      </c>
      <c r="D30" s="327">
        <f t="shared" si="1"/>
        <v>671610</v>
      </c>
      <c r="E30" s="327">
        <v>630700</v>
      </c>
      <c r="F30" s="390">
        <f t="shared" si="0"/>
        <v>-40910</v>
      </c>
    </row>
    <row r="31" spans="2:6" x14ac:dyDescent="0.25">
      <c r="B31" s="326">
        <v>27</v>
      </c>
      <c r="C31" s="326" t="s">
        <v>406</v>
      </c>
      <c r="D31" s="327">
        <f t="shared" si="1"/>
        <v>630700</v>
      </c>
      <c r="E31" s="327">
        <v>669130</v>
      </c>
      <c r="F31" s="390">
        <f t="shared" si="0"/>
        <v>38430</v>
      </c>
    </row>
    <row r="32" spans="2:6" x14ac:dyDescent="0.25">
      <c r="B32" s="326">
        <v>28</v>
      </c>
      <c r="C32" s="326" t="s">
        <v>407</v>
      </c>
      <c r="D32" s="327">
        <f t="shared" si="1"/>
        <v>669130</v>
      </c>
      <c r="E32" s="327">
        <v>191170</v>
      </c>
      <c r="F32" s="390">
        <f t="shared" si="0"/>
        <v>-477960</v>
      </c>
    </row>
    <row r="33" spans="2:6" x14ac:dyDescent="0.25">
      <c r="B33" s="326">
        <v>29</v>
      </c>
      <c r="C33" s="326" t="s">
        <v>408</v>
      </c>
      <c r="D33" s="327">
        <f t="shared" si="1"/>
        <v>191170</v>
      </c>
      <c r="E33" s="327">
        <v>637310</v>
      </c>
      <c r="F33" s="390">
        <f t="shared" si="0"/>
        <v>446140</v>
      </c>
    </row>
    <row r="34" spans="2:6" x14ac:dyDescent="0.25">
      <c r="B34" s="326">
        <v>30</v>
      </c>
      <c r="C34" s="326" t="s">
        <v>409</v>
      </c>
      <c r="D34" s="327">
        <f t="shared" si="1"/>
        <v>637310</v>
      </c>
      <c r="E34" s="327">
        <v>582820</v>
      </c>
      <c r="F34" s="390">
        <f t="shared" si="0"/>
        <v>-54490</v>
      </c>
    </row>
    <row r="35" spans="2:6" x14ac:dyDescent="0.25">
      <c r="B35" s="326">
        <v>31</v>
      </c>
      <c r="C35" s="326" t="s">
        <v>410</v>
      </c>
      <c r="D35" s="327">
        <f t="shared" ref="D35" si="2">E34</f>
        <v>582820</v>
      </c>
      <c r="E35" s="327">
        <v>637920</v>
      </c>
      <c r="F35" s="390">
        <f t="shared" si="0"/>
        <v>55100</v>
      </c>
    </row>
  </sheetData>
  <mergeCells count="1">
    <mergeCell ref="B2:F3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78B1-871B-412F-A6AF-93B1C7A17168}">
  <sheetPr>
    <pageSetUpPr fitToPage="1"/>
  </sheetPr>
  <dimension ref="B1:AO45"/>
  <sheetViews>
    <sheetView zoomScale="85" zoomScaleNormal="85" workbookViewId="0">
      <selection activeCell="U32" sqref="U32"/>
    </sheetView>
  </sheetViews>
  <sheetFormatPr defaultColWidth="9.140625" defaultRowHeight="12.75" x14ac:dyDescent="0.25"/>
  <cols>
    <col min="1" max="1" width="9.140625" style="1030"/>
    <col min="2" max="2" width="1.7109375" style="1030" customWidth="1"/>
    <col min="3" max="3" width="9.42578125" style="1030" customWidth="1"/>
    <col min="4" max="4" width="9" style="1030" customWidth="1"/>
    <col min="5" max="5" width="11.7109375" style="1030" customWidth="1"/>
    <col min="6" max="6" width="12.42578125" style="1030" customWidth="1"/>
    <col min="7" max="7" width="5.28515625" style="1030" customWidth="1"/>
    <col min="8" max="8" width="10" style="1030" customWidth="1"/>
    <col min="9" max="9" width="2.7109375" style="1030" customWidth="1"/>
    <col min="10" max="10" width="8.28515625" style="1030" customWidth="1"/>
    <col min="11" max="11" width="11.85546875" style="1030" customWidth="1"/>
    <col min="12" max="12" width="12.28515625" style="1030" customWidth="1"/>
    <col min="13" max="13" width="9.140625" style="1030" customWidth="1"/>
    <col min="14" max="14" width="11.85546875" style="1044" customWidth="1"/>
    <col min="15" max="15" width="10.140625" style="1030" customWidth="1"/>
    <col min="16" max="16" width="1.5703125" style="1030" customWidth="1"/>
    <col min="17" max="27" width="9.140625" style="1030"/>
    <col min="28" max="28" width="0" style="1030" hidden="1" customWidth="1"/>
    <col min="29" max="16384" width="9.140625" style="1030"/>
  </cols>
  <sheetData>
    <row r="1" spans="2:41" x14ac:dyDescent="0.25">
      <c r="B1" s="1026"/>
      <c r="C1" s="1027"/>
      <c r="D1" s="1027"/>
      <c r="E1" s="1027"/>
      <c r="F1" s="1027"/>
      <c r="G1" s="1027"/>
      <c r="H1" s="1027"/>
      <c r="I1" s="1027"/>
      <c r="J1" s="1027"/>
      <c r="K1" s="1027"/>
      <c r="L1" s="1027"/>
      <c r="M1" s="1027"/>
      <c r="N1" s="1028"/>
      <c r="O1" s="1027"/>
      <c r="P1" s="1029"/>
    </row>
    <row r="2" spans="2:41" ht="25.5" customHeight="1" x14ac:dyDescent="0.25">
      <c r="B2" s="1031"/>
      <c r="C2" s="1138"/>
      <c r="D2" s="1139" t="s">
        <v>426</v>
      </c>
      <c r="E2" s="1139"/>
      <c r="F2" s="1139"/>
      <c r="G2" s="1139"/>
      <c r="H2" s="1139"/>
      <c r="I2" s="1139"/>
      <c r="J2" s="1139"/>
      <c r="K2" s="1139"/>
      <c r="L2" s="1140" t="s">
        <v>427</v>
      </c>
      <c r="M2" s="1140"/>
      <c r="N2" s="1140" t="s">
        <v>428</v>
      </c>
      <c r="O2" s="1140"/>
      <c r="P2" s="1032"/>
    </row>
    <row r="3" spans="2:41" ht="27.75" customHeight="1" x14ac:dyDescent="0.25">
      <c r="B3" s="1031"/>
      <c r="C3" s="1138"/>
      <c r="D3" s="1134" t="s">
        <v>429</v>
      </c>
      <c r="E3" s="1134"/>
      <c r="F3" s="1134"/>
      <c r="G3" s="1134"/>
      <c r="H3" s="1134"/>
      <c r="I3" s="1134"/>
      <c r="J3" s="1134"/>
      <c r="K3" s="1134"/>
      <c r="L3" s="1141" t="s">
        <v>430</v>
      </c>
      <c r="M3" s="1141"/>
      <c r="N3" s="1142">
        <v>44866</v>
      </c>
      <c r="O3" s="1142"/>
      <c r="P3" s="1033"/>
    </row>
    <row r="4" spans="2:41" ht="32.25" customHeight="1" x14ac:dyDescent="0.25">
      <c r="B4" s="1031"/>
      <c r="C4" s="1138"/>
      <c r="D4" s="1141" t="s">
        <v>431</v>
      </c>
      <c r="E4" s="1141"/>
      <c r="F4" s="1141"/>
      <c r="G4" s="1141"/>
      <c r="H4" s="1141"/>
      <c r="I4" s="1141"/>
      <c r="J4" s="1141"/>
      <c r="K4" s="1141"/>
      <c r="L4" s="1140" t="s">
        <v>432</v>
      </c>
      <c r="M4" s="1140"/>
      <c r="N4" s="1134" t="s">
        <v>433</v>
      </c>
      <c r="O4" s="1134"/>
      <c r="P4" s="1034"/>
    </row>
    <row r="5" spans="2:41" ht="23.25" customHeight="1" x14ac:dyDescent="0.25">
      <c r="B5" s="1031"/>
      <c r="C5" s="1035"/>
      <c r="D5" s="1130" t="s">
        <v>434</v>
      </c>
      <c r="E5" s="1131"/>
      <c r="F5" s="1131"/>
      <c r="G5" s="1131"/>
      <c r="H5" s="1131"/>
      <c r="I5" s="1131"/>
      <c r="J5" s="1131"/>
      <c r="K5" s="1132"/>
      <c r="L5" s="1133" t="s">
        <v>435</v>
      </c>
      <c r="M5" s="1133"/>
      <c r="N5" s="1134">
        <v>2</v>
      </c>
      <c r="O5" s="1134"/>
      <c r="P5" s="1034"/>
    </row>
    <row r="6" spans="2:41" ht="18.75" x14ac:dyDescent="0.25">
      <c r="B6" s="1031"/>
      <c r="C6" s="1135" t="s">
        <v>436</v>
      </c>
      <c r="D6" s="1135"/>
      <c r="E6" s="1135"/>
      <c r="F6" s="1135"/>
      <c r="G6" s="1135"/>
      <c r="H6" s="1135"/>
      <c r="I6" s="1135"/>
      <c r="J6" s="1135"/>
      <c r="K6" s="1135"/>
      <c r="L6" s="1135"/>
      <c r="M6" s="1135"/>
      <c r="N6" s="1135"/>
      <c r="O6" s="1135"/>
      <c r="P6" s="1034"/>
    </row>
    <row r="7" spans="2:41" ht="18.75" x14ac:dyDescent="0.25">
      <c r="B7" s="1031"/>
      <c r="C7" s="1136" t="s">
        <v>437</v>
      </c>
      <c r="D7" s="1136"/>
      <c r="E7" s="1136"/>
      <c r="F7" s="1136"/>
      <c r="G7" s="1136"/>
      <c r="H7" s="1136"/>
      <c r="I7" s="1136"/>
      <c r="J7" s="1136"/>
      <c r="K7" s="1136"/>
      <c r="L7" s="1136"/>
      <c r="M7" s="1136"/>
      <c r="N7" s="1136"/>
      <c r="O7" s="1136"/>
      <c r="P7" s="1034"/>
    </row>
    <row r="8" spans="2:41" ht="26.25" customHeight="1" x14ac:dyDescent="0.25">
      <c r="B8" s="1031"/>
      <c r="C8" s="1037"/>
      <c r="D8" s="1137" t="s">
        <v>438</v>
      </c>
      <c r="E8" s="1137"/>
      <c r="F8" s="1038"/>
      <c r="G8" s="1038"/>
      <c r="H8" s="1038"/>
      <c r="I8" s="1038"/>
      <c r="J8" s="1137" t="s">
        <v>439</v>
      </c>
      <c r="K8" s="1137"/>
      <c r="L8" s="1039"/>
      <c r="M8" s="1037"/>
      <c r="N8" s="1037"/>
      <c r="O8" s="1037"/>
      <c r="P8" s="1040"/>
    </row>
    <row r="9" spans="2:41" ht="49.5" customHeight="1" x14ac:dyDescent="0.25">
      <c r="B9" s="1031"/>
      <c r="C9" s="1037"/>
      <c r="D9" s="1041" t="s">
        <v>440</v>
      </c>
      <c r="E9" s="1041" t="s">
        <v>441</v>
      </c>
      <c r="F9" s="1042" t="s">
        <v>442</v>
      </c>
      <c r="G9" s="1041" t="s">
        <v>25</v>
      </c>
      <c r="H9" s="1042" t="s">
        <v>443</v>
      </c>
      <c r="I9" s="1043"/>
      <c r="J9" s="1041" t="s">
        <v>440</v>
      </c>
      <c r="K9" s="1041" t="s">
        <v>441</v>
      </c>
      <c r="L9" s="1042" t="s">
        <v>442</v>
      </c>
      <c r="M9" s="1041" t="s">
        <v>25</v>
      </c>
      <c r="N9" s="1042" t="s">
        <v>443</v>
      </c>
      <c r="O9" s="1037"/>
      <c r="P9" s="1040"/>
      <c r="AM9" s="1044"/>
      <c r="AO9" s="1044"/>
    </row>
    <row r="10" spans="2:41" ht="25.5" customHeight="1" x14ac:dyDescent="0.25">
      <c r="B10" s="1031"/>
      <c r="C10" s="1037"/>
      <c r="D10" s="1045"/>
      <c r="E10" s="1045"/>
      <c r="F10" s="1042" t="s">
        <v>444</v>
      </c>
      <c r="G10" s="1045"/>
      <c r="H10" s="1046"/>
      <c r="I10" s="1047"/>
      <c r="J10" s="1041"/>
      <c r="K10" s="1041"/>
      <c r="L10" s="1041" t="s">
        <v>444</v>
      </c>
      <c r="M10" s="1041"/>
      <c r="N10" s="1041"/>
      <c r="O10" s="1037"/>
      <c r="P10" s="1040"/>
      <c r="AM10" s="1044"/>
      <c r="AO10" s="1044"/>
    </row>
    <row r="11" spans="2:41" ht="31.5" customHeight="1" x14ac:dyDescent="0.25">
      <c r="B11" s="1031"/>
      <c r="C11" s="1037"/>
      <c r="D11" s="1041">
        <v>1</v>
      </c>
      <c r="E11" s="1041" t="s">
        <v>445</v>
      </c>
      <c r="F11" s="1041">
        <v>0.81</v>
      </c>
      <c r="G11" s="1041">
        <v>100</v>
      </c>
      <c r="H11" s="1048">
        <f>G11*F11/100</f>
        <v>0.81</v>
      </c>
      <c r="I11" s="1049"/>
      <c r="J11" s="1041">
        <v>1</v>
      </c>
      <c r="K11" s="1041" t="s">
        <v>446</v>
      </c>
      <c r="L11" s="1041">
        <v>56</v>
      </c>
      <c r="M11" s="1041">
        <v>98.1</v>
      </c>
      <c r="N11" s="1050">
        <f>M11*L11/100</f>
        <v>54.935999999999993</v>
      </c>
      <c r="O11" s="1037"/>
      <c r="P11" s="1040"/>
      <c r="AM11" s="1044"/>
      <c r="AO11" s="1044"/>
    </row>
    <row r="12" spans="2:41" ht="31.5" customHeight="1" x14ac:dyDescent="0.25">
      <c r="B12" s="1031"/>
      <c r="C12" s="1037"/>
      <c r="D12" s="1041">
        <v>2</v>
      </c>
      <c r="E12" s="1041" t="s">
        <v>447</v>
      </c>
      <c r="F12" s="1041">
        <v>72.587000000000003</v>
      </c>
      <c r="G12" s="1041">
        <v>80</v>
      </c>
      <c r="H12" s="1048">
        <f t="shared" ref="H12:H32" si="0">G12*F12/100</f>
        <v>58.069600000000001</v>
      </c>
      <c r="I12" s="1049"/>
      <c r="J12" s="1041">
        <v>2</v>
      </c>
      <c r="K12" s="1041" t="s">
        <v>448</v>
      </c>
      <c r="L12" s="1041">
        <v>56</v>
      </c>
      <c r="M12" s="1041">
        <v>97.6</v>
      </c>
      <c r="N12" s="1050">
        <f>M12*L12/100</f>
        <v>54.655999999999992</v>
      </c>
      <c r="O12" s="1037"/>
      <c r="P12" s="1040"/>
      <c r="AM12" s="1044"/>
      <c r="AO12" s="1044"/>
    </row>
    <row r="13" spans="2:41" ht="31.5" customHeight="1" x14ac:dyDescent="0.25">
      <c r="B13" s="1031"/>
      <c r="C13" s="1051"/>
      <c r="D13" s="1041">
        <v>3</v>
      </c>
      <c r="E13" s="1041" t="s">
        <v>449</v>
      </c>
      <c r="F13" s="1041">
        <v>23.884</v>
      </c>
      <c r="G13" s="1041">
        <v>59</v>
      </c>
      <c r="H13" s="1048">
        <f t="shared" si="0"/>
        <v>14.091559999999999</v>
      </c>
      <c r="I13" s="1049"/>
      <c r="J13" s="1041">
        <v>3</v>
      </c>
      <c r="K13" s="1041" t="s">
        <v>450</v>
      </c>
      <c r="L13" s="1041">
        <v>56</v>
      </c>
      <c r="M13" s="1041">
        <v>98.4</v>
      </c>
      <c r="N13" s="1050">
        <f>M13*L13/100</f>
        <v>55.104000000000006</v>
      </c>
      <c r="O13" s="1037"/>
      <c r="P13" s="1040"/>
      <c r="AM13" s="1044"/>
      <c r="AO13" s="1044"/>
    </row>
    <row r="14" spans="2:41" ht="31.5" customHeight="1" x14ac:dyDescent="0.25">
      <c r="B14" s="1031"/>
      <c r="C14" s="1051"/>
      <c r="D14" s="1041">
        <v>4</v>
      </c>
      <c r="E14" s="1041" t="s">
        <v>451</v>
      </c>
      <c r="F14" s="1041">
        <v>7.38</v>
      </c>
      <c r="G14" s="1041">
        <v>100</v>
      </c>
      <c r="H14" s="1048">
        <f t="shared" si="0"/>
        <v>7.38</v>
      </c>
      <c r="I14" s="1049"/>
      <c r="J14" s="1041">
        <v>4</v>
      </c>
      <c r="K14" s="1041" t="s">
        <v>452</v>
      </c>
      <c r="L14" s="1041">
        <v>56</v>
      </c>
      <c r="M14" s="1041">
        <v>98.4</v>
      </c>
      <c r="N14" s="1050">
        <f t="shared" ref="N14:N29" si="1">M14*L14/100</f>
        <v>55.104000000000006</v>
      </c>
      <c r="O14" s="1037"/>
      <c r="P14" s="1040"/>
      <c r="AM14" s="1044"/>
      <c r="AO14" s="1044"/>
    </row>
    <row r="15" spans="2:41" ht="31.5" customHeight="1" x14ac:dyDescent="0.25">
      <c r="B15" s="1031"/>
      <c r="C15" s="1037"/>
      <c r="D15" s="1041">
        <v>5</v>
      </c>
      <c r="E15" s="1041" t="s">
        <v>453</v>
      </c>
      <c r="F15" s="1041">
        <v>7.38</v>
      </c>
      <c r="G15" s="1041">
        <v>100</v>
      </c>
      <c r="H15" s="1048">
        <f t="shared" si="0"/>
        <v>7.38</v>
      </c>
      <c r="I15" s="1049"/>
      <c r="J15" s="1041">
        <v>5</v>
      </c>
      <c r="K15" s="1041" t="s">
        <v>454</v>
      </c>
      <c r="L15" s="1041">
        <v>56</v>
      </c>
      <c r="M15" s="1041">
        <v>98.4</v>
      </c>
      <c r="N15" s="1050">
        <f t="shared" si="1"/>
        <v>55.104000000000006</v>
      </c>
      <c r="O15" s="1037"/>
      <c r="P15" s="1040"/>
      <c r="AM15" s="1044"/>
      <c r="AO15" s="1044"/>
    </row>
    <row r="16" spans="2:41" ht="31.5" customHeight="1" x14ac:dyDescent="0.25">
      <c r="B16" s="1031"/>
      <c r="C16" s="1037"/>
      <c r="D16" s="1041">
        <v>6</v>
      </c>
      <c r="E16" s="1041" t="s">
        <v>455</v>
      </c>
      <c r="F16" s="1041">
        <v>7.38</v>
      </c>
      <c r="G16" s="1041">
        <v>100</v>
      </c>
      <c r="H16" s="1048">
        <f t="shared" si="0"/>
        <v>7.38</v>
      </c>
      <c r="I16" s="1049"/>
      <c r="J16" s="1041">
        <v>6</v>
      </c>
      <c r="K16" s="1041" t="s">
        <v>456</v>
      </c>
      <c r="L16" s="1041">
        <v>56</v>
      </c>
      <c r="M16" s="1041">
        <v>98.4</v>
      </c>
      <c r="N16" s="1050">
        <f t="shared" si="1"/>
        <v>55.104000000000006</v>
      </c>
      <c r="O16" s="1037"/>
      <c r="P16" s="1040"/>
      <c r="AM16" s="1044"/>
      <c r="AO16" s="1044"/>
    </row>
    <row r="17" spans="2:41" ht="31.5" customHeight="1" x14ac:dyDescent="0.25">
      <c r="B17" s="1031"/>
      <c r="C17" s="1037"/>
      <c r="D17" s="1041">
        <v>7</v>
      </c>
      <c r="E17" s="1041" t="s">
        <v>457</v>
      </c>
      <c r="F17" s="1041">
        <v>7.38</v>
      </c>
      <c r="G17" s="1041">
        <v>0</v>
      </c>
      <c r="H17" s="1048">
        <f t="shared" si="0"/>
        <v>0</v>
      </c>
      <c r="I17" s="1049"/>
      <c r="J17" s="1041">
        <v>7</v>
      </c>
      <c r="K17" s="1041" t="s">
        <v>458</v>
      </c>
      <c r="L17" s="1041">
        <v>56</v>
      </c>
      <c r="M17" s="1041">
        <v>15.5</v>
      </c>
      <c r="N17" s="1050">
        <f t="shared" si="1"/>
        <v>8.68</v>
      </c>
      <c r="O17" s="1037"/>
      <c r="P17" s="1040"/>
      <c r="AM17" s="1044"/>
      <c r="AO17" s="1044"/>
    </row>
    <row r="18" spans="2:41" ht="31.5" customHeight="1" x14ac:dyDescent="0.25">
      <c r="B18" s="1031"/>
      <c r="C18" s="1037"/>
      <c r="D18" s="1041">
        <v>8</v>
      </c>
      <c r="E18" s="1041" t="s">
        <v>459</v>
      </c>
      <c r="F18" s="1041">
        <v>7.38</v>
      </c>
      <c r="G18" s="1041">
        <v>0</v>
      </c>
      <c r="H18" s="1048">
        <f>G18*F18/100</f>
        <v>0</v>
      </c>
      <c r="I18" s="1049"/>
      <c r="J18" s="1041">
        <v>8</v>
      </c>
      <c r="K18" s="1041" t="s">
        <v>460</v>
      </c>
      <c r="L18" s="1041">
        <v>56</v>
      </c>
      <c r="M18" s="1041">
        <v>98.3</v>
      </c>
      <c r="N18" s="1050">
        <f t="shared" si="1"/>
        <v>55.048000000000002</v>
      </c>
      <c r="O18" s="1037"/>
      <c r="P18" s="1040"/>
      <c r="AB18" s="1030">
        <v>55.888000000000005</v>
      </c>
      <c r="AM18" s="1044"/>
      <c r="AO18" s="1044"/>
    </row>
    <row r="19" spans="2:41" ht="31.5" customHeight="1" x14ac:dyDescent="0.25">
      <c r="B19" s="1031"/>
      <c r="C19" s="1037"/>
      <c r="D19" s="1041">
        <v>9</v>
      </c>
      <c r="E19" s="1041" t="s">
        <v>461</v>
      </c>
      <c r="F19" s="1041">
        <v>0.36899999999999999</v>
      </c>
      <c r="G19" s="1041">
        <v>100</v>
      </c>
      <c r="H19" s="1048">
        <f t="shared" si="0"/>
        <v>0.36899999999999999</v>
      </c>
      <c r="I19" s="1049"/>
      <c r="J19" s="1041">
        <v>9</v>
      </c>
      <c r="K19" s="1041" t="s">
        <v>462</v>
      </c>
      <c r="L19" s="1041">
        <v>56</v>
      </c>
      <c r="M19" s="1041">
        <v>98.3</v>
      </c>
      <c r="N19" s="1050">
        <f t="shared" si="1"/>
        <v>55.048000000000002</v>
      </c>
      <c r="O19" s="1037"/>
      <c r="P19" s="1040"/>
      <c r="AB19" s="1030">
        <v>55.888000000000005</v>
      </c>
      <c r="AM19" s="1044"/>
      <c r="AO19" s="1044"/>
    </row>
    <row r="20" spans="2:41" ht="31.5" customHeight="1" x14ac:dyDescent="0.25">
      <c r="B20" s="1031"/>
      <c r="C20" s="1037"/>
      <c r="D20" s="1041">
        <v>10</v>
      </c>
      <c r="E20" s="1041" t="s">
        <v>463</v>
      </c>
      <c r="F20" s="1041">
        <v>0.24299999999999999</v>
      </c>
      <c r="G20" s="1041">
        <v>100</v>
      </c>
      <c r="H20" s="1048">
        <f t="shared" si="0"/>
        <v>0.24299999999999999</v>
      </c>
      <c r="I20" s="1049"/>
      <c r="J20" s="1041">
        <v>10</v>
      </c>
      <c r="K20" s="1041" t="s">
        <v>464</v>
      </c>
      <c r="L20" s="1041">
        <v>56</v>
      </c>
      <c r="M20" s="1041">
        <v>98.3</v>
      </c>
      <c r="N20" s="1050">
        <f t="shared" si="1"/>
        <v>55.048000000000002</v>
      </c>
      <c r="O20" s="1037"/>
      <c r="P20" s="1040"/>
      <c r="AB20" s="1030">
        <v>55.775999999999996</v>
      </c>
      <c r="AM20" s="1044"/>
      <c r="AO20" s="1044"/>
    </row>
    <row r="21" spans="2:41" ht="31.5" customHeight="1" x14ac:dyDescent="0.25">
      <c r="B21" s="1031"/>
      <c r="C21" s="1037"/>
      <c r="D21" s="1041">
        <v>11</v>
      </c>
      <c r="E21" s="1041" t="s">
        <v>465</v>
      </c>
      <c r="F21" s="1041">
        <v>0.30599999999999999</v>
      </c>
      <c r="G21" s="1041">
        <v>100</v>
      </c>
      <c r="H21" s="1048">
        <f t="shared" si="0"/>
        <v>0.30599999999999999</v>
      </c>
      <c r="I21" s="1049"/>
      <c r="J21" s="1041">
        <v>11</v>
      </c>
      <c r="K21" s="1041" t="s">
        <v>466</v>
      </c>
      <c r="L21" s="1041">
        <v>56</v>
      </c>
      <c r="M21" s="1041">
        <v>98.3</v>
      </c>
      <c r="N21" s="1050">
        <f t="shared" si="1"/>
        <v>55.048000000000002</v>
      </c>
      <c r="O21" s="1037"/>
      <c r="P21" s="1040"/>
      <c r="S21" s="1122"/>
      <c r="AB21" s="1030">
        <v>55.775999999999996</v>
      </c>
      <c r="AM21" s="1044"/>
      <c r="AO21" s="1044"/>
    </row>
    <row r="22" spans="2:41" ht="31.5" customHeight="1" x14ac:dyDescent="0.25">
      <c r="B22" s="1031"/>
      <c r="C22" s="1037"/>
      <c r="D22" s="1041">
        <v>12</v>
      </c>
      <c r="E22" s="1041" t="s">
        <v>467</v>
      </c>
      <c r="F22" s="1041">
        <v>5.383</v>
      </c>
      <c r="G22" s="1041">
        <v>30</v>
      </c>
      <c r="H22" s="1048">
        <f t="shared" si="0"/>
        <v>1.6149</v>
      </c>
      <c r="I22" s="1049"/>
      <c r="J22" s="1041">
        <v>12</v>
      </c>
      <c r="K22" s="1041" t="s">
        <v>468</v>
      </c>
      <c r="L22" s="1041">
        <v>56</v>
      </c>
      <c r="M22" s="1041">
        <v>98.3</v>
      </c>
      <c r="N22" s="1050">
        <f t="shared" si="1"/>
        <v>55.048000000000002</v>
      </c>
      <c r="O22" s="1037"/>
      <c r="P22" s="1040"/>
      <c r="S22" s="1122"/>
      <c r="AB22" s="1030">
        <v>55.775999999999996</v>
      </c>
      <c r="AM22" s="1044"/>
      <c r="AO22" s="1044"/>
    </row>
    <row r="23" spans="2:41" ht="31.5" customHeight="1" x14ac:dyDescent="0.25">
      <c r="B23" s="1031"/>
      <c r="C23" s="1037"/>
      <c r="D23" s="1041">
        <v>13</v>
      </c>
      <c r="E23" s="1041" t="s">
        <v>469</v>
      </c>
      <c r="F23" s="1041">
        <v>7.798</v>
      </c>
      <c r="G23" s="1041">
        <v>0</v>
      </c>
      <c r="H23" s="1048">
        <f t="shared" si="0"/>
        <v>0</v>
      </c>
      <c r="I23" s="1049"/>
      <c r="J23" s="1041">
        <v>13</v>
      </c>
      <c r="K23" s="1041" t="s">
        <v>470</v>
      </c>
      <c r="L23" s="1052">
        <v>14.59</v>
      </c>
      <c r="M23" s="1041">
        <v>80</v>
      </c>
      <c r="N23" s="1050">
        <f t="shared" si="1"/>
        <v>11.672000000000001</v>
      </c>
      <c r="O23" s="1037"/>
      <c r="P23" s="1040"/>
      <c r="AB23" s="1030">
        <v>55.664000000000009</v>
      </c>
      <c r="AM23" s="1044"/>
      <c r="AO23" s="1044"/>
    </row>
    <row r="24" spans="2:41" ht="31.5" customHeight="1" x14ac:dyDescent="0.25">
      <c r="B24" s="1031"/>
      <c r="C24" s="1037"/>
      <c r="D24" s="1041">
        <v>14</v>
      </c>
      <c r="E24" s="1041" t="s">
        <v>471</v>
      </c>
      <c r="F24" s="1041">
        <v>51.512999999999998</v>
      </c>
      <c r="G24" s="1041">
        <v>70</v>
      </c>
      <c r="H24" s="1048">
        <f t="shared" si="0"/>
        <v>36.059100000000001</v>
      </c>
      <c r="I24" s="1049"/>
      <c r="J24" s="1041">
        <v>14</v>
      </c>
      <c r="K24" s="1041" t="s">
        <v>472</v>
      </c>
      <c r="L24" s="1053">
        <v>14.39</v>
      </c>
      <c r="M24" s="1041">
        <v>85.6</v>
      </c>
      <c r="N24" s="1050">
        <f>M24*L24/100</f>
        <v>12.317839999999999</v>
      </c>
      <c r="O24" s="1037"/>
      <c r="P24" s="1040"/>
      <c r="AB24" s="1030">
        <v>55.664000000000009</v>
      </c>
      <c r="AM24" s="1044"/>
      <c r="AO24" s="1044"/>
    </row>
    <row r="25" spans="2:41" ht="31.5" customHeight="1" x14ac:dyDescent="0.25">
      <c r="B25" s="1031"/>
      <c r="C25" s="1037"/>
      <c r="D25" s="1041">
        <v>15</v>
      </c>
      <c r="E25" s="1041" t="s">
        <v>473</v>
      </c>
      <c r="F25" s="1041">
        <v>18.45</v>
      </c>
      <c r="G25" s="1041">
        <v>35</v>
      </c>
      <c r="H25" s="1054">
        <f t="shared" si="0"/>
        <v>6.4574999999999996</v>
      </c>
      <c r="I25" s="1049"/>
      <c r="J25" s="1041">
        <v>15</v>
      </c>
      <c r="K25" s="1041" t="s">
        <v>474</v>
      </c>
      <c r="L25" s="1055">
        <v>56</v>
      </c>
      <c r="M25" s="1041">
        <v>0</v>
      </c>
      <c r="N25" s="1050">
        <f t="shared" si="1"/>
        <v>0</v>
      </c>
      <c r="O25" s="1037"/>
      <c r="P25" s="1040"/>
      <c r="AB25" s="1030">
        <v>0</v>
      </c>
      <c r="AM25" s="1044"/>
      <c r="AO25" s="1044"/>
    </row>
    <row r="26" spans="2:41" ht="31.5" customHeight="1" x14ac:dyDescent="0.25">
      <c r="B26" s="1031"/>
      <c r="C26" s="1037"/>
      <c r="D26" s="1041">
        <v>16</v>
      </c>
      <c r="E26" s="1041" t="s">
        <v>475</v>
      </c>
      <c r="F26" s="1041">
        <v>18.45</v>
      </c>
      <c r="G26" s="1041">
        <v>100</v>
      </c>
      <c r="H26" s="1048">
        <f t="shared" si="0"/>
        <v>18.45</v>
      </c>
      <c r="I26" s="1049"/>
      <c r="J26" s="1041">
        <v>16</v>
      </c>
      <c r="K26" s="1041" t="s">
        <v>476</v>
      </c>
      <c r="L26" s="1041">
        <v>23.4</v>
      </c>
      <c r="M26" s="1041">
        <v>0</v>
      </c>
      <c r="N26" s="1050">
        <f t="shared" si="1"/>
        <v>0</v>
      </c>
      <c r="O26" s="1037"/>
      <c r="P26" s="1040"/>
      <c r="AB26" s="1030">
        <v>0</v>
      </c>
      <c r="AM26" s="1044"/>
      <c r="AO26" s="1044"/>
    </row>
    <row r="27" spans="2:41" ht="31.5" customHeight="1" x14ac:dyDescent="0.25">
      <c r="B27" s="1031"/>
      <c r="C27" s="1051"/>
      <c r="D27" s="1041">
        <v>17</v>
      </c>
      <c r="E27" s="1041" t="s">
        <v>477</v>
      </c>
      <c r="F27" s="1041">
        <v>12.33</v>
      </c>
      <c r="G27" s="1041">
        <v>80</v>
      </c>
      <c r="H27" s="1048">
        <f t="shared" si="0"/>
        <v>9.863999999999999</v>
      </c>
      <c r="I27" s="1049"/>
      <c r="J27" s="1041">
        <v>17</v>
      </c>
      <c r="K27" s="1041" t="s">
        <v>478</v>
      </c>
      <c r="L27" s="1041">
        <v>23.4</v>
      </c>
      <c r="M27" s="1041">
        <v>0</v>
      </c>
      <c r="N27" s="1050">
        <f t="shared" si="1"/>
        <v>0</v>
      </c>
      <c r="O27" s="1037"/>
      <c r="P27" s="1040"/>
      <c r="X27" s="1030" t="s">
        <v>223</v>
      </c>
      <c r="AB27" s="1030">
        <v>55.38</v>
      </c>
      <c r="AM27" s="1044"/>
      <c r="AO27" s="1044"/>
    </row>
    <row r="28" spans="2:41" ht="31.5" customHeight="1" x14ac:dyDescent="0.25">
      <c r="B28" s="1031"/>
      <c r="C28" s="1051"/>
      <c r="D28" s="1041">
        <v>18</v>
      </c>
      <c r="E28" s="1041" t="s">
        <v>479</v>
      </c>
      <c r="F28" s="1041">
        <v>8.1709999999999994</v>
      </c>
      <c r="G28" s="1041">
        <v>35</v>
      </c>
      <c r="H28" s="1054">
        <f t="shared" si="0"/>
        <v>2.8598499999999998</v>
      </c>
      <c r="I28" s="1049"/>
      <c r="J28" s="1041">
        <v>18</v>
      </c>
      <c r="K28" s="1041" t="s">
        <v>480</v>
      </c>
      <c r="L28" s="1041">
        <v>2.25</v>
      </c>
      <c r="M28" s="1041">
        <v>0</v>
      </c>
      <c r="N28" s="1050">
        <f t="shared" si="1"/>
        <v>0</v>
      </c>
      <c r="O28" s="1037"/>
      <c r="P28" s="1040"/>
      <c r="AB28" s="1030">
        <v>55.88</v>
      </c>
      <c r="AM28" s="1044"/>
      <c r="AO28" s="1044"/>
    </row>
    <row r="29" spans="2:41" ht="31.5" customHeight="1" x14ac:dyDescent="0.25">
      <c r="B29" s="1031"/>
      <c r="C29" s="1037"/>
      <c r="D29" s="1041">
        <v>19</v>
      </c>
      <c r="E29" s="1041" t="s">
        <v>481</v>
      </c>
      <c r="F29" s="1041">
        <v>110.7</v>
      </c>
      <c r="G29" s="1041">
        <v>100</v>
      </c>
      <c r="H29" s="1048">
        <f t="shared" si="0"/>
        <v>110.7</v>
      </c>
      <c r="I29" s="1049"/>
      <c r="J29" s="1041">
        <v>19</v>
      </c>
      <c r="K29" s="1041" t="s">
        <v>482</v>
      </c>
      <c r="L29" s="1041">
        <v>2.25</v>
      </c>
      <c r="M29" s="1041">
        <v>0</v>
      </c>
      <c r="N29" s="1050">
        <f t="shared" si="1"/>
        <v>0</v>
      </c>
      <c r="O29" s="1037"/>
      <c r="P29" s="1040"/>
      <c r="AB29" s="1030">
        <v>56</v>
      </c>
      <c r="AM29" s="1044"/>
      <c r="AO29" s="1044"/>
    </row>
    <row r="30" spans="2:41" ht="31.5" customHeight="1" x14ac:dyDescent="0.25">
      <c r="B30" s="1031"/>
      <c r="C30" s="1037"/>
      <c r="D30" s="1041">
        <v>20</v>
      </c>
      <c r="E30" s="1041" t="s">
        <v>483</v>
      </c>
      <c r="F30" s="1041">
        <v>0.433</v>
      </c>
      <c r="G30" s="1041">
        <v>50</v>
      </c>
      <c r="H30" s="1048">
        <f t="shared" si="0"/>
        <v>0.2165</v>
      </c>
      <c r="I30" s="1049"/>
      <c r="J30" s="1124" t="s">
        <v>1</v>
      </c>
      <c r="K30" s="1125"/>
      <c r="L30" s="1125"/>
      <c r="M30" s="1126"/>
      <c r="N30" s="1050">
        <f>SUM(N11:N29)</f>
        <v>637.91784000000007</v>
      </c>
      <c r="O30" s="1037"/>
      <c r="P30" s="1040"/>
      <c r="AB30" s="1030">
        <v>7.36</v>
      </c>
      <c r="AM30" s="1044"/>
      <c r="AO30" s="1044"/>
    </row>
    <row r="31" spans="2:41" ht="32.25" customHeight="1" x14ac:dyDescent="0.25">
      <c r="B31" s="1031"/>
      <c r="C31" s="1037"/>
      <c r="D31" s="1041">
        <v>21</v>
      </c>
      <c r="E31" s="1041" t="s">
        <v>484</v>
      </c>
      <c r="F31" s="1041">
        <v>4.149</v>
      </c>
      <c r="G31" s="1041">
        <v>30</v>
      </c>
      <c r="H31" s="1054">
        <f t="shared" si="0"/>
        <v>1.2446999999999999</v>
      </c>
      <c r="I31" s="1049"/>
      <c r="J31" s="1127" t="s">
        <v>485</v>
      </c>
      <c r="K31" s="1127"/>
      <c r="L31" s="1127"/>
      <c r="M31" s="1127"/>
      <c r="N31" s="1127"/>
      <c r="O31" s="1037"/>
      <c r="P31" s="1040"/>
      <c r="Q31" s="1056"/>
      <c r="S31" s="1057"/>
      <c r="AB31" s="1030">
        <v>11.44</v>
      </c>
      <c r="AM31" s="1044"/>
      <c r="AO31" s="1044"/>
    </row>
    <row r="32" spans="2:41" ht="31.5" customHeight="1" x14ac:dyDescent="0.25">
      <c r="B32" s="1031"/>
      <c r="C32" s="1037"/>
      <c r="D32" s="1041">
        <v>22</v>
      </c>
      <c r="E32" s="1041" t="s">
        <v>486</v>
      </c>
      <c r="F32" s="1041">
        <v>0.81399999999999995</v>
      </c>
      <c r="G32" s="1041">
        <v>0</v>
      </c>
      <c r="H32" s="1048">
        <f t="shared" si="0"/>
        <v>0</v>
      </c>
      <c r="I32" s="1049"/>
      <c r="J32" s="1058"/>
      <c r="K32" s="1058" t="s">
        <v>487</v>
      </c>
      <c r="L32" s="1059">
        <f>SUM(N11:N25)+N28+N29</f>
        <v>637.91784000000007</v>
      </c>
      <c r="M32" s="1060" t="s">
        <v>488</v>
      </c>
      <c r="N32" s="1047"/>
      <c r="O32" s="1037"/>
      <c r="P32" s="1040"/>
      <c r="AB32" s="1030">
        <v>47.88</v>
      </c>
      <c r="AM32" s="1044"/>
      <c r="AO32" s="1044"/>
    </row>
    <row r="33" spans="2:41" ht="18.75" customHeight="1" x14ac:dyDescent="0.25">
      <c r="B33" s="1031"/>
      <c r="C33" s="1037"/>
      <c r="D33" s="1124" t="s">
        <v>1</v>
      </c>
      <c r="E33" s="1125"/>
      <c r="F33" s="1125"/>
      <c r="G33" s="1126"/>
      <c r="H33" s="1050">
        <f>SUM(H11:H32)</f>
        <v>283.49570999999997</v>
      </c>
      <c r="I33" s="1049"/>
      <c r="J33" s="1128" t="s">
        <v>489</v>
      </c>
      <c r="K33" s="1128"/>
      <c r="L33" s="1059">
        <f>N26+N27</f>
        <v>0</v>
      </c>
      <c r="M33" s="1060" t="s">
        <v>488</v>
      </c>
      <c r="N33" s="1047"/>
      <c r="O33" s="1037"/>
      <c r="P33" s="1040"/>
      <c r="AB33" s="1030">
        <f>SUM(AB18:AB32)</f>
        <v>624.37200000000007</v>
      </c>
      <c r="AM33" s="1044"/>
      <c r="AO33" s="1044"/>
    </row>
    <row r="34" spans="2:41" ht="18" customHeight="1" x14ac:dyDescent="0.25">
      <c r="B34" s="1031"/>
      <c r="C34" s="1037"/>
      <c r="D34" s="1129" t="s">
        <v>490</v>
      </c>
      <c r="E34" s="1129"/>
      <c r="F34" s="1129"/>
      <c r="G34" s="1129"/>
      <c r="H34" s="1129"/>
      <c r="I34" s="1049"/>
      <c r="O34" s="1037"/>
      <c r="P34" s="1040"/>
      <c r="AM34" s="1044"/>
      <c r="AO34" s="1044"/>
    </row>
    <row r="35" spans="2:41" ht="21.75" customHeight="1" x14ac:dyDescent="0.25">
      <c r="B35" s="1031"/>
      <c r="C35" s="1037"/>
      <c r="D35" s="1060" t="s">
        <v>491</v>
      </c>
      <c r="E35" s="1061">
        <f>H12+H13</f>
        <v>72.161159999999995</v>
      </c>
      <c r="F35" s="1060" t="s">
        <v>488</v>
      </c>
      <c r="G35" s="1049"/>
      <c r="H35" s="1062"/>
      <c r="I35" s="1049"/>
      <c r="J35" s="1049"/>
      <c r="K35" s="1049"/>
      <c r="L35" s="1049"/>
      <c r="M35" s="1049"/>
      <c r="N35" s="1047"/>
      <c r="O35" s="1037"/>
      <c r="P35" s="1040"/>
      <c r="AM35" s="1044"/>
      <c r="AO35" s="1044"/>
    </row>
    <row r="36" spans="2:41" ht="22.5" customHeight="1" x14ac:dyDescent="0.25">
      <c r="B36" s="1031"/>
      <c r="C36" s="1037"/>
      <c r="D36" s="1060" t="s">
        <v>487</v>
      </c>
      <c r="E36" s="1061">
        <f>H33-E35</f>
        <v>211.33454999999998</v>
      </c>
      <c r="F36" s="1060" t="s">
        <v>488</v>
      </c>
      <c r="G36" s="1049"/>
      <c r="H36" s="1062"/>
      <c r="I36" s="1049"/>
      <c r="J36" s="1049"/>
      <c r="K36" s="1049"/>
      <c r="L36" s="1049"/>
      <c r="M36" s="1049"/>
      <c r="N36" s="1047"/>
      <c r="O36" s="1037"/>
      <c r="P36" s="1040"/>
      <c r="AM36" s="1044"/>
      <c r="AO36" s="1044"/>
    </row>
    <row r="37" spans="2:41" ht="22.5" customHeight="1" x14ac:dyDescent="0.25">
      <c r="B37" s="1031"/>
      <c r="C37" s="1037"/>
      <c r="D37" s="1060"/>
      <c r="E37" s="1063"/>
      <c r="F37" s="1049"/>
      <c r="G37" s="1049"/>
      <c r="H37" s="1062"/>
      <c r="I37" s="1049"/>
      <c r="J37" s="1049"/>
      <c r="K37" s="1049"/>
      <c r="L37" s="1049"/>
      <c r="M37" s="1049"/>
      <c r="N37" s="1047"/>
      <c r="O37" s="1037"/>
      <c r="P37" s="1040"/>
      <c r="AM37" s="1044"/>
      <c r="AO37" s="1044"/>
    </row>
    <row r="38" spans="2:41" ht="15.75" x14ac:dyDescent="0.25">
      <c r="B38" s="1031"/>
      <c r="C38" s="1037" t="s">
        <v>492</v>
      </c>
      <c r="D38" s="1037"/>
      <c r="E38" s="1037"/>
      <c r="F38" s="1037"/>
      <c r="G38" s="1037"/>
      <c r="H38" s="1037"/>
      <c r="I38" s="1037"/>
      <c r="J38" s="1037"/>
      <c r="K38" s="1037"/>
      <c r="L38" s="1037"/>
      <c r="M38" s="1037"/>
      <c r="N38" s="1064"/>
      <c r="P38" s="1040"/>
    </row>
    <row r="39" spans="2:41" ht="25.5" customHeight="1" x14ac:dyDescent="0.25">
      <c r="B39" s="1031"/>
      <c r="C39" s="1037"/>
      <c r="D39" s="1122" t="s">
        <v>493</v>
      </c>
      <c r="E39" s="1122"/>
      <c r="F39" s="1065"/>
      <c r="G39" s="1123" t="s">
        <v>494</v>
      </c>
      <c r="H39" s="1123"/>
      <c r="I39" s="1123"/>
      <c r="J39" s="1123"/>
      <c r="K39" s="1036"/>
      <c r="L39" s="1123" t="s">
        <v>495</v>
      </c>
      <c r="M39" s="1123"/>
      <c r="N39" s="1123"/>
      <c r="O39" s="1066"/>
      <c r="P39" s="1040"/>
    </row>
    <row r="40" spans="2:41" ht="18.75" x14ac:dyDescent="0.25">
      <c r="B40" s="1031"/>
      <c r="C40" s="1037"/>
      <c r="D40" s="1036"/>
      <c r="E40" s="1036"/>
      <c r="F40" s="1036"/>
      <c r="G40" s="1036"/>
      <c r="H40" s="1036"/>
      <c r="I40" s="1036"/>
      <c r="J40" s="1036"/>
      <c r="K40" s="1036"/>
      <c r="L40" s="1036"/>
      <c r="M40" s="1036"/>
      <c r="N40" s="1067"/>
      <c r="P40" s="1040"/>
    </row>
    <row r="41" spans="2:41" ht="18.75" x14ac:dyDescent="0.25">
      <c r="B41" s="1031"/>
      <c r="C41" s="1037"/>
      <c r="D41" s="1036"/>
      <c r="E41" s="1036"/>
      <c r="F41" s="1036"/>
      <c r="G41" s="1036"/>
      <c r="H41" s="1036"/>
      <c r="I41" s="1036"/>
      <c r="J41" s="1036"/>
      <c r="K41" s="1036"/>
      <c r="L41" s="1036"/>
      <c r="M41" s="1036"/>
      <c r="N41" s="1067"/>
      <c r="P41" s="1040"/>
    </row>
    <row r="42" spans="2:41" ht="18.75" x14ac:dyDescent="0.25">
      <c r="B42" s="1031"/>
      <c r="C42" s="1037"/>
      <c r="D42" s="1036"/>
      <c r="E42" s="1036"/>
      <c r="F42" s="1036"/>
      <c r="G42" s="1036"/>
      <c r="H42" s="1036"/>
      <c r="I42" s="1036"/>
      <c r="J42" s="1036"/>
      <c r="K42" s="1036"/>
      <c r="L42" s="1036"/>
      <c r="M42" s="1036"/>
      <c r="N42" s="1067"/>
      <c r="P42" s="1040"/>
    </row>
    <row r="43" spans="2:41" ht="17.25" customHeight="1" x14ac:dyDescent="0.25">
      <c r="B43" s="1031"/>
      <c r="C43" s="1122" t="s">
        <v>501</v>
      </c>
      <c r="D43" s="1122"/>
      <c r="E43" s="1122"/>
      <c r="F43" s="1122"/>
      <c r="G43" s="1122" t="s">
        <v>496</v>
      </c>
      <c r="H43" s="1122"/>
      <c r="I43" s="1122"/>
      <c r="J43" s="1122"/>
      <c r="K43" s="1036"/>
      <c r="L43" s="1123" t="s">
        <v>497</v>
      </c>
      <c r="M43" s="1123"/>
      <c r="N43" s="1123"/>
      <c r="O43" s="1066"/>
      <c r="P43" s="1040"/>
    </row>
    <row r="44" spans="2:41" ht="18.75" x14ac:dyDescent="0.25">
      <c r="B44" s="1031"/>
      <c r="C44" s="1037"/>
      <c r="D44" s="1121" t="s">
        <v>498</v>
      </c>
      <c r="E44" s="1121"/>
      <c r="F44" s="1036"/>
      <c r="G44" s="1121" t="s">
        <v>499</v>
      </c>
      <c r="H44" s="1121"/>
      <c r="I44" s="1121"/>
      <c r="J44" s="1121"/>
      <c r="K44" s="1036"/>
      <c r="L44" s="1121" t="s">
        <v>500</v>
      </c>
      <c r="M44" s="1121"/>
      <c r="N44" s="1121"/>
      <c r="O44" s="1068"/>
      <c r="P44" s="1040"/>
    </row>
    <row r="45" spans="2:41" ht="13.5" thickBot="1" x14ac:dyDescent="0.3">
      <c r="B45" s="1069"/>
      <c r="C45" s="1070"/>
      <c r="D45" s="1070"/>
      <c r="E45" s="1070"/>
      <c r="F45" s="1070"/>
      <c r="G45" s="1071"/>
      <c r="H45" s="1071"/>
      <c r="I45" s="1071"/>
      <c r="J45" s="1071"/>
      <c r="K45" s="1070"/>
      <c r="L45" s="1070"/>
      <c r="M45" s="1070"/>
      <c r="N45" s="1072"/>
      <c r="O45" s="1070"/>
      <c r="P45" s="1073"/>
    </row>
  </sheetData>
  <mergeCells count="32">
    <mergeCell ref="C2:C4"/>
    <mergeCell ref="D2:K2"/>
    <mergeCell ref="L2:M2"/>
    <mergeCell ref="N2:O2"/>
    <mergeCell ref="D3:K3"/>
    <mergeCell ref="L3:M3"/>
    <mergeCell ref="N3:O3"/>
    <mergeCell ref="D4:K4"/>
    <mergeCell ref="L4:M4"/>
    <mergeCell ref="N4:O4"/>
    <mergeCell ref="D34:H34"/>
    <mergeCell ref="D5:K5"/>
    <mergeCell ref="L5:M5"/>
    <mergeCell ref="N5:O5"/>
    <mergeCell ref="C6:O6"/>
    <mergeCell ref="C7:O7"/>
    <mergeCell ref="D8:E8"/>
    <mergeCell ref="J8:K8"/>
    <mergeCell ref="S21:S22"/>
    <mergeCell ref="J30:M30"/>
    <mergeCell ref="J31:N31"/>
    <mergeCell ref="D33:G33"/>
    <mergeCell ref="J33:K33"/>
    <mergeCell ref="D44:E44"/>
    <mergeCell ref="G44:J44"/>
    <mergeCell ref="L44:N44"/>
    <mergeCell ref="C43:F43"/>
    <mergeCell ref="D39:E39"/>
    <mergeCell ref="G39:J39"/>
    <mergeCell ref="L39:N39"/>
    <mergeCell ref="G43:J43"/>
    <mergeCell ref="L43:N43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7" fitToWidth="0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VN272"/>
  <sheetViews>
    <sheetView zoomScale="70" zoomScaleNormal="70" workbookViewId="0">
      <pane ySplit="3" topLeftCell="A4" activePane="bottomLeft" state="frozen"/>
      <selection pane="bottomLeft" activeCell="E44" sqref="E44"/>
    </sheetView>
  </sheetViews>
  <sheetFormatPr defaultColWidth="9" defaultRowHeight="15" x14ac:dyDescent="0.25"/>
  <cols>
    <col min="1" max="1" width="3" style="1" customWidth="1"/>
    <col min="2" max="2" width="4.7109375" style="5" customWidth="1"/>
    <col min="3" max="3" width="41.28515625" style="1" customWidth="1"/>
    <col min="4" max="4" width="14.7109375" style="1" customWidth="1"/>
    <col min="5" max="5" width="9.5703125" style="2" customWidth="1"/>
    <col min="6" max="6" width="15.85546875" style="1" customWidth="1"/>
    <col min="7" max="7" width="15.28515625" style="1" customWidth="1"/>
    <col min="8" max="8" width="16.28515625" style="1" customWidth="1"/>
    <col min="9" max="9" width="16.42578125" style="1" customWidth="1"/>
    <col min="10" max="11" width="18" style="1" customWidth="1"/>
    <col min="12" max="14" width="13.5703125" style="1" customWidth="1"/>
    <col min="15" max="16" width="18.140625" style="1" customWidth="1"/>
    <col min="17" max="17" width="16" style="1" bestFit="1" customWidth="1"/>
    <col min="18" max="18" width="15.7109375" style="1" bestFit="1" customWidth="1"/>
    <col min="19" max="19" width="15.28515625" style="1" bestFit="1" customWidth="1"/>
    <col min="20" max="20" width="18.5703125" style="1" customWidth="1"/>
    <col min="21" max="22" width="13.5703125" style="1" hidden="1" customWidth="1"/>
    <col min="23" max="23" width="15.7109375" style="1" hidden="1" customWidth="1"/>
    <col min="24" max="28" width="13.5703125" style="1" hidden="1" customWidth="1"/>
    <col min="29" max="29" width="13.140625" style="1" hidden="1" customWidth="1"/>
    <col min="30" max="31" width="13.5703125" style="1" hidden="1" customWidth="1"/>
    <col min="32" max="32" width="14.28515625" style="1" hidden="1" customWidth="1"/>
    <col min="33" max="35" width="13.5703125" style="1" hidden="1" customWidth="1"/>
    <col min="36" max="36" width="8.85546875" style="1" hidden="1" customWidth="1"/>
    <col min="37" max="37" width="3.85546875" style="1" customWidth="1"/>
    <col min="38" max="38" width="25.7109375" style="1" customWidth="1"/>
    <col min="39" max="39" width="15.7109375" style="1" hidden="1" customWidth="1"/>
    <col min="40" max="40" width="14.85546875" style="1" hidden="1" customWidth="1"/>
    <col min="41" max="41" width="10.5703125" style="1" bestFit="1" customWidth="1"/>
    <col min="42" max="42" width="10" style="1" customWidth="1"/>
    <col min="43" max="61" width="8.140625" style="1" customWidth="1"/>
    <col min="62" max="63" width="7.5703125" style="1" customWidth="1"/>
    <col min="64" max="68" width="8.140625" style="1" customWidth="1"/>
    <col min="69" max="80" width="9" style="1"/>
    <col min="81" max="81" width="12.7109375" style="1" customWidth="1"/>
    <col min="82" max="82" width="12.140625" style="1" customWidth="1"/>
    <col min="83" max="83" width="9.140625" style="1" customWidth="1"/>
    <col min="84" max="84" width="9.85546875" style="1" customWidth="1"/>
    <col min="85" max="85" width="15.85546875" style="1" customWidth="1"/>
    <col min="86" max="86" width="12.85546875" style="1" customWidth="1"/>
    <col min="87" max="87" width="14.140625" style="1" customWidth="1"/>
    <col min="88" max="99" width="9" style="1"/>
    <col min="100" max="100" width="9.5703125" style="151" customWidth="1"/>
    <col min="101" max="101" width="12.42578125" style="1" customWidth="1"/>
    <col min="102" max="15065" width="9" style="1"/>
    <col min="15066" max="16384" width="9" style="50"/>
  </cols>
  <sheetData>
    <row r="1" spans="2:100 15069:15113" ht="45" customHeight="1" thickBot="1" x14ac:dyDescent="0.3">
      <c r="B1" s="1143" t="s">
        <v>86</v>
      </c>
      <c r="C1" s="1143"/>
      <c r="D1" s="1143"/>
      <c r="E1" s="1143"/>
      <c r="F1" s="1143"/>
      <c r="G1" s="1143"/>
      <c r="H1" s="1143"/>
      <c r="I1" s="1143"/>
      <c r="J1" s="1143"/>
      <c r="K1" s="1143"/>
      <c r="L1" s="1143"/>
      <c r="M1" s="1143"/>
      <c r="N1" s="1143"/>
      <c r="O1" s="1143"/>
      <c r="P1" s="1143"/>
      <c r="Q1" s="1143"/>
      <c r="R1" s="1143"/>
      <c r="S1" s="1143"/>
      <c r="T1" s="1143"/>
      <c r="U1" s="1143"/>
      <c r="V1" s="1143"/>
      <c r="W1" s="1143"/>
      <c r="X1" s="1143"/>
      <c r="Y1" s="1143"/>
      <c r="Z1" s="1143"/>
      <c r="AA1" s="1143"/>
      <c r="AB1" s="1143"/>
      <c r="AC1" s="1143"/>
      <c r="AD1" s="1143"/>
      <c r="AE1" s="1143"/>
      <c r="AF1" s="1143"/>
      <c r="AG1" s="1143"/>
      <c r="AH1" s="1143"/>
      <c r="AI1" s="1143"/>
      <c r="AJ1" s="1143"/>
      <c r="AK1" s="1143"/>
      <c r="AL1" s="1143"/>
    </row>
    <row r="2" spans="2:100 15069:15113" ht="30" customHeight="1" x14ac:dyDescent="0.25">
      <c r="B2" s="1078" t="s">
        <v>100</v>
      </c>
      <c r="C2" s="1080" t="s">
        <v>101</v>
      </c>
      <c r="D2" s="1082" t="s">
        <v>102</v>
      </c>
      <c r="E2" s="1084" t="s">
        <v>103</v>
      </c>
      <c r="F2" s="1089" t="s">
        <v>137</v>
      </c>
      <c r="G2" s="1090"/>
      <c r="H2" s="1090"/>
      <c r="I2" s="1090"/>
      <c r="J2" s="1090"/>
      <c r="K2" s="1090"/>
      <c r="L2" s="1090"/>
      <c r="M2" s="1090"/>
      <c r="N2" s="1090"/>
      <c r="O2" s="1090"/>
      <c r="P2" s="1090"/>
      <c r="Q2" s="1090"/>
      <c r="R2" s="1090"/>
      <c r="S2" s="1090"/>
      <c r="T2" s="1090"/>
      <c r="U2" s="1090"/>
      <c r="V2" s="1090"/>
      <c r="W2" s="1090"/>
      <c r="X2" s="1090"/>
      <c r="Y2" s="1090"/>
      <c r="Z2" s="1090"/>
      <c r="AA2" s="1090"/>
      <c r="AB2" s="1090"/>
      <c r="AC2" s="1090"/>
      <c r="AD2" s="1090"/>
      <c r="AE2" s="1090"/>
      <c r="AF2" s="1090"/>
      <c r="AG2" s="1090"/>
      <c r="AH2" s="1090"/>
      <c r="AI2" s="1090"/>
      <c r="AJ2" s="1144"/>
      <c r="AL2" s="1086" t="s">
        <v>127</v>
      </c>
    </row>
    <row r="3" spans="2:100 15069:15113" x14ac:dyDescent="0.25">
      <c r="B3" s="1079"/>
      <c r="C3" s="1081"/>
      <c r="D3" s="1083"/>
      <c r="E3" s="1085"/>
      <c r="F3" s="51">
        <v>1</v>
      </c>
      <c r="G3" s="51">
        <v>2</v>
      </c>
      <c r="H3" s="51">
        <v>3</v>
      </c>
      <c r="I3" s="51">
        <v>4</v>
      </c>
      <c r="J3" s="51">
        <v>5</v>
      </c>
      <c r="K3" s="51">
        <v>6</v>
      </c>
      <c r="L3" s="51">
        <v>7</v>
      </c>
      <c r="M3" s="51">
        <v>8</v>
      </c>
      <c r="N3" s="51">
        <v>9</v>
      </c>
      <c r="O3" s="51">
        <v>10</v>
      </c>
      <c r="P3" s="51">
        <v>11</v>
      </c>
      <c r="Q3" s="51">
        <v>12</v>
      </c>
      <c r="R3" s="51">
        <v>13</v>
      </c>
      <c r="S3" s="51">
        <v>14</v>
      </c>
      <c r="T3" s="51">
        <v>15</v>
      </c>
      <c r="U3" s="51">
        <v>16</v>
      </c>
      <c r="V3" s="51">
        <v>17</v>
      </c>
      <c r="W3" s="51">
        <v>18</v>
      </c>
      <c r="X3" s="51">
        <v>19</v>
      </c>
      <c r="Y3" s="51">
        <v>20</v>
      </c>
      <c r="Z3" s="51">
        <v>21</v>
      </c>
      <c r="AA3" s="51">
        <v>22</v>
      </c>
      <c r="AB3" s="51">
        <v>23</v>
      </c>
      <c r="AC3" s="51">
        <v>24</v>
      </c>
      <c r="AD3" s="51">
        <v>25</v>
      </c>
      <c r="AE3" s="51">
        <v>26</v>
      </c>
      <c r="AF3" s="51">
        <v>27</v>
      </c>
      <c r="AG3" s="51">
        <v>28</v>
      </c>
      <c r="AH3" s="51">
        <v>29</v>
      </c>
      <c r="AI3" s="51">
        <v>30</v>
      </c>
      <c r="AJ3" s="52">
        <v>31</v>
      </c>
      <c r="AL3" s="1087"/>
    </row>
    <row r="4" spans="2:100 15069:15113" x14ac:dyDescent="0.25">
      <c r="B4" s="7">
        <v>1</v>
      </c>
      <c r="C4" s="53" t="s">
        <v>85</v>
      </c>
      <c r="D4" s="54"/>
      <c r="E4" s="55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56"/>
      <c r="AE4" s="56"/>
      <c r="AF4" s="56"/>
      <c r="AG4" s="58"/>
      <c r="AH4" s="58"/>
      <c r="AI4" s="58"/>
      <c r="AJ4" s="59"/>
      <c r="AK4" s="3"/>
      <c r="AL4" s="60" t="s">
        <v>128</v>
      </c>
    </row>
    <row r="5" spans="2:100 15069:15113" x14ac:dyDescent="0.25">
      <c r="B5" s="8"/>
      <c r="C5" s="9" t="s">
        <v>16</v>
      </c>
      <c r="D5" s="262"/>
      <c r="E5" s="10"/>
      <c r="F5" s="282"/>
      <c r="G5" s="283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3"/>
      <c r="AL5" s="61" t="s">
        <v>16</v>
      </c>
    </row>
    <row r="6" spans="2:100 15069:15113" x14ac:dyDescent="0.25">
      <c r="B6" s="8"/>
      <c r="C6" s="11" t="s">
        <v>84</v>
      </c>
      <c r="D6" s="263"/>
      <c r="E6" s="12" t="s">
        <v>83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"/>
      <c r="AL6" s="63">
        <f>SUM(F6:O6)</f>
        <v>10</v>
      </c>
    </row>
    <row r="7" spans="2:100 15069:15113" x14ac:dyDescent="0.25">
      <c r="B7" s="8"/>
      <c r="C7" s="80" t="s">
        <v>126</v>
      </c>
      <c r="D7" s="263"/>
      <c r="E7" s="81" t="s">
        <v>14</v>
      </c>
      <c r="F7" s="284">
        <f>'[19]01 '!$P$14</f>
        <v>865877</v>
      </c>
      <c r="G7" s="284">
        <f>'[19]02'!$P$14</f>
        <v>1020502</v>
      </c>
      <c r="H7" s="284">
        <f>'[19]03'!$P$14</f>
        <v>623069</v>
      </c>
      <c r="I7" s="284">
        <f>'[19]04'!$P$14</f>
        <v>686156</v>
      </c>
      <c r="J7" s="284">
        <f>'[19]05'!$P$14</f>
        <v>500524</v>
      </c>
      <c r="K7" s="284">
        <f>'[19]06'!$P$14</f>
        <v>286477</v>
      </c>
      <c r="L7" s="284">
        <f>'[19]07'!$P$11</f>
        <v>40800</v>
      </c>
      <c r="M7" s="284">
        <f>'[19]08'!$P$13+168651</f>
        <v>335707</v>
      </c>
      <c r="N7" s="284">
        <f>'[19]09'!$P$13</f>
        <v>203264</v>
      </c>
      <c r="O7" s="284">
        <f>'[20]10'!$P$14-22440</f>
        <v>803740</v>
      </c>
      <c r="P7" s="284">
        <f>'[21]11'!$P$14</f>
        <v>474327</v>
      </c>
      <c r="Q7" s="284">
        <f>'[22]12'!$P$13+156887</f>
        <v>486876</v>
      </c>
      <c r="R7" s="284">
        <f>186434+'[22]13'!$P$13</f>
        <v>412792</v>
      </c>
      <c r="S7" s="284">
        <v>0</v>
      </c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3"/>
      <c r="AL7" s="66">
        <f>SUM(F7:AI7)</f>
        <v>6740111</v>
      </c>
      <c r="AM7" s="3">
        <f>AVERAGE(G7:O7)</f>
        <v>500026.55555555556</v>
      </c>
      <c r="AO7" s="3">
        <f>AL7/14</f>
        <v>481436.5</v>
      </c>
    </row>
    <row r="8" spans="2:100 15069:15113" x14ac:dyDescent="0.25">
      <c r="B8" s="8"/>
      <c r="C8" s="11" t="s">
        <v>104</v>
      </c>
      <c r="D8" s="263"/>
      <c r="E8" s="13" t="s">
        <v>25</v>
      </c>
      <c r="F8" s="34">
        <f>F9/2200000*100</f>
        <v>33.860181818181815</v>
      </c>
      <c r="G8" s="34">
        <f t="shared" ref="G8:AJ8" si="0">G9/2200000*100</f>
        <v>33.816909090909093</v>
      </c>
      <c r="H8" s="34">
        <f t="shared" si="0"/>
        <v>47.656136363636364</v>
      </c>
      <c r="I8" s="34">
        <f t="shared" si="0"/>
        <v>50.673681818181812</v>
      </c>
      <c r="J8" s="34">
        <f>J9/2200000*100</f>
        <v>11.278454545454546</v>
      </c>
      <c r="K8" s="34">
        <f t="shared" si="0"/>
        <v>17.6585</v>
      </c>
      <c r="L8" s="34">
        <f t="shared" si="0"/>
        <v>2.632090909090909</v>
      </c>
      <c r="M8" s="34">
        <f t="shared" si="0"/>
        <v>11.742863636363635</v>
      </c>
      <c r="N8" s="34">
        <f t="shared" si="0"/>
        <v>7.0337727272727273</v>
      </c>
      <c r="O8" s="34">
        <f t="shared" si="0"/>
        <v>23.302136363636365</v>
      </c>
      <c r="P8" s="34">
        <f t="shared" si="0"/>
        <v>20.048363636363636</v>
      </c>
      <c r="Q8" s="34">
        <f t="shared" si="0"/>
        <v>22.440590909090911</v>
      </c>
      <c r="R8" s="34">
        <f t="shared" si="0"/>
        <v>25.834454545454545</v>
      </c>
      <c r="S8" s="34">
        <f t="shared" si="0"/>
        <v>23.481681818181819</v>
      </c>
      <c r="T8" s="34">
        <f t="shared" si="0"/>
        <v>0</v>
      </c>
      <c r="U8" s="34">
        <f t="shared" si="0"/>
        <v>0</v>
      </c>
      <c r="V8" s="34">
        <f t="shared" si="0"/>
        <v>0</v>
      </c>
      <c r="W8" s="34">
        <f t="shared" si="0"/>
        <v>0</v>
      </c>
      <c r="X8" s="34">
        <f t="shared" si="0"/>
        <v>0</v>
      </c>
      <c r="Y8" s="34">
        <f t="shared" si="0"/>
        <v>0</v>
      </c>
      <c r="Z8" s="34">
        <f t="shared" si="0"/>
        <v>0</v>
      </c>
      <c r="AA8" s="34">
        <f t="shared" si="0"/>
        <v>0</v>
      </c>
      <c r="AB8" s="34">
        <f t="shared" si="0"/>
        <v>0</v>
      </c>
      <c r="AC8" s="34">
        <f t="shared" si="0"/>
        <v>0</v>
      </c>
      <c r="AD8" s="34">
        <f t="shared" si="0"/>
        <v>0</v>
      </c>
      <c r="AE8" s="34">
        <f t="shared" si="0"/>
        <v>0</v>
      </c>
      <c r="AF8" s="34">
        <f t="shared" si="0"/>
        <v>0</v>
      </c>
      <c r="AG8" s="34">
        <f t="shared" si="0"/>
        <v>0</v>
      </c>
      <c r="AH8" s="34">
        <f t="shared" si="0"/>
        <v>0</v>
      </c>
      <c r="AI8" s="34">
        <f t="shared" si="0"/>
        <v>0</v>
      </c>
      <c r="AJ8" s="34">
        <f t="shared" si="0"/>
        <v>0</v>
      </c>
      <c r="AK8" s="3"/>
      <c r="AL8" s="67">
        <f>AVERAGE(F8:S8)</f>
        <v>23.675701298701302</v>
      </c>
    </row>
    <row r="9" spans="2:100 15069:15113" s="1" customFormat="1" x14ac:dyDescent="0.25">
      <c r="B9" s="8"/>
      <c r="C9" s="64" t="s">
        <v>97</v>
      </c>
      <c r="D9" s="246">
        <v>36359000</v>
      </c>
      <c r="E9" s="65" t="s">
        <v>14</v>
      </c>
      <c r="F9" s="284">
        <f>'[19]01 '!$Q$14</f>
        <v>744924</v>
      </c>
      <c r="G9" s="284">
        <f>'[19]02'!$Q$14</f>
        <v>743972</v>
      </c>
      <c r="H9" s="284">
        <f>'[19]03'!$Q$14</f>
        <v>1048435</v>
      </c>
      <c r="I9" s="284">
        <f>'[19]04'!$Q$14</f>
        <v>1114821</v>
      </c>
      <c r="J9" s="284">
        <f>'[19]05'!$Q$14</f>
        <v>248126</v>
      </c>
      <c r="K9" s="284">
        <f>'[19]06'!$Q$14</f>
        <v>388487</v>
      </c>
      <c r="L9" s="284">
        <f>'[19]07'!$Q$14</f>
        <v>57906</v>
      </c>
      <c r="M9" s="284">
        <f>'[19]08'!$Q$13</f>
        <v>258343</v>
      </c>
      <c r="N9" s="284">
        <f>'[19]09'!$Q$11</f>
        <v>154743</v>
      </c>
      <c r="O9" s="284">
        <v>512647</v>
      </c>
      <c r="P9" s="284">
        <f>'OIP Fract'!D15+'[21]11'!$Q$11-'OIP Fract'!E15</f>
        <v>441064</v>
      </c>
      <c r="Q9" s="284">
        <f>'OIP Fract'!D16+'[22]12'!$Q$13+'[22]12'!$Q$11-'OIP Fract'!E16</f>
        <v>493693</v>
      </c>
      <c r="R9" s="284">
        <f>'[22]13'!$Q$13</f>
        <v>568358</v>
      </c>
      <c r="S9" s="284">
        <f>'OIP Fract'!D18+'[22]14'!$Q$13+'[22]14'!$Q$11-'OIP Fract'!E18</f>
        <v>516597</v>
      </c>
      <c r="T9" s="370">
        <v>0</v>
      </c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L9" s="66">
        <f>SUM(F9:AI9)</f>
        <v>7292116</v>
      </c>
      <c r="AM9" s="1">
        <f>AL9/D9*100</f>
        <v>20.055876124205838</v>
      </c>
      <c r="AN9" s="3">
        <f>AL9/10</f>
        <v>729211.6</v>
      </c>
      <c r="AP9" s="3"/>
      <c r="BO9" s="4"/>
      <c r="CV9" s="152"/>
    </row>
    <row r="10" spans="2:100 15069:15113" s="1" customFormat="1" x14ac:dyDescent="0.25">
      <c r="B10" s="8"/>
      <c r="C10" s="21" t="s">
        <v>98</v>
      </c>
      <c r="D10" s="246">
        <v>29045000</v>
      </c>
      <c r="E10" s="13" t="s">
        <v>14</v>
      </c>
      <c r="F10" s="33">
        <f>F9-F27-F36</f>
        <v>744924</v>
      </c>
      <c r="G10" s="33">
        <f t="shared" ref="G10:I10" si="1">G9-G27-G36</f>
        <v>743972</v>
      </c>
      <c r="H10" s="33">
        <f t="shared" si="1"/>
        <v>1048435</v>
      </c>
      <c r="I10" s="33">
        <f t="shared" si="1"/>
        <v>1114821</v>
      </c>
      <c r="J10" s="33">
        <f t="shared" ref="J10:AJ10" si="2">J9-J27-J36</f>
        <v>248126</v>
      </c>
      <c r="K10" s="33">
        <f t="shared" si="2"/>
        <v>388487</v>
      </c>
      <c r="L10" s="33">
        <f t="shared" si="2"/>
        <v>57906</v>
      </c>
      <c r="M10" s="33">
        <f t="shared" si="2"/>
        <v>258343</v>
      </c>
      <c r="N10" s="33">
        <f t="shared" si="2"/>
        <v>154743</v>
      </c>
      <c r="O10" s="33">
        <f t="shared" si="2"/>
        <v>512647</v>
      </c>
      <c r="P10" s="33">
        <f t="shared" si="2"/>
        <v>441064</v>
      </c>
      <c r="Q10" s="33">
        <f t="shared" si="2"/>
        <v>493693</v>
      </c>
      <c r="R10" s="33">
        <f t="shared" si="2"/>
        <v>568358</v>
      </c>
      <c r="S10" s="33">
        <f t="shared" si="2"/>
        <v>516597</v>
      </c>
      <c r="T10" s="33">
        <f t="shared" si="2"/>
        <v>0</v>
      </c>
      <c r="U10" s="33">
        <f t="shared" si="2"/>
        <v>0</v>
      </c>
      <c r="V10" s="33">
        <f t="shared" si="2"/>
        <v>0</v>
      </c>
      <c r="W10" s="33">
        <f t="shared" si="2"/>
        <v>0</v>
      </c>
      <c r="X10" s="33">
        <f t="shared" si="2"/>
        <v>0</v>
      </c>
      <c r="Y10" s="33">
        <f t="shared" si="2"/>
        <v>0</v>
      </c>
      <c r="Z10" s="33">
        <f t="shared" si="2"/>
        <v>0</v>
      </c>
      <c r="AA10" s="33">
        <f t="shared" si="2"/>
        <v>0</v>
      </c>
      <c r="AB10" s="33">
        <f t="shared" si="2"/>
        <v>0</v>
      </c>
      <c r="AC10" s="33">
        <f t="shared" si="2"/>
        <v>0</v>
      </c>
      <c r="AD10" s="33">
        <f t="shared" si="2"/>
        <v>0</v>
      </c>
      <c r="AE10" s="33">
        <f t="shared" si="2"/>
        <v>0</v>
      </c>
      <c r="AF10" s="33">
        <f t="shared" si="2"/>
        <v>0</v>
      </c>
      <c r="AG10" s="33">
        <f t="shared" si="2"/>
        <v>0</v>
      </c>
      <c r="AH10" s="33">
        <f t="shared" si="2"/>
        <v>0</v>
      </c>
      <c r="AI10" s="33">
        <f t="shared" si="2"/>
        <v>0</v>
      </c>
      <c r="AJ10" s="33">
        <f t="shared" si="2"/>
        <v>0</v>
      </c>
      <c r="AL10" s="63">
        <f>SUM(F10:AI10)</f>
        <v>7292116</v>
      </c>
      <c r="CV10" s="152"/>
    </row>
    <row r="11" spans="2:100 15069:15113" s="1" customFormat="1" x14ac:dyDescent="0.25">
      <c r="B11" s="8"/>
      <c r="C11" s="21" t="s">
        <v>99</v>
      </c>
      <c r="D11" s="246">
        <v>7314000</v>
      </c>
      <c r="E11" s="13" t="s">
        <v>14</v>
      </c>
      <c r="F11" s="33">
        <f>F27+F36</f>
        <v>0</v>
      </c>
      <c r="G11" s="33">
        <f t="shared" ref="G11:I11" si="3">G27+G36</f>
        <v>0</v>
      </c>
      <c r="H11" s="33">
        <f t="shared" si="3"/>
        <v>0</v>
      </c>
      <c r="I11" s="33">
        <f t="shared" si="3"/>
        <v>0</v>
      </c>
      <c r="J11" s="33">
        <f t="shared" ref="J11:AJ11" si="4">J27+J36</f>
        <v>0</v>
      </c>
      <c r="K11" s="33">
        <f t="shared" si="4"/>
        <v>0</v>
      </c>
      <c r="L11" s="33">
        <f t="shared" si="4"/>
        <v>0</v>
      </c>
      <c r="M11" s="33">
        <f t="shared" si="4"/>
        <v>0</v>
      </c>
      <c r="N11" s="33">
        <f t="shared" si="4"/>
        <v>0</v>
      </c>
      <c r="O11" s="33">
        <f t="shared" si="4"/>
        <v>0</v>
      </c>
      <c r="P11" s="33">
        <f t="shared" si="4"/>
        <v>0</v>
      </c>
      <c r="Q11" s="33">
        <f t="shared" si="4"/>
        <v>0</v>
      </c>
      <c r="R11" s="33">
        <f t="shared" si="4"/>
        <v>0</v>
      </c>
      <c r="S11" s="33">
        <f t="shared" si="4"/>
        <v>0</v>
      </c>
      <c r="T11" s="33">
        <f t="shared" si="4"/>
        <v>0</v>
      </c>
      <c r="U11" s="33">
        <f t="shared" si="4"/>
        <v>0</v>
      </c>
      <c r="V11" s="33">
        <f t="shared" si="4"/>
        <v>0</v>
      </c>
      <c r="W11" s="33">
        <f t="shared" si="4"/>
        <v>0</v>
      </c>
      <c r="X11" s="33">
        <f t="shared" si="4"/>
        <v>0</v>
      </c>
      <c r="Y11" s="33">
        <f t="shared" si="4"/>
        <v>0</v>
      </c>
      <c r="Z11" s="33">
        <f t="shared" si="4"/>
        <v>0</v>
      </c>
      <c r="AA11" s="33">
        <f t="shared" si="4"/>
        <v>0</v>
      </c>
      <c r="AB11" s="33">
        <f t="shared" si="4"/>
        <v>0</v>
      </c>
      <c r="AC11" s="33">
        <f t="shared" si="4"/>
        <v>0</v>
      </c>
      <c r="AD11" s="33">
        <f t="shared" si="4"/>
        <v>0</v>
      </c>
      <c r="AE11" s="33">
        <f t="shared" si="4"/>
        <v>0</v>
      </c>
      <c r="AF11" s="33">
        <f t="shared" si="4"/>
        <v>0</v>
      </c>
      <c r="AG11" s="33">
        <f t="shared" si="4"/>
        <v>0</v>
      </c>
      <c r="AH11" s="33">
        <f t="shared" si="4"/>
        <v>0</v>
      </c>
      <c r="AI11" s="33">
        <f t="shared" si="4"/>
        <v>0</v>
      </c>
      <c r="AJ11" s="33">
        <f t="shared" si="4"/>
        <v>0</v>
      </c>
      <c r="AL11" s="63">
        <f>SUM(F11:AI11)</f>
        <v>0</v>
      </c>
      <c r="CV11" s="152"/>
    </row>
    <row r="12" spans="2:100 15069:15113" s="1" customFormat="1" x14ac:dyDescent="0.25">
      <c r="B12" s="8"/>
      <c r="C12" s="14" t="s">
        <v>82</v>
      </c>
      <c r="D12" s="264">
        <v>5</v>
      </c>
      <c r="E12" s="13" t="s">
        <v>25</v>
      </c>
      <c r="F12" s="29">
        <v>4.03</v>
      </c>
      <c r="G12" s="29">
        <v>4.1399999999999997</v>
      </c>
      <c r="H12" s="29">
        <v>4.0599999999999996</v>
      </c>
      <c r="I12" s="29">
        <f>(4.12+4.17+3.97)/3</f>
        <v>4.0866666666666669</v>
      </c>
      <c r="J12" s="29">
        <v>4.18</v>
      </c>
      <c r="K12" s="29">
        <f>4.14</f>
        <v>4.1399999999999997</v>
      </c>
      <c r="L12" s="29">
        <v>4.2</v>
      </c>
      <c r="M12" s="29">
        <v>4.08</v>
      </c>
      <c r="N12" s="29">
        <v>4.16</v>
      </c>
      <c r="O12" s="29">
        <v>4.18</v>
      </c>
      <c r="P12" s="29">
        <v>4.2</v>
      </c>
      <c r="Q12" s="29">
        <v>4.22</v>
      </c>
      <c r="R12" s="29">
        <v>3.96</v>
      </c>
      <c r="S12" s="29">
        <f>(4.29+4.09)/2</f>
        <v>4.1899999999999995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L12" s="67">
        <f>AVERAGE(F12:AI12)</f>
        <v>4.1304761904761902</v>
      </c>
      <c r="CV12" s="151"/>
    </row>
    <row r="13" spans="2:100 15069:15113" s="1" customFormat="1" x14ac:dyDescent="0.25">
      <c r="B13" s="8"/>
      <c r="C13" s="14" t="s">
        <v>81</v>
      </c>
      <c r="D13" s="264">
        <v>0.5</v>
      </c>
      <c r="E13" s="13" t="s">
        <v>25</v>
      </c>
      <c r="F13" s="29">
        <v>0.44</v>
      </c>
      <c r="G13" s="29">
        <v>0.46</v>
      </c>
      <c r="H13" s="29">
        <v>0.45500000000000002</v>
      </c>
      <c r="I13" s="29">
        <f>(0.43+0.44+0.48)/3</f>
        <v>0.45</v>
      </c>
      <c r="J13" s="29">
        <v>0.49</v>
      </c>
      <c r="K13" s="29">
        <f>(0.44+0.49)/2</f>
        <v>0.46499999999999997</v>
      </c>
      <c r="L13" s="29">
        <v>0.4</v>
      </c>
      <c r="M13" s="29">
        <v>0.48</v>
      </c>
      <c r="N13" s="29">
        <v>0.4</v>
      </c>
      <c r="O13" s="29">
        <v>0.41</v>
      </c>
      <c r="P13" s="29">
        <v>0.47</v>
      </c>
      <c r="Q13" s="29">
        <v>0.4</v>
      </c>
      <c r="R13" s="29">
        <v>0.49</v>
      </c>
      <c r="S13" s="29">
        <f>(0.4+0.49)/2</f>
        <v>0.44500000000000001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L13" s="67">
        <f>AVERAGE(F13:AI13)</f>
        <v>0.44678571428571434</v>
      </c>
      <c r="BO13" s="4"/>
      <c r="CV13" s="152"/>
    </row>
    <row r="14" spans="2:100 15069:15113" s="1" customFormat="1" x14ac:dyDescent="0.25">
      <c r="B14" s="8"/>
      <c r="C14" s="14" t="s">
        <v>80</v>
      </c>
      <c r="D14" s="265" t="s">
        <v>79</v>
      </c>
      <c r="E14" s="13" t="s">
        <v>25</v>
      </c>
      <c r="F14" s="29">
        <v>2.21</v>
      </c>
      <c r="G14" s="29">
        <v>2.21</v>
      </c>
      <c r="H14" s="29">
        <v>2.2200000000000002</v>
      </c>
      <c r="I14" s="29">
        <v>2.21</v>
      </c>
      <c r="J14" s="29">
        <v>2.21</v>
      </c>
      <c r="K14" s="29">
        <v>2.21</v>
      </c>
      <c r="L14" s="29">
        <v>2.21</v>
      </c>
      <c r="M14" s="29">
        <v>2.2200000000000002</v>
      </c>
      <c r="N14" s="29">
        <v>2.21</v>
      </c>
      <c r="O14" s="29">
        <v>2.2200000000000002</v>
      </c>
      <c r="P14" s="29">
        <v>2.21</v>
      </c>
      <c r="Q14" s="29">
        <v>2.21</v>
      </c>
      <c r="R14" s="29">
        <v>2.2200000000000002</v>
      </c>
      <c r="S14" s="29">
        <v>2.2200000000000002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L14" s="67">
        <f>AVERAGE(F14:AI14)</f>
        <v>2.2135714285714285</v>
      </c>
      <c r="CV14" s="152"/>
    </row>
    <row r="15" spans="2:100 15069:15113" s="1" customFormat="1" x14ac:dyDescent="0.25">
      <c r="B15" s="8"/>
      <c r="C15" s="68" t="s">
        <v>78</v>
      </c>
      <c r="D15" s="266"/>
      <c r="E15" s="70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71"/>
      <c r="AL15" s="72" t="s">
        <v>78</v>
      </c>
      <c r="CV15" s="152"/>
    </row>
    <row r="16" spans="2:100 15069:15113" s="1" customFormat="1" x14ac:dyDescent="0.25">
      <c r="B16" s="15"/>
      <c r="C16" s="73" t="s">
        <v>77</v>
      </c>
      <c r="D16" s="246">
        <v>34458000</v>
      </c>
      <c r="E16" s="74" t="s">
        <v>14</v>
      </c>
      <c r="F16" s="284">
        <f>'[19]01 '!$P$15</f>
        <v>667300</v>
      </c>
      <c r="G16" s="284">
        <f>'[19]02'!$P$15</f>
        <v>695000</v>
      </c>
      <c r="H16" s="284">
        <f>'[19]03'!$P$15</f>
        <v>814100</v>
      </c>
      <c r="I16" s="284">
        <f>'[19]04'!$P$15</f>
        <v>760000</v>
      </c>
      <c r="J16" s="284">
        <v>0</v>
      </c>
      <c r="K16" s="284">
        <f>'[19]06'!$P$15</f>
        <v>587100</v>
      </c>
      <c r="L16" s="284">
        <f>'[19]07'!$P$15</f>
        <v>92106</v>
      </c>
      <c r="M16" s="284">
        <f>'[19]08'!$P$16+'[19]08'!$P$15</f>
        <v>105220</v>
      </c>
      <c r="N16" s="284">
        <f>'[19]09'!$P$15+'[19]09'!$P$16</f>
        <v>70837</v>
      </c>
      <c r="O16" s="284">
        <f>'[20]10'!$P$17</f>
        <v>488153</v>
      </c>
      <c r="P16" s="284">
        <f>'[21]11'!$P$17</f>
        <v>379337</v>
      </c>
      <c r="Q16" s="284">
        <f>'[22]12'!$P$17</f>
        <v>492952</v>
      </c>
      <c r="R16" s="284">
        <f>'[22]13'!$P$17</f>
        <v>532902</v>
      </c>
      <c r="S16" s="284">
        <f>'[22]14'!$P$16</f>
        <v>497845</v>
      </c>
      <c r="T16" s="284">
        <v>91674</v>
      </c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  <c r="AI16" s="284"/>
      <c r="AJ16" s="284"/>
      <c r="AL16" s="66">
        <f>SUM(F16:AI16)</f>
        <v>6274526</v>
      </c>
      <c r="CV16" s="151"/>
      <c r="VGO16" s="50"/>
      <c r="VGP16" s="50"/>
      <c r="VGQ16" s="50"/>
      <c r="VGR16" s="50"/>
      <c r="VGS16" s="50"/>
      <c r="VGT16" s="50"/>
      <c r="VGU16" s="50"/>
      <c r="VGV16" s="50"/>
      <c r="VGW16" s="50"/>
      <c r="VGX16" s="50"/>
      <c r="VGY16" s="50"/>
      <c r="VGZ16" s="50"/>
      <c r="VHA16" s="50"/>
      <c r="VHB16" s="50"/>
      <c r="VHC16" s="50"/>
      <c r="VHD16" s="50"/>
      <c r="VHE16" s="50"/>
      <c r="VHF16" s="50"/>
      <c r="VHG16" s="50"/>
      <c r="VHH16" s="50"/>
      <c r="VHI16" s="50"/>
      <c r="VHJ16" s="50"/>
      <c r="VHK16" s="50"/>
      <c r="VHL16" s="50"/>
      <c r="VHM16" s="50"/>
      <c r="VHN16" s="50"/>
      <c r="VHO16" s="50"/>
      <c r="VHP16" s="50"/>
      <c r="VHQ16" s="50"/>
      <c r="VHR16" s="50"/>
      <c r="VHS16" s="50"/>
      <c r="VHT16" s="50"/>
      <c r="VHU16" s="50"/>
      <c r="VHV16" s="50"/>
      <c r="VHW16" s="50"/>
      <c r="VHX16" s="50"/>
      <c r="VHY16" s="50"/>
      <c r="VHZ16" s="50"/>
      <c r="VIA16" s="50"/>
      <c r="VIB16" s="50"/>
      <c r="VIC16" s="50"/>
      <c r="VID16" s="50"/>
      <c r="VIE16" s="50"/>
      <c r="VIF16" s="50"/>
      <c r="VIG16" s="50"/>
    </row>
    <row r="17" spans="1:15113" s="1" customFormat="1" x14ac:dyDescent="0.25">
      <c r="B17" s="15"/>
      <c r="C17" s="73" t="s">
        <v>64</v>
      </c>
      <c r="D17" s="246">
        <v>1636000</v>
      </c>
      <c r="E17" s="74" t="s">
        <v>14</v>
      </c>
      <c r="F17" s="284">
        <f>'[19]01 '!$P$24</f>
        <v>25659</v>
      </c>
      <c r="G17" s="284">
        <f>'[19]02'!$P$24</f>
        <v>18786</v>
      </c>
      <c r="H17" s="284">
        <f>'[19]03'!$P$24</f>
        <v>46938</v>
      </c>
      <c r="I17" s="284">
        <f>'[19]04'!$P$24</f>
        <v>48667</v>
      </c>
      <c r="J17" s="284"/>
      <c r="K17" s="284">
        <f>'[19]06'!$P$24</f>
        <v>32281</v>
      </c>
      <c r="L17" s="284">
        <f>'[19]07'!$P$24</f>
        <v>0</v>
      </c>
      <c r="M17" s="284">
        <f>'[19]08'!$P$24</f>
        <v>26283</v>
      </c>
      <c r="N17" s="284">
        <f>'[19]09'!$P$23+'[19]09'!$P$24</f>
        <v>6431</v>
      </c>
      <c r="O17" s="284">
        <f>'[20]10'!$P$23</f>
        <v>20426</v>
      </c>
      <c r="P17" s="284">
        <f>'[21]11'!$P$23</f>
        <v>23275</v>
      </c>
      <c r="Q17" s="284">
        <f>'[22]12'!$P$25</f>
        <v>27655</v>
      </c>
      <c r="R17" s="284">
        <f>'[22]13'!$P$25</f>
        <v>25803</v>
      </c>
      <c r="S17" s="284">
        <f>'[22]13'!$P$25</f>
        <v>25803</v>
      </c>
      <c r="T17" s="284">
        <v>6643</v>
      </c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L17" s="66">
        <f>SUM(F17:AI17)</f>
        <v>334650</v>
      </c>
      <c r="CV17" s="151"/>
      <c r="VGO17" s="50"/>
      <c r="VGP17" s="50"/>
      <c r="VGQ17" s="50"/>
      <c r="VGR17" s="50"/>
      <c r="VGS17" s="50"/>
      <c r="VGT17" s="50"/>
      <c r="VGU17" s="50"/>
      <c r="VGV17" s="50"/>
      <c r="VGW17" s="50"/>
      <c r="VGX17" s="50"/>
      <c r="VGY17" s="50"/>
      <c r="VGZ17" s="50"/>
      <c r="VHA17" s="50"/>
      <c r="VHB17" s="50"/>
      <c r="VHC17" s="50"/>
      <c r="VHD17" s="50"/>
      <c r="VHE17" s="50"/>
      <c r="VHF17" s="50"/>
      <c r="VHG17" s="50"/>
      <c r="VHH17" s="50"/>
      <c r="VHI17" s="50"/>
      <c r="VHJ17" s="50"/>
      <c r="VHK17" s="50"/>
      <c r="VHL17" s="50"/>
      <c r="VHM17" s="50"/>
      <c r="VHN17" s="50"/>
      <c r="VHO17" s="50"/>
      <c r="VHP17" s="50"/>
      <c r="VHQ17" s="50"/>
      <c r="VHR17" s="50"/>
      <c r="VHS17" s="50"/>
      <c r="VHT17" s="50"/>
      <c r="VHU17" s="50"/>
      <c r="VHV17" s="50"/>
      <c r="VHW17" s="50"/>
      <c r="VHX17" s="50"/>
      <c r="VHY17" s="50"/>
      <c r="VHZ17" s="50"/>
      <c r="VIA17" s="50"/>
      <c r="VIB17" s="50"/>
      <c r="VIC17" s="50"/>
      <c r="VID17" s="50"/>
      <c r="VIE17" s="50"/>
      <c r="VIF17" s="50"/>
      <c r="VIG17" s="50"/>
    </row>
    <row r="18" spans="1:15113" x14ac:dyDescent="0.25">
      <c r="B18" s="15"/>
      <c r="C18" s="242" t="s">
        <v>76</v>
      </c>
      <c r="D18" s="243"/>
      <c r="E18" s="244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L18" s="75" t="s">
        <v>63</v>
      </c>
    </row>
    <row r="19" spans="1:15113" s="1" customFormat="1" x14ac:dyDescent="0.25">
      <c r="B19" s="15"/>
      <c r="C19" s="14" t="s">
        <v>75</v>
      </c>
      <c r="D19" s="267"/>
      <c r="E19" s="20" t="s">
        <v>14</v>
      </c>
      <c r="F19" s="33">
        <f>F20+F21</f>
        <v>0</v>
      </c>
      <c r="G19" s="33">
        <f t="shared" ref="G19:I19" si="5">G20+G21</f>
        <v>0</v>
      </c>
      <c r="H19" s="33">
        <f>H20+H21</f>
        <v>0</v>
      </c>
      <c r="I19" s="33">
        <f t="shared" si="5"/>
        <v>0</v>
      </c>
      <c r="J19" s="33">
        <f t="shared" ref="J19:AJ19" si="6">J20+J21</f>
        <v>0</v>
      </c>
      <c r="K19" s="33">
        <f t="shared" si="6"/>
        <v>0</v>
      </c>
      <c r="L19" s="33">
        <f t="shared" si="6"/>
        <v>0</v>
      </c>
      <c r="M19" s="33">
        <f t="shared" si="6"/>
        <v>0</v>
      </c>
      <c r="N19" s="33">
        <f t="shared" si="6"/>
        <v>0</v>
      </c>
      <c r="O19" s="33">
        <f t="shared" si="6"/>
        <v>0</v>
      </c>
      <c r="P19" s="33">
        <f t="shared" si="6"/>
        <v>0</v>
      </c>
      <c r="Q19" s="33">
        <f t="shared" si="6"/>
        <v>0</v>
      </c>
      <c r="R19" s="33">
        <f t="shared" si="6"/>
        <v>0</v>
      </c>
      <c r="S19" s="33">
        <f t="shared" si="6"/>
        <v>0</v>
      </c>
      <c r="T19" s="33">
        <f t="shared" si="6"/>
        <v>0</v>
      </c>
      <c r="U19" s="33">
        <f t="shared" si="6"/>
        <v>0</v>
      </c>
      <c r="V19" s="33">
        <f t="shared" si="6"/>
        <v>0</v>
      </c>
      <c r="W19" s="33">
        <f t="shared" si="6"/>
        <v>0</v>
      </c>
      <c r="X19" s="33">
        <f t="shared" si="6"/>
        <v>0</v>
      </c>
      <c r="Y19" s="33">
        <f t="shared" si="6"/>
        <v>0</v>
      </c>
      <c r="Z19" s="33">
        <f t="shared" si="6"/>
        <v>0</v>
      </c>
      <c r="AA19" s="33">
        <f t="shared" si="6"/>
        <v>0</v>
      </c>
      <c r="AB19" s="33">
        <f t="shared" si="6"/>
        <v>0</v>
      </c>
      <c r="AC19" s="33">
        <f t="shared" si="6"/>
        <v>0</v>
      </c>
      <c r="AD19" s="33">
        <f t="shared" si="6"/>
        <v>0</v>
      </c>
      <c r="AE19" s="33">
        <f t="shared" si="6"/>
        <v>0</v>
      </c>
      <c r="AF19" s="33">
        <f t="shared" si="6"/>
        <v>0</v>
      </c>
      <c r="AG19" s="33">
        <f t="shared" si="6"/>
        <v>0</v>
      </c>
      <c r="AH19" s="33">
        <f t="shared" si="6"/>
        <v>0</v>
      </c>
      <c r="AI19" s="33">
        <f t="shared" si="6"/>
        <v>0</v>
      </c>
      <c r="AJ19" s="33">
        <f t="shared" si="6"/>
        <v>0</v>
      </c>
      <c r="AL19" s="63">
        <f>SUM(F19:AI19)</f>
        <v>0</v>
      </c>
      <c r="CV19" s="152"/>
    </row>
    <row r="20" spans="1:15113" x14ac:dyDescent="0.25">
      <c r="B20" s="15"/>
      <c r="C20" s="73" t="s">
        <v>74</v>
      </c>
      <c r="D20" s="267"/>
      <c r="E20" s="74" t="s">
        <v>14</v>
      </c>
      <c r="F20" s="284">
        <v>0</v>
      </c>
      <c r="G20" s="284">
        <v>0</v>
      </c>
      <c r="H20" s="284">
        <v>0</v>
      </c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L20" s="66">
        <f>SUM(F20:AI20)</f>
        <v>0</v>
      </c>
    </row>
    <row r="21" spans="1:15113" x14ac:dyDescent="0.25">
      <c r="B21" s="15"/>
      <c r="C21" s="73" t="s">
        <v>73</v>
      </c>
      <c r="D21" s="267"/>
      <c r="E21" s="74" t="s">
        <v>14</v>
      </c>
      <c r="F21" s="285">
        <v>0</v>
      </c>
      <c r="G21" s="285">
        <v>0</v>
      </c>
      <c r="H21" s="285">
        <v>0</v>
      </c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L21" s="66">
        <f>SUM(F21:AI21)</f>
        <v>0</v>
      </c>
    </row>
    <row r="22" spans="1:15113" s="79" customFormat="1" x14ac:dyDescent="0.25">
      <c r="A22" s="71"/>
      <c r="B22" s="77"/>
      <c r="C22" s="242" t="s">
        <v>105</v>
      </c>
      <c r="D22" s="322"/>
      <c r="E22" s="101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71"/>
      <c r="AL22" s="75" t="s">
        <v>107</v>
      </c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153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  <c r="HM22" s="71"/>
      <c r="HN22" s="71"/>
      <c r="HO22" s="71"/>
      <c r="HP22" s="71"/>
      <c r="HQ22" s="71"/>
      <c r="HR22" s="71"/>
      <c r="HS22" s="71"/>
      <c r="HT22" s="71"/>
      <c r="HU22" s="71"/>
      <c r="HV22" s="71"/>
      <c r="HW22" s="71"/>
      <c r="HX22" s="71"/>
      <c r="HY22" s="71"/>
      <c r="HZ22" s="71"/>
      <c r="IA22" s="71"/>
      <c r="IB22" s="71"/>
      <c r="IC22" s="71"/>
      <c r="ID22" s="71"/>
      <c r="IE22" s="71"/>
      <c r="IF22" s="71"/>
      <c r="IG22" s="71"/>
      <c r="IH22" s="71"/>
      <c r="II22" s="71"/>
      <c r="IJ22" s="71"/>
      <c r="IK22" s="71"/>
      <c r="IL22" s="71"/>
      <c r="IM22" s="71"/>
      <c r="IN22" s="71"/>
      <c r="IO22" s="71"/>
      <c r="IP22" s="71"/>
      <c r="IQ22" s="71"/>
      <c r="IR22" s="71"/>
      <c r="IS22" s="71"/>
      <c r="IT22" s="71"/>
      <c r="IU22" s="71"/>
      <c r="IV22" s="71"/>
      <c r="IW22" s="71"/>
      <c r="IX22" s="71"/>
      <c r="IY22" s="71"/>
      <c r="IZ22" s="71"/>
      <c r="JA22" s="71"/>
      <c r="JB22" s="71"/>
      <c r="JC22" s="71"/>
      <c r="JD22" s="71"/>
      <c r="JE22" s="71"/>
      <c r="JF22" s="71"/>
      <c r="JG22" s="71"/>
      <c r="JH22" s="71"/>
      <c r="JI22" s="71"/>
      <c r="JJ22" s="71"/>
      <c r="JK22" s="71"/>
      <c r="JL22" s="71"/>
      <c r="JM22" s="71"/>
      <c r="JN22" s="71"/>
      <c r="JO22" s="71"/>
      <c r="JP22" s="71"/>
      <c r="JQ22" s="71"/>
      <c r="JR22" s="71"/>
      <c r="JS22" s="71"/>
      <c r="JT22" s="71"/>
      <c r="JU22" s="71"/>
      <c r="JV22" s="71"/>
      <c r="JW22" s="71"/>
      <c r="JX22" s="71"/>
      <c r="JY22" s="71"/>
      <c r="JZ22" s="71"/>
      <c r="KA22" s="71"/>
      <c r="KB22" s="71"/>
      <c r="KC22" s="71"/>
      <c r="KD22" s="71"/>
      <c r="KE22" s="71"/>
      <c r="KF22" s="71"/>
      <c r="KG22" s="71"/>
      <c r="KH22" s="71"/>
      <c r="KI22" s="71"/>
      <c r="KJ22" s="71"/>
      <c r="KK22" s="71"/>
      <c r="KL22" s="71"/>
      <c r="KM22" s="71"/>
      <c r="KN22" s="71"/>
      <c r="KO22" s="71"/>
      <c r="KP22" s="71"/>
      <c r="KQ22" s="71"/>
      <c r="KR22" s="71"/>
      <c r="KS22" s="71"/>
      <c r="KT22" s="71"/>
      <c r="KU22" s="71"/>
      <c r="KV22" s="71"/>
      <c r="KW22" s="71"/>
      <c r="KX22" s="71"/>
      <c r="KY22" s="71"/>
      <c r="KZ22" s="71"/>
      <c r="LA22" s="71"/>
      <c r="LB22" s="71"/>
      <c r="LC22" s="71"/>
      <c r="LD22" s="71"/>
      <c r="LE22" s="71"/>
      <c r="LF22" s="71"/>
      <c r="LG22" s="71"/>
      <c r="LH22" s="71"/>
      <c r="LI22" s="71"/>
      <c r="LJ22" s="71"/>
      <c r="LK22" s="71"/>
      <c r="LL22" s="71"/>
      <c r="LM22" s="71"/>
      <c r="LN22" s="71"/>
      <c r="LO22" s="71"/>
      <c r="LP22" s="71"/>
      <c r="LQ22" s="71"/>
      <c r="LR22" s="71"/>
      <c r="LS22" s="71"/>
      <c r="LT22" s="71"/>
      <c r="LU22" s="71"/>
      <c r="LV22" s="71"/>
      <c r="LW22" s="71"/>
      <c r="LX22" s="71"/>
      <c r="LY22" s="71"/>
      <c r="LZ22" s="71"/>
      <c r="MA22" s="71"/>
      <c r="MB22" s="71"/>
      <c r="MC22" s="71"/>
      <c r="MD22" s="71"/>
      <c r="ME22" s="71"/>
      <c r="MF22" s="71"/>
      <c r="MG22" s="71"/>
      <c r="MH22" s="71"/>
      <c r="MI22" s="71"/>
      <c r="MJ22" s="71"/>
      <c r="MK22" s="71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/>
      <c r="NC22" s="71"/>
      <c r="ND22" s="71"/>
      <c r="NE22" s="71"/>
      <c r="NF22" s="71"/>
      <c r="NG22" s="71"/>
      <c r="NH22" s="71"/>
      <c r="NI22" s="71"/>
      <c r="NJ22" s="71"/>
      <c r="NK22" s="71"/>
      <c r="NL22" s="71"/>
      <c r="NM22" s="71"/>
      <c r="NN22" s="71"/>
      <c r="NO22" s="71"/>
      <c r="NP22" s="71"/>
      <c r="NQ22" s="71"/>
      <c r="NR22" s="71"/>
      <c r="NS22" s="71"/>
      <c r="NT22" s="71"/>
      <c r="NU22" s="71"/>
      <c r="NV22" s="71"/>
      <c r="NW22" s="71"/>
      <c r="NX22" s="71"/>
      <c r="NY22" s="71"/>
      <c r="NZ22" s="71"/>
      <c r="OA22" s="71"/>
      <c r="OB22" s="71"/>
      <c r="OC22" s="71"/>
      <c r="OD22" s="71"/>
      <c r="OE22" s="71"/>
      <c r="OF22" s="71"/>
      <c r="OG22" s="71"/>
      <c r="OH22" s="71"/>
      <c r="OI22" s="71"/>
      <c r="OJ22" s="71"/>
      <c r="OK22" s="71"/>
      <c r="OL22" s="71"/>
      <c r="OM22" s="71"/>
      <c r="ON22" s="71"/>
      <c r="OO22" s="71"/>
      <c r="OP22" s="71"/>
      <c r="OQ22" s="71"/>
      <c r="OR22" s="71"/>
      <c r="OS22" s="71"/>
      <c r="OT22" s="71"/>
      <c r="OU22" s="71"/>
      <c r="OV22" s="71"/>
      <c r="OW22" s="71"/>
      <c r="OX22" s="71"/>
      <c r="OY22" s="71"/>
      <c r="OZ22" s="71"/>
      <c r="PA22" s="71"/>
      <c r="PB22" s="71"/>
      <c r="PC22" s="71"/>
      <c r="PD22" s="71"/>
      <c r="PE22" s="71"/>
      <c r="PF22" s="71"/>
      <c r="PG22" s="71"/>
      <c r="PH22" s="71"/>
      <c r="PI22" s="71"/>
      <c r="PJ22" s="71"/>
      <c r="PK22" s="71"/>
      <c r="PL22" s="71"/>
      <c r="PM22" s="71"/>
      <c r="PN22" s="71"/>
      <c r="PO22" s="71"/>
      <c r="PP22" s="71"/>
      <c r="PQ22" s="71"/>
      <c r="PR22" s="71"/>
      <c r="PS22" s="71"/>
      <c r="PT22" s="71"/>
      <c r="PU22" s="71"/>
      <c r="PV22" s="71"/>
      <c r="PW22" s="71"/>
      <c r="PX22" s="71"/>
      <c r="PY22" s="71"/>
      <c r="PZ22" s="71"/>
      <c r="QA22" s="71"/>
      <c r="QB22" s="71"/>
      <c r="QC22" s="71"/>
      <c r="QD22" s="71"/>
      <c r="QE22" s="71"/>
      <c r="QF22" s="71"/>
      <c r="QG22" s="71"/>
      <c r="QH22" s="71"/>
      <c r="QI22" s="71"/>
      <c r="QJ22" s="71"/>
      <c r="QK22" s="71"/>
      <c r="QL22" s="71"/>
      <c r="QM22" s="71"/>
      <c r="QN22" s="71"/>
      <c r="QO22" s="71"/>
      <c r="QP22" s="71"/>
      <c r="QQ22" s="71"/>
      <c r="QR22" s="71"/>
      <c r="QS22" s="71"/>
      <c r="QT22" s="71"/>
      <c r="QU22" s="71"/>
      <c r="QV22" s="71"/>
      <c r="QW22" s="71"/>
      <c r="QX22" s="71"/>
      <c r="QY22" s="71"/>
      <c r="QZ22" s="71"/>
      <c r="RA22" s="71"/>
      <c r="RB22" s="71"/>
      <c r="RC22" s="71"/>
      <c r="RD22" s="71"/>
      <c r="RE22" s="71"/>
      <c r="RF22" s="71"/>
      <c r="RG22" s="71"/>
      <c r="RH22" s="71"/>
      <c r="RI22" s="71"/>
      <c r="RJ22" s="71"/>
      <c r="RK22" s="71"/>
      <c r="RL22" s="71"/>
      <c r="RM22" s="71"/>
      <c r="RN22" s="71"/>
      <c r="RO22" s="71"/>
      <c r="RP22" s="71"/>
      <c r="RQ22" s="71"/>
      <c r="RR22" s="71"/>
      <c r="RS22" s="71"/>
      <c r="RT22" s="71"/>
      <c r="RU22" s="71"/>
      <c r="RV22" s="71"/>
      <c r="RW22" s="71"/>
      <c r="RX22" s="71"/>
      <c r="RY22" s="71"/>
      <c r="RZ22" s="71"/>
      <c r="SA22" s="71"/>
      <c r="SB22" s="71"/>
      <c r="SC22" s="71"/>
      <c r="SD22" s="71"/>
      <c r="SE22" s="71"/>
      <c r="SF22" s="71"/>
      <c r="SG22" s="71"/>
      <c r="SH22" s="71"/>
      <c r="SI22" s="71"/>
      <c r="SJ22" s="71"/>
      <c r="SK22" s="71"/>
      <c r="SL22" s="71"/>
      <c r="SM22" s="71"/>
      <c r="SN22" s="71"/>
      <c r="SO22" s="71"/>
      <c r="SP22" s="71"/>
      <c r="SQ22" s="71"/>
      <c r="SR22" s="71"/>
      <c r="SS22" s="71"/>
      <c r="ST22" s="71"/>
      <c r="SU22" s="71"/>
      <c r="SV22" s="71"/>
      <c r="SW22" s="71"/>
      <c r="SX22" s="71"/>
      <c r="SY22" s="71"/>
      <c r="SZ22" s="71"/>
      <c r="TA22" s="71"/>
      <c r="TB22" s="71"/>
      <c r="TC22" s="71"/>
      <c r="TD22" s="71"/>
      <c r="TE22" s="71"/>
      <c r="TF22" s="71"/>
      <c r="TG22" s="71"/>
      <c r="TH22" s="71"/>
      <c r="TI22" s="71"/>
      <c r="TJ22" s="71"/>
      <c r="TK22" s="71"/>
      <c r="TL22" s="71"/>
      <c r="TM22" s="71"/>
      <c r="TN22" s="71"/>
      <c r="TO22" s="71"/>
      <c r="TP22" s="71"/>
      <c r="TQ22" s="71"/>
      <c r="TR22" s="71"/>
      <c r="TS22" s="71"/>
      <c r="TT22" s="71"/>
      <c r="TU22" s="71"/>
      <c r="TV22" s="71"/>
      <c r="TW22" s="71"/>
      <c r="TX22" s="71"/>
      <c r="TY22" s="71"/>
      <c r="TZ22" s="71"/>
      <c r="UA22" s="71"/>
      <c r="UB22" s="71"/>
      <c r="UC22" s="71"/>
      <c r="UD22" s="71"/>
      <c r="UE22" s="71"/>
      <c r="UF22" s="71"/>
      <c r="UG22" s="71"/>
      <c r="UH22" s="71"/>
      <c r="UI22" s="71"/>
      <c r="UJ22" s="71"/>
      <c r="UK22" s="71"/>
      <c r="UL22" s="71"/>
      <c r="UM22" s="71"/>
      <c r="UN22" s="71"/>
      <c r="UO22" s="71"/>
      <c r="UP22" s="71"/>
      <c r="UQ22" s="71"/>
      <c r="UR22" s="71"/>
      <c r="US22" s="71"/>
      <c r="UT22" s="71"/>
      <c r="UU22" s="71"/>
      <c r="UV22" s="71"/>
      <c r="UW22" s="71"/>
      <c r="UX22" s="71"/>
      <c r="UY22" s="71"/>
      <c r="UZ22" s="71"/>
      <c r="VA22" s="71"/>
      <c r="VB22" s="71"/>
      <c r="VC22" s="71"/>
      <c r="VD22" s="71"/>
      <c r="VE22" s="71"/>
      <c r="VF22" s="71"/>
      <c r="VG22" s="71"/>
      <c r="VH22" s="71"/>
      <c r="VI22" s="71"/>
      <c r="VJ22" s="71"/>
      <c r="VK22" s="71"/>
      <c r="VL22" s="71"/>
      <c r="VM22" s="71"/>
      <c r="VN22" s="71"/>
      <c r="VO22" s="71"/>
      <c r="VP22" s="71"/>
      <c r="VQ22" s="71"/>
      <c r="VR22" s="71"/>
      <c r="VS22" s="71"/>
      <c r="VT22" s="71"/>
      <c r="VU22" s="71"/>
      <c r="VV22" s="71"/>
      <c r="VW22" s="71"/>
      <c r="VX22" s="71"/>
      <c r="VY22" s="71"/>
      <c r="VZ22" s="71"/>
      <c r="WA22" s="71"/>
      <c r="WB22" s="71"/>
      <c r="WC22" s="71"/>
      <c r="WD22" s="71"/>
      <c r="WE22" s="71"/>
      <c r="WF22" s="71"/>
      <c r="WG22" s="71"/>
      <c r="WH22" s="71"/>
      <c r="WI22" s="71"/>
      <c r="WJ22" s="71"/>
      <c r="WK22" s="71"/>
      <c r="WL22" s="71"/>
      <c r="WM22" s="71"/>
      <c r="WN22" s="71"/>
      <c r="WO22" s="71"/>
      <c r="WP22" s="71"/>
      <c r="WQ22" s="71"/>
      <c r="WR22" s="71"/>
      <c r="WS22" s="71"/>
      <c r="WT22" s="71"/>
      <c r="WU22" s="71"/>
      <c r="WV22" s="71"/>
      <c r="WW22" s="71"/>
      <c r="WX22" s="71"/>
      <c r="WY22" s="71"/>
      <c r="WZ22" s="71"/>
      <c r="XA22" s="71"/>
      <c r="XB22" s="71"/>
      <c r="XC22" s="71"/>
      <c r="XD22" s="71"/>
      <c r="XE22" s="71"/>
      <c r="XF22" s="71"/>
      <c r="XG22" s="71"/>
      <c r="XH22" s="71"/>
      <c r="XI22" s="71"/>
      <c r="XJ22" s="71"/>
      <c r="XK22" s="71"/>
      <c r="XL22" s="71"/>
      <c r="XM22" s="71"/>
      <c r="XN22" s="71"/>
      <c r="XO22" s="71"/>
      <c r="XP22" s="71"/>
      <c r="XQ22" s="71"/>
      <c r="XR22" s="71"/>
      <c r="XS22" s="71"/>
      <c r="XT22" s="71"/>
      <c r="XU22" s="71"/>
      <c r="XV22" s="71"/>
      <c r="XW22" s="71"/>
      <c r="XX22" s="71"/>
      <c r="XY22" s="71"/>
      <c r="XZ22" s="71"/>
      <c r="YA22" s="71"/>
      <c r="YB22" s="71"/>
      <c r="YC22" s="71"/>
      <c r="YD22" s="71"/>
      <c r="YE22" s="71"/>
      <c r="YF22" s="71"/>
      <c r="YG22" s="71"/>
      <c r="YH22" s="71"/>
      <c r="YI22" s="71"/>
      <c r="YJ22" s="71"/>
      <c r="YK22" s="71"/>
      <c r="YL22" s="71"/>
      <c r="YM22" s="71"/>
      <c r="YN22" s="71"/>
      <c r="YO22" s="71"/>
      <c r="YP22" s="71"/>
      <c r="YQ22" s="71"/>
      <c r="YR22" s="71"/>
      <c r="YS22" s="71"/>
      <c r="YT22" s="71"/>
      <c r="YU22" s="71"/>
      <c r="YV22" s="71"/>
      <c r="YW22" s="71"/>
      <c r="YX22" s="71"/>
      <c r="YY22" s="71"/>
      <c r="YZ22" s="71"/>
      <c r="ZA22" s="71"/>
      <c r="ZB22" s="71"/>
      <c r="ZC22" s="71"/>
      <c r="ZD22" s="71"/>
      <c r="ZE22" s="71"/>
      <c r="ZF22" s="71"/>
      <c r="ZG22" s="71"/>
      <c r="ZH22" s="71"/>
      <c r="ZI22" s="71"/>
      <c r="ZJ22" s="71"/>
      <c r="ZK22" s="71"/>
      <c r="ZL22" s="71"/>
      <c r="ZM22" s="71"/>
      <c r="ZN22" s="71"/>
      <c r="ZO22" s="71"/>
      <c r="ZP22" s="71"/>
      <c r="ZQ22" s="71"/>
      <c r="ZR22" s="71"/>
      <c r="ZS22" s="71"/>
      <c r="ZT22" s="71"/>
      <c r="ZU22" s="71"/>
      <c r="ZV22" s="71"/>
      <c r="ZW22" s="71"/>
      <c r="ZX22" s="71"/>
      <c r="ZY22" s="71"/>
      <c r="ZZ22" s="71"/>
      <c r="AAA22" s="71"/>
      <c r="AAB22" s="71"/>
      <c r="AAC22" s="71"/>
      <c r="AAD22" s="71"/>
      <c r="AAE22" s="71"/>
      <c r="AAF22" s="71"/>
      <c r="AAG22" s="71"/>
      <c r="AAH22" s="71"/>
      <c r="AAI22" s="71"/>
      <c r="AAJ22" s="71"/>
      <c r="AAK22" s="71"/>
      <c r="AAL22" s="71"/>
      <c r="AAM22" s="71"/>
      <c r="AAN22" s="71"/>
      <c r="AAO22" s="71"/>
      <c r="AAP22" s="71"/>
      <c r="AAQ22" s="71"/>
      <c r="AAR22" s="71"/>
      <c r="AAS22" s="71"/>
      <c r="AAT22" s="71"/>
      <c r="AAU22" s="71"/>
      <c r="AAV22" s="71"/>
      <c r="AAW22" s="71"/>
      <c r="AAX22" s="71"/>
      <c r="AAY22" s="71"/>
      <c r="AAZ22" s="71"/>
      <c r="ABA22" s="71"/>
      <c r="ABB22" s="71"/>
      <c r="ABC22" s="71"/>
      <c r="ABD22" s="71"/>
      <c r="ABE22" s="71"/>
      <c r="ABF22" s="71"/>
      <c r="ABG22" s="71"/>
      <c r="ABH22" s="71"/>
      <c r="ABI22" s="71"/>
      <c r="ABJ22" s="71"/>
      <c r="ABK22" s="71"/>
      <c r="ABL22" s="71"/>
      <c r="ABM22" s="71"/>
      <c r="ABN22" s="71"/>
      <c r="ABO22" s="71"/>
      <c r="ABP22" s="71"/>
      <c r="ABQ22" s="71"/>
      <c r="ABR22" s="71"/>
      <c r="ABS22" s="71"/>
      <c r="ABT22" s="71"/>
      <c r="ABU22" s="71"/>
      <c r="ABV22" s="71"/>
      <c r="ABW22" s="71"/>
      <c r="ABX22" s="71"/>
      <c r="ABY22" s="71"/>
      <c r="ABZ22" s="71"/>
      <c r="ACA22" s="71"/>
      <c r="ACB22" s="71"/>
      <c r="ACC22" s="71"/>
      <c r="ACD22" s="71"/>
      <c r="ACE22" s="71"/>
      <c r="ACF22" s="71"/>
      <c r="ACG22" s="71"/>
      <c r="ACH22" s="71"/>
      <c r="ACI22" s="71"/>
      <c r="ACJ22" s="71"/>
      <c r="ACK22" s="71"/>
      <c r="ACL22" s="71"/>
      <c r="ACM22" s="71"/>
      <c r="ACN22" s="71"/>
      <c r="ACO22" s="71"/>
      <c r="ACP22" s="71"/>
      <c r="ACQ22" s="71"/>
      <c r="ACR22" s="71"/>
      <c r="ACS22" s="71"/>
      <c r="ACT22" s="71"/>
      <c r="ACU22" s="71"/>
      <c r="ACV22" s="71"/>
      <c r="ACW22" s="71"/>
      <c r="ACX22" s="71"/>
      <c r="ACY22" s="71"/>
      <c r="ACZ22" s="71"/>
      <c r="ADA22" s="71"/>
      <c r="ADB22" s="71"/>
      <c r="ADC22" s="71"/>
      <c r="ADD22" s="71"/>
      <c r="ADE22" s="71"/>
      <c r="ADF22" s="71"/>
      <c r="ADG22" s="71"/>
      <c r="ADH22" s="71"/>
      <c r="ADI22" s="71"/>
      <c r="ADJ22" s="71"/>
      <c r="ADK22" s="71"/>
      <c r="ADL22" s="71"/>
      <c r="ADM22" s="71"/>
      <c r="ADN22" s="71"/>
      <c r="ADO22" s="71"/>
      <c r="ADP22" s="71"/>
      <c r="ADQ22" s="71"/>
      <c r="ADR22" s="71"/>
      <c r="ADS22" s="71"/>
      <c r="ADT22" s="71"/>
      <c r="ADU22" s="71"/>
      <c r="ADV22" s="71"/>
      <c r="ADW22" s="71"/>
      <c r="ADX22" s="71"/>
      <c r="ADY22" s="71"/>
      <c r="ADZ22" s="71"/>
      <c r="AEA22" s="71"/>
      <c r="AEB22" s="71"/>
      <c r="AEC22" s="71"/>
      <c r="AED22" s="71"/>
      <c r="AEE22" s="71"/>
      <c r="AEF22" s="71"/>
      <c r="AEG22" s="71"/>
      <c r="AEH22" s="71"/>
      <c r="AEI22" s="71"/>
      <c r="AEJ22" s="71"/>
      <c r="AEK22" s="71"/>
      <c r="AEL22" s="71"/>
      <c r="AEM22" s="71"/>
      <c r="AEN22" s="71"/>
      <c r="AEO22" s="71"/>
      <c r="AEP22" s="71"/>
      <c r="AEQ22" s="71"/>
      <c r="AER22" s="71"/>
      <c r="AES22" s="71"/>
      <c r="AET22" s="71"/>
      <c r="AEU22" s="71"/>
      <c r="AEV22" s="71"/>
      <c r="AEW22" s="71"/>
      <c r="AEX22" s="71"/>
      <c r="AEY22" s="71"/>
      <c r="AEZ22" s="71"/>
      <c r="AFA22" s="71"/>
      <c r="AFB22" s="71"/>
      <c r="AFC22" s="71"/>
      <c r="AFD22" s="71"/>
      <c r="AFE22" s="71"/>
      <c r="AFF22" s="71"/>
      <c r="AFG22" s="71"/>
      <c r="AFH22" s="71"/>
      <c r="AFI22" s="71"/>
      <c r="AFJ22" s="71"/>
      <c r="AFK22" s="71"/>
      <c r="AFL22" s="71"/>
      <c r="AFM22" s="71"/>
      <c r="AFN22" s="71"/>
      <c r="AFO22" s="71"/>
      <c r="AFP22" s="71"/>
      <c r="AFQ22" s="71"/>
      <c r="AFR22" s="71"/>
      <c r="AFS22" s="71"/>
      <c r="AFT22" s="71"/>
      <c r="AFU22" s="71"/>
      <c r="AFV22" s="71"/>
      <c r="AFW22" s="71"/>
      <c r="AFX22" s="71"/>
      <c r="AFY22" s="71"/>
      <c r="AFZ22" s="71"/>
      <c r="AGA22" s="71"/>
      <c r="AGB22" s="71"/>
      <c r="AGC22" s="71"/>
      <c r="AGD22" s="71"/>
      <c r="AGE22" s="71"/>
      <c r="AGF22" s="71"/>
      <c r="AGG22" s="71"/>
      <c r="AGH22" s="71"/>
      <c r="AGI22" s="71"/>
      <c r="AGJ22" s="71"/>
      <c r="AGK22" s="71"/>
      <c r="AGL22" s="71"/>
      <c r="AGM22" s="71"/>
      <c r="AGN22" s="71"/>
      <c r="AGO22" s="71"/>
      <c r="AGP22" s="71"/>
      <c r="AGQ22" s="71"/>
      <c r="AGR22" s="71"/>
      <c r="AGS22" s="71"/>
      <c r="AGT22" s="71"/>
      <c r="AGU22" s="71"/>
      <c r="AGV22" s="71"/>
      <c r="AGW22" s="71"/>
      <c r="AGX22" s="71"/>
      <c r="AGY22" s="71"/>
      <c r="AGZ22" s="71"/>
      <c r="AHA22" s="71"/>
      <c r="AHB22" s="71"/>
      <c r="AHC22" s="71"/>
      <c r="AHD22" s="71"/>
      <c r="AHE22" s="71"/>
      <c r="AHF22" s="71"/>
      <c r="AHG22" s="71"/>
      <c r="AHH22" s="71"/>
      <c r="AHI22" s="71"/>
      <c r="AHJ22" s="71"/>
      <c r="AHK22" s="71"/>
      <c r="AHL22" s="71"/>
      <c r="AHM22" s="71"/>
      <c r="AHN22" s="71"/>
      <c r="AHO22" s="71"/>
      <c r="AHP22" s="71"/>
      <c r="AHQ22" s="71"/>
      <c r="AHR22" s="71"/>
      <c r="AHS22" s="71"/>
      <c r="AHT22" s="71"/>
      <c r="AHU22" s="71"/>
      <c r="AHV22" s="71"/>
      <c r="AHW22" s="71"/>
      <c r="AHX22" s="71"/>
      <c r="AHY22" s="71"/>
      <c r="AHZ22" s="71"/>
      <c r="AIA22" s="71"/>
      <c r="AIB22" s="71"/>
      <c r="AIC22" s="71"/>
      <c r="AID22" s="71"/>
      <c r="AIE22" s="71"/>
      <c r="AIF22" s="71"/>
      <c r="AIG22" s="71"/>
      <c r="AIH22" s="71"/>
      <c r="AII22" s="71"/>
      <c r="AIJ22" s="71"/>
      <c r="AIK22" s="71"/>
      <c r="AIL22" s="71"/>
      <c r="AIM22" s="71"/>
      <c r="AIN22" s="71"/>
      <c r="AIO22" s="71"/>
      <c r="AIP22" s="71"/>
      <c r="AIQ22" s="71"/>
      <c r="AIR22" s="71"/>
      <c r="AIS22" s="71"/>
      <c r="AIT22" s="71"/>
      <c r="AIU22" s="71"/>
      <c r="AIV22" s="71"/>
      <c r="AIW22" s="71"/>
      <c r="AIX22" s="71"/>
      <c r="AIY22" s="71"/>
      <c r="AIZ22" s="71"/>
      <c r="AJA22" s="71"/>
      <c r="AJB22" s="71"/>
      <c r="AJC22" s="71"/>
      <c r="AJD22" s="71"/>
      <c r="AJE22" s="71"/>
      <c r="AJF22" s="71"/>
      <c r="AJG22" s="71"/>
      <c r="AJH22" s="71"/>
      <c r="AJI22" s="71"/>
      <c r="AJJ22" s="71"/>
      <c r="AJK22" s="71"/>
      <c r="AJL22" s="71"/>
      <c r="AJM22" s="71"/>
      <c r="AJN22" s="71"/>
      <c r="AJO22" s="71"/>
      <c r="AJP22" s="71"/>
      <c r="AJQ22" s="71"/>
      <c r="AJR22" s="71"/>
      <c r="AJS22" s="71"/>
      <c r="AJT22" s="71"/>
      <c r="AJU22" s="71"/>
      <c r="AJV22" s="71"/>
      <c r="AJW22" s="71"/>
      <c r="AJX22" s="71"/>
      <c r="AJY22" s="71"/>
      <c r="AJZ22" s="71"/>
      <c r="AKA22" s="71"/>
      <c r="AKB22" s="71"/>
      <c r="AKC22" s="71"/>
      <c r="AKD22" s="71"/>
      <c r="AKE22" s="71"/>
      <c r="AKF22" s="71"/>
      <c r="AKG22" s="71"/>
      <c r="AKH22" s="71"/>
      <c r="AKI22" s="71"/>
      <c r="AKJ22" s="71"/>
      <c r="AKK22" s="71"/>
      <c r="AKL22" s="71"/>
      <c r="AKM22" s="71"/>
      <c r="AKN22" s="71"/>
      <c r="AKO22" s="71"/>
      <c r="AKP22" s="71"/>
      <c r="AKQ22" s="71"/>
      <c r="AKR22" s="71"/>
      <c r="AKS22" s="71"/>
      <c r="AKT22" s="71"/>
      <c r="AKU22" s="71"/>
      <c r="AKV22" s="71"/>
      <c r="AKW22" s="71"/>
      <c r="AKX22" s="71"/>
      <c r="AKY22" s="71"/>
      <c r="AKZ22" s="71"/>
      <c r="ALA22" s="71"/>
      <c r="ALB22" s="71"/>
      <c r="ALC22" s="71"/>
      <c r="ALD22" s="71"/>
      <c r="ALE22" s="71"/>
      <c r="ALF22" s="71"/>
      <c r="ALG22" s="71"/>
      <c r="ALH22" s="71"/>
      <c r="ALI22" s="71"/>
      <c r="ALJ22" s="71"/>
      <c r="ALK22" s="71"/>
      <c r="ALL22" s="71"/>
      <c r="ALM22" s="71"/>
      <c r="ALN22" s="71"/>
      <c r="ALO22" s="71"/>
      <c r="ALP22" s="71"/>
      <c r="ALQ22" s="71"/>
      <c r="ALR22" s="71"/>
      <c r="ALS22" s="71"/>
      <c r="ALT22" s="71"/>
      <c r="ALU22" s="71"/>
      <c r="ALV22" s="71"/>
      <c r="ALW22" s="71"/>
      <c r="ALX22" s="71"/>
      <c r="ALY22" s="71"/>
      <c r="ALZ22" s="71"/>
      <c r="AMA22" s="71"/>
      <c r="AMB22" s="71"/>
      <c r="AMC22" s="71"/>
      <c r="AMD22" s="71"/>
      <c r="AME22" s="71"/>
      <c r="AMF22" s="71"/>
      <c r="AMG22" s="71"/>
      <c r="AMH22" s="71"/>
      <c r="AMI22" s="71"/>
      <c r="AMJ22" s="71"/>
      <c r="AMK22" s="71"/>
      <c r="AML22" s="71"/>
      <c r="AMM22" s="71"/>
      <c r="AMN22" s="71"/>
      <c r="AMO22" s="71"/>
      <c r="AMP22" s="71"/>
      <c r="AMQ22" s="71"/>
      <c r="AMR22" s="71"/>
      <c r="AMS22" s="71"/>
      <c r="AMT22" s="71"/>
      <c r="AMU22" s="71"/>
      <c r="AMV22" s="71"/>
      <c r="AMW22" s="71"/>
      <c r="AMX22" s="71"/>
      <c r="AMY22" s="71"/>
      <c r="AMZ22" s="71"/>
      <c r="ANA22" s="71"/>
      <c r="ANB22" s="71"/>
      <c r="ANC22" s="71"/>
      <c r="AND22" s="71"/>
      <c r="ANE22" s="71"/>
      <c r="ANF22" s="71"/>
      <c r="ANG22" s="71"/>
      <c r="ANH22" s="71"/>
      <c r="ANI22" s="71"/>
      <c r="ANJ22" s="71"/>
      <c r="ANK22" s="71"/>
      <c r="ANL22" s="71"/>
      <c r="ANM22" s="71"/>
      <c r="ANN22" s="71"/>
      <c r="ANO22" s="71"/>
      <c r="ANP22" s="71"/>
      <c r="ANQ22" s="71"/>
      <c r="ANR22" s="71"/>
      <c r="ANS22" s="71"/>
      <c r="ANT22" s="71"/>
      <c r="ANU22" s="71"/>
      <c r="ANV22" s="71"/>
      <c r="ANW22" s="71"/>
      <c r="ANX22" s="71"/>
      <c r="ANY22" s="71"/>
      <c r="ANZ22" s="71"/>
      <c r="AOA22" s="71"/>
      <c r="AOB22" s="71"/>
      <c r="AOC22" s="71"/>
      <c r="AOD22" s="71"/>
      <c r="AOE22" s="71"/>
      <c r="AOF22" s="71"/>
      <c r="AOG22" s="71"/>
      <c r="AOH22" s="71"/>
      <c r="AOI22" s="71"/>
      <c r="AOJ22" s="71"/>
      <c r="AOK22" s="71"/>
      <c r="AOL22" s="71"/>
      <c r="AOM22" s="71"/>
      <c r="AON22" s="71"/>
      <c r="AOO22" s="71"/>
      <c r="AOP22" s="71"/>
      <c r="AOQ22" s="71"/>
      <c r="AOR22" s="71"/>
      <c r="AOS22" s="71"/>
      <c r="AOT22" s="71"/>
      <c r="AOU22" s="71"/>
      <c r="AOV22" s="71"/>
      <c r="AOW22" s="71"/>
      <c r="AOX22" s="71"/>
      <c r="AOY22" s="71"/>
      <c r="AOZ22" s="71"/>
      <c r="APA22" s="71"/>
      <c r="APB22" s="71"/>
      <c r="APC22" s="71"/>
      <c r="APD22" s="71"/>
      <c r="APE22" s="71"/>
      <c r="APF22" s="71"/>
      <c r="APG22" s="71"/>
      <c r="APH22" s="71"/>
      <c r="API22" s="71"/>
      <c r="APJ22" s="71"/>
      <c r="APK22" s="71"/>
      <c r="APL22" s="71"/>
      <c r="APM22" s="71"/>
      <c r="APN22" s="71"/>
      <c r="APO22" s="71"/>
      <c r="APP22" s="71"/>
      <c r="APQ22" s="71"/>
      <c r="APR22" s="71"/>
      <c r="APS22" s="71"/>
      <c r="APT22" s="71"/>
      <c r="APU22" s="71"/>
      <c r="APV22" s="71"/>
      <c r="APW22" s="71"/>
      <c r="APX22" s="71"/>
      <c r="APY22" s="71"/>
      <c r="APZ22" s="71"/>
      <c r="AQA22" s="71"/>
      <c r="AQB22" s="71"/>
      <c r="AQC22" s="71"/>
      <c r="AQD22" s="71"/>
      <c r="AQE22" s="71"/>
      <c r="AQF22" s="71"/>
      <c r="AQG22" s="71"/>
      <c r="AQH22" s="71"/>
      <c r="AQI22" s="71"/>
      <c r="AQJ22" s="71"/>
      <c r="AQK22" s="71"/>
      <c r="AQL22" s="71"/>
      <c r="AQM22" s="71"/>
      <c r="AQN22" s="71"/>
      <c r="AQO22" s="71"/>
      <c r="AQP22" s="71"/>
      <c r="AQQ22" s="71"/>
      <c r="AQR22" s="71"/>
      <c r="AQS22" s="71"/>
      <c r="AQT22" s="71"/>
      <c r="AQU22" s="71"/>
      <c r="AQV22" s="71"/>
      <c r="AQW22" s="71"/>
      <c r="AQX22" s="71"/>
      <c r="AQY22" s="71"/>
      <c r="AQZ22" s="71"/>
      <c r="ARA22" s="71"/>
      <c r="ARB22" s="71"/>
      <c r="ARC22" s="71"/>
      <c r="ARD22" s="71"/>
      <c r="ARE22" s="71"/>
      <c r="ARF22" s="71"/>
      <c r="ARG22" s="71"/>
      <c r="ARH22" s="71"/>
      <c r="ARI22" s="71"/>
      <c r="ARJ22" s="71"/>
      <c r="ARK22" s="71"/>
      <c r="ARL22" s="71"/>
      <c r="ARM22" s="71"/>
      <c r="ARN22" s="71"/>
      <c r="ARO22" s="71"/>
      <c r="ARP22" s="71"/>
      <c r="ARQ22" s="71"/>
      <c r="ARR22" s="71"/>
      <c r="ARS22" s="71"/>
      <c r="ART22" s="71"/>
      <c r="ARU22" s="71"/>
      <c r="ARV22" s="71"/>
      <c r="ARW22" s="71"/>
      <c r="ARX22" s="71"/>
      <c r="ARY22" s="71"/>
      <c r="ARZ22" s="71"/>
      <c r="ASA22" s="71"/>
      <c r="ASB22" s="71"/>
      <c r="ASC22" s="71"/>
      <c r="ASD22" s="71"/>
      <c r="ASE22" s="71"/>
      <c r="ASF22" s="71"/>
      <c r="ASG22" s="71"/>
      <c r="ASH22" s="71"/>
      <c r="ASI22" s="71"/>
      <c r="ASJ22" s="71"/>
      <c r="ASK22" s="71"/>
      <c r="ASL22" s="71"/>
      <c r="ASM22" s="71"/>
      <c r="ASN22" s="71"/>
      <c r="ASO22" s="71"/>
      <c r="ASP22" s="71"/>
      <c r="ASQ22" s="71"/>
      <c r="ASR22" s="71"/>
      <c r="ASS22" s="71"/>
      <c r="AST22" s="71"/>
      <c r="ASU22" s="71"/>
      <c r="ASV22" s="71"/>
      <c r="ASW22" s="71"/>
      <c r="ASX22" s="71"/>
      <c r="ASY22" s="71"/>
      <c r="ASZ22" s="71"/>
      <c r="ATA22" s="71"/>
      <c r="ATB22" s="71"/>
      <c r="ATC22" s="71"/>
      <c r="ATD22" s="71"/>
      <c r="ATE22" s="71"/>
      <c r="ATF22" s="71"/>
      <c r="ATG22" s="71"/>
      <c r="ATH22" s="71"/>
      <c r="ATI22" s="71"/>
      <c r="ATJ22" s="71"/>
      <c r="ATK22" s="71"/>
      <c r="ATL22" s="71"/>
      <c r="ATM22" s="71"/>
      <c r="ATN22" s="71"/>
      <c r="ATO22" s="71"/>
      <c r="ATP22" s="71"/>
      <c r="ATQ22" s="71"/>
      <c r="ATR22" s="71"/>
      <c r="ATS22" s="71"/>
      <c r="ATT22" s="71"/>
      <c r="ATU22" s="71"/>
      <c r="ATV22" s="71"/>
      <c r="ATW22" s="71"/>
      <c r="ATX22" s="71"/>
      <c r="ATY22" s="71"/>
      <c r="ATZ22" s="71"/>
      <c r="AUA22" s="71"/>
      <c r="AUB22" s="71"/>
      <c r="AUC22" s="71"/>
      <c r="AUD22" s="71"/>
      <c r="AUE22" s="71"/>
      <c r="AUF22" s="71"/>
      <c r="AUG22" s="71"/>
      <c r="AUH22" s="71"/>
      <c r="AUI22" s="71"/>
      <c r="AUJ22" s="71"/>
      <c r="AUK22" s="71"/>
      <c r="AUL22" s="71"/>
      <c r="AUM22" s="71"/>
      <c r="AUN22" s="71"/>
      <c r="AUO22" s="71"/>
      <c r="AUP22" s="71"/>
      <c r="AUQ22" s="71"/>
      <c r="AUR22" s="71"/>
      <c r="AUS22" s="71"/>
      <c r="AUT22" s="71"/>
      <c r="AUU22" s="71"/>
      <c r="AUV22" s="71"/>
      <c r="AUW22" s="71"/>
      <c r="AUX22" s="71"/>
      <c r="AUY22" s="71"/>
      <c r="AUZ22" s="71"/>
      <c r="AVA22" s="71"/>
      <c r="AVB22" s="71"/>
      <c r="AVC22" s="71"/>
      <c r="AVD22" s="71"/>
      <c r="AVE22" s="71"/>
      <c r="AVF22" s="71"/>
      <c r="AVG22" s="71"/>
      <c r="AVH22" s="71"/>
      <c r="AVI22" s="71"/>
      <c r="AVJ22" s="71"/>
      <c r="AVK22" s="71"/>
      <c r="AVL22" s="71"/>
      <c r="AVM22" s="71"/>
      <c r="AVN22" s="71"/>
      <c r="AVO22" s="71"/>
      <c r="AVP22" s="71"/>
      <c r="AVQ22" s="71"/>
      <c r="AVR22" s="71"/>
      <c r="AVS22" s="71"/>
      <c r="AVT22" s="71"/>
      <c r="AVU22" s="71"/>
      <c r="AVV22" s="71"/>
      <c r="AVW22" s="71"/>
      <c r="AVX22" s="71"/>
      <c r="AVY22" s="71"/>
      <c r="AVZ22" s="71"/>
      <c r="AWA22" s="71"/>
      <c r="AWB22" s="71"/>
      <c r="AWC22" s="71"/>
      <c r="AWD22" s="71"/>
      <c r="AWE22" s="71"/>
      <c r="AWF22" s="71"/>
      <c r="AWG22" s="71"/>
      <c r="AWH22" s="71"/>
      <c r="AWI22" s="71"/>
      <c r="AWJ22" s="71"/>
      <c r="AWK22" s="71"/>
      <c r="AWL22" s="71"/>
      <c r="AWM22" s="71"/>
      <c r="AWN22" s="71"/>
      <c r="AWO22" s="71"/>
      <c r="AWP22" s="71"/>
      <c r="AWQ22" s="71"/>
      <c r="AWR22" s="71"/>
      <c r="AWS22" s="71"/>
      <c r="AWT22" s="71"/>
      <c r="AWU22" s="71"/>
      <c r="AWV22" s="71"/>
      <c r="AWW22" s="71"/>
      <c r="AWX22" s="71"/>
      <c r="AWY22" s="71"/>
      <c r="AWZ22" s="71"/>
      <c r="AXA22" s="71"/>
      <c r="AXB22" s="71"/>
      <c r="AXC22" s="71"/>
      <c r="AXD22" s="71"/>
      <c r="AXE22" s="71"/>
      <c r="AXF22" s="71"/>
      <c r="AXG22" s="71"/>
      <c r="AXH22" s="71"/>
      <c r="AXI22" s="71"/>
      <c r="AXJ22" s="71"/>
      <c r="AXK22" s="71"/>
      <c r="AXL22" s="71"/>
      <c r="AXM22" s="71"/>
      <c r="AXN22" s="71"/>
      <c r="AXO22" s="71"/>
      <c r="AXP22" s="71"/>
      <c r="AXQ22" s="71"/>
      <c r="AXR22" s="71"/>
      <c r="AXS22" s="71"/>
      <c r="AXT22" s="71"/>
      <c r="AXU22" s="71"/>
      <c r="AXV22" s="71"/>
      <c r="AXW22" s="71"/>
      <c r="AXX22" s="71"/>
      <c r="AXY22" s="71"/>
      <c r="AXZ22" s="71"/>
      <c r="AYA22" s="71"/>
      <c r="AYB22" s="71"/>
      <c r="AYC22" s="71"/>
      <c r="AYD22" s="71"/>
      <c r="AYE22" s="71"/>
      <c r="AYF22" s="71"/>
      <c r="AYG22" s="71"/>
      <c r="AYH22" s="71"/>
      <c r="AYI22" s="71"/>
      <c r="AYJ22" s="71"/>
      <c r="AYK22" s="71"/>
      <c r="AYL22" s="71"/>
      <c r="AYM22" s="71"/>
      <c r="AYN22" s="71"/>
      <c r="AYO22" s="71"/>
      <c r="AYP22" s="71"/>
      <c r="AYQ22" s="71"/>
      <c r="AYR22" s="71"/>
      <c r="AYS22" s="71"/>
      <c r="AYT22" s="71"/>
      <c r="AYU22" s="71"/>
      <c r="AYV22" s="71"/>
      <c r="AYW22" s="71"/>
      <c r="AYX22" s="71"/>
      <c r="AYY22" s="71"/>
      <c r="AYZ22" s="71"/>
      <c r="AZA22" s="71"/>
      <c r="AZB22" s="71"/>
      <c r="AZC22" s="71"/>
      <c r="AZD22" s="71"/>
      <c r="AZE22" s="71"/>
      <c r="AZF22" s="71"/>
      <c r="AZG22" s="71"/>
      <c r="AZH22" s="71"/>
      <c r="AZI22" s="71"/>
      <c r="AZJ22" s="71"/>
      <c r="AZK22" s="71"/>
      <c r="AZL22" s="71"/>
      <c r="AZM22" s="71"/>
      <c r="AZN22" s="71"/>
      <c r="AZO22" s="71"/>
      <c r="AZP22" s="71"/>
      <c r="AZQ22" s="71"/>
      <c r="AZR22" s="71"/>
      <c r="AZS22" s="71"/>
      <c r="AZT22" s="71"/>
      <c r="AZU22" s="71"/>
      <c r="AZV22" s="71"/>
      <c r="AZW22" s="71"/>
      <c r="AZX22" s="71"/>
      <c r="AZY22" s="71"/>
      <c r="AZZ22" s="71"/>
      <c r="BAA22" s="71"/>
      <c r="BAB22" s="71"/>
      <c r="BAC22" s="71"/>
      <c r="BAD22" s="71"/>
      <c r="BAE22" s="71"/>
      <c r="BAF22" s="71"/>
      <c r="BAG22" s="71"/>
      <c r="BAH22" s="71"/>
      <c r="BAI22" s="71"/>
      <c r="BAJ22" s="71"/>
      <c r="BAK22" s="71"/>
      <c r="BAL22" s="71"/>
      <c r="BAM22" s="71"/>
      <c r="BAN22" s="71"/>
      <c r="BAO22" s="71"/>
      <c r="BAP22" s="71"/>
      <c r="BAQ22" s="71"/>
      <c r="BAR22" s="71"/>
      <c r="BAS22" s="71"/>
      <c r="BAT22" s="71"/>
      <c r="BAU22" s="71"/>
      <c r="BAV22" s="71"/>
      <c r="BAW22" s="71"/>
      <c r="BAX22" s="71"/>
      <c r="BAY22" s="71"/>
      <c r="BAZ22" s="71"/>
      <c r="BBA22" s="71"/>
      <c r="BBB22" s="71"/>
      <c r="BBC22" s="71"/>
      <c r="BBD22" s="71"/>
      <c r="BBE22" s="71"/>
      <c r="BBF22" s="71"/>
      <c r="BBG22" s="71"/>
      <c r="BBH22" s="71"/>
      <c r="BBI22" s="71"/>
      <c r="BBJ22" s="71"/>
      <c r="BBK22" s="71"/>
      <c r="BBL22" s="71"/>
      <c r="BBM22" s="71"/>
      <c r="BBN22" s="71"/>
      <c r="BBO22" s="71"/>
      <c r="BBP22" s="71"/>
      <c r="BBQ22" s="71"/>
      <c r="BBR22" s="71"/>
      <c r="BBS22" s="71"/>
      <c r="BBT22" s="71"/>
      <c r="BBU22" s="71"/>
      <c r="BBV22" s="71"/>
      <c r="BBW22" s="71"/>
      <c r="BBX22" s="71"/>
      <c r="BBY22" s="71"/>
      <c r="BBZ22" s="71"/>
      <c r="BCA22" s="71"/>
      <c r="BCB22" s="71"/>
      <c r="BCC22" s="71"/>
      <c r="BCD22" s="71"/>
      <c r="BCE22" s="71"/>
      <c r="BCF22" s="71"/>
      <c r="BCG22" s="71"/>
      <c r="BCH22" s="71"/>
      <c r="BCI22" s="71"/>
      <c r="BCJ22" s="71"/>
      <c r="BCK22" s="71"/>
      <c r="BCL22" s="71"/>
      <c r="BCM22" s="71"/>
      <c r="BCN22" s="71"/>
      <c r="BCO22" s="71"/>
      <c r="BCP22" s="71"/>
      <c r="BCQ22" s="71"/>
      <c r="BCR22" s="71"/>
      <c r="BCS22" s="71"/>
      <c r="BCT22" s="71"/>
      <c r="BCU22" s="71"/>
      <c r="BCV22" s="71"/>
      <c r="BCW22" s="71"/>
      <c r="BCX22" s="71"/>
      <c r="BCY22" s="71"/>
      <c r="BCZ22" s="71"/>
      <c r="BDA22" s="71"/>
      <c r="BDB22" s="71"/>
      <c r="BDC22" s="71"/>
      <c r="BDD22" s="71"/>
      <c r="BDE22" s="71"/>
      <c r="BDF22" s="71"/>
      <c r="BDG22" s="71"/>
      <c r="BDH22" s="71"/>
      <c r="BDI22" s="71"/>
      <c r="BDJ22" s="71"/>
      <c r="BDK22" s="71"/>
      <c r="BDL22" s="71"/>
      <c r="BDM22" s="71"/>
      <c r="BDN22" s="71"/>
      <c r="BDO22" s="71"/>
      <c r="BDP22" s="71"/>
      <c r="BDQ22" s="71"/>
      <c r="BDR22" s="71"/>
      <c r="BDS22" s="71"/>
      <c r="BDT22" s="71"/>
      <c r="BDU22" s="71"/>
      <c r="BDV22" s="71"/>
      <c r="BDW22" s="71"/>
      <c r="BDX22" s="71"/>
      <c r="BDY22" s="71"/>
      <c r="BDZ22" s="71"/>
      <c r="BEA22" s="71"/>
      <c r="BEB22" s="71"/>
      <c r="BEC22" s="71"/>
      <c r="BED22" s="71"/>
      <c r="BEE22" s="71"/>
      <c r="BEF22" s="71"/>
      <c r="BEG22" s="71"/>
      <c r="BEH22" s="71"/>
      <c r="BEI22" s="71"/>
      <c r="BEJ22" s="71"/>
      <c r="BEK22" s="71"/>
      <c r="BEL22" s="71"/>
      <c r="BEM22" s="71"/>
      <c r="BEN22" s="71"/>
      <c r="BEO22" s="71"/>
      <c r="BEP22" s="71"/>
      <c r="BEQ22" s="71"/>
      <c r="BER22" s="71"/>
      <c r="BES22" s="71"/>
      <c r="BET22" s="71"/>
      <c r="BEU22" s="71"/>
      <c r="BEV22" s="71"/>
      <c r="BEW22" s="71"/>
      <c r="BEX22" s="71"/>
      <c r="BEY22" s="71"/>
      <c r="BEZ22" s="71"/>
      <c r="BFA22" s="71"/>
      <c r="BFB22" s="71"/>
      <c r="BFC22" s="71"/>
      <c r="BFD22" s="71"/>
      <c r="BFE22" s="71"/>
      <c r="BFF22" s="71"/>
      <c r="BFG22" s="71"/>
      <c r="BFH22" s="71"/>
      <c r="BFI22" s="71"/>
      <c r="BFJ22" s="71"/>
      <c r="BFK22" s="71"/>
      <c r="BFL22" s="71"/>
      <c r="BFM22" s="71"/>
      <c r="BFN22" s="71"/>
      <c r="BFO22" s="71"/>
      <c r="BFP22" s="71"/>
      <c r="BFQ22" s="71"/>
      <c r="BFR22" s="71"/>
      <c r="BFS22" s="71"/>
      <c r="BFT22" s="71"/>
      <c r="BFU22" s="71"/>
      <c r="BFV22" s="71"/>
      <c r="BFW22" s="71"/>
      <c r="BFX22" s="71"/>
      <c r="BFY22" s="71"/>
      <c r="BFZ22" s="71"/>
      <c r="BGA22" s="71"/>
      <c r="BGB22" s="71"/>
      <c r="BGC22" s="71"/>
      <c r="BGD22" s="71"/>
      <c r="BGE22" s="71"/>
      <c r="BGF22" s="71"/>
      <c r="BGG22" s="71"/>
      <c r="BGH22" s="71"/>
      <c r="BGI22" s="71"/>
      <c r="BGJ22" s="71"/>
      <c r="BGK22" s="71"/>
      <c r="BGL22" s="71"/>
      <c r="BGM22" s="71"/>
      <c r="BGN22" s="71"/>
      <c r="BGO22" s="71"/>
      <c r="BGP22" s="71"/>
      <c r="BGQ22" s="71"/>
      <c r="BGR22" s="71"/>
      <c r="BGS22" s="71"/>
      <c r="BGT22" s="71"/>
      <c r="BGU22" s="71"/>
      <c r="BGV22" s="71"/>
      <c r="BGW22" s="71"/>
      <c r="BGX22" s="71"/>
      <c r="BGY22" s="71"/>
      <c r="BGZ22" s="71"/>
      <c r="BHA22" s="71"/>
      <c r="BHB22" s="71"/>
      <c r="BHC22" s="71"/>
      <c r="BHD22" s="71"/>
      <c r="BHE22" s="71"/>
      <c r="BHF22" s="71"/>
      <c r="BHG22" s="71"/>
      <c r="BHH22" s="71"/>
      <c r="BHI22" s="71"/>
      <c r="BHJ22" s="71"/>
      <c r="BHK22" s="71"/>
      <c r="BHL22" s="71"/>
      <c r="BHM22" s="71"/>
      <c r="BHN22" s="71"/>
      <c r="BHO22" s="71"/>
      <c r="BHP22" s="71"/>
      <c r="BHQ22" s="71"/>
      <c r="BHR22" s="71"/>
      <c r="BHS22" s="71"/>
      <c r="BHT22" s="71"/>
      <c r="BHU22" s="71"/>
      <c r="BHV22" s="71"/>
      <c r="BHW22" s="71"/>
      <c r="BHX22" s="71"/>
      <c r="BHY22" s="71"/>
      <c r="BHZ22" s="71"/>
      <c r="BIA22" s="71"/>
      <c r="BIB22" s="71"/>
      <c r="BIC22" s="71"/>
      <c r="BID22" s="71"/>
      <c r="BIE22" s="71"/>
      <c r="BIF22" s="71"/>
      <c r="BIG22" s="71"/>
      <c r="BIH22" s="71"/>
      <c r="BII22" s="71"/>
      <c r="BIJ22" s="71"/>
      <c r="BIK22" s="71"/>
      <c r="BIL22" s="71"/>
      <c r="BIM22" s="71"/>
      <c r="BIN22" s="71"/>
      <c r="BIO22" s="71"/>
      <c r="BIP22" s="71"/>
      <c r="BIQ22" s="71"/>
      <c r="BIR22" s="71"/>
      <c r="BIS22" s="71"/>
      <c r="BIT22" s="71"/>
      <c r="BIU22" s="71"/>
      <c r="BIV22" s="71"/>
      <c r="BIW22" s="71"/>
      <c r="BIX22" s="71"/>
      <c r="BIY22" s="71"/>
      <c r="BIZ22" s="71"/>
      <c r="BJA22" s="71"/>
      <c r="BJB22" s="71"/>
      <c r="BJC22" s="71"/>
      <c r="BJD22" s="71"/>
      <c r="BJE22" s="71"/>
      <c r="BJF22" s="71"/>
      <c r="BJG22" s="71"/>
      <c r="BJH22" s="71"/>
      <c r="BJI22" s="71"/>
      <c r="BJJ22" s="71"/>
      <c r="BJK22" s="71"/>
      <c r="BJL22" s="71"/>
      <c r="BJM22" s="71"/>
      <c r="BJN22" s="71"/>
      <c r="BJO22" s="71"/>
      <c r="BJP22" s="71"/>
      <c r="BJQ22" s="71"/>
      <c r="BJR22" s="71"/>
      <c r="BJS22" s="71"/>
      <c r="BJT22" s="71"/>
      <c r="BJU22" s="71"/>
      <c r="BJV22" s="71"/>
      <c r="BJW22" s="71"/>
      <c r="BJX22" s="71"/>
      <c r="BJY22" s="71"/>
      <c r="BJZ22" s="71"/>
      <c r="BKA22" s="71"/>
      <c r="BKB22" s="71"/>
      <c r="BKC22" s="71"/>
      <c r="BKD22" s="71"/>
      <c r="BKE22" s="71"/>
      <c r="BKF22" s="71"/>
      <c r="BKG22" s="71"/>
      <c r="BKH22" s="71"/>
      <c r="BKI22" s="71"/>
      <c r="BKJ22" s="71"/>
      <c r="BKK22" s="71"/>
      <c r="BKL22" s="71"/>
      <c r="BKM22" s="71"/>
      <c r="BKN22" s="71"/>
      <c r="BKO22" s="71"/>
      <c r="BKP22" s="71"/>
      <c r="BKQ22" s="71"/>
      <c r="BKR22" s="71"/>
      <c r="BKS22" s="71"/>
      <c r="BKT22" s="71"/>
      <c r="BKU22" s="71"/>
      <c r="BKV22" s="71"/>
      <c r="BKW22" s="71"/>
      <c r="BKX22" s="71"/>
      <c r="BKY22" s="71"/>
      <c r="BKZ22" s="71"/>
      <c r="BLA22" s="71"/>
      <c r="BLB22" s="71"/>
      <c r="BLC22" s="71"/>
      <c r="BLD22" s="71"/>
      <c r="BLE22" s="71"/>
      <c r="BLF22" s="71"/>
      <c r="BLG22" s="71"/>
      <c r="BLH22" s="71"/>
      <c r="BLI22" s="71"/>
      <c r="BLJ22" s="71"/>
      <c r="BLK22" s="71"/>
      <c r="BLL22" s="71"/>
      <c r="BLM22" s="71"/>
      <c r="BLN22" s="71"/>
      <c r="BLO22" s="71"/>
      <c r="BLP22" s="71"/>
      <c r="BLQ22" s="71"/>
      <c r="BLR22" s="71"/>
      <c r="BLS22" s="71"/>
      <c r="BLT22" s="71"/>
      <c r="BLU22" s="71"/>
      <c r="BLV22" s="71"/>
      <c r="BLW22" s="71"/>
      <c r="BLX22" s="71"/>
      <c r="BLY22" s="71"/>
      <c r="BLZ22" s="71"/>
      <c r="BMA22" s="71"/>
      <c r="BMB22" s="71"/>
      <c r="BMC22" s="71"/>
      <c r="BMD22" s="71"/>
      <c r="BME22" s="71"/>
      <c r="BMF22" s="71"/>
      <c r="BMG22" s="71"/>
      <c r="BMH22" s="71"/>
      <c r="BMI22" s="71"/>
      <c r="BMJ22" s="71"/>
      <c r="BMK22" s="71"/>
      <c r="BML22" s="71"/>
      <c r="BMM22" s="71"/>
      <c r="BMN22" s="71"/>
      <c r="BMO22" s="71"/>
      <c r="BMP22" s="71"/>
      <c r="BMQ22" s="71"/>
      <c r="BMR22" s="71"/>
      <c r="BMS22" s="71"/>
      <c r="BMT22" s="71"/>
      <c r="BMU22" s="71"/>
      <c r="BMV22" s="71"/>
      <c r="BMW22" s="71"/>
      <c r="BMX22" s="71"/>
      <c r="BMY22" s="71"/>
      <c r="BMZ22" s="71"/>
      <c r="BNA22" s="71"/>
      <c r="BNB22" s="71"/>
      <c r="BNC22" s="71"/>
      <c r="BND22" s="71"/>
      <c r="BNE22" s="71"/>
      <c r="BNF22" s="71"/>
      <c r="BNG22" s="71"/>
      <c r="BNH22" s="71"/>
      <c r="BNI22" s="71"/>
      <c r="BNJ22" s="71"/>
      <c r="BNK22" s="71"/>
      <c r="BNL22" s="71"/>
      <c r="BNM22" s="71"/>
      <c r="BNN22" s="71"/>
      <c r="BNO22" s="71"/>
      <c r="BNP22" s="71"/>
      <c r="BNQ22" s="71"/>
      <c r="BNR22" s="71"/>
      <c r="BNS22" s="71"/>
      <c r="BNT22" s="71"/>
      <c r="BNU22" s="71"/>
      <c r="BNV22" s="71"/>
      <c r="BNW22" s="71"/>
      <c r="BNX22" s="71"/>
      <c r="BNY22" s="71"/>
      <c r="BNZ22" s="71"/>
      <c r="BOA22" s="71"/>
      <c r="BOB22" s="71"/>
      <c r="BOC22" s="71"/>
      <c r="BOD22" s="71"/>
      <c r="BOE22" s="71"/>
      <c r="BOF22" s="71"/>
      <c r="BOG22" s="71"/>
      <c r="BOH22" s="71"/>
      <c r="BOI22" s="71"/>
      <c r="BOJ22" s="71"/>
      <c r="BOK22" s="71"/>
      <c r="BOL22" s="71"/>
      <c r="BOM22" s="71"/>
      <c r="BON22" s="71"/>
      <c r="BOO22" s="71"/>
      <c r="BOP22" s="71"/>
      <c r="BOQ22" s="71"/>
      <c r="BOR22" s="71"/>
      <c r="BOS22" s="71"/>
      <c r="BOT22" s="71"/>
      <c r="BOU22" s="71"/>
      <c r="BOV22" s="71"/>
      <c r="BOW22" s="71"/>
      <c r="BOX22" s="71"/>
      <c r="BOY22" s="71"/>
      <c r="BOZ22" s="71"/>
      <c r="BPA22" s="71"/>
      <c r="BPB22" s="71"/>
      <c r="BPC22" s="71"/>
      <c r="BPD22" s="71"/>
      <c r="BPE22" s="71"/>
      <c r="BPF22" s="71"/>
      <c r="BPG22" s="71"/>
      <c r="BPH22" s="71"/>
      <c r="BPI22" s="71"/>
      <c r="BPJ22" s="71"/>
      <c r="BPK22" s="71"/>
      <c r="BPL22" s="71"/>
      <c r="BPM22" s="71"/>
      <c r="BPN22" s="71"/>
      <c r="BPO22" s="71"/>
      <c r="BPP22" s="71"/>
      <c r="BPQ22" s="71"/>
      <c r="BPR22" s="71"/>
      <c r="BPS22" s="71"/>
      <c r="BPT22" s="71"/>
      <c r="BPU22" s="71"/>
      <c r="BPV22" s="71"/>
      <c r="BPW22" s="71"/>
      <c r="BPX22" s="71"/>
      <c r="BPY22" s="71"/>
      <c r="BPZ22" s="71"/>
      <c r="BQA22" s="71"/>
      <c r="BQB22" s="71"/>
      <c r="BQC22" s="71"/>
      <c r="BQD22" s="71"/>
      <c r="BQE22" s="71"/>
      <c r="BQF22" s="71"/>
      <c r="BQG22" s="71"/>
      <c r="BQH22" s="71"/>
      <c r="BQI22" s="71"/>
      <c r="BQJ22" s="71"/>
      <c r="BQK22" s="71"/>
      <c r="BQL22" s="71"/>
      <c r="BQM22" s="71"/>
      <c r="BQN22" s="71"/>
      <c r="BQO22" s="71"/>
      <c r="BQP22" s="71"/>
      <c r="BQQ22" s="71"/>
      <c r="BQR22" s="71"/>
      <c r="BQS22" s="71"/>
      <c r="BQT22" s="71"/>
      <c r="BQU22" s="71"/>
      <c r="BQV22" s="71"/>
      <c r="BQW22" s="71"/>
      <c r="BQX22" s="71"/>
      <c r="BQY22" s="71"/>
      <c r="BQZ22" s="71"/>
      <c r="BRA22" s="71"/>
      <c r="BRB22" s="71"/>
      <c r="BRC22" s="71"/>
      <c r="BRD22" s="71"/>
      <c r="BRE22" s="71"/>
      <c r="BRF22" s="71"/>
      <c r="BRG22" s="71"/>
      <c r="BRH22" s="71"/>
      <c r="BRI22" s="71"/>
      <c r="BRJ22" s="71"/>
      <c r="BRK22" s="71"/>
      <c r="BRL22" s="71"/>
      <c r="BRM22" s="71"/>
      <c r="BRN22" s="71"/>
      <c r="BRO22" s="71"/>
      <c r="BRP22" s="71"/>
      <c r="BRQ22" s="71"/>
      <c r="BRR22" s="71"/>
      <c r="BRS22" s="71"/>
      <c r="BRT22" s="71"/>
      <c r="BRU22" s="71"/>
      <c r="BRV22" s="71"/>
      <c r="BRW22" s="71"/>
      <c r="BRX22" s="71"/>
      <c r="BRY22" s="71"/>
      <c r="BRZ22" s="71"/>
      <c r="BSA22" s="71"/>
      <c r="BSB22" s="71"/>
      <c r="BSC22" s="71"/>
      <c r="BSD22" s="71"/>
      <c r="BSE22" s="71"/>
      <c r="BSF22" s="71"/>
      <c r="BSG22" s="71"/>
      <c r="BSH22" s="71"/>
      <c r="BSI22" s="71"/>
      <c r="BSJ22" s="71"/>
      <c r="BSK22" s="71"/>
      <c r="BSL22" s="71"/>
      <c r="BSM22" s="71"/>
      <c r="BSN22" s="71"/>
      <c r="BSO22" s="71"/>
      <c r="BSP22" s="71"/>
      <c r="BSQ22" s="71"/>
      <c r="BSR22" s="71"/>
      <c r="BSS22" s="71"/>
      <c r="BST22" s="71"/>
      <c r="BSU22" s="71"/>
      <c r="BSV22" s="71"/>
      <c r="BSW22" s="71"/>
      <c r="BSX22" s="71"/>
      <c r="BSY22" s="71"/>
      <c r="BSZ22" s="71"/>
      <c r="BTA22" s="71"/>
      <c r="BTB22" s="71"/>
      <c r="BTC22" s="71"/>
      <c r="BTD22" s="71"/>
      <c r="BTE22" s="71"/>
      <c r="BTF22" s="71"/>
      <c r="BTG22" s="71"/>
      <c r="BTH22" s="71"/>
      <c r="BTI22" s="71"/>
      <c r="BTJ22" s="71"/>
      <c r="BTK22" s="71"/>
      <c r="BTL22" s="71"/>
      <c r="BTM22" s="71"/>
      <c r="BTN22" s="71"/>
      <c r="BTO22" s="71"/>
      <c r="BTP22" s="71"/>
      <c r="BTQ22" s="71"/>
      <c r="BTR22" s="71"/>
      <c r="BTS22" s="71"/>
      <c r="BTT22" s="71"/>
      <c r="BTU22" s="71"/>
      <c r="BTV22" s="71"/>
      <c r="BTW22" s="71"/>
      <c r="BTX22" s="71"/>
      <c r="BTY22" s="71"/>
      <c r="BTZ22" s="71"/>
      <c r="BUA22" s="71"/>
      <c r="BUB22" s="71"/>
      <c r="BUC22" s="71"/>
      <c r="BUD22" s="71"/>
      <c r="BUE22" s="71"/>
      <c r="BUF22" s="71"/>
      <c r="BUG22" s="71"/>
      <c r="BUH22" s="71"/>
      <c r="BUI22" s="71"/>
      <c r="BUJ22" s="71"/>
      <c r="BUK22" s="71"/>
      <c r="BUL22" s="71"/>
      <c r="BUM22" s="71"/>
      <c r="BUN22" s="71"/>
      <c r="BUO22" s="71"/>
      <c r="BUP22" s="71"/>
      <c r="BUQ22" s="71"/>
      <c r="BUR22" s="71"/>
      <c r="BUS22" s="71"/>
      <c r="BUT22" s="71"/>
      <c r="BUU22" s="71"/>
      <c r="BUV22" s="71"/>
      <c r="BUW22" s="71"/>
      <c r="BUX22" s="71"/>
      <c r="BUY22" s="71"/>
      <c r="BUZ22" s="71"/>
      <c r="BVA22" s="71"/>
      <c r="BVB22" s="71"/>
      <c r="BVC22" s="71"/>
      <c r="BVD22" s="71"/>
      <c r="BVE22" s="71"/>
      <c r="BVF22" s="71"/>
      <c r="BVG22" s="71"/>
      <c r="BVH22" s="71"/>
      <c r="BVI22" s="71"/>
      <c r="BVJ22" s="71"/>
      <c r="BVK22" s="71"/>
      <c r="BVL22" s="71"/>
      <c r="BVM22" s="71"/>
      <c r="BVN22" s="71"/>
      <c r="BVO22" s="71"/>
      <c r="BVP22" s="71"/>
      <c r="BVQ22" s="71"/>
      <c r="BVR22" s="71"/>
      <c r="BVS22" s="71"/>
      <c r="BVT22" s="71"/>
      <c r="BVU22" s="71"/>
      <c r="BVV22" s="71"/>
      <c r="BVW22" s="71"/>
      <c r="BVX22" s="71"/>
      <c r="BVY22" s="71"/>
      <c r="BVZ22" s="71"/>
      <c r="BWA22" s="71"/>
      <c r="BWB22" s="71"/>
      <c r="BWC22" s="71"/>
      <c r="BWD22" s="71"/>
      <c r="BWE22" s="71"/>
      <c r="BWF22" s="71"/>
      <c r="BWG22" s="71"/>
      <c r="BWH22" s="71"/>
      <c r="BWI22" s="71"/>
      <c r="BWJ22" s="71"/>
      <c r="BWK22" s="71"/>
      <c r="BWL22" s="71"/>
      <c r="BWM22" s="71"/>
      <c r="BWN22" s="71"/>
      <c r="BWO22" s="71"/>
      <c r="BWP22" s="71"/>
      <c r="BWQ22" s="71"/>
      <c r="BWR22" s="71"/>
      <c r="BWS22" s="71"/>
      <c r="BWT22" s="71"/>
      <c r="BWU22" s="71"/>
      <c r="BWV22" s="71"/>
      <c r="BWW22" s="71"/>
      <c r="BWX22" s="71"/>
      <c r="BWY22" s="71"/>
      <c r="BWZ22" s="71"/>
      <c r="BXA22" s="71"/>
      <c r="BXB22" s="71"/>
      <c r="BXC22" s="71"/>
      <c r="BXD22" s="71"/>
      <c r="BXE22" s="71"/>
      <c r="BXF22" s="71"/>
      <c r="BXG22" s="71"/>
      <c r="BXH22" s="71"/>
      <c r="BXI22" s="71"/>
      <c r="BXJ22" s="71"/>
      <c r="BXK22" s="71"/>
      <c r="BXL22" s="71"/>
      <c r="BXM22" s="71"/>
      <c r="BXN22" s="71"/>
      <c r="BXO22" s="71"/>
      <c r="BXP22" s="71"/>
      <c r="BXQ22" s="71"/>
      <c r="BXR22" s="71"/>
      <c r="BXS22" s="71"/>
      <c r="BXT22" s="71"/>
      <c r="BXU22" s="71"/>
      <c r="BXV22" s="71"/>
      <c r="BXW22" s="71"/>
      <c r="BXX22" s="71"/>
      <c r="BXY22" s="71"/>
      <c r="BXZ22" s="71"/>
      <c r="BYA22" s="71"/>
      <c r="BYB22" s="71"/>
      <c r="BYC22" s="71"/>
      <c r="BYD22" s="71"/>
      <c r="BYE22" s="71"/>
      <c r="BYF22" s="71"/>
      <c r="BYG22" s="71"/>
      <c r="BYH22" s="71"/>
      <c r="BYI22" s="71"/>
      <c r="BYJ22" s="71"/>
      <c r="BYK22" s="71"/>
      <c r="BYL22" s="71"/>
      <c r="BYM22" s="71"/>
      <c r="BYN22" s="71"/>
      <c r="BYO22" s="71"/>
      <c r="BYP22" s="71"/>
      <c r="BYQ22" s="71"/>
      <c r="BYR22" s="71"/>
      <c r="BYS22" s="71"/>
      <c r="BYT22" s="71"/>
      <c r="BYU22" s="71"/>
      <c r="BYV22" s="71"/>
      <c r="BYW22" s="71"/>
      <c r="BYX22" s="71"/>
      <c r="BYY22" s="71"/>
      <c r="BYZ22" s="71"/>
      <c r="BZA22" s="71"/>
      <c r="BZB22" s="71"/>
      <c r="BZC22" s="71"/>
      <c r="BZD22" s="71"/>
      <c r="BZE22" s="71"/>
      <c r="BZF22" s="71"/>
      <c r="BZG22" s="71"/>
      <c r="BZH22" s="71"/>
      <c r="BZI22" s="71"/>
      <c r="BZJ22" s="71"/>
      <c r="BZK22" s="71"/>
      <c r="BZL22" s="71"/>
      <c r="BZM22" s="71"/>
      <c r="BZN22" s="71"/>
      <c r="BZO22" s="71"/>
      <c r="BZP22" s="71"/>
      <c r="BZQ22" s="71"/>
      <c r="BZR22" s="71"/>
      <c r="BZS22" s="71"/>
      <c r="BZT22" s="71"/>
      <c r="BZU22" s="71"/>
      <c r="BZV22" s="71"/>
      <c r="BZW22" s="71"/>
      <c r="BZX22" s="71"/>
      <c r="BZY22" s="71"/>
      <c r="BZZ22" s="71"/>
      <c r="CAA22" s="71"/>
      <c r="CAB22" s="71"/>
      <c r="CAC22" s="71"/>
      <c r="CAD22" s="71"/>
      <c r="CAE22" s="71"/>
      <c r="CAF22" s="71"/>
      <c r="CAG22" s="71"/>
      <c r="CAH22" s="71"/>
      <c r="CAI22" s="71"/>
      <c r="CAJ22" s="71"/>
      <c r="CAK22" s="71"/>
      <c r="CAL22" s="71"/>
      <c r="CAM22" s="71"/>
      <c r="CAN22" s="71"/>
      <c r="CAO22" s="71"/>
      <c r="CAP22" s="71"/>
      <c r="CAQ22" s="71"/>
      <c r="CAR22" s="71"/>
      <c r="CAS22" s="71"/>
      <c r="CAT22" s="71"/>
      <c r="CAU22" s="71"/>
      <c r="CAV22" s="71"/>
      <c r="CAW22" s="71"/>
      <c r="CAX22" s="71"/>
      <c r="CAY22" s="71"/>
      <c r="CAZ22" s="71"/>
      <c r="CBA22" s="71"/>
      <c r="CBB22" s="71"/>
      <c r="CBC22" s="71"/>
      <c r="CBD22" s="71"/>
      <c r="CBE22" s="71"/>
      <c r="CBF22" s="71"/>
      <c r="CBG22" s="71"/>
      <c r="CBH22" s="71"/>
      <c r="CBI22" s="71"/>
      <c r="CBJ22" s="71"/>
      <c r="CBK22" s="71"/>
      <c r="CBL22" s="71"/>
      <c r="CBM22" s="71"/>
      <c r="CBN22" s="71"/>
      <c r="CBO22" s="71"/>
      <c r="CBP22" s="71"/>
      <c r="CBQ22" s="71"/>
      <c r="CBR22" s="71"/>
      <c r="CBS22" s="71"/>
      <c r="CBT22" s="71"/>
      <c r="CBU22" s="71"/>
      <c r="CBV22" s="71"/>
      <c r="CBW22" s="71"/>
      <c r="CBX22" s="71"/>
      <c r="CBY22" s="71"/>
      <c r="CBZ22" s="71"/>
      <c r="CCA22" s="71"/>
      <c r="CCB22" s="71"/>
      <c r="CCC22" s="71"/>
      <c r="CCD22" s="71"/>
      <c r="CCE22" s="71"/>
      <c r="CCF22" s="71"/>
      <c r="CCG22" s="71"/>
      <c r="CCH22" s="71"/>
      <c r="CCI22" s="71"/>
      <c r="CCJ22" s="71"/>
      <c r="CCK22" s="71"/>
      <c r="CCL22" s="71"/>
      <c r="CCM22" s="71"/>
      <c r="CCN22" s="71"/>
      <c r="CCO22" s="71"/>
      <c r="CCP22" s="71"/>
      <c r="CCQ22" s="71"/>
      <c r="CCR22" s="71"/>
      <c r="CCS22" s="71"/>
      <c r="CCT22" s="71"/>
      <c r="CCU22" s="71"/>
      <c r="CCV22" s="71"/>
      <c r="CCW22" s="71"/>
      <c r="CCX22" s="71"/>
      <c r="CCY22" s="71"/>
      <c r="CCZ22" s="71"/>
      <c r="CDA22" s="71"/>
      <c r="CDB22" s="71"/>
      <c r="CDC22" s="71"/>
      <c r="CDD22" s="71"/>
      <c r="CDE22" s="71"/>
      <c r="CDF22" s="71"/>
      <c r="CDG22" s="71"/>
      <c r="CDH22" s="71"/>
      <c r="CDI22" s="71"/>
      <c r="CDJ22" s="71"/>
      <c r="CDK22" s="71"/>
      <c r="CDL22" s="71"/>
      <c r="CDM22" s="71"/>
      <c r="CDN22" s="71"/>
      <c r="CDO22" s="71"/>
      <c r="CDP22" s="71"/>
      <c r="CDQ22" s="71"/>
      <c r="CDR22" s="71"/>
      <c r="CDS22" s="71"/>
      <c r="CDT22" s="71"/>
      <c r="CDU22" s="71"/>
      <c r="CDV22" s="71"/>
      <c r="CDW22" s="71"/>
      <c r="CDX22" s="71"/>
      <c r="CDY22" s="71"/>
      <c r="CDZ22" s="71"/>
      <c r="CEA22" s="71"/>
      <c r="CEB22" s="71"/>
      <c r="CEC22" s="71"/>
      <c r="CED22" s="71"/>
      <c r="CEE22" s="71"/>
      <c r="CEF22" s="71"/>
      <c r="CEG22" s="71"/>
      <c r="CEH22" s="71"/>
      <c r="CEI22" s="71"/>
      <c r="CEJ22" s="71"/>
      <c r="CEK22" s="71"/>
      <c r="CEL22" s="71"/>
      <c r="CEM22" s="71"/>
      <c r="CEN22" s="71"/>
      <c r="CEO22" s="71"/>
      <c r="CEP22" s="71"/>
      <c r="CEQ22" s="71"/>
      <c r="CER22" s="71"/>
      <c r="CES22" s="71"/>
      <c r="CET22" s="71"/>
      <c r="CEU22" s="71"/>
      <c r="CEV22" s="71"/>
      <c r="CEW22" s="71"/>
      <c r="CEX22" s="71"/>
      <c r="CEY22" s="71"/>
      <c r="CEZ22" s="71"/>
      <c r="CFA22" s="71"/>
      <c r="CFB22" s="71"/>
      <c r="CFC22" s="71"/>
      <c r="CFD22" s="71"/>
      <c r="CFE22" s="71"/>
      <c r="CFF22" s="71"/>
      <c r="CFG22" s="71"/>
      <c r="CFH22" s="71"/>
      <c r="CFI22" s="71"/>
      <c r="CFJ22" s="71"/>
      <c r="CFK22" s="71"/>
      <c r="CFL22" s="71"/>
      <c r="CFM22" s="71"/>
      <c r="CFN22" s="71"/>
      <c r="CFO22" s="71"/>
      <c r="CFP22" s="71"/>
      <c r="CFQ22" s="71"/>
      <c r="CFR22" s="71"/>
      <c r="CFS22" s="71"/>
      <c r="CFT22" s="71"/>
      <c r="CFU22" s="71"/>
      <c r="CFV22" s="71"/>
      <c r="CFW22" s="71"/>
      <c r="CFX22" s="71"/>
      <c r="CFY22" s="71"/>
      <c r="CFZ22" s="71"/>
      <c r="CGA22" s="71"/>
      <c r="CGB22" s="71"/>
      <c r="CGC22" s="71"/>
      <c r="CGD22" s="71"/>
      <c r="CGE22" s="71"/>
      <c r="CGF22" s="71"/>
      <c r="CGG22" s="71"/>
      <c r="CGH22" s="71"/>
      <c r="CGI22" s="71"/>
      <c r="CGJ22" s="71"/>
      <c r="CGK22" s="71"/>
      <c r="CGL22" s="71"/>
      <c r="CGM22" s="71"/>
      <c r="CGN22" s="71"/>
      <c r="CGO22" s="71"/>
      <c r="CGP22" s="71"/>
      <c r="CGQ22" s="71"/>
      <c r="CGR22" s="71"/>
      <c r="CGS22" s="71"/>
      <c r="CGT22" s="71"/>
      <c r="CGU22" s="71"/>
      <c r="CGV22" s="71"/>
      <c r="CGW22" s="71"/>
      <c r="CGX22" s="71"/>
      <c r="CGY22" s="71"/>
      <c r="CGZ22" s="71"/>
      <c r="CHA22" s="71"/>
      <c r="CHB22" s="71"/>
      <c r="CHC22" s="71"/>
      <c r="CHD22" s="71"/>
      <c r="CHE22" s="71"/>
      <c r="CHF22" s="71"/>
      <c r="CHG22" s="71"/>
      <c r="CHH22" s="71"/>
      <c r="CHI22" s="71"/>
      <c r="CHJ22" s="71"/>
      <c r="CHK22" s="71"/>
      <c r="CHL22" s="71"/>
      <c r="CHM22" s="71"/>
      <c r="CHN22" s="71"/>
      <c r="CHO22" s="71"/>
      <c r="CHP22" s="71"/>
      <c r="CHQ22" s="71"/>
      <c r="CHR22" s="71"/>
      <c r="CHS22" s="71"/>
      <c r="CHT22" s="71"/>
      <c r="CHU22" s="71"/>
      <c r="CHV22" s="71"/>
      <c r="CHW22" s="71"/>
      <c r="CHX22" s="71"/>
      <c r="CHY22" s="71"/>
      <c r="CHZ22" s="71"/>
      <c r="CIA22" s="71"/>
      <c r="CIB22" s="71"/>
      <c r="CIC22" s="71"/>
      <c r="CID22" s="71"/>
      <c r="CIE22" s="71"/>
      <c r="CIF22" s="71"/>
      <c r="CIG22" s="71"/>
      <c r="CIH22" s="71"/>
      <c r="CII22" s="71"/>
      <c r="CIJ22" s="71"/>
      <c r="CIK22" s="71"/>
      <c r="CIL22" s="71"/>
      <c r="CIM22" s="71"/>
      <c r="CIN22" s="71"/>
      <c r="CIO22" s="71"/>
      <c r="CIP22" s="71"/>
      <c r="CIQ22" s="71"/>
      <c r="CIR22" s="71"/>
      <c r="CIS22" s="71"/>
      <c r="CIT22" s="71"/>
      <c r="CIU22" s="71"/>
      <c r="CIV22" s="71"/>
      <c r="CIW22" s="71"/>
      <c r="CIX22" s="71"/>
      <c r="CIY22" s="71"/>
      <c r="CIZ22" s="71"/>
      <c r="CJA22" s="71"/>
      <c r="CJB22" s="71"/>
      <c r="CJC22" s="71"/>
      <c r="CJD22" s="71"/>
      <c r="CJE22" s="71"/>
      <c r="CJF22" s="71"/>
      <c r="CJG22" s="71"/>
      <c r="CJH22" s="71"/>
      <c r="CJI22" s="71"/>
      <c r="CJJ22" s="71"/>
      <c r="CJK22" s="71"/>
      <c r="CJL22" s="71"/>
      <c r="CJM22" s="71"/>
      <c r="CJN22" s="71"/>
      <c r="CJO22" s="71"/>
      <c r="CJP22" s="71"/>
      <c r="CJQ22" s="71"/>
      <c r="CJR22" s="71"/>
      <c r="CJS22" s="71"/>
      <c r="CJT22" s="71"/>
      <c r="CJU22" s="71"/>
      <c r="CJV22" s="71"/>
      <c r="CJW22" s="71"/>
      <c r="CJX22" s="71"/>
      <c r="CJY22" s="71"/>
      <c r="CJZ22" s="71"/>
      <c r="CKA22" s="71"/>
      <c r="CKB22" s="71"/>
      <c r="CKC22" s="71"/>
      <c r="CKD22" s="71"/>
      <c r="CKE22" s="71"/>
      <c r="CKF22" s="71"/>
      <c r="CKG22" s="71"/>
      <c r="CKH22" s="71"/>
      <c r="CKI22" s="71"/>
      <c r="CKJ22" s="71"/>
      <c r="CKK22" s="71"/>
      <c r="CKL22" s="71"/>
      <c r="CKM22" s="71"/>
      <c r="CKN22" s="71"/>
      <c r="CKO22" s="71"/>
      <c r="CKP22" s="71"/>
      <c r="CKQ22" s="71"/>
      <c r="CKR22" s="71"/>
      <c r="CKS22" s="71"/>
      <c r="CKT22" s="71"/>
      <c r="CKU22" s="71"/>
      <c r="CKV22" s="71"/>
      <c r="CKW22" s="71"/>
      <c r="CKX22" s="71"/>
      <c r="CKY22" s="71"/>
      <c r="CKZ22" s="71"/>
      <c r="CLA22" s="71"/>
      <c r="CLB22" s="71"/>
      <c r="CLC22" s="71"/>
      <c r="CLD22" s="71"/>
      <c r="CLE22" s="71"/>
      <c r="CLF22" s="71"/>
      <c r="CLG22" s="71"/>
      <c r="CLH22" s="71"/>
      <c r="CLI22" s="71"/>
      <c r="CLJ22" s="71"/>
      <c r="CLK22" s="71"/>
      <c r="CLL22" s="71"/>
      <c r="CLM22" s="71"/>
      <c r="CLN22" s="71"/>
      <c r="CLO22" s="71"/>
      <c r="CLP22" s="71"/>
      <c r="CLQ22" s="71"/>
      <c r="CLR22" s="71"/>
      <c r="CLS22" s="71"/>
      <c r="CLT22" s="71"/>
      <c r="CLU22" s="71"/>
      <c r="CLV22" s="71"/>
      <c r="CLW22" s="71"/>
      <c r="CLX22" s="71"/>
      <c r="CLY22" s="71"/>
      <c r="CLZ22" s="71"/>
      <c r="CMA22" s="71"/>
      <c r="CMB22" s="71"/>
      <c r="CMC22" s="71"/>
      <c r="CMD22" s="71"/>
      <c r="CME22" s="71"/>
      <c r="CMF22" s="71"/>
      <c r="CMG22" s="71"/>
      <c r="CMH22" s="71"/>
      <c r="CMI22" s="71"/>
      <c r="CMJ22" s="71"/>
      <c r="CMK22" s="71"/>
      <c r="CML22" s="71"/>
      <c r="CMM22" s="71"/>
      <c r="CMN22" s="71"/>
      <c r="CMO22" s="71"/>
      <c r="CMP22" s="71"/>
      <c r="CMQ22" s="71"/>
      <c r="CMR22" s="71"/>
      <c r="CMS22" s="71"/>
      <c r="CMT22" s="71"/>
      <c r="CMU22" s="71"/>
      <c r="CMV22" s="71"/>
      <c r="CMW22" s="71"/>
      <c r="CMX22" s="71"/>
      <c r="CMY22" s="71"/>
      <c r="CMZ22" s="71"/>
      <c r="CNA22" s="71"/>
      <c r="CNB22" s="71"/>
      <c r="CNC22" s="71"/>
      <c r="CND22" s="71"/>
      <c r="CNE22" s="71"/>
      <c r="CNF22" s="71"/>
      <c r="CNG22" s="71"/>
      <c r="CNH22" s="71"/>
      <c r="CNI22" s="71"/>
      <c r="CNJ22" s="71"/>
      <c r="CNK22" s="71"/>
      <c r="CNL22" s="71"/>
      <c r="CNM22" s="71"/>
      <c r="CNN22" s="71"/>
      <c r="CNO22" s="71"/>
      <c r="CNP22" s="71"/>
      <c r="CNQ22" s="71"/>
      <c r="CNR22" s="71"/>
      <c r="CNS22" s="71"/>
      <c r="CNT22" s="71"/>
      <c r="CNU22" s="71"/>
      <c r="CNV22" s="71"/>
      <c r="CNW22" s="71"/>
      <c r="CNX22" s="71"/>
      <c r="CNY22" s="71"/>
      <c r="CNZ22" s="71"/>
      <c r="COA22" s="71"/>
      <c r="COB22" s="71"/>
      <c r="COC22" s="71"/>
      <c r="COD22" s="71"/>
      <c r="COE22" s="71"/>
      <c r="COF22" s="71"/>
      <c r="COG22" s="71"/>
      <c r="COH22" s="71"/>
      <c r="COI22" s="71"/>
      <c r="COJ22" s="71"/>
      <c r="COK22" s="71"/>
      <c r="COL22" s="71"/>
      <c r="COM22" s="71"/>
      <c r="CON22" s="71"/>
      <c r="COO22" s="71"/>
      <c r="COP22" s="71"/>
      <c r="COQ22" s="71"/>
      <c r="COR22" s="71"/>
      <c r="COS22" s="71"/>
      <c r="COT22" s="71"/>
      <c r="COU22" s="71"/>
      <c r="COV22" s="71"/>
      <c r="COW22" s="71"/>
      <c r="COX22" s="71"/>
      <c r="COY22" s="71"/>
      <c r="COZ22" s="71"/>
      <c r="CPA22" s="71"/>
      <c r="CPB22" s="71"/>
      <c r="CPC22" s="71"/>
      <c r="CPD22" s="71"/>
      <c r="CPE22" s="71"/>
      <c r="CPF22" s="71"/>
      <c r="CPG22" s="71"/>
      <c r="CPH22" s="71"/>
      <c r="CPI22" s="71"/>
      <c r="CPJ22" s="71"/>
      <c r="CPK22" s="71"/>
      <c r="CPL22" s="71"/>
      <c r="CPM22" s="71"/>
      <c r="CPN22" s="71"/>
      <c r="CPO22" s="71"/>
      <c r="CPP22" s="71"/>
      <c r="CPQ22" s="71"/>
      <c r="CPR22" s="71"/>
      <c r="CPS22" s="71"/>
      <c r="CPT22" s="71"/>
      <c r="CPU22" s="71"/>
      <c r="CPV22" s="71"/>
      <c r="CPW22" s="71"/>
      <c r="CPX22" s="71"/>
      <c r="CPY22" s="71"/>
      <c r="CPZ22" s="71"/>
      <c r="CQA22" s="71"/>
      <c r="CQB22" s="71"/>
      <c r="CQC22" s="71"/>
      <c r="CQD22" s="71"/>
      <c r="CQE22" s="71"/>
      <c r="CQF22" s="71"/>
      <c r="CQG22" s="71"/>
      <c r="CQH22" s="71"/>
      <c r="CQI22" s="71"/>
      <c r="CQJ22" s="71"/>
      <c r="CQK22" s="71"/>
      <c r="CQL22" s="71"/>
      <c r="CQM22" s="71"/>
      <c r="CQN22" s="71"/>
      <c r="CQO22" s="71"/>
      <c r="CQP22" s="71"/>
      <c r="CQQ22" s="71"/>
      <c r="CQR22" s="71"/>
      <c r="CQS22" s="71"/>
      <c r="CQT22" s="71"/>
      <c r="CQU22" s="71"/>
      <c r="CQV22" s="71"/>
      <c r="CQW22" s="71"/>
      <c r="CQX22" s="71"/>
      <c r="CQY22" s="71"/>
      <c r="CQZ22" s="71"/>
      <c r="CRA22" s="71"/>
      <c r="CRB22" s="71"/>
      <c r="CRC22" s="71"/>
      <c r="CRD22" s="71"/>
      <c r="CRE22" s="71"/>
      <c r="CRF22" s="71"/>
      <c r="CRG22" s="71"/>
      <c r="CRH22" s="71"/>
      <c r="CRI22" s="71"/>
      <c r="CRJ22" s="71"/>
      <c r="CRK22" s="71"/>
      <c r="CRL22" s="71"/>
      <c r="CRM22" s="71"/>
      <c r="CRN22" s="71"/>
      <c r="CRO22" s="71"/>
      <c r="CRP22" s="71"/>
      <c r="CRQ22" s="71"/>
      <c r="CRR22" s="71"/>
      <c r="CRS22" s="71"/>
      <c r="CRT22" s="71"/>
      <c r="CRU22" s="71"/>
      <c r="CRV22" s="71"/>
      <c r="CRW22" s="71"/>
      <c r="CRX22" s="71"/>
      <c r="CRY22" s="71"/>
      <c r="CRZ22" s="71"/>
      <c r="CSA22" s="71"/>
      <c r="CSB22" s="71"/>
      <c r="CSC22" s="71"/>
      <c r="CSD22" s="71"/>
      <c r="CSE22" s="71"/>
      <c r="CSF22" s="71"/>
      <c r="CSG22" s="71"/>
      <c r="CSH22" s="71"/>
      <c r="CSI22" s="71"/>
      <c r="CSJ22" s="71"/>
      <c r="CSK22" s="71"/>
      <c r="CSL22" s="71"/>
      <c r="CSM22" s="71"/>
      <c r="CSN22" s="71"/>
      <c r="CSO22" s="71"/>
      <c r="CSP22" s="71"/>
      <c r="CSQ22" s="71"/>
      <c r="CSR22" s="71"/>
      <c r="CSS22" s="71"/>
      <c r="CST22" s="71"/>
      <c r="CSU22" s="71"/>
      <c r="CSV22" s="71"/>
      <c r="CSW22" s="71"/>
      <c r="CSX22" s="71"/>
      <c r="CSY22" s="71"/>
      <c r="CSZ22" s="71"/>
      <c r="CTA22" s="71"/>
      <c r="CTB22" s="71"/>
      <c r="CTC22" s="71"/>
      <c r="CTD22" s="71"/>
      <c r="CTE22" s="71"/>
      <c r="CTF22" s="71"/>
      <c r="CTG22" s="71"/>
      <c r="CTH22" s="71"/>
      <c r="CTI22" s="71"/>
      <c r="CTJ22" s="71"/>
      <c r="CTK22" s="71"/>
      <c r="CTL22" s="71"/>
      <c r="CTM22" s="71"/>
      <c r="CTN22" s="71"/>
      <c r="CTO22" s="71"/>
      <c r="CTP22" s="71"/>
      <c r="CTQ22" s="71"/>
      <c r="CTR22" s="71"/>
      <c r="CTS22" s="71"/>
      <c r="CTT22" s="71"/>
      <c r="CTU22" s="71"/>
      <c r="CTV22" s="71"/>
      <c r="CTW22" s="71"/>
      <c r="CTX22" s="71"/>
      <c r="CTY22" s="71"/>
      <c r="CTZ22" s="71"/>
      <c r="CUA22" s="71"/>
      <c r="CUB22" s="71"/>
      <c r="CUC22" s="71"/>
      <c r="CUD22" s="71"/>
      <c r="CUE22" s="71"/>
      <c r="CUF22" s="71"/>
      <c r="CUG22" s="71"/>
      <c r="CUH22" s="71"/>
      <c r="CUI22" s="71"/>
      <c r="CUJ22" s="71"/>
      <c r="CUK22" s="71"/>
      <c r="CUL22" s="71"/>
      <c r="CUM22" s="71"/>
      <c r="CUN22" s="71"/>
      <c r="CUO22" s="71"/>
      <c r="CUP22" s="71"/>
      <c r="CUQ22" s="71"/>
      <c r="CUR22" s="71"/>
      <c r="CUS22" s="71"/>
      <c r="CUT22" s="71"/>
      <c r="CUU22" s="71"/>
      <c r="CUV22" s="71"/>
      <c r="CUW22" s="71"/>
      <c r="CUX22" s="71"/>
      <c r="CUY22" s="71"/>
      <c r="CUZ22" s="71"/>
      <c r="CVA22" s="71"/>
      <c r="CVB22" s="71"/>
      <c r="CVC22" s="71"/>
      <c r="CVD22" s="71"/>
      <c r="CVE22" s="71"/>
      <c r="CVF22" s="71"/>
      <c r="CVG22" s="71"/>
      <c r="CVH22" s="71"/>
      <c r="CVI22" s="71"/>
      <c r="CVJ22" s="71"/>
      <c r="CVK22" s="71"/>
      <c r="CVL22" s="71"/>
      <c r="CVM22" s="71"/>
      <c r="CVN22" s="71"/>
      <c r="CVO22" s="71"/>
      <c r="CVP22" s="71"/>
      <c r="CVQ22" s="71"/>
      <c r="CVR22" s="71"/>
      <c r="CVS22" s="71"/>
      <c r="CVT22" s="71"/>
      <c r="CVU22" s="71"/>
      <c r="CVV22" s="71"/>
      <c r="CVW22" s="71"/>
      <c r="CVX22" s="71"/>
      <c r="CVY22" s="71"/>
      <c r="CVZ22" s="71"/>
      <c r="CWA22" s="71"/>
      <c r="CWB22" s="71"/>
      <c r="CWC22" s="71"/>
      <c r="CWD22" s="71"/>
      <c r="CWE22" s="71"/>
      <c r="CWF22" s="71"/>
      <c r="CWG22" s="71"/>
      <c r="CWH22" s="71"/>
      <c r="CWI22" s="71"/>
      <c r="CWJ22" s="71"/>
      <c r="CWK22" s="71"/>
      <c r="CWL22" s="71"/>
      <c r="CWM22" s="71"/>
      <c r="CWN22" s="71"/>
      <c r="CWO22" s="71"/>
      <c r="CWP22" s="71"/>
      <c r="CWQ22" s="71"/>
      <c r="CWR22" s="71"/>
      <c r="CWS22" s="71"/>
      <c r="CWT22" s="71"/>
      <c r="CWU22" s="71"/>
      <c r="CWV22" s="71"/>
      <c r="CWW22" s="71"/>
      <c r="CWX22" s="71"/>
      <c r="CWY22" s="71"/>
      <c r="CWZ22" s="71"/>
      <c r="CXA22" s="71"/>
      <c r="CXB22" s="71"/>
      <c r="CXC22" s="71"/>
      <c r="CXD22" s="71"/>
      <c r="CXE22" s="71"/>
      <c r="CXF22" s="71"/>
      <c r="CXG22" s="71"/>
      <c r="CXH22" s="71"/>
      <c r="CXI22" s="71"/>
      <c r="CXJ22" s="71"/>
      <c r="CXK22" s="71"/>
      <c r="CXL22" s="71"/>
      <c r="CXM22" s="71"/>
      <c r="CXN22" s="71"/>
      <c r="CXO22" s="71"/>
      <c r="CXP22" s="71"/>
      <c r="CXQ22" s="71"/>
      <c r="CXR22" s="71"/>
      <c r="CXS22" s="71"/>
      <c r="CXT22" s="71"/>
      <c r="CXU22" s="71"/>
      <c r="CXV22" s="71"/>
      <c r="CXW22" s="71"/>
      <c r="CXX22" s="71"/>
      <c r="CXY22" s="71"/>
      <c r="CXZ22" s="71"/>
      <c r="CYA22" s="71"/>
      <c r="CYB22" s="71"/>
      <c r="CYC22" s="71"/>
      <c r="CYD22" s="71"/>
      <c r="CYE22" s="71"/>
      <c r="CYF22" s="71"/>
      <c r="CYG22" s="71"/>
      <c r="CYH22" s="71"/>
      <c r="CYI22" s="71"/>
      <c r="CYJ22" s="71"/>
      <c r="CYK22" s="71"/>
      <c r="CYL22" s="71"/>
      <c r="CYM22" s="71"/>
      <c r="CYN22" s="71"/>
      <c r="CYO22" s="71"/>
      <c r="CYP22" s="71"/>
      <c r="CYQ22" s="71"/>
      <c r="CYR22" s="71"/>
      <c r="CYS22" s="71"/>
      <c r="CYT22" s="71"/>
      <c r="CYU22" s="71"/>
      <c r="CYV22" s="71"/>
      <c r="CYW22" s="71"/>
      <c r="CYX22" s="71"/>
      <c r="CYY22" s="71"/>
      <c r="CYZ22" s="71"/>
      <c r="CZA22" s="71"/>
      <c r="CZB22" s="71"/>
      <c r="CZC22" s="71"/>
      <c r="CZD22" s="71"/>
      <c r="CZE22" s="71"/>
      <c r="CZF22" s="71"/>
      <c r="CZG22" s="71"/>
      <c r="CZH22" s="71"/>
      <c r="CZI22" s="71"/>
      <c r="CZJ22" s="71"/>
      <c r="CZK22" s="71"/>
      <c r="CZL22" s="71"/>
      <c r="CZM22" s="71"/>
      <c r="CZN22" s="71"/>
      <c r="CZO22" s="71"/>
      <c r="CZP22" s="71"/>
      <c r="CZQ22" s="71"/>
      <c r="CZR22" s="71"/>
      <c r="CZS22" s="71"/>
      <c r="CZT22" s="71"/>
      <c r="CZU22" s="71"/>
      <c r="CZV22" s="71"/>
      <c r="CZW22" s="71"/>
      <c r="CZX22" s="71"/>
      <c r="CZY22" s="71"/>
      <c r="CZZ22" s="71"/>
      <c r="DAA22" s="71"/>
      <c r="DAB22" s="71"/>
      <c r="DAC22" s="71"/>
      <c r="DAD22" s="71"/>
      <c r="DAE22" s="71"/>
      <c r="DAF22" s="71"/>
      <c r="DAG22" s="71"/>
      <c r="DAH22" s="71"/>
      <c r="DAI22" s="71"/>
      <c r="DAJ22" s="71"/>
      <c r="DAK22" s="71"/>
      <c r="DAL22" s="71"/>
      <c r="DAM22" s="71"/>
      <c r="DAN22" s="71"/>
      <c r="DAO22" s="71"/>
      <c r="DAP22" s="71"/>
      <c r="DAQ22" s="71"/>
      <c r="DAR22" s="71"/>
      <c r="DAS22" s="71"/>
      <c r="DAT22" s="71"/>
      <c r="DAU22" s="71"/>
      <c r="DAV22" s="71"/>
      <c r="DAW22" s="71"/>
      <c r="DAX22" s="71"/>
      <c r="DAY22" s="71"/>
      <c r="DAZ22" s="71"/>
      <c r="DBA22" s="71"/>
      <c r="DBB22" s="71"/>
      <c r="DBC22" s="71"/>
      <c r="DBD22" s="71"/>
      <c r="DBE22" s="71"/>
      <c r="DBF22" s="71"/>
      <c r="DBG22" s="71"/>
      <c r="DBH22" s="71"/>
      <c r="DBI22" s="71"/>
      <c r="DBJ22" s="71"/>
      <c r="DBK22" s="71"/>
      <c r="DBL22" s="71"/>
      <c r="DBM22" s="71"/>
      <c r="DBN22" s="71"/>
      <c r="DBO22" s="71"/>
      <c r="DBP22" s="71"/>
      <c r="DBQ22" s="71"/>
      <c r="DBR22" s="71"/>
      <c r="DBS22" s="71"/>
      <c r="DBT22" s="71"/>
      <c r="DBU22" s="71"/>
      <c r="DBV22" s="71"/>
      <c r="DBW22" s="71"/>
      <c r="DBX22" s="71"/>
      <c r="DBY22" s="71"/>
      <c r="DBZ22" s="71"/>
      <c r="DCA22" s="71"/>
      <c r="DCB22" s="71"/>
      <c r="DCC22" s="71"/>
      <c r="DCD22" s="71"/>
      <c r="DCE22" s="71"/>
      <c r="DCF22" s="71"/>
      <c r="DCG22" s="71"/>
      <c r="DCH22" s="71"/>
      <c r="DCI22" s="71"/>
      <c r="DCJ22" s="71"/>
      <c r="DCK22" s="71"/>
      <c r="DCL22" s="71"/>
      <c r="DCM22" s="71"/>
      <c r="DCN22" s="71"/>
      <c r="DCO22" s="71"/>
      <c r="DCP22" s="71"/>
      <c r="DCQ22" s="71"/>
      <c r="DCR22" s="71"/>
      <c r="DCS22" s="71"/>
      <c r="DCT22" s="71"/>
      <c r="DCU22" s="71"/>
      <c r="DCV22" s="71"/>
      <c r="DCW22" s="71"/>
      <c r="DCX22" s="71"/>
      <c r="DCY22" s="71"/>
      <c r="DCZ22" s="71"/>
      <c r="DDA22" s="71"/>
      <c r="DDB22" s="71"/>
      <c r="DDC22" s="71"/>
      <c r="DDD22" s="71"/>
      <c r="DDE22" s="71"/>
      <c r="DDF22" s="71"/>
      <c r="DDG22" s="71"/>
      <c r="DDH22" s="71"/>
      <c r="DDI22" s="71"/>
      <c r="DDJ22" s="71"/>
      <c r="DDK22" s="71"/>
      <c r="DDL22" s="71"/>
      <c r="DDM22" s="71"/>
      <c r="DDN22" s="71"/>
      <c r="DDO22" s="71"/>
      <c r="DDP22" s="71"/>
      <c r="DDQ22" s="71"/>
      <c r="DDR22" s="71"/>
      <c r="DDS22" s="71"/>
      <c r="DDT22" s="71"/>
      <c r="DDU22" s="71"/>
      <c r="DDV22" s="71"/>
      <c r="DDW22" s="71"/>
      <c r="DDX22" s="71"/>
      <c r="DDY22" s="71"/>
      <c r="DDZ22" s="71"/>
      <c r="DEA22" s="71"/>
      <c r="DEB22" s="71"/>
      <c r="DEC22" s="71"/>
      <c r="DED22" s="71"/>
      <c r="DEE22" s="71"/>
      <c r="DEF22" s="71"/>
      <c r="DEG22" s="71"/>
      <c r="DEH22" s="71"/>
      <c r="DEI22" s="71"/>
      <c r="DEJ22" s="71"/>
      <c r="DEK22" s="71"/>
      <c r="DEL22" s="71"/>
      <c r="DEM22" s="71"/>
      <c r="DEN22" s="71"/>
      <c r="DEO22" s="71"/>
      <c r="DEP22" s="71"/>
      <c r="DEQ22" s="71"/>
      <c r="DER22" s="71"/>
      <c r="DES22" s="71"/>
      <c r="DET22" s="71"/>
      <c r="DEU22" s="71"/>
      <c r="DEV22" s="71"/>
      <c r="DEW22" s="71"/>
      <c r="DEX22" s="71"/>
      <c r="DEY22" s="71"/>
      <c r="DEZ22" s="71"/>
      <c r="DFA22" s="71"/>
      <c r="DFB22" s="71"/>
      <c r="DFC22" s="71"/>
      <c r="DFD22" s="71"/>
      <c r="DFE22" s="71"/>
      <c r="DFF22" s="71"/>
      <c r="DFG22" s="71"/>
      <c r="DFH22" s="71"/>
      <c r="DFI22" s="71"/>
      <c r="DFJ22" s="71"/>
      <c r="DFK22" s="71"/>
      <c r="DFL22" s="71"/>
      <c r="DFM22" s="71"/>
      <c r="DFN22" s="71"/>
      <c r="DFO22" s="71"/>
      <c r="DFP22" s="71"/>
      <c r="DFQ22" s="71"/>
      <c r="DFR22" s="71"/>
      <c r="DFS22" s="71"/>
      <c r="DFT22" s="71"/>
      <c r="DFU22" s="71"/>
      <c r="DFV22" s="71"/>
      <c r="DFW22" s="71"/>
      <c r="DFX22" s="71"/>
      <c r="DFY22" s="71"/>
      <c r="DFZ22" s="71"/>
      <c r="DGA22" s="71"/>
      <c r="DGB22" s="71"/>
      <c r="DGC22" s="71"/>
      <c r="DGD22" s="71"/>
      <c r="DGE22" s="71"/>
      <c r="DGF22" s="71"/>
      <c r="DGG22" s="71"/>
      <c r="DGH22" s="71"/>
      <c r="DGI22" s="71"/>
      <c r="DGJ22" s="71"/>
      <c r="DGK22" s="71"/>
      <c r="DGL22" s="71"/>
      <c r="DGM22" s="71"/>
      <c r="DGN22" s="71"/>
      <c r="DGO22" s="71"/>
      <c r="DGP22" s="71"/>
      <c r="DGQ22" s="71"/>
      <c r="DGR22" s="71"/>
      <c r="DGS22" s="71"/>
      <c r="DGT22" s="71"/>
      <c r="DGU22" s="71"/>
      <c r="DGV22" s="71"/>
      <c r="DGW22" s="71"/>
      <c r="DGX22" s="71"/>
      <c r="DGY22" s="71"/>
      <c r="DGZ22" s="71"/>
      <c r="DHA22" s="71"/>
      <c r="DHB22" s="71"/>
      <c r="DHC22" s="71"/>
      <c r="DHD22" s="71"/>
      <c r="DHE22" s="71"/>
      <c r="DHF22" s="71"/>
      <c r="DHG22" s="71"/>
      <c r="DHH22" s="71"/>
      <c r="DHI22" s="71"/>
      <c r="DHJ22" s="71"/>
      <c r="DHK22" s="71"/>
      <c r="DHL22" s="71"/>
      <c r="DHM22" s="71"/>
      <c r="DHN22" s="71"/>
      <c r="DHO22" s="71"/>
      <c r="DHP22" s="71"/>
      <c r="DHQ22" s="71"/>
      <c r="DHR22" s="71"/>
      <c r="DHS22" s="71"/>
      <c r="DHT22" s="71"/>
      <c r="DHU22" s="71"/>
      <c r="DHV22" s="71"/>
      <c r="DHW22" s="71"/>
      <c r="DHX22" s="71"/>
      <c r="DHY22" s="71"/>
      <c r="DHZ22" s="71"/>
      <c r="DIA22" s="71"/>
      <c r="DIB22" s="71"/>
      <c r="DIC22" s="71"/>
      <c r="DID22" s="71"/>
      <c r="DIE22" s="71"/>
      <c r="DIF22" s="71"/>
      <c r="DIG22" s="71"/>
      <c r="DIH22" s="71"/>
      <c r="DII22" s="71"/>
      <c r="DIJ22" s="71"/>
      <c r="DIK22" s="71"/>
      <c r="DIL22" s="71"/>
      <c r="DIM22" s="71"/>
      <c r="DIN22" s="71"/>
      <c r="DIO22" s="71"/>
      <c r="DIP22" s="71"/>
      <c r="DIQ22" s="71"/>
      <c r="DIR22" s="71"/>
      <c r="DIS22" s="71"/>
      <c r="DIT22" s="71"/>
      <c r="DIU22" s="71"/>
      <c r="DIV22" s="71"/>
      <c r="DIW22" s="71"/>
      <c r="DIX22" s="71"/>
      <c r="DIY22" s="71"/>
      <c r="DIZ22" s="71"/>
      <c r="DJA22" s="71"/>
      <c r="DJB22" s="71"/>
      <c r="DJC22" s="71"/>
      <c r="DJD22" s="71"/>
      <c r="DJE22" s="71"/>
      <c r="DJF22" s="71"/>
      <c r="DJG22" s="71"/>
      <c r="DJH22" s="71"/>
      <c r="DJI22" s="71"/>
      <c r="DJJ22" s="71"/>
      <c r="DJK22" s="71"/>
      <c r="DJL22" s="71"/>
      <c r="DJM22" s="71"/>
      <c r="DJN22" s="71"/>
      <c r="DJO22" s="71"/>
      <c r="DJP22" s="71"/>
      <c r="DJQ22" s="71"/>
      <c r="DJR22" s="71"/>
      <c r="DJS22" s="71"/>
      <c r="DJT22" s="71"/>
      <c r="DJU22" s="71"/>
      <c r="DJV22" s="71"/>
      <c r="DJW22" s="71"/>
      <c r="DJX22" s="71"/>
      <c r="DJY22" s="71"/>
      <c r="DJZ22" s="71"/>
      <c r="DKA22" s="71"/>
      <c r="DKB22" s="71"/>
      <c r="DKC22" s="71"/>
      <c r="DKD22" s="71"/>
      <c r="DKE22" s="71"/>
      <c r="DKF22" s="71"/>
      <c r="DKG22" s="71"/>
      <c r="DKH22" s="71"/>
      <c r="DKI22" s="71"/>
      <c r="DKJ22" s="71"/>
      <c r="DKK22" s="71"/>
      <c r="DKL22" s="71"/>
      <c r="DKM22" s="71"/>
      <c r="DKN22" s="71"/>
      <c r="DKO22" s="71"/>
      <c r="DKP22" s="71"/>
      <c r="DKQ22" s="71"/>
      <c r="DKR22" s="71"/>
      <c r="DKS22" s="71"/>
      <c r="DKT22" s="71"/>
      <c r="DKU22" s="71"/>
      <c r="DKV22" s="71"/>
      <c r="DKW22" s="71"/>
      <c r="DKX22" s="71"/>
      <c r="DKY22" s="71"/>
      <c r="DKZ22" s="71"/>
      <c r="DLA22" s="71"/>
      <c r="DLB22" s="71"/>
      <c r="DLC22" s="71"/>
      <c r="DLD22" s="71"/>
      <c r="DLE22" s="71"/>
      <c r="DLF22" s="71"/>
      <c r="DLG22" s="71"/>
      <c r="DLH22" s="71"/>
      <c r="DLI22" s="71"/>
      <c r="DLJ22" s="71"/>
      <c r="DLK22" s="71"/>
      <c r="DLL22" s="71"/>
      <c r="DLM22" s="71"/>
      <c r="DLN22" s="71"/>
      <c r="DLO22" s="71"/>
      <c r="DLP22" s="71"/>
      <c r="DLQ22" s="71"/>
      <c r="DLR22" s="71"/>
      <c r="DLS22" s="71"/>
      <c r="DLT22" s="71"/>
      <c r="DLU22" s="71"/>
      <c r="DLV22" s="71"/>
      <c r="DLW22" s="71"/>
      <c r="DLX22" s="71"/>
      <c r="DLY22" s="71"/>
      <c r="DLZ22" s="71"/>
      <c r="DMA22" s="71"/>
      <c r="DMB22" s="71"/>
      <c r="DMC22" s="71"/>
      <c r="DMD22" s="71"/>
      <c r="DME22" s="71"/>
      <c r="DMF22" s="71"/>
      <c r="DMG22" s="71"/>
      <c r="DMH22" s="71"/>
      <c r="DMI22" s="71"/>
      <c r="DMJ22" s="71"/>
      <c r="DMK22" s="71"/>
      <c r="DML22" s="71"/>
      <c r="DMM22" s="71"/>
      <c r="DMN22" s="71"/>
      <c r="DMO22" s="71"/>
      <c r="DMP22" s="71"/>
      <c r="DMQ22" s="71"/>
      <c r="DMR22" s="71"/>
      <c r="DMS22" s="71"/>
      <c r="DMT22" s="71"/>
      <c r="DMU22" s="71"/>
      <c r="DMV22" s="71"/>
      <c r="DMW22" s="71"/>
      <c r="DMX22" s="71"/>
      <c r="DMY22" s="71"/>
      <c r="DMZ22" s="71"/>
      <c r="DNA22" s="71"/>
      <c r="DNB22" s="71"/>
      <c r="DNC22" s="71"/>
      <c r="DND22" s="71"/>
      <c r="DNE22" s="71"/>
      <c r="DNF22" s="71"/>
      <c r="DNG22" s="71"/>
      <c r="DNH22" s="71"/>
      <c r="DNI22" s="71"/>
      <c r="DNJ22" s="71"/>
      <c r="DNK22" s="71"/>
      <c r="DNL22" s="71"/>
      <c r="DNM22" s="71"/>
      <c r="DNN22" s="71"/>
      <c r="DNO22" s="71"/>
      <c r="DNP22" s="71"/>
      <c r="DNQ22" s="71"/>
      <c r="DNR22" s="71"/>
      <c r="DNS22" s="71"/>
      <c r="DNT22" s="71"/>
      <c r="DNU22" s="71"/>
      <c r="DNV22" s="71"/>
      <c r="DNW22" s="71"/>
      <c r="DNX22" s="71"/>
      <c r="DNY22" s="71"/>
      <c r="DNZ22" s="71"/>
      <c r="DOA22" s="71"/>
      <c r="DOB22" s="71"/>
      <c r="DOC22" s="71"/>
      <c r="DOD22" s="71"/>
      <c r="DOE22" s="71"/>
      <c r="DOF22" s="71"/>
      <c r="DOG22" s="71"/>
      <c r="DOH22" s="71"/>
      <c r="DOI22" s="71"/>
      <c r="DOJ22" s="71"/>
      <c r="DOK22" s="71"/>
      <c r="DOL22" s="71"/>
      <c r="DOM22" s="71"/>
      <c r="DON22" s="71"/>
      <c r="DOO22" s="71"/>
      <c r="DOP22" s="71"/>
      <c r="DOQ22" s="71"/>
      <c r="DOR22" s="71"/>
      <c r="DOS22" s="71"/>
      <c r="DOT22" s="71"/>
      <c r="DOU22" s="71"/>
      <c r="DOV22" s="71"/>
      <c r="DOW22" s="71"/>
      <c r="DOX22" s="71"/>
      <c r="DOY22" s="71"/>
      <c r="DOZ22" s="71"/>
      <c r="DPA22" s="71"/>
      <c r="DPB22" s="71"/>
      <c r="DPC22" s="71"/>
      <c r="DPD22" s="71"/>
      <c r="DPE22" s="71"/>
      <c r="DPF22" s="71"/>
      <c r="DPG22" s="71"/>
      <c r="DPH22" s="71"/>
      <c r="DPI22" s="71"/>
      <c r="DPJ22" s="71"/>
      <c r="DPK22" s="71"/>
      <c r="DPL22" s="71"/>
      <c r="DPM22" s="71"/>
      <c r="DPN22" s="71"/>
      <c r="DPO22" s="71"/>
      <c r="DPP22" s="71"/>
      <c r="DPQ22" s="71"/>
      <c r="DPR22" s="71"/>
      <c r="DPS22" s="71"/>
      <c r="DPT22" s="71"/>
      <c r="DPU22" s="71"/>
      <c r="DPV22" s="71"/>
      <c r="DPW22" s="71"/>
      <c r="DPX22" s="71"/>
      <c r="DPY22" s="71"/>
      <c r="DPZ22" s="71"/>
      <c r="DQA22" s="71"/>
      <c r="DQB22" s="71"/>
      <c r="DQC22" s="71"/>
      <c r="DQD22" s="71"/>
      <c r="DQE22" s="71"/>
      <c r="DQF22" s="71"/>
      <c r="DQG22" s="71"/>
      <c r="DQH22" s="71"/>
      <c r="DQI22" s="71"/>
      <c r="DQJ22" s="71"/>
      <c r="DQK22" s="71"/>
      <c r="DQL22" s="71"/>
      <c r="DQM22" s="71"/>
      <c r="DQN22" s="71"/>
      <c r="DQO22" s="71"/>
      <c r="DQP22" s="71"/>
      <c r="DQQ22" s="71"/>
      <c r="DQR22" s="71"/>
      <c r="DQS22" s="71"/>
      <c r="DQT22" s="71"/>
      <c r="DQU22" s="71"/>
      <c r="DQV22" s="71"/>
      <c r="DQW22" s="71"/>
      <c r="DQX22" s="71"/>
      <c r="DQY22" s="71"/>
      <c r="DQZ22" s="71"/>
      <c r="DRA22" s="71"/>
      <c r="DRB22" s="71"/>
      <c r="DRC22" s="71"/>
      <c r="DRD22" s="71"/>
      <c r="DRE22" s="71"/>
      <c r="DRF22" s="71"/>
      <c r="DRG22" s="71"/>
      <c r="DRH22" s="71"/>
      <c r="DRI22" s="71"/>
      <c r="DRJ22" s="71"/>
      <c r="DRK22" s="71"/>
      <c r="DRL22" s="71"/>
      <c r="DRM22" s="71"/>
      <c r="DRN22" s="71"/>
      <c r="DRO22" s="71"/>
      <c r="DRP22" s="71"/>
      <c r="DRQ22" s="71"/>
      <c r="DRR22" s="71"/>
      <c r="DRS22" s="71"/>
      <c r="DRT22" s="71"/>
      <c r="DRU22" s="71"/>
      <c r="DRV22" s="71"/>
      <c r="DRW22" s="71"/>
      <c r="DRX22" s="71"/>
      <c r="DRY22" s="71"/>
      <c r="DRZ22" s="71"/>
      <c r="DSA22" s="71"/>
      <c r="DSB22" s="71"/>
      <c r="DSC22" s="71"/>
      <c r="DSD22" s="71"/>
      <c r="DSE22" s="71"/>
      <c r="DSF22" s="71"/>
      <c r="DSG22" s="71"/>
      <c r="DSH22" s="71"/>
      <c r="DSI22" s="71"/>
      <c r="DSJ22" s="71"/>
      <c r="DSK22" s="71"/>
      <c r="DSL22" s="71"/>
      <c r="DSM22" s="71"/>
      <c r="DSN22" s="71"/>
      <c r="DSO22" s="71"/>
      <c r="DSP22" s="71"/>
      <c r="DSQ22" s="71"/>
      <c r="DSR22" s="71"/>
      <c r="DSS22" s="71"/>
      <c r="DST22" s="71"/>
      <c r="DSU22" s="71"/>
      <c r="DSV22" s="71"/>
      <c r="DSW22" s="71"/>
      <c r="DSX22" s="71"/>
      <c r="DSY22" s="71"/>
      <c r="DSZ22" s="71"/>
      <c r="DTA22" s="71"/>
      <c r="DTB22" s="71"/>
      <c r="DTC22" s="71"/>
      <c r="DTD22" s="71"/>
      <c r="DTE22" s="71"/>
      <c r="DTF22" s="71"/>
      <c r="DTG22" s="71"/>
      <c r="DTH22" s="71"/>
      <c r="DTI22" s="71"/>
      <c r="DTJ22" s="71"/>
      <c r="DTK22" s="71"/>
      <c r="DTL22" s="71"/>
      <c r="DTM22" s="71"/>
      <c r="DTN22" s="71"/>
      <c r="DTO22" s="71"/>
      <c r="DTP22" s="71"/>
      <c r="DTQ22" s="71"/>
      <c r="DTR22" s="71"/>
      <c r="DTS22" s="71"/>
      <c r="DTT22" s="71"/>
      <c r="DTU22" s="71"/>
      <c r="DTV22" s="71"/>
      <c r="DTW22" s="71"/>
      <c r="DTX22" s="71"/>
      <c r="DTY22" s="71"/>
      <c r="DTZ22" s="71"/>
      <c r="DUA22" s="71"/>
      <c r="DUB22" s="71"/>
      <c r="DUC22" s="71"/>
      <c r="DUD22" s="71"/>
      <c r="DUE22" s="71"/>
      <c r="DUF22" s="71"/>
      <c r="DUG22" s="71"/>
      <c r="DUH22" s="71"/>
      <c r="DUI22" s="71"/>
      <c r="DUJ22" s="71"/>
      <c r="DUK22" s="71"/>
      <c r="DUL22" s="71"/>
      <c r="DUM22" s="71"/>
      <c r="DUN22" s="71"/>
      <c r="DUO22" s="71"/>
      <c r="DUP22" s="71"/>
      <c r="DUQ22" s="71"/>
      <c r="DUR22" s="71"/>
      <c r="DUS22" s="71"/>
      <c r="DUT22" s="71"/>
      <c r="DUU22" s="71"/>
      <c r="DUV22" s="71"/>
      <c r="DUW22" s="71"/>
      <c r="DUX22" s="71"/>
      <c r="DUY22" s="71"/>
      <c r="DUZ22" s="71"/>
      <c r="DVA22" s="71"/>
      <c r="DVB22" s="71"/>
      <c r="DVC22" s="71"/>
      <c r="DVD22" s="71"/>
      <c r="DVE22" s="71"/>
      <c r="DVF22" s="71"/>
      <c r="DVG22" s="71"/>
      <c r="DVH22" s="71"/>
      <c r="DVI22" s="71"/>
      <c r="DVJ22" s="71"/>
      <c r="DVK22" s="71"/>
      <c r="DVL22" s="71"/>
      <c r="DVM22" s="71"/>
      <c r="DVN22" s="71"/>
      <c r="DVO22" s="71"/>
      <c r="DVP22" s="71"/>
      <c r="DVQ22" s="71"/>
      <c r="DVR22" s="71"/>
      <c r="DVS22" s="71"/>
      <c r="DVT22" s="71"/>
      <c r="DVU22" s="71"/>
      <c r="DVV22" s="71"/>
      <c r="DVW22" s="71"/>
      <c r="DVX22" s="71"/>
      <c r="DVY22" s="71"/>
      <c r="DVZ22" s="71"/>
      <c r="DWA22" s="71"/>
      <c r="DWB22" s="71"/>
      <c r="DWC22" s="71"/>
      <c r="DWD22" s="71"/>
      <c r="DWE22" s="71"/>
      <c r="DWF22" s="71"/>
      <c r="DWG22" s="71"/>
      <c r="DWH22" s="71"/>
      <c r="DWI22" s="71"/>
      <c r="DWJ22" s="71"/>
      <c r="DWK22" s="71"/>
      <c r="DWL22" s="71"/>
      <c r="DWM22" s="71"/>
      <c r="DWN22" s="71"/>
      <c r="DWO22" s="71"/>
      <c r="DWP22" s="71"/>
      <c r="DWQ22" s="71"/>
      <c r="DWR22" s="71"/>
      <c r="DWS22" s="71"/>
      <c r="DWT22" s="71"/>
      <c r="DWU22" s="71"/>
      <c r="DWV22" s="71"/>
      <c r="DWW22" s="71"/>
      <c r="DWX22" s="71"/>
      <c r="DWY22" s="71"/>
      <c r="DWZ22" s="71"/>
      <c r="DXA22" s="71"/>
      <c r="DXB22" s="71"/>
      <c r="DXC22" s="71"/>
      <c r="DXD22" s="71"/>
      <c r="DXE22" s="71"/>
      <c r="DXF22" s="71"/>
      <c r="DXG22" s="71"/>
      <c r="DXH22" s="71"/>
      <c r="DXI22" s="71"/>
      <c r="DXJ22" s="71"/>
      <c r="DXK22" s="71"/>
      <c r="DXL22" s="71"/>
      <c r="DXM22" s="71"/>
      <c r="DXN22" s="71"/>
      <c r="DXO22" s="71"/>
      <c r="DXP22" s="71"/>
      <c r="DXQ22" s="71"/>
      <c r="DXR22" s="71"/>
      <c r="DXS22" s="71"/>
      <c r="DXT22" s="71"/>
      <c r="DXU22" s="71"/>
      <c r="DXV22" s="71"/>
      <c r="DXW22" s="71"/>
      <c r="DXX22" s="71"/>
      <c r="DXY22" s="71"/>
      <c r="DXZ22" s="71"/>
      <c r="DYA22" s="71"/>
      <c r="DYB22" s="71"/>
      <c r="DYC22" s="71"/>
      <c r="DYD22" s="71"/>
      <c r="DYE22" s="71"/>
      <c r="DYF22" s="71"/>
      <c r="DYG22" s="71"/>
      <c r="DYH22" s="71"/>
      <c r="DYI22" s="71"/>
      <c r="DYJ22" s="71"/>
      <c r="DYK22" s="71"/>
      <c r="DYL22" s="71"/>
      <c r="DYM22" s="71"/>
      <c r="DYN22" s="71"/>
      <c r="DYO22" s="71"/>
      <c r="DYP22" s="71"/>
      <c r="DYQ22" s="71"/>
      <c r="DYR22" s="71"/>
      <c r="DYS22" s="71"/>
      <c r="DYT22" s="71"/>
      <c r="DYU22" s="71"/>
      <c r="DYV22" s="71"/>
      <c r="DYW22" s="71"/>
      <c r="DYX22" s="71"/>
      <c r="DYY22" s="71"/>
      <c r="DYZ22" s="71"/>
      <c r="DZA22" s="71"/>
      <c r="DZB22" s="71"/>
      <c r="DZC22" s="71"/>
      <c r="DZD22" s="71"/>
      <c r="DZE22" s="71"/>
      <c r="DZF22" s="71"/>
      <c r="DZG22" s="71"/>
      <c r="DZH22" s="71"/>
      <c r="DZI22" s="71"/>
      <c r="DZJ22" s="71"/>
      <c r="DZK22" s="71"/>
      <c r="DZL22" s="71"/>
      <c r="DZM22" s="71"/>
      <c r="DZN22" s="71"/>
      <c r="DZO22" s="71"/>
      <c r="DZP22" s="71"/>
      <c r="DZQ22" s="71"/>
      <c r="DZR22" s="71"/>
      <c r="DZS22" s="71"/>
      <c r="DZT22" s="71"/>
      <c r="DZU22" s="71"/>
      <c r="DZV22" s="71"/>
      <c r="DZW22" s="71"/>
      <c r="DZX22" s="71"/>
      <c r="DZY22" s="71"/>
      <c r="DZZ22" s="71"/>
      <c r="EAA22" s="71"/>
      <c r="EAB22" s="71"/>
      <c r="EAC22" s="71"/>
      <c r="EAD22" s="71"/>
      <c r="EAE22" s="71"/>
      <c r="EAF22" s="71"/>
      <c r="EAG22" s="71"/>
      <c r="EAH22" s="71"/>
      <c r="EAI22" s="71"/>
      <c r="EAJ22" s="71"/>
      <c r="EAK22" s="71"/>
      <c r="EAL22" s="71"/>
      <c r="EAM22" s="71"/>
      <c r="EAN22" s="71"/>
      <c r="EAO22" s="71"/>
      <c r="EAP22" s="71"/>
      <c r="EAQ22" s="71"/>
      <c r="EAR22" s="71"/>
      <c r="EAS22" s="71"/>
      <c r="EAT22" s="71"/>
      <c r="EAU22" s="71"/>
      <c r="EAV22" s="71"/>
      <c r="EAW22" s="71"/>
      <c r="EAX22" s="71"/>
      <c r="EAY22" s="71"/>
      <c r="EAZ22" s="71"/>
      <c r="EBA22" s="71"/>
      <c r="EBB22" s="71"/>
      <c r="EBC22" s="71"/>
      <c r="EBD22" s="71"/>
      <c r="EBE22" s="71"/>
      <c r="EBF22" s="71"/>
      <c r="EBG22" s="71"/>
      <c r="EBH22" s="71"/>
      <c r="EBI22" s="71"/>
      <c r="EBJ22" s="71"/>
      <c r="EBK22" s="71"/>
      <c r="EBL22" s="71"/>
      <c r="EBM22" s="71"/>
      <c r="EBN22" s="71"/>
      <c r="EBO22" s="71"/>
      <c r="EBP22" s="71"/>
      <c r="EBQ22" s="71"/>
      <c r="EBR22" s="71"/>
      <c r="EBS22" s="71"/>
      <c r="EBT22" s="71"/>
      <c r="EBU22" s="71"/>
      <c r="EBV22" s="71"/>
      <c r="EBW22" s="71"/>
      <c r="EBX22" s="71"/>
      <c r="EBY22" s="71"/>
      <c r="EBZ22" s="71"/>
      <c r="ECA22" s="71"/>
      <c r="ECB22" s="71"/>
      <c r="ECC22" s="71"/>
      <c r="ECD22" s="71"/>
      <c r="ECE22" s="71"/>
      <c r="ECF22" s="71"/>
      <c r="ECG22" s="71"/>
      <c r="ECH22" s="71"/>
      <c r="ECI22" s="71"/>
      <c r="ECJ22" s="71"/>
      <c r="ECK22" s="71"/>
      <c r="ECL22" s="71"/>
      <c r="ECM22" s="71"/>
      <c r="ECN22" s="71"/>
      <c r="ECO22" s="71"/>
      <c r="ECP22" s="71"/>
      <c r="ECQ22" s="71"/>
      <c r="ECR22" s="71"/>
      <c r="ECS22" s="71"/>
      <c r="ECT22" s="71"/>
      <c r="ECU22" s="71"/>
      <c r="ECV22" s="71"/>
      <c r="ECW22" s="71"/>
      <c r="ECX22" s="71"/>
      <c r="ECY22" s="71"/>
      <c r="ECZ22" s="71"/>
      <c r="EDA22" s="71"/>
      <c r="EDB22" s="71"/>
      <c r="EDC22" s="71"/>
      <c r="EDD22" s="71"/>
      <c r="EDE22" s="71"/>
      <c r="EDF22" s="71"/>
      <c r="EDG22" s="71"/>
      <c r="EDH22" s="71"/>
      <c r="EDI22" s="71"/>
      <c r="EDJ22" s="71"/>
      <c r="EDK22" s="71"/>
      <c r="EDL22" s="71"/>
      <c r="EDM22" s="71"/>
      <c r="EDN22" s="71"/>
      <c r="EDO22" s="71"/>
      <c r="EDP22" s="71"/>
      <c r="EDQ22" s="71"/>
      <c r="EDR22" s="71"/>
      <c r="EDS22" s="71"/>
      <c r="EDT22" s="71"/>
      <c r="EDU22" s="71"/>
      <c r="EDV22" s="71"/>
      <c r="EDW22" s="71"/>
      <c r="EDX22" s="71"/>
      <c r="EDY22" s="71"/>
      <c r="EDZ22" s="71"/>
      <c r="EEA22" s="71"/>
      <c r="EEB22" s="71"/>
      <c r="EEC22" s="71"/>
      <c r="EED22" s="71"/>
      <c r="EEE22" s="71"/>
      <c r="EEF22" s="71"/>
      <c r="EEG22" s="71"/>
      <c r="EEH22" s="71"/>
      <c r="EEI22" s="71"/>
      <c r="EEJ22" s="71"/>
      <c r="EEK22" s="71"/>
      <c r="EEL22" s="71"/>
      <c r="EEM22" s="71"/>
      <c r="EEN22" s="71"/>
      <c r="EEO22" s="71"/>
      <c r="EEP22" s="71"/>
      <c r="EEQ22" s="71"/>
      <c r="EER22" s="71"/>
      <c r="EES22" s="71"/>
      <c r="EET22" s="71"/>
      <c r="EEU22" s="71"/>
      <c r="EEV22" s="71"/>
      <c r="EEW22" s="71"/>
      <c r="EEX22" s="71"/>
      <c r="EEY22" s="71"/>
      <c r="EEZ22" s="71"/>
      <c r="EFA22" s="71"/>
      <c r="EFB22" s="71"/>
      <c r="EFC22" s="71"/>
      <c r="EFD22" s="71"/>
      <c r="EFE22" s="71"/>
      <c r="EFF22" s="71"/>
      <c r="EFG22" s="71"/>
      <c r="EFH22" s="71"/>
      <c r="EFI22" s="71"/>
      <c r="EFJ22" s="71"/>
      <c r="EFK22" s="71"/>
      <c r="EFL22" s="71"/>
      <c r="EFM22" s="71"/>
      <c r="EFN22" s="71"/>
      <c r="EFO22" s="71"/>
      <c r="EFP22" s="71"/>
      <c r="EFQ22" s="71"/>
      <c r="EFR22" s="71"/>
      <c r="EFS22" s="71"/>
      <c r="EFT22" s="71"/>
      <c r="EFU22" s="71"/>
      <c r="EFV22" s="71"/>
      <c r="EFW22" s="71"/>
      <c r="EFX22" s="71"/>
      <c r="EFY22" s="71"/>
      <c r="EFZ22" s="71"/>
      <c r="EGA22" s="71"/>
      <c r="EGB22" s="71"/>
      <c r="EGC22" s="71"/>
      <c r="EGD22" s="71"/>
      <c r="EGE22" s="71"/>
      <c r="EGF22" s="71"/>
      <c r="EGG22" s="71"/>
      <c r="EGH22" s="71"/>
      <c r="EGI22" s="71"/>
      <c r="EGJ22" s="71"/>
      <c r="EGK22" s="71"/>
      <c r="EGL22" s="71"/>
      <c r="EGM22" s="71"/>
      <c r="EGN22" s="71"/>
      <c r="EGO22" s="71"/>
      <c r="EGP22" s="71"/>
      <c r="EGQ22" s="71"/>
      <c r="EGR22" s="71"/>
      <c r="EGS22" s="71"/>
      <c r="EGT22" s="71"/>
      <c r="EGU22" s="71"/>
      <c r="EGV22" s="71"/>
      <c r="EGW22" s="71"/>
      <c r="EGX22" s="71"/>
      <c r="EGY22" s="71"/>
      <c r="EGZ22" s="71"/>
      <c r="EHA22" s="71"/>
      <c r="EHB22" s="71"/>
      <c r="EHC22" s="71"/>
      <c r="EHD22" s="71"/>
      <c r="EHE22" s="71"/>
      <c r="EHF22" s="71"/>
      <c r="EHG22" s="71"/>
      <c r="EHH22" s="71"/>
      <c r="EHI22" s="71"/>
      <c r="EHJ22" s="71"/>
      <c r="EHK22" s="71"/>
      <c r="EHL22" s="71"/>
      <c r="EHM22" s="71"/>
      <c r="EHN22" s="71"/>
      <c r="EHO22" s="71"/>
      <c r="EHP22" s="71"/>
      <c r="EHQ22" s="71"/>
      <c r="EHR22" s="71"/>
      <c r="EHS22" s="71"/>
      <c r="EHT22" s="71"/>
      <c r="EHU22" s="71"/>
      <c r="EHV22" s="71"/>
      <c r="EHW22" s="71"/>
      <c r="EHX22" s="71"/>
      <c r="EHY22" s="71"/>
      <c r="EHZ22" s="71"/>
      <c r="EIA22" s="71"/>
      <c r="EIB22" s="71"/>
      <c r="EIC22" s="71"/>
      <c r="EID22" s="71"/>
      <c r="EIE22" s="71"/>
      <c r="EIF22" s="71"/>
      <c r="EIG22" s="71"/>
      <c r="EIH22" s="71"/>
      <c r="EII22" s="71"/>
      <c r="EIJ22" s="71"/>
      <c r="EIK22" s="71"/>
      <c r="EIL22" s="71"/>
      <c r="EIM22" s="71"/>
      <c r="EIN22" s="71"/>
      <c r="EIO22" s="71"/>
      <c r="EIP22" s="71"/>
      <c r="EIQ22" s="71"/>
      <c r="EIR22" s="71"/>
      <c r="EIS22" s="71"/>
      <c r="EIT22" s="71"/>
      <c r="EIU22" s="71"/>
      <c r="EIV22" s="71"/>
      <c r="EIW22" s="71"/>
      <c r="EIX22" s="71"/>
      <c r="EIY22" s="71"/>
      <c r="EIZ22" s="71"/>
      <c r="EJA22" s="71"/>
      <c r="EJB22" s="71"/>
      <c r="EJC22" s="71"/>
      <c r="EJD22" s="71"/>
      <c r="EJE22" s="71"/>
      <c r="EJF22" s="71"/>
      <c r="EJG22" s="71"/>
      <c r="EJH22" s="71"/>
      <c r="EJI22" s="71"/>
      <c r="EJJ22" s="71"/>
      <c r="EJK22" s="71"/>
      <c r="EJL22" s="71"/>
      <c r="EJM22" s="71"/>
      <c r="EJN22" s="71"/>
      <c r="EJO22" s="71"/>
      <c r="EJP22" s="71"/>
      <c r="EJQ22" s="71"/>
      <c r="EJR22" s="71"/>
      <c r="EJS22" s="71"/>
      <c r="EJT22" s="71"/>
      <c r="EJU22" s="71"/>
      <c r="EJV22" s="71"/>
      <c r="EJW22" s="71"/>
      <c r="EJX22" s="71"/>
      <c r="EJY22" s="71"/>
      <c r="EJZ22" s="71"/>
      <c r="EKA22" s="71"/>
      <c r="EKB22" s="71"/>
      <c r="EKC22" s="71"/>
      <c r="EKD22" s="71"/>
      <c r="EKE22" s="71"/>
      <c r="EKF22" s="71"/>
      <c r="EKG22" s="71"/>
      <c r="EKH22" s="71"/>
      <c r="EKI22" s="71"/>
      <c r="EKJ22" s="71"/>
      <c r="EKK22" s="71"/>
      <c r="EKL22" s="71"/>
      <c r="EKM22" s="71"/>
      <c r="EKN22" s="71"/>
      <c r="EKO22" s="71"/>
      <c r="EKP22" s="71"/>
      <c r="EKQ22" s="71"/>
      <c r="EKR22" s="71"/>
      <c r="EKS22" s="71"/>
      <c r="EKT22" s="71"/>
      <c r="EKU22" s="71"/>
      <c r="EKV22" s="71"/>
      <c r="EKW22" s="71"/>
      <c r="EKX22" s="71"/>
      <c r="EKY22" s="71"/>
      <c r="EKZ22" s="71"/>
      <c r="ELA22" s="71"/>
      <c r="ELB22" s="71"/>
      <c r="ELC22" s="71"/>
      <c r="ELD22" s="71"/>
      <c r="ELE22" s="71"/>
      <c r="ELF22" s="71"/>
      <c r="ELG22" s="71"/>
      <c r="ELH22" s="71"/>
      <c r="ELI22" s="71"/>
      <c r="ELJ22" s="71"/>
      <c r="ELK22" s="71"/>
      <c r="ELL22" s="71"/>
      <c r="ELM22" s="71"/>
      <c r="ELN22" s="71"/>
      <c r="ELO22" s="71"/>
      <c r="ELP22" s="71"/>
      <c r="ELQ22" s="71"/>
      <c r="ELR22" s="71"/>
      <c r="ELS22" s="71"/>
      <c r="ELT22" s="71"/>
      <c r="ELU22" s="71"/>
      <c r="ELV22" s="71"/>
      <c r="ELW22" s="71"/>
      <c r="ELX22" s="71"/>
      <c r="ELY22" s="71"/>
      <c r="ELZ22" s="71"/>
      <c r="EMA22" s="71"/>
      <c r="EMB22" s="71"/>
      <c r="EMC22" s="71"/>
      <c r="EMD22" s="71"/>
      <c r="EME22" s="71"/>
      <c r="EMF22" s="71"/>
      <c r="EMG22" s="71"/>
      <c r="EMH22" s="71"/>
      <c r="EMI22" s="71"/>
      <c r="EMJ22" s="71"/>
      <c r="EMK22" s="71"/>
      <c r="EML22" s="71"/>
      <c r="EMM22" s="71"/>
      <c r="EMN22" s="71"/>
      <c r="EMO22" s="71"/>
      <c r="EMP22" s="71"/>
      <c r="EMQ22" s="71"/>
      <c r="EMR22" s="71"/>
      <c r="EMS22" s="71"/>
      <c r="EMT22" s="71"/>
      <c r="EMU22" s="71"/>
      <c r="EMV22" s="71"/>
      <c r="EMW22" s="71"/>
      <c r="EMX22" s="71"/>
      <c r="EMY22" s="71"/>
      <c r="EMZ22" s="71"/>
      <c r="ENA22" s="71"/>
      <c r="ENB22" s="71"/>
      <c r="ENC22" s="71"/>
      <c r="END22" s="71"/>
      <c r="ENE22" s="71"/>
      <c r="ENF22" s="71"/>
      <c r="ENG22" s="71"/>
      <c r="ENH22" s="71"/>
      <c r="ENI22" s="71"/>
      <c r="ENJ22" s="71"/>
      <c r="ENK22" s="71"/>
      <c r="ENL22" s="71"/>
      <c r="ENM22" s="71"/>
      <c r="ENN22" s="71"/>
      <c r="ENO22" s="71"/>
      <c r="ENP22" s="71"/>
      <c r="ENQ22" s="71"/>
      <c r="ENR22" s="71"/>
      <c r="ENS22" s="71"/>
      <c r="ENT22" s="71"/>
      <c r="ENU22" s="71"/>
      <c r="ENV22" s="71"/>
      <c r="ENW22" s="71"/>
      <c r="ENX22" s="71"/>
      <c r="ENY22" s="71"/>
      <c r="ENZ22" s="71"/>
      <c r="EOA22" s="71"/>
      <c r="EOB22" s="71"/>
      <c r="EOC22" s="71"/>
      <c r="EOD22" s="71"/>
      <c r="EOE22" s="71"/>
      <c r="EOF22" s="71"/>
      <c r="EOG22" s="71"/>
      <c r="EOH22" s="71"/>
      <c r="EOI22" s="71"/>
      <c r="EOJ22" s="71"/>
      <c r="EOK22" s="71"/>
      <c r="EOL22" s="71"/>
      <c r="EOM22" s="71"/>
      <c r="EON22" s="71"/>
      <c r="EOO22" s="71"/>
      <c r="EOP22" s="71"/>
      <c r="EOQ22" s="71"/>
      <c r="EOR22" s="71"/>
      <c r="EOS22" s="71"/>
      <c r="EOT22" s="71"/>
      <c r="EOU22" s="71"/>
      <c r="EOV22" s="71"/>
      <c r="EOW22" s="71"/>
      <c r="EOX22" s="71"/>
      <c r="EOY22" s="71"/>
      <c r="EOZ22" s="71"/>
      <c r="EPA22" s="71"/>
      <c r="EPB22" s="71"/>
      <c r="EPC22" s="71"/>
      <c r="EPD22" s="71"/>
      <c r="EPE22" s="71"/>
      <c r="EPF22" s="71"/>
      <c r="EPG22" s="71"/>
      <c r="EPH22" s="71"/>
      <c r="EPI22" s="71"/>
      <c r="EPJ22" s="71"/>
      <c r="EPK22" s="71"/>
      <c r="EPL22" s="71"/>
      <c r="EPM22" s="71"/>
      <c r="EPN22" s="71"/>
      <c r="EPO22" s="71"/>
      <c r="EPP22" s="71"/>
      <c r="EPQ22" s="71"/>
      <c r="EPR22" s="71"/>
      <c r="EPS22" s="71"/>
      <c r="EPT22" s="71"/>
      <c r="EPU22" s="71"/>
      <c r="EPV22" s="71"/>
      <c r="EPW22" s="71"/>
      <c r="EPX22" s="71"/>
      <c r="EPY22" s="71"/>
      <c r="EPZ22" s="71"/>
      <c r="EQA22" s="71"/>
      <c r="EQB22" s="71"/>
      <c r="EQC22" s="71"/>
      <c r="EQD22" s="71"/>
      <c r="EQE22" s="71"/>
      <c r="EQF22" s="71"/>
      <c r="EQG22" s="71"/>
      <c r="EQH22" s="71"/>
      <c r="EQI22" s="71"/>
      <c r="EQJ22" s="71"/>
      <c r="EQK22" s="71"/>
      <c r="EQL22" s="71"/>
      <c r="EQM22" s="71"/>
      <c r="EQN22" s="71"/>
      <c r="EQO22" s="71"/>
      <c r="EQP22" s="71"/>
      <c r="EQQ22" s="71"/>
      <c r="EQR22" s="71"/>
      <c r="EQS22" s="71"/>
      <c r="EQT22" s="71"/>
      <c r="EQU22" s="71"/>
      <c r="EQV22" s="71"/>
      <c r="EQW22" s="71"/>
      <c r="EQX22" s="71"/>
      <c r="EQY22" s="71"/>
      <c r="EQZ22" s="71"/>
      <c r="ERA22" s="71"/>
      <c r="ERB22" s="71"/>
      <c r="ERC22" s="71"/>
      <c r="ERD22" s="71"/>
      <c r="ERE22" s="71"/>
      <c r="ERF22" s="71"/>
      <c r="ERG22" s="71"/>
      <c r="ERH22" s="71"/>
      <c r="ERI22" s="71"/>
      <c r="ERJ22" s="71"/>
      <c r="ERK22" s="71"/>
      <c r="ERL22" s="71"/>
      <c r="ERM22" s="71"/>
      <c r="ERN22" s="71"/>
      <c r="ERO22" s="71"/>
      <c r="ERP22" s="71"/>
      <c r="ERQ22" s="71"/>
      <c r="ERR22" s="71"/>
      <c r="ERS22" s="71"/>
      <c r="ERT22" s="71"/>
      <c r="ERU22" s="71"/>
      <c r="ERV22" s="71"/>
      <c r="ERW22" s="71"/>
      <c r="ERX22" s="71"/>
      <c r="ERY22" s="71"/>
      <c r="ERZ22" s="71"/>
      <c r="ESA22" s="71"/>
      <c r="ESB22" s="71"/>
      <c r="ESC22" s="71"/>
      <c r="ESD22" s="71"/>
      <c r="ESE22" s="71"/>
      <c r="ESF22" s="71"/>
      <c r="ESG22" s="71"/>
      <c r="ESH22" s="71"/>
      <c r="ESI22" s="71"/>
      <c r="ESJ22" s="71"/>
      <c r="ESK22" s="71"/>
      <c r="ESL22" s="71"/>
      <c r="ESM22" s="71"/>
      <c r="ESN22" s="71"/>
      <c r="ESO22" s="71"/>
      <c r="ESP22" s="71"/>
      <c r="ESQ22" s="71"/>
      <c r="ESR22" s="71"/>
      <c r="ESS22" s="71"/>
      <c r="EST22" s="71"/>
      <c r="ESU22" s="71"/>
      <c r="ESV22" s="71"/>
      <c r="ESW22" s="71"/>
      <c r="ESX22" s="71"/>
      <c r="ESY22" s="71"/>
      <c r="ESZ22" s="71"/>
      <c r="ETA22" s="71"/>
      <c r="ETB22" s="71"/>
      <c r="ETC22" s="71"/>
      <c r="ETD22" s="71"/>
      <c r="ETE22" s="71"/>
      <c r="ETF22" s="71"/>
      <c r="ETG22" s="71"/>
      <c r="ETH22" s="71"/>
      <c r="ETI22" s="71"/>
      <c r="ETJ22" s="71"/>
      <c r="ETK22" s="71"/>
      <c r="ETL22" s="71"/>
      <c r="ETM22" s="71"/>
      <c r="ETN22" s="71"/>
      <c r="ETO22" s="71"/>
      <c r="ETP22" s="71"/>
      <c r="ETQ22" s="71"/>
      <c r="ETR22" s="71"/>
      <c r="ETS22" s="71"/>
      <c r="ETT22" s="71"/>
      <c r="ETU22" s="71"/>
      <c r="ETV22" s="71"/>
      <c r="ETW22" s="71"/>
      <c r="ETX22" s="71"/>
      <c r="ETY22" s="71"/>
      <c r="ETZ22" s="71"/>
      <c r="EUA22" s="71"/>
      <c r="EUB22" s="71"/>
      <c r="EUC22" s="71"/>
      <c r="EUD22" s="71"/>
      <c r="EUE22" s="71"/>
      <c r="EUF22" s="71"/>
      <c r="EUG22" s="71"/>
      <c r="EUH22" s="71"/>
      <c r="EUI22" s="71"/>
      <c r="EUJ22" s="71"/>
      <c r="EUK22" s="71"/>
      <c r="EUL22" s="71"/>
      <c r="EUM22" s="71"/>
      <c r="EUN22" s="71"/>
      <c r="EUO22" s="71"/>
      <c r="EUP22" s="71"/>
      <c r="EUQ22" s="71"/>
      <c r="EUR22" s="71"/>
      <c r="EUS22" s="71"/>
      <c r="EUT22" s="71"/>
      <c r="EUU22" s="71"/>
      <c r="EUV22" s="71"/>
      <c r="EUW22" s="71"/>
      <c r="EUX22" s="71"/>
      <c r="EUY22" s="71"/>
      <c r="EUZ22" s="71"/>
      <c r="EVA22" s="71"/>
      <c r="EVB22" s="71"/>
      <c r="EVC22" s="71"/>
      <c r="EVD22" s="71"/>
      <c r="EVE22" s="71"/>
      <c r="EVF22" s="71"/>
      <c r="EVG22" s="71"/>
      <c r="EVH22" s="71"/>
      <c r="EVI22" s="71"/>
      <c r="EVJ22" s="71"/>
      <c r="EVK22" s="71"/>
      <c r="EVL22" s="71"/>
      <c r="EVM22" s="71"/>
      <c r="EVN22" s="71"/>
      <c r="EVO22" s="71"/>
      <c r="EVP22" s="71"/>
      <c r="EVQ22" s="71"/>
      <c r="EVR22" s="71"/>
      <c r="EVS22" s="71"/>
      <c r="EVT22" s="71"/>
      <c r="EVU22" s="71"/>
      <c r="EVV22" s="71"/>
      <c r="EVW22" s="71"/>
      <c r="EVX22" s="71"/>
      <c r="EVY22" s="71"/>
      <c r="EVZ22" s="71"/>
      <c r="EWA22" s="71"/>
      <c r="EWB22" s="71"/>
      <c r="EWC22" s="71"/>
      <c r="EWD22" s="71"/>
      <c r="EWE22" s="71"/>
      <c r="EWF22" s="71"/>
      <c r="EWG22" s="71"/>
      <c r="EWH22" s="71"/>
      <c r="EWI22" s="71"/>
      <c r="EWJ22" s="71"/>
      <c r="EWK22" s="71"/>
      <c r="EWL22" s="71"/>
      <c r="EWM22" s="71"/>
      <c r="EWN22" s="71"/>
      <c r="EWO22" s="71"/>
      <c r="EWP22" s="71"/>
      <c r="EWQ22" s="71"/>
      <c r="EWR22" s="71"/>
      <c r="EWS22" s="71"/>
      <c r="EWT22" s="71"/>
      <c r="EWU22" s="71"/>
      <c r="EWV22" s="71"/>
      <c r="EWW22" s="71"/>
      <c r="EWX22" s="71"/>
      <c r="EWY22" s="71"/>
      <c r="EWZ22" s="71"/>
      <c r="EXA22" s="71"/>
      <c r="EXB22" s="71"/>
      <c r="EXC22" s="71"/>
      <c r="EXD22" s="71"/>
      <c r="EXE22" s="71"/>
      <c r="EXF22" s="71"/>
      <c r="EXG22" s="71"/>
      <c r="EXH22" s="71"/>
      <c r="EXI22" s="71"/>
      <c r="EXJ22" s="71"/>
      <c r="EXK22" s="71"/>
      <c r="EXL22" s="71"/>
      <c r="EXM22" s="71"/>
      <c r="EXN22" s="71"/>
      <c r="EXO22" s="71"/>
      <c r="EXP22" s="71"/>
      <c r="EXQ22" s="71"/>
      <c r="EXR22" s="71"/>
      <c r="EXS22" s="71"/>
      <c r="EXT22" s="71"/>
      <c r="EXU22" s="71"/>
      <c r="EXV22" s="71"/>
      <c r="EXW22" s="71"/>
      <c r="EXX22" s="71"/>
      <c r="EXY22" s="71"/>
      <c r="EXZ22" s="71"/>
      <c r="EYA22" s="71"/>
      <c r="EYB22" s="71"/>
      <c r="EYC22" s="71"/>
      <c r="EYD22" s="71"/>
      <c r="EYE22" s="71"/>
      <c r="EYF22" s="71"/>
      <c r="EYG22" s="71"/>
      <c r="EYH22" s="71"/>
      <c r="EYI22" s="71"/>
      <c r="EYJ22" s="71"/>
      <c r="EYK22" s="71"/>
      <c r="EYL22" s="71"/>
      <c r="EYM22" s="71"/>
      <c r="EYN22" s="71"/>
      <c r="EYO22" s="71"/>
      <c r="EYP22" s="71"/>
      <c r="EYQ22" s="71"/>
      <c r="EYR22" s="71"/>
      <c r="EYS22" s="71"/>
      <c r="EYT22" s="71"/>
      <c r="EYU22" s="71"/>
      <c r="EYV22" s="71"/>
      <c r="EYW22" s="71"/>
      <c r="EYX22" s="71"/>
      <c r="EYY22" s="71"/>
      <c r="EYZ22" s="71"/>
      <c r="EZA22" s="71"/>
      <c r="EZB22" s="71"/>
      <c r="EZC22" s="71"/>
      <c r="EZD22" s="71"/>
      <c r="EZE22" s="71"/>
      <c r="EZF22" s="71"/>
      <c r="EZG22" s="71"/>
      <c r="EZH22" s="71"/>
      <c r="EZI22" s="71"/>
      <c r="EZJ22" s="71"/>
      <c r="EZK22" s="71"/>
      <c r="EZL22" s="71"/>
      <c r="EZM22" s="71"/>
      <c r="EZN22" s="71"/>
      <c r="EZO22" s="71"/>
      <c r="EZP22" s="71"/>
      <c r="EZQ22" s="71"/>
      <c r="EZR22" s="71"/>
      <c r="EZS22" s="71"/>
      <c r="EZT22" s="71"/>
      <c r="EZU22" s="71"/>
      <c r="EZV22" s="71"/>
      <c r="EZW22" s="71"/>
      <c r="EZX22" s="71"/>
      <c r="EZY22" s="71"/>
      <c r="EZZ22" s="71"/>
      <c r="FAA22" s="71"/>
      <c r="FAB22" s="71"/>
      <c r="FAC22" s="71"/>
      <c r="FAD22" s="71"/>
      <c r="FAE22" s="71"/>
      <c r="FAF22" s="71"/>
      <c r="FAG22" s="71"/>
      <c r="FAH22" s="71"/>
      <c r="FAI22" s="71"/>
      <c r="FAJ22" s="71"/>
      <c r="FAK22" s="71"/>
      <c r="FAL22" s="71"/>
      <c r="FAM22" s="71"/>
      <c r="FAN22" s="71"/>
      <c r="FAO22" s="71"/>
      <c r="FAP22" s="71"/>
      <c r="FAQ22" s="71"/>
      <c r="FAR22" s="71"/>
      <c r="FAS22" s="71"/>
      <c r="FAT22" s="71"/>
      <c r="FAU22" s="71"/>
      <c r="FAV22" s="71"/>
      <c r="FAW22" s="71"/>
      <c r="FAX22" s="71"/>
      <c r="FAY22" s="71"/>
      <c r="FAZ22" s="71"/>
      <c r="FBA22" s="71"/>
      <c r="FBB22" s="71"/>
      <c r="FBC22" s="71"/>
      <c r="FBD22" s="71"/>
      <c r="FBE22" s="71"/>
      <c r="FBF22" s="71"/>
      <c r="FBG22" s="71"/>
      <c r="FBH22" s="71"/>
      <c r="FBI22" s="71"/>
      <c r="FBJ22" s="71"/>
      <c r="FBK22" s="71"/>
      <c r="FBL22" s="71"/>
      <c r="FBM22" s="71"/>
      <c r="FBN22" s="71"/>
      <c r="FBO22" s="71"/>
      <c r="FBP22" s="71"/>
      <c r="FBQ22" s="71"/>
      <c r="FBR22" s="71"/>
      <c r="FBS22" s="71"/>
      <c r="FBT22" s="71"/>
      <c r="FBU22" s="71"/>
      <c r="FBV22" s="71"/>
      <c r="FBW22" s="71"/>
      <c r="FBX22" s="71"/>
      <c r="FBY22" s="71"/>
      <c r="FBZ22" s="71"/>
      <c r="FCA22" s="71"/>
      <c r="FCB22" s="71"/>
      <c r="FCC22" s="71"/>
      <c r="FCD22" s="71"/>
      <c r="FCE22" s="71"/>
      <c r="FCF22" s="71"/>
      <c r="FCG22" s="71"/>
      <c r="FCH22" s="71"/>
      <c r="FCI22" s="71"/>
      <c r="FCJ22" s="71"/>
      <c r="FCK22" s="71"/>
      <c r="FCL22" s="71"/>
      <c r="FCM22" s="71"/>
      <c r="FCN22" s="71"/>
      <c r="FCO22" s="71"/>
      <c r="FCP22" s="71"/>
      <c r="FCQ22" s="71"/>
      <c r="FCR22" s="71"/>
      <c r="FCS22" s="71"/>
      <c r="FCT22" s="71"/>
      <c r="FCU22" s="71"/>
      <c r="FCV22" s="71"/>
      <c r="FCW22" s="71"/>
      <c r="FCX22" s="71"/>
      <c r="FCY22" s="71"/>
      <c r="FCZ22" s="71"/>
      <c r="FDA22" s="71"/>
      <c r="FDB22" s="71"/>
      <c r="FDC22" s="71"/>
      <c r="FDD22" s="71"/>
      <c r="FDE22" s="71"/>
      <c r="FDF22" s="71"/>
      <c r="FDG22" s="71"/>
      <c r="FDH22" s="71"/>
      <c r="FDI22" s="71"/>
      <c r="FDJ22" s="71"/>
      <c r="FDK22" s="71"/>
      <c r="FDL22" s="71"/>
      <c r="FDM22" s="71"/>
      <c r="FDN22" s="71"/>
      <c r="FDO22" s="71"/>
      <c r="FDP22" s="71"/>
      <c r="FDQ22" s="71"/>
      <c r="FDR22" s="71"/>
      <c r="FDS22" s="71"/>
      <c r="FDT22" s="71"/>
      <c r="FDU22" s="71"/>
      <c r="FDV22" s="71"/>
      <c r="FDW22" s="71"/>
      <c r="FDX22" s="71"/>
      <c r="FDY22" s="71"/>
      <c r="FDZ22" s="71"/>
      <c r="FEA22" s="71"/>
      <c r="FEB22" s="71"/>
      <c r="FEC22" s="71"/>
      <c r="FED22" s="71"/>
      <c r="FEE22" s="71"/>
      <c r="FEF22" s="71"/>
      <c r="FEG22" s="71"/>
      <c r="FEH22" s="71"/>
      <c r="FEI22" s="71"/>
      <c r="FEJ22" s="71"/>
      <c r="FEK22" s="71"/>
      <c r="FEL22" s="71"/>
      <c r="FEM22" s="71"/>
      <c r="FEN22" s="71"/>
      <c r="FEO22" s="71"/>
      <c r="FEP22" s="71"/>
      <c r="FEQ22" s="71"/>
      <c r="FER22" s="71"/>
      <c r="FES22" s="71"/>
      <c r="FET22" s="71"/>
      <c r="FEU22" s="71"/>
      <c r="FEV22" s="71"/>
      <c r="FEW22" s="71"/>
      <c r="FEX22" s="71"/>
      <c r="FEY22" s="71"/>
      <c r="FEZ22" s="71"/>
      <c r="FFA22" s="71"/>
      <c r="FFB22" s="71"/>
      <c r="FFC22" s="71"/>
      <c r="FFD22" s="71"/>
      <c r="FFE22" s="71"/>
      <c r="FFF22" s="71"/>
      <c r="FFG22" s="71"/>
      <c r="FFH22" s="71"/>
      <c r="FFI22" s="71"/>
      <c r="FFJ22" s="71"/>
      <c r="FFK22" s="71"/>
      <c r="FFL22" s="71"/>
      <c r="FFM22" s="71"/>
      <c r="FFN22" s="71"/>
      <c r="FFO22" s="71"/>
      <c r="FFP22" s="71"/>
      <c r="FFQ22" s="71"/>
      <c r="FFR22" s="71"/>
      <c r="FFS22" s="71"/>
      <c r="FFT22" s="71"/>
      <c r="FFU22" s="71"/>
      <c r="FFV22" s="71"/>
      <c r="FFW22" s="71"/>
      <c r="FFX22" s="71"/>
      <c r="FFY22" s="71"/>
      <c r="FFZ22" s="71"/>
      <c r="FGA22" s="71"/>
      <c r="FGB22" s="71"/>
      <c r="FGC22" s="71"/>
      <c r="FGD22" s="71"/>
      <c r="FGE22" s="71"/>
      <c r="FGF22" s="71"/>
      <c r="FGG22" s="71"/>
      <c r="FGH22" s="71"/>
      <c r="FGI22" s="71"/>
      <c r="FGJ22" s="71"/>
      <c r="FGK22" s="71"/>
      <c r="FGL22" s="71"/>
      <c r="FGM22" s="71"/>
      <c r="FGN22" s="71"/>
      <c r="FGO22" s="71"/>
      <c r="FGP22" s="71"/>
      <c r="FGQ22" s="71"/>
      <c r="FGR22" s="71"/>
      <c r="FGS22" s="71"/>
      <c r="FGT22" s="71"/>
      <c r="FGU22" s="71"/>
      <c r="FGV22" s="71"/>
      <c r="FGW22" s="71"/>
      <c r="FGX22" s="71"/>
      <c r="FGY22" s="71"/>
      <c r="FGZ22" s="71"/>
      <c r="FHA22" s="71"/>
      <c r="FHB22" s="71"/>
      <c r="FHC22" s="71"/>
      <c r="FHD22" s="71"/>
      <c r="FHE22" s="71"/>
      <c r="FHF22" s="71"/>
      <c r="FHG22" s="71"/>
      <c r="FHH22" s="71"/>
      <c r="FHI22" s="71"/>
      <c r="FHJ22" s="71"/>
      <c r="FHK22" s="71"/>
      <c r="FHL22" s="71"/>
      <c r="FHM22" s="71"/>
      <c r="FHN22" s="71"/>
      <c r="FHO22" s="71"/>
      <c r="FHP22" s="71"/>
      <c r="FHQ22" s="71"/>
      <c r="FHR22" s="71"/>
      <c r="FHS22" s="71"/>
      <c r="FHT22" s="71"/>
      <c r="FHU22" s="71"/>
      <c r="FHV22" s="71"/>
      <c r="FHW22" s="71"/>
      <c r="FHX22" s="71"/>
      <c r="FHY22" s="71"/>
      <c r="FHZ22" s="71"/>
      <c r="FIA22" s="71"/>
      <c r="FIB22" s="71"/>
      <c r="FIC22" s="71"/>
      <c r="FID22" s="71"/>
      <c r="FIE22" s="71"/>
      <c r="FIF22" s="71"/>
      <c r="FIG22" s="71"/>
      <c r="FIH22" s="71"/>
      <c r="FII22" s="71"/>
      <c r="FIJ22" s="71"/>
      <c r="FIK22" s="71"/>
      <c r="FIL22" s="71"/>
      <c r="FIM22" s="71"/>
      <c r="FIN22" s="71"/>
      <c r="FIO22" s="71"/>
      <c r="FIP22" s="71"/>
      <c r="FIQ22" s="71"/>
      <c r="FIR22" s="71"/>
      <c r="FIS22" s="71"/>
      <c r="FIT22" s="71"/>
      <c r="FIU22" s="71"/>
      <c r="FIV22" s="71"/>
      <c r="FIW22" s="71"/>
      <c r="FIX22" s="71"/>
      <c r="FIY22" s="71"/>
      <c r="FIZ22" s="71"/>
      <c r="FJA22" s="71"/>
      <c r="FJB22" s="71"/>
      <c r="FJC22" s="71"/>
      <c r="FJD22" s="71"/>
      <c r="FJE22" s="71"/>
      <c r="FJF22" s="71"/>
      <c r="FJG22" s="71"/>
      <c r="FJH22" s="71"/>
      <c r="FJI22" s="71"/>
      <c r="FJJ22" s="71"/>
      <c r="FJK22" s="71"/>
      <c r="FJL22" s="71"/>
      <c r="FJM22" s="71"/>
      <c r="FJN22" s="71"/>
      <c r="FJO22" s="71"/>
      <c r="FJP22" s="71"/>
      <c r="FJQ22" s="71"/>
      <c r="FJR22" s="71"/>
      <c r="FJS22" s="71"/>
      <c r="FJT22" s="71"/>
      <c r="FJU22" s="71"/>
      <c r="FJV22" s="71"/>
      <c r="FJW22" s="71"/>
      <c r="FJX22" s="71"/>
      <c r="FJY22" s="71"/>
      <c r="FJZ22" s="71"/>
      <c r="FKA22" s="71"/>
      <c r="FKB22" s="71"/>
      <c r="FKC22" s="71"/>
      <c r="FKD22" s="71"/>
      <c r="FKE22" s="71"/>
      <c r="FKF22" s="71"/>
      <c r="FKG22" s="71"/>
      <c r="FKH22" s="71"/>
      <c r="FKI22" s="71"/>
      <c r="FKJ22" s="71"/>
      <c r="FKK22" s="71"/>
      <c r="FKL22" s="71"/>
      <c r="FKM22" s="71"/>
      <c r="FKN22" s="71"/>
      <c r="FKO22" s="71"/>
      <c r="FKP22" s="71"/>
      <c r="FKQ22" s="71"/>
      <c r="FKR22" s="71"/>
      <c r="FKS22" s="71"/>
      <c r="FKT22" s="71"/>
      <c r="FKU22" s="71"/>
      <c r="FKV22" s="71"/>
      <c r="FKW22" s="71"/>
      <c r="FKX22" s="71"/>
      <c r="FKY22" s="71"/>
      <c r="FKZ22" s="71"/>
      <c r="FLA22" s="71"/>
      <c r="FLB22" s="71"/>
      <c r="FLC22" s="71"/>
      <c r="FLD22" s="71"/>
      <c r="FLE22" s="71"/>
      <c r="FLF22" s="71"/>
      <c r="FLG22" s="71"/>
      <c r="FLH22" s="71"/>
      <c r="FLI22" s="71"/>
      <c r="FLJ22" s="71"/>
      <c r="FLK22" s="71"/>
      <c r="FLL22" s="71"/>
      <c r="FLM22" s="71"/>
      <c r="FLN22" s="71"/>
      <c r="FLO22" s="71"/>
      <c r="FLP22" s="71"/>
      <c r="FLQ22" s="71"/>
      <c r="FLR22" s="71"/>
      <c r="FLS22" s="71"/>
      <c r="FLT22" s="71"/>
      <c r="FLU22" s="71"/>
      <c r="FLV22" s="71"/>
      <c r="FLW22" s="71"/>
      <c r="FLX22" s="71"/>
      <c r="FLY22" s="71"/>
      <c r="FLZ22" s="71"/>
      <c r="FMA22" s="71"/>
      <c r="FMB22" s="71"/>
      <c r="FMC22" s="71"/>
      <c r="FMD22" s="71"/>
      <c r="FME22" s="71"/>
      <c r="FMF22" s="71"/>
      <c r="FMG22" s="71"/>
      <c r="FMH22" s="71"/>
      <c r="FMI22" s="71"/>
      <c r="FMJ22" s="71"/>
      <c r="FMK22" s="71"/>
      <c r="FML22" s="71"/>
      <c r="FMM22" s="71"/>
      <c r="FMN22" s="71"/>
      <c r="FMO22" s="71"/>
      <c r="FMP22" s="71"/>
      <c r="FMQ22" s="71"/>
      <c r="FMR22" s="71"/>
      <c r="FMS22" s="71"/>
      <c r="FMT22" s="71"/>
      <c r="FMU22" s="71"/>
      <c r="FMV22" s="71"/>
      <c r="FMW22" s="71"/>
      <c r="FMX22" s="71"/>
      <c r="FMY22" s="71"/>
      <c r="FMZ22" s="71"/>
      <c r="FNA22" s="71"/>
      <c r="FNB22" s="71"/>
      <c r="FNC22" s="71"/>
      <c r="FND22" s="71"/>
      <c r="FNE22" s="71"/>
      <c r="FNF22" s="71"/>
      <c r="FNG22" s="71"/>
      <c r="FNH22" s="71"/>
      <c r="FNI22" s="71"/>
      <c r="FNJ22" s="71"/>
      <c r="FNK22" s="71"/>
      <c r="FNL22" s="71"/>
      <c r="FNM22" s="71"/>
      <c r="FNN22" s="71"/>
      <c r="FNO22" s="71"/>
      <c r="FNP22" s="71"/>
      <c r="FNQ22" s="71"/>
      <c r="FNR22" s="71"/>
      <c r="FNS22" s="71"/>
      <c r="FNT22" s="71"/>
      <c r="FNU22" s="71"/>
      <c r="FNV22" s="71"/>
      <c r="FNW22" s="71"/>
      <c r="FNX22" s="71"/>
      <c r="FNY22" s="71"/>
      <c r="FNZ22" s="71"/>
      <c r="FOA22" s="71"/>
      <c r="FOB22" s="71"/>
      <c r="FOC22" s="71"/>
      <c r="FOD22" s="71"/>
      <c r="FOE22" s="71"/>
      <c r="FOF22" s="71"/>
      <c r="FOG22" s="71"/>
      <c r="FOH22" s="71"/>
      <c r="FOI22" s="71"/>
      <c r="FOJ22" s="71"/>
      <c r="FOK22" s="71"/>
      <c r="FOL22" s="71"/>
      <c r="FOM22" s="71"/>
      <c r="FON22" s="71"/>
      <c r="FOO22" s="71"/>
      <c r="FOP22" s="71"/>
      <c r="FOQ22" s="71"/>
      <c r="FOR22" s="71"/>
      <c r="FOS22" s="71"/>
      <c r="FOT22" s="71"/>
      <c r="FOU22" s="71"/>
      <c r="FOV22" s="71"/>
      <c r="FOW22" s="71"/>
      <c r="FOX22" s="71"/>
      <c r="FOY22" s="71"/>
      <c r="FOZ22" s="71"/>
      <c r="FPA22" s="71"/>
      <c r="FPB22" s="71"/>
      <c r="FPC22" s="71"/>
      <c r="FPD22" s="71"/>
      <c r="FPE22" s="71"/>
      <c r="FPF22" s="71"/>
      <c r="FPG22" s="71"/>
      <c r="FPH22" s="71"/>
      <c r="FPI22" s="71"/>
      <c r="FPJ22" s="71"/>
      <c r="FPK22" s="71"/>
      <c r="FPL22" s="71"/>
      <c r="FPM22" s="71"/>
      <c r="FPN22" s="71"/>
      <c r="FPO22" s="71"/>
      <c r="FPP22" s="71"/>
      <c r="FPQ22" s="71"/>
      <c r="FPR22" s="71"/>
      <c r="FPS22" s="71"/>
      <c r="FPT22" s="71"/>
      <c r="FPU22" s="71"/>
      <c r="FPV22" s="71"/>
      <c r="FPW22" s="71"/>
      <c r="FPX22" s="71"/>
      <c r="FPY22" s="71"/>
      <c r="FPZ22" s="71"/>
      <c r="FQA22" s="71"/>
      <c r="FQB22" s="71"/>
      <c r="FQC22" s="71"/>
      <c r="FQD22" s="71"/>
      <c r="FQE22" s="71"/>
      <c r="FQF22" s="71"/>
      <c r="FQG22" s="71"/>
      <c r="FQH22" s="71"/>
      <c r="FQI22" s="71"/>
      <c r="FQJ22" s="71"/>
      <c r="FQK22" s="71"/>
      <c r="FQL22" s="71"/>
      <c r="FQM22" s="71"/>
      <c r="FQN22" s="71"/>
      <c r="FQO22" s="71"/>
      <c r="FQP22" s="71"/>
      <c r="FQQ22" s="71"/>
      <c r="FQR22" s="71"/>
      <c r="FQS22" s="71"/>
      <c r="FQT22" s="71"/>
      <c r="FQU22" s="71"/>
      <c r="FQV22" s="71"/>
      <c r="FQW22" s="71"/>
      <c r="FQX22" s="71"/>
      <c r="FQY22" s="71"/>
      <c r="FQZ22" s="71"/>
      <c r="FRA22" s="71"/>
      <c r="FRB22" s="71"/>
      <c r="FRC22" s="71"/>
      <c r="FRD22" s="71"/>
      <c r="FRE22" s="71"/>
      <c r="FRF22" s="71"/>
      <c r="FRG22" s="71"/>
      <c r="FRH22" s="71"/>
      <c r="FRI22" s="71"/>
      <c r="FRJ22" s="71"/>
      <c r="FRK22" s="71"/>
      <c r="FRL22" s="71"/>
      <c r="FRM22" s="71"/>
      <c r="FRN22" s="71"/>
      <c r="FRO22" s="71"/>
      <c r="FRP22" s="71"/>
      <c r="FRQ22" s="71"/>
      <c r="FRR22" s="71"/>
      <c r="FRS22" s="71"/>
      <c r="FRT22" s="71"/>
      <c r="FRU22" s="71"/>
      <c r="FRV22" s="71"/>
      <c r="FRW22" s="71"/>
      <c r="FRX22" s="71"/>
      <c r="FRY22" s="71"/>
      <c r="FRZ22" s="71"/>
      <c r="FSA22" s="71"/>
      <c r="FSB22" s="71"/>
      <c r="FSC22" s="71"/>
      <c r="FSD22" s="71"/>
      <c r="FSE22" s="71"/>
      <c r="FSF22" s="71"/>
      <c r="FSG22" s="71"/>
      <c r="FSH22" s="71"/>
      <c r="FSI22" s="71"/>
      <c r="FSJ22" s="71"/>
      <c r="FSK22" s="71"/>
      <c r="FSL22" s="71"/>
      <c r="FSM22" s="71"/>
      <c r="FSN22" s="71"/>
      <c r="FSO22" s="71"/>
      <c r="FSP22" s="71"/>
      <c r="FSQ22" s="71"/>
      <c r="FSR22" s="71"/>
      <c r="FSS22" s="71"/>
      <c r="FST22" s="71"/>
      <c r="FSU22" s="71"/>
      <c r="FSV22" s="71"/>
      <c r="FSW22" s="71"/>
      <c r="FSX22" s="71"/>
      <c r="FSY22" s="71"/>
      <c r="FSZ22" s="71"/>
      <c r="FTA22" s="71"/>
      <c r="FTB22" s="71"/>
      <c r="FTC22" s="71"/>
      <c r="FTD22" s="71"/>
      <c r="FTE22" s="71"/>
      <c r="FTF22" s="71"/>
      <c r="FTG22" s="71"/>
      <c r="FTH22" s="71"/>
      <c r="FTI22" s="71"/>
      <c r="FTJ22" s="71"/>
      <c r="FTK22" s="71"/>
      <c r="FTL22" s="71"/>
      <c r="FTM22" s="71"/>
      <c r="FTN22" s="71"/>
      <c r="FTO22" s="71"/>
      <c r="FTP22" s="71"/>
      <c r="FTQ22" s="71"/>
      <c r="FTR22" s="71"/>
      <c r="FTS22" s="71"/>
      <c r="FTT22" s="71"/>
      <c r="FTU22" s="71"/>
      <c r="FTV22" s="71"/>
      <c r="FTW22" s="71"/>
      <c r="FTX22" s="71"/>
      <c r="FTY22" s="71"/>
      <c r="FTZ22" s="71"/>
      <c r="FUA22" s="71"/>
      <c r="FUB22" s="71"/>
      <c r="FUC22" s="71"/>
      <c r="FUD22" s="71"/>
      <c r="FUE22" s="71"/>
      <c r="FUF22" s="71"/>
      <c r="FUG22" s="71"/>
      <c r="FUH22" s="71"/>
      <c r="FUI22" s="71"/>
      <c r="FUJ22" s="71"/>
      <c r="FUK22" s="71"/>
      <c r="FUL22" s="71"/>
      <c r="FUM22" s="71"/>
      <c r="FUN22" s="71"/>
      <c r="FUO22" s="71"/>
      <c r="FUP22" s="71"/>
      <c r="FUQ22" s="71"/>
      <c r="FUR22" s="71"/>
      <c r="FUS22" s="71"/>
      <c r="FUT22" s="71"/>
      <c r="FUU22" s="71"/>
      <c r="FUV22" s="71"/>
      <c r="FUW22" s="71"/>
      <c r="FUX22" s="71"/>
      <c r="FUY22" s="71"/>
      <c r="FUZ22" s="71"/>
      <c r="FVA22" s="71"/>
      <c r="FVB22" s="71"/>
      <c r="FVC22" s="71"/>
      <c r="FVD22" s="71"/>
      <c r="FVE22" s="71"/>
      <c r="FVF22" s="71"/>
      <c r="FVG22" s="71"/>
      <c r="FVH22" s="71"/>
      <c r="FVI22" s="71"/>
      <c r="FVJ22" s="71"/>
      <c r="FVK22" s="71"/>
      <c r="FVL22" s="71"/>
      <c r="FVM22" s="71"/>
      <c r="FVN22" s="71"/>
      <c r="FVO22" s="71"/>
      <c r="FVP22" s="71"/>
      <c r="FVQ22" s="71"/>
      <c r="FVR22" s="71"/>
      <c r="FVS22" s="71"/>
      <c r="FVT22" s="71"/>
      <c r="FVU22" s="71"/>
      <c r="FVV22" s="71"/>
      <c r="FVW22" s="71"/>
      <c r="FVX22" s="71"/>
      <c r="FVY22" s="71"/>
      <c r="FVZ22" s="71"/>
      <c r="FWA22" s="71"/>
      <c r="FWB22" s="71"/>
      <c r="FWC22" s="71"/>
      <c r="FWD22" s="71"/>
      <c r="FWE22" s="71"/>
      <c r="FWF22" s="71"/>
      <c r="FWG22" s="71"/>
      <c r="FWH22" s="71"/>
      <c r="FWI22" s="71"/>
      <c r="FWJ22" s="71"/>
      <c r="FWK22" s="71"/>
      <c r="FWL22" s="71"/>
      <c r="FWM22" s="71"/>
      <c r="FWN22" s="71"/>
      <c r="FWO22" s="71"/>
      <c r="FWP22" s="71"/>
      <c r="FWQ22" s="71"/>
      <c r="FWR22" s="71"/>
      <c r="FWS22" s="71"/>
      <c r="FWT22" s="71"/>
      <c r="FWU22" s="71"/>
      <c r="FWV22" s="71"/>
      <c r="FWW22" s="71"/>
      <c r="FWX22" s="71"/>
      <c r="FWY22" s="71"/>
      <c r="FWZ22" s="71"/>
      <c r="FXA22" s="71"/>
      <c r="FXB22" s="71"/>
      <c r="FXC22" s="71"/>
      <c r="FXD22" s="71"/>
      <c r="FXE22" s="71"/>
      <c r="FXF22" s="71"/>
      <c r="FXG22" s="71"/>
      <c r="FXH22" s="71"/>
      <c r="FXI22" s="71"/>
      <c r="FXJ22" s="71"/>
      <c r="FXK22" s="71"/>
      <c r="FXL22" s="71"/>
      <c r="FXM22" s="71"/>
      <c r="FXN22" s="71"/>
      <c r="FXO22" s="71"/>
      <c r="FXP22" s="71"/>
      <c r="FXQ22" s="71"/>
      <c r="FXR22" s="71"/>
      <c r="FXS22" s="71"/>
      <c r="FXT22" s="71"/>
      <c r="FXU22" s="71"/>
      <c r="FXV22" s="71"/>
      <c r="FXW22" s="71"/>
      <c r="FXX22" s="71"/>
      <c r="FXY22" s="71"/>
      <c r="FXZ22" s="71"/>
      <c r="FYA22" s="71"/>
      <c r="FYB22" s="71"/>
      <c r="FYC22" s="71"/>
      <c r="FYD22" s="71"/>
      <c r="FYE22" s="71"/>
      <c r="FYF22" s="71"/>
      <c r="FYG22" s="71"/>
      <c r="FYH22" s="71"/>
      <c r="FYI22" s="71"/>
      <c r="FYJ22" s="71"/>
      <c r="FYK22" s="71"/>
      <c r="FYL22" s="71"/>
      <c r="FYM22" s="71"/>
      <c r="FYN22" s="71"/>
      <c r="FYO22" s="71"/>
      <c r="FYP22" s="71"/>
      <c r="FYQ22" s="71"/>
      <c r="FYR22" s="71"/>
      <c r="FYS22" s="71"/>
      <c r="FYT22" s="71"/>
      <c r="FYU22" s="71"/>
      <c r="FYV22" s="71"/>
      <c r="FYW22" s="71"/>
      <c r="FYX22" s="71"/>
      <c r="FYY22" s="71"/>
      <c r="FYZ22" s="71"/>
      <c r="FZA22" s="71"/>
      <c r="FZB22" s="71"/>
      <c r="FZC22" s="71"/>
      <c r="FZD22" s="71"/>
      <c r="FZE22" s="71"/>
      <c r="FZF22" s="71"/>
      <c r="FZG22" s="71"/>
      <c r="FZH22" s="71"/>
      <c r="FZI22" s="71"/>
      <c r="FZJ22" s="71"/>
      <c r="FZK22" s="71"/>
      <c r="FZL22" s="71"/>
      <c r="FZM22" s="71"/>
      <c r="FZN22" s="71"/>
      <c r="FZO22" s="71"/>
      <c r="FZP22" s="71"/>
      <c r="FZQ22" s="71"/>
      <c r="FZR22" s="71"/>
      <c r="FZS22" s="71"/>
      <c r="FZT22" s="71"/>
      <c r="FZU22" s="71"/>
      <c r="FZV22" s="71"/>
      <c r="FZW22" s="71"/>
      <c r="FZX22" s="71"/>
      <c r="FZY22" s="71"/>
      <c r="FZZ22" s="71"/>
      <c r="GAA22" s="71"/>
      <c r="GAB22" s="71"/>
      <c r="GAC22" s="71"/>
      <c r="GAD22" s="71"/>
      <c r="GAE22" s="71"/>
      <c r="GAF22" s="71"/>
      <c r="GAG22" s="71"/>
      <c r="GAH22" s="71"/>
      <c r="GAI22" s="71"/>
      <c r="GAJ22" s="71"/>
      <c r="GAK22" s="71"/>
      <c r="GAL22" s="71"/>
      <c r="GAM22" s="71"/>
      <c r="GAN22" s="71"/>
      <c r="GAO22" s="71"/>
      <c r="GAP22" s="71"/>
      <c r="GAQ22" s="71"/>
      <c r="GAR22" s="71"/>
      <c r="GAS22" s="71"/>
      <c r="GAT22" s="71"/>
      <c r="GAU22" s="71"/>
      <c r="GAV22" s="71"/>
      <c r="GAW22" s="71"/>
      <c r="GAX22" s="71"/>
      <c r="GAY22" s="71"/>
      <c r="GAZ22" s="71"/>
      <c r="GBA22" s="71"/>
      <c r="GBB22" s="71"/>
      <c r="GBC22" s="71"/>
      <c r="GBD22" s="71"/>
      <c r="GBE22" s="71"/>
      <c r="GBF22" s="71"/>
      <c r="GBG22" s="71"/>
      <c r="GBH22" s="71"/>
      <c r="GBI22" s="71"/>
      <c r="GBJ22" s="71"/>
      <c r="GBK22" s="71"/>
      <c r="GBL22" s="71"/>
      <c r="GBM22" s="71"/>
      <c r="GBN22" s="71"/>
      <c r="GBO22" s="71"/>
      <c r="GBP22" s="71"/>
      <c r="GBQ22" s="71"/>
      <c r="GBR22" s="71"/>
      <c r="GBS22" s="71"/>
      <c r="GBT22" s="71"/>
      <c r="GBU22" s="71"/>
      <c r="GBV22" s="71"/>
      <c r="GBW22" s="71"/>
      <c r="GBX22" s="71"/>
      <c r="GBY22" s="71"/>
      <c r="GBZ22" s="71"/>
      <c r="GCA22" s="71"/>
      <c r="GCB22" s="71"/>
      <c r="GCC22" s="71"/>
      <c r="GCD22" s="71"/>
      <c r="GCE22" s="71"/>
      <c r="GCF22" s="71"/>
      <c r="GCG22" s="71"/>
      <c r="GCH22" s="71"/>
      <c r="GCI22" s="71"/>
      <c r="GCJ22" s="71"/>
      <c r="GCK22" s="71"/>
      <c r="GCL22" s="71"/>
      <c r="GCM22" s="71"/>
      <c r="GCN22" s="71"/>
      <c r="GCO22" s="71"/>
      <c r="GCP22" s="71"/>
      <c r="GCQ22" s="71"/>
      <c r="GCR22" s="71"/>
      <c r="GCS22" s="71"/>
      <c r="GCT22" s="71"/>
      <c r="GCU22" s="71"/>
      <c r="GCV22" s="71"/>
      <c r="GCW22" s="71"/>
      <c r="GCX22" s="71"/>
      <c r="GCY22" s="71"/>
      <c r="GCZ22" s="71"/>
      <c r="GDA22" s="71"/>
      <c r="GDB22" s="71"/>
      <c r="GDC22" s="71"/>
      <c r="GDD22" s="71"/>
      <c r="GDE22" s="71"/>
      <c r="GDF22" s="71"/>
      <c r="GDG22" s="71"/>
      <c r="GDH22" s="71"/>
      <c r="GDI22" s="71"/>
      <c r="GDJ22" s="71"/>
      <c r="GDK22" s="71"/>
      <c r="GDL22" s="71"/>
      <c r="GDM22" s="71"/>
      <c r="GDN22" s="71"/>
      <c r="GDO22" s="71"/>
      <c r="GDP22" s="71"/>
      <c r="GDQ22" s="71"/>
      <c r="GDR22" s="71"/>
      <c r="GDS22" s="71"/>
      <c r="GDT22" s="71"/>
      <c r="GDU22" s="71"/>
      <c r="GDV22" s="71"/>
      <c r="GDW22" s="71"/>
      <c r="GDX22" s="71"/>
      <c r="GDY22" s="71"/>
      <c r="GDZ22" s="71"/>
      <c r="GEA22" s="71"/>
      <c r="GEB22" s="71"/>
      <c r="GEC22" s="71"/>
      <c r="GED22" s="71"/>
      <c r="GEE22" s="71"/>
      <c r="GEF22" s="71"/>
      <c r="GEG22" s="71"/>
      <c r="GEH22" s="71"/>
      <c r="GEI22" s="71"/>
      <c r="GEJ22" s="71"/>
      <c r="GEK22" s="71"/>
      <c r="GEL22" s="71"/>
      <c r="GEM22" s="71"/>
      <c r="GEN22" s="71"/>
      <c r="GEO22" s="71"/>
      <c r="GEP22" s="71"/>
      <c r="GEQ22" s="71"/>
      <c r="GER22" s="71"/>
      <c r="GES22" s="71"/>
      <c r="GET22" s="71"/>
      <c r="GEU22" s="71"/>
      <c r="GEV22" s="71"/>
      <c r="GEW22" s="71"/>
      <c r="GEX22" s="71"/>
      <c r="GEY22" s="71"/>
      <c r="GEZ22" s="71"/>
      <c r="GFA22" s="71"/>
      <c r="GFB22" s="71"/>
      <c r="GFC22" s="71"/>
      <c r="GFD22" s="71"/>
      <c r="GFE22" s="71"/>
      <c r="GFF22" s="71"/>
      <c r="GFG22" s="71"/>
      <c r="GFH22" s="71"/>
      <c r="GFI22" s="71"/>
      <c r="GFJ22" s="71"/>
      <c r="GFK22" s="71"/>
      <c r="GFL22" s="71"/>
      <c r="GFM22" s="71"/>
      <c r="GFN22" s="71"/>
      <c r="GFO22" s="71"/>
      <c r="GFP22" s="71"/>
      <c r="GFQ22" s="71"/>
      <c r="GFR22" s="71"/>
      <c r="GFS22" s="71"/>
      <c r="GFT22" s="71"/>
      <c r="GFU22" s="71"/>
      <c r="GFV22" s="71"/>
      <c r="GFW22" s="71"/>
      <c r="GFX22" s="71"/>
      <c r="GFY22" s="71"/>
      <c r="GFZ22" s="71"/>
      <c r="GGA22" s="71"/>
      <c r="GGB22" s="71"/>
      <c r="GGC22" s="71"/>
      <c r="GGD22" s="71"/>
      <c r="GGE22" s="71"/>
      <c r="GGF22" s="71"/>
      <c r="GGG22" s="71"/>
      <c r="GGH22" s="71"/>
      <c r="GGI22" s="71"/>
      <c r="GGJ22" s="71"/>
      <c r="GGK22" s="71"/>
      <c r="GGL22" s="71"/>
      <c r="GGM22" s="71"/>
      <c r="GGN22" s="71"/>
      <c r="GGO22" s="71"/>
      <c r="GGP22" s="71"/>
      <c r="GGQ22" s="71"/>
      <c r="GGR22" s="71"/>
      <c r="GGS22" s="71"/>
      <c r="GGT22" s="71"/>
      <c r="GGU22" s="71"/>
      <c r="GGV22" s="71"/>
      <c r="GGW22" s="71"/>
      <c r="GGX22" s="71"/>
      <c r="GGY22" s="71"/>
      <c r="GGZ22" s="71"/>
      <c r="GHA22" s="71"/>
      <c r="GHB22" s="71"/>
      <c r="GHC22" s="71"/>
      <c r="GHD22" s="71"/>
      <c r="GHE22" s="71"/>
      <c r="GHF22" s="71"/>
      <c r="GHG22" s="71"/>
      <c r="GHH22" s="71"/>
      <c r="GHI22" s="71"/>
      <c r="GHJ22" s="71"/>
      <c r="GHK22" s="71"/>
      <c r="GHL22" s="71"/>
      <c r="GHM22" s="71"/>
      <c r="GHN22" s="71"/>
      <c r="GHO22" s="71"/>
      <c r="GHP22" s="71"/>
      <c r="GHQ22" s="71"/>
      <c r="GHR22" s="71"/>
      <c r="GHS22" s="71"/>
      <c r="GHT22" s="71"/>
      <c r="GHU22" s="71"/>
      <c r="GHV22" s="71"/>
      <c r="GHW22" s="71"/>
      <c r="GHX22" s="71"/>
      <c r="GHY22" s="71"/>
      <c r="GHZ22" s="71"/>
      <c r="GIA22" s="71"/>
      <c r="GIB22" s="71"/>
      <c r="GIC22" s="71"/>
      <c r="GID22" s="71"/>
      <c r="GIE22" s="71"/>
      <c r="GIF22" s="71"/>
      <c r="GIG22" s="71"/>
      <c r="GIH22" s="71"/>
      <c r="GII22" s="71"/>
      <c r="GIJ22" s="71"/>
      <c r="GIK22" s="71"/>
      <c r="GIL22" s="71"/>
      <c r="GIM22" s="71"/>
      <c r="GIN22" s="71"/>
      <c r="GIO22" s="71"/>
      <c r="GIP22" s="71"/>
      <c r="GIQ22" s="71"/>
      <c r="GIR22" s="71"/>
      <c r="GIS22" s="71"/>
      <c r="GIT22" s="71"/>
      <c r="GIU22" s="71"/>
      <c r="GIV22" s="71"/>
      <c r="GIW22" s="71"/>
      <c r="GIX22" s="71"/>
      <c r="GIY22" s="71"/>
      <c r="GIZ22" s="71"/>
      <c r="GJA22" s="71"/>
      <c r="GJB22" s="71"/>
      <c r="GJC22" s="71"/>
      <c r="GJD22" s="71"/>
      <c r="GJE22" s="71"/>
      <c r="GJF22" s="71"/>
      <c r="GJG22" s="71"/>
      <c r="GJH22" s="71"/>
      <c r="GJI22" s="71"/>
      <c r="GJJ22" s="71"/>
      <c r="GJK22" s="71"/>
      <c r="GJL22" s="71"/>
      <c r="GJM22" s="71"/>
      <c r="GJN22" s="71"/>
      <c r="GJO22" s="71"/>
      <c r="GJP22" s="71"/>
      <c r="GJQ22" s="71"/>
      <c r="GJR22" s="71"/>
      <c r="GJS22" s="71"/>
      <c r="GJT22" s="71"/>
      <c r="GJU22" s="71"/>
      <c r="GJV22" s="71"/>
      <c r="GJW22" s="71"/>
      <c r="GJX22" s="71"/>
      <c r="GJY22" s="71"/>
      <c r="GJZ22" s="71"/>
      <c r="GKA22" s="71"/>
      <c r="GKB22" s="71"/>
      <c r="GKC22" s="71"/>
      <c r="GKD22" s="71"/>
      <c r="GKE22" s="71"/>
      <c r="GKF22" s="71"/>
      <c r="GKG22" s="71"/>
      <c r="GKH22" s="71"/>
      <c r="GKI22" s="71"/>
      <c r="GKJ22" s="71"/>
      <c r="GKK22" s="71"/>
      <c r="GKL22" s="71"/>
      <c r="GKM22" s="71"/>
      <c r="GKN22" s="71"/>
      <c r="GKO22" s="71"/>
      <c r="GKP22" s="71"/>
      <c r="GKQ22" s="71"/>
      <c r="GKR22" s="71"/>
      <c r="GKS22" s="71"/>
      <c r="GKT22" s="71"/>
      <c r="GKU22" s="71"/>
      <c r="GKV22" s="71"/>
      <c r="GKW22" s="71"/>
      <c r="GKX22" s="71"/>
      <c r="GKY22" s="71"/>
      <c r="GKZ22" s="71"/>
      <c r="GLA22" s="71"/>
      <c r="GLB22" s="71"/>
      <c r="GLC22" s="71"/>
      <c r="GLD22" s="71"/>
      <c r="GLE22" s="71"/>
      <c r="GLF22" s="71"/>
      <c r="GLG22" s="71"/>
      <c r="GLH22" s="71"/>
      <c r="GLI22" s="71"/>
      <c r="GLJ22" s="71"/>
      <c r="GLK22" s="71"/>
      <c r="GLL22" s="71"/>
      <c r="GLM22" s="71"/>
      <c r="GLN22" s="71"/>
      <c r="GLO22" s="71"/>
      <c r="GLP22" s="71"/>
      <c r="GLQ22" s="71"/>
      <c r="GLR22" s="71"/>
      <c r="GLS22" s="71"/>
      <c r="GLT22" s="71"/>
      <c r="GLU22" s="71"/>
      <c r="GLV22" s="71"/>
      <c r="GLW22" s="71"/>
      <c r="GLX22" s="71"/>
      <c r="GLY22" s="71"/>
      <c r="GLZ22" s="71"/>
      <c r="GMA22" s="71"/>
      <c r="GMB22" s="71"/>
      <c r="GMC22" s="71"/>
      <c r="GMD22" s="71"/>
      <c r="GME22" s="71"/>
      <c r="GMF22" s="71"/>
      <c r="GMG22" s="71"/>
      <c r="GMH22" s="71"/>
      <c r="GMI22" s="71"/>
      <c r="GMJ22" s="71"/>
      <c r="GMK22" s="71"/>
      <c r="GML22" s="71"/>
      <c r="GMM22" s="71"/>
      <c r="GMN22" s="71"/>
      <c r="GMO22" s="71"/>
      <c r="GMP22" s="71"/>
      <c r="GMQ22" s="71"/>
      <c r="GMR22" s="71"/>
      <c r="GMS22" s="71"/>
      <c r="GMT22" s="71"/>
      <c r="GMU22" s="71"/>
      <c r="GMV22" s="71"/>
      <c r="GMW22" s="71"/>
      <c r="GMX22" s="71"/>
      <c r="GMY22" s="71"/>
      <c r="GMZ22" s="71"/>
      <c r="GNA22" s="71"/>
      <c r="GNB22" s="71"/>
      <c r="GNC22" s="71"/>
      <c r="GND22" s="71"/>
      <c r="GNE22" s="71"/>
      <c r="GNF22" s="71"/>
      <c r="GNG22" s="71"/>
      <c r="GNH22" s="71"/>
      <c r="GNI22" s="71"/>
      <c r="GNJ22" s="71"/>
      <c r="GNK22" s="71"/>
      <c r="GNL22" s="71"/>
      <c r="GNM22" s="71"/>
      <c r="GNN22" s="71"/>
      <c r="GNO22" s="71"/>
      <c r="GNP22" s="71"/>
      <c r="GNQ22" s="71"/>
      <c r="GNR22" s="71"/>
      <c r="GNS22" s="71"/>
      <c r="GNT22" s="71"/>
      <c r="GNU22" s="71"/>
      <c r="GNV22" s="71"/>
      <c r="GNW22" s="71"/>
      <c r="GNX22" s="71"/>
      <c r="GNY22" s="71"/>
      <c r="GNZ22" s="71"/>
      <c r="GOA22" s="71"/>
      <c r="GOB22" s="71"/>
      <c r="GOC22" s="71"/>
      <c r="GOD22" s="71"/>
      <c r="GOE22" s="71"/>
      <c r="GOF22" s="71"/>
      <c r="GOG22" s="71"/>
      <c r="GOH22" s="71"/>
      <c r="GOI22" s="71"/>
      <c r="GOJ22" s="71"/>
      <c r="GOK22" s="71"/>
      <c r="GOL22" s="71"/>
      <c r="GOM22" s="71"/>
      <c r="GON22" s="71"/>
      <c r="GOO22" s="71"/>
      <c r="GOP22" s="71"/>
      <c r="GOQ22" s="71"/>
      <c r="GOR22" s="71"/>
      <c r="GOS22" s="71"/>
      <c r="GOT22" s="71"/>
      <c r="GOU22" s="71"/>
      <c r="GOV22" s="71"/>
      <c r="GOW22" s="71"/>
      <c r="GOX22" s="71"/>
      <c r="GOY22" s="71"/>
      <c r="GOZ22" s="71"/>
      <c r="GPA22" s="71"/>
      <c r="GPB22" s="71"/>
      <c r="GPC22" s="71"/>
      <c r="GPD22" s="71"/>
      <c r="GPE22" s="71"/>
      <c r="GPF22" s="71"/>
      <c r="GPG22" s="71"/>
      <c r="GPH22" s="71"/>
      <c r="GPI22" s="71"/>
      <c r="GPJ22" s="71"/>
      <c r="GPK22" s="71"/>
      <c r="GPL22" s="71"/>
      <c r="GPM22" s="71"/>
      <c r="GPN22" s="71"/>
      <c r="GPO22" s="71"/>
      <c r="GPP22" s="71"/>
      <c r="GPQ22" s="71"/>
      <c r="GPR22" s="71"/>
      <c r="GPS22" s="71"/>
      <c r="GPT22" s="71"/>
      <c r="GPU22" s="71"/>
      <c r="GPV22" s="71"/>
      <c r="GPW22" s="71"/>
      <c r="GPX22" s="71"/>
      <c r="GPY22" s="71"/>
      <c r="GPZ22" s="71"/>
      <c r="GQA22" s="71"/>
      <c r="GQB22" s="71"/>
      <c r="GQC22" s="71"/>
      <c r="GQD22" s="71"/>
      <c r="GQE22" s="71"/>
      <c r="GQF22" s="71"/>
      <c r="GQG22" s="71"/>
      <c r="GQH22" s="71"/>
      <c r="GQI22" s="71"/>
      <c r="GQJ22" s="71"/>
      <c r="GQK22" s="71"/>
      <c r="GQL22" s="71"/>
      <c r="GQM22" s="71"/>
      <c r="GQN22" s="71"/>
      <c r="GQO22" s="71"/>
      <c r="GQP22" s="71"/>
      <c r="GQQ22" s="71"/>
      <c r="GQR22" s="71"/>
      <c r="GQS22" s="71"/>
      <c r="GQT22" s="71"/>
      <c r="GQU22" s="71"/>
      <c r="GQV22" s="71"/>
      <c r="GQW22" s="71"/>
      <c r="GQX22" s="71"/>
      <c r="GQY22" s="71"/>
      <c r="GQZ22" s="71"/>
      <c r="GRA22" s="71"/>
      <c r="GRB22" s="71"/>
      <c r="GRC22" s="71"/>
      <c r="GRD22" s="71"/>
      <c r="GRE22" s="71"/>
      <c r="GRF22" s="71"/>
      <c r="GRG22" s="71"/>
      <c r="GRH22" s="71"/>
      <c r="GRI22" s="71"/>
      <c r="GRJ22" s="71"/>
      <c r="GRK22" s="71"/>
      <c r="GRL22" s="71"/>
      <c r="GRM22" s="71"/>
      <c r="GRN22" s="71"/>
      <c r="GRO22" s="71"/>
      <c r="GRP22" s="71"/>
      <c r="GRQ22" s="71"/>
      <c r="GRR22" s="71"/>
      <c r="GRS22" s="71"/>
      <c r="GRT22" s="71"/>
      <c r="GRU22" s="71"/>
      <c r="GRV22" s="71"/>
      <c r="GRW22" s="71"/>
      <c r="GRX22" s="71"/>
      <c r="GRY22" s="71"/>
      <c r="GRZ22" s="71"/>
      <c r="GSA22" s="71"/>
      <c r="GSB22" s="71"/>
      <c r="GSC22" s="71"/>
      <c r="GSD22" s="71"/>
      <c r="GSE22" s="71"/>
      <c r="GSF22" s="71"/>
      <c r="GSG22" s="71"/>
      <c r="GSH22" s="71"/>
      <c r="GSI22" s="71"/>
      <c r="GSJ22" s="71"/>
      <c r="GSK22" s="71"/>
      <c r="GSL22" s="71"/>
      <c r="GSM22" s="71"/>
      <c r="GSN22" s="71"/>
      <c r="GSO22" s="71"/>
      <c r="GSP22" s="71"/>
      <c r="GSQ22" s="71"/>
      <c r="GSR22" s="71"/>
      <c r="GSS22" s="71"/>
      <c r="GST22" s="71"/>
      <c r="GSU22" s="71"/>
      <c r="GSV22" s="71"/>
      <c r="GSW22" s="71"/>
      <c r="GSX22" s="71"/>
      <c r="GSY22" s="71"/>
      <c r="GSZ22" s="71"/>
      <c r="GTA22" s="71"/>
      <c r="GTB22" s="71"/>
      <c r="GTC22" s="71"/>
      <c r="GTD22" s="71"/>
      <c r="GTE22" s="71"/>
      <c r="GTF22" s="71"/>
      <c r="GTG22" s="71"/>
      <c r="GTH22" s="71"/>
      <c r="GTI22" s="71"/>
      <c r="GTJ22" s="71"/>
      <c r="GTK22" s="71"/>
      <c r="GTL22" s="71"/>
      <c r="GTM22" s="71"/>
      <c r="GTN22" s="71"/>
      <c r="GTO22" s="71"/>
      <c r="GTP22" s="71"/>
      <c r="GTQ22" s="71"/>
      <c r="GTR22" s="71"/>
      <c r="GTS22" s="71"/>
      <c r="GTT22" s="71"/>
      <c r="GTU22" s="71"/>
      <c r="GTV22" s="71"/>
      <c r="GTW22" s="71"/>
      <c r="GTX22" s="71"/>
      <c r="GTY22" s="71"/>
      <c r="GTZ22" s="71"/>
      <c r="GUA22" s="71"/>
      <c r="GUB22" s="71"/>
      <c r="GUC22" s="71"/>
      <c r="GUD22" s="71"/>
      <c r="GUE22" s="71"/>
      <c r="GUF22" s="71"/>
      <c r="GUG22" s="71"/>
      <c r="GUH22" s="71"/>
      <c r="GUI22" s="71"/>
      <c r="GUJ22" s="71"/>
      <c r="GUK22" s="71"/>
      <c r="GUL22" s="71"/>
      <c r="GUM22" s="71"/>
      <c r="GUN22" s="71"/>
      <c r="GUO22" s="71"/>
      <c r="GUP22" s="71"/>
      <c r="GUQ22" s="71"/>
      <c r="GUR22" s="71"/>
      <c r="GUS22" s="71"/>
      <c r="GUT22" s="71"/>
      <c r="GUU22" s="71"/>
      <c r="GUV22" s="71"/>
      <c r="GUW22" s="71"/>
      <c r="GUX22" s="71"/>
      <c r="GUY22" s="71"/>
      <c r="GUZ22" s="71"/>
      <c r="GVA22" s="71"/>
      <c r="GVB22" s="71"/>
      <c r="GVC22" s="71"/>
      <c r="GVD22" s="71"/>
      <c r="GVE22" s="71"/>
      <c r="GVF22" s="71"/>
      <c r="GVG22" s="71"/>
      <c r="GVH22" s="71"/>
      <c r="GVI22" s="71"/>
      <c r="GVJ22" s="71"/>
      <c r="GVK22" s="71"/>
      <c r="GVL22" s="71"/>
      <c r="GVM22" s="71"/>
      <c r="GVN22" s="71"/>
      <c r="GVO22" s="71"/>
      <c r="GVP22" s="71"/>
      <c r="GVQ22" s="71"/>
      <c r="GVR22" s="71"/>
      <c r="GVS22" s="71"/>
      <c r="GVT22" s="71"/>
      <c r="GVU22" s="71"/>
      <c r="GVV22" s="71"/>
      <c r="GVW22" s="71"/>
      <c r="GVX22" s="71"/>
      <c r="GVY22" s="71"/>
      <c r="GVZ22" s="71"/>
      <c r="GWA22" s="71"/>
      <c r="GWB22" s="71"/>
      <c r="GWC22" s="71"/>
      <c r="GWD22" s="71"/>
      <c r="GWE22" s="71"/>
      <c r="GWF22" s="71"/>
      <c r="GWG22" s="71"/>
      <c r="GWH22" s="71"/>
      <c r="GWI22" s="71"/>
      <c r="GWJ22" s="71"/>
      <c r="GWK22" s="71"/>
      <c r="GWL22" s="71"/>
      <c r="GWM22" s="71"/>
      <c r="GWN22" s="71"/>
      <c r="GWO22" s="71"/>
      <c r="GWP22" s="71"/>
      <c r="GWQ22" s="71"/>
      <c r="GWR22" s="71"/>
      <c r="GWS22" s="71"/>
      <c r="GWT22" s="71"/>
      <c r="GWU22" s="71"/>
      <c r="GWV22" s="71"/>
      <c r="GWW22" s="71"/>
      <c r="GWX22" s="71"/>
      <c r="GWY22" s="71"/>
      <c r="GWZ22" s="71"/>
      <c r="GXA22" s="71"/>
      <c r="GXB22" s="71"/>
      <c r="GXC22" s="71"/>
      <c r="GXD22" s="71"/>
      <c r="GXE22" s="71"/>
      <c r="GXF22" s="71"/>
      <c r="GXG22" s="71"/>
      <c r="GXH22" s="71"/>
      <c r="GXI22" s="71"/>
      <c r="GXJ22" s="71"/>
      <c r="GXK22" s="71"/>
      <c r="GXL22" s="71"/>
      <c r="GXM22" s="71"/>
      <c r="GXN22" s="71"/>
      <c r="GXO22" s="71"/>
      <c r="GXP22" s="71"/>
      <c r="GXQ22" s="71"/>
      <c r="GXR22" s="71"/>
      <c r="GXS22" s="71"/>
      <c r="GXT22" s="71"/>
      <c r="GXU22" s="71"/>
      <c r="GXV22" s="71"/>
      <c r="GXW22" s="71"/>
      <c r="GXX22" s="71"/>
      <c r="GXY22" s="71"/>
      <c r="GXZ22" s="71"/>
      <c r="GYA22" s="71"/>
      <c r="GYB22" s="71"/>
      <c r="GYC22" s="71"/>
      <c r="GYD22" s="71"/>
      <c r="GYE22" s="71"/>
      <c r="GYF22" s="71"/>
      <c r="GYG22" s="71"/>
      <c r="GYH22" s="71"/>
      <c r="GYI22" s="71"/>
      <c r="GYJ22" s="71"/>
      <c r="GYK22" s="71"/>
      <c r="GYL22" s="71"/>
      <c r="GYM22" s="71"/>
      <c r="GYN22" s="71"/>
      <c r="GYO22" s="71"/>
      <c r="GYP22" s="71"/>
      <c r="GYQ22" s="71"/>
      <c r="GYR22" s="71"/>
      <c r="GYS22" s="71"/>
      <c r="GYT22" s="71"/>
      <c r="GYU22" s="71"/>
      <c r="GYV22" s="71"/>
      <c r="GYW22" s="71"/>
      <c r="GYX22" s="71"/>
      <c r="GYY22" s="71"/>
      <c r="GYZ22" s="71"/>
      <c r="GZA22" s="71"/>
      <c r="GZB22" s="71"/>
      <c r="GZC22" s="71"/>
      <c r="GZD22" s="71"/>
      <c r="GZE22" s="71"/>
      <c r="GZF22" s="71"/>
      <c r="GZG22" s="71"/>
      <c r="GZH22" s="71"/>
      <c r="GZI22" s="71"/>
      <c r="GZJ22" s="71"/>
      <c r="GZK22" s="71"/>
      <c r="GZL22" s="71"/>
      <c r="GZM22" s="71"/>
      <c r="GZN22" s="71"/>
      <c r="GZO22" s="71"/>
      <c r="GZP22" s="71"/>
      <c r="GZQ22" s="71"/>
      <c r="GZR22" s="71"/>
      <c r="GZS22" s="71"/>
      <c r="GZT22" s="71"/>
      <c r="GZU22" s="71"/>
      <c r="GZV22" s="71"/>
      <c r="GZW22" s="71"/>
      <c r="GZX22" s="71"/>
      <c r="GZY22" s="71"/>
      <c r="GZZ22" s="71"/>
      <c r="HAA22" s="71"/>
      <c r="HAB22" s="71"/>
      <c r="HAC22" s="71"/>
      <c r="HAD22" s="71"/>
      <c r="HAE22" s="71"/>
      <c r="HAF22" s="71"/>
      <c r="HAG22" s="71"/>
      <c r="HAH22" s="71"/>
      <c r="HAI22" s="71"/>
      <c r="HAJ22" s="71"/>
      <c r="HAK22" s="71"/>
      <c r="HAL22" s="71"/>
      <c r="HAM22" s="71"/>
      <c r="HAN22" s="71"/>
      <c r="HAO22" s="71"/>
      <c r="HAP22" s="71"/>
      <c r="HAQ22" s="71"/>
      <c r="HAR22" s="71"/>
      <c r="HAS22" s="71"/>
      <c r="HAT22" s="71"/>
      <c r="HAU22" s="71"/>
      <c r="HAV22" s="71"/>
      <c r="HAW22" s="71"/>
      <c r="HAX22" s="71"/>
      <c r="HAY22" s="71"/>
      <c r="HAZ22" s="71"/>
      <c r="HBA22" s="71"/>
      <c r="HBB22" s="71"/>
      <c r="HBC22" s="71"/>
      <c r="HBD22" s="71"/>
      <c r="HBE22" s="71"/>
      <c r="HBF22" s="71"/>
      <c r="HBG22" s="71"/>
      <c r="HBH22" s="71"/>
      <c r="HBI22" s="71"/>
      <c r="HBJ22" s="71"/>
      <c r="HBK22" s="71"/>
      <c r="HBL22" s="71"/>
      <c r="HBM22" s="71"/>
      <c r="HBN22" s="71"/>
      <c r="HBO22" s="71"/>
      <c r="HBP22" s="71"/>
      <c r="HBQ22" s="71"/>
      <c r="HBR22" s="71"/>
      <c r="HBS22" s="71"/>
      <c r="HBT22" s="71"/>
      <c r="HBU22" s="71"/>
      <c r="HBV22" s="71"/>
      <c r="HBW22" s="71"/>
      <c r="HBX22" s="71"/>
      <c r="HBY22" s="71"/>
      <c r="HBZ22" s="71"/>
      <c r="HCA22" s="71"/>
      <c r="HCB22" s="71"/>
      <c r="HCC22" s="71"/>
      <c r="HCD22" s="71"/>
      <c r="HCE22" s="71"/>
      <c r="HCF22" s="71"/>
      <c r="HCG22" s="71"/>
      <c r="HCH22" s="71"/>
      <c r="HCI22" s="71"/>
      <c r="HCJ22" s="71"/>
      <c r="HCK22" s="71"/>
      <c r="HCL22" s="71"/>
      <c r="HCM22" s="71"/>
      <c r="HCN22" s="71"/>
      <c r="HCO22" s="71"/>
      <c r="HCP22" s="71"/>
      <c r="HCQ22" s="71"/>
      <c r="HCR22" s="71"/>
      <c r="HCS22" s="71"/>
      <c r="HCT22" s="71"/>
      <c r="HCU22" s="71"/>
      <c r="HCV22" s="71"/>
      <c r="HCW22" s="71"/>
      <c r="HCX22" s="71"/>
      <c r="HCY22" s="71"/>
      <c r="HCZ22" s="71"/>
      <c r="HDA22" s="71"/>
      <c r="HDB22" s="71"/>
      <c r="HDC22" s="71"/>
      <c r="HDD22" s="71"/>
      <c r="HDE22" s="71"/>
      <c r="HDF22" s="71"/>
      <c r="HDG22" s="71"/>
      <c r="HDH22" s="71"/>
      <c r="HDI22" s="71"/>
      <c r="HDJ22" s="71"/>
      <c r="HDK22" s="71"/>
      <c r="HDL22" s="71"/>
      <c r="HDM22" s="71"/>
      <c r="HDN22" s="71"/>
      <c r="HDO22" s="71"/>
      <c r="HDP22" s="71"/>
      <c r="HDQ22" s="71"/>
      <c r="HDR22" s="71"/>
      <c r="HDS22" s="71"/>
      <c r="HDT22" s="71"/>
      <c r="HDU22" s="71"/>
      <c r="HDV22" s="71"/>
      <c r="HDW22" s="71"/>
      <c r="HDX22" s="71"/>
      <c r="HDY22" s="71"/>
      <c r="HDZ22" s="71"/>
      <c r="HEA22" s="71"/>
      <c r="HEB22" s="71"/>
      <c r="HEC22" s="71"/>
      <c r="HED22" s="71"/>
      <c r="HEE22" s="71"/>
      <c r="HEF22" s="71"/>
      <c r="HEG22" s="71"/>
      <c r="HEH22" s="71"/>
      <c r="HEI22" s="71"/>
      <c r="HEJ22" s="71"/>
      <c r="HEK22" s="71"/>
      <c r="HEL22" s="71"/>
      <c r="HEM22" s="71"/>
      <c r="HEN22" s="71"/>
      <c r="HEO22" s="71"/>
      <c r="HEP22" s="71"/>
      <c r="HEQ22" s="71"/>
      <c r="HER22" s="71"/>
      <c r="HES22" s="71"/>
      <c r="HET22" s="71"/>
      <c r="HEU22" s="71"/>
      <c r="HEV22" s="71"/>
      <c r="HEW22" s="71"/>
      <c r="HEX22" s="71"/>
      <c r="HEY22" s="71"/>
      <c r="HEZ22" s="71"/>
      <c r="HFA22" s="71"/>
      <c r="HFB22" s="71"/>
      <c r="HFC22" s="71"/>
      <c r="HFD22" s="71"/>
      <c r="HFE22" s="71"/>
      <c r="HFF22" s="71"/>
      <c r="HFG22" s="71"/>
      <c r="HFH22" s="71"/>
      <c r="HFI22" s="71"/>
      <c r="HFJ22" s="71"/>
      <c r="HFK22" s="71"/>
      <c r="HFL22" s="71"/>
      <c r="HFM22" s="71"/>
      <c r="HFN22" s="71"/>
      <c r="HFO22" s="71"/>
      <c r="HFP22" s="71"/>
      <c r="HFQ22" s="71"/>
      <c r="HFR22" s="71"/>
      <c r="HFS22" s="71"/>
      <c r="HFT22" s="71"/>
      <c r="HFU22" s="71"/>
      <c r="HFV22" s="71"/>
      <c r="HFW22" s="71"/>
      <c r="HFX22" s="71"/>
      <c r="HFY22" s="71"/>
      <c r="HFZ22" s="71"/>
      <c r="HGA22" s="71"/>
      <c r="HGB22" s="71"/>
      <c r="HGC22" s="71"/>
      <c r="HGD22" s="71"/>
      <c r="HGE22" s="71"/>
      <c r="HGF22" s="71"/>
      <c r="HGG22" s="71"/>
      <c r="HGH22" s="71"/>
      <c r="HGI22" s="71"/>
      <c r="HGJ22" s="71"/>
      <c r="HGK22" s="71"/>
      <c r="HGL22" s="71"/>
      <c r="HGM22" s="71"/>
      <c r="HGN22" s="71"/>
      <c r="HGO22" s="71"/>
      <c r="HGP22" s="71"/>
      <c r="HGQ22" s="71"/>
      <c r="HGR22" s="71"/>
      <c r="HGS22" s="71"/>
      <c r="HGT22" s="71"/>
      <c r="HGU22" s="71"/>
      <c r="HGV22" s="71"/>
      <c r="HGW22" s="71"/>
      <c r="HGX22" s="71"/>
      <c r="HGY22" s="71"/>
      <c r="HGZ22" s="71"/>
      <c r="HHA22" s="71"/>
      <c r="HHB22" s="71"/>
      <c r="HHC22" s="71"/>
      <c r="HHD22" s="71"/>
      <c r="HHE22" s="71"/>
      <c r="HHF22" s="71"/>
      <c r="HHG22" s="71"/>
      <c r="HHH22" s="71"/>
      <c r="HHI22" s="71"/>
      <c r="HHJ22" s="71"/>
      <c r="HHK22" s="71"/>
      <c r="HHL22" s="71"/>
      <c r="HHM22" s="71"/>
      <c r="HHN22" s="71"/>
      <c r="HHO22" s="71"/>
      <c r="HHP22" s="71"/>
      <c r="HHQ22" s="71"/>
      <c r="HHR22" s="71"/>
      <c r="HHS22" s="71"/>
      <c r="HHT22" s="71"/>
      <c r="HHU22" s="71"/>
      <c r="HHV22" s="71"/>
      <c r="HHW22" s="71"/>
      <c r="HHX22" s="71"/>
      <c r="HHY22" s="71"/>
      <c r="HHZ22" s="71"/>
      <c r="HIA22" s="71"/>
      <c r="HIB22" s="71"/>
      <c r="HIC22" s="71"/>
      <c r="HID22" s="71"/>
      <c r="HIE22" s="71"/>
      <c r="HIF22" s="71"/>
      <c r="HIG22" s="71"/>
      <c r="HIH22" s="71"/>
      <c r="HII22" s="71"/>
      <c r="HIJ22" s="71"/>
      <c r="HIK22" s="71"/>
      <c r="HIL22" s="71"/>
      <c r="HIM22" s="71"/>
      <c r="HIN22" s="71"/>
      <c r="HIO22" s="71"/>
      <c r="HIP22" s="71"/>
      <c r="HIQ22" s="71"/>
      <c r="HIR22" s="71"/>
      <c r="HIS22" s="71"/>
      <c r="HIT22" s="71"/>
      <c r="HIU22" s="71"/>
      <c r="HIV22" s="71"/>
      <c r="HIW22" s="71"/>
      <c r="HIX22" s="71"/>
      <c r="HIY22" s="71"/>
      <c r="HIZ22" s="71"/>
      <c r="HJA22" s="71"/>
      <c r="HJB22" s="71"/>
      <c r="HJC22" s="71"/>
      <c r="HJD22" s="71"/>
      <c r="HJE22" s="71"/>
      <c r="HJF22" s="71"/>
      <c r="HJG22" s="71"/>
      <c r="HJH22" s="71"/>
      <c r="HJI22" s="71"/>
      <c r="HJJ22" s="71"/>
      <c r="HJK22" s="71"/>
      <c r="HJL22" s="71"/>
      <c r="HJM22" s="71"/>
      <c r="HJN22" s="71"/>
      <c r="HJO22" s="71"/>
      <c r="HJP22" s="71"/>
      <c r="HJQ22" s="71"/>
      <c r="HJR22" s="71"/>
      <c r="HJS22" s="71"/>
      <c r="HJT22" s="71"/>
      <c r="HJU22" s="71"/>
      <c r="HJV22" s="71"/>
      <c r="HJW22" s="71"/>
      <c r="HJX22" s="71"/>
      <c r="HJY22" s="71"/>
      <c r="HJZ22" s="71"/>
      <c r="HKA22" s="71"/>
      <c r="HKB22" s="71"/>
      <c r="HKC22" s="71"/>
      <c r="HKD22" s="71"/>
      <c r="HKE22" s="71"/>
      <c r="HKF22" s="71"/>
      <c r="HKG22" s="71"/>
      <c r="HKH22" s="71"/>
      <c r="HKI22" s="71"/>
      <c r="HKJ22" s="71"/>
      <c r="HKK22" s="71"/>
      <c r="HKL22" s="71"/>
      <c r="HKM22" s="71"/>
      <c r="HKN22" s="71"/>
      <c r="HKO22" s="71"/>
      <c r="HKP22" s="71"/>
      <c r="HKQ22" s="71"/>
      <c r="HKR22" s="71"/>
      <c r="HKS22" s="71"/>
      <c r="HKT22" s="71"/>
      <c r="HKU22" s="71"/>
      <c r="HKV22" s="71"/>
      <c r="HKW22" s="71"/>
      <c r="HKX22" s="71"/>
      <c r="HKY22" s="71"/>
      <c r="HKZ22" s="71"/>
      <c r="HLA22" s="71"/>
      <c r="HLB22" s="71"/>
      <c r="HLC22" s="71"/>
      <c r="HLD22" s="71"/>
      <c r="HLE22" s="71"/>
      <c r="HLF22" s="71"/>
      <c r="HLG22" s="71"/>
      <c r="HLH22" s="71"/>
      <c r="HLI22" s="71"/>
      <c r="HLJ22" s="71"/>
      <c r="HLK22" s="71"/>
      <c r="HLL22" s="71"/>
      <c r="HLM22" s="71"/>
      <c r="HLN22" s="71"/>
      <c r="HLO22" s="71"/>
      <c r="HLP22" s="71"/>
      <c r="HLQ22" s="71"/>
      <c r="HLR22" s="71"/>
      <c r="HLS22" s="71"/>
      <c r="HLT22" s="71"/>
      <c r="HLU22" s="71"/>
      <c r="HLV22" s="71"/>
      <c r="HLW22" s="71"/>
      <c r="HLX22" s="71"/>
      <c r="HLY22" s="71"/>
      <c r="HLZ22" s="71"/>
      <c r="HMA22" s="71"/>
      <c r="HMB22" s="71"/>
      <c r="HMC22" s="71"/>
      <c r="HMD22" s="71"/>
      <c r="HME22" s="71"/>
      <c r="HMF22" s="71"/>
      <c r="HMG22" s="71"/>
      <c r="HMH22" s="71"/>
      <c r="HMI22" s="71"/>
      <c r="HMJ22" s="71"/>
      <c r="HMK22" s="71"/>
      <c r="HML22" s="71"/>
      <c r="HMM22" s="71"/>
      <c r="HMN22" s="71"/>
      <c r="HMO22" s="71"/>
      <c r="HMP22" s="71"/>
      <c r="HMQ22" s="71"/>
      <c r="HMR22" s="71"/>
      <c r="HMS22" s="71"/>
      <c r="HMT22" s="71"/>
      <c r="HMU22" s="71"/>
      <c r="HMV22" s="71"/>
      <c r="HMW22" s="71"/>
      <c r="HMX22" s="71"/>
      <c r="HMY22" s="71"/>
      <c r="HMZ22" s="71"/>
      <c r="HNA22" s="71"/>
      <c r="HNB22" s="71"/>
      <c r="HNC22" s="71"/>
      <c r="HND22" s="71"/>
      <c r="HNE22" s="71"/>
      <c r="HNF22" s="71"/>
      <c r="HNG22" s="71"/>
      <c r="HNH22" s="71"/>
      <c r="HNI22" s="71"/>
      <c r="HNJ22" s="71"/>
      <c r="HNK22" s="71"/>
      <c r="HNL22" s="71"/>
      <c r="HNM22" s="71"/>
      <c r="HNN22" s="71"/>
      <c r="HNO22" s="71"/>
      <c r="HNP22" s="71"/>
      <c r="HNQ22" s="71"/>
      <c r="HNR22" s="71"/>
      <c r="HNS22" s="71"/>
      <c r="HNT22" s="71"/>
      <c r="HNU22" s="71"/>
      <c r="HNV22" s="71"/>
      <c r="HNW22" s="71"/>
      <c r="HNX22" s="71"/>
      <c r="HNY22" s="71"/>
      <c r="HNZ22" s="71"/>
      <c r="HOA22" s="71"/>
      <c r="HOB22" s="71"/>
      <c r="HOC22" s="71"/>
      <c r="HOD22" s="71"/>
      <c r="HOE22" s="71"/>
      <c r="HOF22" s="71"/>
      <c r="HOG22" s="71"/>
      <c r="HOH22" s="71"/>
      <c r="HOI22" s="71"/>
      <c r="HOJ22" s="71"/>
      <c r="HOK22" s="71"/>
      <c r="HOL22" s="71"/>
      <c r="HOM22" s="71"/>
      <c r="HON22" s="71"/>
      <c r="HOO22" s="71"/>
      <c r="HOP22" s="71"/>
      <c r="HOQ22" s="71"/>
      <c r="HOR22" s="71"/>
      <c r="HOS22" s="71"/>
      <c r="HOT22" s="71"/>
      <c r="HOU22" s="71"/>
      <c r="HOV22" s="71"/>
      <c r="HOW22" s="71"/>
      <c r="HOX22" s="71"/>
      <c r="HOY22" s="71"/>
      <c r="HOZ22" s="71"/>
      <c r="HPA22" s="71"/>
      <c r="HPB22" s="71"/>
      <c r="HPC22" s="71"/>
      <c r="HPD22" s="71"/>
      <c r="HPE22" s="71"/>
      <c r="HPF22" s="71"/>
      <c r="HPG22" s="71"/>
      <c r="HPH22" s="71"/>
      <c r="HPI22" s="71"/>
      <c r="HPJ22" s="71"/>
      <c r="HPK22" s="71"/>
      <c r="HPL22" s="71"/>
      <c r="HPM22" s="71"/>
      <c r="HPN22" s="71"/>
      <c r="HPO22" s="71"/>
      <c r="HPP22" s="71"/>
      <c r="HPQ22" s="71"/>
      <c r="HPR22" s="71"/>
      <c r="HPS22" s="71"/>
      <c r="HPT22" s="71"/>
      <c r="HPU22" s="71"/>
      <c r="HPV22" s="71"/>
      <c r="HPW22" s="71"/>
      <c r="HPX22" s="71"/>
      <c r="HPY22" s="71"/>
      <c r="HPZ22" s="71"/>
      <c r="HQA22" s="71"/>
      <c r="HQB22" s="71"/>
      <c r="HQC22" s="71"/>
      <c r="HQD22" s="71"/>
      <c r="HQE22" s="71"/>
      <c r="HQF22" s="71"/>
      <c r="HQG22" s="71"/>
      <c r="HQH22" s="71"/>
      <c r="HQI22" s="71"/>
      <c r="HQJ22" s="71"/>
      <c r="HQK22" s="71"/>
      <c r="HQL22" s="71"/>
      <c r="HQM22" s="71"/>
      <c r="HQN22" s="71"/>
      <c r="HQO22" s="71"/>
      <c r="HQP22" s="71"/>
      <c r="HQQ22" s="71"/>
      <c r="HQR22" s="71"/>
      <c r="HQS22" s="71"/>
      <c r="HQT22" s="71"/>
      <c r="HQU22" s="71"/>
      <c r="HQV22" s="71"/>
      <c r="HQW22" s="71"/>
      <c r="HQX22" s="71"/>
      <c r="HQY22" s="71"/>
      <c r="HQZ22" s="71"/>
      <c r="HRA22" s="71"/>
      <c r="HRB22" s="71"/>
      <c r="HRC22" s="71"/>
      <c r="HRD22" s="71"/>
      <c r="HRE22" s="71"/>
      <c r="HRF22" s="71"/>
      <c r="HRG22" s="71"/>
      <c r="HRH22" s="71"/>
      <c r="HRI22" s="71"/>
      <c r="HRJ22" s="71"/>
      <c r="HRK22" s="71"/>
      <c r="HRL22" s="71"/>
      <c r="HRM22" s="71"/>
      <c r="HRN22" s="71"/>
      <c r="HRO22" s="71"/>
      <c r="HRP22" s="71"/>
      <c r="HRQ22" s="71"/>
      <c r="HRR22" s="71"/>
      <c r="HRS22" s="71"/>
      <c r="HRT22" s="71"/>
      <c r="HRU22" s="71"/>
      <c r="HRV22" s="71"/>
      <c r="HRW22" s="71"/>
      <c r="HRX22" s="71"/>
      <c r="HRY22" s="71"/>
      <c r="HRZ22" s="71"/>
      <c r="HSA22" s="71"/>
      <c r="HSB22" s="71"/>
      <c r="HSC22" s="71"/>
      <c r="HSD22" s="71"/>
      <c r="HSE22" s="71"/>
      <c r="HSF22" s="71"/>
      <c r="HSG22" s="71"/>
      <c r="HSH22" s="71"/>
      <c r="HSI22" s="71"/>
      <c r="HSJ22" s="71"/>
      <c r="HSK22" s="71"/>
      <c r="HSL22" s="71"/>
      <c r="HSM22" s="71"/>
      <c r="HSN22" s="71"/>
      <c r="HSO22" s="71"/>
      <c r="HSP22" s="71"/>
      <c r="HSQ22" s="71"/>
      <c r="HSR22" s="71"/>
      <c r="HSS22" s="71"/>
      <c r="HST22" s="71"/>
      <c r="HSU22" s="71"/>
      <c r="HSV22" s="71"/>
      <c r="HSW22" s="71"/>
      <c r="HSX22" s="71"/>
      <c r="HSY22" s="71"/>
      <c r="HSZ22" s="71"/>
      <c r="HTA22" s="71"/>
      <c r="HTB22" s="71"/>
      <c r="HTC22" s="71"/>
      <c r="HTD22" s="71"/>
      <c r="HTE22" s="71"/>
      <c r="HTF22" s="71"/>
      <c r="HTG22" s="71"/>
      <c r="HTH22" s="71"/>
      <c r="HTI22" s="71"/>
      <c r="HTJ22" s="71"/>
      <c r="HTK22" s="71"/>
      <c r="HTL22" s="71"/>
      <c r="HTM22" s="71"/>
      <c r="HTN22" s="71"/>
      <c r="HTO22" s="71"/>
      <c r="HTP22" s="71"/>
      <c r="HTQ22" s="71"/>
      <c r="HTR22" s="71"/>
      <c r="HTS22" s="71"/>
      <c r="HTT22" s="71"/>
      <c r="HTU22" s="71"/>
      <c r="HTV22" s="71"/>
      <c r="HTW22" s="71"/>
      <c r="HTX22" s="71"/>
      <c r="HTY22" s="71"/>
      <c r="HTZ22" s="71"/>
      <c r="HUA22" s="71"/>
      <c r="HUB22" s="71"/>
      <c r="HUC22" s="71"/>
      <c r="HUD22" s="71"/>
      <c r="HUE22" s="71"/>
      <c r="HUF22" s="71"/>
      <c r="HUG22" s="71"/>
      <c r="HUH22" s="71"/>
      <c r="HUI22" s="71"/>
      <c r="HUJ22" s="71"/>
      <c r="HUK22" s="71"/>
      <c r="HUL22" s="71"/>
      <c r="HUM22" s="71"/>
      <c r="HUN22" s="71"/>
      <c r="HUO22" s="71"/>
      <c r="HUP22" s="71"/>
      <c r="HUQ22" s="71"/>
      <c r="HUR22" s="71"/>
      <c r="HUS22" s="71"/>
      <c r="HUT22" s="71"/>
      <c r="HUU22" s="71"/>
      <c r="HUV22" s="71"/>
      <c r="HUW22" s="71"/>
      <c r="HUX22" s="71"/>
      <c r="HUY22" s="71"/>
      <c r="HUZ22" s="71"/>
      <c r="HVA22" s="71"/>
      <c r="HVB22" s="71"/>
      <c r="HVC22" s="71"/>
      <c r="HVD22" s="71"/>
      <c r="HVE22" s="71"/>
      <c r="HVF22" s="71"/>
      <c r="HVG22" s="71"/>
      <c r="HVH22" s="71"/>
      <c r="HVI22" s="71"/>
      <c r="HVJ22" s="71"/>
      <c r="HVK22" s="71"/>
      <c r="HVL22" s="71"/>
      <c r="HVM22" s="71"/>
      <c r="HVN22" s="71"/>
      <c r="HVO22" s="71"/>
      <c r="HVP22" s="71"/>
      <c r="HVQ22" s="71"/>
      <c r="HVR22" s="71"/>
      <c r="HVS22" s="71"/>
      <c r="HVT22" s="71"/>
      <c r="HVU22" s="71"/>
      <c r="HVV22" s="71"/>
      <c r="HVW22" s="71"/>
      <c r="HVX22" s="71"/>
      <c r="HVY22" s="71"/>
      <c r="HVZ22" s="71"/>
      <c r="HWA22" s="71"/>
      <c r="HWB22" s="71"/>
      <c r="HWC22" s="71"/>
      <c r="HWD22" s="71"/>
      <c r="HWE22" s="71"/>
      <c r="HWF22" s="71"/>
      <c r="HWG22" s="71"/>
      <c r="HWH22" s="71"/>
      <c r="HWI22" s="71"/>
      <c r="HWJ22" s="71"/>
      <c r="HWK22" s="71"/>
      <c r="HWL22" s="71"/>
      <c r="HWM22" s="71"/>
      <c r="HWN22" s="71"/>
      <c r="HWO22" s="71"/>
      <c r="HWP22" s="71"/>
      <c r="HWQ22" s="71"/>
      <c r="HWR22" s="71"/>
      <c r="HWS22" s="71"/>
      <c r="HWT22" s="71"/>
      <c r="HWU22" s="71"/>
      <c r="HWV22" s="71"/>
      <c r="HWW22" s="71"/>
      <c r="HWX22" s="71"/>
      <c r="HWY22" s="71"/>
      <c r="HWZ22" s="71"/>
      <c r="HXA22" s="71"/>
      <c r="HXB22" s="71"/>
      <c r="HXC22" s="71"/>
      <c r="HXD22" s="71"/>
      <c r="HXE22" s="71"/>
      <c r="HXF22" s="71"/>
      <c r="HXG22" s="71"/>
      <c r="HXH22" s="71"/>
      <c r="HXI22" s="71"/>
      <c r="HXJ22" s="71"/>
      <c r="HXK22" s="71"/>
      <c r="HXL22" s="71"/>
      <c r="HXM22" s="71"/>
      <c r="HXN22" s="71"/>
      <c r="HXO22" s="71"/>
      <c r="HXP22" s="71"/>
      <c r="HXQ22" s="71"/>
      <c r="HXR22" s="71"/>
      <c r="HXS22" s="71"/>
      <c r="HXT22" s="71"/>
      <c r="HXU22" s="71"/>
      <c r="HXV22" s="71"/>
      <c r="HXW22" s="71"/>
      <c r="HXX22" s="71"/>
      <c r="HXY22" s="71"/>
      <c r="HXZ22" s="71"/>
      <c r="HYA22" s="71"/>
      <c r="HYB22" s="71"/>
      <c r="HYC22" s="71"/>
      <c r="HYD22" s="71"/>
      <c r="HYE22" s="71"/>
      <c r="HYF22" s="71"/>
      <c r="HYG22" s="71"/>
      <c r="HYH22" s="71"/>
      <c r="HYI22" s="71"/>
      <c r="HYJ22" s="71"/>
      <c r="HYK22" s="71"/>
      <c r="HYL22" s="71"/>
      <c r="HYM22" s="71"/>
      <c r="HYN22" s="71"/>
      <c r="HYO22" s="71"/>
      <c r="HYP22" s="71"/>
      <c r="HYQ22" s="71"/>
      <c r="HYR22" s="71"/>
      <c r="HYS22" s="71"/>
      <c r="HYT22" s="71"/>
      <c r="HYU22" s="71"/>
      <c r="HYV22" s="71"/>
      <c r="HYW22" s="71"/>
      <c r="HYX22" s="71"/>
      <c r="HYY22" s="71"/>
      <c r="HYZ22" s="71"/>
      <c r="HZA22" s="71"/>
      <c r="HZB22" s="71"/>
      <c r="HZC22" s="71"/>
      <c r="HZD22" s="71"/>
      <c r="HZE22" s="71"/>
      <c r="HZF22" s="71"/>
      <c r="HZG22" s="71"/>
      <c r="HZH22" s="71"/>
      <c r="HZI22" s="71"/>
      <c r="HZJ22" s="71"/>
      <c r="HZK22" s="71"/>
      <c r="HZL22" s="71"/>
      <c r="HZM22" s="71"/>
      <c r="HZN22" s="71"/>
      <c r="HZO22" s="71"/>
      <c r="HZP22" s="71"/>
      <c r="HZQ22" s="71"/>
      <c r="HZR22" s="71"/>
      <c r="HZS22" s="71"/>
      <c r="HZT22" s="71"/>
      <c r="HZU22" s="71"/>
      <c r="HZV22" s="71"/>
      <c r="HZW22" s="71"/>
      <c r="HZX22" s="71"/>
      <c r="HZY22" s="71"/>
      <c r="HZZ22" s="71"/>
      <c r="IAA22" s="71"/>
      <c r="IAB22" s="71"/>
      <c r="IAC22" s="71"/>
      <c r="IAD22" s="71"/>
      <c r="IAE22" s="71"/>
      <c r="IAF22" s="71"/>
      <c r="IAG22" s="71"/>
      <c r="IAH22" s="71"/>
      <c r="IAI22" s="71"/>
      <c r="IAJ22" s="71"/>
      <c r="IAK22" s="71"/>
      <c r="IAL22" s="71"/>
      <c r="IAM22" s="71"/>
      <c r="IAN22" s="71"/>
      <c r="IAO22" s="71"/>
      <c r="IAP22" s="71"/>
      <c r="IAQ22" s="71"/>
      <c r="IAR22" s="71"/>
      <c r="IAS22" s="71"/>
      <c r="IAT22" s="71"/>
      <c r="IAU22" s="71"/>
      <c r="IAV22" s="71"/>
      <c r="IAW22" s="71"/>
      <c r="IAX22" s="71"/>
      <c r="IAY22" s="71"/>
      <c r="IAZ22" s="71"/>
      <c r="IBA22" s="71"/>
      <c r="IBB22" s="71"/>
      <c r="IBC22" s="71"/>
      <c r="IBD22" s="71"/>
      <c r="IBE22" s="71"/>
      <c r="IBF22" s="71"/>
      <c r="IBG22" s="71"/>
      <c r="IBH22" s="71"/>
      <c r="IBI22" s="71"/>
      <c r="IBJ22" s="71"/>
      <c r="IBK22" s="71"/>
      <c r="IBL22" s="71"/>
      <c r="IBM22" s="71"/>
      <c r="IBN22" s="71"/>
      <c r="IBO22" s="71"/>
      <c r="IBP22" s="71"/>
      <c r="IBQ22" s="71"/>
      <c r="IBR22" s="71"/>
      <c r="IBS22" s="71"/>
      <c r="IBT22" s="71"/>
      <c r="IBU22" s="71"/>
      <c r="IBV22" s="71"/>
      <c r="IBW22" s="71"/>
      <c r="IBX22" s="71"/>
      <c r="IBY22" s="71"/>
      <c r="IBZ22" s="71"/>
      <c r="ICA22" s="71"/>
      <c r="ICB22" s="71"/>
      <c r="ICC22" s="71"/>
      <c r="ICD22" s="71"/>
      <c r="ICE22" s="71"/>
      <c r="ICF22" s="71"/>
      <c r="ICG22" s="71"/>
      <c r="ICH22" s="71"/>
      <c r="ICI22" s="71"/>
      <c r="ICJ22" s="71"/>
      <c r="ICK22" s="71"/>
      <c r="ICL22" s="71"/>
      <c r="ICM22" s="71"/>
      <c r="ICN22" s="71"/>
      <c r="ICO22" s="71"/>
      <c r="ICP22" s="71"/>
      <c r="ICQ22" s="71"/>
      <c r="ICR22" s="71"/>
      <c r="ICS22" s="71"/>
      <c r="ICT22" s="71"/>
      <c r="ICU22" s="71"/>
      <c r="ICV22" s="71"/>
      <c r="ICW22" s="71"/>
      <c r="ICX22" s="71"/>
      <c r="ICY22" s="71"/>
      <c r="ICZ22" s="71"/>
      <c r="IDA22" s="71"/>
      <c r="IDB22" s="71"/>
      <c r="IDC22" s="71"/>
      <c r="IDD22" s="71"/>
      <c r="IDE22" s="71"/>
      <c r="IDF22" s="71"/>
      <c r="IDG22" s="71"/>
      <c r="IDH22" s="71"/>
      <c r="IDI22" s="71"/>
      <c r="IDJ22" s="71"/>
      <c r="IDK22" s="71"/>
      <c r="IDL22" s="71"/>
      <c r="IDM22" s="71"/>
      <c r="IDN22" s="71"/>
      <c r="IDO22" s="71"/>
      <c r="IDP22" s="71"/>
      <c r="IDQ22" s="71"/>
      <c r="IDR22" s="71"/>
      <c r="IDS22" s="71"/>
      <c r="IDT22" s="71"/>
      <c r="IDU22" s="71"/>
      <c r="IDV22" s="71"/>
      <c r="IDW22" s="71"/>
      <c r="IDX22" s="71"/>
      <c r="IDY22" s="71"/>
      <c r="IDZ22" s="71"/>
      <c r="IEA22" s="71"/>
      <c r="IEB22" s="71"/>
      <c r="IEC22" s="71"/>
      <c r="IED22" s="71"/>
      <c r="IEE22" s="71"/>
      <c r="IEF22" s="71"/>
      <c r="IEG22" s="71"/>
      <c r="IEH22" s="71"/>
      <c r="IEI22" s="71"/>
      <c r="IEJ22" s="71"/>
      <c r="IEK22" s="71"/>
      <c r="IEL22" s="71"/>
      <c r="IEM22" s="71"/>
      <c r="IEN22" s="71"/>
      <c r="IEO22" s="71"/>
      <c r="IEP22" s="71"/>
      <c r="IEQ22" s="71"/>
      <c r="IER22" s="71"/>
      <c r="IES22" s="71"/>
      <c r="IET22" s="71"/>
      <c r="IEU22" s="71"/>
      <c r="IEV22" s="71"/>
      <c r="IEW22" s="71"/>
      <c r="IEX22" s="71"/>
      <c r="IEY22" s="71"/>
      <c r="IEZ22" s="71"/>
      <c r="IFA22" s="71"/>
      <c r="IFB22" s="71"/>
      <c r="IFC22" s="71"/>
      <c r="IFD22" s="71"/>
      <c r="IFE22" s="71"/>
      <c r="IFF22" s="71"/>
      <c r="IFG22" s="71"/>
      <c r="IFH22" s="71"/>
      <c r="IFI22" s="71"/>
      <c r="IFJ22" s="71"/>
      <c r="IFK22" s="71"/>
      <c r="IFL22" s="71"/>
      <c r="IFM22" s="71"/>
      <c r="IFN22" s="71"/>
      <c r="IFO22" s="71"/>
      <c r="IFP22" s="71"/>
      <c r="IFQ22" s="71"/>
      <c r="IFR22" s="71"/>
      <c r="IFS22" s="71"/>
      <c r="IFT22" s="71"/>
      <c r="IFU22" s="71"/>
      <c r="IFV22" s="71"/>
      <c r="IFW22" s="71"/>
      <c r="IFX22" s="71"/>
      <c r="IFY22" s="71"/>
      <c r="IFZ22" s="71"/>
      <c r="IGA22" s="71"/>
      <c r="IGB22" s="71"/>
      <c r="IGC22" s="71"/>
      <c r="IGD22" s="71"/>
      <c r="IGE22" s="71"/>
      <c r="IGF22" s="71"/>
      <c r="IGG22" s="71"/>
      <c r="IGH22" s="71"/>
      <c r="IGI22" s="71"/>
      <c r="IGJ22" s="71"/>
      <c r="IGK22" s="71"/>
      <c r="IGL22" s="71"/>
      <c r="IGM22" s="71"/>
      <c r="IGN22" s="71"/>
      <c r="IGO22" s="71"/>
      <c r="IGP22" s="71"/>
      <c r="IGQ22" s="71"/>
      <c r="IGR22" s="71"/>
      <c r="IGS22" s="71"/>
      <c r="IGT22" s="71"/>
      <c r="IGU22" s="71"/>
      <c r="IGV22" s="71"/>
      <c r="IGW22" s="71"/>
      <c r="IGX22" s="71"/>
      <c r="IGY22" s="71"/>
      <c r="IGZ22" s="71"/>
      <c r="IHA22" s="71"/>
      <c r="IHB22" s="71"/>
      <c r="IHC22" s="71"/>
      <c r="IHD22" s="71"/>
      <c r="IHE22" s="71"/>
      <c r="IHF22" s="71"/>
      <c r="IHG22" s="71"/>
      <c r="IHH22" s="71"/>
      <c r="IHI22" s="71"/>
      <c r="IHJ22" s="71"/>
      <c r="IHK22" s="71"/>
      <c r="IHL22" s="71"/>
      <c r="IHM22" s="71"/>
      <c r="IHN22" s="71"/>
      <c r="IHO22" s="71"/>
      <c r="IHP22" s="71"/>
      <c r="IHQ22" s="71"/>
      <c r="IHR22" s="71"/>
      <c r="IHS22" s="71"/>
      <c r="IHT22" s="71"/>
      <c r="IHU22" s="71"/>
      <c r="IHV22" s="71"/>
      <c r="IHW22" s="71"/>
      <c r="IHX22" s="71"/>
      <c r="IHY22" s="71"/>
      <c r="IHZ22" s="71"/>
      <c r="IIA22" s="71"/>
      <c r="IIB22" s="71"/>
      <c r="IIC22" s="71"/>
      <c r="IID22" s="71"/>
      <c r="IIE22" s="71"/>
      <c r="IIF22" s="71"/>
      <c r="IIG22" s="71"/>
      <c r="IIH22" s="71"/>
      <c r="III22" s="71"/>
      <c r="IIJ22" s="71"/>
      <c r="IIK22" s="71"/>
      <c r="IIL22" s="71"/>
      <c r="IIM22" s="71"/>
      <c r="IIN22" s="71"/>
      <c r="IIO22" s="71"/>
      <c r="IIP22" s="71"/>
      <c r="IIQ22" s="71"/>
      <c r="IIR22" s="71"/>
      <c r="IIS22" s="71"/>
      <c r="IIT22" s="71"/>
      <c r="IIU22" s="71"/>
      <c r="IIV22" s="71"/>
      <c r="IIW22" s="71"/>
      <c r="IIX22" s="71"/>
      <c r="IIY22" s="71"/>
      <c r="IIZ22" s="71"/>
      <c r="IJA22" s="71"/>
      <c r="IJB22" s="71"/>
      <c r="IJC22" s="71"/>
      <c r="IJD22" s="71"/>
      <c r="IJE22" s="71"/>
      <c r="IJF22" s="71"/>
      <c r="IJG22" s="71"/>
      <c r="IJH22" s="71"/>
      <c r="IJI22" s="71"/>
      <c r="IJJ22" s="71"/>
      <c r="IJK22" s="71"/>
      <c r="IJL22" s="71"/>
      <c r="IJM22" s="71"/>
      <c r="IJN22" s="71"/>
      <c r="IJO22" s="71"/>
      <c r="IJP22" s="71"/>
      <c r="IJQ22" s="71"/>
      <c r="IJR22" s="71"/>
      <c r="IJS22" s="71"/>
      <c r="IJT22" s="71"/>
      <c r="IJU22" s="71"/>
      <c r="IJV22" s="71"/>
      <c r="IJW22" s="71"/>
      <c r="IJX22" s="71"/>
      <c r="IJY22" s="71"/>
      <c r="IJZ22" s="71"/>
      <c r="IKA22" s="71"/>
      <c r="IKB22" s="71"/>
      <c r="IKC22" s="71"/>
      <c r="IKD22" s="71"/>
      <c r="IKE22" s="71"/>
      <c r="IKF22" s="71"/>
      <c r="IKG22" s="71"/>
      <c r="IKH22" s="71"/>
      <c r="IKI22" s="71"/>
      <c r="IKJ22" s="71"/>
      <c r="IKK22" s="71"/>
      <c r="IKL22" s="71"/>
      <c r="IKM22" s="71"/>
      <c r="IKN22" s="71"/>
      <c r="IKO22" s="71"/>
      <c r="IKP22" s="71"/>
      <c r="IKQ22" s="71"/>
      <c r="IKR22" s="71"/>
      <c r="IKS22" s="71"/>
      <c r="IKT22" s="71"/>
      <c r="IKU22" s="71"/>
      <c r="IKV22" s="71"/>
      <c r="IKW22" s="71"/>
      <c r="IKX22" s="71"/>
      <c r="IKY22" s="71"/>
      <c r="IKZ22" s="71"/>
      <c r="ILA22" s="71"/>
      <c r="ILB22" s="71"/>
      <c r="ILC22" s="71"/>
      <c r="ILD22" s="71"/>
      <c r="ILE22" s="71"/>
      <c r="ILF22" s="71"/>
      <c r="ILG22" s="71"/>
      <c r="ILH22" s="71"/>
      <c r="ILI22" s="71"/>
      <c r="ILJ22" s="71"/>
      <c r="ILK22" s="71"/>
      <c r="ILL22" s="71"/>
      <c r="ILM22" s="71"/>
      <c r="ILN22" s="71"/>
      <c r="ILO22" s="71"/>
      <c r="ILP22" s="71"/>
      <c r="ILQ22" s="71"/>
      <c r="ILR22" s="71"/>
      <c r="ILS22" s="71"/>
      <c r="ILT22" s="71"/>
      <c r="ILU22" s="71"/>
      <c r="ILV22" s="71"/>
      <c r="ILW22" s="71"/>
      <c r="ILX22" s="71"/>
      <c r="ILY22" s="71"/>
      <c r="ILZ22" s="71"/>
      <c r="IMA22" s="71"/>
      <c r="IMB22" s="71"/>
      <c r="IMC22" s="71"/>
      <c r="IMD22" s="71"/>
      <c r="IME22" s="71"/>
      <c r="IMF22" s="71"/>
      <c r="IMG22" s="71"/>
      <c r="IMH22" s="71"/>
      <c r="IMI22" s="71"/>
      <c r="IMJ22" s="71"/>
      <c r="IMK22" s="71"/>
      <c r="IML22" s="71"/>
      <c r="IMM22" s="71"/>
      <c r="IMN22" s="71"/>
      <c r="IMO22" s="71"/>
      <c r="IMP22" s="71"/>
      <c r="IMQ22" s="71"/>
      <c r="IMR22" s="71"/>
      <c r="IMS22" s="71"/>
      <c r="IMT22" s="71"/>
      <c r="IMU22" s="71"/>
      <c r="IMV22" s="71"/>
      <c r="IMW22" s="71"/>
      <c r="IMX22" s="71"/>
      <c r="IMY22" s="71"/>
      <c r="IMZ22" s="71"/>
      <c r="INA22" s="71"/>
      <c r="INB22" s="71"/>
      <c r="INC22" s="71"/>
      <c r="IND22" s="71"/>
      <c r="INE22" s="71"/>
      <c r="INF22" s="71"/>
      <c r="ING22" s="71"/>
      <c r="INH22" s="71"/>
      <c r="INI22" s="71"/>
      <c r="INJ22" s="71"/>
      <c r="INK22" s="71"/>
      <c r="INL22" s="71"/>
      <c r="INM22" s="71"/>
      <c r="INN22" s="71"/>
      <c r="INO22" s="71"/>
      <c r="INP22" s="71"/>
      <c r="INQ22" s="71"/>
      <c r="INR22" s="71"/>
      <c r="INS22" s="71"/>
      <c r="INT22" s="71"/>
      <c r="INU22" s="71"/>
      <c r="INV22" s="71"/>
      <c r="INW22" s="71"/>
      <c r="INX22" s="71"/>
      <c r="INY22" s="71"/>
      <c r="INZ22" s="71"/>
      <c r="IOA22" s="71"/>
      <c r="IOB22" s="71"/>
      <c r="IOC22" s="71"/>
      <c r="IOD22" s="71"/>
      <c r="IOE22" s="71"/>
      <c r="IOF22" s="71"/>
      <c r="IOG22" s="71"/>
      <c r="IOH22" s="71"/>
      <c r="IOI22" s="71"/>
      <c r="IOJ22" s="71"/>
      <c r="IOK22" s="71"/>
      <c r="IOL22" s="71"/>
      <c r="IOM22" s="71"/>
      <c r="ION22" s="71"/>
      <c r="IOO22" s="71"/>
      <c r="IOP22" s="71"/>
      <c r="IOQ22" s="71"/>
      <c r="IOR22" s="71"/>
      <c r="IOS22" s="71"/>
      <c r="IOT22" s="71"/>
      <c r="IOU22" s="71"/>
      <c r="IOV22" s="71"/>
      <c r="IOW22" s="71"/>
      <c r="IOX22" s="71"/>
      <c r="IOY22" s="71"/>
      <c r="IOZ22" s="71"/>
      <c r="IPA22" s="71"/>
      <c r="IPB22" s="71"/>
      <c r="IPC22" s="71"/>
      <c r="IPD22" s="71"/>
      <c r="IPE22" s="71"/>
      <c r="IPF22" s="71"/>
      <c r="IPG22" s="71"/>
      <c r="IPH22" s="71"/>
      <c r="IPI22" s="71"/>
      <c r="IPJ22" s="71"/>
      <c r="IPK22" s="71"/>
      <c r="IPL22" s="71"/>
      <c r="IPM22" s="71"/>
      <c r="IPN22" s="71"/>
      <c r="IPO22" s="71"/>
      <c r="IPP22" s="71"/>
      <c r="IPQ22" s="71"/>
      <c r="IPR22" s="71"/>
      <c r="IPS22" s="71"/>
      <c r="IPT22" s="71"/>
      <c r="IPU22" s="71"/>
      <c r="IPV22" s="71"/>
      <c r="IPW22" s="71"/>
      <c r="IPX22" s="71"/>
      <c r="IPY22" s="71"/>
      <c r="IPZ22" s="71"/>
      <c r="IQA22" s="71"/>
      <c r="IQB22" s="71"/>
      <c r="IQC22" s="71"/>
      <c r="IQD22" s="71"/>
      <c r="IQE22" s="71"/>
      <c r="IQF22" s="71"/>
      <c r="IQG22" s="71"/>
      <c r="IQH22" s="71"/>
      <c r="IQI22" s="71"/>
      <c r="IQJ22" s="71"/>
      <c r="IQK22" s="71"/>
      <c r="IQL22" s="71"/>
      <c r="IQM22" s="71"/>
      <c r="IQN22" s="71"/>
      <c r="IQO22" s="71"/>
      <c r="IQP22" s="71"/>
      <c r="IQQ22" s="71"/>
      <c r="IQR22" s="71"/>
      <c r="IQS22" s="71"/>
      <c r="IQT22" s="71"/>
      <c r="IQU22" s="71"/>
      <c r="IQV22" s="71"/>
      <c r="IQW22" s="71"/>
      <c r="IQX22" s="71"/>
      <c r="IQY22" s="71"/>
      <c r="IQZ22" s="71"/>
      <c r="IRA22" s="71"/>
      <c r="IRB22" s="71"/>
      <c r="IRC22" s="71"/>
      <c r="IRD22" s="71"/>
      <c r="IRE22" s="71"/>
      <c r="IRF22" s="71"/>
      <c r="IRG22" s="71"/>
      <c r="IRH22" s="71"/>
      <c r="IRI22" s="71"/>
      <c r="IRJ22" s="71"/>
      <c r="IRK22" s="71"/>
      <c r="IRL22" s="71"/>
      <c r="IRM22" s="71"/>
      <c r="IRN22" s="71"/>
      <c r="IRO22" s="71"/>
      <c r="IRP22" s="71"/>
      <c r="IRQ22" s="71"/>
      <c r="IRR22" s="71"/>
      <c r="IRS22" s="71"/>
      <c r="IRT22" s="71"/>
      <c r="IRU22" s="71"/>
      <c r="IRV22" s="71"/>
      <c r="IRW22" s="71"/>
      <c r="IRX22" s="71"/>
      <c r="IRY22" s="71"/>
      <c r="IRZ22" s="71"/>
      <c r="ISA22" s="71"/>
      <c r="ISB22" s="71"/>
      <c r="ISC22" s="71"/>
      <c r="ISD22" s="71"/>
      <c r="ISE22" s="71"/>
      <c r="ISF22" s="71"/>
      <c r="ISG22" s="71"/>
      <c r="ISH22" s="71"/>
      <c r="ISI22" s="71"/>
      <c r="ISJ22" s="71"/>
      <c r="ISK22" s="71"/>
      <c r="ISL22" s="71"/>
      <c r="ISM22" s="71"/>
      <c r="ISN22" s="71"/>
      <c r="ISO22" s="71"/>
      <c r="ISP22" s="71"/>
      <c r="ISQ22" s="71"/>
      <c r="ISR22" s="71"/>
      <c r="ISS22" s="71"/>
      <c r="IST22" s="71"/>
      <c r="ISU22" s="71"/>
      <c r="ISV22" s="71"/>
      <c r="ISW22" s="71"/>
      <c r="ISX22" s="71"/>
      <c r="ISY22" s="71"/>
      <c r="ISZ22" s="71"/>
      <c r="ITA22" s="71"/>
      <c r="ITB22" s="71"/>
      <c r="ITC22" s="71"/>
      <c r="ITD22" s="71"/>
      <c r="ITE22" s="71"/>
      <c r="ITF22" s="71"/>
      <c r="ITG22" s="71"/>
      <c r="ITH22" s="71"/>
      <c r="ITI22" s="71"/>
      <c r="ITJ22" s="71"/>
      <c r="ITK22" s="71"/>
      <c r="ITL22" s="71"/>
      <c r="ITM22" s="71"/>
      <c r="ITN22" s="71"/>
      <c r="ITO22" s="71"/>
      <c r="ITP22" s="71"/>
      <c r="ITQ22" s="71"/>
      <c r="ITR22" s="71"/>
      <c r="ITS22" s="71"/>
      <c r="ITT22" s="71"/>
      <c r="ITU22" s="71"/>
      <c r="ITV22" s="71"/>
      <c r="ITW22" s="71"/>
      <c r="ITX22" s="71"/>
      <c r="ITY22" s="71"/>
      <c r="ITZ22" s="71"/>
      <c r="IUA22" s="71"/>
      <c r="IUB22" s="71"/>
      <c r="IUC22" s="71"/>
      <c r="IUD22" s="71"/>
      <c r="IUE22" s="71"/>
      <c r="IUF22" s="71"/>
      <c r="IUG22" s="71"/>
      <c r="IUH22" s="71"/>
      <c r="IUI22" s="71"/>
      <c r="IUJ22" s="71"/>
      <c r="IUK22" s="71"/>
      <c r="IUL22" s="71"/>
      <c r="IUM22" s="71"/>
      <c r="IUN22" s="71"/>
      <c r="IUO22" s="71"/>
      <c r="IUP22" s="71"/>
      <c r="IUQ22" s="71"/>
      <c r="IUR22" s="71"/>
      <c r="IUS22" s="71"/>
      <c r="IUT22" s="71"/>
      <c r="IUU22" s="71"/>
      <c r="IUV22" s="71"/>
      <c r="IUW22" s="71"/>
      <c r="IUX22" s="71"/>
      <c r="IUY22" s="71"/>
      <c r="IUZ22" s="71"/>
      <c r="IVA22" s="71"/>
      <c r="IVB22" s="71"/>
      <c r="IVC22" s="71"/>
      <c r="IVD22" s="71"/>
      <c r="IVE22" s="71"/>
      <c r="IVF22" s="71"/>
      <c r="IVG22" s="71"/>
      <c r="IVH22" s="71"/>
      <c r="IVI22" s="71"/>
      <c r="IVJ22" s="71"/>
      <c r="IVK22" s="71"/>
      <c r="IVL22" s="71"/>
      <c r="IVM22" s="71"/>
      <c r="IVN22" s="71"/>
      <c r="IVO22" s="71"/>
      <c r="IVP22" s="71"/>
      <c r="IVQ22" s="71"/>
      <c r="IVR22" s="71"/>
      <c r="IVS22" s="71"/>
      <c r="IVT22" s="71"/>
      <c r="IVU22" s="71"/>
      <c r="IVV22" s="71"/>
      <c r="IVW22" s="71"/>
      <c r="IVX22" s="71"/>
      <c r="IVY22" s="71"/>
      <c r="IVZ22" s="71"/>
      <c r="IWA22" s="71"/>
      <c r="IWB22" s="71"/>
      <c r="IWC22" s="71"/>
      <c r="IWD22" s="71"/>
      <c r="IWE22" s="71"/>
      <c r="IWF22" s="71"/>
      <c r="IWG22" s="71"/>
      <c r="IWH22" s="71"/>
      <c r="IWI22" s="71"/>
      <c r="IWJ22" s="71"/>
      <c r="IWK22" s="71"/>
      <c r="IWL22" s="71"/>
      <c r="IWM22" s="71"/>
      <c r="IWN22" s="71"/>
      <c r="IWO22" s="71"/>
      <c r="IWP22" s="71"/>
      <c r="IWQ22" s="71"/>
      <c r="IWR22" s="71"/>
      <c r="IWS22" s="71"/>
      <c r="IWT22" s="71"/>
      <c r="IWU22" s="71"/>
      <c r="IWV22" s="71"/>
      <c r="IWW22" s="71"/>
      <c r="IWX22" s="71"/>
      <c r="IWY22" s="71"/>
      <c r="IWZ22" s="71"/>
      <c r="IXA22" s="71"/>
      <c r="IXB22" s="71"/>
      <c r="IXC22" s="71"/>
      <c r="IXD22" s="71"/>
      <c r="IXE22" s="71"/>
      <c r="IXF22" s="71"/>
      <c r="IXG22" s="71"/>
      <c r="IXH22" s="71"/>
      <c r="IXI22" s="71"/>
      <c r="IXJ22" s="71"/>
      <c r="IXK22" s="71"/>
      <c r="IXL22" s="71"/>
      <c r="IXM22" s="71"/>
      <c r="IXN22" s="71"/>
      <c r="IXO22" s="71"/>
      <c r="IXP22" s="71"/>
      <c r="IXQ22" s="71"/>
      <c r="IXR22" s="71"/>
      <c r="IXS22" s="71"/>
      <c r="IXT22" s="71"/>
      <c r="IXU22" s="71"/>
      <c r="IXV22" s="71"/>
      <c r="IXW22" s="71"/>
      <c r="IXX22" s="71"/>
      <c r="IXY22" s="71"/>
      <c r="IXZ22" s="71"/>
      <c r="IYA22" s="71"/>
      <c r="IYB22" s="71"/>
      <c r="IYC22" s="71"/>
      <c r="IYD22" s="71"/>
      <c r="IYE22" s="71"/>
      <c r="IYF22" s="71"/>
      <c r="IYG22" s="71"/>
      <c r="IYH22" s="71"/>
      <c r="IYI22" s="71"/>
      <c r="IYJ22" s="71"/>
      <c r="IYK22" s="71"/>
      <c r="IYL22" s="71"/>
      <c r="IYM22" s="71"/>
      <c r="IYN22" s="71"/>
      <c r="IYO22" s="71"/>
      <c r="IYP22" s="71"/>
      <c r="IYQ22" s="71"/>
      <c r="IYR22" s="71"/>
      <c r="IYS22" s="71"/>
      <c r="IYT22" s="71"/>
      <c r="IYU22" s="71"/>
      <c r="IYV22" s="71"/>
      <c r="IYW22" s="71"/>
      <c r="IYX22" s="71"/>
      <c r="IYY22" s="71"/>
      <c r="IYZ22" s="71"/>
      <c r="IZA22" s="71"/>
      <c r="IZB22" s="71"/>
      <c r="IZC22" s="71"/>
      <c r="IZD22" s="71"/>
      <c r="IZE22" s="71"/>
      <c r="IZF22" s="71"/>
      <c r="IZG22" s="71"/>
      <c r="IZH22" s="71"/>
      <c r="IZI22" s="71"/>
      <c r="IZJ22" s="71"/>
      <c r="IZK22" s="71"/>
      <c r="IZL22" s="71"/>
      <c r="IZM22" s="71"/>
      <c r="IZN22" s="71"/>
      <c r="IZO22" s="71"/>
      <c r="IZP22" s="71"/>
      <c r="IZQ22" s="71"/>
      <c r="IZR22" s="71"/>
      <c r="IZS22" s="71"/>
      <c r="IZT22" s="71"/>
      <c r="IZU22" s="71"/>
      <c r="IZV22" s="71"/>
      <c r="IZW22" s="71"/>
      <c r="IZX22" s="71"/>
      <c r="IZY22" s="71"/>
      <c r="IZZ22" s="71"/>
      <c r="JAA22" s="71"/>
      <c r="JAB22" s="71"/>
      <c r="JAC22" s="71"/>
      <c r="JAD22" s="71"/>
      <c r="JAE22" s="71"/>
      <c r="JAF22" s="71"/>
      <c r="JAG22" s="71"/>
      <c r="JAH22" s="71"/>
      <c r="JAI22" s="71"/>
      <c r="JAJ22" s="71"/>
      <c r="JAK22" s="71"/>
      <c r="JAL22" s="71"/>
      <c r="JAM22" s="71"/>
      <c r="JAN22" s="71"/>
      <c r="JAO22" s="71"/>
      <c r="JAP22" s="71"/>
      <c r="JAQ22" s="71"/>
      <c r="JAR22" s="71"/>
      <c r="JAS22" s="71"/>
      <c r="JAT22" s="71"/>
      <c r="JAU22" s="71"/>
      <c r="JAV22" s="71"/>
      <c r="JAW22" s="71"/>
      <c r="JAX22" s="71"/>
      <c r="JAY22" s="71"/>
      <c r="JAZ22" s="71"/>
      <c r="JBA22" s="71"/>
      <c r="JBB22" s="71"/>
      <c r="JBC22" s="71"/>
      <c r="JBD22" s="71"/>
      <c r="JBE22" s="71"/>
      <c r="JBF22" s="71"/>
      <c r="JBG22" s="71"/>
      <c r="JBH22" s="71"/>
      <c r="JBI22" s="71"/>
      <c r="JBJ22" s="71"/>
      <c r="JBK22" s="71"/>
      <c r="JBL22" s="71"/>
      <c r="JBM22" s="71"/>
      <c r="JBN22" s="71"/>
      <c r="JBO22" s="71"/>
      <c r="JBP22" s="71"/>
      <c r="JBQ22" s="71"/>
      <c r="JBR22" s="71"/>
      <c r="JBS22" s="71"/>
      <c r="JBT22" s="71"/>
      <c r="JBU22" s="71"/>
      <c r="JBV22" s="71"/>
      <c r="JBW22" s="71"/>
      <c r="JBX22" s="71"/>
      <c r="JBY22" s="71"/>
      <c r="JBZ22" s="71"/>
      <c r="JCA22" s="71"/>
      <c r="JCB22" s="71"/>
      <c r="JCC22" s="71"/>
      <c r="JCD22" s="71"/>
      <c r="JCE22" s="71"/>
      <c r="JCF22" s="71"/>
      <c r="JCG22" s="71"/>
      <c r="JCH22" s="71"/>
      <c r="JCI22" s="71"/>
      <c r="JCJ22" s="71"/>
      <c r="JCK22" s="71"/>
      <c r="JCL22" s="71"/>
      <c r="JCM22" s="71"/>
      <c r="JCN22" s="71"/>
      <c r="JCO22" s="71"/>
      <c r="JCP22" s="71"/>
      <c r="JCQ22" s="71"/>
      <c r="JCR22" s="71"/>
      <c r="JCS22" s="71"/>
      <c r="JCT22" s="71"/>
      <c r="JCU22" s="71"/>
      <c r="JCV22" s="71"/>
      <c r="JCW22" s="71"/>
      <c r="JCX22" s="71"/>
      <c r="JCY22" s="71"/>
      <c r="JCZ22" s="71"/>
      <c r="JDA22" s="71"/>
      <c r="JDB22" s="71"/>
      <c r="JDC22" s="71"/>
      <c r="JDD22" s="71"/>
      <c r="JDE22" s="71"/>
      <c r="JDF22" s="71"/>
      <c r="JDG22" s="71"/>
      <c r="JDH22" s="71"/>
      <c r="JDI22" s="71"/>
      <c r="JDJ22" s="71"/>
      <c r="JDK22" s="71"/>
      <c r="JDL22" s="71"/>
      <c r="JDM22" s="71"/>
      <c r="JDN22" s="71"/>
      <c r="JDO22" s="71"/>
      <c r="JDP22" s="71"/>
      <c r="JDQ22" s="71"/>
      <c r="JDR22" s="71"/>
      <c r="JDS22" s="71"/>
      <c r="JDT22" s="71"/>
      <c r="JDU22" s="71"/>
      <c r="JDV22" s="71"/>
      <c r="JDW22" s="71"/>
      <c r="JDX22" s="71"/>
      <c r="JDY22" s="71"/>
      <c r="JDZ22" s="71"/>
      <c r="JEA22" s="71"/>
      <c r="JEB22" s="71"/>
      <c r="JEC22" s="71"/>
      <c r="JED22" s="71"/>
      <c r="JEE22" s="71"/>
      <c r="JEF22" s="71"/>
      <c r="JEG22" s="71"/>
      <c r="JEH22" s="71"/>
      <c r="JEI22" s="71"/>
      <c r="JEJ22" s="71"/>
      <c r="JEK22" s="71"/>
      <c r="JEL22" s="71"/>
      <c r="JEM22" s="71"/>
      <c r="JEN22" s="71"/>
      <c r="JEO22" s="71"/>
      <c r="JEP22" s="71"/>
      <c r="JEQ22" s="71"/>
      <c r="JER22" s="71"/>
      <c r="JES22" s="71"/>
      <c r="JET22" s="71"/>
      <c r="JEU22" s="71"/>
      <c r="JEV22" s="71"/>
      <c r="JEW22" s="71"/>
      <c r="JEX22" s="71"/>
      <c r="JEY22" s="71"/>
      <c r="JEZ22" s="71"/>
      <c r="JFA22" s="71"/>
      <c r="JFB22" s="71"/>
      <c r="JFC22" s="71"/>
      <c r="JFD22" s="71"/>
      <c r="JFE22" s="71"/>
      <c r="JFF22" s="71"/>
      <c r="JFG22" s="71"/>
      <c r="JFH22" s="71"/>
      <c r="JFI22" s="71"/>
      <c r="JFJ22" s="71"/>
      <c r="JFK22" s="71"/>
      <c r="JFL22" s="71"/>
      <c r="JFM22" s="71"/>
      <c r="JFN22" s="71"/>
      <c r="JFO22" s="71"/>
      <c r="JFP22" s="71"/>
      <c r="JFQ22" s="71"/>
      <c r="JFR22" s="71"/>
      <c r="JFS22" s="71"/>
      <c r="JFT22" s="71"/>
      <c r="JFU22" s="71"/>
      <c r="JFV22" s="71"/>
      <c r="JFW22" s="71"/>
      <c r="JFX22" s="71"/>
      <c r="JFY22" s="71"/>
      <c r="JFZ22" s="71"/>
      <c r="JGA22" s="71"/>
      <c r="JGB22" s="71"/>
      <c r="JGC22" s="71"/>
      <c r="JGD22" s="71"/>
      <c r="JGE22" s="71"/>
      <c r="JGF22" s="71"/>
      <c r="JGG22" s="71"/>
      <c r="JGH22" s="71"/>
      <c r="JGI22" s="71"/>
      <c r="JGJ22" s="71"/>
      <c r="JGK22" s="71"/>
      <c r="JGL22" s="71"/>
      <c r="JGM22" s="71"/>
      <c r="JGN22" s="71"/>
      <c r="JGO22" s="71"/>
      <c r="JGP22" s="71"/>
      <c r="JGQ22" s="71"/>
      <c r="JGR22" s="71"/>
      <c r="JGS22" s="71"/>
      <c r="JGT22" s="71"/>
      <c r="JGU22" s="71"/>
      <c r="JGV22" s="71"/>
      <c r="JGW22" s="71"/>
      <c r="JGX22" s="71"/>
      <c r="JGY22" s="71"/>
      <c r="JGZ22" s="71"/>
      <c r="JHA22" s="71"/>
      <c r="JHB22" s="71"/>
      <c r="JHC22" s="71"/>
      <c r="JHD22" s="71"/>
      <c r="JHE22" s="71"/>
      <c r="JHF22" s="71"/>
      <c r="JHG22" s="71"/>
      <c r="JHH22" s="71"/>
      <c r="JHI22" s="71"/>
      <c r="JHJ22" s="71"/>
      <c r="JHK22" s="71"/>
      <c r="JHL22" s="71"/>
      <c r="JHM22" s="71"/>
      <c r="JHN22" s="71"/>
      <c r="JHO22" s="71"/>
      <c r="JHP22" s="71"/>
      <c r="JHQ22" s="71"/>
      <c r="JHR22" s="71"/>
      <c r="JHS22" s="71"/>
      <c r="JHT22" s="71"/>
      <c r="JHU22" s="71"/>
      <c r="JHV22" s="71"/>
      <c r="JHW22" s="71"/>
      <c r="JHX22" s="71"/>
      <c r="JHY22" s="71"/>
      <c r="JHZ22" s="71"/>
      <c r="JIA22" s="71"/>
      <c r="JIB22" s="71"/>
      <c r="JIC22" s="71"/>
      <c r="JID22" s="71"/>
      <c r="JIE22" s="71"/>
      <c r="JIF22" s="71"/>
      <c r="JIG22" s="71"/>
      <c r="JIH22" s="71"/>
      <c r="JII22" s="71"/>
      <c r="JIJ22" s="71"/>
      <c r="JIK22" s="71"/>
      <c r="JIL22" s="71"/>
      <c r="JIM22" s="71"/>
      <c r="JIN22" s="71"/>
      <c r="JIO22" s="71"/>
      <c r="JIP22" s="71"/>
      <c r="JIQ22" s="71"/>
      <c r="JIR22" s="71"/>
      <c r="JIS22" s="71"/>
      <c r="JIT22" s="71"/>
      <c r="JIU22" s="71"/>
      <c r="JIV22" s="71"/>
      <c r="JIW22" s="71"/>
      <c r="JIX22" s="71"/>
      <c r="JIY22" s="71"/>
      <c r="JIZ22" s="71"/>
      <c r="JJA22" s="71"/>
      <c r="JJB22" s="71"/>
      <c r="JJC22" s="71"/>
      <c r="JJD22" s="71"/>
      <c r="JJE22" s="71"/>
      <c r="JJF22" s="71"/>
      <c r="JJG22" s="71"/>
      <c r="JJH22" s="71"/>
      <c r="JJI22" s="71"/>
      <c r="JJJ22" s="71"/>
      <c r="JJK22" s="71"/>
      <c r="JJL22" s="71"/>
      <c r="JJM22" s="71"/>
      <c r="JJN22" s="71"/>
      <c r="JJO22" s="71"/>
      <c r="JJP22" s="71"/>
      <c r="JJQ22" s="71"/>
      <c r="JJR22" s="71"/>
      <c r="JJS22" s="71"/>
      <c r="JJT22" s="71"/>
      <c r="JJU22" s="71"/>
      <c r="JJV22" s="71"/>
      <c r="JJW22" s="71"/>
      <c r="JJX22" s="71"/>
      <c r="JJY22" s="71"/>
      <c r="JJZ22" s="71"/>
      <c r="JKA22" s="71"/>
      <c r="JKB22" s="71"/>
      <c r="JKC22" s="71"/>
      <c r="JKD22" s="71"/>
      <c r="JKE22" s="71"/>
      <c r="JKF22" s="71"/>
      <c r="JKG22" s="71"/>
      <c r="JKH22" s="71"/>
      <c r="JKI22" s="71"/>
      <c r="JKJ22" s="71"/>
      <c r="JKK22" s="71"/>
      <c r="JKL22" s="71"/>
      <c r="JKM22" s="71"/>
      <c r="JKN22" s="71"/>
      <c r="JKO22" s="71"/>
      <c r="JKP22" s="71"/>
      <c r="JKQ22" s="71"/>
      <c r="JKR22" s="71"/>
      <c r="JKS22" s="71"/>
      <c r="JKT22" s="71"/>
      <c r="JKU22" s="71"/>
      <c r="JKV22" s="71"/>
      <c r="JKW22" s="71"/>
      <c r="JKX22" s="71"/>
      <c r="JKY22" s="71"/>
      <c r="JKZ22" s="71"/>
      <c r="JLA22" s="71"/>
      <c r="JLB22" s="71"/>
      <c r="JLC22" s="71"/>
      <c r="JLD22" s="71"/>
      <c r="JLE22" s="71"/>
      <c r="JLF22" s="71"/>
      <c r="JLG22" s="71"/>
      <c r="JLH22" s="71"/>
      <c r="JLI22" s="71"/>
      <c r="JLJ22" s="71"/>
      <c r="JLK22" s="71"/>
      <c r="JLL22" s="71"/>
      <c r="JLM22" s="71"/>
      <c r="JLN22" s="71"/>
      <c r="JLO22" s="71"/>
      <c r="JLP22" s="71"/>
      <c r="JLQ22" s="71"/>
      <c r="JLR22" s="71"/>
      <c r="JLS22" s="71"/>
      <c r="JLT22" s="71"/>
      <c r="JLU22" s="71"/>
      <c r="JLV22" s="71"/>
      <c r="JLW22" s="71"/>
      <c r="JLX22" s="71"/>
      <c r="JLY22" s="71"/>
      <c r="JLZ22" s="71"/>
      <c r="JMA22" s="71"/>
      <c r="JMB22" s="71"/>
      <c r="JMC22" s="71"/>
      <c r="JMD22" s="71"/>
      <c r="JME22" s="71"/>
      <c r="JMF22" s="71"/>
      <c r="JMG22" s="71"/>
      <c r="JMH22" s="71"/>
      <c r="JMI22" s="71"/>
      <c r="JMJ22" s="71"/>
      <c r="JMK22" s="71"/>
      <c r="JML22" s="71"/>
      <c r="JMM22" s="71"/>
      <c r="JMN22" s="71"/>
      <c r="JMO22" s="71"/>
      <c r="JMP22" s="71"/>
      <c r="JMQ22" s="71"/>
      <c r="JMR22" s="71"/>
      <c r="JMS22" s="71"/>
      <c r="JMT22" s="71"/>
      <c r="JMU22" s="71"/>
      <c r="JMV22" s="71"/>
      <c r="JMW22" s="71"/>
      <c r="JMX22" s="71"/>
      <c r="JMY22" s="71"/>
      <c r="JMZ22" s="71"/>
      <c r="JNA22" s="71"/>
      <c r="JNB22" s="71"/>
      <c r="JNC22" s="71"/>
      <c r="JND22" s="71"/>
      <c r="JNE22" s="71"/>
      <c r="JNF22" s="71"/>
      <c r="JNG22" s="71"/>
      <c r="JNH22" s="71"/>
      <c r="JNI22" s="71"/>
      <c r="JNJ22" s="71"/>
      <c r="JNK22" s="71"/>
      <c r="JNL22" s="71"/>
      <c r="JNM22" s="71"/>
      <c r="JNN22" s="71"/>
      <c r="JNO22" s="71"/>
      <c r="JNP22" s="71"/>
      <c r="JNQ22" s="71"/>
      <c r="JNR22" s="71"/>
      <c r="JNS22" s="71"/>
      <c r="JNT22" s="71"/>
      <c r="JNU22" s="71"/>
      <c r="JNV22" s="71"/>
      <c r="JNW22" s="71"/>
      <c r="JNX22" s="71"/>
      <c r="JNY22" s="71"/>
      <c r="JNZ22" s="71"/>
      <c r="JOA22" s="71"/>
      <c r="JOB22" s="71"/>
      <c r="JOC22" s="71"/>
      <c r="JOD22" s="71"/>
      <c r="JOE22" s="71"/>
      <c r="JOF22" s="71"/>
      <c r="JOG22" s="71"/>
      <c r="JOH22" s="71"/>
      <c r="JOI22" s="71"/>
      <c r="JOJ22" s="71"/>
      <c r="JOK22" s="71"/>
      <c r="JOL22" s="71"/>
      <c r="JOM22" s="71"/>
      <c r="JON22" s="71"/>
      <c r="JOO22" s="71"/>
      <c r="JOP22" s="71"/>
      <c r="JOQ22" s="71"/>
      <c r="JOR22" s="71"/>
      <c r="JOS22" s="71"/>
      <c r="JOT22" s="71"/>
      <c r="JOU22" s="71"/>
      <c r="JOV22" s="71"/>
      <c r="JOW22" s="71"/>
      <c r="JOX22" s="71"/>
      <c r="JOY22" s="71"/>
      <c r="JOZ22" s="71"/>
      <c r="JPA22" s="71"/>
      <c r="JPB22" s="71"/>
      <c r="JPC22" s="71"/>
      <c r="JPD22" s="71"/>
      <c r="JPE22" s="71"/>
      <c r="JPF22" s="71"/>
      <c r="JPG22" s="71"/>
      <c r="JPH22" s="71"/>
      <c r="JPI22" s="71"/>
      <c r="JPJ22" s="71"/>
      <c r="JPK22" s="71"/>
      <c r="JPL22" s="71"/>
      <c r="JPM22" s="71"/>
      <c r="JPN22" s="71"/>
      <c r="JPO22" s="71"/>
      <c r="JPP22" s="71"/>
      <c r="JPQ22" s="71"/>
      <c r="JPR22" s="71"/>
      <c r="JPS22" s="71"/>
      <c r="JPT22" s="71"/>
      <c r="JPU22" s="71"/>
      <c r="JPV22" s="71"/>
      <c r="JPW22" s="71"/>
      <c r="JPX22" s="71"/>
      <c r="JPY22" s="71"/>
      <c r="JPZ22" s="71"/>
      <c r="JQA22" s="71"/>
      <c r="JQB22" s="71"/>
      <c r="JQC22" s="71"/>
      <c r="JQD22" s="71"/>
      <c r="JQE22" s="71"/>
      <c r="JQF22" s="71"/>
      <c r="JQG22" s="71"/>
      <c r="JQH22" s="71"/>
      <c r="JQI22" s="71"/>
      <c r="JQJ22" s="71"/>
      <c r="JQK22" s="71"/>
      <c r="JQL22" s="71"/>
      <c r="JQM22" s="71"/>
      <c r="JQN22" s="71"/>
      <c r="JQO22" s="71"/>
      <c r="JQP22" s="71"/>
      <c r="JQQ22" s="71"/>
      <c r="JQR22" s="71"/>
      <c r="JQS22" s="71"/>
      <c r="JQT22" s="71"/>
      <c r="JQU22" s="71"/>
      <c r="JQV22" s="71"/>
      <c r="JQW22" s="71"/>
      <c r="JQX22" s="71"/>
      <c r="JQY22" s="71"/>
      <c r="JQZ22" s="71"/>
      <c r="JRA22" s="71"/>
      <c r="JRB22" s="71"/>
      <c r="JRC22" s="71"/>
      <c r="JRD22" s="71"/>
      <c r="JRE22" s="71"/>
      <c r="JRF22" s="71"/>
      <c r="JRG22" s="71"/>
      <c r="JRH22" s="71"/>
      <c r="JRI22" s="71"/>
      <c r="JRJ22" s="71"/>
      <c r="JRK22" s="71"/>
      <c r="JRL22" s="71"/>
      <c r="JRM22" s="71"/>
      <c r="JRN22" s="71"/>
      <c r="JRO22" s="71"/>
      <c r="JRP22" s="71"/>
      <c r="JRQ22" s="71"/>
      <c r="JRR22" s="71"/>
      <c r="JRS22" s="71"/>
      <c r="JRT22" s="71"/>
      <c r="JRU22" s="71"/>
      <c r="JRV22" s="71"/>
      <c r="JRW22" s="71"/>
      <c r="JRX22" s="71"/>
      <c r="JRY22" s="71"/>
      <c r="JRZ22" s="71"/>
      <c r="JSA22" s="71"/>
      <c r="JSB22" s="71"/>
      <c r="JSC22" s="71"/>
      <c r="JSD22" s="71"/>
      <c r="JSE22" s="71"/>
      <c r="JSF22" s="71"/>
      <c r="JSG22" s="71"/>
      <c r="JSH22" s="71"/>
      <c r="JSI22" s="71"/>
      <c r="JSJ22" s="71"/>
      <c r="JSK22" s="71"/>
      <c r="JSL22" s="71"/>
      <c r="JSM22" s="71"/>
      <c r="JSN22" s="71"/>
      <c r="JSO22" s="71"/>
      <c r="JSP22" s="71"/>
      <c r="JSQ22" s="71"/>
      <c r="JSR22" s="71"/>
      <c r="JSS22" s="71"/>
      <c r="JST22" s="71"/>
      <c r="JSU22" s="71"/>
      <c r="JSV22" s="71"/>
      <c r="JSW22" s="71"/>
      <c r="JSX22" s="71"/>
      <c r="JSY22" s="71"/>
      <c r="JSZ22" s="71"/>
      <c r="JTA22" s="71"/>
      <c r="JTB22" s="71"/>
      <c r="JTC22" s="71"/>
      <c r="JTD22" s="71"/>
      <c r="JTE22" s="71"/>
      <c r="JTF22" s="71"/>
      <c r="JTG22" s="71"/>
      <c r="JTH22" s="71"/>
      <c r="JTI22" s="71"/>
      <c r="JTJ22" s="71"/>
      <c r="JTK22" s="71"/>
      <c r="JTL22" s="71"/>
      <c r="JTM22" s="71"/>
      <c r="JTN22" s="71"/>
      <c r="JTO22" s="71"/>
      <c r="JTP22" s="71"/>
      <c r="JTQ22" s="71"/>
      <c r="JTR22" s="71"/>
      <c r="JTS22" s="71"/>
      <c r="JTT22" s="71"/>
      <c r="JTU22" s="71"/>
      <c r="JTV22" s="71"/>
      <c r="JTW22" s="71"/>
      <c r="JTX22" s="71"/>
      <c r="JTY22" s="71"/>
      <c r="JTZ22" s="71"/>
      <c r="JUA22" s="71"/>
      <c r="JUB22" s="71"/>
      <c r="JUC22" s="71"/>
      <c r="JUD22" s="71"/>
      <c r="JUE22" s="71"/>
      <c r="JUF22" s="71"/>
      <c r="JUG22" s="71"/>
      <c r="JUH22" s="71"/>
      <c r="JUI22" s="71"/>
      <c r="JUJ22" s="71"/>
      <c r="JUK22" s="71"/>
      <c r="JUL22" s="71"/>
      <c r="JUM22" s="71"/>
      <c r="JUN22" s="71"/>
      <c r="JUO22" s="71"/>
      <c r="JUP22" s="71"/>
      <c r="JUQ22" s="71"/>
      <c r="JUR22" s="71"/>
      <c r="JUS22" s="71"/>
      <c r="JUT22" s="71"/>
      <c r="JUU22" s="71"/>
      <c r="JUV22" s="71"/>
      <c r="JUW22" s="71"/>
      <c r="JUX22" s="71"/>
      <c r="JUY22" s="71"/>
      <c r="JUZ22" s="71"/>
      <c r="JVA22" s="71"/>
      <c r="JVB22" s="71"/>
      <c r="JVC22" s="71"/>
      <c r="JVD22" s="71"/>
      <c r="JVE22" s="71"/>
      <c r="JVF22" s="71"/>
      <c r="JVG22" s="71"/>
      <c r="JVH22" s="71"/>
      <c r="JVI22" s="71"/>
      <c r="JVJ22" s="71"/>
      <c r="JVK22" s="71"/>
      <c r="JVL22" s="71"/>
      <c r="JVM22" s="71"/>
      <c r="JVN22" s="71"/>
      <c r="JVO22" s="71"/>
      <c r="JVP22" s="71"/>
      <c r="JVQ22" s="71"/>
      <c r="JVR22" s="71"/>
      <c r="JVS22" s="71"/>
      <c r="JVT22" s="71"/>
      <c r="JVU22" s="71"/>
      <c r="JVV22" s="71"/>
      <c r="JVW22" s="71"/>
      <c r="JVX22" s="71"/>
      <c r="JVY22" s="71"/>
      <c r="JVZ22" s="71"/>
      <c r="JWA22" s="71"/>
      <c r="JWB22" s="71"/>
      <c r="JWC22" s="71"/>
      <c r="JWD22" s="71"/>
      <c r="JWE22" s="71"/>
      <c r="JWF22" s="71"/>
      <c r="JWG22" s="71"/>
      <c r="JWH22" s="71"/>
      <c r="JWI22" s="71"/>
      <c r="JWJ22" s="71"/>
      <c r="JWK22" s="71"/>
      <c r="JWL22" s="71"/>
      <c r="JWM22" s="71"/>
      <c r="JWN22" s="71"/>
      <c r="JWO22" s="71"/>
      <c r="JWP22" s="71"/>
      <c r="JWQ22" s="71"/>
      <c r="JWR22" s="71"/>
      <c r="JWS22" s="71"/>
      <c r="JWT22" s="71"/>
      <c r="JWU22" s="71"/>
      <c r="JWV22" s="71"/>
      <c r="JWW22" s="71"/>
      <c r="JWX22" s="71"/>
      <c r="JWY22" s="71"/>
      <c r="JWZ22" s="71"/>
      <c r="JXA22" s="71"/>
      <c r="JXB22" s="71"/>
      <c r="JXC22" s="71"/>
      <c r="JXD22" s="71"/>
      <c r="JXE22" s="71"/>
      <c r="JXF22" s="71"/>
      <c r="JXG22" s="71"/>
      <c r="JXH22" s="71"/>
      <c r="JXI22" s="71"/>
      <c r="JXJ22" s="71"/>
      <c r="JXK22" s="71"/>
      <c r="JXL22" s="71"/>
      <c r="JXM22" s="71"/>
      <c r="JXN22" s="71"/>
      <c r="JXO22" s="71"/>
      <c r="JXP22" s="71"/>
      <c r="JXQ22" s="71"/>
      <c r="JXR22" s="71"/>
      <c r="JXS22" s="71"/>
      <c r="JXT22" s="71"/>
      <c r="JXU22" s="71"/>
      <c r="JXV22" s="71"/>
      <c r="JXW22" s="71"/>
      <c r="JXX22" s="71"/>
      <c r="JXY22" s="71"/>
      <c r="JXZ22" s="71"/>
      <c r="JYA22" s="71"/>
      <c r="JYB22" s="71"/>
      <c r="JYC22" s="71"/>
      <c r="JYD22" s="71"/>
      <c r="JYE22" s="71"/>
      <c r="JYF22" s="71"/>
      <c r="JYG22" s="71"/>
      <c r="JYH22" s="71"/>
      <c r="JYI22" s="71"/>
      <c r="JYJ22" s="71"/>
      <c r="JYK22" s="71"/>
      <c r="JYL22" s="71"/>
      <c r="JYM22" s="71"/>
      <c r="JYN22" s="71"/>
      <c r="JYO22" s="71"/>
      <c r="JYP22" s="71"/>
      <c r="JYQ22" s="71"/>
      <c r="JYR22" s="71"/>
      <c r="JYS22" s="71"/>
      <c r="JYT22" s="71"/>
      <c r="JYU22" s="71"/>
      <c r="JYV22" s="71"/>
      <c r="JYW22" s="71"/>
      <c r="JYX22" s="71"/>
      <c r="JYY22" s="71"/>
      <c r="JYZ22" s="71"/>
      <c r="JZA22" s="71"/>
      <c r="JZB22" s="71"/>
      <c r="JZC22" s="71"/>
      <c r="JZD22" s="71"/>
      <c r="JZE22" s="71"/>
      <c r="JZF22" s="71"/>
      <c r="JZG22" s="71"/>
      <c r="JZH22" s="71"/>
      <c r="JZI22" s="71"/>
      <c r="JZJ22" s="71"/>
      <c r="JZK22" s="71"/>
      <c r="JZL22" s="71"/>
      <c r="JZM22" s="71"/>
      <c r="JZN22" s="71"/>
      <c r="JZO22" s="71"/>
      <c r="JZP22" s="71"/>
      <c r="JZQ22" s="71"/>
      <c r="JZR22" s="71"/>
      <c r="JZS22" s="71"/>
      <c r="JZT22" s="71"/>
      <c r="JZU22" s="71"/>
      <c r="JZV22" s="71"/>
      <c r="JZW22" s="71"/>
      <c r="JZX22" s="71"/>
      <c r="JZY22" s="71"/>
      <c r="JZZ22" s="71"/>
      <c r="KAA22" s="71"/>
      <c r="KAB22" s="71"/>
      <c r="KAC22" s="71"/>
      <c r="KAD22" s="71"/>
      <c r="KAE22" s="71"/>
      <c r="KAF22" s="71"/>
      <c r="KAG22" s="71"/>
      <c r="KAH22" s="71"/>
      <c r="KAI22" s="71"/>
      <c r="KAJ22" s="71"/>
      <c r="KAK22" s="71"/>
      <c r="KAL22" s="71"/>
      <c r="KAM22" s="71"/>
      <c r="KAN22" s="71"/>
      <c r="KAO22" s="71"/>
      <c r="KAP22" s="71"/>
      <c r="KAQ22" s="71"/>
      <c r="KAR22" s="71"/>
      <c r="KAS22" s="71"/>
      <c r="KAT22" s="71"/>
      <c r="KAU22" s="71"/>
      <c r="KAV22" s="71"/>
      <c r="KAW22" s="71"/>
      <c r="KAX22" s="71"/>
      <c r="KAY22" s="71"/>
      <c r="KAZ22" s="71"/>
      <c r="KBA22" s="71"/>
      <c r="KBB22" s="71"/>
      <c r="KBC22" s="71"/>
      <c r="KBD22" s="71"/>
      <c r="KBE22" s="71"/>
      <c r="KBF22" s="71"/>
      <c r="KBG22" s="71"/>
      <c r="KBH22" s="71"/>
      <c r="KBI22" s="71"/>
      <c r="KBJ22" s="71"/>
      <c r="KBK22" s="71"/>
      <c r="KBL22" s="71"/>
      <c r="KBM22" s="71"/>
      <c r="KBN22" s="71"/>
      <c r="KBO22" s="71"/>
      <c r="KBP22" s="71"/>
      <c r="KBQ22" s="71"/>
      <c r="KBR22" s="71"/>
      <c r="KBS22" s="71"/>
      <c r="KBT22" s="71"/>
      <c r="KBU22" s="71"/>
      <c r="KBV22" s="71"/>
      <c r="KBW22" s="71"/>
      <c r="KBX22" s="71"/>
      <c r="KBY22" s="71"/>
      <c r="KBZ22" s="71"/>
      <c r="KCA22" s="71"/>
      <c r="KCB22" s="71"/>
      <c r="KCC22" s="71"/>
      <c r="KCD22" s="71"/>
      <c r="KCE22" s="71"/>
      <c r="KCF22" s="71"/>
      <c r="KCG22" s="71"/>
      <c r="KCH22" s="71"/>
      <c r="KCI22" s="71"/>
      <c r="KCJ22" s="71"/>
      <c r="KCK22" s="71"/>
      <c r="KCL22" s="71"/>
      <c r="KCM22" s="71"/>
      <c r="KCN22" s="71"/>
      <c r="KCO22" s="71"/>
      <c r="KCP22" s="71"/>
      <c r="KCQ22" s="71"/>
      <c r="KCR22" s="71"/>
      <c r="KCS22" s="71"/>
      <c r="KCT22" s="71"/>
      <c r="KCU22" s="71"/>
      <c r="KCV22" s="71"/>
      <c r="KCW22" s="71"/>
      <c r="KCX22" s="71"/>
      <c r="KCY22" s="71"/>
      <c r="KCZ22" s="71"/>
      <c r="KDA22" s="71"/>
      <c r="KDB22" s="71"/>
      <c r="KDC22" s="71"/>
      <c r="KDD22" s="71"/>
      <c r="KDE22" s="71"/>
      <c r="KDF22" s="71"/>
      <c r="KDG22" s="71"/>
      <c r="KDH22" s="71"/>
      <c r="KDI22" s="71"/>
      <c r="KDJ22" s="71"/>
      <c r="KDK22" s="71"/>
      <c r="KDL22" s="71"/>
      <c r="KDM22" s="71"/>
      <c r="KDN22" s="71"/>
      <c r="KDO22" s="71"/>
      <c r="KDP22" s="71"/>
      <c r="KDQ22" s="71"/>
      <c r="KDR22" s="71"/>
      <c r="KDS22" s="71"/>
      <c r="KDT22" s="71"/>
      <c r="KDU22" s="71"/>
      <c r="KDV22" s="71"/>
      <c r="KDW22" s="71"/>
      <c r="KDX22" s="71"/>
      <c r="KDY22" s="71"/>
      <c r="KDZ22" s="71"/>
      <c r="KEA22" s="71"/>
      <c r="KEB22" s="71"/>
      <c r="KEC22" s="71"/>
      <c r="KED22" s="71"/>
      <c r="KEE22" s="71"/>
      <c r="KEF22" s="71"/>
      <c r="KEG22" s="71"/>
      <c r="KEH22" s="71"/>
      <c r="KEI22" s="71"/>
      <c r="KEJ22" s="71"/>
      <c r="KEK22" s="71"/>
      <c r="KEL22" s="71"/>
      <c r="KEM22" s="71"/>
      <c r="KEN22" s="71"/>
      <c r="KEO22" s="71"/>
      <c r="KEP22" s="71"/>
      <c r="KEQ22" s="71"/>
      <c r="KER22" s="71"/>
      <c r="KES22" s="71"/>
      <c r="KET22" s="71"/>
      <c r="KEU22" s="71"/>
      <c r="KEV22" s="71"/>
      <c r="KEW22" s="71"/>
      <c r="KEX22" s="71"/>
      <c r="KEY22" s="71"/>
      <c r="KEZ22" s="71"/>
      <c r="KFA22" s="71"/>
      <c r="KFB22" s="71"/>
      <c r="KFC22" s="71"/>
      <c r="KFD22" s="71"/>
      <c r="KFE22" s="71"/>
      <c r="KFF22" s="71"/>
      <c r="KFG22" s="71"/>
      <c r="KFH22" s="71"/>
      <c r="KFI22" s="71"/>
      <c r="KFJ22" s="71"/>
      <c r="KFK22" s="71"/>
      <c r="KFL22" s="71"/>
      <c r="KFM22" s="71"/>
      <c r="KFN22" s="71"/>
      <c r="KFO22" s="71"/>
      <c r="KFP22" s="71"/>
      <c r="KFQ22" s="71"/>
      <c r="KFR22" s="71"/>
      <c r="KFS22" s="71"/>
      <c r="KFT22" s="71"/>
      <c r="KFU22" s="71"/>
      <c r="KFV22" s="71"/>
      <c r="KFW22" s="71"/>
      <c r="KFX22" s="71"/>
      <c r="KFY22" s="71"/>
      <c r="KFZ22" s="71"/>
      <c r="KGA22" s="71"/>
      <c r="KGB22" s="71"/>
      <c r="KGC22" s="71"/>
      <c r="KGD22" s="71"/>
      <c r="KGE22" s="71"/>
      <c r="KGF22" s="71"/>
      <c r="KGG22" s="71"/>
      <c r="KGH22" s="71"/>
      <c r="KGI22" s="71"/>
      <c r="KGJ22" s="71"/>
      <c r="KGK22" s="71"/>
      <c r="KGL22" s="71"/>
      <c r="KGM22" s="71"/>
      <c r="KGN22" s="71"/>
      <c r="KGO22" s="71"/>
      <c r="KGP22" s="71"/>
      <c r="KGQ22" s="71"/>
      <c r="KGR22" s="71"/>
      <c r="KGS22" s="71"/>
      <c r="KGT22" s="71"/>
      <c r="KGU22" s="71"/>
      <c r="KGV22" s="71"/>
      <c r="KGW22" s="71"/>
      <c r="KGX22" s="71"/>
      <c r="KGY22" s="71"/>
      <c r="KGZ22" s="71"/>
      <c r="KHA22" s="71"/>
      <c r="KHB22" s="71"/>
      <c r="KHC22" s="71"/>
      <c r="KHD22" s="71"/>
      <c r="KHE22" s="71"/>
      <c r="KHF22" s="71"/>
      <c r="KHG22" s="71"/>
      <c r="KHH22" s="71"/>
      <c r="KHI22" s="71"/>
      <c r="KHJ22" s="71"/>
      <c r="KHK22" s="71"/>
      <c r="KHL22" s="71"/>
      <c r="KHM22" s="71"/>
      <c r="KHN22" s="71"/>
      <c r="KHO22" s="71"/>
      <c r="KHP22" s="71"/>
      <c r="KHQ22" s="71"/>
      <c r="KHR22" s="71"/>
      <c r="KHS22" s="71"/>
      <c r="KHT22" s="71"/>
      <c r="KHU22" s="71"/>
      <c r="KHV22" s="71"/>
      <c r="KHW22" s="71"/>
      <c r="KHX22" s="71"/>
      <c r="KHY22" s="71"/>
      <c r="KHZ22" s="71"/>
      <c r="KIA22" s="71"/>
      <c r="KIB22" s="71"/>
      <c r="KIC22" s="71"/>
      <c r="KID22" s="71"/>
      <c r="KIE22" s="71"/>
      <c r="KIF22" s="71"/>
      <c r="KIG22" s="71"/>
      <c r="KIH22" s="71"/>
      <c r="KII22" s="71"/>
      <c r="KIJ22" s="71"/>
      <c r="KIK22" s="71"/>
      <c r="KIL22" s="71"/>
      <c r="KIM22" s="71"/>
      <c r="KIN22" s="71"/>
      <c r="KIO22" s="71"/>
      <c r="KIP22" s="71"/>
      <c r="KIQ22" s="71"/>
      <c r="KIR22" s="71"/>
      <c r="KIS22" s="71"/>
      <c r="KIT22" s="71"/>
      <c r="KIU22" s="71"/>
      <c r="KIV22" s="71"/>
      <c r="KIW22" s="71"/>
      <c r="KIX22" s="71"/>
      <c r="KIY22" s="71"/>
      <c r="KIZ22" s="71"/>
      <c r="KJA22" s="71"/>
      <c r="KJB22" s="71"/>
      <c r="KJC22" s="71"/>
      <c r="KJD22" s="71"/>
      <c r="KJE22" s="71"/>
      <c r="KJF22" s="71"/>
      <c r="KJG22" s="71"/>
      <c r="KJH22" s="71"/>
      <c r="KJI22" s="71"/>
      <c r="KJJ22" s="71"/>
      <c r="KJK22" s="71"/>
      <c r="KJL22" s="71"/>
      <c r="KJM22" s="71"/>
      <c r="KJN22" s="71"/>
      <c r="KJO22" s="71"/>
      <c r="KJP22" s="71"/>
      <c r="KJQ22" s="71"/>
      <c r="KJR22" s="71"/>
      <c r="KJS22" s="71"/>
      <c r="KJT22" s="71"/>
      <c r="KJU22" s="71"/>
      <c r="KJV22" s="71"/>
      <c r="KJW22" s="71"/>
      <c r="KJX22" s="71"/>
      <c r="KJY22" s="71"/>
      <c r="KJZ22" s="71"/>
      <c r="KKA22" s="71"/>
      <c r="KKB22" s="71"/>
      <c r="KKC22" s="71"/>
      <c r="KKD22" s="71"/>
      <c r="KKE22" s="71"/>
      <c r="KKF22" s="71"/>
      <c r="KKG22" s="71"/>
      <c r="KKH22" s="71"/>
      <c r="KKI22" s="71"/>
      <c r="KKJ22" s="71"/>
      <c r="KKK22" s="71"/>
      <c r="KKL22" s="71"/>
      <c r="KKM22" s="71"/>
      <c r="KKN22" s="71"/>
      <c r="KKO22" s="71"/>
      <c r="KKP22" s="71"/>
      <c r="KKQ22" s="71"/>
      <c r="KKR22" s="71"/>
      <c r="KKS22" s="71"/>
      <c r="KKT22" s="71"/>
      <c r="KKU22" s="71"/>
      <c r="KKV22" s="71"/>
      <c r="KKW22" s="71"/>
      <c r="KKX22" s="71"/>
      <c r="KKY22" s="71"/>
      <c r="KKZ22" s="71"/>
      <c r="KLA22" s="71"/>
      <c r="KLB22" s="71"/>
      <c r="KLC22" s="71"/>
      <c r="KLD22" s="71"/>
      <c r="KLE22" s="71"/>
      <c r="KLF22" s="71"/>
      <c r="KLG22" s="71"/>
      <c r="KLH22" s="71"/>
      <c r="KLI22" s="71"/>
      <c r="KLJ22" s="71"/>
      <c r="KLK22" s="71"/>
      <c r="KLL22" s="71"/>
      <c r="KLM22" s="71"/>
      <c r="KLN22" s="71"/>
      <c r="KLO22" s="71"/>
      <c r="KLP22" s="71"/>
      <c r="KLQ22" s="71"/>
      <c r="KLR22" s="71"/>
      <c r="KLS22" s="71"/>
      <c r="KLT22" s="71"/>
      <c r="KLU22" s="71"/>
      <c r="KLV22" s="71"/>
      <c r="KLW22" s="71"/>
      <c r="KLX22" s="71"/>
      <c r="KLY22" s="71"/>
      <c r="KLZ22" s="71"/>
      <c r="KMA22" s="71"/>
      <c r="KMB22" s="71"/>
      <c r="KMC22" s="71"/>
      <c r="KMD22" s="71"/>
      <c r="KME22" s="71"/>
      <c r="KMF22" s="71"/>
      <c r="KMG22" s="71"/>
      <c r="KMH22" s="71"/>
      <c r="KMI22" s="71"/>
      <c r="KMJ22" s="71"/>
      <c r="KMK22" s="71"/>
      <c r="KML22" s="71"/>
      <c r="KMM22" s="71"/>
      <c r="KMN22" s="71"/>
      <c r="KMO22" s="71"/>
      <c r="KMP22" s="71"/>
      <c r="KMQ22" s="71"/>
      <c r="KMR22" s="71"/>
      <c r="KMS22" s="71"/>
      <c r="KMT22" s="71"/>
      <c r="KMU22" s="71"/>
      <c r="KMV22" s="71"/>
      <c r="KMW22" s="71"/>
      <c r="KMX22" s="71"/>
      <c r="KMY22" s="71"/>
      <c r="KMZ22" s="71"/>
      <c r="KNA22" s="71"/>
      <c r="KNB22" s="71"/>
      <c r="KNC22" s="71"/>
      <c r="KND22" s="71"/>
      <c r="KNE22" s="71"/>
      <c r="KNF22" s="71"/>
      <c r="KNG22" s="71"/>
      <c r="KNH22" s="71"/>
      <c r="KNI22" s="71"/>
      <c r="KNJ22" s="71"/>
      <c r="KNK22" s="71"/>
      <c r="KNL22" s="71"/>
      <c r="KNM22" s="71"/>
      <c r="KNN22" s="71"/>
      <c r="KNO22" s="71"/>
      <c r="KNP22" s="71"/>
      <c r="KNQ22" s="71"/>
      <c r="KNR22" s="71"/>
      <c r="KNS22" s="71"/>
      <c r="KNT22" s="71"/>
      <c r="KNU22" s="71"/>
      <c r="KNV22" s="71"/>
      <c r="KNW22" s="71"/>
      <c r="KNX22" s="71"/>
      <c r="KNY22" s="71"/>
      <c r="KNZ22" s="71"/>
      <c r="KOA22" s="71"/>
      <c r="KOB22" s="71"/>
      <c r="KOC22" s="71"/>
      <c r="KOD22" s="71"/>
      <c r="KOE22" s="71"/>
      <c r="KOF22" s="71"/>
      <c r="KOG22" s="71"/>
      <c r="KOH22" s="71"/>
      <c r="KOI22" s="71"/>
      <c r="KOJ22" s="71"/>
      <c r="KOK22" s="71"/>
      <c r="KOL22" s="71"/>
      <c r="KOM22" s="71"/>
      <c r="KON22" s="71"/>
      <c r="KOO22" s="71"/>
      <c r="KOP22" s="71"/>
      <c r="KOQ22" s="71"/>
      <c r="KOR22" s="71"/>
      <c r="KOS22" s="71"/>
      <c r="KOT22" s="71"/>
      <c r="KOU22" s="71"/>
      <c r="KOV22" s="71"/>
      <c r="KOW22" s="71"/>
      <c r="KOX22" s="71"/>
      <c r="KOY22" s="71"/>
      <c r="KOZ22" s="71"/>
      <c r="KPA22" s="71"/>
      <c r="KPB22" s="71"/>
      <c r="KPC22" s="71"/>
      <c r="KPD22" s="71"/>
      <c r="KPE22" s="71"/>
      <c r="KPF22" s="71"/>
      <c r="KPG22" s="71"/>
      <c r="KPH22" s="71"/>
      <c r="KPI22" s="71"/>
      <c r="KPJ22" s="71"/>
      <c r="KPK22" s="71"/>
      <c r="KPL22" s="71"/>
      <c r="KPM22" s="71"/>
      <c r="KPN22" s="71"/>
      <c r="KPO22" s="71"/>
      <c r="KPP22" s="71"/>
      <c r="KPQ22" s="71"/>
      <c r="KPR22" s="71"/>
      <c r="KPS22" s="71"/>
      <c r="KPT22" s="71"/>
      <c r="KPU22" s="71"/>
      <c r="KPV22" s="71"/>
      <c r="KPW22" s="71"/>
      <c r="KPX22" s="71"/>
      <c r="KPY22" s="71"/>
      <c r="KPZ22" s="71"/>
      <c r="KQA22" s="71"/>
      <c r="KQB22" s="71"/>
      <c r="KQC22" s="71"/>
      <c r="KQD22" s="71"/>
      <c r="KQE22" s="71"/>
      <c r="KQF22" s="71"/>
      <c r="KQG22" s="71"/>
      <c r="KQH22" s="71"/>
      <c r="KQI22" s="71"/>
      <c r="KQJ22" s="71"/>
      <c r="KQK22" s="71"/>
      <c r="KQL22" s="71"/>
      <c r="KQM22" s="71"/>
      <c r="KQN22" s="71"/>
      <c r="KQO22" s="71"/>
      <c r="KQP22" s="71"/>
      <c r="KQQ22" s="71"/>
      <c r="KQR22" s="71"/>
      <c r="KQS22" s="71"/>
      <c r="KQT22" s="71"/>
      <c r="KQU22" s="71"/>
      <c r="KQV22" s="71"/>
      <c r="KQW22" s="71"/>
      <c r="KQX22" s="71"/>
      <c r="KQY22" s="71"/>
      <c r="KQZ22" s="71"/>
      <c r="KRA22" s="71"/>
      <c r="KRB22" s="71"/>
      <c r="KRC22" s="71"/>
      <c r="KRD22" s="71"/>
      <c r="KRE22" s="71"/>
      <c r="KRF22" s="71"/>
      <c r="KRG22" s="71"/>
      <c r="KRH22" s="71"/>
      <c r="KRI22" s="71"/>
      <c r="KRJ22" s="71"/>
      <c r="KRK22" s="71"/>
      <c r="KRL22" s="71"/>
      <c r="KRM22" s="71"/>
      <c r="KRN22" s="71"/>
      <c r="KRO22" s="71"/>
      <c r="KRP22" s="71"/>
      <c r="KRQ22" s="71"/>
      <c r="KRR22" s="71"/>
      <c r="KRS22" s="71"/>
      <c r="KRT22" s="71"/>
      <c r="KRU22" s="71"/>
      <c r="KRV22" s="71"/>
      <c r="KRW22" s="71"/>
      <c r="KRX22" s="71"/>
      <c r="KRY22" s="71"/>
      <c r="KRZ22" s="71"/>
      <c r="KSA22" s="71"/>
      <c r="KSB22" s="71"/>
      <c r="KSC22" s="71"/>
      <c r="KSD22" s="71"/>
      <c r="KSE22" s="71"/>
      <c r="KSF22" s="71"/>
      <c r="KSG22" s="71"/>
      <c r="KSH22" s="71"/>
      <c r="KSI22" s="71"/>
      <c r="KSJ22" s="71"/>
      <c r="KSK22" s="71"/>
      <c r="KSL22" s="71"/>
      <c r="KSM22" s="71"/>
      <c r="KSN22" s="71"/>
      <c r="KSO22" s="71"/>
      <c r="KSP22" s="71"/>
      <c r="KSQ22" s="71"/>
      <c r="KSR22" s="71"/>
      <c r="KSS22" s="71"/>
      <c r="KST22" s="71"/>
      <c r="KSU22" s="71"/>
      <c r="KSV22" s="71"/>
      <c r="KSW22" s="71"/>
      <c r="KSX22" s="71"/>
      <c r="KSY22" s="71"/>
      <c r="KSZ22" s="71"/>
      <c r="KTA22" s="71"/>
      <c r="KTB22" s="71"/>
      <c r="KTC22" s="71"/>
      <c r="KTD22" s="71"/>
      <c r="KTE22" s="71"/>
      <c r="KTF22" s="71"/>
      <c r="KTG22" s="71"/>
      <c r="KTH22" s="71"/>
      <c r="KTI22" s="71"/>
      <c r="KTJ22" s="71"/>
      <c r="KTK22" s="71"/>
      <c r="KTL22" s="71"/>
      <c r="KTM22" s="71"/>
      <c r="KTN22" s="71"/>
      <c r="KTO22" s="71"/>
      <c r="KTP22" s="71"/>
      <c r="KTQ22" s="71"/>
      <c r="KTR22" s="71"/>
      <c r="KTS22" s="71"/>
      <c r="KTT22" s="71"/>
      <c r="KTU22" s="71"/>
      <c r="KTV22" s="71"/>
      <c r="KTW22" s="71"/>
      <c r="KTX22" s="71"/>
      <c r="KTY22" s="71"/>
      <c r="KTZ22" s="71"/>
      <c r="KUA22" s="71"/>
      <c r="KUB22" s="71"/>
      <c r="KUC22" s="71"/>
      <c r="KUD22" s="71"/>
      <c r="KUE22" s="71"/>
      <c r="KUF22" s="71"/>
      <c r="KUG22" s="71"/>
      <c r="KUH22" s="71"/>
      <c r="KUI22" s="71"/>
      <c r="KUJ22" s="71"/>
      <c r="KUK22" s="71"/>
      <c r="KUL22" s="71"/>
      <c r="KUM22" s="71"/>
      <c r="KUN22" s="71"/>
      <c r="KUO22" s="71"/>
      <c r="KUP22" s="71"/>
      <c r="KUQ22" s="71"/>
      <c r="KUR22" s="71"/>
      <c r="KUS22" s="71"/>
      <c r="KUT22" s="71"/>
      <c r="KUU22" s="71"/>
      <c r="KUV22" s="71"/>
      <c r="KUW22" s="71"/>
      <c r="KUX22" s="71"/>
      <c r="KUY22" s="71"/>
      <c r="KUZ22" s="71"/>
      <c r="KVA22" s="71"/>
      <c r="KVB22" s="71"/>
      <c r="KVC22" s="71"/>
      <c r="KVD22" s="71"/>
      <c r="KVE22" s="71"/>
      <c r="KVF22" s="71"/>
      <c r="KVG22" s="71"/>
      <c r="KVH22" s="71"/>
      <c r="KVI22" s="71"/>
      <c r="KVJ22" s="71"/>
      <c r="KVK22" s="71"/>
      <c r="KVL22" s="71"/>
      <c r="KVM22" s="71"/>
      <c r="KVN22" s="71"/>
      <c r="KVO22" s="71"/>
      <c r="KVP22" s="71"/>
      <c r="KVQ22" s="71"/>
      <c r="KVR22" s="71"/>
      <c r="KVS22" s="71"/>
      <c r="KVT22" s="71"/>
      <c r="KVU22" s="71"/>
      <c r="KVV22" s="71"/>
      <c r="KVW22" s="71"/>
      <c r="KVX22" s="71"/>
      <c r="KVY22" s="71"/>
      <c r="KVZ22" s="71"/>
      <c r="KWA22" s="71"/>
      <c r="KWB22" s="71"/>
      <c r="KWC22" s="71"/>
      <c r="KWD22" s="71"/>
      <c r="KWE22" s="71"/>
      <c r="KWF22" s="71"/>
      <c r="KWG22" s="71"/>
      <c r="KWH22" s="71"/>
      <c r="KWI22" s="71"/>
      <c r="KWJ22" s="71"/>
      <c r="KWK22" s="71"/>
      <c r="KWL22" s="71"/>
      <c r="KWM22" s="71"/>
      <c r="KWN22" s="71"/>
      <c r="KWO22" s="71"/>
      <c r="KWP22" s="71"/>
      <c r="KWQ22" s="71"/>
      <c r="KWR22" s="71"/>
      <c r="KWS22" s="71"/>
      <c r="KWT22" s="71"/>
      <c r="KWU22" s="71"/>
      <c r="KWV22" s="71"/>
      <c r="KWW22" s="71"/>
      <c r="KWX22" s="71"/>
      <c r="KWY22" s="71"/>
      <c r="KWZ22" s="71"/>
      <c r="KXA22" s="71"/>
      <c r="KXB22" s="71"/>
      <c r="KXC22" s="71"/>
      <c r="KXD22" s="71"/>
      <c r="KXE22" s="71"/>
      <c r="KXF22" s="71"/>
      <c r="KXG22" s="71"/>
      <c r="KXH22" s="71"/>
      <c r="KXI22" s="71"/>
      <c r="KXJ22" s="71"/>
      <c r="KXK22" s="71"/>
      <c r="KXL22" s="71"/>
      <c r="KXM22" s="71"/>
      <c r="KXN22" s="71"/>
      <c r="KXO22" s="71"/>
      <c r="KXP22" s="71"/>
      <c r="KXQ22" s="71"/>
      <c r="KXR22" s="71"/>
      <c r="KXS22" s="71"/>
      <c r="KXT22" s="71"/>
      <c r="KXU22" s="71"/>
      <c r="KXV22" s="71"/>
      <c r="KXW22" s="71"/>
      <c r="KXX22" s="71"/>
      <c r="KXY22" s="71"/>
      <c r="KXZ22" s="71"/>
      <c r="KYA22" s="71"/>
      <c r="KYB22" s="71"/>
      <c r="KYC22" s="71"/>
      <c r="KYD22" s="71"/>
      <c r="KYE22" s="71"/>
      <c r="KYF22" s="71"/>
      <c r="KYG22" s="71"/>
      <c r="KYH22" s="71"/>
      <c r="KYI22" s="71"/>
      <c r="KYJ22" s="71"/>
      <c r="KYK22" s="71"/>
      <c r="KYL22" s="71"/>
      <c r="KYM22" s="71"/>
      <c r="KYN22" s="71"/>
      <c r="KYO22" s="71"/>
      <c r="KYP22" s="71"/>
      <c r="KYQ22" s="71"/>
      <c r="KYR22" s="71"/>
      <c r="KYS22" s="71"/>
      <c r="KYT22" s="71"/>
      <c r="KYU22" s="71"/>
      <c r="KYV22" s="71"/>
      <c r="KYW22" s="71"/>
      <c r="KYX22" s="71"/>
      <c r="KYY22" s="71"/>
      <c r="KYZ22" s="71"/>
      <c r="KZA22" s="71"/>
      <c r="KZB22" s="71"/>
      <c r="KZC22" s="71"/>
      <c r="KZD22" s="71"/>
      <c r="KZE22" s="71"/>
      <c r="KZF22" s="71"/>
      <c r="KZG22" s="71"/>
      <c r="KZH22" s="71"/>
      <c r="KZI22" s="71"/>
      <c r="KZJ22" s="71"/>
      <c r="KZK22" s="71"/>
      <c r="KZL22" s="71"/>
      <c r="KZM22" s="71"/>
      <c r="KZN22" s="71"/>
      <c r="KZO22" s="71"/>
      <c r="KZP22" s="71"/>
      <c r="KZQ22" s="71"/>
      <c r="KZR22" s="71"/>
      <c r="KZS22" s="71"/>
      <c r="KZT22" s="71"/>
      <c r="KZU22" s="71"/>
      <c r="KZV22" s="71"/>
      <c r="KZW22" s="71"/>
      <c r="KZX22" s="71"/>
      <c r="KZY22" s="71"/>
      <c r="KZZ22" s="71"/>
      <c r="LAA22" s="71"/>
      <c r="LAB22" s="71"/>
      <c r="LAC22" s="71"/>
      <c r="LAD22" s="71"/>
      <c r="LAE22" s="71"/>
      <c r="LAF22" s="71"/>
      <c r="LAG22" s="71"/>
      <c r="LAH22" s="71"/>
      <c r="LAI22" s="71"/>
      <c r="LAJ22" s="71"/>
      <c r="LAK22" s="71"/>
      <c r="LAL22" s="71"/>
      <c r="LAM22" s="71"/>
      <c r="LAN22" s="71"/>
      <c r="LAO22" s="71"/>
      <c r="LAP22" s="71"/>
      <c r="LAQ22" s="71"/>
      <c r="LAR22" s="71"/>
      <c r="LAS22" s="71"/>
      <c r="LAT22" s="71"/>
      <c r="LAU22" s="71"/>
      <c r="LAV22" s="71"/>
      <c r="LAW22" s="71"/>
      <c r="LAX22" s="71"/>
      <c r="LAY22" s="71"/>
      <c r="LAZ22" s="71"/>
      <c r="LBA22" s="71"/>
      <c r="LBB22" s="71"/>
      <c r="LBC22" s="71"/>
      <c r="LBD22" s="71"/>
      <c r="LBE22" s="71"/>
      <c r="LBF22" s="71"/>
      <c r="LBG22" s="71"/>
      <c r="LBH22" s="71"/>
      <c r="LBI22" s="71"/>
      <c r="LBJ22" s="71"/>
      <c r="LBK22" s="71"/>
      <c r="LBL22" s="71"/>
      <c r="LBM22" s="71"/>
      <c r="LBN22" s="71"/>
      <c r="LBO22" s="71"/>
      <c r="LBP22" s="71"/>
      <c r="LBQ22" s="71"/>
      <c r="LBR22" s="71"/>
      <c r="LBS22" s="71"/>
      <c r="LBT22" s="71"/>
      <c r="LBU22" s="71"/>
      <c r="LBV22" s="71"/>
      <c r="LBW22" s="71"/>
      <c r="LBX22" s="71"/>
      <c r="LBY22" s="71"/>
      <c r="LBZ22" s="71"/>
      <c r="LCA22" s="71"/>
      <c r="LCB22" s="71"/>
      <c r="LCC22" s="71"/>
      <c r="LCD22" s="71"/>
      <c r="LCE22" s="71"/>
      <c r="LCF22" s="71"/>
      <c r="LCG22" s="71"/>
      <c r="LCH22" s="71"/>
      <c r="LCI22" s="71"/>
      <c r="LCJ22" s="71"/>
      <c r="LCK22" s="71"/>
      <c r="LCL22" s="71"/>
      <c r="LCM22" s="71"/>
      <c r="LCN22" s="71"/>
      <c r="LCO22" s="71"/>
      <c r="LCP22" s="71"/>
      <c r="LCQ22" s="71"/>
      <c r="LCR22" s="71"/>
      <c r="LCS22" s="71"/>
      <c r="LCT22" s="71"/>
      <c r="LCU22" s="71"/>
      <c r="LCV22" s="71"/>
      <c r="LCW22" s="71"/>
      <c r="LCX22" s="71"/>
      <c r="LCY22" s="71"/>
      <c r="LCZ22" s="71"/>
      <c r="LDA22" s="71"/>
      <c r="LDB22" s="71"/>
      <c r="LDC22" s="71"/>
      <c r="LDD22" s="71"/>
      <c r="LDE22" s="71"/>
      <c r="LDF22" s="71"/>
      <c r="LDG22" s="71"/>
      <c r="LDH22" s="71"/>
      <c r="LDI22" s="71"/>
      <c r="LDJ22" s="71"/>
      <c r="LDK22" s="71"/>
      <c r="LDL22" s="71"/>
      <c r="LDM22" s="71"/>
      <c r="LDN22" s="71"/>
      <c r="LDO22" s="71"/>
      <c r="LDP22" s="71"/>
      <c r="LDQ22" s="71"/>
      <c r="LDR22" s="71"/>
      <c r="LDS22" s="71"/>
      <c r="LDT22" s="71"/>
      <c r="LDU22" s="71"/>
      <c r="LDV22" s="71"/>
      <c r="LDW22" s="71"/>
      <c r="LDX22" s="71"/>
      <c r="LDY22" s="71"/>
      <c r="LDZ22" s="71"/>
      <c r="LEA22" s="71"/>
      <c r="LEB22" s="71"/>
      <c r="LEC22" s="71"/>
      <c r="LED22" s="71"/>
      <c r="LEE22" s="71"/>
      <c r="LEF22" s="71"/>
      <c r="LEG22" s="71"/>
      <c r="LEH22" s="71"/>
      <c r="LEI22" s="71"/>
      <c r="LEJ22" s="71"/>
      <c r="LEK22" s="71"/>
      <c r="LEL22" s="71"/>
      <c r="LEM22" s="71"/>
      <c r="LEN22" s="71"/>
      <c r="LEO22" s="71"/>
      <c r="LEP22" s="71"/>
      <c r="LEQ22" s="71"/>
      <c r="LER22" s="71"/>
      <c r="LES22" s="71"/>
      <c r="LET22" s="71"/>
      <c r="LEU22" s="71"/>
      <c r="LEV22" s="71"/>
      <c r="LEW22" s="71"/>
      <c r="LEX22" s="71"/>
      <c r="LEY22" s="71"/>
      <c r="LEZ22" s="71"/>
      <c r="LFA22" s="71"/>
      <c r="LFB22" s="71"/>
      <c r="LFC22" s="71"/>
      <c r="LFD22" s="71"/>
      <c r="LFE22" s="71"/>
      <c r="LFF22" s="71"/>
      <c r="LFG22" s="71"/>
      <c r="LFH22" s="71"/>
      <c r="LFI22" s="71"/>
      <c r="LFJ22" s="71"/>
      <c r="LFK22" s="71"/>
      <c r="LFL22" s="71"/>
      <c r="LFM22" s="71"/>
      <c r="LFN22" s="71"/>
      <c r="LFO22" s="71"/>
      <c r="LFP22" s="71"/>
      <c r="LFQ22" s="71"/>
      <c r="LFR22" s="71"/>
      <c r="LFS22" s="71"/>
      <c r="LFT22" s="71"/>
      <c r="LFU22" s="71"/>
      <c r="LFV22" s="71"/>
      <c r="LFW22" s="71"/>
      <c r="LFX22" s="71"/>
      <c r="LFY22" s="71"/>
      <c r="LFZ22" s="71"/>
      <c r="LGA22" s="71"/>
      <c r="LGB22" s="71"/>
      <c r="LGC22" s="71"/>
      <c r="LGD22" s="71"/>
      <c r="LGE22" s="71"/>
      <c r="LGF22" s="71"/>
      <c r="LGG22" s="71"/>
      <c r="LGH22" s="71"/>
      <c r="LGI22" s="71"/>
      <c r="LGJ22" s="71"/>
      <c r="LGK22" s="71"/>
      <c r="LGL22" s="71"/>
      <c r="LGM22" s="71"/>
      <c r="LGN22" s="71"/>
      <c r="LGO22" s="71"/>
      <c r="LGP22" s="71"/>
      <c r="LGQ22" s="71"/>
      <c r="LGR22" s="71"/>
      <c r="LGS22" s="71"/>
      <c r="LGT22" s="71"/>
      <c r="LGU22" s="71"/>
      <c r="LGV22" s="71"/>
      <c r="LGW22" s="71"/>
      <c r="LGX22" s="71"/>
      <c r="LGY22" s="71"/>
      <c r="LGZ22" s="71"/>
      <c r="LHA22" s="71"/>
      <c r="LHB22" s="71"/>
      <c r="LHC22" s="71"/>
      <c r="LHD22" s="71"/>
      <c r="LHE22" s="71"/>
      <c r="LHF22" s="71"/>
      <c r="LHG22" s="71"/>
      <c r="LHH22" s="71"/>
      <c r="LHI22" s="71"/>
      <c r="LHJ22" s="71"/>
      <c r="LHK22" s="71"/>
      <c r="LHL22" s="71"/>
      <c r="LHM22" s="71"/>
      <c r="LHN22" s="71"/>
      <c r="LHO22" s="71"/>
      <c r="LHP22" s="71"/>
      <c r="LHQ22" s="71"/>
      <c r="LHR22" s="71"/>
      <c r="LHS22" s="71"/>
      <c r="LHT22" s="71"/>
      <c r="LHU22" s="71"/>
      <c r="LHV22" s="71"/>
      <c r="LHW22" s="71"/>
      <c r="LHX22" s="71"/>
      <c r="LHY22" s="71"/>
      <c r="LHZ22" s="71"/>
      <c r="LIA22" s="71"/>
      <c r="LIB22" s="71"/>
      <c r="LIC22" s="71"/>
      <c r="LID22" s="71"/>
      <c r="LIE22" s="71"/>
      <c r="LIF22" s="71"/>
      <c r="LIG22" s="71"/>
      <c r="LIH22" s="71"/>
      <c r="LII22" s="71"/>
      <c r="LIJ22" s="71"/>
      <c r="LIK22" s="71"/>
      <c r="LIL22" s="71"/>
      <c r="LIM22" s="71"/>
      <c r="LIN22" s="71"/>
      <c r="LIO22" s="71"/>
      <c r="LIP22" s="71"/>
      <c r="LIQ22" s="71"/>
      <c r="LIR22" s="71"/>
      <c r="LIS22" s="71"/>
      <c r="LIT22" s="71"/>
      <c r="LIU22" s="71"/>
      <c r="LIV22" s="71"/>
      <c r="LIW22" s="71"/>
      <c r="LIX22" s="71"/>
      <c r="LIY22" s="71"/>
      <c r="LIZ22" s="71"/>
      <c r="LJA22" s="71"/>
      <c r="LJB22" s="71"/>
      <c r="LJC22" s="71"/>
      <c r="LJD22" s="71"/>
      <c r="LJE22" s="71"/>
      <c r="LJF22" s="71"/>
      <c r="LJG22" s="71"/>
      <c r="LJH22" s="71"/>
      <c r="LJI22" s="71"/>
      <c r="LJJ22" s="71"/>
      <c r="LJK22" s="71"/>
      <c r="LJL22" s="71"/>
      <c r="LJM22" s="71"/>
      <c r="LJN22" s="71"/>
      <c r="LJO22" s="71"/>
      <c r="LJP22" s="71"/>
      <c r="LJQ22" s="71"/>
      <c r="LJR22" s="71"/>
      <c r="LJS22" s="71"/>
      <c r="LJT22" s="71"/>
      <c r="LJU22" s="71"/>
      <c r="LJV22" s="71"/>
      <c r="LJW22" s="71"/>
      <c r="LJX22" s="71"/>
      <c r="LJY22" s="71"/>
      <c r="LJZ22" s="71"/>
      <c r="LKA22" s="71"/>
      <c r="LKB22" s="71"/>
      <c r="LKC22" s="71"/>
      <c r="LKD22" s="71"/>
      <c r="LKE22" s="71"/>
      <c r="LKF22" s="71"/>
      <c r="LKG22" s="71"/>
      <c r="LKH22" s="71"/>
      <c r="LKI22" s="71"/>
      <c r="LKJ22" s="71"/>
      <c r="LKK22" s="71"/>
      <c r="LKL22" s="71"/>
      <c r="LKM22" s="71"/>
      <c r="LKN22" s="71"/>
      <c r="LKO22" s="71"/>
      <c r="LKP22" s="71"/>
      <c r="LKQ22" s="71"/>
      <c r="LKR22" s="71"/>
      <c r="LKS22" s="71"/>
      <c r="LKT22" s="71"/>
      <c r="LKU22" s="71"/>
      <c r="LKV22" s="71"/>
      <c r="LKW22" s="71"/>
      <c r="LKX22" s="71"/>
      <c r="LKY22" s="71"/>
      <c r="LKZ22" s="71"/>
      <c r="LLA22" s="71"/>
      <c r="LLB22" s="71"/>
      <c r="LLC22" s="71"/>
      <c r="LLD22" s="71"/>
      <c r="LLE22" s="71"/>
      <c r="LLF22" s="71"/>
      <c r="LLG22" s="71"/>
      <c r="LLH22" s="71"/>
      <c r="LLI22" s="71"/>
      <c r="LLJ22" s="71"/>
      <c r="LLK22" s="71"/>
      <c r="LLL22" s="71"/>
      <c r="LLM22" s="71"/>
      <c r="LLN22" s="71"/>
      <c r="LLO22" s="71"/>
      <c r="LLP22" s="71"/>
      <c r="LLQ22" s="71"/>
      <c r="LLR22" s="71"/>
      <c r="LLS22" s="71"/>
      <c r="LLT22" s="71"/>
      <c r="LLU22" s="71"/>
      <c r="LLV22" s="71"/>
      <c r="LLW22" s="71"/>
      <c r="LLX22" s="71"/>
      <c r="LLY22" s="71"/>
      <c r="LLZ22" s="71"/>
      <c r="LMA22" s="71"/>
      <c r="LMB22" s="71"/>
      <c r="LMC22" s="71"/>
      <c r="LMD22" s="71"/>
      <c r="LME22" s="71"/>
      <c r="LMF22" s="71"/>
      <c r="LMG22" s="71"/>
      <c r="LMH22" s="71"/>
      <c r="LMI22" s="71"/>
      <c r="LMJ22" s="71"/>
      <c r="LMK22" s="71"/>
      <c r="LML22" s="71"/>
      <c r="LMM22" s="71"/>
      <c r="LMN22" s="71"/>
      <c r="LMO22" s="71"/>
      <c r="LMP22" s="71"/>
      <c r="LMQ22" s="71"/>
      <c r="LMR22" s="71"/>
      <c r="LMS22" s="71"/>
      <c r="LMT22" s="71"/>
      <c r="LMU22" s="71"/>
      <c r="LMV22" s="71"/>
      <c r="LMW22" s="71"/>
      <c r="LMX22" s="71"/>
      <c r="LMY22" s="71"/>
      <c r="LMZ22" s="71"/>
      <c r="LNA22" s="71"/>
      <c r="LNB22" s="71"/>
      <c r="LNC22" s="71"/>
      <c r="LND22" s="71"/>
      <c r="LNE22" s="71"/>
      <c r="LNF22" s="71"/>
      <c r="LNG22" s="71"/>
      <c r="LNH22" s="71"/>
      <c r="LNI22" s="71"/>
      <c r="LNJ22" s="71"/>
      <c r="LNK22" s="71"/>
      <c r="LNL22" s="71"/>
      <c r="LNM22" s="71"/>
      <c r="LNN22" s="71"/>
      <c r="LNO22" s="71"/>
      <c r="LNP22" s="71"/>
      <c r="LNQ22" s="71"/>
      <c r="LNR22" s="71"/>
      <c r="LNS22" s="71"/>
      <c r="LNT22" s="71"/>
      <c r="LNU22" s="71"/>
      <c r="LNV22" s="71"/>
      <c r="LNW22" s="71"/>
      <c r="LNX22" s="71"/>
      <c r="LNY22" s="71"/>
      <c r="LNZ22" s="71"/>
      <c r="LOA22" s="71"/>
      <c r="LOB22" s="71"/>
      <c r="LOC22" s="71"/>
      <c r="LOD22" s="71"/>
      <c r="LOE22" s="71"/>
      <c r="LOF22" s="71"/>
      <c r="LOG22" s="71"/>
      <c r="LOH22" s="71"/>
      <c r="LOI22" s="71"/>
      <c r="LOJ22" s="71"/>
      <c r="LOK22" s="71"/>
      <c r="LOL22" s="71"/>
      <c r="LOM22" s="71"/>
      <c r="LON22" s="71"/>
      <c r="LOO22" s="71"/>
      <c r="LOP22" s="71"/>
      <c r="LOQ22" s="71"/>
      <c r="LOR22" s="71"/>
      <c r="LOS22" s="71"/>
      <c r="LOT22" s="71"/>
      <c r="LOU22" s="71"/>
      <c r="LOV22" s="71"/>
      <c r="LOW22" s="71"/>
      <c r="LOX22" s="71"/>
      <c r="LOY22" s="71"/>
      <c r="LOZ22" s="71"/>
      <c r="LPA22" s="71"/>
      <c r="LPB22" s="71"/>
      <c r="LPC22" s="71"/>
      <c r="LPD22" s="71"/>
      <c r="LPE22" s="71"/>
      <c r="LPF22" s="71"/>
      <c r="LPG22" s="71"/>
      <c r="LPH22" s="71"/>
      <c r="LPI22" s="71"/>
      <c r="LPJ22" s="71"/>
      <c r="LPK22" s="71"/>
      <c r="LPL22" s="71"/>
      <c r="LPM22" s="71"/>
      <c r="LPN22" s="71"/>
      <c r="LPO22" s="71"/>
      <c r="LPP22" s="71"/>
      <c r="LPQ22" s="71"/>
      <c r="LPR22" s="71"/>
      <c r="LPS22" s="71"/>
      <c r="LPT22" s="71"/>
      <c r="LPU22" s="71"/>
      <c r="LPV22" s="71"/>
      <c r="LPW22" s="71"/>
      <c r="LPX22" s="71"/>
      <c r="LPY22" s="71"/>
      <c r="LPZ22" s="71"/>
      <c r="LQA22" s="71"/>
      <c r="LQB22" s="71"/>
      <c r="LQC22" s="71"/>
      <c r="LQD22" s="71"/>
      <c r="LQE22" s="71"/>
      <c r="LQF22" s="71"/>
      <c r="LQG22" s="71"/>
      <c r="LQH22" s="71"/>
      <c r="LQI22" s="71"/>
      <c r="LQJ22" s="71"/>
      <c r="LQK22" s="71"/>
      <c r="LQL22" s="71"/>
      <c r="LQM22" s="71"/>
      <c r="LQN22" s="71"/>
      <c r="LQO22" s="71"/>
      <c r="LQP22" s="71"/>
      <c r="LQQ22" s="71"/>
      <c r="LQR22" s="71"/>
      <c r="LQS22" s="71"/>
      <c r="LQT22" s="71"/>
      <c r="LQU22" s="71"/>
      <c r="LQV22" s="71"/>
      <c r="LQW22" s="71"/>
      <c r="LQX22" s="71"/>
      <c r="LQY22" s="71"/>
      <c r="LQZ22" s="71"/>
      <c r="LRA22" s="71"/>
      <c r="LRB22" s="71"/>
      <c r="LRC22" s="71"/>
      <c r="LRD22" s="71"/>
      <c r="LRE22" s="71"/>
      <c r="LRF22" s="71"/>
      <c r="LRG22" s="71"/>
      <c r="LRH22" s="71"/>
      <c r="LRI22" s="71"/>
      <c r="LRJ22" s="71"/>
      <c r="LRK22" s="71"/>
      <c r="LRL22" s="71"/>
      <c r="LRM22" s="71"/>
      <c r="LRN22" s="71"/>
      <c r="LRO22" s="71"/>
      <c r="LRP22" s="71"/>
      <c r="LRQ22" s="71"/>
      <c r="LRR22" s="71"/>
      <c r="LRS22" s="71"/>
      <c r="LRT22" s="71"/>
      <c r="LRU22" s="71"/>
      <c r="LRV22" s="71"/>
      <c r="LRW22" s="71"/>
      <c r="LRX22" s="71"/>
      <c r="LRY22" s="71"/>
      <c r="LRZ22" s="71"/>
      <c r="LSA22" s="71"/>
      <c r="LSB22" s="71"/>
      <c r="LSC22" s="71"/>
      <c r="LSD22" s="71"/>
      <c r="LSE22" s="71"/>
      <c r="LSF22" s="71"/>
      <c r="LSG22" s="71"/>
      <c r="LSH22" s="71"/>
      <c r="LSI22" s="71"/>
      <c r="LSJ22" s="71"/>
      <c r="LSK22" s="71"/>
      <c r="LSL22" s="71"/>
      <c r="LSM22" s="71"/>
      <c r="LSN22" s="71"/>
      <c r="LSO22" s="71"/>
      <c r="LSP22" s="71"/>
      <c r="LSQ22" s="71"/>
      <c r="LSR22" s="71"/>
      <c r="LSS22" s="71"/>
      <c r="LST22" s="71"/>
      <c r="LSU22" s="71"/>
      <c r="LSV22" s="71"/>
      <c r="LSW22" s="71"/>
      <c r="LSX22" s="71"/>
      <c r="LSY22" s="71"/>
      <c r="LSZ22" s="71"/>
      <c r="LTA22" s="71"/>
      <c r="LTB22" s="71"/>
      <c r="LTC22" s="71"/>
      <c r="LTD22" s="71"/>
      <c r="LTE22" s="71"/>
      <c r="LTF22" s="71"/>
      <c r="LTG22" s="71"/>
      <c r="LTH22" s="71"/>
      <c r="LTI22" s="71"/>
      <c r="LTJ22" s="71"/>
      <c r="LTK22" s="71"/>
      <c r="LTL22" s="71"/>
      <c r="LTM22" s="71"/>
      <c r="LTN22" s="71"/>
      <c r="LTO22" s="71"/>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
      <c r="LTZ22" s="71"/>
      <c r="LUA22" s="71"/>
      <c r="LUB22" s="71"/>
      <c r="LUC22" s="71"/>
      <c r="LUD22" s="71"/>
      <c r="LUE22" s="71"/>
      <c r="LUF22" s="71"/>
      <c r="LUG22" s="71"/>
      <c r="LUH22" s="71"/>
      <c r="LUI22" s="71"/>
      <c r="LUJ22" s="71"/>
      <c r="LUK22" s="71"/>
      <c r="LUL22" s="71"/>
      <c r="LUM22" s="71"/>
      <c r="LUN22" s="71"/>
      <c r="LUO22" s="71"/>
      <c r="LUP22" s="71"/>
      <c r="LUQ22" s="71"/>
      <c r="LUR22" s="71"/>
      <c r="LUS22" s="71"/>
      <c r="LUT22" s="71"/>
      <c r="LUU22" s="71"/>
      <c r="LUV22" s="71"/>
      <c r="LUW22" s="71"/>
      <c r="LUX22" s="71"/>
      <c r="LUY22" s="71"/>
      <c r="LUZ22" s="71"/>
      <c r="LVA22" s="71"/>
      <c r="LVB22" s="71"/>
      <c r="LVC22" s="71"/>
      <c r="LVD22" s="71"/>
      <c r="LVE22" s="71"/>
      <c r="LVF22" s="71"/>
      <c r="LVG22" s="71"/>
      <c r="LVH22" s="71"/>
      <c r="LVI22" s="71"/>
      <c r="LVJ22" s="71"/>
      <c r="LVK22" s="71"/>
      <c r="LVL22" s="71"/>
      <c r="LVM22" s="71"/>
      <c r="LVN22" s="71"/>
      <c r="LVO22" s="71"/>
      <c r="LVP22" s="71"/>
      <c r="LVQ22" s="71"/>
      <c r="LVR22" s="71"/>
      <c r="LVS22" s="71"/>
      <c r="LVT22" s="71"/>
      <c r="LVU22" s="71"/>
      <c r="LVV22" s="71"/>
      <c r="LVW22" s="71"/>
      <c r="LVX22" s="71"/>
      <c r="LVY22" s="71"/>
      <c r="LVZ22" s="71"/>
      <c r="LWA22" s="71"/>
      <c r="LWB22" s="71"/>
      <c r="LWC22" s="71"/>
      <c r="LWD22" s="71"/>
      <c r="LWE22" s="71"/>
      <c r="LWF22" s="71"/>
      <c r="LWG22" s="71"/>
      <c r="LWH22" s="71"/>
      <c r="LWI22" s="71"/>
      <c r="LWJ22" s="71"/>
      <c r="LWK22" s="71"/>
      <c r="LWL22" s="71"/>
      <c r="LWM22" s="71"/>
      <c r="LWN22" s="71"/>
      <c r="LWO22" s="71"/>
      <c r="LWP22" s="71"/>
      <c r="LWQ22" s="71"/>
      <c r="LWR22" s="71"/>
      <c r="LWS22" s="71"/>
      <c r="LWT22" s="71"/>
      <c r="LWU22" s="71"/>
      <c r="LWV22" s="71"/>
      <c r="LWW22" s="71"/>
      <c r="LWX22" s="71"/>
      <c r="LWY22" s="71"/>
      <c r="LWZ22" s="71"/>
      <c r="LXA22" s="71"/>
      <c r="LXB22" s="71"/>
      <c r="LXC22" s="71"/>
      <c r="LXD22" s="71"/>
      <c r="LXE22" s="71"/>
      <c r="LXF22" s="71"/>
      <c r="LXG22" s="71"/>
      <c r="LXH22" s="71"/>
      <c r="LXI22" s="71"/>
      <c r="LXJ22" s="71"/>
      <c r="LXK22" s="71"/>
      <c r="LXL22" s="71"/>
      <c r="LXM22" s="71"/>
      <c r="LXN22" s="71"/>
      <c r="LXO22" s="71"/>
      <c r="LXP22" s="71"/>
      <c r="LXQ22" s="71"/>
      <c r="LXR22" s="71"/>
      <c r="LXS22" s="71"/>
      <c r="LXT22" s="71"/>
      <c r="LXU22" s="71"/>
      <c r="LXV22" s="71"/>
      <c r="LXW22" s="71"/>
      <c r="LXX22" s="71"/>
      <c r="LXY22" s="71"/>
      <c r="LXZ22" s="71"/>
      <c r="LYA22" s="71"/>
      <c r="LYB22" s="71"/>
      <c r="LYC22" s="71"/>
      <c r="LYD22" s="71"/>
      <c r="LYE22" s="71"/>
      <c r="LYF22" s="71"/>
      <c r="LYG22" s="71"/>
      <c r="LYH22" s="71"/>
      <c r="LYI22" s="71"/>
      <c r="LYJ22" s="71"/>
      <c r="LYK22" s="71"/>
      <c r="LYL22" s="71"/>
      <c r="LYM22" s="71"/>
      <c r="LYN22" s="71"/>
      <c r="LYO22" s="71"/>
      <c r="LYP22" s="71"/>
      <c r="LYQ22" s="71"/>
      <c r="LYR22" s="71"/>
      <c r="LYS22" s="71"/>
      <c r="LYT22" s="71"/>
      <c r="LYU22" s="71"/>
      <c r="LYV22" s="71"/>
      <c r="LYW22" s="71"/>
      <c r="LYX22" s="71"/>
      <c r="LYY22" s="71"/>
      <c r="LYZ22" s="71"/>
      <c r="LZA22" s="71"/>
      <c r="LZB22" s="71"/>
      <c r="LZC22" s="71"/>
      <c r="LZD22" s="71"/>
      <c r="LZE22" s="71"/>
      <c r="LZF22" s="71"/>
      <c r="LZG22" s="71"/>
      <c r="LZH22" s="71"/>
      <c r="LZI22" s="71"/>
      <c r="LZJ22" s="71"/>
      <c r="LZK22" s="71"/>
      <c r="LZL22" s="71"/>
      <c r="LZM22" s="71"/>
      <c r="LZN22" s="71"/>
      <c r="LZO22" s="71"/>
      <c r="LZP22" s="71"/>
      <c r="LZQ22" s="71"/>
      <c r="LZR22" s="71"/>
      <c r="LZS22" s="71"/>
      <c r="LZT22" s="71"/>
      <c r="LZU22" s="71"/>
      <c r="LZV22" s="71"/>
      <c r="LZW22" s="71"/>
      <c r="LZX22" s="71"/>
      <c r="LZY22" s="71"/>
      <c r="LZZ22" s="71"/>
      <c r="MAA22" s="71"/>
      <c r="MAB22" s="71"/>
      <c r="MAC22" s="71"/>
      <c r="MAD22" s="71"/>
      <c r="MAE22" s="71"/>
      <c r="MAF22" s="71"/>
      <c r="MAG22" s="71"/>
      <c r="MAH22" s="71"/>
      <c r="MAI22" s="71"/>
      <c r="MAJ22" s="71"/>
      <c r="MAK22" s="71"/>
      <c r="MAL22" s="71"/>
      <c r="MAM22" s="71"/>
      <c r="MAN22" s="71"/>
      <c r="MAO22" s="71"/>
      <c r="MAP22" s="71"/>
      <c r="MAQ22" s="71"/>
      <c r="MAR22" s="71"/>
      <c r="MAS22" s="71"/>
      <c r="MAT22" s="71"/>
      <c r="MAU22" s="71"/>
      <c r="MAV22" s="71"/>
      <c r="MAW22" s="71"/>
      <c r="MAX22" s="71"/>
      <c r="MAY22" s="71"/>
      <c r="MAZ22" s="71"/>
      <c r="MBA22" s="71"/>
      <c r="MBB22" s="71"/>
      <c r="MBC22" s="71"/>
      <c r="MBD22" s="71"/>
      <c r="MBE22" s="71"/>
      <c r="MBF22" s="71"/>
      <c r="MBG22" s="71"/>
      <c r="MBH22" s="71"/>
      <c r="MBI22" s="71"/>
      <c r="MBJ22" s="71"/>
      <c r="MBK22" s="71"/>
      <c r="MBL22" s="71"/>
      <c r="MBM22" s="71"/>
      <c r="MBN22" s="71"/>
      <c r="MBO22" s="71"/>
      <c r="MBP22" s="71"/>
      <c r="MBQ22" s="71"/>
      <c r="MBR22" s="71"/>
      <c r="MBS22" s="71"/>
      <c r="MBT22" s="71"/>
      <c r="MBU22" s="71"/>
      <c r="MBV22" s="71"/>
      <c r="MBW22" s="71"/>
      <c r="MBX22" s="71"/>
      <c r="MBY22" s="71"/>
      <c r="MBZ22" s="71"/>
      <c r="MCA22" s="71"/>
      <c r="MCB22" s="71"/>
      <c r="MCC22" s="71"/>
      <c r="MCD22" s="71"/>
      <c r="MCE22" s="71"/>
      <c r="MCF22" s="71"/>
      <c r="MCG22" s="71"/>
      <c r="MCH22" s="71"/>
      <c r="MCI22" s="71"/>
      <c r="MCJ22" s="71"/>
      <c r="MCK22" s="71"/>
      <c r="MCL22" s="71"/>
      <c r="MCM22" s="71"/>
      <c r="MCN22" s="71"/>
      <c r="MCO22" s="71"/>
      <c r="MCP22" s="71"/>
      <c r="MCQ22" s="71"/>
      <c r="MCR22" s="71"/>
      <c r="MCS22" s="71"/>
      <c r="MCT22" s="71"/>
      <c r="MCU22" s="71"/>
      <c r="MCV22" s="71"/>
      <c r="MCW22" s="71"/>
      <c r="MCX22" s="71"/>
      <c r="MCY22" s="71"/>
      <c r="MCZ22" s="71"/>
      <c r="MDA22" s="71"/>
      <c r="MDB22" s="71"/>
      <c r="MDC22" s="71"/>
      <c r="MDD22" s="71"/>
      <c r="MDE22" s="71"/>
      <c r="MDF22" s="71"/>
      <c r="MDG22" s="71"/>
      <c r="MDH22" s="71"/>
      <c r="MDI22" s="71"/>
      <c r="MDJ22" s="71"/>
      <c r="MDK22" s="71"/>
      <c r="MDL22" s="71"/>
      <c r="MDM22" s="71"/>
      <c r="MDN22" s="71"/>
      <c r="MDO22" s="71"/>
      <c r="MDP22" s="71"/>
      <c r="MDQ22" s="71"/>
      <c r="MDR22" s="71"/>
      <c r="MDS22" s="71"/>
      <c r="MDT22" s="71"/>
      <c r="MDU22" s="71"/>
      <c r="MDV22" s="71"/>
      <c r="MDW22" s="71"/>
      <c r="MDX22" s="71"/>
      <c r="MDY22" s="71"/>
      <c r="MDZ22" s="71"/>
      <c r="MEA22" s="71"/>
      <c r="MEB22" s="71"/>
      <c r="MEC22" s="71"/>
      <c r="MED22" s="71"/>
      <c r="MEE22" s="71"/>
      <c r="MEF22" s="71"/>
      <c r="MEG22" s="71"/>
      <c r="MEH22" s="71"/>
      <c r="MEI22" s="71"/>
      <c r="MEJ22" s="71"/>
      <c r="MEK22" s="71"/>
      <c r="MEL22" s="71"/>
      <c r="MEM22" s="71"/>
      <c r="MEN22" s="71"/>
      <c r="MEO22" s="71"/>
      <c r="MEP22" s="71"/>
      <c r="MEQ22" s="71"/>
      <c r="MER22" s="71"/>
      <c r="MES22" s="71"/>
      <c r="MET22" s="71"/>
      <c r="MEU22" s="71"/>
      <c r="MEV22" s="71"/>
      <c r="MEW22" s="71"/>
      <c r="MEX22" s="71"/>
      <c r="MEY22" s="71"/>
      <c r="MEZ22" s="71"/>
      <c r="MFA22" s="71"/>
      <c r="MFB22" s="71"/>
      <c r="MFC22" s="71"/>
      <c r="MFD22" s="71"/>
      <c r="MFE22" s="71"/>
      <c r="MFF22" s="71"/>
      <c r="MFG22" s="71"/>
      <c r="MFH22" s="71"/>
      <c r="MFI22" s="71"/>
      <c r="MFJ22" s="71"/>
      <c r="MFK22" s="71"/>
      <c r="MFL22" s="71"/>
      <c r="MFM22" s="71"/>
      <c r="MFN22" s="71"/>
      <c r="MFO22" s="71"/>
      <c r="MFP22" s="71"/>
      <c r="MFQ22" s="71"/>
      <c r="MFR22" s="71"/>
      <c r="MFS22" s="71"/>
      <c r="MFT22" s="71"/>
      <c r="MFU22" s="71"/>
      <c r="MFV22" s="71"/>
      <c r="MFW22" s="71"/>
      <c r="MFX22" s="71"/>
      <c r="MFY22" s="71"/>
      <c r="MFZ22" s="71"/>
      <c r="MGA22" s="71"/>
      <c r="MGB22" s="71"/>
      <c r="MGC22" s="71"/>
      <c r="MGD22" s="71"/>
      <c r="MGE22" s="71"/>
      <c r="MGF22" s="71"/>
      <c r="MGG22" s="71"/>
      <c r="MGH22" s="71"/>
      <c r="MGI22" s="71"/>
      <c r="MGJ22" s="71"/>
      <c r="MGK22" s="71"/>
      <c r="MGL22" s="71"/>
      <c r="MGM22" s="71"/>
      <c r="MGN22" s="71"/>
      <c r="MGO22" s="71"/>
      <c r="MGP22" s="71"/>
      <c r="MGQ22" s="71"/>
      <c r="MGR22" s="71"/>
      <c r="MGS22" s="71"/>
      <c r="MGT22" s="71"/>
      <c r="MGU22" s="71"/>
      <c r="MGV22" s="71"/>
      <c r="MGW22" s="71"/>
      <c r="MGX22" s="71"/>
      <c r="MGY22" s="71"/>
      <c r="MGZ22" s="71"/>
      <c r="MHA22" s="71"/>
      <c r="MHB22" s="71"/>
      <c r="MHC22" s="71"/>
      <c r="MHD22" s="71"/>
      <c r="MHE22" s="71"/>
      <c r="MHF22" s="71"/>
      <c r="MHG22" s="71"/>
      <c r="MHH22" s="71"/>
      <c r="MHI22" s="71"/>
      <c r="MHJ22" s="71"/>
      <c r="MHK22" s="71"/>
      <c r="MHL22" s="71"/>
      <c r="MHM22" s="71"/>
      <c r="MHN22" s="71"/>
      <c r="MHO22" s="71"/>
      <c r="MHP22" s="71"/>
      <c r="MHQ22" s="71"/>
      <c r="MHR22" s="71"/>
      <c r="MHS22" s="71"/>
      <c r="MHT22" s="71"/>
      <c r="MHU22" s="71"/>
      <c r="MHV22" s="71"/>
      <c r="MHW22" s="71"/>
      <c r="MHX22" s="71"/>
      <c r="MHY22" s="71"/>
      <c r="MHZ22" s="71"/>
      <c r="MIA22" s="71"/>
      <c r="MIB22" s="71"/>
      <c r="MIC22" s="71"/>
      <c r="MID22" s="71"/>
      <c r="MIE22" s="71"/>
      <c r="MIF22" s="71"/>
      <c r="MIG22" s="71"/>
      <c r="MIH22" s="71"/>
      <c r="MII22" s="71"/>
      <c r="MIJ22" s="71"/>
      <c r="MIK22" s="71"/>
      <c r="MIL22" s="71"/>
      <c r="MIM22" s="71"/>
      <c r="MIN22" s="71"/>
      <c r="MIO22" s="71"/>
      <c r="MIP22" s="71"/>
      <c r="MIQ22" s="71"/>
      <c r="MIR22" s="71"/>
      <c r="MIS22" s="71"/>
      <c r="MIT22" s="71"/>
      <c r="MIU22" s="71"/>
      <c r="MIV22" s="71"/>
      <c r="MIW22" s="71"/>
      <c r="MIX22" s="71"/>
      <c r="MIY22" s="71"/>
      <c r="MIZ22" s="71"/>
      <c r="MJA22" s="71"/>
      <c r="MJB22" s="71"/>
      <c r="MJC22" s="71"/>
      <c r="MJD22" s="71"/>
      <c r="MJE22" s="71"/>
      <c r="MJF22" s="71"/>
      <c r="MJG22" s="71"/>
      <c r="MJH22" s="71"/>
      <c r="MJI22" s="71"/>
      <c r="MJJ22" s="71"/>
      <c r="MJK22" s="71"/>
      <c r="MJL22" s="71"/>
      <c r="MJM22" s="71"/>
      <c r="MJN22" s="71"/>
      <c r="MJO22" s="71"/>
      <c r="MJP22" s="71"/>
      <c r="MJQ22" s="71"/>
      <c r="MJR22" s="71"/>
      <c r="MJS22" s="71"/>
      <c r="MJT22" s="71"/>
      <c r="MJU22" s="71"/>
      <c r="MJV22" s="71"/>
      <c r="MJW22" s="71"/>
      <c r="MJX22" s="71"/>
      <c r="MJY22" s="71"/>
      <c r="MJZ22" s="71"/>
      <c r="MKA22" s="71"/>
      <c r="MKB22" s="71"/>
      <c r="MKC22" s="71"/>
      <c r="MKD22" s="71"/>
      <c r="MKE22" s="71"/>
      <c r="MKF22" s="71"/>
      <c r="MKG22" s="71"/>
      <c r="MKH22" s="71"/>
      <c r="MKI22" s="71"/>
      <c r="MKJ22" s="71"/>
      <c r="MKK22" s="71"/>
      <c r="MKL22" s="71"/>
      <c r="MKM22" s="71"/>
      <c r="MKN22" s="71"/>
      <c r="MKO22" s="71"/>
      <c r="MKP22" s="71"/>
      <c r="MKQ22" s="71"/>
      <c r="MKR22" s="71"/>
      <c r="MKS22" s="71"/>
      <c r="MKT22" s="71"/>
      <c r="MKU22" s="71"/>
      <c r="MKV22" s="71"/>
      <c r="MKW22" s="71"/>
      <c r="MKX22" s="71"/>
      <c r="MKY22" s="71"/>
      <c r="MKZ22" s="71"/>
      <c r="MLA22" s="71"/>
      <c r="MLB22" s="71"/>
      <c r="MLC22" s="71"/>
      <c r="MLD22" s="71"/>
      <c r="MLE22" s="71"/>
      <c r="MLF22" s="71"/>
      <c r="MLG22" s="71"/>
      <c r="MLH22" s="71"/>
      <c r="MLI22" s="71"/>
      <c r="MLJ22" s="71"/>
      <c r="MLK22" s="71"/>
      <c r="MLL22" s="71"/>
      <c r="MLM22" s="71"/>
      <c r="MLN22" s="71"/>
      <c r="MLO22" s="71"/>
      <c r="MLP22" s="71"/>
      <c r="MLQ22" s="71"/>
      <c r="MLR22" s="71"/>
      <c r="MLS22" s="71"/>
      <c r="MLT22" s="71"/>
      <c r="MLU22" s="71"/>
      <c r="MLV22" s="71"/>
      <c r="MLW22" s="71"/>
      <c r="MLX22" s="71"/>
      <c r="MLY22" s="71"/>
      <c r="MLZ22" s="71"/>
      <c r="MMA22" s="71"/>
      <c r="MMB22" s="71"/>
      <c r="MMC22" s="71"/>
      <c r="MMD22" s="71"/>
      <c r="MME22" s="71"/>
      <c r="MMF22" s="71"/>
      <c r="MMG22" s="71"/>
      <c r="MMH22" s="71"/>
      <c r="MMI22" s="71"/>
      <c r="MMJ22" s="71"/>
      <c r="MMK22" s="71"/>
      <c r="MML22" s="71"/>
      <c r="MMM22" s="71"/>
      <c r="MMN22" s="71"/>
      <c r="MMO22" s="71"/>
      <c r="MMP22" s="71"/>
      <c r="MMQ22" s="71"/>
      <c r="MMR22" s="71"/>
      <c r="MMS22" s="71"/>
      <c r="MMT22" s="71"/>
      <c r="MMU22" s="71"/>
      <c r="MMV22" s="71"/>
      <c r="MMW22" s="71"/>
      <c r="MMX22" s="71"/>
      <c r="MMY22" s="71"/>
      <c r="MMZ22" s="71"/>
      <c r="MNA22" s="71"/>
      <c r="MNB22" s="71"/>
      <c r="MNC22" s="71"/>
      <c r="MND22" s="71"/>
      <c r="MNE22" s="71"/>
      <c r="MNF22" s="71"/>
      <c r="MNG22" s="71"/>
      <c r="MNH22" s="71"/>
      <c r="MNI22" s="71"/>
      <c r="MNJ22" s="71"/>
      <c r="MNK22" s="71"/>
      <c r="MNL22" s="71"/>
      <c r="MNM22" s="71"/>
      <c r="MNN22" s="71"/>
      <c r="MNO22" s="71"/>
      <c r="MNP22" s="71"/>
      <c r="MNQ22" s="71"/>
      <c r="MNR22" s="71"/>
      <c r="MNS22" s="71"/>
      <c r="MNT22" s="71"/>
      <c r="MNU22" s="71"/>
      <c r="MNV22" s="71"/>
      <c r="MNW22" s="71"/>
      <c r="MNX22" s="71"/>
      <c r="MNY22" s="71"/>
      <c r="MNZ22" s="71"/>
      <c r="MOA22" s="71"/>
      <c r="MOB22" s="71"/>
      <c r="MOC22" s="71"/>
      <c r="MOD22" s="71"/>
      <c r="MOE22" s="71"/>
      <c r="MOF22" s="71"/>
      <c r="MOG22" s="71"/>
      <c r="MOH22" s="71"/>
      <c r="MOI22" s="71"/>
      <c r="MOJ22" s="71"/>
      <c r="MOK22" s="71"/>
      <c r="MOL22" s="71"/>
      <c r="MOM22" s="71"/>
      <c r="MON22" s="71"/>
      <c r="MOO22" s="71"/>
      <c r="MOP22" s="71"/>
      <c r="MOQ22" s="71"/>
      <c r="MOR22" s="71"/>
      <c r="MOS22" s="71"/>
      <c r="MOT22" s="71"/>
      <c r="MOU22" s="71"/>
      <c r="MOV22" s="71"/>
      <c r="MOW22" s="71"/>
      <c r="MOX22" s="71"/>
      <c r="MOY22" s="71"/>
      <c r="MOZ22" s="71"/>
      <c r="MPA22" s="71"/>
      <c r="MPB22" s="71"/>
      <c r="MPC22" s="71"/>
      <c r="MPD22" s="71"/>
      <c r="MPE22" s="71"/>
      <c r="MPF22" s="71"/>
      <c r="MPG22" s="71"/>
      <c r="MPH22" s="71"/>
      <c r="MPI22" s="71"/>
      <c r="MPJ22" s="71"/>
      <c r="MPK22" s="71"/>
      <c r="MPL22" s="71"/>
      <c r="MPM22" s="71"/>
      <c r="MPN22" s="71"/>
      <c r="MPO22" s="71"/>
      <c r="MPP22" s="71"/>
      <c r="MPQ22" s="71"/>
      <c r="MPR22" s="71"/>
      <c r="MPS22" s="71"/>
      <c r="MPT22" s="71"/>
      <c r="MPU22" s="71"/>
      <c r="MPV22" s="71"/>
      <c r="MPW22" s="71"/>
      <c r="MPX22" s="71"/>
      <c r="MPY22" s="71"/>
      <c r="MPZ22" s="71"/>
      <c r="MQA22" s="71"/>
      <c r="MQB22" s="71"/>
      <c r="MQC22" s="71"/>
      <c r="MQD22" s="71"/>
      <c r="MQE22" s="71"/>
      <c r="MQF22" s="71"/>
      <c r="MQG22" s="71"/>
      <c r="MQH22" s="71"/>
      <c r="MQI22" s="71"/>
      <c r="MQJ22" s="71"/>
      <c r="MQK22" s="71"/>
      <c r="MQL22" s="71"/>
      <c r="MQM22" s="71"/>
      <c r="MQN22" s="71"/>
      <c r="MQO22" s="71"/>
      <c r="MQP22" s="71"/>
      <c r="MQQ22" s="71"/>
      <c r="MQR22" s="71"/>
      <c r="MQS22" s="71"/>
      <c r="MQT22" s="71"/>
      <c r="MQU22" s="71"/>
      <c r="MQV22" s="71"/>
      <c r="MQW22" s="71"/>
      <c r="MQX22" s="71"/>
      <c r="MQY22" s="71"/>
      <c r="MQZ22" s="71"/>
      <c r="MRA22" s="71"/>
      <c r="MRB22" s="71"/>
      <c r="MRC22" s="71"/>
      <c r="MRD22" s="71"/>
      <c r="MRE22" s="71"/>
      <c r="MRF22" s="71"/>
      <c r="MRG22" s="71"/>
      <c r="MRH22" s="71"/>
      <c r="MRI22" s="71"/>
      <c r="MRJ22" s="71"/>
      <c r="MRK22" s="71"/>
      <c r="MRL22" s="71"/>
      <c r="MRM22" s="71"/>
      <c r="MRN22" s="71"/>
      <c r="MRO22" s="71"/>
      <c r="MRP22" s="71"/>
      <c r="MRQ22" s="71"/>
      <c r="MRR22" s="71"/>
      <c r="MRS22" s="71"/>
      <c r="MRT22" s="71"/>
      <c r="MRU22" s="71"/>
      <c r="MRV22" s="71"/>
      <c r="MRW22" s="71"/>
      <c r="MRX22" s="71"/>
      <c r="MRY22" s="71"/>
      <c r="MRZ22" s="71"/>
      <c r="MSA22" s="71"/>
      <c r="MSB22" s="71"/>
      <c r="MSC22" s="71"/>
      <c r="MSD22" s="71"/>
      <c r="MSE22" s="71"/>
      <c r="MSF22" s="71"/>
      <c r="MSG22" s="71"/>
      <c r="MSH22" s="71"/>
      <c r="MSI22" s="71"/>
      <c r="MSJ22" s="71"/>
      <c r="MSK22" s="71"/>
      <c r="MSL22" s="71"/>
      <c r="MSM22" s="71"/>
      <c r="MSN22" s="71"/>
      <c r="MSO22" s="71"/>
      <c r="MSP22" s="71"/>
      <c r="MSQ22" s="71"/>
      <c r="MSR22" s="71"/>
      <c r="MSS22" s="71"/>
      <c r="MST22" s="71"/>
      <c r="MSU22" s="71"/>
      <c r="MSV22" s="71"/>
      <c r="MSW22" s="71"/>
      <c r="MSX22" s="71"/>
      <c r="MSY22" s="71"/>
      <c r="MSZ22" s="71"/>
      <c r="MTA22" s="71"/>
      <c r="MTB22" s="71"/>
      <c r="MTC22" s="71"/>
      <c r="MTD22" s="71"/>
      <c r="MTE22" s="71"/>
      <c r="MTF22" s="71"/>
      <c r="MTG22" s="71"/>
      <c r="MTH22" s="71"/>
      <c r="MTI22" s="71"/>
      <c r="MTJ22" s="71"/>
      <c r="MTK22" s="71"/>
      <c r="MTL22" s="71"/>
      <c r="MTM22" s="71"/>
      <c r="MTN22" s="71"/>
      <c r="MTO22" s="71"/>
      <c r="MTP22" s="71"/>
      <c r="MTQ22" s="71"/>
      <c r="MTR22" s="71"/>
      <c r="MTS22" s="71"/>
      <c r="MTT22" s="71"/>
      <c r="MTU22" s="71"/>
      <c r="MTV22" s="71"/>
      <c r="MTW22" s="71"/>
      <c r="MTX22" s="71"/>
      <c r="MTY22" s="71"/>
      <c r="MTZ22" s="71"/>
      <c r="MUA22" s="71"/>
      <c r="MUB22" s="71"/>
      <c r="MUC22" s="71"/>
      <c r="MUD22" s="71"/>
      <c r="MUE22" s="71"/>
      <c r="MUF22" s="71"/>
      <c r="MUG22" s="71"/>
      <c r="MUH22" s="71"/>
      <c r="MUI22" s="71"/>
      <c r="MUJ22" s="71"/>
      <c r="MUK22" s="71"/>
      <c r="MUL22" s="71"/>
      <c r="MUM22" s="71"/>
      <c r="MUN22" s="71"/>
      <c r="MUO22" s="71"/>
      <c r="MUP22" s="71"/>
      <c r="MUQ22" s="71"/>
      <c r="MUR22" s="71"/>
      <c r="MUS22" s="71"/>
      <c r="MUT22" s="71"/>
      <c r="MUU22" s="71"/>
      <c r="MUV22" s="71"/>
      <c r="MUW22" s="71"/>
      <c r="MUX22" s="71"/>
      <c r="MUY22" s="71"/>
      <c r="MUZ22" s="71"/>
      <c r="MVA22" s="71"/>
      <c r="MVB22" s="71"/>
      <c r="MVC22" s="71"/>
      <c r="MVD22" s="71"/>
      <c r="MVE22" s="71"/>
      <c r="MVF22" s="71"/>
      <c r="MVG22" s="71"/>
      <c r="MVH22" s="71"/>
      <c r="MVI22" s="71"/>
      <c r="MVJ22" s="71"/>
      <c r="MVK22" s="71"/>
      <c r="MVL22" s="71"/>
      <c r="MVM22" s="71"/>
      <c r="MVN22" s="71"/>
      <c r="MVO22" s="71"/>
      <c r="MVP22" s="71"/>
      <c r="MVQ22" s="71"/>
      <c r="MVR22" s="71"/>
      <c r="MVS22" s="71"/>
      <c r="MVT22" s="71"/>
      <c r="MVU22" s="71"/>
      <c r="MVV22" s="71"/>
      <c r="MVW22" s="71"/>
      <c r="MVX22" s="71"/>
      <c r="MVY22" s="71"/>
      <c r="MVZ22" s="71"/>
      <c r="MWA22" s="71"/>
      <c r="MWB22" s="71"/>
      <c r="MWC22" s="71"/>
      <c r="MWD22" s="71"/>
      <c r="MWE22" s="71"/>
      <c r="MWF22" s="71"/>
      <c r="MWG22" s="71"/>
      <c r="MWH22" s="71"/>
      <c r="MWI22" s="71"/>
      <c r="MWJ22" s="71"/>
      <c r="MWK22" s="71"/>
      <c r="MWL22" s="71"/>
      <c r="MWM22" s="71"/>
      <c r="MWN22" s="71"/>
      <c r="MWO22" s="71"/>
      <c r="MWP22" s="71"/>
      <c r="MWQ22" s="71"/>
      <c r="MWR22" s="71"/>
      <c r="MWS22" s="71"/>
      <c r="MWT22" s="71"/>
      <c r="MWU22" s="71"/>
      <c r="MWV22" s="71"/>
      <c r="MWW22" s="71"/>
      <c r="MWX22" s="71"/>
      <c r="MWY22" s="71"/>
      <c r="MWZ22" s="71"/>
      <c r="MXA22" s="71"/>
      <c r="MXB22" s="71"/>
      <c r="MXC22" s="71"/>
      <c r="MXD22" s="71"/>
      <c r="MXE22" s="71"/>
      <c r="MXF22" s="71"/>
      <c r="MXG22" s="71"/>
      <c r="MXH22" s="71"/>
      <c r="MXI22" s="71"/>
      <c r="MXJ22" s="71"/>
      <c r="MXK22" s="71"/>
      <c r="MXL22" s="71"/>
      <c r="MXM22" s="71"/>
      <c r="MXN22" s="71"/>
      <c r="MXO22" s="71"/>
      <c r="MXP22" s="71"/>
      <c r="MXQ22" s="71"/>
      <c r="MXR22" s="71"/>
      <c r="MXS22" s="71"/>
      <c r="MXT22" s="71"/>
      <c r="MXU22" s="71"/>
      <c r="MXV22" s="71"/>
      <c r="MXW22" s="71"/>
      <c r="MXX22" s="71"/>
      <c r="MXY22" s="71"/>
      <c r="MXZ22" s="71"/>
      <c r="MYA22" s="71"/>
      <c r="MYB22" s="71"/>
      <c r="MYC22" s="71"/>
      <c r="MYD22" s="71"/>
      <c r="MYE22" s="71"/>
      <c r="MYF22" s="71"/>
      <c r="MYG22" s="71"/>
      <c r="MYH22" s="71"/>
      <c r="MYI22" s="71"/>
      <c r="MYJ22" s="71"/>
      <c r="MYK22" s="71"/>
      <c r="MYL22" s="71"/>
      <c r="MYM22" s="71"/>
      <c r="MYN22" s="71"/>
      <c r="MYO22" s="71"/>
      <c r="MYP22" s="71"/>
      <c r="MYQ22" s="71"/>
      <c r="MYR22" s="71"/>
      <c r="MYS22" s="71"/>
      <c r="MYT22" s="71"/>
      <c r="MYU22" s="71"/>
      <c r="MYV22" s="71"/>
      <c r="MYW22" s="71"/>
      <c r="MYX22" s="71"/>
      <c r="MYY22" s="71"/>
      <c r="MYZ22" s="71"/>
      <c r="MZA22" s="71"/>
      <c r="MZB22" s="71"/>
      <c r="MZC22" s="71"/>
      <c r="MZD22" s="71"/>
      <c r="MZE22" s="71"/>
      <c r="MZF22" s="71"/>
      <c r="MZG22" s="71"/>
      <c r="MZH22" s="71"/>
      <c r="MZI22" s="71"/>
      <c r="MZJ22" s="71"/>
      <c r="MZK22" s="71"/>
      <c r="MZL22" s="71"/>
      <c r="MZM22" s="71"/>
      <c r="MZN22" s="71"/>
      <c r="MZO22" s="71"/>
      <c r="MZP22" s="71"/>
      <c r="MZQ22" s="71"/>
      <c r="MZR22" s="71"/>
      <c r="MZS22" s="71"/>
      <c r="MZT22" s="71"/>
      <c r="MZU22" s="71"/>
      <c r="MZV22" s="71"/>
      <c r="MZW22" s="71"/>
      <c r="MZX22" s="71"/>
      <c r="MZY22" s="71"/>
      <c r="MZZ22" s="71"/>
      <c r="NAA22" s="71"/>
      <c r="NAB22" s="71"/>
      <c r="NAC22" s="71"/>
      <c r="NAD22" s="71"/>
      <c r="NAE22" s="71"/>
      <c r="NAF22" s="71"/>
      <c r="NAG22" s="71"/>
      <c r="NAH22" s="71"/>
      <c r="NAI22" s="71"/>
      <c r="NAJ22" s="71"/>
      <c r="NAK22" s="71"/>
      <c r="NAL22" s="71"/>
      <c r="NAM22" s="71"/>
      <c r="NAN22" s="71"/>
      <c r="NAO22" s="71"/>
      <c r="NAP22" s="71"/>
      <c r="NAQ22" s="71"/>
      <c r="NAR22" s="71"/>
      <c r="NAS22" s="71"/>
      <c r="NAT22" s="71"/>
      <c r="NAU22" s="71"/>
      <c r="NAV22" s="71"/>
      <c r="NAW22" s="71"/>
      <c r="NAX22" s="71"/>
      <c r="NAY22" s="71"/>
      <c r="NAZ22" s="71"/>
      <c r="NBA22" s="71"/>
      <c r="NBB22" s="71"/>
      <c r="NBC22" s="71"/>
      <c r="NBD22" s="71"/>
      <c r="NBE22" s="71"/>
      <c r="NBF22" s="71"/>
      <c r="NBG22" s="71"/>
      <c r="NBH22" s="71"/>
      <c r="NBI22" s="71"/>
      <c r="NBJ22" s="71"/>
      <c r="NBK22" s="71"/>
      <c r="NBL22" s="71"/>
      <c r="NBM22" s="71"/>
      <c r="NBN22" s="71"/>
      <c r="NBO22" s="71"/>
      <c r="NBP22" s="71"/>
      <c r="NBQ22" s="71"/>
      <c r="NBR22" s="71"/>
      <c r="NBS22" s="71"/>
      <c r="NBT22" s="71"/>
      <c r="NBU22" s="71"/>
      <c r="NBV22" s="71"/>
      <c r="NBW22" s="71"/>
      <c r="NBX22" s="71"/>
      <c r="NBY22" s="71"/>
      <c r="NBZ22" s="71"/>
      <c r="NCA22" s="71"/>
      <c r="NCB22" s="71"/>
      <c r="NCC22" s="71"/>
      <c r="NCD22" s="71"/>
      <c r="NCE22" s="71"/>
      <c r="NCF22" s="71"/>
      <c r="NCG22" s="71"/>
      <c r="NCH22" s="71"/>
      <c r="NCI22" s="71"/>
      <c r="NCJ22" s="71"/>
      <c r="NCK22" s="71"/>
      <c r="NCL22" s="71"/>
      <c r="NCM22" s="71"/>
      <c r="NCN22" s="71"/>
      <c r="NCO22" s="71"/>
      <c r="NCP22" s="71"/>
      <c r="NCQ22" s="71"/>
      <c r="NCR22" s="71"/>
      <c r="NCS22" s="71"/>
      <c r="NCT22" s="71"/>
      <c r="NCU22" s="71"/>
      <c r="NCV22" s="71"/>
      <c r="NCW22" s="71"/>
      <c r="NCX22" s="71"/>
      <c r="NCY22" s="71"/>
      <c r="NCZ22" s="71"/>
      <c r="NDA22" s="71"/>
      <c r="NDB22" s="71"/>
      <c r="NDC22" s="71"/>
      <c r="NDD22" s="71"/>
      <c r="NDE22" s="71"/>
      <c r="NDF22" s="71"/>
      <c r="NDG22" s="71"/>
      <c r="NDH22" s="71"/>
      <c r="NDI22" s="71"/>
      <c r="NDJ22" s="71"/>
      <c r="NDK22" s="71"/>
      <c r="NDL22" s="71"/>
      <c r="NDM22" s="71"/>
      <c r="NDN22" s="71"/>
      <c r="NDO22" s="71"/>
      <c r="NDP22" s="71"/>
      <c r="NDQ22" s="71"/>
      <c r="NDR22" s="71"/>
      <c r="NDS22" s="71"/>
      <c r="NDT22" s="71"/>
      <c r="NDU22" s="71"/>
      <c r="NDV22" s="71"/>
      <c r="NDW22" s="71"/>
      <c r="NDX22" s="71"/>
      <c r="NDY22" s="71"/>
      <c r="NDZ22" s="71"/>
      <c r="NEA22" s="71"/>
      <c r="NEB22" s="71"/>
      <c r="NEC22" s="71"/>
      <c r="NED22" s="71"/>
      <c r="NEE22" s="71"/>
      <c r="NEF22" s="71"/>
      <c r="NEG22" s="71"/>
      <c r="NEH22" s="71"/>
      <c r="NEI22" s="71"/>
      <c r="NEJ22" s="71"/>
      <c r="NEK22" s="71"/>
      <c r="NEL22" s="71"/>
      <c r="NEM22" s="71"/>
      <c r="NEN22" s="71"/>
      <c r="NEO22" s="71"/>
      <c r="NEP22" s="71"/>
      <c r="NEQ22" s="71"/>
      <c r="NER22" s="71"/>
      <c r="NES22" s="71"/>
      <c r="NET22" s="71"/>
      <c r="NEU22" s="71"/>
      <c r="NEV22" s="71"/>
      <c r="NEW22" s="71"/>
      <c r="NEX22" s="71"/>
      <c r="NEY22" s="71"/>
      <c r="NEZ22" s="71"/>
      <c r="NFA22" s="71"/>
      <c r="NFB22" s="71"/>
      <c r="NFC22" s="71"/>
      <c r="NFD22" s="71"/>
      <c r="NFE22" s="71"/>
      <c r="NFF22" s="71"/>
      <c r="NFG22" s="71"/>
      <c r="NFH22" s="71"/>
      <c r="NFI22" s="71"/>
      <c r="NFJ22" s="71"/>
      <c r="NFK22" s="71"/>
      <c r="NFL22" s="71"/>
      <c r="NFM22" s="71"/>
      <c r="NFN22" s="71"/>
      <c r="NFO22" s="71"/>
      <c r="NFP22" s="71"/>
      <c r="NFQ22" s="71"/>
      <c r="NFR22" s="71"/>
      <c r="NFS22" s="71"/>
      <c r="NFT22" s="71"/>
      <c r="NFU22" s="71"/>
      <c r="NFV22" s="71"/>
      <c r="NFW22" s="71"/>
      <c r="NFX22" s="71"/>
      <c r="NFY22" s="71"/>
      <c r="NFZ22" s="71"/>
      <c r="NGA22" s="71"/>
      <c r="NGB22" s="71"/>
      <c r="NGC22" s="71"/>
      <c r="NGD22" s="71"/>
      <c r="NGE22" s="71"/>
      <c r="NGF22" s="71"/>
      <c r="NGG22" s="71"/>
      <c r="NGH22" s="71"/>
      <c r="NGI22" s="71"/>
      <c r="NGJ22" s="71"/>
      <c r="NGK22" s="71"/>
      <c r="NGL22" s="71"/>
      <c r="NGM22" s="71"/>
      <c r="NGN22" s="71"/>
      <c r="NGO22" s="71"/>
      <c r="NGP22" s="71"/>
      <c r="NGQ22" s="71"/>
      <c r="NGR22" s="71"/>
      <c r="NGS22" s="71"/>
      <c r="NGT22" s="71"/>
      <c r="NGU22" s="71"/>
      <c r="NGV22" s="71"/>
      <c r="NGW22" s="71"/>
      <c r="NGX22" s="71"/>
      <c r="NGY22" s="71"/>
      <c r="NGZ22" s="71"/>
      <c r="NHA22" s="71"/>
      <c r="NHB22" s="71"/>
      <c r="NHC22" s="71"/>
      <c r="NHD22" s="71"/>
      <c r="NHE22" s="71"/>
      <c r="NHF22" s="71"/>
      <c r="NHG22" s="71"/>
      <c r="NHH22" s="71"/>
      <c r="NHI22" s="71"/>
      <c r="NHJ22" s="71"/>
      <c r="NHK22" s="71"/>
      <c r="NHL22" s="71"/>
      <c r="NHM22" s="71"/>
      <c r="NHN22" s="71"/>
      <c r="NHO22" s="71"/>
      <c r="NHP22" s="71"/>
      <c r="NHQ22" s="71"/>
      <c r="NHR22" s="71"/>
      <c r="NHS22" s="71"/>
      <c r="NHT22" s="71"/>
      <c r="NHU22" s="71"/>
      <c r="NHV22" s="71"/>
      <c r="NHW22" s="71"/>
      <c r="NHX22" s="71"/>
      <c r="NHY22" s="71"/>
      <c r="NHZ22" s="71"/>
      <c r="NIA22" s="71"/>
      <c r="NIB22" s="71"/>
      <c r="NIC22" s="71"/>
      <c r="NID22" s="71"/>
      <c r="NIE22" s="71"/>
      <c r="NIF22" s="71"/>
      <c r="NIG22" s="71"/>
      <c r="NIH22" s="71"/>
      <c r="NII22" s="71"/>
      <c r="NIJ22" s="71"/>
      <c r="NIK22" s="71"/>
      <c r="NIL22" s="71"/>
      <c r="NIM22" s="71"/>
      <c r="NIN22" s="71"/>
      <c r="NIO22" s="71"/>
      <c r="NIP22" s="71"/>
      <c r="NIQ22" s="71"/>
      <c r="NIR22" s="71"/>
      <c r="NIS22" s="71"/>
      <c r="NIT22" s="71"/>
      <c r="NIU22" s="71"/>
      <c r="NIV22" s="71"/>
      <c r="NIW22" s="71"/>
      <c r="NIX22" s="71"/>
      <c r="NIY22" s="71"/>
      <c r="NIZ22" s="71"/>
      <c r="NJA22" s="71"/>
      <c r="NJB22" s="71"/>
      <c r="NJC22" s="71"/>
      <c r="NJD22" s="71"/>
      <c r="NJE22" s="71"/>
      <c r="NJF22" s="71"/>
      <c r="NJG22" s="71"/>
      <c r="NJH22" s="71"/>
      <c r="NJI22" s="71"/>
      <c r="NJJ22" s="71"/>
      <c r="NJK22" s="71"/>
      <c r="NJL22" s="71"/>
      <c r="NJM22" s="71"/>
      <c r="NJN22" s="71"/>
      <c r="NJO22" s="71"/>
      <c r="NJP22" s="71"/>
      <c r="NJQ22" s="71"/>
      <c r="NJR22" s="71"/>
      <c r="NJS22" s="71"/>
      <c r="NJT22" s="71"/>
      <c r="NJU22" s="71"/>
      <c r="NJV22" s="71"/>
      <c r="NJW22" s="71"/>
      <c r="NJX22" s="71"/>
      <c r="NJY22" s="71"/>
      <c r="NJZ22" s="71"/>
      <c r="NKA22" s="71"/>
      <c r="NKB22" s="71"/>
      <c r="NKC22" s="71"/>
      <c r="NKD22" s="71"/>
      <c r="NKE22" s="71"/>
      <c r="NKF22" s="71"/>
      <c r="NKG22" s="71"/>
      <c r="NKH22" s="71"/>
      <c r="NKI22" s="71"/>
      <c r="NKJ22" s="71"/>
      <c r="NKK22" s="71"/>
      <c r="NKL22" s="71"/>
      <c r="NKM22" s="71"/>
      <c r="NKN22" s="71"/>
      <c r="NKO22" s="71"/>
      <c r="NKP22" s="71"/>
      <c r="NKQ22" s="71"/>
      <c r="NKR22" s="71"/>
      <c r="NKS22" s="71"/>
      <c r="NKT22" s="71"/>
      <c r="NKU22" s="71"/>
      <c r="NKV22" s="71"/>
      <c r="NKW22" s="71"/>
      <c r="NKX22" s="71"/>
      <c r="NKY22" s="71"/>
      <c r="NKZ22" s="71"/>
      <c r="NLA22" s="71"/>
      <c r="NLB22" s="71"/>
      <c r="NLC22" s="71"/>
      <c r="NLD22" s="71"/>
      <c r="NLE22" s="71"/>
      <c r="NLF22" s="71"/>
      <c r="NLG22" s="71"/>
      <c r="NLH22" s="71"/>
      <c r="NLI22" s="71"/>
      <c r="NLJ22" s="71"/>
      <c r="NLK22" s="71"/>
      <c r="NLL22" s="71"/>
      <c r="NLM22" s="71"/>
      <c r="NLN22" s="71"/>
      <c r="NLO22" s="71"/>
      <c r="NLP22" s="71"/>
      <c r="NLQ22" s="71"/>
      <c r="NLR22" s="71"/>
      <c r="NLS22" s="71"/>
      <c r="NLT22" s="71"/>
      <c r="NLU22" s="71"/>
      <c r="NLV22" s="71"/>
      <c r="NLW22" s="71"/>
      <c r="NLX22" s="71"/>
      <c r="NLY22" s="71"/>
      <c r="NLZ22" s="71"/>
      <c r="NMA22" s="71"/>
      <c r="NMB22" s="71"/>
      <c r="NMC22" s="71"/>
      <c r="NMD22" s="71"/>
      <c r="NME22" s="71"/>
      <c r="NMF22" s="71"/>
      <c r="NMG22" s="71"/>
      <c r="NMH22" s="71"/>
      <c r="NMI22" s="71"/>
      <c r="NMJ22" s="71"/>
      <c r="NMK22" s="71"/>
      <c r="NML22" s="71"/>
      <c r="NMM22" s="71"/>
      <c r="NMN22" s="71"/>
      <c r="NMO22" s="71"/>
      <c r="NMP22" s="71"/>
      <c r="NMQ22" s="71"/>
      <c r="NMR22" s="71"/>
      <c r="NMS22" s="71"/>
      <c r="NMT22" s="71"/>
      <c r="NMU22" s="71"/>
      <c r="NMV22" s="71"/>
      <c r="NMW22" s="71"/>
      <c r="NMX22" s="71"/>
      <c r="NMY22" s="71"/>
      <c r="NMZ22" s="71"/>
      <c r="NNA22" s="71"/>
      <c r="NNB22" s="71"/>
      <c r="NNC22" s="71"/>
      <c r="NND22" s="71"/>
      <c r="NNE22" s="71"/>
      <c r="NNF22" s="71"/>
      <c r="NNG22" s="71"/>
      <c r="NNH22" s="71"/>
      <c r="NNI22" s="71"/>
      <c r="NNJ22" s="71"/>
      <c r="NNK22" s="71"/>
      <c r="NNL22" s="71"/>
      <c r="NNM22" s="71"/>
      <c r="NNN22" s="71"/>
      <c r="NNO22" s="71"/>
      <c r="NNP22" s="71"/>
      <c r="NNQ22" s="71"/>
      <c r="NNR22" s="71"/>
      <c r="NNS22" s="71"/>
      <c r="NNT22" s="71"/>
      <c r="NNU22" s="71"/>
      <c r="NNV22" s="71"/>
      <c r="NNW22" s="71"/>
      <c r="NNX22" s="71"/>
      <c r="NNY22" s="71"/>
      <c r="NNZ22" s="71"/>
      <c r="NOA22" s="71"/>
      <c r="NOB22" s="71"/>
      <c r="NOC22" s="71"/>
      <c r="NOD22" s="71"/>
      <c r="NOE22" s="71"/>
      <c r="NOF22" s="71"/>
      <c r="NOG22" s="71"/>
      <c r="NOH22" s="71"/>
      <c r="NOI22" s="71"/>
      <c r="NOJ22" s="71"/>
      <c r="NOK22" s="71"/>
      <c r="NOL22" s="71"/>
      <c r="NOM22" s="71"/>
      <c r="NON22" s="71"/>
      <c r="NOO22" s="71"/>
      <c r="NOP22" s="71"/>
      <c r="NOQ22" s="71"/>
      <c r="NOR22" s="71"/>
      <c r="NOS22" s="71"/>
      <c r="NOT22" s="71"/>
      <c r="NOU22" s="71"/>
      <c r="NOV22" s="71"/>
      <c r="NOW22" s="71"/>
      <c r="NOX22" s="71"/>
      <c r="NOY22" s="71"/>
      <c r="NOZ22" s="71"/>
      <c r="NPA22" s="71"/>
      <c r="NPB22" s="71"/>
      <c r="NPC22" s="71"/>
      <c r="NPD22" s="71"/>
      <c r="NPE22" s="71"/>
      <c r="NPF22" s="71"/>
      <c r="NPG22" s="71"/>
      <c r="NPH22" s="71"/>
      <c r="NPI22" s="71"/>
      <c r="NPJ22" s="71"/>
      <c r="NPK22" s="71"/>
      <c r="NPL22" s="71"/>
      <c r="NPM22" s="71"/>
      <c r="NPN22" s="71"/>
      <c r="NPO22" s="71"/>
      <c r="NPP22" s="71"/>
      <c r="NPQ22" s="71"/>
      <c r="NPR22" s="71"/>
      <c r="NPS22" s="71"/>
      <c r="NPT22" s="71"/>
      <c r="NPU22" s="71"/>
      <c r="NPV22" s="71"/>
      <c r="NPW22" s="71"/>
      <c r="NPX22" s="71"/>
      <c r="NPY22" s="71"/>
      <c r="NPZ22" s="71"/>
      <c r="NQA22" s="71"/>
      <c r="NQB22" s="71"/>
      <c r="NQC22" s="71"/>
      <c r="NQD22" s="71"/>
      <c r="NQE22" s="71"/>
      <c r="NQF22" s="71"/>
      <c r="NQG22" s="71"/>
      <c r="NQH22" s="71"/>
      <c r="NQI22" s="71"/>
      <c r="NQJ22" s="71"/>
      <c r="NQK22" s="71"/>
      <c r="NQL22" s="71"/>
      <c r="NQM22" s="71"/>
      <c r="NQN22" s="71"/>
      <c r="NQO22" s="71"/>
      <c r="NQP22" s="71"/>
      <c r="NQQ22" s="71"/>
      <c r="NQR22" s="71"/>
      <c r="NQS22" s="71"/>
      <c r="NQT22" s="71"/>
      <c r="NQU22" s="71"/>
      <c r="NQV22" s="71"/>
      <c r="NQW22" s="71"/>
      <c r="NQX22" s="71"/>
      <c r="NQY22" s="71"/>
      <c r="NQZ22" s="71"/>
      <c r="NRA22" s="71"/>
      <c r="NRB22" s="71"/>
      <c r="NRC22" s="71"/>
      <c r="NRD22" s="71"/>
      <c r="NRE22" s="71"/>
      <c r="NRF22" s="71"/>
      <c r="NRG22" s="71"/>
      <c r="NRH22" s="71"/>
      <c r="NRI22" s="71"/>
      <c r="NRJ22" s="71"/>
      <c r="NRK22" s="71"/>
      <c r="NRL22" s="71"/>
      <c r="NRM22" s="71"/>
      <c r="NRN22" s="71"/>
      <c r="NRO22" s="71"/>
      <c r="NRP22" s="71"/>
      <c r="NRQ22" s="71"/>
      <c r="NRR22" s="71"/>
      <c r="NRS22" s="71"/>
      <c r="NRT22" s="71"/>
      <c r="NRU22" s="71"/>
      <c r="NRV22" s="71"/>
      <c r="NRW22" s="71"/>
      <c r="NRX22" s="71"/>
      <c r="NRY22" s="71"/>
      <c r="NRZ22" s="71"/>
      <c r="NSA22" s="71"/>
      <c r="NSB22" s="71"/>
      <c r="NSC22" s="71"/>
      <c r="NSD22" s="71"/>
      <c r="NSE22" s="71"/>
      <c r="NSF22" s="71"/>
      <c r="NSG22" s="71"/>
      <c r="NSH22" s="71"/>
      <c r="NSI22" s="71"/>
      <c r="NSJ22" s="71"/>
      <c r="NSK22" s="71"/>
      <c r="NSL22" s="71"/>
      <c r="NSM22" s="71"/>
      <c r="NSN22" s="71"/>
      <c r="NSO22" s="71"/>
      <c r="NSP22" s="71"/>
      <c r="NSQ22" s="71"/>
      <c r="NSR22" s="71"/>
      <c r="NSS22" s="71"/>
      <c r="NST22" s="71"/>
      <c r="NSU22" s="71"/>
      <c r="NSV22" s="71"/>
      <c r="NSW22" s="71"/>
      <c r="NSX22" s="71"/>
      <c r="NSY22" s="71"/>
      <c r="NSZ22" s="71"/>
      <c r="NTA22" s="71"/>
      <c r="NTB22" s="71"/>
      <c r="NTC22" s="71"/>
      <c r="NTD22" s="71"/>
      <c r="NTE22" s="71"/>
      <c r="NTF22" s="71"/>
      <c r="NTG22" s="71"/>
      <c r="NTH22" s="71"/>
      <c r="NTI22" s="71"/>
      <c r="NTJ22" s="71"/>
      <c r="NTK22" s="71"/>
      <c r="NTL22" s="71"/>
      <c r="NTM22" s="71"/>
      <c r="NTN22" s="71"/>
      <c r="NTO22" s="71"/>
      <c r="NTP22" s="71"/>
      <c r="NTQ22" s="71"/>
      <c r="NTR22" s="71"/>
      <c r="NTS22" s="71"/>
      <c r="NTT22" s="71"/>
      <c r="NTU22" s="71"/>
      <c r="NTV22" s="71"/>
      <c r="NTW22" s="71"/>
      <c r="NTX22" s="71"/>
      <c r="NTY22" s="71"/>
      <c r="NTZ22" s="71"/>
      <c r="NUA22" s="71"/>
      <c r="NUB22" s="71"/>
      <c r="NUC22" s="71"/>
      <c r="NUD22" s="71"/>
      <c r="NUE22" s="71"/>
      <c r="NUF22" s="71"/>
      <c r="NUG22" s="71"/>
      <c r="NUH22" s="71"/>
      <c r="NUI22" s="71"/>
      <c r="NUJ22" s="71"/>
      <c r="NUK22" s="71"/>
      <c r="NUL22" s="71"/>
      <c r="NUM22" s="71"/>
      <c r="NUN22" s="71"/>
      <c r="NUO22" s="71"/>
      <c r="NUP22" s="71"/>
      <c r="NUQ22" s="71"/>
      <c r="NUR22" s="71"/>
      <c r="NUS22" s="71"/>
      <c r="NUT22" s="71"/>
      <c r="NUU22" s="71"/>
      <c r="NUV22" s="71"/>
      <c r="NUW22" s="71"/>
      <c r="NUX22" s="71"/>
      <c r="NUY22" s="71"/>
      <c r="NUZ22" s="71"/>
      <c r="NVA22" s="71"/>
      <c r="NVB22" s="71"/>
      <c r="NVC22" s="71"/>
      <c r="NVD22" s="71"/>
      <c r="NVE22" s="71"/>
      <c r="NVF22" s="71"/>
      <c r="NVG22" s="71"/>
      <c r="NVH22" s="71"/>
      <c r="NVI22" s="71"/>
      <c r="NVJ22" s="71"/>
      <c r="NVK22" s="71"/>
      <c r="NVL22" s="71"/>
      <c r="NVM22" s="71"/>
      <c r="NVN22" s="71"/>
      <c r="NVO22" s="71"/>
      <c r="NVP22" s="71"/>
      <c r="NVQ22" s="71"/>
      <c r="NVR22" s="71"/>
      <c r="NVS22" s="71"/>
      <c r="NVT22" s="71"/>
      <c r="NVU22" s="71"/>
      <c r="NVV22" s="71"/>
      <c r="NVW22" s="71"/>
      <c r="NVX22" s="71"/>
      <c r="NVY22" s="71"/>
      <c r="NVZ22" s="71"/>
      <c r="NWA22" s="71"/>
      <c r="NWB22" s="71"/>
      <c r="NWC22" s="71"/>
      <c r="NWD22" s="71"/>
      <c r="NWE22" s="71"/>
      <c r="NWF22" s="71"/>
      <c r="NWG22" s="71"/>
      <c r="NWH22" s="71"/>
      <c r="NWI22" s="71"/>
      <c r="NWJ22" s="71"/>
      <c r="NWK22" s="71"/>
      <c r="NWL22" s="71"/>
      <c r="NWM22" s="71"/>
      <c r="NWN22" s="71"/>
      <c r="NWO22" s="71"/>
      <c r="NWP22" s="71"/>
      <c r="NWQ22" s="71"/>
      <c r="NWR22" s="71"/>
      <c r="NWS22" s="71"/>
      <c r="NWT22" s="71"/>
      <c r="NWU22" s="71"/>
      <c r="NWV22" s="71"/>
      <c r="NWW22" s="71"/>
      <c r="NWX22" s="71"/>
      <c r="NWY22" s="71"/>
      <c r="NWZ22" s="71"/>
      <c r="NXA22" s="71"/>
      <c r="NXB22" s="71"/>
      <c r="NXC22" s="71"/>
      <c r="NXD22" s="71"/>
      <c r="NXE22" s="71"/>
      <c r="NXF22" s="71"/>
      <c r="NXG22" s="71"/>
      <c r="NXH22" s="71"/>
      <c r="NXI22" s="71"/>
      <c r="NXJ22" s="71"/>
      <c r="NXK22" s="71"/>
      <c r="NXL22" s="71"/>
      <c r="NXM22" s="71"/>
      <c r="NXN22" s="71"/>
      <c r="NXO22" s="71"/>
      <c r="NXP22" s="71"/>
      <c r="NXQ22" s="71"/>
      <c r="NXR22" s="71"/>
      <c r="NXS22" s="71"/>
      <c r="NXT22" s="71"/>
      <c r="NXU22" s="71"/>
      <c r="NXV22" s="71"/>
      <c r="NXW22" s="71"/>
      <c r="NXX22" s="71"/>
      <c r="NXY22" s="71"/>
      <c r="NXZ22" s="71"/>
      <c r="NYA22" s="71"/>
      <c r="NYB22" s="71"/>
      <c r="NYC22" s="71"/>
      <c r="NYD22" s="71"/>
      <c r="NYE22" s="71"/>
      <c r="NYF22" s="71"/>
      <c r="NYG22" s="71"/>
      <c r="NYH22" s="71"/>
      <c r="NYI22" s="71"/>
      <c r="NYJ22" s="71"/>
      <c r="NYK22" s="71"/>
      <c r="NYL22" s="71"/>
      <c r="NYM22" s="71"/>
      <c r="NYN22" s="71"/>
      <c r="NYO22" s="71"/>
      <c r="NYP22" s="71"/>
      <c r="NYQ22" s="71"/>
      <c r="NYR22" s="71"/>
      <c r="NYS22" s="71"/>
      <c r="NYT22" s="71"/>
      <c r="NYU22" s="71"/>
      <c r="NYV22" s="71"/>
      <c r="NYW22" s="71"/>
      <c r="NYX22" s="71"/>
      <c r="NYY22" s="71"/>
      <c r="NYZ22" s="71"/>
      <c r="NZA22" s="71"/>
      <c r="NZB22" s="71"/>
      <c r="NZC22" s="71"/>
      <c r="NZD22" s="71"/>
      <c r="NZE22" s="71"/>
      <c r="NZF22" s="71"/>
      <c r="NZG22" s="71"/>
      <c r="NZH22" s="71"/>
      <c r="NZI22" s="71"/>
      <c r="NZJ22" s="71"/>
      <c r="NZK22" s="71"/>
      <c r="NZL22" s="71"/>
      <c r="NZM22" s="71"/>
      <c r="NZN22" s="71"/>
      <c r="NZO22" s="71"/>
      <c r="NZP22" s="71"/>
      <c r="NZQ22" s="71"/>
      <c r="NZR22" s="71"/>
      <c r="NZS22" s="71"/>
      <c r="NZT22" s="71"/>
      <c r="NZU22" s="71"/>
      <c r="NZV22" s="71"/>
      <c r="NZW22" s="71"/>
      <c r="NZX22" s="71"/>
      <c r="NZY22" s="71"/>
      <c r="NZZ22" s="71"/>
      <c r="OAA22" s="71"/>
      <c r="OAB22" s="71"/>
      <c r="OAC22" s="71"/>
      <c r="OAD22" s="71"/>
      <c r="OAE22" s="71"/>
      <c r="OAF22" s="71"/>
      <c r="OAG22" s="71"/>
      <c r="OAH22" s="71"/>
      <c r="OAI22" s="71"/>
      <c r="OAJ22" s="71"/>
      <c r="OAK22" s="71"/>
      <c r="OAL22" s="71"/>
      <c r="OAM22" s="71"/>
      <c r="OAN22" s="71"/>
      <c r="OAO22" s="71"/>
      <c r="OAP22" s="71"/>
      <c r="OAQ22" s="71"/>
      <c r="OAR22" s="71"/>
      <c r="OAS22" s="71"/>
      <c r="OAT22" s="71"/>
      <c r="OAU22" s="71"/>
      <c r="OAV22" s="71"/>
      <c r="OAW22" s="71"/>
      <c r="OAX22" s="71"/>
      <c r="OAY22" s="71"/>
      <c r="OAZ22" s="71"/>
      <c r="OBA22" s="71"/>
      <c r="OBB22" s="71"/>
      <c r="OBC22" s="71"/>
      <c r="OBD22" s="71"/>
      <c r="OBE22" s="71"/>
      <c r="OBF22" s="71"/>
      <c r="OBG22" s="71"/>
      <c r="OBH22" s="71"/>
      <c r="OBI22" s="71"/>
      <c r="OBJ22" s="71"/>
      <c r="OBK22" s="71"/>
      <c r="OBL22" s="71"/>
      <c r="OBM22" s="71"/>
      <c r="OBN22" s="71"/>
      <c r="OBO22" s="71"/>
      <c r="OBP22" s="71"/>
      <c r="OBQ22" s="71"/>
      <c r="OBR22" s="71"/>
      <c r="OBS22" s="71"/>
      <c r="OBT22" s="71"/>
      <c r="OBU22" s="71"/>
      <c r="OBV22" s="71"/>
      <c r="OBW22" s="71"/>
      <c r="OBX22" s="71"/>
      <c r="OBY22" s="71"/>
      <c r="OBZ22" s="71"/>
      <c r="OCA22" s="71"/>
      <c r="OCB22" s="71"/>
      <c r="OCC22" s="71"/>
      <c r="OCD22" s="71"/>
      <c r="OCE22" s="71"/>
      <c r="OCF22" s="71"/>
      <c r="OCG22" s="71"/>
      <c r="OCH22" s="71"/>
      <c r="OCI22" s="71"/>
      <c r="OCJ22" s="71"/>
      <c r="OCK22" s="71"/>
      <c r="OCL22" s="71"/>
      <c r="OCM22" s="71"/>
      <c r="OCN22" s="71"/>
      <c r="OCO22" s="71"/>
      <c r="OCP22" s="71"/>
      <c r="OCQ22" s="71"/>
      <c r="OCR22" s="71"/>
      <c r="OCS22" s="71"/>
      <c r="OCT22" s="71"/>
      <c r="OCU22" s="71"/>
      <c r="OCV22" s="71"/>
      <c r="OCW22" s="71"/>
      <c r="OCX22" s="71"/>
      <c r="OCY22" s="71"/>
      <c r="OCZ22" s="71"/>
      <c r="ODA22" s="71"/>
      <c r="ODB22" s="71"/>
      <c r="ODC22" s="71"/>
      <c r="ODD22" s="71"/>
      <c r="ODE22" s="71"/>
      <c r="ODF22" s="71"/>
      <c r="ODG22" s="71"/>
      <c r="ODH22" s="71"/>
      <c r="ODI22" s="71"/>
      <c r="ODJ22" s="71"/>
      <c r="ODK22" s="71"/>
      <c r="ODL22" s="71"/>
      <c r="ODM22" s="71"/>
      <c r="ODN22" s="71"/>
      <c r="ODO22" s="71"/>
      <c r="ODP22" s="71"/>
      <c r="ODQ22" s="71"/>
      <c r="ODR22" s="71"/>
      <c r="ODS22" s="71"/>
      <c r="ODT22" s="71"/>
      <c r="ODU22" s="71"/>
      <c r="ODV22" s="71"/>
      <c r="ODW22" s="71"/>
      <c r="ODX22" s="71"/>
      <c r="ODY22" s="71"/>
      <c r="ODZ22" s="71"/>
      <c r="OEA22" s="71"/>
      <c r="OEB22" s="71"/>
      <c r="OEC22" s="71"/>
      <c r="OED22" s="71"/>
      <c r="OEE22" s="71"/>
      <c r="OEF22" s="71"/>
      <c r="OEG22" s="71"/>
      <c r="OEH22" s="71"/>
      <c r="OEI22" s="71"/>
      <c r="OEJ22" s="71"/>
      <c r="OEK22" s="71"/>
      <c r="OEL22" s="71"/>
      <c r="OEM22" s="71"/>
      <c r="OEN22" s="71"/>
      <c r="OEO22" s="71"/>
      <c r="OEP22" s="71"/>
      <c r="OEQ22" s="71"/>
      <c r="OER22" s="71"/>
      <c r="OES22" s="71"/>
      <c r="OET22" s="71"/>
      <c r="OEU22" s="71"/>
      <c r="OEV22" s="71"/>
      <c r="OEW22" s="71"/>
      <c r="OEX22" s="71"/>
      <c r="OEY22" s="71"/>
      <c r="OEZ22" s="71"/>
      <c r="OFA22" s="71"/>
      <c r="OFB22" s="71"/>
      <c r="OFC22" s="71"/>
      <c r="OFD22" s="71"/>
      <c r="OFE22" s="71"/>
      <c r="OFF22" s="71"/>
      <c r="OFG22" s="71"/>
      <c r="OFH22" s="71"/>
      <c r="OFI22" s="71"/>
      <c r="OFJ22" s="71"/>
      <c r="OFK22" s="71"/>
      <c r="OFL22" s="71"/>
      <c r="OFM22" s="71"/>
      <c r="OFN22" s="71"/>
      <c r="OFO22" s="71"/>
      <c r="OFP22" s="71"/>
      <c r="OFQ22" s="71"/>
      <c r="OFR22" s="71"/>
      <c r="OFS22" s="71"/>
      <c r="OFT22" s="71"/>
      <c r="OFU22" s="71"/>
      <c r="OFV22" s="71"/>
      <c r="OFW22" s="71"/>
      <c r="OFX22" s="71"/>
      <c r="OFY22" s="71"/>
      <c r="OFZ22" s="71"/>
      <c r="OGA22" s="71"/>
      <c r="OGB22" s="71"/>
      <c r="OGC22" s="71"/>
      <c r="OGD22" s="71"/>
      <c r="OGE22" s="71"/>
      <c r="OGF22" s="71"/>
      <c r="OGG22" s="71"/>
      <c r="OGH22" s="71"/>
      <c r="OGI22" s="71"/>
      <c r="OGJ22" s="71"/>
      <c r="OGK22" s="71"/>
      <c r="OGL22" s="71"/>
      <c r="OGM22" s="71"/>
      <c r="OGN22" s="71"/>
      <c r="OGO22" s="71"/>
      <c r="OGP22" s="71"/>
      <c r="OGQ22" s="71"/>
      <c r="OGR22" s="71"/>
      <c r="OGS22" s="71"/>
      <c r="OGT22" s="71"/>
      <c r="OGU22" s="71"/>
      <c r="OGV22" s="71"/>
      <c r="OGW22" s="71"/>
      <c r="OGX22" s="71"/>
      <c r="OGY22" s="71"/>
      <c r="OGZ22" s="71"/>
      <c r="OHA22" s="71"/>
      <c r="OHB22" s="71"/>
      <c r="OHC22" s="71"/>
      <c r="OHD22" s="71"/>
      <c r="OHE22" s="71"/>
      <c r="OHF22" s="71"/>
      <c r="OHG22" s="71"/>
      <c r="OHH22" s="71"/>
      <c r="OHI22" s="71"/>
      <c r="OHJ22" s="71"/>
      <c r="OHK22" s="71"/>
      <c r="OHL22" s="71"/>
      <c r="OHM22" s="71"/>
      <c r="OHN22" s="71"/>
      <c r="OHO22" s="71"/>
      <c r="OHP22" s="71"/>
      <c r="OHQ22" s="71"/>
      <c r="OHR22" s="71"/>
      <c r="OHS22" s="71"/>
      <c r="OHT22" s="71"/>
      <c r="OHU22" s="71"/>
      <c r="OHV22" s="71"/>
      <c r="OHW22" s="71"/>
      <c r="OHX22" s="71"/>
      <c r="OHY22" s="71"/>
      <c r="OHZ22" s="71"/>
      <c r="OIA22" s="71"/>
      <c r="OIB22" s="71"/>
      <c r="OIC22" s="71"/>
      <c r="OID22" s="71"/>
      <c r="OIE22" s="71"/>
      <c r="OIF22" s="71"/>
      <c r="OIG22" s="71"/>
      <c r="OIH22" s="71"/>
      <c r="OII22" s="71"/>
      <c r="OIJ22" s="71"/>
      <c r="OIK22" s="71"/>
      <c r="OIL22" s="71"/>
      <c r="OIM22" s="71"/>
      <c r="OIN22" s="71"/>
      <c r="OIO22" s="71"/>
      <c r="OIP22" s="71"/>
      <c r="OIQ22" s="71"/>
      <c r="OIR22" s="71"/>
      <c r="OIS22" s="71"/>
      <c r="OIT22" s="71"/>
      <c r="OIU22" s="71"/>
      <c r="OIV22" s="71"/>
      <c r="OIW22" s="71"/>
      <c r="OIX22" s="71"/>
      <c r="OIY22" s="71"/>
      <c r="OIZ22" s="71"/>
      <c r="OJA22" s="71"/>
      <c r="OJB22" s="71"/>
      <c r="OJC22" s="71"/>
      <c r="OJD22" s="71"/>
      <c r="OJE22" s="71"/>
      <c r="OJF22" s="71"/>
      <c r="OJG22" s="71"/>
      <c r="OJH22" s="71"/>
      <c r="OJI22" s="71"/>
      <c r="OJJ22" s="71"/>
      <c r="OJK22" s="71"/>
      <c r="OJL22" s="71"/>
      <c r="OJM22" s="71"/>
      <c r="OJN22" s="71"/>
      <c r="OJO22" s="71"/>
      <c r="OJP22" s="71"/>
      <c r="OJQ22" s="71"/>
      <c r="OJR22" s="71"/>
      <c r="OJS22" s="71"/>
      <c r="OJT22" s="71"/>
      <c r="OJU22" s="71"/>
      <c r="OJV22" s="71"/>
      <c r="OJW22" s="71"/>
      <c r="OJX22" s="71"/>
      <c r="OJY22" s="71"/>
      <c r="OJZ22" s="71"/>
      <c r="OKA22" s="71"/>
      <c r="OKB22" s="71"/>
      <c r="OKC22" s="71"/>
      <c r="OKD22" s="71"/>
      <c r="OKE22" s="71"/>
      <c r="OKF22" s="71"/>
      <c r="OKG22" s="71"/>
      <c r="OKH22" s="71"/>
      <c r="OKI22" s="71"/>
      <c r="OKJ22" s="71"/>
      <c r="OKK22" s="71"/>
      <c r="OKL22" s="71"/>
      <c r="OKM22" s="71"/>
      <c r="OKN22" s="71"/>
      <c r="OKO22" s="71"/>
      <c r="OKP22" s="71"/>
      <c r="OKQ22" s="71"/>
      <c r="OKR22" s="71"/>
      <c r="OKS22" s="71"/>
      <c r="OKT22" s="71"/>
      <c r="OKU22" s="71"/>
      <c r="OKV22" s="71"/>
      <c r="OKW22" s="71"/>
      <c r="OKX22" s="71"/>
      <c r="OKY22" s="71"/>
      <c r="OKZ22" s="71"/>
      <c r="OLA22" s="71"/>
      <c r="OLB22" s="71"/>
      <c r="OLC22" s="71"/>
      <c r="OLD22" s="71"/>
      <c r="OLE22" s="71"/>
      <c r="OLF22" s="71"/>
      <c r="OLG22" s="71"/>
      <c r="OLH22" s="71"/>
      <c r="OLI22" s="71"/>
      <c r="OLJ22" s="71"/>
      <c r="OLK22" s="71"/>
      <c r="OLL22" s="71"/>
      <c r="OLM22" s="71"/>
      <c r="OLN22" s="71"/>
      <c r="OLO22" s="71"/>
      <c r="OLP22" s="71"/>
      <c r="OLQ22" s="71"/>
      <c r="OLR22" s="71"/>
      <c r="OLS22" s="71"/>
      <c r="OLT22" s="71"/>
      <c r="OLU22" s="71"/>
      <c r="OLV22" s="71"/>
      <c r="OLW22" s="71"/>
      <c r="OLX22" s="71"/>
      <c r="OLY22" s="71"/>
      <c r="OLZ22" s="71"/>
      <c r="OMA22" s="71"/>
      <c r="OMB22" s="71"/>
      <c r="OMC22" s="71"/>
      <c r="OMD22" s="71"/>
      <c r="OME22" s="71"/>
      <c r="OMF22" s="71"/>
      <c r="OMG22" s="71"/>
      <c r="OMH22" s="71"/>
      <c r="OMI22" s="71"/>
      <c r="OMJ22" s="71"/>
      <c r="OMK22" s="71"/>
      <c r="OML22" s="71"/>
      <c r="OMM22" s="71"/>
      <c r="OMN22" s="71"/>
      <c r="OMO22" s="71"/>
      <c r="OMP22" s="71"/>
      <c r="OMQ22" s="71"/>
      <c r="OMR22" s="71"/>
      <c r="OMS22" s="71"/>
      <c r="OMT22" s="71"/>
      <c r="OMU22" s="71"/>
      <c r="OMV22" s="71"/>
      <c r="OMW22" s="71"/>
      <c r="OMX22" s="71"/>
      <c r="OMY22" s="71"/>
      <c r="OMZ22" s="71"/>
      <c r="ONA22" s="71"/>
      <c r="ONB22" s="71"/>
      <c r="ONC22" s="71"/>
      <c r="OND22" s="71"/>
      <c r="ONE22" s="71"/>
      <c r="ONF22" s="71"/>
      <c r="ONG22" s="71"/>
      <c r="ONH22" s="71"/>
      <c r="ONI22" s="71"/>
      <c r="ONJ22" s="71"/>
      <c r="ONK22" s="71"/>
      <c r="ONL22" s="71"/>
      <c r="ONM22" s="71"/>
      <c r="ONN22" s="71"/>
      <c r="ONO22" s="71"/>
      <c r="ONP22" s="71"/>
      <c r="ONQ22" s="71"/>
      <c r="ONR22" s="71"/>
      <c r="ONS22" s="71"/>
      <c r="ONT22" s="71"/>
      <c r="ONU22" s="71"/>
      <c r="ONV22" s="71"/>
      <c r="ONW22" s="71"/>
      <c r="ONX22" s="71"/>
      <c r="ONY22" s="71"/>
      <c r="ONZ22" s="71"/>
      <c r="OOA22" s="71"/>
      <c r="OOB22" s="71"/>
      <c r="OOC22" s="71"/>
      <c r="OOD22" s="71"/>
      <c r="OOE22" s="71"/>
      <c r="OOF22" s="71"/>
      <c r="OOG22" s="71"/>
      <c r="OOH22" s="71"/>
      <c r="OOI22" s="71"/>
      <c r="OOJ22" s="71"/>
      <c r="OOK22" s="71"/>
      <c r="OOL22" s="71"/>
      <c r="OOM22" s="71"/>
      <c r="OON22" s="71"/>
      <c r="OOO22" s="71"/>
      <c r="OOP22" s="71"/>
      <c r="OOQ22" s="71"/>
      <c r="OOR22" s="71"/>
      <c r="OOS22" s="71"/>
      <c r="OOT22" s="71"/>
      <c r="OOU22" s="71"/>
      <c r="OOV22" s="71"/>
      <c r="OOW22" s="71"/>
      <c r="OOX22" s="71"/>
      <c r="OOY22" s="71"/>
      <c r="OOZ22" s="71"/>
      <c r="OPA22" s="71"/>
      <c r="OPB22" s="71"/>
      <c r="OPC22" s="71"/>
      <c r="OPD22" s="71"/>
      <c r="OPE22" s="71"/>
      <c r="OPF22" s="71"/>
      <c r="OPG22" s="71"/>
      <c r="OPH22" s="71"/>
      <c r="OPI22" s="71"/>
      <c r="OPJ22" s="71"/>
      <c r="OPK22" s="71"/>
      <c r="OPL22" s="71"/>
      <c r="OPM22" s="71"/>
      <c r="OPN22" s="71"/>
      <c r="OPO22" s="71"/>
      <c r="OPP22" s="71"/>
      <c r="OPQ22" s="71"/>
      <c r="OPR22" s="71"/>
      <c r="OPS22" s="71"/>
      <c r="OPT22" s="71"/>
      <c r="OPU22" s="71"/>
      <c r="OPV22" s="71"/>
      <c r="OPW22" s="71"/>
      <c r="OPX22" s="71"/>
      <c r="OPY22" s="71"/>
      <c r="OPZ22" s="71"/>
      <c r="OQA22" s="71"/>
      <c r="OQB22" s="71"/>
      <c r="OQC22" s="71"/>
      <c r="OQD22" s="71"/>
      <c r="OQE22" s="71"/>
      <c r="OQF22" s="71"/>
      <c r="OQG22" s="71"/>
      <c r="OQH22" s="71"/>
      <c r="OQI22" s="71"/>
      <c r="OQJ22" s="71"/>
      <c r="OQK22" s="71"/>
      <c r="OQL22" s="71"/>
      <c r="OQM22" s="71"/>
      <c r="OQN22" s="71"/>
      <c r="OQO22" s="71"/>
      <c r="OQP22" s="71"/>
      <c r="OQQ22" s="71"/>
      <c r="OQR22" s="71"/>
      <c r="OQS22" s="71"/>
      <c r="OQT22" s="71"/>
      <c r="OQU22" s="71"/>
      <c r="OQV22" s="71"/>
      <c r="OQW22" s="71"/>
      <c r="OQX22" s="71"/>
      <c r="OQY22" s="71"/>
      <c r="OQZ22" s="71"/>
      <c r="ORA22" s="71"/>
      <c r="ORB22" s="71"/>
      <c r="ORC22" s="71"/>
      <c r="ORD22" s="71"/>
      <c r="ORE22" s="71"/>
      <c r="ORF22" s="71"/>
      <c r="ORG22" s="71"/>
      <c r="ORH22" s="71"/>
      <c r="ORI22" s="71"/>
      <c r="ORJ22" s="71"/>
      <c r="ORK22" s="71"/>
      <c r="ORL22" s="71"/>
      <c r="ORM22" s="71"/>
      <c r="ORN22" s="71"/>
      <c r="ORO22" s="71"/>
      <c r="ORP22" s="71"/>
      <c r="ORQ22" s="71"/>
      <c r="ORR22" s="71"/>
      <c r="ORS22" s="71"/>
      <c r="ORT22" s="71"/>
      <c r="ORU22" s="71"/>
      <c r="ORV22" s="71"/>
      <c r="ORW22" s="71"/>
      <c r="ORX22" s="71"/>
      <c r="ORY22" s="71"/>
      <c r="ORZ22" s="71"/>
      <c r="OSA22" s="71"/>
      <c r="OSB22" s="71"/>
      <c r="OSC22" s="71"/>
      <c r="OSD22" s="71"/>
      <c r="OSE22" s="71"/>
      <c r="OSF22" s="71"/>
      <c r="OSG22" s="71"/>
      <c r="OSH22" s="71"/>
      <c r="OSI22" s="71"/>
      <c r="OSJ22" s="71"/>
      <c r="OSK22" s="71"/>
      <c r="OSL22" s="71"/>
      <c r="OSM22" s="71"/>
      <c r="OSN22" s="71"/>
      <c r="OSO22" s="71"/>
      <c r="OSP22" s="71"/>
      <c r="OSQ22" s="71"/>
      <c r="OSR22" s="71"/>
      <c r="OSS22" s="71"/>
      <c r="OST22" s="71"/>
      <c r="OSU22" s="71"/>
      <c r="OSV22" s="71"/>
      <c r="OSW22" s="71"/>
      <c r="OSX22" s="71"/>
      <c r="OSY22" s="71"/>
      <c r="OSZ22" s="71"/>
      <c r="OTA22" s="71"/>
      <c r="OTB22" s="71"/>
      <c r="OTC22" s="71"/>
      <c r="OTD22" s="71"/>
      <c r="OTE22" s="71"/>
      <c r="OTF22" s="71"/>
      <c r="OTG22" s="71"/>
      <c r="OTH22" s="71"/>
      <c r="OTI22" s="71"/>
      <c r="OTJ22" s="71"/>
      <c r="OTK22" s="71"/>
      <c r="OTL22" s="71"/>
      <c r="OTM22" s="71"/>
      <c r="OTN22" s="71"/>
      <c r="OTO22" s="71"/>
      <c r="OTP22" s="71"/>
      <c r="OTQ22" s="71"/>
      <c r="OTR22" s="71"/>
      <c r="OTS22" s="71"/>
      <c r="OTT22" s="71"/>
      <c r="OTU22" s="71"/>
      <c r="OTV22" s="71"/>
      <c r="OTW22" s="71"/>
      <c r="OTX22" s="71"/>
      <c r="OTY22" s="71"/>
      <c r="OTZ22" s="71"/>
      <c r="OUA22" s="71"/>
      <c r="OUB22" s="71"/>
      <c r="OUC22" s="71"/>
      <c r="OUD22" s="71"/>
      <c r="OUE22" s="71"/>
      <c r="OUF22" s="71"/>
      <c r="OUG22" s="71"/>
      <c r="OUH22" s="71"/>
      <c r="OUI22" s="71"/>
      <c r="OUJ22" s="71"/>
      <c r="OUK22" s="71"/>
      <c r="OUL22" s="71"/>
      <c r="OUM22" s="71"/>
      <c r="OUN22" s="71"/>
      <c r="OUO22" s="71"/>
      <c r="OUP22" s="71"/>
      <c r="OUQ22" s="71"/>
      <c r="OUR22" s="71"/>
      <c r="OUS22" s="71"/>
      <c r="OUT22" s="71"/>
      <c r="OUU22" s="71"/>
      <c r="OUV22" s="71"/>
      <c r="OUW22" s="71"/>
      <c r="OUX22" s="71"/>
      <c r="OUY22" s="71"/>
      <c r="OUZ22" s="71"/>
      <c r="OVA22" s="71"/>
      <c r="OVB22" s="71"/>
      <c r="OVC22" s="71"/>
      <c r="OVD22" s="71"/>
      <c r="OVE22" s="71"/>
      <c r="OVF22" s="71"/>
      <c r="OVG22" s="71"/>
      <c r="OVH22" s="71"/>
      <c r="OVI22" s="71"/>
      <c r="OVJ22" s="71"/>
      <c r="OVK22" s="71"/>
      <c r="OVL22" s="71"/>
      <c r="OVM22" s="71"/>
      <c r="OVN22" s="71"/>
      <c r="OVO22" s="71"/>
      <c r="OVP22" s="71"/>
      <c r="OVQ22" s="71"/>
      <c r="OVR22" s="71"/>
      <c r="OVS22" s="71"/>
      <c r="OVT22" s="71"/>
      <c r="OVU22" s="71"/>
      <c r="OVV22" s="71"/>
      <c r="OVW22" s="71"/>
      <c r="OVX22" s="71"/>
      <c r="OVY22" s="71"/>
      <c r="OVZ22" s="71"/>
      <c r="OWA22" s="71"/>
      <c r="OWB22" s="71"/>
      <c r="OWC22" s="71"/>
      <c r="OWD22" s="71"/>
      <c r="OWE22" s="71"/>
      <c r="OWF22" s="71"/>
      <c r="OWG22" s="71"/>
      <c r="OWH22" s="71"/>
      <c r="OWI22" s="71"/>
      <c r="OWJ22" s="71"/>
      <c r="OWK22" s="71"/>
      <c r="OWL22" s="71"/>
      <c r="OWM22" s="71"/>
      <c r="OWN22" s="71"/>
      <c r="OWO22" s="71"/>
      <c r="OWP22" s="71"/>
      <c r="OWQ22" s="71"/>
      <c r="OWR22" s="71"/>
      <c r="OWS22" s="71"/>
      <c r="OWT22" s="71"/>
      <c r="OWU22" s="71"/>
      <c r="OWV22" s="71"/>
      <c r="OWW22" s="71"/>
      <c r="OWX22" s="71"/>
      <c r="OWY22" s="71"/>
      <c r="OWZ22" s="71"/>
      <c r="OXA22" s="71"/>
      <c r="OXB22" s="71"/>
      <c r="OXC22" s="71"/>
      <c r="OXD22" s="71"/>
      <c r="OXE22" s="71"/>
      <c r="OXF22" s="71"/>
      <c r="OXG22" s="71"/>
      <c r="OXH22" s="71"/>
      <c r="OXI22" s="71"/>
      <c r="OXJ22" s="71"/>
      <c r="OXK22" s="71"/>
      <c r="OXL22" s="71"/>
      <c r="OXM22" s="71"/>
      <c r="OXN22" s="71"/>
      <c r="OXO22" s="71"/>
      <c r="OXP22" s="71"/>
      <c r="OXQ22" s="71"/>
      <c r="OXR22" s="71"/>
      <c r="OXS22" s="71"/>
      <c r="OXT22" s="71"/>
      <c r="OXU22" s="71"/>
      <c r="OXV22" s="71"/>
      <c r="OXW22" s="71"/>
      <c r="OXX22" s="71"/>
      <c r="OXY22" s="71"/>
      <c r="OXZ22" s="71"/>
      <c r="OYA22" s="71"/>
      <c r="OYB22" s="71"/>
      <c r="OYC22" s="71"/>
      <c r="OYD22" s="71"/>
      <c r="OYE22" s="71"/>
      <c r="OYF22" s="71"/>
      <c r="OYG22" s="71"/>
      <c r="OYH22" s="71"/>
      <c r="OYI22" s="71"/>
      <c r="OYJ22" s="71"/>
      <c r="OYK22" s="71"/>
      <c r="OYL22" s="71"/>
      <c r="OYM22" s="71"/>
      <c r="OYN22" s="71"/>
      <c r="OYO22" s="71"/>
      <c r="OYP22" s="71"/>
      <c r="OYQ22" s="71"/>
      <c r="OYR22" s="71"/>
      <c r="OYS22" s="71"/>
      <c r="OYT22" s="71"/>
      <c r="OYU22" s="71"/>
      <c r="OYV22" s="71"/>
      <c r="OYW22" s="71"/>
      <c r="OYX22" s="71"/>
      <c r="OYY22" s="71"/>
      <c r="OYZ22" s="71"/>
      <c r="OZA22" s="71"/>
      <c r="OZB22" s="71"/>
      <c r="OZC22" s="71"/>
      <c r="OZD22" s="71"/>
      <c r="OZE22" s="71"/>
      <c r="OZF22" s="71"/>
      <c r="OZG22" s="71"/>
      <c r="OZH22" s="71"/>
      <c r="OZI22" s="71"/>
      <c r="OZJ22" s="71"/>
      <c r="OZK22" s="71"/>
      <c r="OZL22" s="71"/>
      <c r="OZM22" s="71"/>
      <c r="OZN22" s="71"/>
      <c r="OZO22" s="71"/>
      <c r="OZP22" s="71"/>
      <c r="OZQ22" s="71"/>
      <c r="OZR22" s="71"/>
      <c r="OZS22" s="71"/>
      <c r="OZT22" s="71"/>
      <c r="OZU22" s="71"/>
      <c r="OZV22" s="71"/>
      <c r="OZW22" s="71"/>
      <c r="OZX22" s="71"/>
      <c r="OZY22" s="71"/>
      <c r="OZZ22" s="71"/>
      <c r="PAA22" s="71"/>
      <c r="PAB22" s="71"/>
      <c r="PAC22" s="71"/>
      <c r="PAD22" s="71"/>
      <c r="PAE22" s="71"/>
      <c r="PAF22" s="71"/>
      <c r="PAG22" s="71"/>
      <c r="PAH22" s="71"/>
      <c r="PAI22" s="71"/>
      <c r="PAJ22" s="71"/>
      <c r="PAK22" s="71"/>
      <c r="PAL22" s="71"/>
      <c r="PAM22" s="71"/>
      <c r="PAN22" s="71"/>
      <c r="PAO22" s="71"/>
      <c r="PAP22" s="71"/>
      <c r="PAQ22" s="71"/>
      <c r="PAR22" s="71"/>
      <c r="PAS22" s="71"/>
      <c r="PAT22" s="71"/>
      <c r="PAU22" s="71"/>
      <c r="PAV22" s="71"/>
      <c r="PAW22" s="71"/>
      <c r="PAX22" s="71"/>
      <c r="PAY22" s="71"/>
      <c r="PAZ22" s="71"/>
      <c r="PBA22" s="71"/>
      <c r="PBB22" s="71"/>
      <c r="PBC22" s="71"/>
      <c r="PBD22" s="71"/>
      <c r="PBE22" s="71"/>
      <c r="PBF22" s="71"/>
      <c r="PBG22" s="71"/>
      <c r="PBH22" s="71"/>
      <c r="PBI22" s="71"/>
      <c r="PBJ22" s="71"/>
      <c r="PBK22" s="71"/>
      <c r="PBL22" s="71"/>
      <c r="PBM22" s="71"/>
      <c r="PBN22" s="71"/>
      <c r="PBO22" s="71"/>
      <c r="PBP22" s="71"/>
      <c r="PBQ22" s="71"/>
      <c r="PBR22" s="71"/>
      <c r="PBS22" s="71"/>
      <c r="PBT22" s="71"/>
      <c r="PBU22" s="71"/>
      <c r="PBV22" s="71"/>
      <c r="PBW22" s="71"/>
      <c r="PBX22" s="71"/>
      <c r="PBY22" s="71"/>
      <c r="PBZ22" s="71"/>
      <c r="PCA22" s="71"/>
      <c r="PCB22" s="71"/>
      <c r="PCC22" s="71"/>
      <c r="PCD22" s="71"/>
      <c r="PCE22" s="71"/>
      <c r="PCF22" s="71"/>
      <c r="PCG22" s="71"/>
      <c r="PCH22" s="71"/>
      <c r="PCI22" s="71"/>
      <c r="PCJ22" s="71"/>
      <c r="PCK22" s="71"/>
      <c r="PCL22" s="71"/>
      <c r="PCM22" s="71"/>
      <c r="PCN22" s="71"/>
      <c r="PCO22" s="71"/>
      <c r="PCP22" s="71"/>
      <c r="PCQ22" s="71"/>
      <c r="PCR22" s="71"/>
      <c r="PCS22" s="71"/>
      <c r="PCT22" s="71"/>
      <c r="PCU22" s="71"/>
      <c r="PCV22" s="71"/>
      <c r="PCW22" s="71"/>
      <c r="PCX22" s="71"/>
      <c r="PCY22" s="71"/>
      <c r="PCZ22" s="71"/>
      <c r="PDA22" s="71"/>
      <c r="PDB22" s="71"/>
      <c r="PDC22" s="71"/>
      <c r="PDD22" s="71"/>
      <c r="PDE22" s="71"/>
      <c r="PDF22" s="71"/>
      <c r="PDG22" s="71"/>
      <c r="PDH22" s="71"/>
      <c r="PDI22" s="71"/>
      <c r="PDJ22" s="71"/>
      <c r="PDK22" s="71"/>
      <c r="PDL22" s="71"/>
      <c r="PDM22" s="71"/>
      <c r="PDN22" s="71"/>
      <c r="PDO22" s="71"/>
      <c r="PDP22" s="71"/>
      <c r="PDQ22" s="71"/>
      <c r="PDR22" s="71"/>
      <c r="PDS22" s="71"/>
      <c r="PDT22" s="71"/>
      <c r="PDU22" s="71"/>
      <c r="PDV22" s="71"/>
      <c r="PDW22" s="71"/>
      <c r="PDX22" s="71"/>
      <c r="PDY22" s="71"/>
      <c r="PDZ22" s="71"/>
      <c r="PEA22" s="71"/>
      <c r="PEB22" s="71"/>
      <c r="PEC22" s="71"/>
      <c r="PED22" s="71"/>
      <c r="PEE22" s="71"/>
      <c r="PEF22" s="71"/>
      <c r="PEG22" s="71"/>
      <c r="PEH22" s="71"/>
      <c r="PEI22" s="71"/>
      <c r="PEJ22" s="71"/>
      <c r="PEK22" s="71"/>
      <c r="PEL22" s="71"/>
      <c r="PEM22" s="71"/>
      <c r="PEN22" s="71"/>
      <c r="PEO22" s="71"/>
      <c r="PEP22" s="71"/>
      <c r="PEQ22" s="71"/>
      <c r="PER22" s="71"/>
      <c r="PES22" s="71"/>
      <c r="PET22" s="71"/>
      <c r="PEU22" s="71"/>
      <c r="PEV22" s="71"/>
      <c r="PEW22" s="71"/>
      <c r="PEX22" s="71"/>
      <c r="PEY22" s="71"/>
      <c r="PEZ22" s="71"/>
      <c r="PFA22" s="71"/>
      <c r="PFB22" s="71"/>
      <c r="PFC22" s="71"/>
      <c r="PFD22" s="71"/>
      <c r="PFE22" s="71"/>
      <c r="PFF22" s="71"/>
      <c r="PFG22" s="71"/>
      <c r="PFH22" s="71"/>
      <c r="PFI22" s="71"/>
      <c r="PFJ22" s="71"/>
      <c r="PFK22" s="71"/>
      <c r="PFL22" s="71"/>
      <c r="PFM22" s="71"/>
      <c r="PFN22" s="71"/>
      <c r="PFO22" s="71"/>
      <c r="PFP22" s="71"/>
      <c r="PFQ22" s="71"/>
      <c r="PFR22" s="71"/>
      <c r="PFS22" s="71"/>
      <c r="PFT22" s="71"/>
      <c r="PFU22" s="71"/>
      <c r="PFV22" s="71"/>
      <c r="PFW22" s="71"/>
      <c r="PFX22" s="71"/>
      <c r="PFY22" s="71"/>
      <c r="PFZ22" s="71"/>
      <c r="PGA22" s="71"/>
      <c r="PGB22" s="71"/>
      <c r="PGC22" s="71"/>
      <c r="PGD22" s="71"/>
      <c r="PGE22" s="71"/>
      <c r="PGF22" s="71"/>
      <c r="PGG22" s="71"/>
      <c r="PGH22" s="71"/>
      <c r="PGI22" s="71"/>
      <c r="PGJ22" s="71"/>
      <c r="PGK22" s="71"/>
      <c r="PGL22" s="71"/>
      <c r="PGM22" s="71"/>
      <c r="PGN22" s="71"/>
      <c r="PGO22" s="71"/>
      <c r="PGP22" s="71"/>
      <c r="PGQ22" s="71"/>
      <c r="PGR22" s="71"/>
      <c r="PGS22" s="71"/>
      <c r="PGT22" s="71"/>
      <c r="PGU22" s="71"/>
      <c r="PGV22" s="71"/>
      <c r="PGW22" s="71"/>
      <c r="PGX22" s="71"/>
      <c r="PGY22" s="71"/>
      <c r="PGZ22" s="71"/>
      <c r="PHA22" s="71"/>
      <c r="PHB22" s="71"/>
      <c r="PHC22" s="71"/>
      <c r="PHD22" s="71"/>
      <c r="PHE22" s="71"/>
      <c r="PHF22" s="71"/>
      <c r="PHG22" s="71"/>
      <c r="PHH22" s="71"/>
      <c r="PHI22" s="71"/>
      <c r="PHJ22" s="71"/>
      <c r="PHK22" s="71"/>
      <c r="PHL22" s="71"/>
      <c r="PHM22" s="71"/>
      <c r="PHN22" s="71"/>
      <c r="PHO22" s="71"/>
      <c r="PHP22" s="71"/>
      <c r="PHQ22" s="71"/>
      <c r="PHR22" s="71"/>
      <c r="PHS22" s="71"/>
      <c r="PHT22" s="71"/>
      <c r="PHU22" s="71"/>
      <c r="PHV22" s="71"/>
      <c r="PHW22" s="71"/>
      <c r="PHX22" s="71"/>
      <c r="PHY22" s="71"/>
      <c r="PHZ22" s="71"/>
      <c r="PIA22" s="71"/>
      <c r="PIB22" s="71"/>
      <c r="PIC22" s="71"/>
      <c r="PID22" s="71"/>
      <c r="PIE22" s="71"/>
      <c r="PIF22" s="71"/>
      <c r="PIG22" s="71"/>
      <c r="PIH22" s="71"/>
      <c r="PII22" s="71"/>
      <c r="PIJ22" s="71"/>
      <c r="PIK22" s="71"/>
      <c r="PIL22" s="71"/>
      <c r="PIM22" s="71"/>
      <c r="PIN22" s="71"/>
      <c r="PIO22" s="71"/>
      <c r="PIP22" s="71"/>
      <c r="PIQ22" s="71"/>
      <c r="PIR22" s="71"/>
      <c r="PIS22" s="71"/>
      <c r="PIT22" s="71"/>
      <c r="PIU22" s="71"/>
      <c r="PIV22" s="71"/>
      <c r="PIW22" s="71"/>
      <c r="PIX22" s="71"/>
      <c r="PIY22" s="71"/>
      <c r="PIZ22" s="71"/>
      <c r="PJA22" s="71"/>
      <c r="PJB22" s="71"/>
      <c r="PJC22" s="71"/>
      <c r="PJD22" s="71"/>
      <c r="PJE22" s="71"/>
      <c r="PJF22" s="71"/>
      <c r="PJG22" s="71"/>
      <c r="PJH22" s="71"/>
      <c r="PJI22" s="71"/>
      <c r="PJJ22" s="71"/>
      <c r="PJK22" s="71"/>
      <c r="PJL22" s="71"/>
      <c r="PJM22" s="71"/>
      <c r="PJN22" s="71"/>
      <c r="PJO22" s="71"/>
      <c r="PJP22" s="71"/>
      <c r="PJQ22" s="71"/>
      <c r="PJR22" s="71"/>
      <c r="PJS22" s="71"/>
      <c r="PJT22" s="71"/>
      <c r="PJU22" s="71"/>
      <c r="PJV22" s="71"/>
      <c r="PJW22" s="71"/>
      <c r="PJX22" s="71"/>
      <c r="PJY22" s="71"/>
      <c r="PJZ22" s="71"/>
      <c r="PKA22" s="71"/>
      <c r="PKB22" s="71"/>
      <c r="PKC22" s="71"/>
      <c r="PKD22" s="71"/>
      <c r="PKE22" s="71"/>
      <c r="PKF22" s="71"/>
      <c r="PKG22" s="71"/>
      <c r="PKH22" s="71"/>
      <c r="PKI22" s="71"/>
      <c r="PKJ22" s="71"/>
      <c r="PKK22" s="71"/>
      <c r="PKL22" s="71"/>
      <c r="PKM22" s="71"/>
      <c r="PKN22" s="71"/>
      <c r="PKO22" s="71"/>
      <c r="PKP22" s="71"/>
      <c r="PKQ22" s="71"/>
      <c r="PKR22" s="71"/>
      <c r="PKS22" s="71"/>
      <c r="PKT22" s="71"/>
      <c r="PKU22" s="71"/>
      <c r="PKV22" s="71"/>
      <c r="PKW22" s="71"/>
      <c r="PKX22" s="71"/>
      <c r="PKY22" s="71"/>
      <c r="PKZ22" s="71"/>
      <c r="PLA22" s="71"/>
      <c r="PLB22" s="71"/>
      <c r="PLC22" s="71"/>
      <c r="PLD22" s="71"/>
      <c r="PLE22" s="71"/>
      <c r="PLF22" s="71"/>
      <c r="PLG22" s="71"/>
      <c r="PLH22" s="71"/>
      <c r="PLI22" s="71"/>
      <c r="PLJ22" s="71"/>
      <c r="PLK22" s="71"/>
      <c r="PLL22" s="71"/>
      <c r="PLM22" s="71"/>
      <c r="PLN22" s="71"/>
      <c r="PLO22" s="71"/>
      <c r="PLP22" s="71"/>
      <c r="PLQ22" s="71"/>
      <c r="PLR22" s="71"/>
      <c r="PLS22" s="71"/>
      <c r="PLT22" s="71"/>
      <c r="PLU22" s="71"/>
      <c r="PLV22" s="71"/>
      <c r="PLW22" s="71"/>
      <c r="PLX22" s="71"/>
      <c r="PLY22" s="71"/>
      <c r="PLZ22" s="71"/>
      <c r="PMA22" s="71"/>
      <c r="PMB22" s="71"/>
      <c r="PMC22" s="71"/>
      <c r="PMD22" s="71"/>
      <c r="PME22" s="71"/>
      <c r="PMF22" s="71"/>
      <c r="PMG22" s="71"/>
      <c r="PMH22" s="71"/>
      <c r="PMI22" s="71"/>
      <c r="PMJ22" s="71"/>
      <c r="PMK22" s="71"/>
      <c r="PML22" s="71"/>
      <c r="PMM22" s="71"/>
      <c r="PMN22" s="71"/>
      <c r="PMO22" s="71"/>
      <c r="PMP22" s="71"/>
      <c r="PMQ22" s="71"/>
      <c r="PMR22" s="71"/>
      <c r="PMS22" s="71"/>
      <c r="PMT22" s="71"/>
      <c r="PMU22" s="71"/>
      <c r="PMV22" s="71"/>
      <c r="PMW22" s="71"/>
      <c r="PMX22" s="71"/>
      <c r="PMY22" s="71"/>
      <c r="PMZ22" s="71"/>
      <c r="PNA22" s="71"/>
      <c r="PNB22" s="71"/>
      <c r="PNC22" s="71"/>
      <c r="PND22" s="71"/>
      <c r="PNE22" s="71"/>
      <c r="PNF22" s="71"/>
      <c r="PNG22" s="71"/>
      <c r="PNH22" s="71"/>
      <c r="PNI22" s="71"/>
      <c r="PNJ22" s="71"/>
      <c r="PNK22" s="71"/>
      <c r="PNL22" s="71"/>
      <c r="PNM22" s="71"/>
      <c r="PNN22" s="71"/>
      <c r="PNO22" s="71"/>
      <c r="PNP22" s="71"/>
      <c r="PNQ22" s="71"/>
      <c r="PNR22" s="71"/>
      <c r="PNS22" s="71"/>
      <c r="PNT22" s="71"/>
      <c r="PNU22" s="71"/>
      <c r="PNV22" s="71"/>
      <c r="PNW22" s="71"/>
      <c r="PNX22" s="71"/>
      <c r="PNY22" s="71"/>
      <c r="PNZ22" s="71"/>
      <c r="POA22" s="71"/>
      <c r="POB22" s="71"/>
      <c r="POC22" s="71"/>
      <c r="POD22" s="71"/>
      <c r="POE22" s="71"/>
      <c r="POF22" s="71"/>
      <c r="POG22" s="71"/>
      <c r="POH22" s="71"/>
      <c r="POI22" s="71"/>
      <c r="POJ22" s="71"/>
      <c r="POK22" s="71"/>
      <c r="POL22" s="71"/>
      <c r="POM22" s="71"/>
      <c r="PON22" s="71"/>
      <c r="POO22" s="71"/>
      <c r="POP22" s="71"/>
      <c r="POQ22" s="71"/>
      <c r="POR22" s="71"/>
      <c r="POS22" s="71"/>
      <c r="POT22" s="71"/>
      <c r="POU22" s="71"/>
      <c r="POV22" s="71"/>
      <c r="POW22" s="71"/>
      <c r="POX22" s="71"/>
      <c r="POY22" s="71"/>
      <c r="POZ22" s="71"/>
      <c r="PPA22" s="71"/>
      <c r="PPB22" s="71"/>
      <c r="PPC22" s="71"/>
      <c r="PPD22" s="71"/>
      <c r="PPE22" s="71"/>
      <c r="PPF22" s="71"/>
      <c r="PPG22" s="71"/>
      <c r="PPH22" s="71"/>
      <c r="PPI22" s="71"/>
      <c r="PPJ22" s="71"/>
      <c r="PPK22" s="71"/>
      <c r="PPL22" s="71"/>
      <c r="PPM22" s="71"/>
      <c r="PPN22" s="71"/>
      <c r="PPO22" s="71"/>
      <c r="PPP22" s="71"/>
      <c r="PPQ22" s="71"/>
      <c r="PPR22" s="71"/>
      <c r="PPS22" s="71"/>
      <c r="PPT22" s="71"/>
      <c r="PPU22" s="71"/>
      <c r="PPV22" s="71"/>
      <c r="PPW22" s="71"/>
      <c r="PPX22" s="71"/>
      <c r="PPY22" s="71"/>
      <c r="PPZ22" s="71"/>
      <c r="PQA22" s="71"/>
      <c r="PQB22" s="71"/>
      <c r="PQC22" s="71"/>
      <c r="PQD22" s="71"/>
      <c r="PQE22" s="71"/>
      <c r="PQF22" s="71"/>
      <c r="PQG22" s="71"/>
      <c r="PQH22" s="71"/>
      <c r="PQI22" s="71"/>
      <c r="PQJ22" s="71"/>
      <c r="PQK22" s="71"/>
      <c r="PQL22" s="71"/>
      <c r="PQM22" s="71"/>
      <c r="PQN22" s="71"/>
      <c r="PQO22" s="71"/>
      <c r="PQP22" s="71"/>
      <c r="PQQ22" s="71"/>
      <c r="PQR22" s="71"/>
      <c r="PQS22" s="71"/>
      <c r="PQT22" s="71"/>
      <c r="PQU22" s="71"/>
      <c r="PQV22" s="71"/>
      <c r="PQW22" s="71"/>
      <c r="PQX22" s="71"/>
      <c r="PQY22" s="71"/>
      <c r="PQZ22" s="71"/>
      <c r="PRA22" s="71"/>
      <c r="PRB22" s="71"/>
      <c r="PRC22" s="71"/>
      <c r="PRD22" s="71"/>
      <c r="PRE22" s="71"/>
      <c r="PRF22" s="71"/>
      <c r="PRG22" s="71"/>
      <c r="PRH22" s="71"/>
      <c r="PRI22" s="71"/>
      <c r="PRJ22" s="71"/>
      <c r="PRK22" s="71"/>
      <c r="PRL22" s="71"/>
      <c r="PRM22" s="71"/>
      <c r="PRN22" s="71"/>
      <c r="PRO22" s="71"/>
      <c r="PRP22" s="71"/>
      <c r="PRQ22" s="71"/>
      <c r="PRR22" s="71"/>
      <c r="PRS22" s="71"/>
      <c r="PRT22" s="71"/>
      <c r="PRU22" s="71"/>
      <c r="PRV22" s="71"/>
      <c r="PRW22" s="71"/>
      <c r="PRX22" s="71"/>
      <c r="PRY22" s="71"/>
      <c r="PRZ22" s="71"/>
      <c r="PSA22" s="71"/>
      <c r="PSB22" s="71"/>
      <c r="PSC22" s="71"/>
      <c r="PSD22" s="71"/>
      <c r="PSE22" s="71"/>
      <c r="PSF22" s="71"/>
      <c r="PSG22" s="71"/>
      <c r="PSH22" s="71"/>
      <c r="PSI22" s="71"/>
      <c r="PSJ22" s="71"/>
      <c r="PSK22" s="71"/>
      <c r="PSL22" s="71"/>
      <c r="PSM22" s="71"/>
      <c r="PSN22" s="71"/>
      <c r="PSO22" s="71"/>
      <c r="PSP22" s="71"/>
      <c r="PSQ22" s="71"/>
      <c r="PSR22" s="71"/>
      <c r="PSS22" s="71"/>
      <c r="PST22" s="71"/>
      <c r="PSU22" s="71"/>
      <c r="PSV22" s="71"/>
      <c r="PSW22" s="71"/>
      <c r="PSX22" s="71"/>
      <c r="PSY22" s="71"/>
      <c r="PSZ22" s="71"/>
      <c r="PTA22" s="71"/>
      <c r="PTB22" s="71"/>
      <c r="PTC22" s="71"/>
      <c r="PTD22" s="71"/>
      <c r="PTE22" s="71"/>
      <c r="PTF22" s="71"/>
      <c r="PTG22" s="71"/>
      <c r="PTH22" s="71"/>
      <c r="PTI22" s="71"/>
      <c r="PTJ22" s="71"/>
      <c r="PTK22" s="71"/>
      <c r="PTL22" s="71"/>
      <c r="PTM22" s="71"/>
      <c r="PTN22" s="71"/>
      <c r="PTO22" s="71"/>
      <c r="PTP22" s="71"/>
      <c r="PTQ22" s="71"/>
      <c r="PTR22" s="71"/>
      <c r="PTS22" s="71"/>
      <c r="PTT22" s="71"/>
      <c r="PTU22" s="71"/>
      <c r="PTV22" s="71"/>
      <c r="PTW22" s="71"/>
      <c r="PTX22" s="71"/>
      <c r="PTY22" s="71"/>
      <c r="PTZ22" s="71"/>
      <c r="PUA22" s="71"/>
      <c r="PUB22" s="71"/>
      <c r="PUC22" s="71"/>
      <c r="PUD22" s="71"/>
      <c r="PUE22" s="71"/>
      <c r="PUF22" s="71"/>
      <c r="PUG22" s="71"/>
      <c r="PUH22" s="71"/>
      <c r="PUI22" s="71"/>
      <c r="PUJ22" s="71"/>
      <c r="PUK22" s="71"/>
      <c r="PUL22" s="71"/>
      <c r="PUM22" s="71"/>
      <c r="PUN22" s="71"/>
      <c r="PUO22" s="71"/>
      <c r="PUP22" s="71"/>
      <c r="PUQ22" s="71"/>
      <c r="PUR22" s="71"/>
      <c r="PUS22" s="71"/>
      <c r="PUT22" s="71"/>
      <c r="PUU22" s="71"/>
      <c r="PUV22" s="71"/>
      <c r="PUW22" s="71"/>
      <c r="PUX22" s="71"/>
      <c r="PUY22" s="71"/>
      <c r="PUZ22" s="71"/>
      <c r="PVA22" s="71"/>
      <c r="PVB22" s="71"/>
      <c r="PVC22" s="71"/>
      <c r="PVD22" s="71"/>
      <c r="PVE22" s="71"/>
      <c r="PVF22" s="71"/>
      <c r="PVG22" s="71"/>
      <c r="PVH22" s="71"/>
      <c r="PVI22" s="71"/>
      <c r="PVJ22" s="71"/>
      <c r="PVK22" s="71"/>
      <c r="PVL22" s="71"/>
      <c r="PVM22" s="71"/>
      <c r="PVN22" s="71"/>
      <c r="PVO22" s="71"/>
      <c r="PVP22" s="71"/>
      <c r="PVQ22" s="71"/>
      <c r="PVR22" s="71"/>
      <c r="PVS22" s="71"/>
      <c r="PVT22" s="71"/>
      <c r="PVU22" s="71"/>
      <c r="PVV22" s="71"/>
      <c r="PVW22" s="71"/>
      <c r="PVX22" s="71"/>
      <c r="PVY22" s="71"/>
      <c r="PVZ22" s="71"/>
      <c r="PWA22" s="71"/>
      <c r="PWB22" s="71"/>
      <c r="PWC22" s="71"/>
      <c r="PWD22" s="71"/>
      <c r="PWE22" s="71"/>
      <c r="PWF22" s="71"/>
      <c r="PWG22" s="71"/>
      <c r="PWH22" s="71"/>
      <c r="PWI22" s="71"/>
      <c r="PWJ22" s="71"/>
      <c r="PWK22" s="71"/>
      <c r="PWL22" s="71"/>
      <c r="PWM22" s="71"/>
      <c r="PWN22" s="71"/>
      <c r="PWO22" s="71"/>
      <c r="PWP22" s="71"/>
      <c r="PWQ22" s="71"/>
      <c r="PWR22" s="71"/>
      <c r="PWS22" s="71"/>
      <c r="PWT22" s="71"/>
      <c r="PWU22" s="71"/>
      <c r="PWV22" s="71"/>
      <c r="PWW22" s="71"/>
      <c r="PWX22" s="71"/>
      <c r="PWY22" s="71"/>
      <c r="PWZ22" s="71"/>
      <c r="PXA22" s="71"/>
      <c r="PXB22" s="71"/>
      <c r="PXC22" s="71"/>
      <c r="PXD22" s="71"/>
      <c r="PXE22" s="71"/>
      <c r="PXF22" s="71"/>
      <c r="PXG22" s="71"/>
      <c r="PXH22" s="71"/>
      <c r="PXI22" s="71"/>
      <c r="PXJ22" s="71"/>
      <c r="PXK22" s="71"/>
      <c r="PXL22" s="71"/>
      <c r="PXM22" s="71"/>
      <c r="PXN22" s="71"/>
      <c r="PXO22" s="71"/>
      <c r="PXP22" s="71"/>
      <c r="PXQ22" s="71"/>
      <c r="PXR22" s="71"/>
      <c r="PXS22" s="71"/>
      <c r="PXT22" s="71"/>
      <c r="PXU22" s="71"/>
      <c r="PXV22" s="71"/>
      <c r="PXW22" s="71"/>
      <c r="PXX22" s="71"/>
      <c r="PXY22" s="71"/>
      <c r="PXZ22" s="71"/>
      <c r="PYA22" s="71"/>
      <c r="PYB22" s="71"/>
      <c r="PYC22" s="71"/>
      <c r="PYD22" s="71"/>
      <c r="PYE22" s="71"/>
      <c r="PYF22" s="71"/>
      <c r="PYG22" s="71"/>
      <c r="PYH22" s="71"/>
      <c r="PYI22" s="71"/>
      <c r="PYJ22" s="71"/>
      <c r="PYK22" s="71"/>
      <c r="PYL22" s="71"/>
      <c r="PYM22" s="71"/>
      <c r="PYN22" s="71"/>
      <c r="PYO22" s="71"/>
      <c r="PYP22" s="71"/>
      <c r="PYQ22" s="71"/>
      <c r="PYR22" s="71"/>
      <c r="PYS22" s="71"/>
      <c r="PYT22" s="71"/>
      <c r="PYU22" s="71"/>
      <c r="PYV22" s="71"/>
      <c r="PYW22" s="71"/>
      <c r="PYX22" s="71"/>
      <c r="PYY22" s="71"/>
      <c r="PYZ22" s="71"/>
      <c r="PZA22" s="71"/>
      <c r="PZB22" s="71"/>
      <c r="PZC22" s="71"/>
      <c r="PZD22" s="71"/>
      <c r="PZE22" s="71"/>
      <c r="PZF22" s="71"/>
      <c r="PZG22" s="71"/>
      <c r="PZH22" s="71"/>
      <c r="PZI22" s="71"/>
      <c r="PZJ22" s="71"/>
      <c r="PZK22" s="71"/>
      <c r="PZL22" s="71"/>
      <c r="PZM22" s="71"/>
      <c r="PZN22" s="71"/>
      <c r="PZO22" s="71"/>
      <c r="PZP22" s="71"/>
      <c r="PZQ22" s="71"/>
      <c r="PZR22" s="71"/>
      <c r="PZS22" s="71"/>
      <c r="PZT22" s="71"/>
      <c r="PZU22" s="71"/>
      <c r="PZV22" s="71"/>
      <c r="PZW22" s="71"/>
      <c r="PZX22" s="71"/>
      <c r="PZY22" s="71"/>
      <c r="PZZ22" s="71"/>
      <c r="QAA22" s="71"/>
      <c r="QAB22" s="71"/>
      <c r="QAC22" s="71"/>
      <c r="QAD22" s="71"/>
      <c r="QAE22" s="71"/>
      <c r="QAF22" s="71"/>
      <c r="QAG22" s="71"/>
      <c r="QAH22" s="71"/>
      <c r="QAI22" s="71"/>
      <c r="QAJ22" s="71"/>
      <c r="QAK22" s="71"/>
      <c r="QAL22" s="71"/>
      <c r="QAM22" s="71"/>
      <c r="QAN22" s="71"/>
      <c r="QAO22" s="71"/>
      <c r="QAP22" s="71"/>
      <c r="QAQ22" s="71"/>
      <c r="QAR22" s="71"/>
      <c r="QAS22" s="71"/>
      <c r="QAT22" s="71"/>
      <c r="QAU22" s="71"/>
      <c r="QAV22" s="71"/>
      <c r="QAW22" s="71"/>
      <c r="QAX22" s="71"/>
      <c r="QAY22" s="71"/>
      <c r="QAZ22" s="71"/>
      <c r="QBA22" s="71"/>
      <c r="QBB22" s="71"/>
      <c r="QBC22" s="71"/>
      <c r="QBD22" s="71"/>
      <c r="QBE22" s="71"/>
      <c r="QBF22" s="71"/>
      <c r="QBG22" s="71"/>
      <c r="QBH22" s="71"/>
      <c r="QBI22" s="71"/>
      <c r="QBJ22" s="71"/>
      <c r="QBK22" s="71"/>
      <c r="QBL22" s="71"/>
      <c r="QBM22" s="71"/>
      <c r="QBN22" s="71"/>
      <c r="QBO22" s="71"/>
      <c r="QBP22" s="71"/>
      <c r="QBQ22" s="71"/>
      <c r="QBR22" s="71"/>
      <c r="QBS22" s="71"/>
      <c r="QBT22" s="71"/>
      <c r="QBU22" s="71"/>
      <c r="QBV22" s="71"/>
      <c r="QBW22" s="71"/>
      <c r="QBX22" s="71"/>
      <c r="QBY22" s="71"/>
      <c r="QBZ22" s="71"/>
      <c r="QCA22" s="71"/>
      <c r="QCB22" s="71"/>
      <c r="QCC22" s="71"/>
      <c r="QCD22" s="71"/>
      <c r="QCE22" s="71"/>
      <c r="QCF22" s="71"/>
      <c r="QCG22" s="71"/>
      <c r="QCH22" s="71"/>
      <c r="QCI22" s="71"/>
      <c r="QCJ22" s="71"/>
      <c r="QCK22" s="71"/>
      <c r="QCL22" s="71"/>
      <c r="QCM22" s="71"/>
      <c r="QCN22" s="71"/>
      <c r="QCO22" s="71"/>
      <c r="QCP22" s="71"/>
      <c r="QCQ22" s="71"/>
      <c r="QCR22" s="71"/>
      <c r="QCS22" s="71"/>
      <c r="QCT22" s="71"/>
      <c r="QCU22" s="71"/>
      <c r="QCV22" s="71"/>
      <c r="QCW22" s="71"/>
      <c r="QCX22" s="71"/>
      <c r="QCY22" s="71"/>
      <c r="QCZ22" s="71"/>
      <c r="QDA22" s="71"/>
      <c r="QDB22" s="71"/>
      <c r="QDC22" s="71"/>
      <c r="QDD22" s="71"/>
      <c r="QDE22" s="71"/>
      <c r="QDF22" s="71"/>
      <c r="QDG22" s="71"/>
      <c r="QDH22" s="71"/>
      <c r="QDI22" s="71"/>
      <c r="QDJ22" s="71"/>
      <c r="QDK22" s="71"/>
      <c r="QDL22" s="71"/>
      <c r="QDM22" s="71"/>
      <c r="QDN22" s="71"/>
      <c r="QDO22" s="71"/>
      <c r="QDP22" s="71"/>
      <c r="QDQ22" s="71"/>
      <c r="QDR22" s="71"/>
      <c r="QDS22" s="71"/>
      <c r="QDT22" s="71"/>
      <c r="QDU22" s="71"/>
      <c r="QDV22" s="71"/>
      <c r="QDW22" s="71"/>
      <c r="QDX22" s="71"/>
      <c r="QDY22" s="71"/>
      <c r="QDZ22" s="71"/>
      <c r="QEA22" s="71"/>
      <c r="QEB22" s="71"/>
      <c r="QEC22" s="71"/>
      <c r="QED22" s="71"/>
      <c r="QEE22" s="71"/>
      <c r="QEF22" s="71"/>
      <c r="QEG22" s="71"/>
      <c r="QEH22" s="71"/>
      <c r="QEI22" s="71"/>
      <c r="QEJ22" s="71"/>
      <c r="QEK22" s="71"/>
      <c r="QEL22" s="71"/>
      <c r="QEM22" s="71"/>
      <c r="QEN22" s="71"/>
      <c r="QEO22" s="71"/>
      <c r="QEP22" s="71"/>
      <c r="QEQ22" s="71"/>
      <c r="QER22" s="71"/>
      <c r="QES22" s="71"/>
      <c r="QET22" s="71"/>
      <c r="QEU22" s="71"/>
      <c r="QEV22" s="71"/>
      <c r="QEW22" s="71"/>
      <c r="QEX22" s="71"/>
      <c r="QEY22" s="71"/>
      <c r="QEZ22" s="71"/>
      <c r="QFA22" s="71"/>
      <c r="QFB22" s="71"/>
      <c r="QFC22" s="71"/>
      <c r="QFD22" s="71"/>
      <c r="QFE22" s="71"/>
      <c r="QFF22" s="71"/>
      <c r="QFG22" s="71"/>
      <c r="QFH22" s="71"/>
      <c r="QFI22" s="71"/>
      <c r="QFJ22" s="71"/>
      <c r="QFK22" s="71"/>
      <c r="QFL22" s="71"/>
      <c r="QFM22" s="71"/>
      <c r="QFN22" s="71"/>
      <c r="QFO22" s="71"/>
      <c r="QFP22" s="71"/>
      <c r="QFQ22" s="71"/>
      <c r="QFR22" s="71"/>
      <c r="QFS22" s="71"/>
      <c r="QFT22" s="71"/>
      <c r="QFU22" s="71"/>
      <c r="QFV22" s="71"/>
      <c r="QFW22" s="71"/>
      <c r="QFX22" s="71"/>
      <c r="QFY22" s="71"/>
      <c r="QFZ22" s="71"/>
      <c r="QGA22" s="71"/>
      <c r="QGB22" s="71"/>
      <c r="QGC22" s="71"/>
      <c r="QGD22" s="71"/>
      <c r="QGE22" s="71"/>
      <c r="QGF22" s="71"/>
      <c r="QGG22" s="71"/>
      <c r="QGH22" s="71"/>
      <c r="QGI22" s="71"/>
      <c r="QGJ22" s="71"/>
      <c r="QGK22" s="71"/>
      <c r="QGL22" s="71"/>
      <c r="QGM22" s="71"/>
      <c r="QGN22" s="71"/>
      <c r="QGO22" s="71"/>
      <c r="QGP22" s="71"/>
      <c r="QGQ22" s="71"/>
      <c r="QGR22" s="71"/>
      <c r="QGS22" s="71"/>
      <c r="QGT22" s="71"/>
      <c r="QGU22" s="71"/>
      <c r="QGV22" s="71"/>
      <c r="QGW22" s="71"/>
      <c r="QGX22" s="71"/>
      <c r="QGY22" s="71"/>
      <c r="QGZ22" s="71"/>
      <c r="QHA22" s="71"/>
      <c r="QHB22" s="71"/>
      <c r="QHC22" s="71"/>
      <c r="QHD22" s="71"/>
      <c r="QHE22" s="71"/>
      <c r="QHF22" s="71"/>
      <c r="QHG22" s="71"/>
      <c r="QHH22" s="71"/>
      <c r="QHI22" s="71"/>
      <c r="QHJ22" s="71"/>
      <c r="QHK22" s="71"/>
      <c r="QHL22" s="71"/>
      <c r="QHM22" s="71"/>
      <c r="QHN22" s="71"/>
      <c r="QHO22" s="71"/>
      <c r="QHP22" s="71"/>
      <c r="QHQ22" s="71"/>
      <c r="QHR22" s="71"/>
      <c r="QHS22" s="71"/>
      <c r="QHT22" s="71"/>
      <c r="QHU22" s="71"/>
      <c r="QHV22" s="71"/>
      <c r="QHW22" s="71"/>
      <c r="QHX22" s="71"/>
      <c r="QHY22" s="71"/>
      <c r="QHZ22" s="71"/>
      <c r="QIA22" s="71"/>
      <c r="QIB22" s="71"/>
      <c r="QIC22" s="71"/>
      <c r="QID22" s="71"/>
      <c r="QIE22" s="71"/>
      <c r="QIF22" s="71"/>
      <c r="QIG22" s="71"/>
      <c r="QIH22" s="71"/>
      <c r="QII22" s="71"/>
      <c r="QIJ22" s="71"/>
      <c r="QIK22" s="71"/>
      <c r="QIL22" s="71"/>
      <c r="QIM22" s="71"/>
      <c r="QIN22" s="71"/>
      <c r="QIO22" s="71"/>
      <c r="QIP22" s="71"/>
      <c r="QIQ22" s="71"/>
      <c r="QIR22" s="71"/>
      <c r="QIS22" s="71"/>
      <c r="QIT22" s="71"/>
      <c r="QIU22" s="71"/>
      <c r="QIV22" s="71"/>
      <c r="QIW22" s="71"/>
      <c r="QIX22" s="71"/>
      <c r="QIY22" s="71"/>
      <c r="QIZ22" s="71"/>
      <c r="QJA22" s="71"/>
      <c r="QJB22" s="71"/>
      <c r="QJC22" s="71"/>
      <c r="QJD22" s="71"/>
      <c r="QJE22" s="71"/>
      <c r="QJF22" s="71"/>
      <c r="QJG22" s="71"/>
      <c r="QJH22" s="71"/>
      <c r="QJI22" s="71"/>
      <c r="QJJ22" s="71"/>
      <c r="QJK22" s="71"/>
      <c r="QJL22" s="71"/>
      <c r="QJM22" s="71"/>
      <c r="QJN22" s="71"/>
      <c r="QJO22" s="71"/>
      <c r="QJP22" s="71"/>
      <c r="QJQ22" s="71"/>
      <c r="QJR22" s="71"/>
      <c r="QJS22" s="71"/>
      <c r="QJT22" s="71"/>
      <c r="QJU22" s="71"/>
      <c r="QJV22" s="71"/>
      <c r="QJW22" s="71"/>
      <c r="QJX22" s="71"/>
      <c r="QJY22" s="71"/>
      <c r="QJZ22" s="71"/>
      <c r="QKA22" s="71"/>
      <c r="QKB22" s="71"/>
      <c r="QKC22" s="71"/>
      <c r="QKD22" s="71"/>
      <c r="QKE22" s="71"/>
      <c r="QKF22" s="71"/>
      <c r="QKG22" s="71"/>
      <c r="QKH22" s="71"/>
      <c r="QKI22" s="71"/>
      <c r="QKJ22" s="71"/>
      <c r="QKK22" s="71"/>
      <c r="QKL22" s="71"/>
      <c r="QKM22" s="71"/>
      <c r="QKN22" s="71"/>
      <c r="QKO22" s="71"/>
      <c r="QKP22" s="71"/>
      <c r="QKQ22" s="71"/>
      <c r="QKR22" s="71"/>
      <c r="QKS22" s="71"/>
      <c r="QKT22" s="71"/>
      <c r="QKU22" s="71"/>
      <c r="QKV22" s="71"/>
      <c r="QKW22" s="71"/>
      <c r="QKX22" s="71"/>
      <c r="QKY22" s="71"/>
      <c r="QKZ22" s="71"/>
      <c r="QLA22" s="71"/>
      <c r="QLB22" s="71"/>
      <c r="QLC22" s="71"/>
      <c r="QLD22" s="71"/>
      <c r="QLE22" s="71"/>
      <c r="QLF22" s="71"/>
      <c r="QLG22" s="71"/>
      <c r="QLH22" s="71"/>
      <c r="QLI22" s="71"/>
      <c r="QLJ22" s="71"/>
      <c r="QLK22" s="71"/>
      <c r="QLL22" s="71"/>
      <c r="QLM22" s="71"/>
      <c r="QLN22" s="71"/>
      <c r="QLO22" s="71"/>
      <c r="QLP22" s="71"/>
      <c r="QLQ22" s="71"/>
      <c r="QLR22" s="71"/>
      <c r="QLS22" s="71"/>
      <c r="QLT22" s="71"/>
      <c r="QLU22" s="71"/>
      <c r="QLV22" s="71"/>
      <c r="QLW22" s="71"/>
      <c r="QLX22" s="71"/>
      <c r="QLY22" s="71"/>
      <c r="QLZ22" s="71"/>
      <c r="QMA22" s="71"/>
      <c r="QMB22" s="71"/>
      <c r="QMC22" s="71"/>
      <c r="QMD22" s="71"/>
      <c r="QME22" s="71"/>
      <c r="QMF22" s="71"/>
      <c r="QMG22" s="71"/>
      <c r="QMH22" s="71"/>
      <c r="QMI22" s="71"/>
      <c r="QMJ22" s="71"/>
      <c r="QMK22" s="71"/>
      <c r="QML22" s="71"/>
      <c r="QMM22" s="71"/>
      <c r="QMN22" s="71"/>
      <c r="QMO22" s="71"/>
      <c r="QMP22" s="71"/>
      <c r="QMQ22" s="71"/>
      <c r="QMR22" s="71"/>
      <c r="QMS22" s="71"/>
      <c r="QMT22" s="71"/>
      <c r="QMU22" s="71"/>
      <c r="QMV22" s="71"/>
      <c r="QMW22" s="71"/>
      <c r="QMX22" s="71"/>
      <c r="QMY22" s="71"/>
      <c r="QMZ22" s="71"/>
      <c r="QNA22" s="71"/>
      <c r="QNB22" s="71"/>
      <c r="QNC22" s="71"/>
      <c r="QND22" s="71"/>
      <c r="QNE22" s="71"/>
      <c r="QNF22" s="71"/>
      <c r="QNG22" s="71"/>
      <c r="QNH22" s="71"/>
      <c r="QNI22" s="71"/>
      <c r="QNJ22" s="71"/>
      <c r="QNK22" s="71"/>
      <c r="QNL22" s="71"/>
      <c r="QNM22" s="71"/>
      <c r="QNN22" s="71"/>
      <c r="QNO22" s="71"/>
      <c r="QNP22" s="71"/>
      <c r="QNQ22" s="71"/>
      <c r="QNR22" s="71"/>
      <c r="QNS22" s="71"/>
      <c r="QNT22" s="71"/>
      <c r="QNU22" s="71"/>
      <c r="QNV22" s="71"/>
      <c r="QNW22" s="71"/>
      <c r="QNX22" s="71"/>
      <c r="QNY22" s="71"/>
      <c r="QNZ22" s="71"/>
      <c r="QOA22" s="71"/>
      <c r="QOB22" s="71"/>
      <c r="QOC22" s="71"/>
      <c r="QOD22" s="71"/>
      <c r="QOE22" s="71"/>
      <c r="QOF22" s="71"/>
      <c r="QOG22" s="71"/>
      <c r="QOH22" s="71"/>
      <c r="QOI22" s="71"/>
      <c r="QOJ22" s="71"/>
      <c r="QOK22" s="71"/>
      <c r="QOL22" s="71"/>
      <c r="QOM22" s="71"/>
      <c r="QON22" s="71"/>
      <c r="QOO22" s="71"/>
      <c r="QOP22" s="71"/>
      <c r="QOQ22" s="71"/>
      <c r="QOR22" s="71"/>
      <c r="QOS22" s="71"/>
      <c r="QOT22" s="71"/>
      <c r="QOU22" s="71"/>
      <c r="QOV22" s="71"/>
      <c r="QOW22" s="71"/>
      <c r="QOX22" s="71"/>
      <c r="QOY22" s="71"/>
      <c r="QOZ22" s="71"/>
      <c r="QPA22" s="71"/>
      <c r="QPB22" s="71"/>
      <c r="QPC22" s="71"/>
      <c r="QPD22" s="71"/>
      <c r="QPE22" s="71"/>
      <c r="QPF22" s="71"/>
      <c r="QPG22" s="71"/>
      <c r="QPH22" s="71"/>
      <c r="QPI22" s="71"/>
      <c r="QPJ22" s="71"/>
      <c r="QPK22" s="71"/>
      <c r="QPL22" s="71"/>
      <c r="QPM22" s="71"/>
      <c r="QPN22" s="71"/>
      <c r="QPO22" s="71"/>
      <c r="QPP22" s="71"/>
      <c r="QPQ22" s="71"/>
      <c r="QPR22" s="71"/>
      <c r="QPS22" s="71"/>
      <c r="QPT22" s="71"/>
      <c r="QPU22" s="71"/>
      <c r="QPV22" s="71"/>
      <c r="QPW22" s="71"/>
      <c r="QPX22" s="71"/>
      <c r="QPY22" s="71"/>
      <c r="QPZ22" s="71"/>
      <c r="QQA22" s="71"/>
      <c r="QQB22" s="71"/>
      <c r="QQC22" s="71"/>
      <c r="QQD22" s="71"/>
      <c r="QQE22" s="71"/>
      <c r="QQF22" s="71"/>
      <c r="QQG22" s="71"/>
      <c r="QQH22" s="71"/>
      <c r="QQI22" s="71"/>
      <c r="QQJ22" s="71"/>
      <c r="QQK22" s="71"/>
      <c r="QQL22" s="71"/>
      <c r="QQM22" s="71"/>
      <c r="QQN22" s="71"/>
      <c r="QQO22" s="71"/>
      <c r="QQP22" s="71"/>
      <c r="QQQ22" s="71"/>
      <c r="QQR22" s="71"/>
      <c r="QQS22" s="71"/>
      <c r="QQT22" s="71"/>
      <c r="QQU22" s="71"/>
      <c r="QQV22" s="71"/>
      <c r="QQW22" s="71"/>
      <c r="QQX22" s="71"/>
      <c r="QQY22" s="71"/>
      <c r="QQZ22" s="71"/>
      <c r="QRA22" s="71"/>
      <c r="QRB22" s="71"/>
      <c r="QRC22" s="71"/>
      <c r="QRD22" s="71"/>
      <c r="QRE22" s="71"/>
      <c r="QRF22" s="71"/>
      <c r="QRG22" s="71"/>
      <c r="QRH22" s="71"/>
      <c r="QRI22" s="71"/>
      <c r="QRJ22" s="71"/>
      <c r="QRK22" s="71"/>
      <c r="QRL22" s="71"/>
      <c r="QRM22" s="71"/>
      <c r="QRN22" s="71"/>
      <c r="QRO22" s="71"/>
      <c r="QRP22" s="71"/>
      <c r="QRQ22" s="71"/>
      <c r="QRR22" s="71"/>
      <c r="QRS22" s="71"/>
      <c r="QRT22" s="71"/>
      <c r="QRU22" s="71"/>
      <c r="QRV22" s="71"/>
      <c r="QRW22" s="71"/>
      <c r="QRX22" s="71"/>
      <c r="QRY22" s="71"/>
      <c r="QRZ22" s="71"/>
      <c r="QSA22" s="71"/>
      <c r="QSB22" s="71"/>
      <c r="QSC22" s="71"/>
      <c r="QSD22" s="71"/>
      <c r="QSE22" s="71"/>
      <c r="QSF22" s="71"/>
      <c r="QSG22" s="71"/>
      <c r="QSH22" s="71"/>
      <c r="QSI22" s="71"/>
      <c r="QSJ22" s="71"/>
      <c r="QSK22" s="71"/>
      <c r="QSL22" s="71"/>
      <c r="QSM22" s="71"/>
      <c r="QSN22" s="71"/>
      <c r="QSO22" s="71"/>
      <c r="QSP22" s="71"/>
      <c r="QSQ22" s="71"/>
      <c r="QSR22" s="71"/>
      <c r="QSS22" s="71"/>
      <c r="QST22" s="71"/>
      <c r="QSU22" s="71"/>
      <c r="QSV22" s="71"/>
      <c r="QSW22" s="71"/>
      <c r="QSX22" s="71"/>
      <c r="QSY22" s="71"/>
      <c r="QSZ22" s="71"/>
      <c r="QTA22" s="71"/>
      <c r="QTB22" s="71"/>
      <c r="QTC22" s="71"/>
      <c r="QTD22" s="71"/>
      <c r="QTE22" s="71"/>
      <c r="QTF22" s="71"/>
      <c r="QTG22" s="71"/>
      <c r="QTH22" s="71"/>
      <c r="QTI22" s="71"/>
      <c r="QTJ22" s="71"/>
      <c r="QTK22" s="71"/>
      <c r="QTL22" s="71"/>
      <c r="QTM22" s="71"/>
      <c r="QTN22" s="71"/>
      <c r="QTO22" s="71"/>
      <c r="QTP22" s="71"/>
      <c r="QTQ22" s="71"/>
      <c r="QTR22" s="71"/>
      <c r="QTS22" s="71"/>
      <c r="QTT22" s="71"/>
      <c r="QTU22" s="71"/>
      <c r="QTV22" s="71"/>
      <c r="QTW22" s="71"/>
      <c r="QTX22" s="71"/>
      <c r="QTY22" s="71"/>
      <c r="QTZ22" s="71"/>
      <c r="QUA22" s="71"/>
      <c r="QUB22" s="71"/>
      <c r="QUC22" s="71"/>
      <c r="QUD22" s="71"/>
      <c r="QUE22" s="71"/>
      <c r="QUF22" s="71"/>
      <c r="QUG22" s="71"/>
      <c r="QUH22" s="71"/>
      <c r="QUI22" s="71"/>
      <c r="QUJ22" s="71"/>
      <c r="QUK22" s="71"/>
      <c r="QUL22" s="71"/>
      <c r="QUM22" s="71"/>
      <c r="QUN22" s="71"/>
      <c r="QUO22" s="71"/>
      <c r="QUP22" s="71"/>
      <c r="QUQ22" s="71"/>
      <c r="QUR22" s="71"/>
      <c r="QUS22" s="71"/>
      <c r="QUT22" s="71"/>
      <c r="QUU22" s="71"/>
      <c r="QUV22" s="71"/>
      <c r="QUW22" s="71"/>
      <c r="QUX22" s="71"/>
      <c r="QUY22" s="71"/>
      <c r="QUZ22" s="71"/>
      <c r="QVA22" s="71"/>
      <c r="QVB22" s="71"/>
      <c r="QVC22" s="71"/>
      <c r="QVD22" s="71"/>
      <c r="QVE22" s="71"/>
      <c r="QVF22" s="71"/>
      <c r="QVG22" s="71"/>
      <c r="QVH22" s="71"/>
      <c r="QVI22" s="71"/>
      <c r="QVJ22" s="71"/>
      <c r="QVK22" s="71"/>
      <c r="QVL22" s="71"/>
      <c r="QVM22" s="71"/>
      <c r="QVN22" s="71"/>
      <c r="QVO22" s="71"/>
      <c r="QVP22" s="71"/>
      <c r="QVQ22" s="71"/>
      <c r="QVR22" s="71"/>
      <c r="QVS22" s="71"/>
      <c r="QVT22" s="71"/>
      <c r="QVU22" s="71"/>
      <c r="QVV22" s="71"/>
      <c r="QVW22" s="71"/>
      <c r="QVX22" s="71"/>
      <c r="QVY22" s="71"/>
      <c r="QVZ22" s="71"/>
      <c r="QWA22" s="71"/>
      <c r="QWB22" s="71"/>
      <c r="QWC22" s="71"/>
      <c r="QWD22" s="71"/>
      <c r="QWE22" s="71"/>
      <c r="QWF22" s="71"/>
      <c r="QWG22" s="71"/>
      <c r="QWH22" s="71"/>
      <c r="QWI22" s="71"/>
      <c r="QWJ22" s="71"/>
      <c r="QWK22" s="71"/>
      <c r="QWL22" s="71"/>
      <c r="QWM22" s="71"/>
      <c r="QWN22" s="71"/>
      <c r="QWO22" s="71"/>
      <c r="QWP22" s="71"/>
      <c r="QWQ22" s="71"/>
      <c r="QWR22" s="71"/>
      <c r="QWS22" s="71"/>
      <c r="QWT22" s="71"/>
      <c r="QWU22" s="71"/>
      <c r="QWV22" s="71"/>
      <c r="QWW22" s="71"/>
      <c r="QWX22" s="71"/>
      <c r="QWY22" s="71"/>
      <c r="QWZ22" s="71"/>
      <c r="QXA22" s="71"/>
      <c r="QXB22" s="71"/>
      <c r="QXC22" s="71"/>
      <c r="QXD22" s="71"/>
      <c r="QXE22" s="71"/>
      <c r="QXF22" s="71"/>
      <c r="QXG22" s="71"/>
      <c r="QXH22" s="71"/>
      <c r="QXI22" s="71"/>
      <c r="QXJ22" s="71"/>
      <c r="QXK22" s="71"/>
      <c r="QXL22" s="71"/>
      <c r="QXM22" s="71"/>
      <c r="QXN22" s="71"/>
      <c r="QXO22" s="71"/>
      <c r="QXP22" s="71"/>
      <c r="QXQ22" s="71"/>
      <c r="QXR22" s="71"/>
      <c r="QXS22" s="71"/>
      <c r="QXT22" s="71"/>
      <c r="QXU22" s="71"/>
      <c r="QXV22" s="71"/>
      <c r="QXW22" s="71"/>
      <c r="QXX22" s="71"/>
      <c r="QXY22" s="71"/>
      <c r="QXZ22" s="71"/>
      <c r="QYA22" s="71"/>
      <c r="QYB22" s="71"/>
      <c r="QYC22" s="71"/>
      <c r="QYD22" s="71"/>
      <c r="QYE22" s="71"/>
      <c r="QYF22" s="71"/>
      <c r="QYG22" s="71"/>
      <c r="QYH22" s="71"/>
      <c r="QYI22" s="71"/>
      <c r="QYJ22" s="71"/>
      <c r="QYK22" s="71"/>
      <c r="QYL22" s="71"/>
      <c r="QYM22" s="71"/>
      <c r="QYN22" s="71"/>
      <c r="QYO22" s="71"/>
      <c r="QYP22" s="71"/>
      <c r="QYQ22" s="71"/>
      <c r="QYR22" s="71"/>
      <c r="QYS22" s="71"/>
      <c r="QYT22" s="71"/>
      <c r="QYU22" s="71"/>
      <c r="QYV22" s="71"/>
      <c r="QYW22" s="71"/>
      <c r="QYX22" s="71"/>
      <c r="QYY22" s="71"/>
      <c r="QYZ22" s="71"/>
      <c r="QZA22" s="71"/>
      <c r="QZB22" s="71"/>
      <c r="QZC22" s="71"/>
      <c r="QZD22" s="71"/>
      <c r="QZE22" s="71"/>
      <c r="QZF22" s="71"/>
      <c r="QZG22" s="71"/>
      <c r="QZH22" s="71"/>
      <c r="QZI22" s="71"/>
      <c r="QZJ22" s="71"/>
      <c r="QZK22" s="71"/>
      <c r="QZL22" s="71"/>
      <c r="QZM22" s="71"/>
      <c r="QZN22" s="71"/>
      <c r="QZO22" s="71"/>
      <c r="QZP22" s="71"/>
      <c r="QZQ22" s="71"/>
      <c r="QZR22" s="71"/>
      <c r="QZS22" s="71"/>
      <c r="QZT22" s="71"/>
      <c r="QZU22" s="71"/>
      <c r="QZV22" s="71"/>
      <c r="QZW22" s="71"/>
      <c r="QZX22" s="71"/>
      <c r="QZY22" s="71"/>
      <c r="QZZ22" s="71"/>
      <c r="RAA22" s="71"/>
      <c r="RAB22" s="71"/>
      <c r="RAC22" s="71"/>
      <c r="RAD22" s="71"/>
      <c r="RAE22" s="71"/>
      <c r="RAF22" s="71"/>
      <c r="RAG22" s="71"/>
      <c r="RAH22" s="71"/>
      <c r="RAI22" s="71"/>
      <c r="RAJ22" s="71"/>
      <c r="RAK22" s="71"/>
      <c r="RAL22" s="71"/>
      <c r="RAM22" s="71"/>
      <c r="RAN22" s="71"/>
      <c r="RAO22" s="71"/>
      <c r="RAP22" s="71"/>
      <c r="RAQ22" s="71"/>
      <c r="RAR22" s="71"/>
      <c r="RAS22" s="71"/>
      <c r="RAT22" s="71"/>
      <c r="RAU22" s="71"/>
      <c r="RAV22" s="71"/>
      <c r="RAW22" s="71"/>
      <c r="RAX22" s="71"/>
      <c r="RAY22" s="71"/>
      <c r="RAZ22" s="71"/>
      <c r="RBA22" s="71"/>
      <c r="RBB22" s="71"/>
      <c r="RBC22" s="71"/>
      <c r="RBD22" s="71"/>
      <c r="RBE22" s="71"/>
      <c r="RBF22" s="71"/>
      <c r="RBG22" s="71"/>
      <c r="RBH22" s="71"/>
      <c r="RBI22" s="71"/>
      <c r="RBJ22" s="71"/>
      <c r="RBK22" s="71"/>
      <c r="RBL22" s="71"/>
      <c r="RBM22" s="71"/>
      <c r="RBN22" s="71"/>
      <c r="RBO22" s="71"/>
      <c r="RBP22" s="71"/>
      <c r="RBQ22" s="71"/>
      <c r="RBR22" s="71"/>
      <c r="RBS22" s="71"/>
      <c r="RBT22" s="71"/>
      <c r="RBU22" s="71"/>
      <c r="RBV22" s="71"/>
      <c r="RBW22" s="71"/>
      <c r="RBX22" s="71"/>
      <c r="RBY22" s="71"/>
      <c r="RBZ22" s="71"/>
      <c r="RCA22" s="71"/>
      <c r="RCB22" s="71"/>
      <c r="RCC22" s="71"/>
      <c r="RCD22" s="71"/>
      <c r="RCE22" s="71"/>
      <c r="RCF22" s="71"/>
      <c r="RCG22" s="71"/>
      <c r="RCH22" s="71"/>
      <c r="RCI22" s="71"/>
      <c r="RCJ22" s="71"/>
      <c r="RCK22" s="71"/>
      <c r="RCL22" s="71"/>
      <c r="RCM22" s="71"/>
      <c r="RCN22" s="71"/>
      <c r="RCO22" s="71"/>
      <c r="RCP22" s="71"/>
      <c r="RCQ22" s="71"/>
      <c r="RCR22" s="71"/>
      <c r="RCS22" s="71"/>
      <c r="RCT22" s="71"/>
      <c r="RCU22" s="71"/>
      <c r="RCV22" s="71"/>
      <c r="RCW22" s="71"/>
      <c r="RCX22" s="71"/>
      <c r="RCY22" s="71"/>
      <c r="RCZ22" s="71"/>
      <c r="RDA22" s="71"/>
      <c r="RDB22" s="71"/>
      <c r="RDC22" s="71"/>
      <c r="RDD22" s="71"/>
      <c r="RDE22" s="71"/>
      <c r="RDF22" s="71"/>
      <c r="RDG22" s="71"/>
      <c r="RDH22" s="71"/>
      <c r="RDI22" s="71"/>
      <c r="RDJ22" s="71"/>
      <c r="RDK22" s="71"/>
      <c r="RDL22" s="71"/>
      <c r="RDM22" s="71"/>
      <c r="RDN22" s="71"/>
      <c r="RDO22" s="71"/>
      <c r="RDP22" s="71"/>
      <c r="RDQ22" s="71"/>
      <c r="RDR22" s="71"/>
      <c r="RDS22" s="71"/>
      <c r="RDT22" s="71"/>
      <c r="RDU22" s="71"/>
      <c r="RDV22" s="71"/>
      <c r="RDW22" s="71"/>
      <c r="RDX22" s="71"/>
      <c r="RDY22" s="71"/>
      <c r="RDZ22" s="71"/>
      <c r="REA22" s="71"/>
      <c r="REB22" s="71"/>
      <c r="REC22" s="71"/>
      <c r="RED22" s="71"/>
      <c r="REE22" s="71"/>
      <c r="REF22" s="71"/>
      <c r="REG22" s="71"/>
      <c r="REH22" s="71"/>
      <c r="REI22" s="71"/>
      <c r="REJ22" s="71"/>
      <c r="REK22" s="71"/>
      <c r="REL22" s="71"/>
      <c r="REM22" s="71"/>
      <c r="REN22" s="71"/>
      <c r="REO22" s="71"/>
      <c r="REP22" s="71"/>
      <c r="REQ22" s="71"/>
      <c r="RER22" s="71"/>
      <c r="RES22" s="71"/>
      <c r="RET22" s="71"/>
      <c r="REU22" s="71"/>
      <c r="REV22" s="71"/>
      <c r="REW22" s="71"/>
      <c r="REX22" s="71"/>
      <c r="REY22" s="71"/>
      <c r="REZ22" s="71"/>
      <c r="RFA22" s="71"/>
      <c r="RFB22" s="71"/>
      <c r="RFC22" s="71"/>
      <c r="RFD22" s="71"/>
      <c r="RFE22" s="71"/>
      <c r="RFF22" s="71"/>
      <c r="RFG22" s="71"/>
      <c r="RFH22" s="71"/>
      <c r="RFI22" s="71"/>
      <c r="RFJ22" s="71"/>
      <c r="RFK22" s="71"/>
      <c r="RFL22" s="71"/>
      <c r="RFM22" s="71"/>
      <c r="RFN22" s="71"/>
      <c r="RFO22" s="71"/>
      <c r="RFP22" s="71"/>
      <c r="RFQ22" s="71"/>
      <c r="RFR22" s="71"/>
      <c r="RFS22" s="71"/>
      <c r="RFT22" s="71"/>
      <c r="RFU22" s="71"/>
      <c r="RFV22" s="71"/>
      <c r="RFW22" s="71"/>
      <c r="RFX22" s="71"/>
      <c r="RFY22" s="71"/>
      <c r="RFZ22" s="71"/>
      <c r="RGA22" s="71"/>
      <c r="RGB22" s="71"/>
      <c r="RGC22" s="71"/>
      <c r="RGD22" s="71"/>
      <c r="RGE22" s="71"/>
      <c r="RGF22" s="71"/>
      <c r="RGG22" s="71"/>
      <c r="RGH22" s="71"/>
      <c r="RGI22" s="71"/>
      <c r="RGJ22" s="71"/>
      <c r="RGK22" s="71"/>
      <c r="RGL22" s="71"/>
      <c r="RGM22" s="71"/>
      <c r="RGN22" s="71"/>
      <c r="RGO22" s="71"/>
      <c r="RGP22" s="71"/>
      <c r="RGQ22" s="71"/>
      <c r="RGR22" s="71"/>
      <c r="RGS22" s="71"/>
      <c r="RGT22" s="71"/>
      <c r="RGU22" s="71"/>
      <c r="RGV22" s="71"/>
      <c r="RGW22" s="71"/>
      <c r="RGX22" s="71"/>
      <c r="RGY22" s="71"/>
      <c r="RGZ22" s="71"/>
      <c r="RHA22" s="71"/>
      <c r="RHB22" s="71"/>
      <c r="RHC22" s="71"/>
      <c r="RHD22" s="71"/>
      <c r="RHE22" s="71"/>
      <c r="RHF22" s="71"/>
      <c r="RHG22" s="71"/>
      <c r="RHH22" s="71"/>
      <c r="RHI22" s="71"/>
      <c r="RHJ22" s="71"/>
      <c r="RHK22" s="71"/>
      <c r="RHL22" s="71"/>
      <c r="RHM22" s="71"/>
      <c r="RHN22" s="71"/>
      <c r="RHO22" s="71"/>
      <c r="RHP22" s="71"/>
      <c r="RHQ22" s="71"/>
      <c r="RHR22" s="71"/>
      <c r="RHS22" s="71"/>
      <c r="RHT22" s="71"/>
      <c r="RHU22" s="71"/>
      <c r="RHV22" s="71"/>
      <c r="RHW22" s="71"/>
      <c r="RHX22" s="71"/>
      <c r="RHY22" s="71"/>
      <c r="RHZ22" s="71"/>
      <c r="RIA22" s="71"/>
      <c r="RIB22" s="71"/>
      <c r="RIC22" s="71"/>
      <c r="RID22" s="71"/>
      <c r="RIE22" s="71"/>
      <c r="RIF22" s="71"/>
      <c r="RIG22" s="71"/>
      <c r="RIH22" s="71"/>
      <c r="RII22" s="71"/>
      <c r="RIJ22" s="71"/>
      <c r="RIK22" s="71"/>
      <c r="RIL22" s="71"/>
      <c r="RIM22" s="71"/>
      <c r="RIN22" s="71"/>
      <c r="RIO22" s="71"/>
      <c r="RIP22" s="71"/>
      <c r="RIQ22" s="71"/>
      <c r="RIR22" s="71"/>
      <c r="RIS22" s="71"/>
      <c r="RIT22" s="71"/>
      <c r="RIU22" s="71"/>
      <c r="RIV22" s="71"/>
      <c r="RIW22" s="71"/>
      <c r="RIX22" s="71"/>
      <c r="RIY22" s="71"/>
      <c r="RIZ22" s="71"/>
      <c r="RJA22" s="71"/>
      <c r="RJB22" s="71"/>
      <c r="RJC22" s="71"/>
      <c r="RJD22" s="71"/>
      <c r="RJE22" s="71"/>
      <c r="RJF22" s="71"/>
      <c r="RJG22" s="71"/>
      <c r="RJH22" s="71"/>
      <c r="RJI22" s="71"/>
      <c r="RJJ22" s="71"/>
      <c r="RJK22" s="71"/>
      <c r="RJL22" s="71"/>
      <c r="RJM22" s="71"/>
      <c r="RJN22" s="71"/>
      <c r="RJO22" s="71"/>
      <c r="RJP22" s="71"/>
      <c r="RJQ22" s="71"/>
      <c r="RJR22" s="71"/>
      <c r="RJS22" s="71"/>
      <c r="RJT22" s="71"/>
      <c r="RJU22" s="71"/>
      <c r="RJV22" s="71"/>
      <c r="RJW22" s="71"/>
      <c r="RJX22" s="71"/>
      <c r="RJY22" s="71"/>
      <c r="RJZ22" s="71"/>
      <c r="RKA22" s="71"/>
      <c r="RKB22" s="71"/>
      <c r="RKC22" s="71"/>
      <c r="RKD22" s="71"/>
      <c r="RKE22" s="71"/>
      <c r="RKF22" s="71"/>
      <c r="RKG22" s="71"/>
      <c r="RKH22" s="71"/>
      <c r="RKI22" s="71"/>
      <c r="RKJ22" s="71"/>
      <c r="RKK22" s="71"/>
      <c r="RKL22" s="71"/>
      <c r="RKM22" s="71"/>
      <c r="RKN22" s="71"/>
      <c r="RKO22" s="71"/>
      <c r="RKP22" s="71"/>
      <c r="RKQ22" s="71"/>
      <c r="RKR22" s="71"/>
      <c r="RKS22" s="71"/>
      <c r="RKT22" s="71"/>
      <c r="RKU22" s="71"/>
      <c r="RKV22" s="71"/>
      <c r="RKW22" s="71"/>
      <c r="RKX22" s="71"/>
      <c r="RKY22" s="71"/>
      <c r="RKZ22" s="71"/>
      <c r="RLA22" s="71"/>
      <c r="RLB22" s="71"/>
      <c r="RLC22" s="71"/>
      <c r="RLD22" s="71"/>
      <c r="RLE22" s="71"/>
      <c r="RLF22" s="71"/>
      <c r="RLG22" s="71"/>
      <c r="RLH22" s="71"/>
      <c r="RLI22" s="71"/>
      <c r="RLJ22" s="71"/>
      <c r="RLK22" s="71"/>
      <c r="RLL22" s="71"/>
      <c r="RLM22" s="71"/>
      <c r="RLN22" s="71"/>
      <c r="RLO22" s="71"/>
      <c r="RLP22" s="71"/>
      <c r="RLQ22" s="71"/>
      <c r="RLR22" s="71"/>
      <c r="RLS22" s="71"/>
      <c r="RLT22" s="71"/>
      <c r="RLU22" s="71"/>
      <c r="RLV22" s="71"/>
      <c r="RLW22" s="71"/>
      <c r="RLX22" s="71"/>
      <c r="RLY22" s="71"/>
      <c r="RLZ22" s="71"/>
      <c r="RMA22" s="71"/>
      <c r="RMB22" s="71"/>
      <c r="RMC22" s="71"/>
      <c r="RMD22" s="71"/>
      <c r="RME22" s="71"/>
      <c r="RMF22" s="71"/>
      <c r="RMG22" s="71"/>
      <c r="RMH22" s="71"/>
      <c r="RMI22" s="71"/>
      <c r="RMJ22" s="71"/>
      <c r="RMK22" s="71"/>
      <c r="RML22" s="71"/>
      <c r="RMM22" s="71"/>
      <c r="RMN22" s="71"/>
      <c r="RMO22" s="71"/>
      <c r="RMP22" s="71"/>
      <c r="RMQ22" s="71"/>
      <c r="RMR22" s="71"/>
      <c r="RMS22" s="71"/>
      <c r="RMT22" s="71"/>
      <c r="RMU22" s="71"/>
      <c r="RMV22" s="71"/>
      <c r="RMW22" s="71"/>
      <c r="RMX22" s="71"/>
      <c r="RMY22" s="71"/>
      <c r="RMZ22" s="71"/>
      <c r="RNA22" s="71"/>
      <c r="RNB22" s="71"/>
      <c r="RNC22" s="71"/>
      <c r="RND22" s="71"/>
      <c r="RNE22" s="71"/>
      <c r="RNF22" s="71"/>
      <c r="RNG22" s="71"/>
      <c r="RNH22" s="71"/>
      <c r="RNI22" s="71"/>
      <c r="RNJ22" s="71"/>
      <c r="RNK22" s="71"/>
      <c r="RNL22" s="71"/>
      <c r="RNM22" s="71"/>
      <c r="RNN22" s="71"/>
      <c r="RNO22" s="71"/>
      <c r="RNP22" s="71"/>
      <c r="RNQ22" s="71"/>
      <c r="RNR22" s="71"/>
      <c r="RNS22" s="71"/>
      <c r="RNT22" s="71"/>
      <c r="RNU22" s="71"/>
      <c r="RNV22" s="71"/>
      <c r="RNW22" s="71"/>
      <c r="RNX22" s="71"/>
      <c r="RNY22" s="71"/>
      <c r="RNZ22" s="71"/>
      <c r="ROA22" s="71"/>
      <c r="ROB22" s="71"/>
      <c r="ROC22" s="71"/>
      <c r="ROD22" s="71"/>
      <c r="ROE22" s="71"/>
      <c r="ROF22" s="71"/>
      <c r="ROG22" s="71"/>
      <c r="ROH22" s="71"/>
      <c r="ROI22" s="71"/>
      <c r="ROJ22" s="71"/>
      <c r="ROK22" s="71"/>
      <c r="ROL22" s="71"/>
      <c r="ROM22" s="71"/>
      <c r="RON22" s="71"/>
      <c r="ROO22" s="71"/>
      <c r="ROP22" s="71"/>
      <c r="ROQ22" s="71"/>
      <c r="ROR22" s="71"/>
      <c r="ROS22" s="71"/>
      <c r="ROT22" s="71"/>
      <c r="ROU22" s="71"/>
      <c r="ROV22" s="71"/>
      <c r="ROW22" s="71"/>
      <c r="ROX22" s="71"/>
      <c r="ROY22" s="71"/>
      <c r="ROZ22" s="71"/>
      <c r="RPA22" s="71"/>
      <c r="RPB22" s="71"/>
      <c r="RPC22" s="71"/>
      <c r="RPD22" s="71"/>
      <c r="RPE22" s="71"/>
      <c r="RPF22" s="71"/>
      <c r="RPG22" s="71"/>
      <c r="RPH22" s="71"/>
      <c r="RPI22" s="71"/>
      <c r="RPJ22" s="71"/>
      <c r="RPK22" s="71"/>
      <c r="RPL22" s="71"/>
      <c r="RPM22" s="71"/>
      <c r="RPN22" s="71"/>
      <c r="RPO22" s="71"/>
      <c r="RPP22" s="71"/>
      <c r="RPQ22" s="71"/>
      <c r="RPR22" s="71"/>
      <c r="RPS22" s="71"/>
      <c r="RPT22" s="71"/>
      <c r="RPU22" s="71"/>
      <c r="RPV22" s="71"/>
      <c r="RPW22" s="71"/>
      <c r="RPX22" s="71"/>
      <c r="RPY22" s="71"/>
      <c r="RPZ22" s="71"/>
      <c r="RQA22" s="71"/>
      <c r="RQB22" s="71"/>
      <c r="RQC22" s="71"/>
      <c r="RQD22" s="71"/>
      <c r="RQE22" s="71"/>
      <c r="RQF22" s="71"/>
      <c r="RQG22" s="71"/>
      <c r="RQH22" s="71"/>
      <c r="RQI22" s="71"/>
      <c r="RQJ22" s="71"/>
      <c r="RQK22" s="71"/>
      <c r="RQL22" s="71"/>
      <c r="RQM22" s="71"/>
      <c r="RQN22" s="71"/>
      <c r="RQO22" s="71"/>
      <c r="RQP22" s="71"/>
      <c r="RQQ22" s="71"/>
      <c r="RQR22" s="71"/>
      <c r="RQS22" s="71"/>
      <c r="RQT22" s="71"/>
      <c r="RQU22" s="71"/>
      <c r="RQV22" s="71"/>
      <c r="RQW22" s="71"/>
      <c r="RQX22" s="71"/>
      <c r="RQY22" s="71"/>
      <c r="RQZ22" s="71"/>
      <c r="RRA22" s="71"/>
      <c r="RRB22" s="71"/>
      <c r="RRC22" s="71"/>
      <c r="RRD22" s="71"/>
      <c r="RRE22" s="71"/>
      <c r="RRF22" s="71"/>
      <c r="RRG22" s="71"/>
      <c r="RRH22" s="71"/>
      <c r="RRI22" s="71"/>
      <c r="RRJ22" s="71"/>
      <c r="RRK22" s="71"/>
      <c r="RRL22" s="71"/>
      <c r="RRM22" s="71"/>
      <c r="RRN22" s="71"/>
      <c r="RRO22" s="71"/>
      <c r="RRP22" s="71"/>
      <c r="RRQ22" s="71"/>
      <c r="RRR22" s="71"/>
      <c r="RRS22" s="71"/>
      <c r="RRT22" s="71"/>
      <c r="RRU22" s="71"/>
      <c r="RRV22" s="71"/>
      <c r="RRW22" s="71"/>
      <c r="RRX22" s="71"/>
      <c r="RRY22" s="71"/>
      <c r="RRZ22" s="71"/>
      <c r="RSA22" s="71"/>
      <c r="RSB22" s="71"/>
      <c r="RSC22" s="71"/>
      <c r="RSD22" s="71"/>
      <c r="RSE22" s="71"/>
      <c r="RSF22" s="71"/>
      <c r="RSG22" s="71"/>
      <c r="RSH22" s="71"/>
      <c r="RSI22" s="71"/>
      <c r="RSJ22" s="71"/>
      <c r="RSK22" s="71"/>
      <c r="RSL22" s="71"/>
      <c r="RSM22" s="71"/>
      <c r="RSN22" s="71"/>
      <c r="RSO22" s="71"/>
      <c r="RSP22" s="71"/>
      <c r="RSQ22" s="71"/>
      <c r="RSR22" s="71"/>
      <c r="RSS22" s="71"/>
      <c r="RST22" s="71"/>
      <c r="RSU22" s="71"/>
      <c r="RSV22" s="71"/>
      <c r="RSW22" s="71"/>
      <c r="RSX22" s="71"/>
      <c r="RSY22" s="71"/>
      <c r="RSZ22" s="71"/>
      <c r="RTA22" s="71"/>
      <c r="RTB22" s="71"/>
      <c r="RTC22" s="71"/>
      <c r="RTD22" s="71"/>
      <c r="RTE22" s="71"/>
      <c r="RTF22" s="71"/>
      <c r="RTG22" s="71"/>
      <c r="RTH22" s="71"/>
      <c r="RTI22" s="71"/>
      <c r="RTJ22" s="71"/>
      <c r="RTK22" s="71"/>
      <c r="RTL22" s="71"/>
      <c r="RTM22" s="71"/>
      <c r="RTN22" s="71"/>
      <c r="RTO22" s="71"/>
      <c r="RTP22" s="71"/>
      <c r="RTQ22" s="71"/>
      <c r="RTR22" s="71"/>
      <c r="RTS22" s="71"/>
      <c r="RTT22" s="71"/>
      <c r="RTU22" s="71"/>
      <c r="RTV22" s="71"/>
      <c r="RTW22" s="71"/>
      <c r="RTX22" s="71"/>
      <c r="RTY22" s="71"/>
      <c r="RTZ22" s="71"/>
      <c r="RUA22" s="71"/>
      <c r="RUB22" s="71"/>
      <c r="RUC22" s="71"/>
      <c r="RUD22" s="71"/>
      <c r="RUE22" s="71"/>
      <c r="RUF22" s="71"/>
      <c r="RUG22" s="71"/>
      <c r="RUH22" s="71"/>
      <c r="RUI22" s="71"/>
      <c r="RUJ22" s="71"/>
      <c r="RUK22" s="71"/>
      <c r="RUL22" s="71"/>
      <c r="RUM22" s="71"/>
      <c r="RUN22" s="71"/>
      <c r="RUO22" s="71"/>
      <c r="RUP22" s="71"/>
      <c r="RUQ22" s="71"/>
      <c r="RUR22" s="71"/>
      <c r="RUS22" s="71"/>
      <c r="RUT22" s="71"/>
      <c r="RUU22" s="71"/>
      <c r="RUV22" s="71"/>
      <c r="RUW22" s="71"/>
      <c r="RUX22" s="71"/>
      <c r="RUY22" s="71"/>
      <c r="RUZ22" s="71"/>
      <c r="RVA22" s="71"/>
      <c r="RVB22" s="71"/>
      <c r="RVC22" s="71"/>
      <c r="RVD22" s="71"/>
      <c r="RVE22" s="71"/>
      <c r="RVF22" s="71"/>
      <c r="RVG22" s="71"/>
      <c r="RVH22" s="71"/>
      <c r="RVI22" s="71"/>
      <c r="RVJ22" s="71"/>
      <c r="RVK22" s="71"/>
      <c r="RVL22" s="71"/>
      <c r="RVM22" s="71"/>
      <c r="RVN22" s="71"/>
      <c r="RVO22" s="71"/>
      <c r="RVP22" s="71"/>
      <c r="RVQ22" s="71"/>
      <c r="RVR22" s="71"/>
      <c r="RVS22" s="71"/>
      <c r="RVT22" s="71"/>
      <c r="RVU22" s="71"/>
      <c r="RVV22" s="71"/>
      <c r="RVW22" s="71"/>
      <c r="RVX22" s="71"/>
      <c r="RVY22" s="71"/>
      <c r="RVZ22" s="71"/>
      <c r="RWA22" s="71"/>
      <c r="RWB22" s="71"/>
      <c r="RWC22" s="71"/>
      <c r="RWD22" s="71"/>
      <c r="RWE22" s="71"/>
      <c r="RWF22" s="71"/>
      <c r="RWG22" s="71"/>
      <c r="RWH22" s="71"/>
      <c r="RWI22" s="71"/>
      <c r="RWJ22" s="71"/>
      <c r="RWK22" s="71"/>
      <c r="RWL22" s="71"/>
      <c r="RWM22" s="71"/>
      <c r="RWN22" s="71"/>
      <c r="RWO22" s="71"/>
      <c r="RWP22" s="71"/>
      <c r="RWQ22" s="71"/>
      <c r="RWR22" s="71"/>
      <c r="RWS22" s="71"/>
      <c r="RWT22" s="71"/>
      <c r="RWU22" s="71"/>
      <c r="RWV22" s="71"/>
      <c r="RWW22" s="71"/>
      <c r="RWX22" s="71"/>
      <c r="RWY22" s="71"/>
      <c r="RWZ22" s="71"/>
      <c r="RXA22" s="71"/>
      <c r="RXB22" s="71"/>
      <c r="RXC22" s="71"/>
      <c r="RXD22" s="71"/>
      <c r="RXE22" s="71"/>
      <c r="RXF22" s="71"/>
      <c r="RXG22" s="71"/>
      <c r="RXH22" s="71"/>
      <c r="RXI22" s="71"/>
      <c r="RXJ22" s="71"/>
      <c r="RXK22" s="71"/>
      <c r="RXL22" s="71"/>
      <c r="RXM22" s="71"/>
      <c r="RXN22" s="71"/>
      <c r="RXO22" s="71"/>
      <c r="RXP22" s="71"/>
      <c r="RXQ22" s="71"/>
      <c r="RXR22" s="71"/>
      <c r="RXS22" s="71"/>
      <c r="RXT22" s="71"/>
      <c r="RXU22" s="71"/>
      <c r="RXV22" s="71"/>
      <c r="RXW22" s="71"/>
      <c r="RXX22" s="71"/>
      <c r="RXY22" s="71"/>
      <c r="RXZ22" s="71"/>
      <c r="RYA22" s="71"/>
      <c r="RYB22" s="71"/>
      <c r="RYC22" s="71"/>
      <c r="RYD22" s="71"/>
      <c r="RYE22" s="71"/>
      <c r="RYF22" s="71"/>
      <c r="RYG22" s="71"/>
      <c r="RYH22" s="71"/>
      <c r="RYI22" s="71"/>
      <c r="RYJ22" s="71"/>
      <c r="RYK22" s="71"/>
      <c r="RYL22" s="71"/>
      <c r="RYM22" s="71"/>
      <c r="RYN22" s="71"/>
      <c r="RYO22" s="71"/>
      <c r="RYP22" s="71"/>
      <c r="RYQ22" s="71"/>
      <c r="RYR22" s="71"/>
      <c r="RYS22" s="71"/>
      <c r="RYT22" s="71"/>
      <c r="RYU22" s="71"/>
      <c r="RYV22" s="71"/>
      <c r="RYW22" s="71"/>
      <c r="RYX22" s="71"/>
      <c r="RYY22" s="71"/>
      <c r="RYZ22" s="71"/>
      <c r="RZA22" s="71"/>
      <c r="RZB22" s="71"/>
      <c r="RZC22" s="71"/>
      <c r="RZD22" s="71"/>
      <c r="RZE22" s="71"/>
      <c r="RZF22" s="71"/>
      <c r="RZG22" s="71"/>
      <c r="RZH22" s="71"/>
      <c r="RZI22" s="71"/>
      <c r="RZJ22" s="71"/>
      <c r="RZK22" s="71"/>
      <c r="RZL22" s="71"/>
      <c r="RZM22" s="71"/>
      <c r="RZN22" s="71"/>
      <c r="RZO22" s="71"/>
      <c r="RZP22" s="71"/>
      <c r="RZQ22" s="71"/>
      <c r="RZR22" s="71"/>
      <c r="RZS22" s="71"/>
      <c r="RZT22" s="71"/>
      <c r="RZU22" s="71"/>
      <c r="RZV22" s="71"/>
      <c r="RZW22" s="71"/>
      <c r="RZX22" s="71"/>
      <c r="RZY22" s="71"/>
      <c r="RZZ22" s="71"/>
      <c r="SAA22" s="71"/>
      <c r="SAB22" s="71"/>
      <c r="SAC22" s="71"/>
      <c r="SAD22" s="71"/>
      <c r="SAE22" s="71"/>
      <c r="SAF22" s="71"/>
      <c r="SAG22" s="71"/>
      <c r="SAH22" s="71"/>
      <c r="SAI22" s="71"/>
      <c r="SAJ22" s="71"/>
      <c r="SAK22" s="71"/>
      <c r="SAL22" s="71"/>
      <c r="SAM22" s="71"/>
      <c r="SAN22" s="71"/>
      <c r="SAO22" s="71"/>
      <c r="SAP22" s="71"/>
      <c r="SAQ22" s="71"/>
      <c r="SAR22" s="71"/>
      <c r="SAS22" s="71"/>
      <c r="SAT22" s="71"/>
      <c r="SAU22" s="71"/>
      <c r="SAV22" s="71"/>
      <c r="SAW22" s="71"/>
      <c r="SAX22" s="71"/>
      <c r="SAY22" s="71"/>
      <c r="SAZ22" s="71"/>
      <c r="SBA22" s="71"/>
      <c r="SBB22" s="71"/>
      <c r="SBC22" s="71"/>
      <c r="SBD22" s="71"/>
      <c r="SBE22" s="71"/>
      <c r="SBF22" s="71"/>
      <c r="SBG22" s="71"/>
      <c r="SBH22" s="71"/>
      <c r="SBI22" s="71"/>
      <c r="SBJ22" s="71"/>
      <c r="SBK22" s="71"/>
      <c r="SBL22" s="71"/>
      <c r="SBM22" s="71"/>
      <c r="SBN22" s="71"/>
      <c r="SBO22" s="71"/>
      <c r="SBP22" s="71"/>
      <c r="SBQ22" s="71"/>
      <c r="SBR22" s="71"/>
      <c r="SBS22" s="71"/>
      <c r="SBT22" s="71"/>
      <c r="SBU22" s="71"/>
      <c r="SBV22" s="71"/>
      <c r="SBW22" s="71"/>
      <c r="SBX22" s="71"/>
      <c r="SBY22" s="71"/>
      <c r="SBZ22" s="71"/>
      <c r="SCA22" s="71"/>
      <c r="SCB22" s="71"/>
      <c r="SCC22" s="71"/>
      <c r="SCD22" s="71"/>
      <c r="SCE22" s="71"/>
      <c r="SCF22" s="71"/>
      <c r="SCG22" s="71"/>
      <c r="SCH22" s="71"/>
      <c r="SCI22" s="71"/>
      <c r="SCJ22" s="71"/>
      <c r="SCK22" s="71"/>
      <c r="SCL22" s="71"/>
      <c r="SCM22" s="71"/>
      <c r="SCN22" s="71"/>
      <c r="SCO22" s="71"/>
      <c r="SCP22" s="71"/>
      <c r="SCQ22" s="71"/>
      <c r="SCR22" s="71"/>
      <c r="SCS22" s="71"/>
      <c r="SCT22" s="71"/>
      <c r="SCU22" s="71"/>
      <c r="SCV22" s="71"/>
      <c r="SCW22" s="71"/>
      <c r="SCX22" s="71"/>
      <c r="SCY22" s="71"/>
      <c r="SCZ22" s="71"/>
      <c r="SDA22" s="71"/>
      <c r="SDB22" s="71"/>
      <c r="SDC22" s="71"/>
      <c r="SDD22" s="71"/>
      <c r="SDE22" s="71"/>
      <c r="SDF22" s="71"/>
      <c r="SDG22" s="71"/>
      <c r="SDH22" s="71"/>
      <c r="SDI22" s="71"/>
      <c r="SDJ22" s="71"/>
      <c r="SDK22" s="71"/>
      <c r="SDL22" s="71"/>
      <c r="SDM22" s="71"/>
      <c r="SDN22" s="71"/>
      <c r="SDO22" s="71"/>
      <c r="SDP22" s="71"/>
      <c r="SDQ22" s="71"/>
      <c r="SDR22" s="71"/>
      <c r="SDS22" s="71"/>
      <c r="SDT22" s="71"/>
      <c r="SDU22" s="71"/>
      <c r="SDV22" s="71"/>
      <c r="SDW22" s="71"/>
      <c r="SDX22" s="71"/>
      <c r="SDY22" s="71"/>
      <c r="SDZ22" s="71"/>
      <c r="SEA22" s="71"/>
      <c r="SEB22" s="71"/>
      <c r="SEC22" s="71"/>
      <c r="SED22" s="71"/>
      <c r="SEE22" s="71"/>
      <c r="SEF22" s="71"/>
      <c r="SEG22" s="71"/>
      <c r="SEH22" s="71"/>
      <c r="SEI22" s="71"/>
      <c r="SEJ22" s="71"/>
      <c r="SEK22" s="71"/>
      <c r="SEL22" s="71"/>
      <c r="SEM22" s="71"/>
      <c r="SEN22" s="71"/>
      <c r="SEO22" s="71"/>
      <c r="SEP22" s="71"/>
      <c r="SEQ22" s="71"/>
      <c r="SER22" s="71"/>
      <c r="SES22" s="71"/>
      <c r="SET22" s="71"/>
      <c r="SEU22" s="71"/>
      <c r="SEV22" s="71"/>
      <c r="SEW22" s="71"/>
      <c r="SEX22" s="71"/>
      <c r="SEY22" s="71"/>
      <c r="SEZ22" s="71"/>
      <c r="SFA22" s="71"/>
      <c r="SFB22" s="71"/>
      <c r="SFC22" s="71"/>
      <c r="SFD22" s="71"/>
      <c r="SFE22" s="71"/>
      <c r="SFF22" s="71"/>
      <c r="SFG22" s="71"/>
      <c r="SFH22" s="71"/>
      <c r="SFI22" s="71"/>
      <c r="SFJ22" s="71"/>
      <c r="SFK22" s="71"/>
      <c r="SFL22" s="71"/>
      <c r="SFM22" s="71"/>
      <c r="SFN22" s="71"/>
      <c r="SFO22" s="71"/>
      <c r="SFP22" s="71"/>
      <c r="SFQ22" s="71"/>
      <c r="SFR22" s="71"/>
      <c r="SFS22" s="71"/>
      <c r="SFT22" s="71"/>
      <c r="SFU22" s="71"/>
      <c r="SFV22" s="71"/>
      <c r="SFW22" s="71"/>
      <c r="SFX22" s="71"/>
      <c r="SFY22" s="71"/>
      <c r="SFZ22" s="71"/>
      <c r="SGA22" s="71"/>
      <c r="SGB22" s="71"/>
      <c r="SGC22" s="71"/>
      <c r="SGD22" s="71"/>
      <c r="SGE22" s="71"/>
      <c r="SGF22" s="71"/>
      <c r="SGG22" s="71"/>
      <c r="SGH22" s="71"/>
      <c r="SGI22" s="71"/>
      <c r="SGJ22" s="71"/>
      <c r="SGK22" s="71"/>
      <c r="SGL22" s="71"/>
      <c r="SGM22" s="71"/>
      <c r="SGN22" s="71"/>
      <c r="SGO22" s="71"/>
      <c r="SGP22" s="71"/>
      <c r="SGQ22" s="71"/>
      <c r="SGR22" s="71"/>
      <c r="SGS22" s="71"/>
      <c r="SGT22" s="71"/>
      <c r="SGU22" s="71"/>
      <c r="SGV22" s="71"/>
      <c r="SGW22" s="71"/>
      <c r="SGX22" s="71"/>
      <c r="SGY22" s="71"/>
      <c r="SGZ22" s="71"/>
      <c r="SHA22" s="71"/>
      <c r="SHB22" s="71"/>
      <c r="SHC22" s="71"/>
      <c r="SHD22" s="71"/>
      <c r="SHE22" s="71"/>
      <c r="SHF22" s="71"/>
      <c r="SHG22" s="71"/>
      <c r="SHH22" s="71"/>
      <c r="SHI22" s="71"/>
      <c r="SHJ22" s="71"/>
      <c r="SHK22" s="71"/>
      <c r="SHL22" s="71"/>
      <c r="SHM22" s="71"/>
      <c r="SHN22" s="71"/>
      <c r="SHO22" s="71"/>
      <c r="SHP22" s="71"/>
      <c r="SHQ22" s="71"/>
      <c r="SHR22" s="71"/>
      <c r="SHS22" s="71"/>
      <c r="SHT22" s="71"/>
      <c r="SHU22" s="71"/>
      <c r="SHV22" s="71"/>
      <c r="SHW22" s="71"/>
      <c r="SHX22" s="71"/>
      <c r="SHY22" s="71"/>
      <c r="SHZ22" s="71"/>
      <c r="SIA22" s="71"/>
      <c r="SIB22" s="71"/>
      <c r="SIC22" s="71"/>
      <c r="SID22" s="71"/>
      <c r="SIE22" s="71"/>
      <c r="SIF22" s="71"/>
      <c r="SIG22" s="71"/>
      <c r="SIH22" s="71"/>
      <c r="SII22" s="71"/>
      <c r="SIJ22" s="71"/>
      <c r="SIK22" s="71"/>
      <c r="SIL22" s="71"/>
      <c r="SIM22" s="71"/>
      <c r="SIN22" s="71"/>
      <c r="SIO22" s="71"/>
      <c r="SIP22" s="71"/>
      <c r="SIQ22" s="71"/>
      <c r="SIR22" s="71"/>
      <c r="SIS22" s="71"/>
      <c r="SIT22" s="71"/>
      <c r="SIU22" s="71"/>
      <c r="SIV22" s="71"/>
      <c r="SIW22" s="71"/>
      <c r="SIX22" s="71"/>
      <c r="SIY22" s="71"/>
      <c r="SIZ22" s="71"/>
      <c r="SJA22" s="71"/>
      <c r="SJB22" s="71"/>
      <c r="SJC22" s="71"/>
      <c r="SJD22" s="71"/>
      <c r="SJE22" s="71"/>
      <c r="SJF22" s="71"/>
      <c r="SJG22" s="71"/>
      <c r="SJH22" s="71"/>
      <c r="SJI22" s="71"/>
      <c r="SJJ22" s="71"/>
      <c r="SJK22" s="71"/>
      <c r="SJL22" s="71"/>
      <c r="SJM22" s="71"/>
      <c r="SJN22" s="71"/>
      <c r="SJO22" s="71"/>
      <c r="SJP22" s="71"/>
      <c r="SJQ22" s="71"/>
      <c r="SJR22" s="71"/>
      <c r="SJS22" s="71"/>
      <c r="SJT22" s="71"/>
      <c r="SJU22" s="71"/>
      <c r="SJV22" s="71"/>
      <c r="SJW22" s="71"/>
      <c r="SJX22" s="71"/>
      <c r="SJY22" s="71"/>
      <c r="SJZ22" s="71"/>
      <c r="SKA22" s="71"/>
      <c r="SKB22" s="71"/>
      <c r="SKC22" s="71"/>
      <c r="SKD22" s="71"/>
      <c r="SKE22" s="71"/>
      <c r="SKF22" s="71"/>
      <c r="SKG22" s="71"/>
      <c r="SKH22" s="71"/>
      <c r="SKI22" s="71"/>
      <c r="SKJ22" s="71"/>
      <c r="SKK22" s="71"/>
      <c r="SKL22" s="71"/>
      <c r="SKM22" s="71"/>
      <c r="SKN22" s="71"/>
      <c r="SKO22" s="71"/>
      <c r="SKP22" s="71"/>
      <c r="SKQ22" s="71"/>
      <c r="SKR22" s="71"/>
      <c r="SKS22" s="71"/>
      <c r="SKT22" s="71"/>
      <c r="SKU22" s="71"/>
      <c r="SKV22" s="71"/>
      <c r="SKW22" s="71"/>
      <c r="SKX22" s="71"/>
      <c r="SKY22" s="71"/>
      <c r="SKZ22" s="71"/>
      <c r="SLA22" s="71"/>
      <c r="SLB22" s="71"/>
      <c r="SLC22" s="71"/>
      <c r="SLD22" s="71"/>
      <c r="SLE22" s="71"/>
      <c r="SLF22" s="71"/>
      <c r="SLG22" s="71"/>
      <c r="SLH22" s="71"/>
      <c r="SLI22" s="71"/>
      <c r="SLJ22" s="71"/>
      <c r="SLK22" s="71"/>
      <c r="SLL22" s="71"/>
      <c r="SLM22" s="71"/>
      <c r="SLN22" s="71"/>
      <c r="SLO22" s="71"/>
      <c r="SLP22" s="71"/>
      <c r="SLQ22" s="71"/>
      <c r="SLR22" s="71"/>
      <c r="SLS22" s="71"/>
      <c r="SLT22" s="71"/>
      <c r="SLU22" s="71"/>
      <c r="SLV22" s="71"/>
      <c r="SLW22" s="71"/>
      <c r="SLX22" s="71"/>
      <c r="SLY22" s="71"/>
      <c r="SLZ22" s="71"/>
      <c r="SMA22" s="71"/>
      <c r="SMB22" s="71"/>
      <c r="SMC22" s="71"/>
      <c r="SMD22" s="71"/>
      <c r="SME22" s="71"/>
      <c r="SMF22" s="71"/>
      <c r="SMG22" s="71"/>
      <c r="SMH22" s="71"/>
      <c r="SMI22" s="71"/>
      <c r="SMJ22" s="71"/>
      <c r="SMK22" s="71"/>
      <c r="SML22" s="71"/>
      <c r="SMM22" s="71"/>
      <c r="SMN22" s="71"/>
      <c r="SMO22" s="71"/>
      <c r="SMP22" s="71"/>
      <c r="SMQ22" s="71"/>
      <c r="SMR22" s="71"/>
      <c r="SMS22" s="71"/>
      <c r="SMT22" s="71"/>
      <c r="SMU22" s="71"/>
      <c r="SMV22" s="71"/>
      <c r="SMW22" s="71"/>
      <c r="SMX22" s="71"/>
      <c r="SMY22" s="71"/>
      <c r="SMZ22" s="71"/>
      <c r="SNA22" s="71"/>
      <c r="SNB22" s="71"/>
      <c r="SNC22" s="71"/>
      <c r="SND22" s="71"/>
      <c r="SNE22" s="71"/>
      <c r="SNF22" s="71"/>
      <c r="SNG22" s="71"/>
      <c r="SNH22" s="71"/>
      <c r="SNI22" s="71"/>
      <c r="SNJ22" s="71"/>
      <c r="SNK22" s="71"/>
      <c r="SNL22" s="71"/>
      <c r="SNM22" s="71"/>
      <c r="SNN22" s="71"/>
      <c r="SNO22" s="71"/>
      <c r="SNP22" s="71"/>
      <c r="SNQ22" s="71"/>
      <c r="SNR22" s="71"/>
      <c r="SNS22" s="71"/>
      <c r="SNT22" s="71"/>
      <c r="SNU22" s="71"/>
      <c r="SNV22" s="71"/>
      <c r="SNW22" s="71"/>
      <c r="SNX22" s="71"/>
      <c r="SNY22" s="71"/>
      <c r="SNZ22" s="71"/>
      <c r="SOA22" s="71"/>
      <c r="SOB22" s="71"/>
      <c r="SOC22" s="71"/>
      <c r="SOD22" s="71"/>
      <c r="SOE22" s="71"/>
      <c r="SOF22" s="71"/>
      <c r="SOG22" s="71"/>
      <c r="SOH22" s="71"/>
      <c r="SOI22" s="71"/>
      <c r="SOJ22" s="71"/>
      <c r="SOK22" s="71"/>
      <c r="SOL22" s="71"/>
      <c r="SOM22" s="71"/>
      <c r="SON22" s="71"/>
      <c r="SOO22" s="71"/>
      <c r="SOP22" s="71"/>
      <c r="SOQ22" s="71"/>
      <c r="SOR22" s="71"/>
      <c r="SOS22" s="71"/>
      <c r="SOT22" s="71"/>
      <c r="SOU22" s="71"/>
      <c r="SOV22" s="71"/>
      <c r="SOW22" s="71"/>
      <c r="SOX22" s="71"/>
      <c r="SOY22" s="71"/>
      <c r="SOZ22" s="71"/>
      <c r="SPA22" s="71"/>
      <c r="SPB22" s="71"/>
      <c r="SPC22" s="71"/>
      <c r="SPD22" s="71"/>
      <c r="SPE22" s="71"/>
      <c r="SPF22" s="71"/>
      <c r="SPG22" s="71"/>
      <c r="SPH22" s="71"/>
      <c r="SPI22" s="71"/>
      <c r="SPJ22" s="71"/>
      <c r="SPK22" s="71"/>
      <c r="SPL22" s="71"/>
      <c r="SPM22" s="71"/>
      <c r="SPN22" s="71"/>
      <c r="SPO22" s="71"/>
      <c r="SPP22" s="71"/>
      <c r="SPQ22" s="71"/>
      <c r="SPR22" s="71"/>
      <c r="SPS22" s="71"/>
      <c r="SPT22" s="71"/>
      <c r="SPU22" s="71"/>
      <c r="SPV22" s="71"/>
      <c r="SPW22" s="71"/>
      <c r="SPX22" s="71"/>
      <c r="SPY22" s="71"/>
      <c r="SPZ22" s="71"/>
      <c r="SQA22" s="71"/>
      <c r="SQB22" s="71"/>
      <c r="SQC22" s="71"/>
      <c r="SQD22" s="71"/>
      <c r="SQE22" s="71"/>
      <c r="SQF22" s="71"/>
      <c r="SQG22" s="71"/>
      <c r="SQH22" s="71"/>
      <c r="SQI22" s="71"/>
      <c r="SQJ22" s="71"/>
      <c r="SQK22" s="71"/>
      <c r="SQL22" s="71"/>
      <c r="SQM22" s="71"/>
      <c r="SQN22" s="71"/>
      <c r="SQO22" s="71"/>
      <c r="SQP22" s="71"/>
      <c r="SQQ22" s="71"/>
      <c r="SQR22" s="71"/>
      <c r="SQS22" s="71"/>
      <c r="SQT22" s="71"/>
      <c r="SQU22" s="71"/>
      <c r="SQV22" s="71"/>
      <c r="SQW22" s="71"/>
      <c r="SQX22" s="71"/>
      <c r="SQY22" s="71"/>
      <c r="SQZ22" s="71"/>
      <c r="SRA22" s="71"/>
      <c r="SRB22" s="71"/>
      <c r="SRC22" s="71"/>
      <c r="SRD22" s="71"/>
      <c r="SRE22" s="71"/>
      <c r="SRF22" s="71"/>
      <c r="SRG22" s="71"/>
      <c r="SRH22" s="71"/>
      <c r="SRI22" s="71"/>
      <c r="SRJ22" s="71"/>
      <c r="SRK22" s="71"/>
      <c r="SRL22" s="71"/>
      <c r="SRM22" s="71"/>
      <c r="SRN22" s="71"/>
      <c r="SRO22" s="71"/>
      <c r="SRP22" s="71"/>
      <c r="SRQ22" s="71"/>
      <c r="SRR22" s="71"/>
      <c r="SRS22" s="71"/>
      <c r="SRT22" s="71"/>
      <c r="SRU22" s="71"/>
      <c r="SRV22" s="71"/>
      <c r="SRW22" s="71"/>
      <c r="SRX22" s="71"/>
      <c r="SRY22" s="71"/>
      <c r="SRZ22" s="71"/>
      <c r="SSA22" s="71"/>
      <c r="SSB22" s="71"/>
      <c r="SSC22" s="71"/>
      <c r="SSD22" s="71"/>
      <c r="SSE22" s="71"/>
      <c r="SSF22" s="71"/>
      <c r="SSG22" s="71"/>
      <c r="SSH22" s="71"/>
      <c r="SSI22" s="71"/>
      <c r="SSJ22" s="71"/>
      <c r="SSK22" s="71"/>
      <c r="SSL22" s="71"/>
      <c r="SSM22" s="71"/>
      <c r="SSN22" s="71"/>
      <c r="SSO22" s="71"/>
      <c r="SSP22" s="71"/>
      <c r="SSQ22" s="71"/>
      <c r="SSR22" s="71"/>
      <c r="SSS22" s="71"/>
      <c r="SST22" s="71"/>
      <c r="SSU22" s="71"/>
      <c r="SSV22" s="71"/>
      <c r="SSW22" s="71"/>
      <c r="SSX22" s="71"/>
      <c r="SSY22" s="71"/>
      <c r="SSZ22" s="71"/>
      <c r="STA22" s="71"/>
      <c r="STB22" s="71"/>
      <c r="STC22" s="71"/>
      <c r="STD22" s="71"/>
      <c r="STE22" s="71"/>
      <c r="STF22" s="71"/>
      <c r="STG22" s="71"/>
      <c r="STH22" s="71"/>
      <c r="STI22" s="71"/>
      <c r="STJ22" s="71"/>
      <c r="STK22" s="71"/>
      <c r="STL22" s="71"/>
      <c r="STM22" s="71"/>
      <c r="STN22" s="71"/>
      <c r="STO22" s="71"/>
      <c r="STP22" s="71"/>
      <c r="STQ22" s="71"/>
      <c r="STR22" s="71"/>
      <c r="STS22" s="71"/>
      <c r="STT22" s="71"/>
      <c r="STU22" s="71"/>
      <c r="STV22" s="71"/>
      <c r="STW22" s="71"/>
      <c r="STX22" s="71"/>
      <c r="STY22" s="71"/>
      <c r="STZ22" s="71"/>
      <c r="SUA22" s="71"/>
      <c r="SUB22" s="71"/>
      <c r="SUC22" s="71"/>
      <c r="SUD22" s="71"/>
      <c r="SUE22" s="71"/>
      <c r="SUF22" s="71"/>
      <c r="SUG22" s="71"/>
      <c r="SUH22" s="71"/>
      <c r="SUI22" s="71"/>
      <c r="SUJ22" s="71"/>
      <c r="SUK22" s="71"/>
      <c r="SUL22" s="71"/>
      <c r="SUM22" s="71"/>
      <c r="SUN22" s="71"/>
      <c r="SUO22" s="71"/>
      <c r="SUP22" s="71"/>
      <c r="SUQ22" s="71"/>
      <c r="SUR22" s="71"/>
      <c r="SUS22" s="71"/>
      <c r="SUT22" s="71"/>
      <c r="SUU22" s="71"/>
      <c r="SUV22" s="71"/>
      <c r="SUW22" s="71"/>
      <c r="SUX22" s="71"/>
      <c r="SUY22" s="71"/>
      <c r="SUZ22" s="71"/>
      <c r="SVA22" s="71"/>
      <c r="SVB22" s="71"/>
      <c r="SVC22" s="71"/>
      <c r="SVD22" s="71"/>
      <c r="SVE22" s="71"/>
      <c r="SVF22" s="71"/>
      <c r="SVG22" s="71"/>
      <c r="SVH22" s="71"/>
      <c r="SVI22" s="71"/>
      <c r="SVJ22" s="71"/>
      <c r="SVK22" s="71"/>
      <c r="SVL22" s="71"/>
      <c r="SVM22" s="71"/>
      <c r="SVN22" s="71"/>
      <c r="SVO22" s="71"/>
      <c r="SVP22" s="71"/>
      <c r="SVQ22" s="71"/>
      <c r="SVR22" s="71"/>
      <c r="SVS22" s="71"/>
      <c r="SVT22" s="71"/>
      <c r="SVU22" s="71"/>
      <c r="SVV22" s="71"/>
      <c r="SVW22" s="71"/>
      <c r="SVX22" s="71"/>
      <c r="SVY22" s="71"/>
      <c r="SVZ22" s="71"/>
      <c r="SWA22" s="71"/>
      <c r="SWB22" s="71"/>
      <c r="SWC22" s="71"/>
      <c r="SWD22" s="71"/>
      <c r="SWE22" s="71"/>
      <c r="SWF22" s="71"/>
      <c r="SWG22" s="71"/>
      <c r="SWH22" s="71"/>
      <c r="SWI22" s="71"/>
      <c r="SWJ22" s="71"/>
      <c r="SWK22" s="71"/>
      <c r="SWL22" s="71"/>
      <c r="SWM22" s="71"/>
      <c r="SWN22" s="71"/>
      <c r="SWO22" s="71"/>
      <c r="SWP22" s="71"/>
      <c r="SWQ22" s="71"/>
      <c r="SWR22" s="71"/>
      <c r="SWS22" s="71"/>
      <c r="SWT22" s="71"/>
      <c r="SWU22" s="71"/>
      <c r="SWV22" s="71"/>
      <c r="SWW22" s="71"/>
      <c r="SWX22" s="71"/>
      <c r="SWY22" s="71"/>
      <c r="SWZ22" s="71"/>
      <c r="SXA22" s="71"/>
      <c r="SXB22" s="71"/>
      <c r="SXC22" s="71"/>
      <c r="SXD22" s="71"/>
      <c r="SXE22" s="71"/>
      <c r="SXF22" s="71"/>
      <c r="SXG22" s="71"/>
      <c r="SXH22" s="71"/>
      <c r="SXI22" s="71"/>
      <c r="SXJ22" s="71"/>
      <c r="SXK22" s="71"/>
      <c r="SXL22" s="71"/>
      <c r="SXM22" s="71"/>
      <c r="SXN22" s="71"/>
      <c r="SXO22" s="71"/>
      <c r="SXP22" s="71"/>
      <c r="SXQ22" s="71"/>
      <c r="SXR22" s="71"/>
      <c r="SXS22" s="71"/>
      <c r="SXT22" s="71"/>
      <c r="SXU22" s="71"/>
      <c r="SXV22" s="71"/>
      <c r="SXW22" s="71"/>
      <c r="SXX22" s="71"/>
      <c r="SXY22" s="71"/>
      <c r="SXZ22" s="71"/>
      <c r="SYA22" s="71"/>
      <c r="SYB22" s="71"/>
      <c r="SYC22" s="71"/>
      <c r="SYD22" s="71"/>
      <c r="SYE22" s="71"/>
      <c r="SYF22" s="71"/>
      <c r="SYG22" s="71"/>
      <c r="SYH22" s="71"/>
      <c r="SYI22" s="71"/>
      <c r="SYJ22" s="71"/>
      <c r="SYK22" s="71"/>
      <c r="SYL22" s="71"/>
      <c r="SYM22" s="71"/>
      <c r="SYN22" s="71"/>
      <c r="SYO22" s="71"/>
      <c r="SYP22" s="71"/>
      <c r="SYQ22" s="71"/>
      <c r="SYR22" s="71"/>
      <c r="SYS22" s="71"/>
      <c r="SYT22" s="71"/>
      <c r="SYU22" s="71"/>
      <c r="SYV22" s="71"/>
      <c r="SYW22" s="71"/>
      <c r="SYX22" s="71"/>
      <c r="SYY22" s="71"/>
      <c r="SYZ22" s="71"/>
      <c r="SZA22" s="71"/>
      <c r="SZB22" s="71"/>
      <c r="SZC22" s="71"/>
      <c r="SZD22" s="71"/>
      <c r="SZE22" s="71"/>
      <c r="SZF22" s="71"/>
      <c r="SZG22" s="71"/>
      <c r="SZH22" s="71"/>
      <c r="SZI22" s="71"/>
      <c r="SZJ22" s="71"/>
      <c r="SZK22" s="71"/>
      <c r="SZL22" s="71"/>
      <c r="SZM22" s="71"/>
      <c r="SZN22" s="71"/>
      <c r="SZO22" s="71"/>
      <c r="SZP22" s="71"/>
      <c r="SZQ22" s="71"/>
      <c r="SZR22" s="71"/>
      <c r="SZS22" s="71"/>
      <c r="SZT22" s="71"/>
      <c r="SZU22" s="71"/>
      <c r="SZV22" s="71"/>
      <c r="SZW22" s="71"/>
      <c r="SZX22" s="71"/>
      <c r="SZY22" s="71"/>
      <c r="SZZ22" s="71"/>
      <c r="TAA22" s="71"/>
      <c r="TAB22" s="71"/>
      <c r="TAC22" s="71"/>
      <c r="TAD22" s="71"/>
      <c r="TAE22" s="71"/>
      <c r="TAF22" s="71"/>
      <c r="TAG22" s="71"/>
      <c r="TAH22" s="71"/>
      <c r="TAI22" s="71"/>
      <c r="TAJ22" s="71"/>
      <c r="TAK22" s="71"/>
      <c r="TAL22" s="71"/>
      <c r="TAM22" s="71"/>
      <c r="TAN22" s="71"/>
      <c r="TAO22" s="71"/>
      <c r="TAP22" s="71"/>
      <c r="TAQ22" s="71"/>
      <c r="TAR22" s="71"/>
      <c r="TAS22" s="71"/>
      <c r="TAT22" s="71"/>
      <c r="TAU22" s="71"/>
      <c r="TAV22" s="71"/>
      <c r="TAW22" s="71"/>
      <c r="TAX22" s="71"/>
      <c r="TAY22" s="71"/>
      <c r="TAZ22" s="71"/>
      <c r="TBA22" s="71"/>
      <c r="TBB22" s="71"/>
      <c r="TBC22" s="71"/>
      <c r="TBD22" s="71"/>
      <c r="TBE22" s="71"/>
      <c r="TBF22" s="71"/>
      <c r="TBG22" s="71"/>
      <c r="TBH22" s="71"/>
      <c r="TBI22" s="71"/>
      <c r="TBJ22" s="71"/>
      <c r="TBK22" s="71"/>
      <c r="TBL22" s="71"/>
      <c r="TBM22" s="71"/>
      <c r="TBN22" s="71"/>
      <c r="TBO22" s="71"/>
      <c r="TBP22" s="71"/>
      <c r="TBQ22" s="71"/>
      <c r="TBR22" s="71"/>
      <c r="TBS22" s="71"/>
      <c r="TBT22" s="71"/>
      <c r="TBU22" s="71"/>
      <c r="TBV22" s="71"/>
      <c r="TBW22" s="71"/>
      <c r="TBX22" s="71"/>
      <c r="TBY22" s="71"/>
      <c r="TBZ22" s="71"/>
      <c r="TCA22" s="71"/>
      <c r="TCB22" s="71"/>
      <c r="TCC22" s="71"/>
      <c r="TCD22" s="71"/>
      <c r="TCE22" s="71"/>
      <c r="TCF22" s="71"/>
      <c r="TCG22" s="71"/>
      <c r="TCH22" s="71"/>
      <c r="TCI22" s="71"/>
      <c r="TCJ22" s="71"/>
      <c r="TCK22" s="71"/>
      <c r="TCL22" s="71"/>
      <c r="TCM22" s="71"/>
      <c r="TCN22" s="71"/>
      <c r="TCO22" s="71"/>
      <c r="TCP22" s="71"/>
      <c r="TCQ22" s="71"/>
      <c r="TCR22" s="71"/>
      <c r="TCS22" s="71"/>
      <c r="TCT22" s="71"/>
      <c r="TCU22" s="71"/>
      <c r="TCV22" s="71"/>
      <c r="TCW22" s="71"/>
      <c r="TCX22" s="71"/>
      <c r="TCY22" s="71"/>
      <c r="TCZ22" s="71"/>
      <c r="TDA22" s="71"/>
      <c r="TDB22" s="71"/>
      <c r="TDC22" s="71"/>
      <c r="TDD22" s="71"/>
      <c r="TDE22" s="71"/>
      <c r="TDF22" s="71"/>
      <c r="TDG22" s="71"/>
      <c r="TDH22" s="71"/>
      <c r="TDI22" s="71"/>
      <c r="TDJ22" s="71"/>
      <c r="TDK22" s="71"/>
      <c r="TDL22" s="71"/>
      <c r="TDM22" s="71"/>
      <c r="TDN22" s="71"/>
      <c r="TDO22" s="71"/>
      <c r="TDP22" s="71"/>
      <c r="TDQ22" s="71"/>
      <c r="TDR22" s="71"/>
      <c r="TDS22" s="71"/>
      <c r="TDT22" s="71"/>
      <c r="TDU22" s="71"/>
      <c r="TDV22" s="71"/>
      <c r="TDW22" s="71"/>
      <c r="TDX22" s="71"/>
      <c r="TDY22" s="71"/>
      <c r="TDZ22" s="71"/>
      <c r="TEA22" s="71"/>
      <c r="TEB22" s="71"/>
      <c r="TEC22" s="71"/>
      <c r="TED22" s="71"/>
      <c r="TEE22" s="71"/>
      <c r="TEF22" s="71"/>
      <c r="TEG22" s="71"/>
      <c r="TEH22" s="71"/>
      <c r="TEI22" s="71"/>
      <c r="TEJ22" s="71"/>
      <c r="TEK22" s="71"/>
      <c r="TEL22" s="71"/>
      <c r="TEM22" s="71"/>
      <c r="TEN22" s="71"/>
      <c r="TEO22" s="71"/>
      <c r="TEP22" s="71"/>
      <c r="TEQ22" s="71"/>
      <c r="TER22" s="71"/>
      <c r="TES22" s="71"/>
      <c r="TET22" s="71"/>
      <c r="TEU22" s="71"/>
      <c r="TEV22" s="71"/>
      <c r="TEW22" s="71"/>
      <c r="TEX22" s="71"/>
      <c r="TEY22" s="71"/>
      <c r="TEZ22" s="71"/>
      <c r="TFA22" s="71"/>
      <c r="TFB22" s="71"/>
      <c r="TFC22" s="71"/>
      <c r="TFD22" s="71"/>
      <c r="TFE22" s="71"/>
      <c r="TFF22" s="71"/>
      <c r="TFG22" s="71"/>
      <c r="TFH22" s="71"/>
      <c r="TFI22" s="71"/>
      <c r="TFJ22" s="71"/>
      <c r="TFK22" s="71"/>
      <c r="TFL22" s="71"/>
      <c r="TFM22" s="71"/>
      <c r="TFN22" s="71"/>
      <c r="TFO22" s="71"/>
      <c r="TFP22" s="71"/>
      <c r="TFQ22" s="71"/>
      <c r="TFR22" s="71"/>
      <c r="TFS22" s="71"/>
      <c r="TFT22" s="71"/>
      <c r="TFU22" s="71"/>
      <c r="TFV22" s="71"/>
      <c r="TFW22" s="71"/>
      <c r="TFX22" s="71"/>
      <c r="TFY22" s="71"/>
      <c r="TFZ22" s="71"/>
      <c r="TGA22" s="71"/>
      <c r="TGB22" s="71"/>
      <c r="TGC22" s="71"/>
      <c r="TGD22" s="71"/>
      <c r="TGE22" s="71"/>
      <c r="TGF22" s="71"/>
      <c r="TGG22" s="71"/>
      <c r="TGH22" s="71"/>
      <c r="TGI22" s="71"/>
      <c r="TGJ22" s="71"/>
      <c r="TGK22" s="71"/>
      <c r="TGL22" s="71"/>
      <c r="TGM22" s="71"/>
      <c r="TGN22" s="71"/>
      <c r="TGO22" s="71"/>
      <c r="TGP22" s="71"/>
      <c r="TGQ22" s="71"/>
      <c r="TGR22" s="71"/>
      <c r="TGS22" s="71"/>
      <c r="TGT22" s="71"/>
      <c r="TGU22" s="71"/>
      <c r="TGV22" s="71"/>
      <c r="TGW22" s="71"/>
      <c r="TGX22" s="71"/>
      <c r="TGY22" s="71"/>
      <c r="TGZ22" s="71"/>
      <c r="THA22" s="71"/>
      <c r="THB22" s="71"/>
      <c r="THC22" s="71"/>
      <c r="THD22" s="71"/>
      <c r="THE22" s="71"/>
      <c r="THF22" s="71"/>
      <c r="THG22" s="71"/>
      <c r="THH22" s="71"/>
      <c r="THI22" s="71"/>
      <c r="THJ22" s="71"/>
      <c r="THK22" s="71"/>
      <c r="THL22" s="71"/>
      <c r="THM22" s="71"/>
      <c r="THN22" s="71"/>
      <c r="THO22" s="71"/>
      <c r="THP22" s="71"/>
      <c r="THQ22" s="71"/>
      <c r="THR22" s="71"/>
      <c r="THS22" s="71"/>
      <c r="THT22" s="71"/>
      <c r="THU22" s="71"/>
      <c r="THV22" s="71"/>
      <c r="THW22" s="71"/>
      <c r="THX22" s="71"/>
      <c r="THY22" s="71"/>
      <c r="THZ22" s="71"/>
      <c r="TIA22" s="71"/>
      <c r="TIB22" s="71"/>
      <c r="TIC22" s="71"/>
      <c r="TID22" s="71"/>
      <c r="TIE22" s="71"/>
      <c r="TIF22" s="71"/>
      <c r="TIG22" s="71"/>
      <c r="TIH22" s="71"/>
      <c r="TII22" s="71"/>
      <c r="TIJ22" s="71"/>
      <c r="TIK22" s="71"/>
      <c r="TIL22" s="71"/>
      <c r="TIM22" s="71"/>
      <c r="TIN22" s="71"/>
      <c r="TIO22" s="71"/>
      <c r="TIP22" s="71"/>
      <c r="TIQ22" s="71"/>
      <c r="TIR22" s="71"/>
      <c r="TIS22" s="71"/>
      <c r="TIT22" s="71"/>
      <c r="TIU22" s="71"/>
      <c r="TIV22" s="71"/>
      <c r="TIW22" s="71"/>
      <c r="TIX22" s="71"/>
      <c r="TIY22" s="71"/>
      <c r="TIZ22" s="71"/>
      <c r="TJA22" s="71"/>
      <c r="TJB22" s="71"/>
      <c r="TJC22" s="71"/>
      <c r="TJD22" s="71"/>
      <c r="TJE22" s="71"/>
      <c r="TJF22" s="71"/>
      <c r="TJG22" s="71"/>
      <c r="TJH22" s="71"/>
      <c r="TJI22" s="71"/>
      <c r="TJJ22" s="71"/>
      <c r="TJK22" s="71"/>
      <c r="TJL22" s="71"/>
      <c r="TJM22" s="71"/>
      <c r="TJN22" s="71"/>
      <c r="TJO22" s="71"/>
      <c r="TJP22" s="71"/>
      <c r="TJQ22" s="71"/>
      <c r="TJR22" s="71"/>
      <c r="TJS22" s="71"/>
      <c r="TJT22" s="71"/>
      <c r="TJU22" s="71"/>
      <c r="TJV22" s="71"/>
      <c r="TJW22" s="71"/>
      <c r="TJX22" s="71"/>
      <c r="TJY22" s="71"/>
      <c r="TJZ22" s="71"/>
      <c r="TKA22" s="71"/>
      <c r="TKB22" s="71"/>
      <c r="TKC22" s="71"/>
      <c r="TKD22" s="71"/>
      <c r="TKE22" s="71"/>
      <c r="TKF22" s="71"/>
      <c r="TKG22" s="71"/>
      <c r="TKH22" s="71"/>
      <c r="TKI22" s="71"/>
      <c r="TKJ22" s="71"/>
      <c r="TKK22" s="71"/>
      <c r="TKL22" s="71"/>
      <c r="TKM22" s="71"/>
      <c r="TKN22" s="71"/>
      <c r="TKO22" s="71"/>
      <c r="TKP22" s="71"/>
      <c r="TKQ22" s="71"/>
      <c r="TKR22" s="71"/>
      <c r="TKS22" s="71"/>
      <c r="TKT22" s="71"/>
      <c r="TKU22" s="71"/>
      <c r="TKV22" s="71"/>
      <c r="TKW22" s="71"/>
      <c r="TKX22" s="71"/>
      <c r="TKY22" s="71"/>
      <c r="TKZ22" s="71"/>
      <c r="TLA22" s="71"/>
      <c r="TLB22" s="71"/>
      <c r="TLC22" s="71"/>
      <c r="TLD22" s="71"/>
      <c r="TLE22" s="71"/>
      <c r="TLF22" s="71"/>
      <c r="TLG22" s="71"/>
      <c r="TLH22" s="71"/>
      <c r="TLI22" s="71"/>
      <c r="TLJ22" s="71"/>
      <c r="TLK22" s="71"/>
      <c r="TLL22" s="71"/>
      <c r="TLM22" s="71"/>
      <c r="TLN22" s="71"/>
      <c r="TLO22" s="71"/>
      <c r="TLP22" s="71"/>
      <c r="TLQ22" s="71"/>
      <c r="TLR22" s="71"/>
      <c r="TLS22" s="71"/>
      <c r="TLT22" s="71"/>
      <c r="TLU22" s="71"/>
      <c r="TLV22" s="71"/>
      <c r="TLW22" s="71"/>
      <c r="TLX22" s="71"/>
      <c r="TLY22" s="71"/>
      <c r="TLZ22" s="71"/>
      <c r="TMA22" s="71"/>
      <c r="TMB22" s="71"/>
      <c r="TMC22" s="71"/>
      <c r="TMD22" s="71"/>
      <c r="TME22" s="71"/>
      <c r="TMF22" s="71"/>
      <c r="TMG22" s="71"/>
      <c r="TMH22" s="71"/>
      <c r="TMI22" s="71"/>
      <c r="TMJ22" s="71"/>
      <c r="TMK22" s="71"/>
      <c r="TML22" s="71"/>
      <c r="TMM22" s="71"/>
      <c r="TMN22" s="71"/>
      <c r="TMO22" s="71"/>
      <c r="TMP22" s="71"/>
      <c r="TMQ22" s="71"/>
      <c r="TMR22" s="71"/>
      <c r="TMS22" s="71"/>
      <c r="TMT22" s="71"/>
      <c r="TMU22" s="71"/>
      <c r="TMV22" s="71"/>
      <c r="TMW22" s="71"/>
      <c r="TMX22" s="71"/>
      <c r="TMY22" s="71"/>
      <c r="TMZ22" s="71"/>
      <c r="TNA22" s="71"/>
      <c r="TNB22" s="71"/>
      <c r="TNC22" s="71"/>
      <c r="TND22" s="71"/>
      <c r="TNE22" s="71"/>
      <c r="TNF22" s="71"/>
      <c r="TNG22" s="71"/>
      <c r="TNH22" s="71"/>
      <c r="TNI22" s="71"/>
      <c r="TNJ22" s="71"/>
      <c r="TNK22" s="71"/>
      <c r="TNL22" s="71"/>
      <c r="TNM22" s="71"/>
      <c r="TNN22" s="71"/>
      <c r="TNO22" s="71"/>
      <c r="TNP22" s="71"/>
      <c r="TNQ22" s="71"/>
      <c r="TNR22" s="71"/>
      <c r="TNS22" s="71"/>
      <c r="TNT22" s="71"/>
      <c r="TNU22" s="71"/>
      <c r="TNV22" s="71"/>
      <c r="TNW22" s="71"/>
      <c r="TNX22" s="71"/>
      <c r="TNY22" s="71"/>
      <c r="TNZ22" s="71"/>
      <c r="TOA22" s="71"/>
      <c r="TOB22" s="71"/>
      <c r="TOC22" s="71"/>
      <c r="TOD22" s="71"/>
      <c r="TOE22" s="71"/>
      <c r="TOF22" s="71"/>
      <c r="TOG22" s="71"/>
      <c r="TOH22" s="71"/>
      <c r="TOI22" s="71"/>
      <c r="TOJ22" s="71"/>
      <c r="TOK22" s="71"/>
      <c r="TOL22" s="71"/>
      <c r="TOM22" s="71"/>
      <c r="TON22" s="71"/>
      <c r="TOO22" s="71"/>
      <c r="TOP22" s="71"/>
      <c r="TOQ22" s="71"/>
      <c r="TOR22" s="71"/>
      <c r="TOS22" s="71"/>
      <c r="TOT22" s="71"/>
      <c r="TOU22" s="71"/>
      <c r="TOV22" s="71"/>
      <c r="TOW22" s="71"/>
      <c r="TOX22" s="71"/>
      <c r="TOY22" s="71"/>
      <c r="TOZ22" s="71"/>
      <c r="TPA22" s="71"/>
      <c r="TPB22" s="71"/>
      <c r="TPC22" s="71"/>
      <c r="TPD22" s="71"/>
      <c r="TPE22" s="71"/>
      <c r="TPF22" s="71"/>
      <c r="TPG22" s="71"/>
      <c r="TPH22" s="71"/>
      <c r="TPI22" s="71"/>
      <c r="TPJ22" s="71"/>
      <c r="TPK22" s="71"/>
      <c r="TPL22" s="71"/>
      <c r="TPM22" s="71"/>
      <c r="TPN22" s="71"/>
      <c r="TPO22" s="71"/>
      <c r="TPP22" s="71"/>
      <c r="TPQ22" s="71"/>
      <c r="TPR22" s="71"/>
      <c r="TPS22" s="71"/>
      <c r="TPT22" s="71"/>
      <c r="TPU22" s="71"/>
      <c r="TPV22" s="71"/>
      <c r="TPW22" s="71"/>
      <c r="TPX22" s="71"/>
      <c r="TPY22" s="71"/>
      <c r="TPZ22" s="71"/>
      <c r="TQA22" s="71"/>
      <c r="TQB22" s="71"/>
      <c r="TQC22" s="71"/>
      <c r="TQD22" s="71"/>
      <c r="TQE22" s="71"/>
      <c r="TQF22" s="71"/>
      <c r="TQG22" s="71"/>
      <c r="TQH22" s="71"/>
      <c r="TQI22" s="71"/>
      <c r="TQJ22" s="71"/>
      <c r="TQK22" s="71"/>
      <c r="TQL22" s="71"/>
      <c r="TQM22" s="71"/>
      <c r="TQN22" s="71"/>
      <c r="TQO22" s="71"/>
      <c r="TQP22" s="71"/>
      <c r="TQQ22" s="71"/>
      <c r="TQR22" s="71"/>
      <c r="TQS22" s="71"/>
      <c r="TQT22" s="71"/>
      <c r="TQU22" s="71"/>
      <c r="TQV22" s="71"/>
      <c r="TQW22" s="71"/>
      <c r="TQX22" s="71"/>
      <c r="TQY22" s="71"/>
      <c r="TQZ22" s="71"/>
      <c r="TRA22" s="71"/>
      <c r="TRB22" s="71"/>
      <c r="TRC22" s="71"/>
      <c r="TRD22" s="71"/>
      <c r="TRE22" s="71"/>
      <c r="TRF22" s="71"/>
      <c r="TRG22" s="71"/>
      <c r="TRH22" s="71"/>
      <c r="TRI22" s="71"/>
      <c r="TRJ22" s="71"/>
      <c r="TRK22" s="71"/>
      <c r="TRL22" s="71"/>
      <c r="TRM22" s="71"/>
      <c r="TRN22" s="71"/>
      <c r="TRO22" s="71"/>
      <c r="TRP22" s="71"/>
      <c r="TRQ22" s="71"/>
      <c r="TRR22" s="71"/>
      <c r="TRS22" s="71"/>
      <c r="TRT22" s="71"/>
      <c r="TRU22" s="71"/>
      <c r="TRV22" s="71"/>
      <c r="TRW22" s="71"/>
      <c r="TRX22" s="71"/>
      <c r="TRY22" s="71"/>
      <c r="TRZ22" s="71"/>
      <c r="TSA22" s="71"/>
      <c r="TSB22" s="71"/>
      <c r="TSC22" s="71"/>
      <c r="TSD22" s="71"/>
      <c r="TSE22" s="71"/>
      <c r="TSF22" s="71"/>
      <c r="TSG22" s="71"/>
      <c r="TSH22" s="71"/>
      <c r="TSI22" s="71"/>
      <c r="TSJ22" s="71"/>
      <c r="TSK22" s="71"/>
      <c r="TSL22" s="71"/>
      <c r="TSM22" s="71"/>
      <c r="TSN22" s="71"/>
      <c r="TSO22" s="71"/>
      <c r="TSP22" s="71"/>
      <c r="TSQ22" s="71"/>
      <c r="TSR22" s="71"/>
      <c r="TSS22" s="71"/>
      <c r="TST22" s="71"/>
      <c r="TSU22" s="71"/>
      <c r="TSV22" s="71"/>
      <c r="TSW22" s="71"/>
      <c r="TSX22" s="71"/>
      <c r="TSY22" s="71"/>
      <c r="TSZ22" s="71"/>
      <c r="TTA22" s="71"/>
      <c r="TTB22" s="71"/>
      <c r="TTC22" s="71"/>
      <c r="TTD22" s="71"/>
      <c r="TTE22" s="71"/>
      <c r="TTF22" s="71"/>
      <c r="TTG22" s="71"/>
      <c r="TTH22" s="71"/>
      <c r="TTI22" s="71"/>
      <c r="TTJ22" s="71"/>
      <c r="TTK22" s="71"/>
      <c r="TTL22" s="71"/>
      <c r="TTM22" s="71"/>
      <c r="TTN22" s="71"/>
      <c r="TTO22" s="71"/>
      <c r="TTP22" s="71"/>
      <c r="TTQ22" s="71"/>
      <c r="TTR22" s="71"/>
      <c r="TTS22" s="71"/>
      <c r="TTT22" s="71"/>
      <c r="TTU22" s="71"/>
      <c r="TTV22" s="71"/>
      <c r="TTW22" s="71"/>
      <c r="TTX22" s="71"/>
      <c r="TTY22" s="71"/>
      <c r="TTZ22" s="71"/>
      <c r="TUA22" s="71"/>
      <c r="TUB22" s="71"/>
      <c r="TUC22" s="71"/>
      <c r="TUD22" s="71"/>
      <c r="TUE22" s="71"/>
      <c r="TUF22" s="71"/>
      <c r="TUG22" s="71"/>
      <c r="TUH22" s="71"/>
      <c r="TUI22" s="71"/>
      <c r="TUJ22" s="71"/>
      <c r="TUK22" s="71"/>
      <c r="TUL22" s="71"/>
      <c r="TUM22" s="71"/>
      <c r="TUN22" s="71"/>
      <c r="TUO22" s="71"/>
      <c r="TUP22" s="71"/>
      <c r="TUQ22" s="71"/>
      <c r="TUR22" s="71"/>
      <c r="TUS22" s="71"/>
      <c r="TUT22" s="71"/>
      <c r="TUU22" s="71"/>
      <c r="TUV22" s="71"/>
      <c r="TUW22" s="71"/>
      <c r="TUX22" s="71"/>
      <c r="TUY22" s="71"/>
      <c r="TUZ22" s="71"/>
      <c r="TVA22" s="71"/>
      <c r="TVB22" s="71"/>
      <c r="TVC22" s="71"/>
      <c r="TVD22" s="71"/>
      <c r="TVE22" s="71"/>
      <c r="TVF22" s="71"/>
      <c r="TVG22" s="71"/>
      <c r="TVH22" s="71"/>
      <c r="TVI22" s="71"/>
      <c r="TVJ22" s="71"/>
      <c r="TVK22" s="71"/>
      <c r="TVL22" s="71"/>
      <c r="TVM22" s="71"/>
      <c r="TVN22" s="71"/>
      <c r="TVO22" s="71"/>
      <c r="TVP22" s="71"/>
      <c r="TVQ22" s="71"/>
      <c r="TVR22" s="71"/>
      <c r="TVS22" s="71"/>
      <c r="TVT22" s="71"/>
      <c r="TVU22" s="71"/>
      <c r="TVV22" s="71"/>
      <c r="TVW22" s="71"/>
      <c r="TVX22" s="71"/>
      <c r="TVY22" s="71"/>
      <c r="TVZ22" s="71"/>
      <c r="TWA22" s="71"/>
      <c r="TWB22" s="71"/>
      <c r="TWC22" s="71"/>
      <c r="TWD22" s="71"/>
      <c r="TWE22" s="71"/>
      <c r="TWF22" s="71"/>
      <c r="TWG22" s="71"/>
      <c r="TWH22" s="71"/>
      <c r="TWI22" s="71"/>
      <c r="TWJ22" s="71"/>
      <c r="TWK22" s="71"/>
      <c r="TWL22" s="71"/>
      <c r="TWM22" s="71"/>
      <c r="TWN22" s="71"/>
      <c r="TWO22" s="71"/>
      <c r="TWP22" s="71"/>
      <c r="TWQ22" s="71"/>
      <c r="TWR22" s="71"/>
      <c r="TWS22" s="71"/>
      <c r="TWT22" s="71"/>
      <c r="TWU22" s="71"/>
      <c r="TWV22" s="71"/>
      <c r="TWW22" s="71"/>
      <c r="TWX22" s="71"/>
      <c r="TWY22" s="71"/>
      <c r="TWZ22" s="71"/>
      <c r="TXA22" s="71"/>
      <c r="TXB22" s="71"/>
      <c r="TXC22" s="71"/>
      <c r="TXD22" s="71"/>
      <c r="TXE22" s="71"/>
      <c r="TXF22" s="71"/>
      <c r="TXG22" s="71"/>
      <c r="TXH22" s="71"/>
      <c r="TXI22" s="71"/>
      <c r="TXJ22" s="71"/>
      <c r="TXK22" s="71"/>
      <c r="TXL22" s="71"/>
      <c r="TXM22" s="71"/>
      <c r="TXN22" s="71"/>
      <c r="TXO22" s="71"/>
      <c r="TXP22" s="71"/>
      <c r="TXQ22" s="71"/>
      <c r="TXR22" s="71"/>
      <c r="TXS22" s="71"/>
      <c r="TXT22" s="71"/>
      <c r="TXU22" s="71"/>
      <c r="TXV22" s="71"/>
      <c r="TXW22" s="71"/>
      <c r="TXX22" s="71"/>
      <c r="TXY22" s="71"/>
      <c r="TXZ22" s="71"/>
      <c r="TYA22" s="71"/>
      <c r="TYB22" s="71"/>
      <c r="TYC22" s="71"/>
      <c r="TYD22" s="71"/>
      <c r="TYE22" s="71"/>
      <c r="TYF22" s="71"/>
      <c r="TYG22" s="71"/>
      <c r="TYH22" s="71"/>
      <c r="TYI22" s="71"/>
      <c r="TYJ22" s="71"/>
      <c r="TYK22" s="71"/>
      <c r="TYL22" s="71"/>
      <c r="TYM22" s="71"/>
      <c r="TYN22" s="71"/>
      <c r="TYO22" s="71"/>
      <c r="TYP22" s="71"/>
      <c r="TYQ22" s="71"/>
      <c r="TYR22" s="71"/>
      <c r="TYS22" s="71"/>
      <c r="TYT22" s="71"/>
      <c r="TYU22" s="71"/>
      <c r="TYV22" s="71"/>
      <c r="TYW22" s="71"/>
      <c r="TYX22" s="71"/>
      <c r="TYY22" s="71"/>
      <c r="TYZ22" s="71"/>
      <c r="TZA22" s="71"/>
      <c r="TZB22" s="71"/>
      <c r="TZC22" s="71"/>
      <c r="TZD22" s="71"/>
      <c r="TZE22" s="71"/>
      <c r="TZF22" s="71"/>
      <c r="TZG22" s="71"/>
      <c r="TZH22" s="71"/>
      <c r="TZI22" s="71"/>
      <c r="TZJ22" s="71"/>
      <c r="TZK22" s="71"/>
      <c r="TZL22" s="71"/>
      <c r="TZM22" s="71"/>
      <c r="TZN22" s="71"/>
      <c r="TZO22" s="71"/>
      <c r="TZP22" s="71"/>
      <c r="TZQ22" s="71"/>
      <c r="TZR22" s="71"/>
      <c r="TZS22" s="71"/>
      <c r="TZT22" s="71"/>
      <c r="TZU22" s="71"/>
      <c r="TZV22" s="71"/>
      <c r="TZW22" s="71"/>
      <c r="TZX22" s="71"/>
      <c r="TZY22" s="71"/>
      <c r="TZZ22" s="71"/>
      <c r="UAA22" s="71"/>
      <c r="UAB22" s="71"/>
      <c r="UAC22" s="71"/>
      <c r="UAD22" s="71"/>
      <c r="UAE22" s="71"/>
      <c r="UAF22" s="71"/>
      <c r="UAG22" s="71"/>
      <c r="UAH22" s="71"/>
      <c r="UAI22" s="71"/>
      <c r="UAJ22" s="71"/>
      <c r="UAK22" s="71"/>
      <c r="UAL22" s="71"/>
      <c r="UAM22" s="71"/>
      <c r="UAN22" s="71"/>
      <c r="UAO22" s="71"/>
      <c r="UAP22" s="71"/>
      <c r="UAQ22" s="71"/>
      <c r="UAR22" s="71"/>
      <c r="UAS22" s="71"/>
      <c r="UAT22" s="71"/>
      <c r="UAU22" s="71"/>
      <c r="UAV22" s="71"/>
      <c r="UAW22" s="71"/>
      <c r="UAX22" s="71"/>
      <c r="UAY22" s="71"/>
      <c r="UAZ22" s="71"/>
      <c r="UBA22" s="71"/>
      <c r="UBB22" s="71"/>
      <c r="UBC22" s="71"/>
      <c r="UBD22" s="71"/>
      <c r="UBE22" s="71"/>
      <c r="UBF22" s="71"/>
      <c r="UBG22" s="71"/>
      <c r="UBH22" s="71"/>
      <c r="UBI22" s="71"/>
      <c r="UBJ22" s="71"/>
      <c r="UBK22" s="71"/>
      <c r="UBL22" s="71"/>
      <c r="UBM22" s="71"/>
      <c r="UBN22" s="71"/>
      <c r="UBO22" s="71"/>
      <c r="UBP22" s="71"/>
      <c r="UBQ22" s="71"/>
      <c r="UBR22" s="71"/>
      <c r="UBS22" s="71"/>
      <c r="UBT22" s="71"/>
      <c r="UBU22" s="71"/>
      <c r="UBV22" s="71"/>
      <c r="UBW22" s="71"/>
      <c r="UBX22" s="71"/>
      <c r="UBY22" s="71"/>
      <c r="UBZ22" s="71"/>
      <c r="UCA22" s="71"/>
      <c r="UCB22" s="71"/>
      <c r="UCC22" s="71"/>
      <c r="UCD22" s="71"/>
      <c r="UCE22" s="71"/>
      <c r="UCF22" s="71"/>
      <c r="UCG22" s="71"/>
      <c r="UCH22" s="71"/>
      <c r="UCI22" s="71"/>
      <c r="UCJ22" s="71"/>
      <c r="UCK22" s="71"/>
      <c r="UCL22" s="71"/>
      <c r="UCM22" s="71"/>
      <c r="UCN22" s="71"/>
      <c r="UCO22" s="71"/>
      <c r="UCP22" s="71"/>
      <c r="UCQ22" s="71"/>
      <c r="UCR22" s="71"/>
      <c r="UCS22" s="71"/>
      <c r="UCT22" s="71"/>
      <c r="UCU22" s="71"/>
      <c r="UCV22" s="71"/>
      <c r="UCW22" s="71"/>
      <c r="UCX22" s="71"/>
      <c r="UCY22" s="71"/>
      <c r="UCZ22" s="71"/>
      <c r="UDA22" s="71"/>
      <c r="UDB22" s="71"/>
      <c r="UDC22" s="71"/>
      <c r="UDD22" s="71"/>
      <c r="UDE22" s="71"/>
      <c r="UDF22" s="71"/>
      <c r="UDG22" s="71"/>
      <c r="UDH22" s="71"/>
      <c r="UDI22" s="71"/>
      <c r="UDJ22" s="71"/>
      <c r="UDK22" s="71"/>
      <c r="UDL22" s="71"/>
      <c r="UDM22" s="71"/>
      <c r="UDN22" s="71"/>
      <c r="UDO22" s="71"/>
      <c r="UDP22" s="71"/>
      <c r="UDQ22" s="71"/>
      <c r="UDR22" s="71"/>
      <c r="UDS22" s="71"/>
      <c r="UDT22" s="71"/>
      <c r="UDU22" s="71"/>
      <c r="UDV22" s="71"/>
      <c r="UDW22" s="71"/>
      <c r="UDX22" s="71"/>
      <c r="UDY22" s="71"/>
      <c r="UDZ22" s="71"/>
      <c r="UEA22" s="71"/>
      <c r="UEB22" s="71"/>
      <c r="UEC22" s="71"/>
      <c r="UED22" s="71"/>
      <c r="UEE22" s="71"/>
      <c r="UEF22" s="71"/>
      <c r="UEG22" s="71"/>
      <c r="UEH22" s="71"/>
      <c r="UEI22" s="71"/>
      <c r="UEJ22" s="71"/>
      <c r="UEK22" s="71"/>
      <c r="UEL22" s="71"/>
      <c r="UEM22" s="71"/>
      <c r="UEN22" s="71"/>
      <c r="UEO22" s="71"/>
      <c r="UEP22" s="71"/>
      <c r="UEQ22" s="71"/>
      <c r="UER22" s="71"/>
      <c r="UES22" s="71"/>
      <c r="UET22" s="71"/>
      <c r="UEU22" s="71"/>
      <c r="UEV22" s="71"/>
      <c r="UEW22" s="71"/>
      <c r="UEX22" s="71"/>
      <c r="UEY22" s="71"/>
      <c r="UEZ22" s="71"/>
      <c r="UFA22" s="71"/>
      <c r="UFB22" s="71"/>
      <c r="UFC22" s="71"/>
      <c r="UFD22" s="71"/>
      <c r="UFE22" s="71"/>
      <c r="UFF22" s="71"/>
      <c r="UFG22" s="71"/>
      <c r="UFH22" s="71"/>
      <c r="UFI22" s="71"/>
      <c r="UFJ22" s="71"/>
      <c r="UFK22" s="71"/>
      <c r="UFL22" s="71"/>
      <c r="UFM22" s="71"/>
      <c r="UFN22" s="71"/>
      <c r="UFO22" s="71"/>
      <c r="UFP22" s="71"/>
      <c r="UFQ22" s="71"/>
      <c r="UFR22" s="71"/>
      <c r="UFS22" s="71"/>
      <c r="UFT22" s="71"/>
      <c r="UFU22" s="71"/>
      <c r="UFV22" s="71"/>
      <c r="UFW22" s="71"/>
      <c r="UFX22" s="71"/>
      <c r="UFY22" s="71"/>
      <c r="UFZ22" s="71"/>
      <c r="UGA22" s="71"/>
      <c r="UGB22" s="71"/>
      <c r="UGC22" s="71"/>
      <c r="UGD22" s="71"/>
      <c r="UGE22" s="71"/>
      <c r="UGF22" s="71"/>
      <c r="UGG22" s="71"/>
      <c r="UGH22" s="71"/>
      <c r="UGI22" s="71"/>
      <c r="UGJ22" s="71"/>
      <c r="UGK22" s="71"/>
      <c r="UGL22" s="71"/>
      <c r="UGM22" s="71"/>
      <c r="UGN22" s="71"/>
      <c r="UGO22" s="71"/>
      <c r="UGP22" s="71"/>
      <c r="UGQ22" s="71"/>
      <c r="UGR22" s="71"/>
      <c r="UGS22" s="71"/>
      <c r="UGT22" s="71"/>
      <c r="UGU22" s="71"/>
      <c r="UGV22" s="71"/>
      <c r="UGW22" s="71"/>
      <c r="UGX22" s="71"/>
      <c r="UGY22" s="71"/>
      <c r="UGZ22" s="71"/>
      <c r="UHA22" s="71"/>
      <c r="UHB22" s="71"/>
      <c r="UHC22" s="71"/>
      <c r="UHD22" s="71"/>
      <c r="UHE22" s="71"/>
      <c r="UHF22" s="71"/>
      <c r="UHG22" s="71"/>
      <c r="UHH22" s="71"/>
      <c r="UHI22" s="71"/>
      <c r="UHJ22" s="71"/>
      <c r="UHK22" s="71"/>
      <c r="UHL22" s="71"/>
      <c r="UHM22" s="71"/>
      <c r="UHN22" s="71"/>
      <c r="UHO22" s="71"/>
      <c r="UHP22" s="71"/>
      <c r="UHQ22" s="71"/>
      <c r="UHR22" s="71"/>
      <c r="UHS22" s="71"/>
      <c r="UHT22" s="71"/>
      <c r="UHU22" s="71"/>
      <c r="UHV22" s="71"/>
      <c r="UHW22" s="71"/>
      <c r="UHX22" s="71"/>
      <c r="UHY22" s="71"/>
      <c r="UHZ22" s="71"/>
      <c r="UIA22" s="71"/>
      <c r="UIB22" s="71"/>
      <c r="UIC22" s="71"/>
      <c r="UID22" s="71"/>
      <c r="UIE22" s="71"/>
      <c r="UIF22" s="71"/>
      <c r="UIG22" s="71"/>
      <c r="UIH22" s="71"/>
      <c r="UII22" s="71"/>
      <c r="UIJ22" s="71"/>
      <c r="UIK22" s="71"/>
      <c r="UIL22" s="71"/>
      <c r="UIM22" s="71"/>
      <c r="UIN22" s="71"/>
      <c r="UIO22" s="71"/>
      <c r="UIP22" s="71"/>
      <c r="UIQ22" s="71"/>
      <c r="UIR22" s="71"/>
      <c r="UIS22" s="71"/>
      <c r="UIT22" s="71"/>
      <c r="UIU22" s="71"/>
      <c r="UIV22" s="71"/>
      <c r="UIW22" s="71"/>
      <c r="UIX22" s="71"/>
      <c r="UIY22" s="71"/>
      <c r="UIZ22" s="71"/>
      <c r="UJA22" s="71"/>
      <c r="UJB22" s="71"/>
      <c r="UJC22" s="71"/>
      <c r="UJD22" s="71"/>
      <c r="UJE22" s="71"/>
      <c r="UJF22" s="71"/>
      <c r="UJG22" s="71"/>
      <c r="UJH22" s="71"/>
      <c r="UJI22" s="71"/>
      <c r="UJJ22" s="71"/>
      <c r="UJK22" s="71"/>
      <c r="UJL22" s="71"/>
      <c r="UJM22" s="71"/>
      <c r="UJN22" s="71"/>
      <c r="UJO22" s="71"/>
      <c r="UJP22" s="71"/>
      <c r="UJQ22" s="71"/>
      <c r="UJR22" s="71"/>
      <c r="UJS22" s="71"/>
      <c r="UJT22" s="71"/>
      <c r="UJU22" s="71"/>
      <c r="UJV22" s="71"/>
      <c r="UJW22" s="71"/>
      <c r="UJX22" s="71"/>
      <c r="UJY22" s="71"/>
      <c r="UJZ22" s="71"/>
      <c r="UKA22" s="71"/>
      <c r="UKB22" s="71"/>
      <c r="UKC22" s="71"/>
      <c r="UKD22" s="71"/>
      <c r="UKE22" s="71"/>
      <c r="UKF22" s="71"/>
      <c r="UKG22" s="71"/>
      <c r="UKH22" s="71"/>
      <c r="UKI22" s="71"/>
      <c r="UKJ22" s="71"/>
      <c r="UKK22" s="71"/>
      <c r="UKL22" s="71"/>
      <c r="UKM22" s="71"/>
      <c r="UKN22" s="71"/>
      <c r="UKO22" s="71"/>
      <c r="UKP22" s="71"/>
      <c r="UKQ22" s="71"/>
      <c r="UKR22" s="71"/>
      <c r="UKS22" s="71"/>
      <c r="UKT22" s="71"/>
      <c r="UKU22" s="71"/>
      <c r="UKV22" s="71"/>
      <c r="UKW22" s="71"/>
      <c r="UKX22" s="71"/>
      <c r="UKY22" s="71"/>
      <c r="UKZ22" s="71"/>
      <c r="ULA22" s="71"/>
      <c r="ULB22" s="71"/>
      <c r="ULC22" s="71"/>
      <c r="ULD22" s="71"/>
      <c r="ULE22" s="71"/>
      <c r="ULF22" s="71"/>
      <c r="ULG22" s="71"/>
      <c r="ULH22" s="71"/>
      <c r="ULI22" s="71"/>
      <c r="ULJ22" s="71"/>
      <c r="ULK22" s="71"/>
      <c r="ULL22" s="71"/>
      <c r="ULM22" s="71"/>
      <c r="ULN22" s="71"/>
      <c r="ULO22" s="71"/>
      <c r="ULP22" s="71"/>
      <c r="ULQ22" s="71"/>
      <c r="ULR22" s="71"/>
      <c r="ULS22" s="71"/>
      <c r="ULT22" s="71"/>
      <c r="ULU22" s="71"/>
      <c r="ULV22" s="71"/>
      <c r="ULW22" s="71"/>
      <c r="ULX22" s="71"/>
      <c r="ULY22" s="71"/>
      <c r="ULZ22" s="71"/>
      <c r="UMA22" s="71"/>
      <c r="UMB22" s="71"/>
      <c r="UMC22" s="71"/>
      <c r="UMD22" s="71"/>
      <c r="UME22" s="71"/>
      <c r="UMF22" s="71"/>
      <c r="UMG22" s="71"/>
      <c r="UMH22" s="71"/>
      <c r="UMI22" s="71"/>
      <c r="UMJ22" s="71"/>
      <c r="UMK22" s="71"/>
      <c r="UML22" s="71"/>
      <c r="UMM22" s="71"/>
      <c r="UMN22" s="71"/>
      <c r="UMO22" s="71"/>
      <c r="UMP22" s="71"/>
      <c r="UMQ22" s="71"/>
      <c r="UMR22" s="71"/>
      <c r="UMS22" s="71"/>
      <c r="UMT22" s="71"/>
      <c r="UMU22" s="71"/>
      <c r="UMV22" s="71"/>
      <c r="UMW22" s="71"/>
      <c r="UMX22" s="71"/>
      <c r="UMY22" s="71"/>
      <c r="UMZ22" s="71"/>
      <c r="UNA22" s="71"/>
      <c r="UNB22" s="71"/>
      <c r="UNC22" s="71"/>
      <c r="UND22" s="71"/>
      <c r="UNE22" s="71"/>
      <c r="UNF22" s="71"/>
      <c r="UNG22" s="71"/>
      <c r="UNH22" s="71"/>
      <c r="UNI22" s="71"/>
      <c r="UNJ22" s="71"/>
      <c r="UNK22" s="71"/>
      <c r="UNL22" s="71"/>
      <c r="UNM22" s="71"/>
      <c r="UNN22" s="71"/>
      <c r="UNO22" s="71"/>
      <c r="UNP22" s="71"/>
      <c r="UNQ22" s="71"/>
      <c r="UNR22" s="71"/>
      <c r="UNS22" s="71"/>
      <c r="UNT22" s="71"/>
      <c r="UNU22" s="71"/>
      <c r="UNV22" s="71"/>
      <c r="UNW22" s="71"/>
      <c r="UNX22" s="71"/>
      <c r="UNY22" s="71"/>
      <c r="UNZ22" s="71"/>
      <c r="UOA22" s="71"/>
      <c r="UOB22" s="71"/>
      <c r="UOC22" s="71"/>
      <c r="UOD22" s="71"/>
      <c r="UOE22" s="71"/>
      <c r="UOF22" s="71"/>
      <c r="UOG22" s="71"/>
      <c r="UOH22" s="71"/>
      <c r="UOI22" s="71"/>
      <c r="UOJ22" s="71"/>
      <c r="UOK22" s="71"/>
      <c r="UOL22" s="71"/>
      <c r="UOM22" s="71"/>
      <c r="UON22" s="71"/>
      <c r="UOO22" s="71"/>
      <c r="UOP22" s="71"/>
      <c r="UOQ22" s="71"/>
      <c r="UOR22" s="71"/>
      <c r="UOS22" s="71"/>
      <c r="UOT22" s="71"/>
      <c r="UOU22" s="71"/>
      <c r="UOV22" s="71"/>
      <c r="UOW22" s="71"/>
      <c r="UOX22" s="71"/>
      <c r="UOY22" s="71"/>
      <c r="UOZ22" s="71"/>
      <c r="UPA22" s="71"/>
      <c r="UPB22" s="71"/>
      <c r="UPC22" s="71"/>
      <c r="UPD22" s="71"/>
      <c r="UPE22" s="71"/>
      <c r="UPF22" s="71"/>
      <c r="UPG22" s="71"/>
      <c r="UPH22" s="71"/>
      <c r="UPI22" s="71"/>
      <c r="UPJ22" s="71"/>
      <c r="UPK22" s="71"/>
      <c r="UPL22" s="71"/>
      <c r="UPM22" s="71"/>
      <c r="UPN22" s="71"/>
      <c r="UPO22" s="71"/>
      <c r="UPP22" s="71"/>
      <c r="UPQ22" s="71"/>
      <c r="UPR22" s="71"/>
      <c r="UPS22" s="71"/>
      <c r="UPT22" s="71"/>
      <c r="UPU22" s="71"/>
      <c r="UPV22" s="71"/>
      <c r="UPW22" s="71"/>
      <c r="UPX22" s="71"/>
      <c r="UPY22" s="71"/>
      <c r="UPZ22" s="71"/>
      <c r="UQA22" s="71"/>
      <c r="UQB22" s="71"/>
      <c r="UQC22" s="71"/>
      <c r="UQD22" s="71"/>
      <c r="UQE22" s="71"/>
      <c r="UQF22" s="71"/>
      <c r="UQG22" s="71"/>
      <c r="UQH22" s="71"/>
      <c r="UQI22" s="71"/>
      <c r="UQJ22" s="71"/>
      <c r="UQK22" s="71"/>
      <c r="UQL22" s="71"/>
      <c r="UQM22" s="71"/>
      <c r="UQN22" s="71"/>
      <c r="UQO22" s="71"/>
      <c r="UQP22" s="71"/>
      <c r="UQQ22" s="71"/>
      <c r="UQR22" s="71"/>
      <c r="UQS22" s="71"/>
      <c r="UQT22" s="71"/>
      <c r="UQU22" s="71"/>
      <c r="UQV22" s="71"/>
      <c r="UQW22" s="71"/>
      <c r="UQX22" s="71"/>
      <c r="UQY22" s="71"/>
      <c r="UQZ22" s="71"/>
      <c r="URA22" s="71"/>
      <c r="URB22" s="71"/>
      <c r="URC22" s="71"/>
      <c r="URD22" s="71"/>
      <c r="URE22" s="71"/>
      <c r="URF22" s="71"/>
      <c r="URG22" s="71"/>
      <c r="URH22" s="71"/>
      <c r="URI22" s="71"/>
      <c r="URJ22" s="71"/>
      <c r="URK22" s="71"/>
      <c r="URL22" s="71"/>
      <c r="URM22" s="71"/>
      <c r="URN22" s="71"/>
      <c r="URO22" s="71"/>
      <c r="URP22" s="71"/>
      <c r="URQ22" s="71"/>
      <c r="URR22" s="71"/>
      <c r="URS22" s="71"/>
      <c r="URT22" s="71"/>
      <c r="URU22" s="71"/>
      <c r="URV22" s="71"/>
      <c r="URW22" s="71"/>
      <c r="URX22" s="71"/>
      <c r="URY22" s="71"/>
      <c r="URZ22" s="71"/>
      <c r="USA22" s="71"/>
      <c r="USB22" s="71"/>
      <c r="USC22" s="71"/>
      <c r="USD22" s="71"/>
      <c r="USE22" s="71"/>
      <c r="USF22" s="71"/>
      <c r="USG22" s="71"/>
      <c r="USH22" s="71"/>
      <c r="USI22" s="71"/>
      <c r="USJ22" s="71"/>
      <c r="USK22" s="71"/>
      <c r="USL22" s="71"/>
      <c r="USM22" s="71"/>
      <c r="USN22" s="71"/>
      <c r="USO22" s="71"/>
      <c r="USP22" s="71"/>
      <c r="USQ22" s="71"/>
      <c r="USR22" s="71"/>
      <c r="USS22" s="71"/>
      <c r="UST22" s="71"/>
      <c r="USU22" s="71"/>
      <c r="USV22" s="71"/>
      <c r="USW22" s="71"/>
      <c r="USX22" s="71"/>
      <c r="USY22" s="71"/>
      <c r="USZ22" s="71"/>
      <c r="UTA22" s="71"/>
      <c r="UTB22" s="71"/>
      <c r="UTC22" s="71"/>
      <c r="UTD22" s="71"/>
      <c r="UTE22" s="71"/>
      <c r="UTF22" s="71"/>
      <c r="UTG22" s="71"/>
      <c r="UTH22" s="71"/>
      <c r="UTI22" s="71"/>
      <c r="UTJ22" s="71"/>
      <c r="UTK22" s="71"/>
      <c r="UTL22" s="71"/>
      <c r="UTM22" s="71"/>
      <c r="UTN22" s="71"/>
      <c r="UTO22" s="71"/>
      <c r="UTP22" s="71"/>
      <c r="UTQ22" s="71"/>
      <c r="UTR22" s="71"/>
      <c r="UTS22" s="71"/>
      <c r="UTT22" s="71"/>
      <c r="UTU22" s="71"/>
      <c r="UTV22" s="71"/>
      <c r="UTW22" s="71"/>
      <c r="UTX22" s="71"/>
      <c r="UTY22" s="71"/>
      <c r="UTZ22" s="71"/>
      <c r="UUA22" s="71"/>
      <c r="UUB22" s="71"/>
      <c r="UUC22" s="71"/>
      <c r="UUD22" s="71"/>
      <c r="UUE22" s="71"/>
      <c r="UUF22" s="71"/>
      <c r="UUG22" s="71"/>
      <c r="UUH22" s="71"/>
      <c r="UUI22" s="71"/>
      <c r="UUJ22" s="71"/>
      <c r="UUK22" s="71"/>
      <c r="UUL22" s="71"/>
      <c r="UUM22" s="71"/>
      <c r="UUN22" s="71"/>
      <c r="UUO22" s="71"/>
      <c r="UUP22" s="71"/>
      <c r="UUQ22" s="71"/>
      <c r="UUR22" s="71"/>
      <c r="UUS22" s="71"/>
      <c r="UUT22" s="71"/>
      <c r="UUU22" s="71"/>
      <c r="UUV22" s="71"/>
      <c r="UUW22" s="71"/>
      <c r="UUX22" s="71"/>
      <c r="UUY22" s="71"/>
      <c r="UUZ22" s="71"/>
      <c r="UVA22" s="71"/>
      <c r="UVB22" s="71"/>
      <c r="UVC22" s="71"/>
      <c r="UVD22" s="71"/>
      <c r="UVE22" s="71"/>
      <c r="UVF22" s="71"/>
      <c r="UVG22" s="71"/>
      <c r="UVH22" s="71"/>
      <c r="UVI22" s="71"/>
      <c r="UVJ22" s="71"/>
      <c r="UVK22" s="71"/>
      <c r="UVL22" s="71"/>
      <c r="UVM22" s="71"/>
      <c r="UVN22" s="71"/>
      <c r="UVO22" s="71"/>
      <c r="UVP22" s="71"/>
      <c r="UVQ22" s="71"/>
      <c r="UVR22" s="71"/>
      <c r="UVS22" s="71"/>
      <c r="UVT22" s="71"/>
      <c r="UVU22" s="71"/>
      <c r="UVV22" s="71"/>
      <c r="UVW22" s="71"/>
      <c r="UVX22" s="71"/>
      <c r="UVY22" s="71"/>
      <c r="UVZ22" s="71"/>
      <c r="UWA22" s="71"/>
      <c r="UWB22" s="71"/>
      <c r="UWC22" s="71"/>
      <c r="UWD22" s="71"/>
      <c r="UWE22" s="71"/>
      <c r="UWF22" s="71"/>
      <c r="UWG22" s="71"/>
      <c r="UWH22" s="71"/>
      <c r="UWI22" s="71"/>
      <c r="UWJ22" s="71"/>
      <c r="UWK22" s="71"/>
      <c r="UWL22" s="71"/>
      <c r="UWM22" s="71"/>
      <c r="UWN22" s="71"/>
      <c r="UWO22" s="71"/>
      <c r="UWP22" s="71"/>
      <c r="UWQ22" s="71"/>
      <c r="UWR22" s="71"/>
      <c r="UWS22" s="71"/>
      <c r="UWT22" s="71"/>
      <c r="UWU22" s="71"/>
      <c r="UWV22" s="71"/>
      <c r="UWW22" s="71"/>
      <c r="UWX22" s="71"/>
      <c r="UWY22" s="71"/>
      <c r="UWZ22" s="71"/>
      <c r="UXA22" s="71"/>
      <c r="UXB22" s="71"/>
      <c r="UXC22" s="71"/>
      <c r="UXD22" s="71"/>
      <c r="UXE22" s="71"/>
      <c r="UXF22" s="71"/>
      <c r="UXG22" s="71"/>
      <c r="UXH22" s="71"/>
      <c r="UXI22" s="71"/>
      <c r="UXJ22" s="71"/>
      <c r="UXK22" s="71"/>
      <c r="UXL22" s="71"/>
      <c r="UXM22" s="71"/>
      <c r="UXN22" s="71"/>
      <c r="UXO22" s="71"/>
      <c r="UXP22" s="71"/>
      <c r="UXQ22" s="71"/>
      <c r="UXR22" s="71"/>
      <c r="UXS22" s="71"/>
      <c r="UXT22" s="71"/>
      <c r="UXU22" s="71"/>
      <c r="UXV22" s="71"/>
      <c r="UXW22" s="71"/>
      <c r="UXX22" s="71"/>
      <c r="UXY22" s="71"/>
      <c r="UXZ22" s="71"/>
      <c r="UYA22" s="71"/>
      <c r="UYB22" s="71"/>
      <c r="UYC22" s="71"/>
      <c r="UYD22" s="71"/>
      <c r="UYE22" s="71"/>
      <c r="UYF22" s="71"/>
      <c r="UYG22" s="71"/>
      <c r="UYH22" s="71"/>
      <c r="UYI22" s="71"/>
      <c r="UYJ22" s="71"/>
      <c r="UYK22" s="71"/>
      <c r="UYL22" s="71"/>
      <c r="UYM22" s="71"/>
      <c r="UYN22" s="71"/>
      <c r="UYO22" s="71"/>
      <c r="UYP22" s="71"/>
      <c r="UYQ22" s="71"/>
      <c r="UYR22" s="71"/>
      <c r="UYS22" s="71"/>
      <c r="UYT22" s="71"/>
      <c r="UYU22" s="71"/>
      <c r="UYV22" s="71"/>
      <c r="UYW22" s="71"/>
      <c r="UYX22" s="71"/>
      <c r="UYY22" s="71"/>
      <c r="UYZ22" s="71"/>
      <c r="UZA22" s="71"/>
      <c r="UZB22" s="71"/>
      <c r="UZC22" s="71"/>
      <c r="UZD22" s="71"/>
      <c r="UZE22" s="71"/>
      <c r="UZF22" s="71"/>
      <c r="UZG22" s="71"/>
      <c r="UZH22" s="71"/>
      <c r="UZI22" s="71"/>
      <c r="UZJ22" s="71"/>
      <c r="UZK22" s="71"/>
      <c r="UZL22" s="71"/>
      <c r="UZM22" s="71"/>
      <c r="UZN22" s="71"/>
      <c r="UZO22" s="71"/>
      <c r="UZP22" s="71"/>
      <c r="UZQ22" s="71"/>
      <c r="UZR22" s="71"/>
      <c r="UZS22" s="71"/>
      <c r="UZT22" s="71"/>
      <c r="UZU22" s="71"/>
      <c r="UZV22" s="71"/>
      <c r="UZW22" s="71"/>
      <c r="UZX22" s="71"/>
      <c r="UZY22" s="71"/>
      <c r="UZZ22" s="71"/>
      <c r="VAA22" s="71"/>
      <c r="VAB22" s="71"/>
      <c r="VAC22" s="71"/>
      <c r="VAD22" s="71"/>
      <c r="VAE22" s="71"/>
      <c r="VAF22" s="71"/>
      <c r="VAG22" s="71"/>
      <c r="VAH22" s="71"/>
      <c r="VAI22" s="71"/>
      <c r="VAJ22" s="71"/>
      <c r="VAK22" s="71"/>
      <c r="VAL22" s="71"/>
      <c r="VAM22" s="71"/>
      <c r="VAN22" s="71"/>
      <c r="VAO22" s="71"/>
      <c r="VAP22" s="71"/>
      <c r="VAQ22" s="71"/>
      <c r="VAR22" s="71"/>
      <c r="VAS22" s="71"/>
      <c r="VAT22" s="71"/>
      <c r="VAU22" s="71"/>
      <c r="VAV22" s="71"/>
      <c r="VAW22" s="71"/>
      <c r="VAX22" s="71"/>
      <c r="VAY22" s="71"/>
      <c r="VAZ22" s="71"/>
      <c r="VBA22" s="71"/>
      <c r="VBB22" s="71"/>
      <c r="VBC22" s="71"/>
      <c r="VBD22" s="71"/>
      <c r="VBE22" s="71"/>
      <c r="VBF22" s="71"/>
      <c r="VBG22" s="71"/>
      <c r="VBH22" s="71"/>
      <c r="VBI22" s="71"/>
      <c r="VBJ22" s="71"/>
      <c r="VBK22" s="71"/>
      <c r="VBL22" s="71"/>
      <c r="VBM22" s="71"/>
      <c r="VBN22" s="71"/>
      <c r="VBO22" s="71"/>
      <c r="VBP22" s="71"/>
      <c r="VBQ22" s="71"/>
      <c r="VBR22" s="71"/>
      <c r="VBS22" s="71"/>
      <c r="VBT22" s="71"/>
      <c r="VBU22" s="71"/>
      <c r="VBV22" s="71"/>
      <c r="VBW22" s="71"/>
      <c r="VBX22" s="71"/>
      <c r="VBY22" s="71"/>
      <c r="VBZ22" s="71"/>
      <c r="VCA22" s="71"/>
      <c r="VCB22" s="71"/>
      <c r="VCC22" s="71"/>
      <c r="VCD22" s="71"/>
      <c r="VCE22" s="71"/>
      <c r="VCF22" s="71"/>
      <c r="VCG22" s="71"/>
      <c r="VCH22" s="71"/>
      <c r="VCI22" s="71"/>
      <c r="VCJ22" s="71"/>
      <c r="VCK22" s="71"/>
      <c r="VCL22" s="71"/>
      <c r="VCM22" s="71"/>
      <c r="VCN22" s="71"/>
      <c r="VCO22" s="71"/>
      <c r="VCP22" s="71"/>
      <c r="VCQ22" s="71"/>
      <c r="VCR22" s="71"/>
      <c r="VCS22" s="71"/>
      <c r="VCT22" s="71"/>
      <c r="VCU22" s="71"/>
      <c r="VCV22" s="71"/>
      <c r="VCW22" s="71"/>
      <c r="VCX22" s="71"/>
      <c r="VCY22" s="71"/>
      <c r="VCZ22" s="71"/>
      <c r="VDA22" s="71"/>
      <c r="VDB22" s="71"/>
      <c r="VDC22" s="71"/>
      <c r="VDD22" s="71"/>
      <c r="VDE22" s="71"/>
      <c r="VDF22" s="71"/>
      <c r="VDG22" s="71"/>
      <c r="VDH22" s="71"/>
      <c r="VDI22" s="71"/>
      <c r="VDJ22" s="71"/>
      <c r="VDK22" s="71"/>
      <c r="VDL22" s="71"/>
      <c r="VDM22" s="71"/>
      <c r="VDN22" s="71"/>
      <c r="VDO22" s="71"/>
      <c r="VDP22" s="71"/>
      <c r="VDQ22" s="71"/>
      <c r="VDR22" s="71"/>
      <c r="VDS22" s="71"/>
      <c r="VDT22" s="71"/>
      <c r="VDU22" s="71"/>
      <c r="VDV22" s="71"/>
      <c r="VDW22" s="71"/>
      <c r="VDX22" s="71"/>
      <c r="VDY22" s="71"/>
      <c r="VDZ22" s="71"/>
      <c r="VEA22" s="71"/>
      <c r="VEB22" s="71"/>
      <c r="VEC22" s="71"/>
      <c r="VED22" s="71"/>
      <c r="VEE22" s="71"/>
      <c r="VEF22" s="71"/>
      <c r="VEG22" s="71"/>
      <c r="VEH22" s="71"/>
      <c r="VEI22" s="71"/>
      <c r="VEJ22" s="71"/>
      <c r="VEK22" s="71"/>
      <c r="VEL22" s="71"/>
      <c r="VEM22" s="71"/>
      <c r="VEN22" s="71"/>
      <c r="VEO22" s="71"/>
      <c r="VEP22" s="71"/>
      <c r="VEQ22" s="71"/>
      <c r="VER22" s="71"/>
      <c r="VES22" s="71"/>
      <c r="VET22" s="71"/>
      <c r="VEU22" s="71"/>
      <c r="VEV22" s="71"/>
      <c r="VEW22" s="71"/>
      <c r="VEX22" s="71"/>
      <c r="VEY22" s="71"/>
      <c r="VEZ22" s="71"/>
      <c r="VFA22" s="71"/>
      <c r="VFB22" s="71"/>
      <c r="VFC22" s="71"/>
      <c r="VFD22" s="71"/>
      <c r="VFE22" s="71"/>
      <c r="VFF22" s="71"/>
      <c r="VFG22" s="71"/>
      <c r="VFH22" s="71"/>
      <c r="VFI22" s="71"/>
      <c r="VFJ22" s="71"/>
      <c r="VFK22" s="71"/>
      <c r="VFL22" s="71"/>
      <c r="VFM22" s="71"/>
      <c r="VFN22" s="71"/>
      <c r="VFO22" s="71"/>
      <c r="VFP22" s="71"/>
      <c r="VFQ22" s="71"/>
      <c r="VFR22" s="71"/>
      <c r="VFS22" s="71"/>
      <c r="VFT22" s="71"/>
      <c r="VFU22" s="71"/>
      <c r="VFV22" s="71"/>
      <c r="VFW22" s="71"/>
      <c r="VFX22" s="71"/>
      <c r="VFY22" s="71"/>
      <c r="VFZ22" s="71"/>
      <c r="VGA22" s="71"/>
      <c r="VGB22" s="71"/>
      <c r="VGC22" s="71"/>
      <c r="VGD22" s="71"/>
      <c r="VGE22" s="71"/>
      <c r="VGF22" s="71"/>
      <c r="VGG22" s="71"/>
      <c r="VGH22" s="71"/>
      <c r="VGI22" s="71"/>
      <c r="VGJ22" s="71"/>
      <c r="VGK22" s="71"/>
    </row>
    <row r="23" spans="1:15113" x14ac:dyDescent="0.25">
      <c r="B23" s="15"/>
      <c r="C23" s="14" t="s">
        <v>75</v>
      </c>
      <c r="D23" s="267"/>
      <c r="E23" s="20" t="s">
        <v>14</v>
      </c>
      <c r="F23" s="33">
        <f>F24+F25</f>
        <v>0</v>
      </c>
      <c r="G23" s="33">
        <f t="shared" ref="G23:I23" si="7">G24+G25</f>
        <v>0</v>
      </c>
      <c r="H23" s="33">
        <f t="shared" si="7"/>
        <v>0</v>
      </c>
      <c r="I23" s="33">
        <f t="shared" si="7"/>
        <v>0</v>
      </c>
      <c r="J23" s="33">
        <f t="shared" ref="J23:AJ23" si="8">J24+J25</f>
        <v>0</v>
      </c>
      <c r="K23" s="33">
        <f t="shared" si="8"/>
        <v>0</v>
      </c>
      <c r="L23" s="33">
        <f t="shared" si="8"/>
        <v>0</v>
      </c>
      <c r="M23" s="33">
        <f t="shared" si="8"/>
        <v>0</v>
      </c>
      <c r="N23" s="33">
        <f t="shared" si="8"/>
        <v>0</v>
      </c>
      <c r="O23" s="33">
        <f t="shared" si="8"/>
        <v>0</v>
      </c>
      <c r="P23" s="33">
        <f t="shared" si="8"/>
        <v>0</v>
      </c>
      <c r="Q23" s="33">
        <f t="shared" si="8"/>
        <v>0</v>
      </c>
      <c r="R23" s="33">
        <f t="shared" si="8"/>
        <v>0</v>
      </c>
      <c r="S23" s="33">
        <f t="shared" si="8"/>
        <v>0</v>
      </c>
      <c r="T23" s="33">
        <f t="shared" si="8"/>
        <v>0</v>
      </c>
      <c r="U23" s="33">
        <f t="shared" si="8"/>
        <v>0</v>
      </c>
      <c r="V23" s="33">
        <f t="shared" si="8"/>
        <v>0</v>
      </c>
      <c r="W23" s="33">
        <f t="shared" si="8"/>
        <v>0</v>
      </c>
      <c r="X23" s="33">
        <f t="shared" si="8"/>
        <v>0</v>
      </c>
      <c r="Y23" s="33">
        <f t="shared" si="8"/>
        <v>0</v>
      </c>
      <c r="Z23" s="33">
        <f t="shared" si="8"/>
        <v>0</v>
      </c>
      <c r="AA23" s="33">
        <f t="shared" si="8"/>
        <v>0</v>
      </c>
      <c r="AB23" s="33">
        <f t="shared" si="8"/>
        <v>0</v>
      </c>
      <c r="AC23" s="33">
        <f t="shared" si="8"/>
        <v>0</v>
      </c>
      <c r="AD23" s="33">
        <f t="shared" si="8"/>
        <v>0</v>
      </c>
      <c r="AE23" s="33">
        <f t="shared" si="8"/>
        <v>0</v>
      </c>
      <c r="AF23" s="33">
        <f t="shared" si="8"/>
        <v>0</v>
      </c>
      <c r="AG23" s="33">
        <f t="shared" si="8"/>
        <v>0</v>
      </c>
      <c r="AH23" s="33">
        <f t="shared" si="8"/>
        <v>0</v>
      </c>
      <c r="AI23" s="33">
        <f t="shared" si="8"/>
        <v>0</v>
      </c>
      <c r="AJ23" s="33">
        <f t="shared" si="8"/>
        <v>0</v>
      </c>
      <c r="AL23" s="63">
        <f t="shared" ref="AL23:AL29" si="9">SUM(F23:O23)</f>
        <v>0</v>
      </c>
    </row>
    <row r="24" spans="1:15113" x14ac:dyDescent="0.25">
      <c r="B24" s="15"/>
      <c r="C24" s="73" t="s">
        <v>106</v>
      </c>
      <c r="D24" s="267"/>
      <c r="E24" s="74" t="s">
        <v>14</v>
      </c>
      <c r="F24" s="284">
        <v>0</v>
      </c>
      <c r="G24" s="284">
        <v>0</v>
      </c>
      <c r="H24" s="284">
        <v>0</v>
      </c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L24" s="66">
        <f t="shared" si="9"/>
        <v>0</v>
      </c>
    </row>
    <row r="25" spans="1:15113" x14ac:dyDescent="0.25">
      <c r="B25" s="15"/>
      <c r="C25" s="73" t="s">
        <v>73</v>
      </c>
      <c r="D25" s="267"/>
      <c r="E25" s="74" t="s">
        <v>14</v>
      </c>
      <c r="F25" s="284">
        <v>0</v>
      </c>
      <c r="G25" s="284">
        <v>0</v>
      </c>
      <c r="H25" s="284">
        <v>0</v>
      </c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284"/>
      <c r="AC25" s="284"/>
      <c r="AD25" s="284"/>
      <c r="AE25" s="284"/>
      <c r="AF25" s="284"/>
      <c r="AG25" s="284"/>
      <c r="AH25" s="284"/>
      <c r="AI25" s="284"/>
      <c r="AJ25" s="284"/>
      <c r="AL25" s="66">
        <f t="shared" si="9"/>
        <v>0</v>
      </c>
    </row>
    <row r="26" spans="1:15113" x14ac:dyDescent="0.25">
      <c r="B26" s="15"/>
      <c r="C26" s="242" t="s">
        <v>108</v>
      </c>
      <c r="D26" s="245"/>
      <c r="E26" s="244"/>
      <c r="F26" s="103"/>
      <c r="G26" s="103"/>
      <c r="H26" s="103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L26" s="75" t="s">
        <v>109</v>
      </c>
    </row>
    <row r="27" spans="1:15113" s="82" customFormat="1" x14ac:dyDescent="0.2">
      <c r="A27" s="16"/>
      <c r="B27" s="17"/>
      <c r="C27" s="11" t="s">
        <v>71</v>
      </c>
      <c r="D27" s="268"/>
      <c r="E27" s="12" t="s">
        <v>14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16"/>
      <c r="AL27" s="63">
        <f t="shared" si="9"/>
        <v>0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54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6"/>
      <c r="PT27" s="16"/>
      <c r="PU27" s="16"/>
      <c r="PV27" s="16"/>
      <c r="PW27" s="16"/>
      <c r="PX27" s="16"/>
      <c r="PY27" s="16"/>
      <c r="PZ27" s="16"/>
      <c r="QA27" s="16"/>
      <c r="QB27" s="16"/>
      <c r="QC27" s="16"/>
      <c r="QD27" s="16"/>
      <c r="QE27" s="16"/>
      <c r="QF27" s="16"/>
      <c r="QG27" s="16"/>
      <c r="QH27" s="16"/>
      <c r="QI27" s="16"/>
      <c r="QJ27" s="16"/>
      <c r="QK27" s="16"/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6"/>
      <c r="RH27" s="16"/>
      <c r="RI27" s="16"/>
      <c r="RJ27" s="16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6"/>
      <c r="TF27" s="16"/>
      <c r="TG27" s="16"/>
      <c r="TH27" s="16"/>
      <c r="TI27" s="16"/>
      <c r="TJ27" s="16"/>
      <c r="TK27" s="16"/>
      <c r="TL27" s="16"/>
      <c r="TM27" s="16"/>
      <c r="TN27" s="16"/>
      <c r="TO27" s="16"/>
      <c r="TP27" s="16"/>
      <c r="TQ27" s="16"/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/>
      <c r="AKZ27" s="16"/>
      <c r="ALA27" s="16"/>
      <c r="ALB27" s="16"/>
      <c r="ALC27" s="16"/>
      <c r="ALD27" s="16"/>
      <c r="ALE27" s="16"/>
      <c r="ALF27" s="16"/>
      <c r="ALG27" s="16"/>
      <c r="ALH27" s="16"/>
      <c r="ALI27" s="16"/>
      <c r="ALJ27" s="16"/>
      <c r="ALK27" s="16"/>
      <c r="ALL27" s="16"/>
      <c r="ALM27" s="16"/>
      <c r="ALN27" s="16"/>
      <c r="ALO27" s="16"/>
      <c r="ALP27" s="16"/>
      <c r="ALQ27" s="16"/>
      <c r="ALR27" s="16"/>
      <c r="ALS27" s="16"/>
      <c r="ALT27" s="16"/>
      <c r="ALU27" s="16"/>
      <c r="ALV27" s="16"/>
      <c r="ALW27" s="16"/>
      <c r="ALX27" s="16"/>
      <c r="ALY27" s="16"/>
      <c r="ALZ27" s="16"/>
      <c r="AMA27" s="16"/>
      <c r="AMB27" s="16"/>
      <c r="AMC27" s="16"/>
      <c r="AMD27" s="16"/>
      <c r="AME27" s="16"/>
      <c r="AMF27" s="16"/>
      <c r="AMG27" s="16"/>
      <c r="AMH27" s="16"/>
      <c r="AMI27" s="16"/>
      <c r="AMJ27" s="16"/>
      <c r="AMK27" s="16"/>
      <c r="AML27" s="16"/>
      <c r="AMM27" s="16"/>
      <c r="AMN27" s="16"/>
      <c r="AMO27" s="16"/>
      <c r="AMP27" s="16"/>
      <c r="AMQ27" s="16"/>
      <c r="AMR27" s="16"/>
      <c r="AMS27" s="16"/>
      <c r="AMT27" s="16"/>
      <c r="AMU27" s="16"/>
      <c r="AMV27" s="16"/>
      <c r="AMW27" s="16"/>
      <c r="AMX27" s="16"/>
      <c r="AMY27" s="16"/>
      <c r="AMZ27" s="16"/>
      <c r="ANA27" s="16"/>
      <c r="ANB27" s="16"/>
      <c r="ANC27" s="16"/>
      <c r="AND27" s="16"/>
      <c r="ANE27" s="16"/>
      <c r="ANF27" s="16"/>
      <c r="ANG27" s="16"/>
      <c r="ANH27" s="16"/>
      <c r="ANI27" s="16"/>
      <c r="ANJ27" s="16"/>
      <c r="ANK27" s="16"/>
      <c r="ANL27" s="16"/>
      <c r="ANM27" s="16"/>
      <c r="ANN27" s="16"/>
      <c r="ANO27" s="16"/>
      <c r="ANP27" s="16"/>
      <c r="ANQ27" s="16"/>
      <c r="ANR27" s="16"/>
      <c r="ANS27" s="16"/>
      <c r="ANT27" s="16"/>
      <c r="ANU27" s="16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/>
      <c r="APV27" s="16"/>
      <c r="APW27" s="16"/>
      <c r="APX27" s="16"/>
      <c r="APY27" s="16"/>
      <c r="APZ27" s="16"/>
      <c r="AQA27" s="16"/>
      <c r="AQB27" s="16"/>
      <c r="AQC27" s="16"/>
      <c r="AQD27" s="16"/>
      <c r="AQE27" s="16"/>
      <c r="AQF27" s="16"/>
      <c r="AQG27" s="16"/>
      <c r="AQH27" s="16"/>
      <c r="AQI27" s="16"/>
      <c r="AQJ27" s="16"/>
      <c r="AQK27" s="16"/>
      <c r="AQL27" s="16"/>
      <c r="AQM27" s="16"/>
      <c r="AQN27" s="16"/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/>
      <c r="ARB27" s="16"/>
      <c r="ARC27" s="16"/>
      <c r="ARD27" s="16"/>
      <c r="ARE27" s="16"/>
      <c r="ARF27" s="16"/>
      <c r="ARG27" s="16"/>
      <c r="ARH27" s="16"/>
      <c r="ARI27" s="16"/>
      <c r="ARJ27" s="16"/>
      <c r="ARK27" s="16"/>
      <c r="ARL27" s="16"/>
      <c r="ARM27" s="16"/>
      <c r="ARN27" s="16"/>
      <c r="ARO27" s="16"/>
      <c r="ARP27" s="16"/>
      <c r="ARQ27" s="16"/>
      <c r="ARR27" s="16"/>
      <c r="ARS27" s="16"/>
      <c r="ART27" s="16"/>
      <c r="ARU27" s="16"/>
      <c r="ARV27" s="16"/>
      <c r="ARW27" s="16"/>
      <c r="ARX27" s="16"/>
      <c r="ARY27" s="16"/>
      <c r="ARZ27" s="16"/>
      <c r="ASA27" s="16"/>
      <c r="ASB27" s="16"/>
      <c r="ASC27" s="16"/>
      <c r="ASD27" s="16"/>
      <c r="ASE27" s="16"/>
      <c r="ASF27" s="16"/>
      <c r="ASG27" s="16"/>
      <c r="ASH27" s="16"/>
      <c r="ASI27" s="16"/>
      <c r="ASJ27" s="16"/>
      <c r="ASK27" s="16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16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/>
      <c r="ATU27" s="16"/>
      <c r="ATV27" s="16"/>
      <c r="ATW27" s="16"/>
      <c r="ATX27" s="16"/>
      <c r="ATY27" s="16"/>
      <c r="ATZ27" s="16"/>
      <c r="AUA27" s="16"/>
      <c r="AUB27" s="16"/>
      <c r="AUC27" s="16"/>
      <c r="AUD27" s="16"/>
      <c r="AUE27" s="16"/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/>
      <c r="AUR27" s="16"/>
      <c r="AUS27" s="16"/>
      <c r="AUT27" s="16"/>
      <c r="AUU27" s="16"/>
      <c r="AUV27" s="16"/>
      <c r="AUW27" s="16"/>
      <c r="AUX27" s="16"/>
      <c r="AUY27" s="16"/>
      <c r="AUZ27" s="16"/>
      <c r="AVA27" s="16"/>
      <c r="AVB27" s="16"/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6"/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/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16"/>
      <c r="AZL27" s="16"/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/>
      <c r="BBY27" s="16"/>
      <c r="BBZ27" s="16"/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6"/>
      <c r="BCW27" s="16"/>
      <c r="BCX27" s="16"/>
      <c r="BCY27" s="16"/>
      <c r="BCZ27" s="16"/>
      <c r="BDA27" s="16"/>
      <c r="BDB27" s="16"/>
      <c r="BDC27" s="16"/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6"/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/>
      <c r="BEO27" s="16"/>
      <c r="BEP27" s="16"/>
      <c r="BEQ27" s="16"/>
      <c r="BER27" s="16"/>
      <c r="BES27" s="16"/>
      <c r="BET27" s="16"/>
      <c r="BEU27" s="16"/>
      <c r="BEV27" s="16"/>
      <c r="BEW27" s="16"/>
      <c r="BEX27" s="16"/>
      <c r="BEY27" s="16"/>
      <c r="BEZ27" s="16"/>
      <c r="BFA27" s="16"/>
      <c r="BFB27" s="16"/>
      <c r="BFC27" s="16"/>
      <c r="BFD27" s="16"/>
      <c r="BFE27" s="16"/>
      <c r="BFF27" s="16"/>
      <c r="BFG27" s="16"/>
      <c r="BFH27" s="16"/>
      <c r="BFI27" s="16"/>
      <c r="BFJ27" s="16"/>
      <c r="BFK27" s="16"/>
      <c r="BFL27" s="16"/>
      <c r="BFM27" s="16"/>
      <c r="BFN27" s="16"/>
      <c r="BFO27" s="16"/>
      <c r="BFP27" s="16"/>
      <c r="BFQ27" s="16"/>
      <c r="BFR27" s="16"/>
      <c r="BFS27" s="16"/>
      <c r="BFT27" s="16"/>
      <c r="BFU27" s="16"/>
      <c r="BFV27" s="16"/>
      <c r="BFW27" s="16"/>
      <c r="BFX27" s="16"/>
      <c r="BFY27" s="16"/>
      <c r="BFZ27" s="16"/>
      <c r="BGA27" s="16"/>
      <c r="BGB27" s="16"/>
      <c r="BGC27" s="16"/>
      <c r="BGD27" s="16"/>
      <c r="BGE27" s="16"/>
      <c r="BGF27" s="16"/>
      <c r="BGG27" s="16"/>
      <c r="BGH27" s="16"/>
      <c r="BGI27" s="16"/>
      <c r="BGJ27" s="16"/>
      <c r="BGK27" s="16"/>
      <c r="BGL27" s="16"/>
      <c r="BGM27" s="16"/>
      <c r="BGN27" s="16"/>
      <c r="BGO27" s="16"/>
      <c r="BGP27" s="16"/>
      <c r="BGQ27" s="16"/>
      <c r="BGR27" s="16"/>
      <c r="BGS27" s="16"/>
      <c r="BGT27" s="16"/>
      <c r="BGU27" s="16"/>
      <c r="BGV27" s="16"/>
      <c r="BGW27" s="16"/>
      <c r="BGX27" s="16"/>
      <c r="BGY27" s="16"/>
      <c r="BGZ27" s="16"/>
      <c r="BHA27" s="16"/>
      <c r="BHB27" s="16"/>
      <c r="BHC27" s="16"/>
      <c r="BHD27" s="16"/>
      <c r="BHE27" s="16"/>
      <c r="BHF27" s="16"/>
      <c r="BHG27" s="16"/>
      <c r="BHH27" s="16"/>
      <c r="BHI27" s="16"/>
      <c r="BHJ27" s="16"/>
      <c r="BHK27" s="16"/>
      <c r="BHL27" s="16"/>
      <c r="BHM27" s="16"/>
      <c r="BHN27" s="16"/>
      <c r="BHO27" s="16"/>
      <c r="BHP27" s="16"/>
      <c r="BHQ27" s="16"/>
      <c r="BHR27" s="16"/>
      <c r="BHS27" s="16"/>
      <c r="BHT27" s="16"/>
      <c r="BHU27" s="16"/>
      <c r="BHV27" s="16"/>
      <c r="BHW27" s="16"/>
      <c r="BHX27" s="16"/>
      <c r="BHY27" s="16"/>
      <c r="BHZ27" s="16"/>
      <c r="BIA27" s="16"/>
      <c r="BIB27" s="16"/>
      <c r="BIC27" s="16"/>
      <c r="BID27" s="16"/>
      <c r="BIE27" s="16"/>
      <c r="BIF27" s="16"/>
      <c r="BIG27" s="16"/>
      <c r="BIH27" s="16"/>
      <c r="BII27" s="16"/>
      <c r="BIJ27" s="16"/>
      <c r="BIK27" s="16"/>
      <c r="BIL27" s="16"/>
      <c r="BIM27" s="16"/>
      <c r="BIN27" s="16"/>
      <c r="BIO27" s="16"/>
      <c r="BIP27" s="16"/>
      <c r="BIQ27" s="16"/>
      <c r="BIR27" s="16"/>
      <c r="BIS27" s="16"/>
      <c r="BIT27" s="16"/>
      <c r="BIU27" s="16"/>
      <c r="BIV27" s="16"/>
      <c r="BIW27" s="16"/>
      <c r="BIX27" s="16"/>
      <c r="BIY27" s="16"/>
      <c r="BIZ27" s="16"/>
      <c r="BJA27" s="16"/>
      <c r="BJB27" s="16"/>
      <c r="BJC27" s="16"/>
      <c r="BJD27" s="16"/>
      <c r="BJE27" s="16"/>
      <c r="BJF27" s="16"/>
      <c r="BJG27" s="16"/>
      <c r="BJH27" s="16"/>
      <c r="BJI27" s="16"/>
      <c r="BJJ27" s="16"/>
      <c r="BJK27" s="16"/>
      <c r="BJL27" s="16"/>
      <c r="BJM27" s="16"/>
      <c r="BJN27" s="16"/>
      <c r="BJO27" s="16"/>
      <c r="BJP27" s="16"/>
      <c r="BJQ27" s="16"/>
      <c r="BJR27" s="16"/>
      <c r="BJS27" s="16"/>
      <c r="BJT27" s="16"/>
      <c r="BJU27" s="16"/>
      <c r="BJV27" s="16"/>
      <c r="BJW27" s="16"/>
      <c r="BJX27" s="16"/>
      <c r="BJY27" s="16"/>
      <c r="BJZ27" s="16"/>
      <c r="BKA27" s="16"/>
      <c r="BKB27" s="16"/>
      <c r="BKC27" s="16"/>
      <c r="BKD27" s="16"/>
      <c r="BKE27" s="16"/>
      <c r="BKF27" s="16"/>
      <c r="BKG27" s="16"/>
      <c r="BKH27" s="16"/>
      <c r="BKI27" s="16"/>
      <c r="BKJ27" s="16"/>
      <c r="BKK27" s="16"/>
      <c r="BKL27" s="16"/>
      <c r="BKM27" s="16"/>
      <c r="BKN27" s="16"/>
      <c r="BKO27" s="16"/>
      <c r="BKP27" s="16"/>
      <c r="BKQ27" s="16"/>
      <c r="BKR27" s="16"/>
      <c r="BKS27" s="16"/>
      <c r="BKT27" s="16"/>
      <c r="BKU27" s="16"/>
      <c r="BKV27" s="16"/>
      <c r="BKW27" s="16"/>
      <c r="BKX27" s="16"/>
      <c r="BKY27" s="16"/>
      <c r="BKZ27" s="16"/>
      <c r="BLA27" s="16"/>
      <c r="BLB27" s="16"/>
      <c r="BLC27" s="16"/>
      <c r="BLD27" s="16"/>
      <c r="BLE27" s="16"/>
      <c r="BLF27" s="16"/>
      <c r="BLG27" s="16"/>
      <c r="BLH27" s="16"/>
      <c r="BLI27" s="16"/>
      <c r="BLJ27" s="16"/>
      <c r="BLK27" s="16"/>
      <c r="BLL27" s="16"/>
      <c r="BLM27" s="16"/>
      <c r="BLN27" s="16"/>
      <c r="BLO27" s="16"/>
      <c r="BLP27" s="16"/>
      <c r="BLQ27" s="16"/>
      <c r="BLR27" s="16"/>
      <c r="BLS27" s="16"/>
      <c r="BLT27" s="16"/>
      <c r="BLU27" s="16"/>
      <c r="BLV27" s="16"/>
      <c r="BLW27" s="16"/>
      <c r="BLX27" s="16"/>
      <c r="BLY27" s="16"/>
      <c r="BLZ27" s="16"/>
      <c r="BMA27" s="16"/>
      <c r="BMB27" s="16"/>
      <c r="BMC27" s="16"/>
      <c r="BMD27" s="16"/>
      <c r="BME27" s="16"/>
      <c r="BMF27" s="16"/>
      <c r="BMG27" s="16"/>
      <c r="BMH27" s="16"/>
      <c r="BMI27" s="16"/>
      <c r="BMJ27" s="16"/>
      <c r="BMK27" s="16"/>
      <c r="BML27" s="16"/>
      <c r="BMM27" s="16"/>
      <c r="BMN27" s="16"/>
      <c r="BMO27" s="16"/>
      <c r="BMP27" s="16"/>
      <c r="BMQ27" s="16"/>
      <c r="BMR27" s="16"/>
      <c r="BMS27" s="16"/>
      <c r="BMT27" s="16"/>
      <c r="BMU27" s="16"/>
      <c r="BMV27" s="16"/>
      <c r="BMW27" s="16"/>
      <c r="BMX27" s="16"/>
      <c r="BMY27" s="16"/>
      <c r="BMZ27" s="16"/>
      <c r="BNA27" s="16"/>
      <c r="BNB27" s="16"/>
      <c r="BNC27" s="16"/>
      <c r="BND27" s="16"/>
      <c r="BNE27" s="16"/>
      <c r="BNF27" s="16"/>
      <c r="BNG27" s="16"/>
      <c r="BNH27" s="16"/>
      <c r="BNI27" s="16"/>
      <c r="BNJ27" s="16"/>
      <c r="BNK27" s="16"/>
      <c r="BNL27" s="16"/>
      <c r="BNM27" s="16"/>
      <c r="BNN27" s="16"/>
      <c r="BNO27" s="16"/>
      <c r="BNP27" s="16"/>
      <c r="BNQ27" s="16"/>
      <c r="BNR27" s="16"/>
      <c r="BNS27" s="16"/>
      <c r="BNT27" s="16"/>
      <c r="BNU27" s="16"/>
      <c r="BNV27" s="16"/>
      <c r="BNW27" s="16"/>
      <c r="BNX27" s="16"/>
      <c r="BNY27" s="16"/>
      <c r="BNZ27" s="16"/>
      <c r="BOA27" s="16"/>
      <c r="BOB27" s="16"/>
      <c r="BOC27" s="16"/>
      <c r="BOD27" s="16"/>
      <c r="BOE27" s="16"/>
      <c r="BOF27" s="16"/>
      <c r="BOG27" s="16"/>
      <c r="BOH27" s="16"/>
      <c r="BOI27" s="16"/>
      <c r="BOJ27" s="16"/>
      <c r="BOK27" s="16"/>
      <c r="BOL27" s="16"/>
      <c r="BOM27" s="16"/>
      <c r="BON27" s="16"/>
      <c r="BOO27" s="16"/>
      <c r="BOP27" s="16"/>
      <c r="BOQ27" s="16"/>
      <c r="BOR27" s="16"/>
      <c r="BOS27" s="16"/>
      <c r="BOT27" s="16"/>
      <c r="BOU27" s="16"/>
      <c r="BOV27" s="16"/>
      <c r="BOW27" s="16"/>
      <c r="BOX27" s="16"/>
      <c r="BOY27" s="16"/>
      <c r="BOZ27" s="16"/>
      <c r="BPA27" s="16"/>
      <c r="BPB27" s="16"/>
      <c r="BPC27" s="16"/>
      <c r="BPD27" s="16"/>
      <c r="BPE27" s="16"/>
      <c r="BPF27" s="16"/>
      <c r="BPG27" s="16"/>
      <c r="BPH27" s="16"/>
      <c r="BPI27" s="16"/>
      <c r="BPJ27" s="16"/>
      <c r="BPK27" s="16"/>
      <c r="BPL27" s="16"/>
      <c r="BPM27" s="16"/>
      <c r="BPN27" s="16"/>
      <c r="BPO27" s="16"/>
      <c r="BPP27" s="16"/>
      <c r="BPQ27" s="16"/>
      <c r="BPR27" s="16"/>
      <c r="BPS27" s="16"/>
      <c r="BPT27" s="16"/>
      <c r="BPU27" s="16"/>
      <c r="BPV27" s="16"/>
      <c r="BPW27" s="16"/>
      <c r="BPX27" s="16"/>
      <c r="BPY27" s="16"/>
      <c r="BPZ27" s="16"/>
      <c r="BQA27" s="16"/>
      <c r="BQB27" s="16"/>
      <c r="BQC27" s="16"/>
      <c r="BQD27" s="16"/>
      <c r="BQE27" s="16"/>
      <c r="BQF27" s="16"/>
      <c r="BQG27" s="16"/>
      <c r="BQH27" s="16"/>
      <c r="BQI27" s="16"/>
      <c r="BQJ27" s="16"/>
      <c r="BQK27" s="16"/>
      <c r="BQL27" s="16"/>
      <c r="BQM27" s="16"/>
      <c r="BQN27" s="16"/>
      <c r="BQO27" s="16"/>
      <c r="BQP27" s="16"/>
      <c r="BQQ27" s="16"/>
      <c r="BQR27" s="16"/>
      <c r="BQS27" s="16"/>
      <c r="BQT27" s="16"/>
      <c r="BQU27" s="16"/>
      <c r="BQV27" s="16"/>
      <c r="BQW27" s="16"/>
      <c r="BQX27" s="16"/>
      <c r="BQY27" s="16"/>
      <c r="BQZ27" s="16"/>
      <c r="BRA27" s="16"/>
      <c r="BRB27" s="16"/>
      <c r="BRC27" s="16"/>
      <c r="BRD27" s="16"/>
      <c r="BRE27" s="16"/>
      <c r="BRF27" s="16"/>
      <c r="BRG27" s="16"/>
      <c r="BRH27" s="16"/>
      <c r="BRI27" s="16"/>
      <c r="BRJ27" s="16"/>
      <c r="BRK27" s="16"/>
      <c r="BRL27" s="16"/>
      <c r="BRM27" s="16"/>
      <c r="BRN27" s="16"/>
      <c r="BRO27" s="16"/>
      <c r="BRP27" s="16"/>
      <c r="BRQ27" s="16"/>
      <c r="BRR27" s="16"/>
      <c r="BRS27" s="16"/>
      <c r="BRT27" s="16"/>
      <c r="BRU27" s="16"/>
      <c r="BRV27" s="16"/>
      <c r="BRW27" s="16"/>
      <c r="BRX27" s="16"/>
      <c r="BRY27" s="16"/>
      <c r="BRZ27" s="16"/>
      <c r="BSA27" s="16"/>
      <c r="BSB27" s="16"/>
      <c r="BSC27" s="16"/>
      <c r="BSD27" s="16"/>
      <c r="BSE27" s="16"/>
      <c r="BSF27" s="16"/>
      <c r="BSG27" s="16"/>
      <c r="BSH27" s="16"/>
      <c r="BSI27" s="16"/>
      <c r="BSJ27" s="16"/>
      <c r="BSK27" s="16"/>
      <c r="BSL27" s="16"/>
      <c r="BSM27" s="16"/>
      <c r="BSN27" s="16"/>
      <c r="BSO27" s="16"/>
      <c r="BSP27" s="16"/>
      <c r="BSQ27" s="16"/>
      <c r="BSR27" s="16"/>
      <c r="BSS27" s="16"/>
      <c r="BST27" s="16"/>
      <c r="BSU27" s="16"/>
      <c r="BSV27" s="16"/>
      <c r="BSW27" s="16"/>
      <c r="BSX27" s="16"/>
      <c r="BSY27" s="16"/>
      <c r="BSZ27" s="16"/>
      <c r="BTA27" s="16"/>
      <c r="BTB27" s="16"/>
      <c r="BTC27" s="16"/>
      <c r="BTD27" s="16"/>
      <c r="BTE27" s="16"/>
      <c r="BTF27" s="16"/>
      <c r="BTG27" s="16"/>
      <c r="BTH27" s="16"/>
      <c r="BTI27" s="16"/>
      <c r="BTJ27" s="16"/>
      <c r="BTK27" s="16"/>
      <c r="BTL27" s="16"/>
      <c r="BTM27" s="16"/>
      <c r="BTN27" s="16"/>
      <c r="BTO27" s="16"/>
      <c r="BTP27" s="16"/>
      <c r="BTQ27" s="16"/>
      <c r="BTR27" s="16"/>
      <c r="BTS27" s="16"/>
      <c r="BTT27" s="16"/>
      <c r="BTU27" s="16"/>
      <c r="BTV27" s="16"/>
      <c r="BTW27" s="16"/>
      <c r="BTX27" s="16"/>
      <c r="BTY27" s="16"/>
      <c r="BTZ27" s="16"/>
      <c r="BUA27" s="16"/>
      <c r="BUB27" s="16"/>
      <c r="BUC27" s="16"/>
      <c r="BUD27" s="16"/>
      <c r="BUE27" s="16"/>
      <c r="BUF27" s="16"/>
      <c r="BUG27" s="16"/>
      <c r="BUH27" s="16"/>
      <c r="BUI27" s="16"/>
      <c r="BUJ27" s="16"/>
      <c r="BUK27" s="16"/>
      <c r="BUL27" s="16"/>
      <c r="BUM27" s="16"/>
      <c r="BUN27" s="16"/>
      <c r="BUO27" s="16"/>
      <c r="BUP27" s="16"/>
      <c r="BUQ27" s="16"/>
      <c r="BUR27" s="16"/>
      <c r="BUS27" s="16"/>
      <c r="BUT27" s="16"/>
      <c r="BUU27" s="16"/>
      <c r="BUV27" s="16"/>
      <c r="BUW27" s="16"/>
      <c r="BUX27" s="16"/>
      <c r="BUY27" s="16"/>
      <c r="BUZ27" s="16"/>
      <c r="BVA27" s="16"/>
      <c r="BVB27" s="16"/>
      <c r="BVC27" s="16"/>
      <c r="BVD27" s="16"/>
      <c r="BVE27" s="16"/>
      <c r="BVF27" s="16"/>
      <c r="BVG27" s="16"/>
      <c r="BVH27" s="16"/>
      <c r="BVI27" s="16"/>
      <c r="BVJ27" s="16"/>
      <c r="BVK27" s="16"/>
      <c r="BVL27" s="16"/>
      <c r="BVM27" s="16"/>
      <c r="BVN27" s="16"/>
      <c r="BVO27" s="16"/>
      <c r="BVP27" s="16"/>
      <c r="BVQ27" s="16"/>
      <c r="BVR27" s="16"/>
      <c r="BVS27" s="16"/>
      <c r="BVT27" s="16"/>
      <c r="BVU27" s="16"/>
      <c r="BVV27" s="16"/>
      <c r="BVW27" s="16"/>
      <c r="BVX27" s="16"/>
      <c r="BVY27" s="16"/>
      <c r="BVZ27" s="16"/>
      <c r="BWA27" s="16"/>
      <c r="BWB27" s="16"/>
      <c r="BWC27" s="16"/>
      <c r="BWD27" s="16"/>
      <c r="BWE27" s="16"/>
      <c r="BWF27" s="16"/>
      <c r="BWG27" s="16"/>
      <c r="BWH27" s="16"/>
      <c r="BWI27" s="16"/>
      <c r="BWJ27" s="16"/>
      <c r="BWK27" s="16"/>
      <c r="BWL27" s="16"/>
      <c r="BWM27" s="16"/>
      <c r="BWN27" s="16"/>
      <c r="BWO27" s="16"/>
      <c r="BWP27" s="16"/>
      <c r="BWQ27" s="16"/>
      <c r="BWR27" s="16"/>
      <c r="BWS27" s="16"/>
      <c r="BWT27" s="16"/>
      <c r="BWU27" s="16"/>
      <c r="BWV27" s="16"/>
      <c r="BWW27" s="16"/>
      <c r="BWX27" s="16"/>
      <c r="BWY27" s="16"/>
      <c r="BWZ27" s="16"/>
      <c r="BXA27" s="16"/>
      <c r="BXB27" s="16"/>
      <c r="BXC27" s="16"/>
      <c r="BXD27" s="16"/>
      <c r="BXE27" s="16"/>
      <c r="BXF27" s="16"/>
      <c r="BXG27" s="16"/>
      <c r="BXH27" s="16"/>
      <c r="BXI27" s="16"/>
      <c r="BXJ27" s="16"/>
      <c r="BXK27" s="16"/>
      <c r="BXL27" s="16"/>
      <c r="BXM27" s="16"/>
      <c r="BXN27" s="16"/>
      <c r="BXO27" s="16"/>
      <c r="BXP27" s="16"/>
      <c r="BXQ27" s="16"/>
      <c r="BXR27" s="16"/>
      <c r="BXS27" s="16"/>
      <c r="BXT27" s="16"/>
      <c r="BXU27" s="16"/>
      <c r="BXV27" s="16"/>
      <c r="BXW27" s="16"/>
      <c r="BXX27" s="16"/>
      <c r="BXY27" s="16"/>
      <c r="BXZ27" s="16"/>
      <c r="BYA27" s="16"/>
      <c r="BYB27" s="16"/>
      <c r="BYC27" s="16"/>
      <c r="BYD27" s="16"/>
      <c r="BYE27" s="16"/>
      <c r="BYF27" s="16"/>
      <c r="BYG27" s="16"/>
      <c r="BYH27" s="16"/>
      <c r="BYI27" s="16"/>
      <c r="BYJ27" s="16"/>
      <c r="BYK27" s="16"/>
      <c r="BYL27" s="16"/>
      <c r="BYM27" s="16"/>
      <c r="BYN27" s="16"/>
      <c r="BYO27" s="16"/>
      <c r="BYP27" s="16"/>
      <c r="BYQ27" s="16"/>
      <c r="BYR27" s="16"/>
      <c r="BYS27" s="16"/>
      <c r="BYT27" s="16"/>
      <c r="BYU27" s="16"/>
      <c r="BYV27" s="16"/>
      <c r="BYW27" s="16"/>
      <c r="BYX27" s="16"/>
      <c r="BYY27" s="16"/>
      <c r="BYZ27" s="16"/>
      <c r="BZA27" s="16"/>
      <c r="BZB27" s="16"/>
      <c r="BZC27" s="16"/>
      <c r="BZD27" s="16"/>
      <c r="BZE27" s="16"/>
      <c r="BZF27" s="16"/>
      <c r="BZG27" s="16"/>
      <c r="BZH27" s="16"/>
      <c r="BZI27" s="16"/>
      <c r="BZJ27" s="16"/>
      <c r="BZK27" s="16"/>
      <c r="BZL27" s="16"/>
      <c r="BZM27" s="16"/>
      <c r="BZN27" s="16"/>
      <c r="BZO27" s="16"/>
      <c r="BZP27" s="16"/>
      <c r="BZQ27" s="16"/>
      <c r="BZR27" s="16"/>
      <c r="BZS27" s="16"/>
      <c r="BZT27" s="16"/>
      <c r="BZU27" s="16"/>
      <c r="BZV27" s="16"/>
      <c r="BZW27" s="16"/>
      <c r="BZX27" s="16"/>
      <c r="BZY27" s="16"/>
      <c r="BZZ27" s="16"/>
      <c r="CAA27" s="16"/>
      <c r="CAB27" s="16"/>
      <c r="CAC27" s="16"/>
      <c r="CAD27" s="16"/>
      <c r="CAE27" s="16"/>
      <c r="CAF27" s="16"/>
      <c r="CAG27" s="16"/>
      <c r="CAH27" s="16"/>
      <c r="CAI27" s="16"/>
      <c r="CAJ27" s="16"/>
      <c r="CAK27" s="16"/>
      <c r="CAL27" s="16"/>
      <c r="CAM27" s="16"/>
      <c r="CAN27" s="16"/>
      <c r="CAO27" s="16"/>
      <c r="CAP27" s="16"/>
      <c r="CAQ27" s="16"/>
      <c r="CAR27" s="16"/>
      <c r="CAS27" s="16"/>
      <c r="CAT27" s="16"/>
      <c r="CAU27" s="16"/>
      <c r="CAV27" s="16"/>
      <c r="CAW27" s="16"/>
      <c r="CAX27" s="16"/>
      <c r="CAY27" s="16"/>
      <c r="CAZ27" s="16"/>
      <c r="CBA27" s="16"/>
      <c r="CBB27" s="16"/>
      <c r="CBC27" s="16"/>
      <c r="CBD27" s="16"/>
      <c r="CBE27" s="16"/>
      <c r="CBF27" s="16"/>
      <c r="CBG27" s="16"/>
      <c r="CBH27" s="16"/>
      <c r="CBI27" s="16"/>
      <c r="CBJ27" s="16"/>
      <c r="CBK27" s="16"/>
      <c r="CBL27" s="16"/>
      <c r="CBM27" s="16"/>
      <c r="CBN27" s="16"/>
      <c r="CBO27" s="16"/>
      <c r="CBP27" s="16"/>
      <c r="CBQ27" s="16"/>
      <c r="CBR27" s="16"/>
      <c r="CBS27" s="16"/>
      <c r="CBT27" s="16"/>
      <c r="CBU27" s="16"/>
      <c r="CBV27" s="16"/>
      <c r="CBW27" s="16"/>
      <c r="CBX27" s="16"/>
      <c r="CBY27" s="16"/>
      <c r="CBZ27" s="16"/>
      <c r="CCA27" s="16"/>
      <c r="CCB27" s="16"/>
      <c r="CCC27" s="16"/>
      <c r="CCD27" s="16"/>
      <c r="CCE27" s="16"/>
      <c r="CCF27" s="16"/>
      <c r="CCG27" s="16"/>
      <c r="CCH27" s="16"/>
      <c r="CCI27" s="16"/>
      <c r="CCJ27" s="16"/>
      <c r="CCK27" s="16"/>
      <c r="CCL27" s="16"/>
      <c r="CCM27" s="16"/>
      <c r="CCN27" s="16"/>
      <c r="CCO27" s="16"/>
      <c r="CCP27" s="16"/>
      <c r="CCQ27" s="16"/>
      <c r="CCR27" s="16"/>
      <c r="CCS27" s="16"/>
      <c r="CCT27" s="16"/>
      <c r="CCU27" s="16"/>
      <c r="CCV27" s="16"/>
      <c r="CCW27" s="16"/>
      <c r="CCX27" s="16"/>
      <c r="CCY27" s="16"/>
      <c r="CCZ27" s="16"/>
      <c r="CDA27" s="16"/>
      <c r="CDB27" s="16"/>
      <c r="CDC27" s="16"/>
      <c r="CDD27" s="16"/>
      <c r="CDE27" s="16"/>
      <c r="CDF27" s="16"/>
      <c r="CDG27" s="16"/>
      <c r="CDH27" s="16"/>
      <c r="CDI27" s="16"/>
      <c r="CDJ27" s="16"/>
      <c r="CDK27" s="16"/>
      <c r="CDL27" s="16"/>
      <c r="CDM27" s="16"/>
      <c r="CDN27" s="16"/>
      <c r="CDO27" s="16"/>
      <c r="CDP27" s="16"/>
      <c r="CDQ27" s="16"/>
      <c r="CDR27" s="16"/>
      <c r="CDS27" s="16"/>
      <c r="CDT27" s="16"/>
      <c r="CDU27" s="16"/>
      <c r="CDV27" s="16"/>
      <c r="CDW27" s="16"/>
      <c r="CDX27" s="16"/>
      <c r="CDY27" s="16"/>
      <c r="CDZ27" s="16"/>
      <c r="CEA27" s="16"/>
      <c r="CEB27" s="16"/>
      <c r="CEC27" s="16"/>
      <c r="CED27" s="16"/>
      <c r="CEE27" s="16"/>
      <c r="CEF27" s="16"/>
      <c r="CEG27" s="16"/>
      <c r="CEH27" s="16"/>
      <c r="CEI27" s="16"/>
      <c r="CEJ27" s="16"/>
      <c r="CEK27" s="16"/>
      <c r="CEL27" s="16"/>
      <c r="CEM27" s="16"/>
      <c r="CEN27" s="16"/>
      <c r="CEO27" s="16"/>
      <c r="CEP27" s="16"/>
      <c r="CEQ27" s="16"/>
      <c r="CER27" s="16"/>
      <c r="CES27" s="16"/>
      <c r="CET27" s="16"/>
      <c r="CEU27" s="16"/>
      <c r="CEV27" s="16"/>
      <c r="CEW27" s="16"/>
      <c r="CEX27" s="16"/>
      <c r="CEY27" s="16"/>
      <c r="CEZ27" s="16"/>
      <c r="CFA27" s="16"/>
      <c r="CFB27" s="16"/>
      <c r="CFC27" s="16"/>
      <c r="CFD27" s="16"/>
      <c r="CFE27" s="16"/>
      <c r="CFF27" s="16"/>
      <c r="CFG27" s="16"/>
      <c r="CFH27" s="16"/>
      <c r="CFI27" s="16"/>
      <c r="CFJ27" s="16"/>
      <c r="CFK27" s="16"/>
      <c r="CFL27" s="16"/>
      <c r="CFM27" s="16"/>
      <c r="CFN27" s="16"/>
      <c r="CFO27" s="16"/>
      <c r="CFP27" s="16"/>
      <c r="CFQ27" s="16"/>
      <c r="CFR27" s="16"/>
      <c r="CFS27" s="16"/>
      <c r="CFT27" s="16"/>
      <c r="CFU27" s="16"/>
      <c r="CFV27" s="16"/>
      <c r="CFW27" s="16"/>
      <c r="CFX27" s="16"/>
      <c r="CFY27" s="16"/>
      <c r="CFZ27" s="16"/>
      <c r="CGA27" s="16"/>
      <c r="CGB27" s="16"/>
      <c r="CGC27" s="16"/>
      <c r="CGD27" s="16"/>
      <c r="CGE27" s="16"/>
      <c r="CGF27" s="16"/>
      <c r="CGG27" s="16"/>
      <c r="CGH27" s="16"/>
      <c r="CGI27" s="16"/>
      <c r="CGJ27" s="16"/>
      <c r="CGK27" s="16"/>
      <c r="CGL27" s="16"/>
      <c r="CGM27" s="16"/>
      <c r="CGN27" s="16"/>
      <c r="CGO27" s="16"/>
      <c r="CGP27" s="16"/>
      <c r="CGQ27" s="16"/>
      <c r="CGR27" s="16"/>
      <c r="CGS27" s="16"/>
      <c r="CGT27" s="16"/>
      <c r="CGU27" s="16"/>
      <c r="CGV27" s="16"/>
      <c r="CGW27" s="16"/>
      <c r="CGX27" s="16"/>
      <c r="CGY27" s="16"/>
      <c r="CGZ27" s="16"/>
      <c r="CHA27" s="16"/>
      <c r="CHB27" s="16"/>
      <c r="CHC27" s="16"/>
      <c r="CHD27" s="16"/>
      <c r="CHE27" s="16"/>
      <c r="CHF27" s="16"/>
      <c r="CHG27" s="16"/>
      <c r="CHH27" s="16"/>
      <c r="CHI27" s="16"/>
      <c r="CHJ27" s="16"/>
      <c r="CHK27" s="16"/>
      <c r="CHL27" s="16"/>
      <c r="CHM27" s="16"/>
      <c r="CHN27" s="16"/>
      <c r="CHO27" s="16"/>
      <c r="CHP27" s="16"/>
      <c r="CHQ27" s="16"/>
      <c r="CHR27" s="16"/>
      <c r="CHS27" s="16"/>
      <c r="CHT27" s="16"/>
      <c r="CHU27" s="16"/>
      <c r="CHV27" s="16"/>
      <c r="CHW27" s="16"/>
      <c r="CHX27" s="16"/>
      <c r="CHY27" s="16"/>
      <c r="CHZ27" s="16"/>
      <c r="CIA27" s="16"/>
      <c r="CIB27" s="16"/>
      <c r="CIC27" s="16"/>
      <c r="CID27" s="16"/>
      <c r="CIE27" s="16"/>
      <c r="CIF27" s="16"/>
      <c r="CIG27" s="16"/>
      <c r="CIH27" s="16"/>
      <c r="CII27" s="16"/>
      <c r="CIJ27" s="16"/>
      <c r="CIK27" s="16"/>
      <c r="CIL27" s="16"/>
      <c r="CIM27" s="16"/>
      <c r="CIN27" s="16"/>
      <c r="CIO27" s="16"/>
      <c r="CIP27" s="16"/>
      <c r="CIQ27" s="16"/>
      <c r="CIR27" s="16"/>
      <c r="CIS27" s="16"/>
      <c r="CIT27" s="16"/>
      <c r="CIU27" s="16"/>
      <c r="CIV27" s="16"/>
      <c r="CIW27" s="16"/>
      <c r="CIX27" s="16"/>
      <c r="CIY27" s="16"/>
      <c r="CIZ27" s="16"/>
      <c r="CJA27" s="16"/>
      <c r="CJB27" s="16"/>
      <c r="CJC27" s="16"/>
      <c r="CJD27" s="16"/>
      <c r="CJE27" s="16"/>
      <c r="CJF27" s="16"/>
      <c r="CJG27" s="16"/>
      <c r="CJH27" s="16"/>
      <c r="CJI27" s="16"/>
      <c r="CJJ27" s="16"/>
      <c r="CJK27" s="16"/>
      <c r="CJL27" s="16"/>
      <c r="CJM27" s="16"/>
      <c r="CJN27" s="16"/>
      <c r="CJO27" s="16"/>
      <c r="CJP27" s="16"/>
      <c r="CJQ27" s="16"/>
      <c r="CJR27" s="16"/>
      <c r="CJS27" s="16"/>
      <c r="CJT27" s="16"/>
      <c r="CJU27" s="16"/>
      <c r="CJV27" s="16"/>
      <c r="CJW27" s="16"/>
      <c r="CJX27" s="16"/>
      <c r="CJY27" s="16"/>
      <c r="CJZ27" s="16"/>
      <c r="CKA27" s="16"/>
      <c r="CKB27" s="16"/>
      <c r="CKC27" s="16"/>
      <c r="CKD27" s="16"/>
      <c r="CKE27" s="16"/>
      <c r="CKF27" s="16"/>
      <c r="CKG27" s="16"/>
      <c r="CKH27" s="16"/>
      <c r="CKI27" s="16"/>
      <c r="CKJ27" s="16"/>
      <c r="CKK27" s="16"/>
      <c r="CKL27" s="16"/>
      <c r="CKM27" s="16"/>
      <c r="CKN27" s="16"/>
      <c r="CKO27" s="16"/>
      <c r="CKP27" s="16"/>
      <c r="CKQ27" s="16"/>
      <c r="CKR27" s="16"/>
      <c r="CKS27" s="16"/>
      <c r="CKT27" s="16"/>
      <c r="CKU27" s="16"/>
      <c r="CKV27" s="16"/>
      <c r="CKW27" s="16"/>
      <c r="CKX27" s="16"/>
      <c r="CKY27" s="16"/>
      <c r="CKZ27" s="16"/>
      <c r="CLA27" s="16"/>
      <c r="CLB27" s="16"/>
      <c r="CLC27" s="16"/>
      <c r="CLD27" s="16"/>
      <c r="CLE27" s="16"/>
      <c r="CLF27" s="16"/>
      <c r="CLG27" s="16"/>
      <c r="CLH27" s="16"/>
      <c r="CLI27" s="16"/>
      <c r="CLJ27" s="16"/>
      <c r="CLK27" s="16"/>
      <c r="CLL27" s="16"/>
      <c r="CLM27" s="16"/>
      <c r="CLN27" s="16"/>
      <c r="CLO27" s="16"/>
      <c r="CLP27" s="16"/>
      <c r="CLQ27" s="16"/>
      <c r="CLR27" s="16"/>
      <c r="CLS27" s="16"/>
      <c r="CLT27" s="16"/>
      <c r="CLU27" s="16"/>
      <c r="CLV27" s="16"/>
      <c r="CLW27" s="16"/>
      <c r="CLX27" s="16"/>
      <c r="CLY27" s="16"/>
      <c r="CLZ27" s="16"/>
      <c r="CMA27" s="16"/>
      <c r="CMB27" s="16"/>
      <c r="CMC27" s="16"/>
      <c r="CMD27" s="16"/>
      <c r="CME27" s="16"/>
      <c r="CMF27" s="16"/>
      <c r="CMG27" s="16"/>
      <c r="CMH27" s="16"/>
      <c r="CMI27" s="16"/>
      <c r="CMJ27" s="16"/>
      <c r="CMK27" s="16"/>
      <c r="CML27" s="16"/>
      <c r="CMM27" s="16"/>
      <c r="CMN27" s="16"/>
      <c r="CMO27" s="16"/>
      <c r="CMP27" s="16"/>
      <c r="CMQ27" s="16"/>
      <c r="CMR27" s="16"/>
      <c r="CMS27" s="16"/>
      <c r="CMT27" s="16"/>
      <c r="CMU27" s="16"/>
      <c r="CMV27" s="16"/>
      <c r="CMW27" s="16"/>
      <c r="CMX27" s="16"/>
      <c r="CMY27" s="16"/>
      <c r="CMZ27" s="16"/>
      <c r="CNA27" s="16"/>
      <c r="CNB27" s="16"/>
      <c r="CNC27" s="16"/>
      <c r="CND27" s="16"/>
      <c r="CNE27" s="16"/>
      <c r="CNF27" s="16"/>
      <c r="CNG27" s="16"/>
      <c r="CNH27" s="16"/>
      <c r="CNI27" s="16"/>
      <c r="CNJ27" s="16"/>
      <c r="CNK27" s="16"/>
      <c r="CNL27" s="16"/>
      <c r="CNM27" s="16"/>
      <c r="CNN27" s="16"/>
      <c r="CNO27" s="16"/>
      <c r="CNP27" s="16"/>
      <c r="CNQ27" s="16"/>
      <c r="CNR27" s="16"/>
      <c r="CNS27" s="16"/>
      <c r="CNT27" s="16"/>
      <c r="CNU27" s="16"/>
      <c r="CNV27" s="16"/>
      <c r="CNW27" s="16"/>
      <c r="CNX27" s="16"/>
      <c r="CNY27" s="16"/>
      <c r="CNZ27" s="16"/>
      <c r="COA27" s="16"/>
      <c r="COB27" s="16"/>
      <c r="COC27" s="16"/>
      <c r="COD27" s="16"/>
      <c r="COE27" s="16"/>
      <c r="COF27" s="16"/>
      <c r="COG27" s="16"/>
      <c r="COH27" s="16"/>
      <c r="COI27" s="16"/>
      <c r="COJ27" s="16"/>
      <c r="COK27" s="16"/>
      <c r="COL27" s="16"/>
      <c r="COM27" s="16"/>
      <c r="CON27" s="16"/>
      <c r="COO27" s="16"/>
      <c r="COP27" s="16"/>
      <c r="COQ27" s="16"/>
      <c r="COR27" s="16"/>
      <c r="COS27" s="16"/>
      <c r="COT27" s="16"/>
      <c r="COU27" s="16"/>
      <c r="COV27" s="16"/>
      <c r="COW27" s="16"/>
      <c r="COX27" s="16"/>
      <c r="COY27" s="16"/>
      <c r="COZ27" s="16"/>
      <c r="CPA27" s="16"/>
      <c r="CPB27" s="16"/>
      <c r="CPC27" s="16"/>
      <c r="CPD27" s="16"/>
      <c r="CPE27" s="16"/>
      <c r="CPF27" s="16"/>
      <c r="CPG27" s="16"/>
      <c r="CPH27" s="16"/>
      <c r="CPI27" s="16"/>
      <c r="CPJ27" s="16"/>
      <c r="CPK27" s="16"/>
      <c r="CPL27" s="16"/>
      <c r="CPM27" s="16"/>
      <c r="CPN27" s="16"/>
      <c r="CPO27" s="16"/>
      <c r="CPP27" s="16"/>
      <c r="CPQ27" s="16"/>
      <c r="CPR27" s="16"/>
      <c r="CPS27" s="16"/>
      <c r="CPT27" s="16"/>
      <c r="CPU27" s="16"/>
      <c r="CPV27" s="16"/>
      <c r="CPW27" s="16"/>
      <c r="CPX27" s="16"/>
      <c r="CPY27" s="16"/>
      <c r="CPZ27" s="16"/>
      <c r="CQA27" s="16"/>
      <c r="CQB27" s="16"/>
      <c r="CQC27" s="16"/>
      <c r="CQD27" s="16"/>
      <c r="CQE27" s="16"/>
      <c r="CQF27" s="16"/>
      <c r="CQG27" s="16"/>
      <c r="CQH27" s="16"/>
      <c r="CQI27" s="16"/>
      <c r="CQJ27" s="16"/>
      <c r="CQK27" s="16"/>
      <c r="CQL27" s="16"/>
      <c r="CQM27" s="16"/>
      <c r="CQN27" s="16"/>
      <c r="CQO27" s="16"/>
      <c r="CQP27" s="16"/>
      <c r="CQQ27" s="16"/>
      <c r="CQR27" s="16"/>
      <c r="CQS27" s="16"/>
      <c r="CQT27" s="16"/>
      <c r="CQU27" s="16"/>
      <c r="CQV27" s="16"/>
      <c r="CQW27" s="16"/>
      <c r="CQX27" s="16"/>
      <c r="CQY27" s="16"/>
      <c r="CQZ27" s="16"/>
      <c r="CRA27" s="16"/>
      <c r="CRB27" s="16"/>
      <c r="CRC27" s="16"/>
      <c r="CRD27" s="16"/>
      <c r="CRE27" s="16"/>
      <c r="CRF27" s="16"/>
      <c r="CRG27" s="16"/>
      <c r="CRH27" s="16"/>
      <c r="CRI27" s="16"/>
      <c r="CRJ27" s="16"/>
      <c r="CRK27" s="16"/>
      <c r="CRL27" s="16"/>
      <c r="CRM27" s="16"/>
      <c r="CRN27" s="16"/>
      <c r="CRO27" s="16"/>
      <c r="CRP27" s="16"/>
      <c r="CRQ27" s="16"/>
      <c r="CRR27" s="16"/>
      <c r="CRS27" s="16"/>
      <c r="CRT27" s="16"/>
      <c r="CRU27" s="16"/>
      <c r="CRV27" s="16"/>
      <c r="CRW27" s="16"/>
      <c r="CRX27" s="16"/>
      <c r="CRY27" s="16"/>
      <c r="CRZ27" s="16"/>
      <c r="CSA27" s="16"/>
      <c r="CSB27" s="16"/>
      <c r="CSC27" s="16"/>
      <c r="CSD27" s="16"/>
      <c r="CSE27" s="16"/>
      <c r="CSF27" s="16"/>
      <c r="CSG27" s="16"/>
      <c r="CSH27" s="16"/>
      <c r="CSI27" s="16"/>
      <c r="CSJ27" s="16"/>
      <c r="CSK27" s="16"/>
      <c r="CSL27" s="16"/>
      <c r="CSM27" s="16"/>
      <c r="CSN27" s="16"/>
      <c r="CSO27" s="16"/>
      <c r="CSP27" s="16"/>
      <c r="CSQ27" s="16"/>
      <c r="CSR27" s="16"/>
      <c r="CSS27" s="16"/>
      <c r="CST27" s="16"/>
      <c r="CSU27" s="16"/>
      <c r="CSV27" s="16"/>
      <c r="CSW27" s="16"/>
      <c r="CSX27" s="16"/>
      <c r="CSY27" s="16"/>
      <c r="CSZ27" s="16"/>
      <c r="CTA27" s="16"/>
      <c r="CTB27" s="16"/>
      <c r="CTC27" s="16"/>
      <c r="CTD27" s="16"/>
      <c r="CTE27" s="16"/>
      <c r="CTF27" s="16"/>
      <c r="CTG27" s="16"/>
      <c r="CTH27" s="16"/>
      <c r="CTI27" s="16"/>
      <c r="CTJ27" s="16"/>
      <c r="CTK27" s="16"/>
      <c r="CTL27" s="16"/>
      <c r="CTM27" s="16"/>
      <c r="CTN27" s="16"/>
      <c r="CTO27" s="16"/>
      <c r="CTP27" s="16"/>
      <c r="CTQ27" s="16"/>
      <c r="CTR27" s="16"/>
      <c r="CTS27" s="16"/>
      <c r="CTT27" s="16"/>
      <c r="CTU27" s="16"/>
      <c r="CTV27" s="16"/>
      <c r="CTW27" s="16"/>
      <c r="CTX27" s="16"/>
      <c r="CTY27" s="16"/>
      <c r="CTZ27" s="16"/>
      <c r="CUA27" s="16"/>
      <c r="CUB27" s="16"/>
      <c r="CUC27" s="16"/>
      <c r="CUD27" s="16"/>
      <c r="CUE27" s="16"/>
      <c r="CUF27" s="16"/>
      <c r="CUG27" s="16"/>
      <c r="CUH27" s="16"/>
      <c r="CUI27" s="16"/>
      <c r="CUJ27" s="16"/>
      <c r="CUK27" s="16"/>
      <c r="CUL27" s="16"/>
      <c r="CUM27" s="16"/>
      <c r="CUN27" s="16"/>
      <c r="CUO27" s="16"/>
      <c r="CUP27" s="16"/>
      <c r="CUQ27" s="16"/>
      <c r="CUR27" s="16"/>
      <c r="CUS27" s="16"/>
      <c r="CUT27" s="16"/>
      <c r="CUU27" s="16"/>
      <c r="CUV27" s="16"/>
      <c r="CUW27" s="16"/>
      <c r="CUX27" s="16"/>
      <c r="CUY27" s="16"/>
      <c r="CUZ27" s="16"/>
      <c r="CVA27" s="16"/>
      <c r="CVB27" s="16"/>
      <c r="CVC27" s="16"/>
      <c r="CVD27" s="16"/>
      <c r="CVE27" s="16"/>
      <c r="CVF27" s="16"/>
      <c r="CVG27" s="16"/>
      <c r="CVH27" s="16"/>
      <c r="CVI27" s="16"/>
      <c r="CVJ27" s="16"/>
      <c r="CVK27" s="16"/>
      <c r="CVL27" s="16"/>
      <c r="CVM27" s="16"/>
      <c r="CVN27" s="16"/>
      <c r="CVO27" s="16"/>
      <c r="CVP27" s="16"/>
      <c r="CVQ27" s="16"/>
      <c r="CVR27" s="16"/>
      <c r="CVS27" s="16"/>
      <c r="CVT27" s="16"/>
      <c r="CVU27" s="16"/>
      <c r="CVV27" s="16"/>
      <c r="CVW27" s="16"/>
      <c r="CVX27" s="16"/>
      <c r="CVY27" s="16"/>
      <c r="CVZ27" s="16"/>
      <c r="CWA27" s="16"/>
      <c r="CWB27" s="16"/>
      <c r="CWC27" s="16"/>
      <c r="CWD27" s="16"/>
      <c r="CWE27" s="16"/>
      <c r="CWF27" s="16"/>
      <c r="CWG27" s="16"/>
      <c r="CWH27" s="16"/>
      <c r="CWI27" s="16"/>
      <c r="CWJ27" s="16"/>
      <c r="CWK27" s="16"/>
      <c r="CWL27" s="16"/>
      <c r="CWM27" s="16"/>
      <c r="CWN27" s="16"/>
      <c r="CWO27" s="16"/>
      <c r="CWP27" s="16"/>
      <c r="CWQ27" s="16"/>
      <c r="CWR27" s="16"/>
      <c r="CWS27" s="16"/>
      <c r="CWT27" s="16"/>
      <c r="CWU27" s="16"/>
      <c r="CWV27" s="16"/>
      <c r="CWW27" s="16"/>
      <c r="CWX27" s="16"/>
      <c r="CWY27" s="16"/>
      <c r="CWZ27" s="16"/>
      <c r="CXA27" s="16"/>
      <c r="CXB27" s="16"/>
      <c r="CXC27" s="16"/>
      <c r="CXD27" s="16"/>
      <c r="CXE27" s="16"/>
      <c r="CXF27" s="16"/>
      <c r="CXG27" s="16"/>
      <c r="CXH27" s="16"/>
      <c r="CXI27" s="16"/>
      <c r="CXJ27" s="16"/>
      <c r="CXK27" s="16"/>
      <c r="CXL27" s="16"/>
      <c r="CXM27" s="16"/>
      <c r="CXN27" s="16"/>
      <c r="CXO27" s="16"/>
      <c r="CXP27" s="16"/>
      <c r="CXQ27" s="16"/>
      <c r="CXR27" s="16"/>
      <c r="CXS27" s="16"/>
      <c r="CXT27" s="16"/>
      <c r="CXU27" s="16"/>
      <c r="CXV27" s="16"/>
      <c r="CXW27" s="16"/>
      <c r="CXX27" s="16"/>
      <c r="CXY27" s="16"/>
      <c r="CXZ27" s="16"/>
      <c r="CYA27" s="16"/>
      <c r="CYB27" s="16"/>
      <c r="CYC27" s="16"/>
      <c r="CYD27" s="16"/>
      <c r="CYE27" s="16"/>
      <c r="CYF27" s="16"/>
      <c r="CYG27" s="16"/>
      <c r="CYH27" s="16"/>
      <c r="CYI27" s="16"/>
      <c r="CYJ27" s="16"/>
      <c r="CYK27" s="16"/>
      <c r="CYL27" s="16"/>
      <c r="CYM27" s="16"/>
      <c r="CYN27" s="16"/>
      <c r="CYO27" s="16"/>
      <c r="CYP27" s="16"/>
      <c r="CYQ27" s="16"/>
      <c r="CYR27" s="16"/>
      <c r="CYS27" s="16"/>
      <c r="CYT27" s="16"/>
      <c r="CYU27" s="16"/>
      <c r="CYV27" s="16"/>
      <c r="CYW27" s="16"/>
      <c r="CYX27" s="16"/>
      <c r="CYY27" s="16"/>
      <c r="CYZ27" s="16"/>
      <c r="CZA27" s="16"/>
      <c r="CZB27" s="16"/>
      <c r="CZC27" s="16"/>
      <c r="CZD27" s="16"/>
      <c r="CZE27" s="16"/>
      <c r="CZF27" s="16"/>
      <c r="CZG27" s="16"/>
      <c r="CZH27" s="16"/>
      <c r="CZI27" s="16"/>
      <c r="CZJ27" s="16"/>
      <c r="CZK27" s="16"/>
      <c r="CZL27" s="16"/>
      <c r="CZM27" s="16"/>
      <c r="CZN27" s="16"/>
      <c r="CZO27" s="16"/>
      <c r="CZP27" s="16"/>
      <c r="CZQ27" s="16"/>
      <c r="CZR27" s="16"/>
      <c r="CZS27" s="16"/>
      <c r="CZT27" s="16"/>
      <c r="CZU27" s="16"/>
      <c r="CZV27" s="16"/>
      <c r="CZW27" s="16"/>
      <c r="CZX27" s="16"/>
      <c r="CZY27" s="16"/>
      <c r="CZZ27" s="16"/>
      <c r="DAA27" s="16"/>
      <c r="DAB27" s="16"/>
      <c r="DAC27" s="16"/>
      <c r="DAD27" s="16"/>
      <c r="DAE27" s="16"/>
      <c r="DAF27" s="16"/>
      <c r="DAG27" s="16"/>
      <c r="DAH27" s="16"/>
      <c r="DAI27" s="16"/>
      <c r="DAJ27" s="16"/>
      <c r="DAK27" s="16"/>
      <c r="DAL27" s="16"/>
      <c r="DAM27" s="16"/>
      <c r="DAN27" s="16"/>
      <c r="DAO27" s="16"/>
      <c r="DAP27" s="16"/>
      <c r="DAQ27" s="16"/>
      <c r="DAR27" s="16"/>
      <c r="DAS27" s="16"/>
      <c r="DAT27" s="16"/>
      <c r="DAU27" s="16"/>
      <c r="DAV27" s="16"/>
      <c r="DAW27" s="16"/>
      <c r="DAX27" s="16"/>
      <c r="DAY27" s="16"/>
      <c r="DAZ27" s="16"/>
      <c r="DBA27" s="16"/>
      <c r="DBB27" s="16"/>
      <c r="DBC27" s="16"/>
      <c r="DBD27" s="16"/>
      <c r="DBE27" s="16"/>
      <c r="DBF27" s="16"/>
      <c r="DBG27" s="16"/>
      <c r="DBH27" s="16"/>
      <c r="DBI27" s="16"/>
      <c r="DBJ27" s="16"/>
      <c r="DBK27" s="16"/>
      <c r="DBL27" s="16"/>
      <c r="DBM27" s="16"/>
      <c r="DBN27" s="16"/>
      <c r="DBO27" s="16"/>
      <c r="DBP27" s="16"/>
      <c r="DBQ27" s="16"/>
      <c r="DBR27" s="16"/>
      <c r="DBS27" s="16"/>
      <c r="DBT27" s="16"/>
      <c r="DBU27" s="16"/>
      <c r="DBV27" s="16"/>
      <c r="DBW27" s="16"/>
      <c r="DBX27" s="16"/>
      <c r="DBY27" s="16"/>
      <c r="DBZ27" s="16"/>
      <c r="DCA27" s="16"/>
      <c r="DCB27" s="16"/>
      <c r="DCC27" s="16"/>
      <c r="DCD27" s="16"/>
      <c r="DCE27" s="16"/>
      <c r="DCF27" s="16"/>
      <c r="DCG27" s="16"/>
      <c r="DCH27" s="16"/>
      <c r="DCI27" s="16"/>
      <c r="DCJ27" s="16"/>
      <c r="DCK27" s="16"/>
      <c r="DCL27" s="16"/>
      <c r="DCM27" s="16"/>
      <c r="DCN27" s="16"/>
      <c r="DCO27" s="16"/>
      <c r="DCP27" s="16"/>
      <c r="DCQ27" s="16"/>
      <c r="DCR27" s="16"/>
      <c r="DCS27" s="16"/>
      <c r="DCT27" s="16"/>
      <c r="DCU27" s="16"/>
      <c r="DCV27" s="16"/>
      <c r="DCW27" s="16"/>
      <c r="DCX27" s="16"/>
      <c r="DCY27" s="16"/>
      <c r="DCZ27" s="16"/>
      <c r="DDA27" s="16"/>
      <c r="DDB27" s="16"/>
      <c r="DDC27" s="16"/>
      <c r="DDD27" s="16"/>
      <c r="DDE27" s="16"/>
      <c r="DDF27" s="16"/>
      <c r="DDG27" s="16"/>
      <c r="DDH27" s="16"/>
      <c r="DDI27" s="16"/>
      <c r="DDJ27" s="16"/>
      <c r="DDK27" s="16"/>
      <c r="DDL27" s="16"/>
      <c r="DDM27" s="16"/>
      <c r="DDN27" s="16"/>
      <c r="DDO27" s="16"/>
      <c r="DDP27" s="16"/>
      <c r="DDQ27" s="16"/>
      <c r="DDR27" s="16"/>
      <c r="DDS27" s="16"/>
      <c r="DDT27" s="16"/>
      <c r="DDU27" s="16"/>
      <c r="DDV27" s="16"/>
      <c r="DDW27" s="16"/>
      <c r="DDX27" s="16"/>
      <c r="DDY27" s="16"/>
      <c r="DDZ27" s="16"/>
      <c r="DEA27" s="16"/>
      <c r="DEB27" s="16"/>
      <c r="DEC27" s="16"/>
      <c r="DED27" s="16"/>
      <c r="DEE27" s="16"/>
      <c r="DEF27" s="16"/>
      <c r="DEG27" s="16"/>
      <c r="DEH27" s="16"/>
      <c r="DEI27" s="16"/>
      <c r="DEJ27" s="16"/>
      <c r="DEK27" s="16"/>
      <c r="DEL27" s="16"/>
      <c r="DEM27" s="16"/>
      <c r="DEN27" s="16"/>
      <c r="DEO27" s="16"/>
      <c r="DEP27" s="16"/>
      <c r="DEQ27" s="16"/>
      <c r="DER27" s="16"/>
      <c r="DES27" s="16"/>
      <c r="DET27" s="16"/>
      <c r="DEU27" s="16"/>
      <c r="DEV27" s="16"/>
      <c r="DEW27" s="16"/>
      <c r="DEX27" s="16"/>
      <c r="DEY27" s="16"/>
      <c r="DEZ27" s="16"/>
      <c r="DFA27" s="16"/>
      <c r="DFB27" s="16"/>
      <c r="DFC27" s="16"/>
      <c r="DFD27" s="16"/>
      <c r="DFE27" s="16"/>
      <c r="DFF27" s="16"/>
      <c r="DFG27" s="16"/>
      <c r="DFH27" s="16"/>
      <c r="DFI27" s="16"/>
      <c r="DFJ27" s="16"/>
      <c r="DFK27" s="16"/>
      <c r="DFL27" s="16"/>
      <c r="DFM27" s="16"/>
      <c r="DFN27" s="16"/>
      <c r="DFO27" s="16"/>
      <c r="DFP27" s="16"/>
      <c r="DFQ27" s="16"/>
      <c r="DFR27" s="16"/>
      <c r="DFS27" s="16"/>
      <c r="DFT27" s="16"/>
      <c r="DFU27" s="16"/>
      <c r="DFV27" s="16"/>
      <c r="DFW27" s="16"/>
      <c r="DFX27" s="16"/>
      <c r="DFY27" s="16"/>
      <c r="DFZ27" s="16"/>
      <c r="DGA27" s="16"/>
      <c r="DGB27" s="16"/>
      <c r="DGC27" s="16"/>
      <c r="DGD27" s="16"/>
      <c r="DGE27" s="16"/>
      <c r="DGF27" s="16"/>
      <c r="DGG27" s="16"/>
      <c r="DGH27" s="16"/>
      <c r="DGI27" s="16"/>
      <c r="DGJ27" s="16"/>
      <c r="DGK27" s="16"/>
      <c r="DGL27" s="16"/>
      <c r="DGM27" s="16"/>
      <c r="DGN27" s="16"/>
      <c r="DGO27" s="16"/>
      <c r="DGP27" s="16"/>
      <c r="DGQ27" s="16"/>
      <c r="DGR27" s="16"/>
      <c r="DGS27" s="16"/>
      <c r="DGT27" s="16"/>
      <c r="DGU27" s="16"/>
      <c r="DGV27" s="16"/>
      <c r="DGW27" s="16"/>
      <c r="DGX27" s="16"/>
      <c r="DGY27" s="16"/>
      <c r="DGZ27" s="16"/>
      <c r="DHA27" s="16"/>
      <c r="DHB27" s="16"/>
      <c r="DHC27" s="16"/>
      <c r="DHD27" s="16"/>
      <c r="DHE27" s="16"/>
      <c r="DHF27" s="16"/>
      <c r="DHG27" s="16"/>
      <c r="DHH27" s="16"/>
      <c r="DHI27" s="16"/>
      <c r="DHJ27" s="16"/>
      <c r="DHK27" s="16"/>
      <c r="DHL27" s="16"/>
      <c r="DHM27" s="16"/>
      <c r="DHN27" s="16"/>
      <c r="DHO27" s="16"/>
      <c r="DHP27" s="16"/>
      <c r="DHQ27" s="16"/>
      <c r="DHR27" s="16"/>
      <c r="DHS27" s="16"/>
      <c r="DHT27" s="16"/>
      <c r="DHU27" s="16"/>
      <c r="DHV27" s="16"/>
      <c r="DHW27" s="16"/>
      <c r="DHX27" s="16"/>
      <c r="DHY27" s="16"/>
      <c r="DHZ27" s="16"/>
      <c r="DIA27" s="16"/>
      <c r="DIB27" s="16"/>
      <c r="DIC27" s="16"/>
      <c r="DID27" s="16"/>
      <c r="DIE27" s="16"/>
      <c r="DIF27" s="16"/>
      <c r="DIG27" s="16"/>
      <c r="DIH27" s="16"/>
      <c r="DII27" s="16"/>
      <c r="DIJ27" s="16"/>
      <c r="DIK27" s="16"/>
      <c r="DIL27" s="16"/>
      <c r="DIM27" s="16"/>
      <c r="DIN27" s="16"/>
      <c r="DIO27" s="16"/>
      <c r="DIP27" s="16"/>
      <c r="DIQ27" s="16"/>
      <c r="DIR27" s="16"/>
      <c r="DIS27" s="16"/>
      <c r="DIT27" s="16"/>
      <c r="DIU27" s="16"/>
      <c r="DIV27" s="16"/>
      <c r="DIW27" s="16"/>
      <c r="DIX27" s="16"/>
      <c r="DIY27" s="16"/>
      <c r="DIZ27" s="16"/>
      <c r="DJA27" s="16"/>
      <c r="DJB27" s="16"/>
      <c r="DJC27" s="16"/>
      <c r="DJD27" s="16"/>
      <c r="DJE27" s="16"/>
      <c r="DJF27" s="16"/>
      <c r="DJG27" s="16"/>
      <c r="DJH27" s="16"/>
      <c r="DJI27" s="16"/>
      <c r="DJJ27" s="16"/>
      <c r="DJK27" s="16"/>
      <c r="DJL27" s="16"/>
      <c r="DJM27" s="16"/>
      <c r="DJN27" s="16"/>
      <c r="DJO27" s="16"/>
      <c r="DJP27" s="16"/>
      <c r="DJQ27" s="16"/>
      <c r="DJR27" s="16"/>
      <c r="DJS27" s="16"/>
      <c r="DJT27" s="16"/>
      <c r="DJU27" s="16"/>
      <c r="DJV27" s="16"/>
      <c r="DJW27" s="16"/>
      <c r="DJX27" s="16"/>
      <c r="DJY27" s="16"/>
      <c r="DJZ27" s="16"/>
      <c r="DKA27" s="16"/>
      <c r="DKB27" s="16"/>
      <c r="DKC27" s="16"/>
      <c r="DKD27" s="16"/>
      <c r="DKE27" s="16"/>
      <c r="DKF27" s="16"/>
      <c r="DKG27" s="16"/>
      <c r="DKH27" s="16"/>
      <c r="DKI27" s="16"/>
      <c r="DKJ27" s="16"/>
      <c r="DKK27" s="16"/>
      <c r="DKL27" s="16"/>
      <c r="DKM27" s="16"/>
      <c r="DKN27" s="16"/>
      <c r="DKO27" s="16"/>
      <c r="DKP27" s="16"/>
      <c r="DKQ27" s="16"/>
      <c r="DKR27" s="16"/>
      <c r="DKS27" s="16"/>
      <c r="DKT27" s="16"/>
      <c r="DKU27" s="16"/>
      <c r="DKV27" s="16"/>
      <c r="DKW27" s="16"/>
      <c r="DKX27" s="16"/>
      <c r="DKY27" s="16"/>
      <c r="DKZ27" s="16"/>
      <c r="DLA27" s="16"/>
      <c r="DLB27" s="16"/>
      <c r="DLC27" s="16"/>
      <c r="DLD27" s="16"/>
      <c r="DLE27" s="16"/>
      <c r="DLF27" s="16"/>
      <c r="DLG27" s="16"/>
      <c r="DLH27" s="16"/>
      <c r="DLI27" s="16"/>
      <c r="DLJ27" s="16"/>
      <c r="DLK27" s="16"/>
      <c r="DLL27" s="16"/>
      <c r="DLM27" s="16"/>
      <c r="DLN27" s="16"/>
      <c r="DLO27" s="16"/>
      <c r="DLP27" s="16"/>
      <c r="DLQ27" s="16"/>
      <c r="DLR27" s="16"/>
      <c r="DLS27" s="16"/>
      <c r="DLT27" s="16"/>
      <c r="DLU27" s="16"/>
      <c r="DLV27" s="16"/>
      <c r="DLW27" s="16"/>
      <c r="DLX27" s="16"/>
      <c r="DLY27" s="16"/>
      <c r="DLZ27" s="16"/>
      <c r="DMA27" s="16"/>
      <c r="DMB27" s="16"/>
      <c r="DMC27" s="16"/>
      <c r="DMD27" s="16"/>
      <c r="DME27" s="16"/>
      <c r="DMF27" s="16"/>
      <c r="DMG27" s="16"/>
      <c r="DMH27" s="16"/>
      <c r="DMI27" s="16"/>
      <c r="DMJ27" s="16"/>
      <c r="DMK27" s="16"/>
      <c r="DML27" s="16"/>
      <c r="DMM27" s="16"/>
      <c r="DMN27" s="16"/>
      <c r="DMO27" s="16"/>
      <c r="DMP27" s="16"/>
      <c r="DMQ27" s="16"/>
      <c r="DMR27" s="16"/>
      <c r="DMS27" s="16"/>
      <c r="DMT27" s="16"/>
      <c r="DMU27" s="16"/>
      <c r="DMV27" s="16"/>
      <c r="DMW27" s="16"/>
      <c r="DMX27" s="16"/>
      <c r="DMY27" s="16"/>
      <c r="DMZ27" s="16"/>
      <c r="DNA27" s="16"/>
      <c r="DNB27" s="16"/>
      <c r="DNC27" s="16"/>
      <c r="DND27" s="16"/>
      <c r="DNE27" s="16"/>
      <c r="DNF27" s="16"/>
      <c r="DNG27" s="16"/>
      <c r="DNH27" s="16"/>
      <c r="DNI27" s="16"/>
      <c r="DNJ27" s="16"/>
      <c r="DNK27" s="16"/>
      <c r="DNL27" s="16"/>
      <c r="DNM27" s="16"/>
      <c r="DNN27" s="16"/>
      <c r="DNO27" s="16"/>
      <c r="DNP27" s="16"/>
      <c r="DNQ27" s="16"/>
      <c r="DNR27" s="16"/>
      <c r="DNS27" s="16"/>
      <c r="DNT27" s="16"/>
      <c r="DNU27" s="16"/>
      <c r="DNV27" s="16"/>
      <c r="DNW27" s="16"/>
      <c r="DNX27" s="16"/>
      <c r="DNY27" s="16"/>
      <c r="DNZ27" s="16"/>
      <c r="DOA27" s="16"/>
      <c r="DOB27" s="16"/>
      <c r="DOC27" s="16"/>
      <c r="DOD27" s="16"/>
      <c r="DOE27" s="16"/>
      <c r="DOF27" s="16"/>
      <c r="DOG27" s="16"/>
      <c r="DOH27" s="16"/>
      <c r="DOI27" s="16"/>
      <c r="DOJ27" s="16"/>
      <c r="DOK27" s="16"/>
      <c r="DOL27" s="16"/>
      <c r="DOM27" s="16"/>
      <c r="DON27" s="16"/>
      <c r="DOO27" s="16"/>
      <c r="DOP27" s="16"/>
      <c r="DOQ27" s="16"/>
      <c r="DOR27" s="16"/>
      <c r="DOS27" s="16"/>
      <c r="DOT27" s="16"/>
      <c r="DOU27" s="16"/>
      <c r="DOV27" s="16"/>
      <c r="DOW27" s="16"/>
      <c r="DOX27" s="16"/>
      <c r="DOY27" s="16"/>
      <c r="DOZ27" s="16"/>
      <c r="DPA27" s="16"/>
      <c r="DPB27" s="16"/>
      <c r="DPC27" s="16"/>
      <c r="DPD27" s="16"/>
      <c r="DPE27" s="16"/>
      <c r="DPF27" s="16"/>
      <c r="DPG27" s="16"/>
      <c r="DPH27" s="16"/>
      <c r="DPI27" s="16"/>
      <c r="DPJ27" s="16"/>
      <c r="DPK27" s="16"/>
      <c r="DPL27" s="16"/>
      <c r="DPM27" s="16"/>
      <c r="DPN27" s="16"/>
      <c r="DPO27" s="16"/>
      <c r="DPP27" s="16"/>
      <c r="DPQ27" s="16"/>
      <c r="DPR27" s="16"/>
      <c r="DPS27" s="16"/>
      <c r="DPT27" s="16"/>
      <c r="DPU27" s="16"/>
      <c r="DPV27" s="16"/>
      <c r="DPW27" s="16"/>
      <c r="DPX27" s="16"/>
      <c r="DPY27" s="16"/>
      <c r="DPZ27" s="16"/>
      <c r="DQA27" s="16"/>
      <c r="DQB27" s="16"/>
      <c r="DQC27" s="16"/>
      <c r="DQD27" s="16"/>
      <c r="DQE27" s="16"/>
      <c r="DQF27" s="16"/>
      <c r="DQG27" s="16"/>
      <c r="DQH27" s="16"/>
      <c r="DQI27" s="16"/>
      <c r="DQJ27" s="16"/>
      <c r="DQK27" s="16"/>
      <c r="DQL27" s="16"/>
      <c r="DQM27" s="16"/>
      <c r="DQN27" s="16"/>
      <c r="DQO27" s="16"/>
      <c r="DQP27" s="16"/>
      <c r="DQQ27" s="16"/>
      <c r="DQR27" s="16"/>
      <c r="DQS27" s="16"/>
      <c r="DQT27" s="16"/>
      <c r="DQU27" s="16"/>
      <c r="DQV27" s="16"/>
      <c r="DQW27" s="16"/>
      <c r="DQX27" s="16"/>
      <c r="DQY27" s="16"/>
      <c r="DQZ27" s="16"/>
      <c r="DRA27" s="16"/>
      <c r="DRB27" s="16"/>
      <c r="DRC27" s="16"/>
      <c r="DRD27" s="16"/>
      <c r="DRE27" s="16"/>
      <c r="DRF27" s="16"/>
      <c r="DRG27" s="16"/>
      <c r="DRH27" s="16"/>
      <c r="DRI27" s="16"/>
      <c r="DRJ27" s="16"/>
      <c r="DRK27" s="16"/>
      <c r="DRL27" s="16"/>
      <c r="DRM27" s="16"/>
      <c r="DRN27" s="16"/>
      <c r="DRO27" s="16"/>
      <c r="DRP27" s="16"/>
      <c r="DRQ27" s="16"/>
      <c r="DRR27" s="16"/>
      <c r="DRS27" s="16"/>
      <c r="DRT27" s="16"/>
      <c r="DRU27" s="16"/>
      <c r="DRV27" s="16"/>
      <c r="DRW27" s="16"/>
      <c r="DRX27" s="16"/>
      <c r="DRY27" s="16"/>
      <c r="DRZ27" s="16"/>
      <c r="DSA27" s="16"/>
      <c r="DSB27" s="16"/>
      <c r="DSC27" s="16"/>
      <c r="DSD27" s="16"/>
      <c r="DSE27" s="16"/>
      <c r="DSF27" s="16"/>
      <c r="DSG27" s="16"/>
      <c r="DSH27" s="16"/>
      <c r="DSI27" s="16"/>
      <c r="DSJ27" s="16"/>
      <c r="DSK27" s="16"/>
      <c r="DSL27" s="16"/>
      <c r="DSM27" s="16"/>
      <c r="DSN27" s="16"/>
      <c r="DSO27" s="16"/>
      <c r="DSP27" s="16"/>
      <c r="DSQ27" s="16"/>
      <c r="DSR27" s="16"/>
      <c r="DSS27" s="16"/>
      <c r="DST27" s="16"/>
      <c r="DSU27" s="16"/>
      <c r="DSV27" s="16"/>
      <c r="DSW27" s="16"/>
      <c r="DSX27" s="16"/>
      <c r="DSY27" s="16"/>
      <c r="DSZ27" s="16"/>
      <c r="DTA27" s="16"/>
      <c r="DTB27" s="16"/>
      <c r="DTC27" s="16"/>
      <c r="DTD27" s="16"/>
      <c r="DTE27" s="16"/>
      <c r="DTF27" s="16"/>
      <c r="DTG27" s="16"/>
      <c r="DTH27" s="16"/>
      <c r="DTI27" s="16"/>
      <c r="DTJ27" s="16"/>
      <c r="DTK27" s="16"/>
      <c r="DTL27" s="16"/>
      <c r="DTM27" s="16"/>
      <c r="DTN27" s="16"/>
      <c r="DTO27" s="16"/>
      <c r="DTP27" s="16"/>
      <c r="DTQ27" s="16"/>
      <c r="DTR27" s="16"/>
      <c r="DTS27" s="16"/>
      <c r="DTT27" s="16"/>
      <c r="DTU27" s="16"/>
      <c r="DTV27" s="16"/>
      <c r="DTW27" s="16"/>
      <c r="DTX27" s="16"/>
      <c r="DTY27" s="16"/>
      <c r="DTZ27" s="16"/>
      <c r="DUA27" s="16"/>
      <c r="DUB27" s="16"/>
      <c r="DUC27" s="16"/>
      <c r="DUD27" s="16"/>
      <c r="DUE27" s="16"/>
      <c r="DUF27" s="16"/>
      <c r="DUG27" s="16"/>
      <c r="DUH27" s="16"/>
      <c r="DUI27" s="16"/>
      <c r="DUJ27" s="16"/>
      <c r="DUK27" s="16"/>
      <c r="DUL27" s="16"/>
      <c r="DUM27" s="16"/>
      <c r="DUN27" s="16"/>
      <c r="DUO27" s="16"/>
      <c r="DUP27" s="16"/>
      <c r="DUQ27" s="16"/>
      <c r="DUR27" s="16"/>
      <c r="DUS27" s="16"/>
      <c r="DUT27" s="16"/>
      <c r="DUU27" s="16"/>
      <c r="DUV27" s="16"/>
      <c r="DUW27" s="16"/>
      <c r="DUX27" s="16"/>
      <c r="DUY27" s="16"/>
      <c r="DUZ27" s="16"/>
      <c r="DVA27" s="16"/>
      <c r="DVB27" s="16"/>
      <c r="DVC27" s="16"/>
      <c r="DVD27" s="16"/>
      <c r="DVE27" s="16"/>
      <c r="DVF27" s="16"/>
      <c r="DVG27" s="16"/>
      <c r="DVH27" s="16"/>
      <c r="DVI27" s="16"/>
      <c r="DVJ27" s="16"/>
      <c r="DVK27" s="16"/>
      <c r="DVL27" s="16"/>
      <c r="DVM27" s="16"/>
      <c r="DVN27" s="16"/>
      <c r="DVO27" s="16"/>
      <c r="DVP27" s="16"/>
      <c r="DVQ27" s="16"/>
      <c r="DVR27" s="16"/>
      <c r="DVS27" s="16"/>
      <c r="DVT27" s="16"/>
      <c r="DVU27" s="16"/>
      <c r="DVV27" s="16"/>
      <c r="DVW27" s="16"/>
      <c r="DVX27" s="16"/>
      <c r="DVY27" s="16"/>
      <c r="DVZ27" s="16"/>
      <c r="DWA27" s="16"/>
      <c r="DWB27" s="16"/>
      <c r="DWC27" s="16"/>
      <c r="DWD27" s="16"/>
      <c r="DWE27" s="16"/>
      <c r="DWF27" s="16"/>
      <c r="DWG27" s="16"/>
      <c r="DWH27" s="16"/>
      <c r="DWI27" s="16"/>
      <c r="DWJ27" s="16"/>
      <c r="DWK27" s="16"/>
      <c r="DWL27" s="16"/>
      <c r="DWM27" s="16"/>
      <c r="DWN27" s="16"/>
      <c r="DWO27" s="16"/>
      <c r="DWP27" s="16"/>
      <c r="DWQ27" s="16"/>
      <c r="DWR27" s="16"/>
      <c r="DWS27" s="16"/>
      <c r="DWT27" s="16"/>
      <c r="DWU27" s="16"/>
      <c r="DWV27" s="16"/>
      <c r="DWW27" s="16"/>
      <c r="DWX27" s="16"/>
      <c r="DWY27" s="16"/>
      <c r="DWZ27" s="16"/>
      <c r="DXA27" s="16"/>
      <c r="DXB27" s="16"/>
      <c r="DXC27" s="16"/>
      <c r="DXD27" s="16"/>
      <c r="DXE27" s="16"/>
      <c r="DXF27" s="16"/>
      <c r="DXG27" s="16"/>
      <c r="DXH27" s="16"/>
      <c r="DXI27" s="16"/>
      <c r="DXJ27" s="16"/>
      <c r="DXK27" s="16"/>
      <c r="DXL27" s="16"/>
      <c r="DXM27" s="16"/>
      <c r="DXN27" s="16"/>
      <c r="DXO27" s="16"/>
      <c r="DXP27" s="16"/>
      <c r="DXQ27" s="16"/>
      <c r="DXR27" s="16"/>
      <c r="DXS27" s="16"/>
      <c r="DXT27" s="16"/>
      <c r="DXU27" s="16"/>
      <c r="DXV27" s="16"/>
      <c r="DXW27" s="16"/>
      <c r="DXX27" s="16"/>
      <c r="DXY27" s="16"/>
      <c r="DXZ27" s="16"/>
      <c r="DYA27" s="16"/>
      <c r="DYB27" s="16"/>
      <c r="DYC27" s="16"/>
      <c r="DYD27" s="16"/>
      <c r="DYE27" s="16"/>
      <c r="DYF27" s="16"/>
      <c r="DYG27" s="16"/>
      <c r="DYH27" s="16"/>
      <c r="DYI27" s="16"/>
      <c r="DYJ27" s="16"/>
      <c r="DYK27" s="16"/>
      <c r="DYL27" s="16"/>
      <c r="DYM27" s="16"/>
      <c r="DYN27" s="16"/>
      <c r="DYO27" s="16"/>
      <c r="DYP27" s="16"/>
      <c r="DYQ27" s="16"/>
      <c r="DYR27" s="16"/>
      <c r="DYS27" s="16"/>
      <c r="DYT27" s="16"/>
      <c r="DYU27" s="16"/>
      <c r="DYV27" s="16"/>
      <c r="DYW27" s="16"/>
      <c r="DYX27" s="16"/>
      <c r="DYY27" s="16"/>
      <c r="DYZ27" s="16"/>
      <c r="DZA27" s="16"/>
      <c r="DZB27" s="16"/>
      <c r="DZC27" s="16"/>
      <c r="DZD27" s="16"/>
      <c r="DZE27" s="16"/>
      <c r="DZF27" s="16"/>
      <c r="DZG27" s="16"/>
      <c r="DZH27" s="16"/>
      <c r="DZI27" s="16"/>
      <c r="DZJ27" s="16"/>
      <c r="DZK27" s="16"/>
      <c r="DZL27" s="16"/>
      <c r="DZM27" s="16"/>
      <c r="DZN27" s="16"/>
      <c r="DZO27" s="16"/>
      <c r="DZP27" s="16"/>
      <c r="DZQ27" s="16"/>
      <c r="DZR27" s="16"/>
      <c r="DZS27" s="16"/>
      <c r="DZT27" s="16"/>
      <c r="DZU27" s="16"/>
      <c r="DZV27" s="16"/>
      <c r="DZW27" s="16"/>
      <c r="DZX27" s="16"/>
      <c r="DZY27" s="16"/>
      <c r="DZZ27" s="16"/>
      <c r="EAA27" s="16"/>
      <c r="EAB27" s="16"/>
      <c r="EAC27" s="16"/>
      <c r="EAD27" s="16"/>
      <c r="EAE27" s="16"/>
      <c r="EAF27" s="16"/>
      <c r="EAG27" s="16"/>
      <c r="EAH27" s="16"/>
      <c r="EAI27" s="16"/>
      <c r="EAJ27" s="16"/>
      <c r="EAK27" s="16"/>
      <c r="EAL27" s="16"/>
      <c r="EAM27" s="16"/>
      <c r="EAN27" s="16"/>
      <c r="EAO27" s="16"/>
      <c r="EAP27" s="16"/>
      <c r="EAQ27" s="16"/>
      <c r="EAR27" s="16"/>
      <c r="EAS27" s="16"/>
      <c r="EAT27" s="16"/>
      <c r="EAU27" s="16"/>
      <c r="EAV27" s="16"/>
      <c r="EAW27" s="16"/>
      <c r="EAX27" s="16"/>
      <c r="EAY27" s="16"/>
      <c r="EAZ27" s="16"/>
      <c r="EBA27" s="16"/>
      <c r="EBB27" s="16"/>
      <c r="EBC27" s="16"/>
      <c r="EBD27" s="16"/>
      <c r="EBE27" s="16"/>
      <c r="EBF27" s="16"/>
      <c r="EBG27" s="16"/>
      <c r="EBH27" s="16"/>
      <c r="EBI27" s="16"/>
      <c r="EBJ27" s="16"/>
      <c r="EBK27" s="16"/>
      <c r="EBL27" s="16"/>
      <c r="EBM27" s="16"/>
      <c r="EBN27" s="16"/>
      <c r="EBO27" s="16"/>
      <c r="EBP27" s="16"/>
      <c r="EBQ27" s="16"/>
      <c r="EBR27" s="16"/>
      <c r="EBS27" s="16"/>
      <c r="EBT27" s="16"/>
      <c r="EBU27" s="16"/>
      <c r="EBV27" s="16"/>
      <c r="EBW27" s="16"/>
      <c r="EBX27" s="16"/>
      <c r="EBY27" s="16"/>
      <c r="EBZ27" s="16"/>
      <c r="ECA27" s="16"/>
      <c r="ECB27" s="16"/>
      <c r="ECC27" s="16"/>
      <c r="ECD27" s="16"/>
      <c r="ECE27" s="16"/>
      <c r="ECF27" s="16"/>
      <c r="ECG27" s="16"/>
      <c r="ECH27" s="16"/>
      <c r="ECI27" s="16"/>
      <c r="ECJ27" s="16"/>
      <c r="ECK27" s="16"/>
      <c r="ECL27" s="16"/>
      <c r="ECM27" s="16"/>
      <c r="ECN27" s="16"/>
      <c r="ECO27" s="16"/>
      <c r="ECP27" s="16"/>
      <c r="ECQ27" s="16"/>
      <c r="ECR27" s="16"/>
      <c r="ECS27" s="16"/>
      <c r="ECT27" s="16"/>
      <c r="ECU27" s="16"/>
      <c r="ECV27" s="16"/>
      <c r="ECW27" s="16"/>
      <c r="ECX27" s="16"/>
      <c r="ECY27" s="16"/>
      <c r="ECZ27" s="16"/>
      <c r="EDA27" s="16"/>
      <c r="EDB27" s="16"/>
      <c r="EDC27" s="16"/>
      <c r="EDD27" s="16"/>
      <c r="EDE27" s="16"/>
      <c r="EDF27" s="16"/>
      <c r="EDG27" s="16"/>
      <c r="EDH27" s="16"/>
      <c r="EDI27" s="16"/>
      <c r="EDJ27" s="16"/>
      <c r="EDK27" s="16"/>
      <c r="EDL27" s="16"/>
      <c r="EDM27" s="16"/>
      <c r="EDN27" s="16"/>
      <c r="EDO27" s="16"/>
      <c r="EDP27" s="16"/>
      <c r="EDQ27" s="16"/>
      <c r="EDR27" s="16"/>
      <c r="EDS27" s="16"/>
      <c r="EDT27" s="16"/>
      <c r="EDU27" s="16"/>
      <c r="EDV27" s="16"/>
      <c r="EDW27" s="16"/>
      <c r="EDX27" s="16"/>
      <c r="EDY27" s="16"/>
      <c r="EDZ27" s="16"/>
      <c r="EEA27" s="16"/>
      <c r="EEB27" s="16"/>
      <c r="EEC27" s="16"/>
      <c r="EED27" s="16"/>
      <c r="EEE27" s="16"/>
      <c r="EEF27" s="16"/>
      <c r="EEG27" s="16"/>
      <c r="EEH27" s="16"/>
      <c r="EEI27" s="16"/>
      <c r="EEJ27" s="16"/>
      <c r="EEK27" s="16"/>
      <c r="EEL27" s="16"/>
      <c r="EEM27" s="16"/>
      <c r="EEN27" s="16"/>
      <c r="EEO27" s="16"/>
      <c r="EEP27" s="16"/>
      <c r="EEQ27" s="16"/>
      <c r="EER27" s="16"/>
      <c r="EES27" s="16"/>
      <c r="EET27" s="16"/>
      <c r="EEU27" s="16"/>
      <c r="EEV27" s="16"/>
      <c r="EEW27" s="16"/>
      <c r="EEX27" s="16"/>
      <c r="EEY27" s="16"/>
      <c r="EEZ27" s="16"/>
      <c r="EFA27" s="16"/>
      <c r="EFB27" s="16"/>
      <c r="EFC27" s="16"/>
      <c r="EFD27" s="16"/>
      <c r="EFE27" s="16"/>
      <c r="EFF27" s="16"/>
      <c r="EFG27" s="16"/>
      <c r="EFH27" s="16"/>
      <c r="EFI27" s="16"/>
      <c r="EFJ27" s="16"/>
      <c r="EFK27" s="16"/>
      <c r="EFL27" s="16"/>
      <c r="EFM27" s="16"/>
      <c r="EFN27" s="16"/>
      <c r="EFO27" s="16"/>
      <c r="EFP27" s="16"/>
      <c r="EFQ27" s="16"/>
      <c r="EFR27" s="16"/>
      <c r="EFS27" s="16"/>
      <c r="EFT27" s="16"/>
      <c r="EFU27" s="16"/>
      <c r="EFV27" s="16"/>
      <c r="EFW27" s="16"/>
      <c r="EFX27" s="16"/>
      <c r="EFY27" s="16"/>
      <c r="EFZ27" s="16"/>
      <c r="EGA27" s="16"/>
      <c r="EGB27" s="16"/>
      <c r="EGC27" s="16"/>
      <c r="EGD27" s="16"/>
      <c r="EGE27" s="16"/>
      <c r="EGF27" s="16"/>
      <c r="EGG27" s="16"/>
      <c r="EGH27" s="16"/>
      <c r="EGI27" s="16"/>
      <c r="EGJ27" s="16"/>
      <c r="EGK27" s="16"/>
      <c r="EGL27" s="16"/>
      <c r="EGM27" s="16"/>
      <c r="EGN27" s="16"/>
      <c r="EGO27" s="16"/>
      <c r="EGP27" s="16"/>
      <c r="EGQ27" s="16"/>
      <c r="EGR27" s="16"/>
      <c r="EGS27" s="16"/>
      <c r="EGT27" s="16"/>
      <c r="EGU27" s="16"/>
      <c r="EGV27" s="16"/>
      <c r="EGW27" s="16"/>
      <c r="EGX27" s="16"/>
      <c r="EGY27" s="16"/>
      <c r="EGZ27" s="16"/>
      <c r="EHA27" s="16"/>
      <c r="EHB27" s="16"/>
      <c r="EHC27" s="16"/>
      <c r="EHD27" s="16"/>
      <c r="EHE27" s="16"/>
      <c r="EHF27" s="16"/>
      <c r="EHG27" s="16"/>
      <c r="EHH27" s="16"/>
      <c r="EHI27" s="16"/>
      <c r="EHJ27" s="16"/>
      <c r="EHK27" s="16"/>
      <c r="EHL27" s="16"/>
      <c r="EHM27" s="16"/>
      <c r="EHN27" s="16"/>
      <c r="EHO27" s="16"/>
      <c r="EHP27" s="16"/>
      <c r="EHQ27" s="16"/>
      <c r="EHR27" s="16"/>
      <c r="EHS27" s="16"/>
      <c r="EHT27" s="16"/>
      <c r="EHU27" s="16"/>
      <c r="EHV27" s="16"/>
      <c r="EHW27" s="16"/>
      <c r="EHX27" s="16"/>
      <c r="EHY27" s="16"/>
      <c r="EHZ27" s="16"/>
      <c r="EIA27" s="16"/>
      <c r="EIB27" s="16"/>
      <c r="EIC27" s="16"/>
      <c r="EID27" s="16"/>
      <c r="EIE27" s="16"/>
      <c r="EIF27" s="16"/>
      <c r="EIG27" s="16"/>
      <c r="EIH27" s="16"/>
      <c r="EII27" s="16"/>
      <c r="EIJ27" s="16"/>
      <c r="EIK27" s="16"/>
      <c r="EIL27" s="16"/>
      <c r="EIM27" s="16"/>
      <c r="EIN27" s="16"/>
      <c r="EIO27" s="16"/>
      <c r="EIP27" s="16"/>
      <c r="EIQ27" s="16"/>
      <c r="EIR27" s="16"/>
      <c r="EIS27" s="16"/>
      <c r="EIT27" s="16"/>
      <c r="EIU27" s="16"/>
      <c r="EIV27" s="16"/>
      <c r="EIW27" s="16"/>
      <c r="EIX27" s="16"/>
      <c r="EIY27" s="16"/>
      <c r="EIZ27" s="16"/>
      <c r="EJA27" s="16"/>
      <c r="EJB27" s="16"/>
      <c r="EJC27" s="16"/>
      <c r="EJD27" s="16"/>
      <c r="EJE27" s="16"/>
      <c r="EJF27" s="16"/>
      <c r="EJG27" s="16"/>
      <c r="EJH27" s="16"/>
      <c r="EJI27" s="16"/>
      <c r="EJJ27" s="16"/>
      <c r="EJK27" s="16"/>
      <c r="EJL27" s="16"/>
      <c r="EJM27" s="16"/>
      <c r="EJN27" s="16"/>
      <c r="EJO27" s="16"/>
      <c r="EJP27" s="16"/>
      <c r="EJQ27" s="16"/>
      <c r="EJR27" s="16"/>
      <c r="EJS27" s="16"/>
      <c r="EJT27" s="16"/>
      <c r="EJU27" s="16"/>
      <c r="EJV27" s="16"/>
      <c r="EJW27" s="16"/>
      <c r="EJX27" s="16"/>
      <c r="EJY27" s="16"/>
      <c r="EJZ27" s="16"/>
      <c r="EKA27" s="16"/>
      <c r="EKB27" s="16"/>
      <c r="EKC27" s="16"/>
      <c r="EKD27" s="16"/>
      <c r="EKE27" s="16"/>
      <c r="EKF27" s="16"/>
      <c r="EKG27" s="16"/>
      <c r="EKH27" s="16"/>
      <c r="EKI27" s="16"/>
      <c r="EKJ27" s="16"/>
      <c r="EKK27" s="16"/>
      <c r="EKL27" s="16"/>
      <c r="EKM27" s="16"/>
      <c r="EKN27" s="16"/>
      <c r="EKO27" s="16"/>
      <c r="EKP27" s="16"/>
      <c r="EKQ27" s="16"/>
      <c r="EKR27" s="16"/>
      <c r="EKS27" s="16"/>
      <c r="EKT27" s="16"/>
      <c r="EKU27" s="16"/>
      <c r="EKV27" s="16"/>
      <c r="EKW27" s="16"/>
      <c r="EKX27" s="16"/>
      <c r="EKY27" s="16"/>
      <c r="EKZ27" s="16"/>
      <c r="ELA27" s="16"/>
      <c r="ELB27" s="16"/>
      <c r="ELC27" s="16"/>
      <c r="ELD27" s="16"/>
      <c r="ELE27" s="16"/>
      <c r="ELF27" s="16"/>
      <c r="ELG27" s="16"/>
      <c r="ELH27" s="16"/>
      <c r="ELI27" s="16"/>
      <c r="ELJ27" s="16"/>
      <c r="ELK27" s="16"/>
      <c r="ELL27" s="16"/>
      <c r="ELM27" s="16"/>
      <c r="ELN27" s="16"/>
      <c r="ELO27" s="16"/>
      <c r="ELP27" s="16"/>
      <c r="ELQ27" s="16"/>
      <c r="ELR27" s="16"/>
      <c r="ELS27" s="16"/>
      <c r="ELT27" s="16"/>
      <c r="ELU27" s="16"/>
      <c r="ELV27" s="16"/>
      <c r="ELW27" s="16"/>
      <c r="ELX27" s="16"/>
      <c r="ELY27" s="16"/>
      <c r="ELZ27" s="16"/>
      <c r="EMA27" s="16"/>
      <c r="EMB27" s="16"/>
      <c r="EMC27" s="16"/>
      <c r="EMD27" s="16"/>
      <c r="EME27" s="16"/>
      <c r="EMF27" s="16"/>
      <c r="EMG27" s="16"/>
      <c r="EMH27" s="16"/>
      <c r="EMI27" s="16"/>
      <c r="EMJ27" s="16"/>
      <c r="EMK27" s="16"/>
      <c r="EML27" s="16"/>
      <c r="EMM27" s="16"/>
      <c r="EMN27" s="16"/>
      <c r="EMO27" s="16"/>
      <c r="EMP27" s="16"/>
      <c r="EMQ27" s="16"/>
      <c r="EMR27" s="16"/>
      <c r="EMS27" s="16"/>
      <c r="EMT27" s="16"/>
      <c r="EMU27" s="16"/>
      <c r="EMV27" s="16"/>
      <c r="EMW27" s="16"/>
      <c r="EMX27" s="16"/>
      <c r="EMY27" s="16"/>
      <c r="EMZ27" s="16"/>
      <c r="ENA27" s="16"/>
      <c r="ENB27" s="16"/>
      <c r="ENC27" s="16"/>
      <c r="END27" s="16"/>
      <c r="ENE27" s="16"/>
      <c r="ENF27" s="16"/>
      <c r="ENG27" s="16"/>
      <c r="ENH27" s="16"/>
      <c r="ENI27" s="16"/>
      <c r="ENJ27" s="16"/>
      <c r="ENK27" s="16"/>
      <c r="ENL27" s="16"/>
      <c r="ENM27" s="16"/>
      <c r="ENN27" s="16"/>
      <c r="ENO27" s="16"/>
      <c r="ENP27" s="16"/>
      <c r="ENQ27" s="16"/>
      <c r="ENR27" s="16"/>
      <c r="ENS27" s="16"/>
      <c r="ENT27" s="16"/>
      <c r="ENU27" s="16"/>
      <c r="ENV27" s="16"/>
      <c r="ENW27" s="16"/>
      <c r="ENX27" s="16"/>
      <c r="ENY27" s="16"/>
      <c r="ENZ27" s="16"/>
      <c r="EOA27" s="16"/>
      <c r="EOB27" s="16"/>
      <c r="EOC27" s="16"/>
      <c r="EOD27" s="16"/>
      <c r="EOE27" s="16"/>
      <c r="EOF27" s="16"/>
      <c r="EOG27" s="16"/>
      <c r="EOH27" s="16"/>
      <c r="EOI27" s="16"/>
      <c r="EOJ27" s="16"/>
      <c r="EOK27" s="16"/>
      <c r="EOL27" s="16"/>
      <c r="EOM27" s="16"/>
      <c r="EON27" s="16"/>
      <c r="EOO27" s="16"/>
      <c r="EOP27" s="16"/>
      <c r="EOQ27" s="16"/>
      <c r="EOR27" s="16"/>
      <c r="EOS27" s="16"/>
      <c r="EOT27" s="16"/>
      <c r="EOU27" s="16"/>
      <c r="EOV27" s="16"/>
      <c r="EOW27" s="16"/>
      <c r="EOX27" s="16"/>
      <c r="EOY27" s="16"/>
      <c r="EOZ27" s="16"/>
      <c r="EPA27" s="16"/>
      <c r="EPB27" s="16"/>
      <c r="EPC27" s="16"/>
      <c r="EPD27" s="16"/>
      <c r="EPE27" s="16"/>
      <c r="EPF27" s="16"/>
      <c r="EPG27" s="16"/>
      <c r="EPH27" s="16"/>
      <c r="EPI27" s="16"/>
      <c r="EPJ27" s="16"/>
      <c r="EPK27" s="16"/>
      <c r="EPL27" s="16"/>
      <c r="EPM27" s="16"/>
      <c r="EPN27" s="16"/>
      <c r="EPO27" s="16"/>
      <c r="EPP27" s="16"/>
      <c r="EPQ27" s="16"/>
      <c r="EPR27" s="16"/>
      <c r="EPS27" s="16"/>
      <c r="EPT27" s="16"/>
      <c r="EPU27" s="16"/>
      <c r="EPV27" s="16"/>
      <c r="EPW27" s="16"/>
      <c r="EPX27" s="16"/>
      <c r="EPY27" s="16"/>
      <c r="EPZ27" s="16"/>
      <c r="EQA27" s="16"/>
      <c r="EQB27" s="16"/>
      <c r="EQC27" s="16"/>
      <c r="EQD27" s="16"/>
      <c r="EQE27" s="16"/>
      <c r="EQF27" s="16"/>
      <c r="EQG27" s="16"/>
      <c r="EQH27" s="16"/>
      <c r="EQI27" s="16"/>
      <c r="EQJ27" s="16"/>
      <c r="EQK27" s="16"/>
      <c r="EQL27" s="16"/>
      <c r="EQM27" s="16"/>
      <c r="EQN27" s="16"/>
      <c r="EQO27" s="16"/>
      <c r="EQP27" s="16"/>
      <c r="EQQ27" s="16"/>
      <c r="EQR27" s="16"/>
      <c r="EQS27" s="16"/>
      <c r="EQT27" s="16"/>
      <c r="EQU27" s="16"/>
      <c r="EQV27" s="16"/>
      <c r="EQW27" s="16"/>
      <c r="EQX27" s="16"/>
      <c r="EQY27" s="16"/>
      <c r="EQZ27" s="16"/>
      <c r="ERA27" s="16"/>
      <c r="ERB27" s="16"/>
      <c r="ERC27" s="16"/>
      <c r="ERD27" s="16"/>
      <c r="ERE27" s="16"/>
      <c r="ERF27" s="16"/>
      <c r="ERG27" s="16"/>
      <c r="ERH27" s="16"/>
      <c r="ERI27" s="16"/>
      <c r="ERJ27" s="16"/>
      <c r="ERK27" s="16"/>
      <c r="ERL27" s="16"/>
      <c r="ERM27" s="16"/>
      <c r="ERN27" s="16"/>
      <c r="ERO27" s="16"/>
      <c r="ERP27" s="16"/>
      <c r="ERQ27" s="16"/>
      <c r="ERR27" s="16"/>
      <c r="ERS27" s="16"/>
      <c r="ERT27" s="16"/>
      <c r="ERU27" s="16"/>
      <c r="ERV27" s="16"/>
      <c r="ERW27" s="16"/>
      <c r="ERX27" s="16"/>
      <c r="ERY27" s="16"/>
      <c r="ERZ27" s="16"/>
      <c r="ESA27" s="16"/>
      <c r="ESB27" s="16"/>
      <c r="ESC27" s="16"/>
      <c r="ESD27" s="16"/>
      <c r="ESE27" s="16"/>
      <c r="ESF27" s="16"/>
      <c r="ESG27" s="16"/>
      <c r="ESH27" s="16"/>
      <c r="ESI27" s="16"/>
      <c r="ESJ27" s="16"/>
      <c r="ESK27" s="16"/>
      <c r="ESL27" s="16"/>
      <c r="ESM27" s="16"/>
      <c r="ESN27" s="16"/>
      <c r="ESO27" s="16"/>
      <c r="ESP27" s="16"/>
      <c r="ESQ27" s="16"/>
      <c r="ESR27" s="16"/>
      <c r="ESS27" s="16"/>
      <c r="EST27" s="16"/>
      <c r="ESU27" s="16"/>
      <c r="ESV27" s="16"/>
      <c r="ESW27" s="16"/>
      <c r="ESX27" s="16"/>
      <c r="ESY27" s="16"/>
      <c r="ESZ27" s="16"/>
      <c r="ETA27" s="16"/>
      <c r="ETB27" s="16"/>
      <c r="ETC27" s="16"/>
      <c r="ETD27" s="16"/>
      <c r="ETE27" s="16"/>
      <c r="ETF27" s="16"/>
      <c r="ETG27" s="16"/>
      <c r="ETH27" s="16"/>
      <c r="ETI27" s="16"/>
      <c r="ETJ27" s="16"/>
      <c r="ETK27" s="16"/>
      <c r="ETL27" s="16"/>
      <c r="ETM27" s="16"/>
      <c r="ETN27" s="16"/>
      <c r="ETO27" s="16"/>
      <c r="ETP27" s="16"/>
      <c r="ETQ27" s="16"/>
      <c r="ETR27" s="16"/>
      <c r="ETS27" s="16"/>
      <c r="ETT27" s="16"/>
      <c r="ETU27" s="16"/>
      <c r="ETV27" s="16"/>
      <c r="ETW27" s="16"/>
      <c r="ETX27" s="16"/>
      <c r="ETY27" s="16"/>
      <c r="ETZ27" s="16"/>
      <c r="EUA27" s="16"/>
      <c r="EUB27" s="16"/>
      <c r="EUC27" s="16"/>
      <c r="EUD27" s="16"/>
      <c r="EUE27" s="16"/>
      <c r="EUF27" s="16"/>
      <c r="EUG27" s="16"/>
      <c r="EUH27" s="16"/>
      <c r="EUI27" s="16"/>
      <c r="EUJ27" s="16"/>
      <c r="EUK27" s="16"/>
      <c r="EUL27" s="16"/>
      <c r="EUM27" s="16"/>
      <c r="EUN27" s="16"/>
      <c r="EUO27" s="16"/>
      <c r="EUP27" s="16"/>
      <c r="EUQ27" s="16"/>
      <c r="EUR27" s="16"/>
      <c r="EUS27" s="16"/>
      <c r="EUT27" s="16"/>
      <c r="EUU27" s="16"/>
      <c r="EUV27" s="16"/>
      <c r="EUW27" s="16"/>
      <c r="EUX27" s="16"/>
      <c r="EUY27" s="16"/>
      <c r="EUZ27" s="16"/>
      <c r="EVA27" s="16"/>
      <c r="EVB27" s="16"/>
      <c r="EVC27" s="16"/>
      <c r="EVD27" s="16"/>
      <c r="EVE27" s="16"/>
      <c r="EVF27" s="16"/>
      <c r="EVG27" s="16"/>
      <c r="EVH27" s="16"/>
      <c r="EVI27" s="16"/>
      <c r="EVJ27" s="16"/>
      <c r="EVK27" s="16"/>
      <c r="EVL27" s="16"/>
      <c r="EVM27" s="16"/>
      <c r="EVN27" s="16"/>
      <c r="EVO27" s="16"/>
      <c r="EVP27" s="16"/>
      <c r="EVQ27" s="16"/>
      <c r="EVR27" s="16"/>
      <c r="EVS27" s="16"/>
      <c r="EVT27" s="16"/>
      <c r="EVU27" s="16"/>
      <c r="EVV27" s="16"/>
      <c r="EVW27" s="16"/>
      <c r="EVX27" s="16"/>
      <c r="EVY27" s="16"/>
      <c r="EVZ27" s="16"/>
      <c r="EWA27" s="16"/>
      <c r="EWB27" s="16"/>
      <c r="EWC27" s="16"/>
      <c r="EWD27" s="16"/>
      <c r="EWE27" s="16"/>
      <c r="EWF27" s="16"/>
      <c r="EWG27" s="16"/>
      <c r="EWH27" s="16"/>
      <c r="EWI27" s="16"/>
      <c r="EWJ27" s="16"/>
      <c r="EWK27" s="16"/>
      <c r="EWL27" s="16"/>
      <c r="EWM27" s="16"/>
      <c r="EWN27" s="16"/>
      <c r="EWO27" s="16"/>
      <c r="EWP27" s="16"/>
      <c r="EWQ27" s="16"/>
      <c r="EWR27" s="16"/>
      <c r="EWS27" s="16"/>
      <c r="EWT27" s="16"/>
      <c r="EWU27" s="16"/>
      <c r="EWV27" s="16"/>
      <c r="EWW27" s="16"/>
      <c r="EWX27" s="16"/>
      <c r="EWY27" s="16"/>
      <c r="EWZ27" s="16"/>
      <c r="EXA27" s="16"/>
      <c r="EXB27" s="16"/>
      <c r="EXC27" s="16"/>
      <c r="EXD27" s="16"/>
      <c r="EXE27" s="16"/>
      <c r="EXF27" s="16"/>
      <c r="EXG27" s="16"/>
      <c r="EXH27" s="16"/>
      <c r="EXI27" s="16"/>
      <c r="EXJ27" s="16"/>
      <c r="EXK27" s="16"/>
      <c r="EXL27" s="16"/>
      <c r="EXM27" s="16"/>
      <c r="EXN27" s="16"/>
      <c r="EXO27" s="16"/>
      <c r="EXP27" s="16"/>
      <c r="EXQ27" s="16"/>
      <c r="EXR27" s="16"/>
      <c r="EXS27" s="16"/>
      <c r="EXT27" s="16"/>
      <c r="EXU27" s="16"/>
      <c r="EXV27" s="16"/>
      <c r="EXW27" s="16"/>
      <c r="EXX27" s="16"/>
      <c r="EXY27" s="16"/>
      <c r="EXZ27" s="16"/>
      <c r="EYA27" s="16"/>
      <c r="EYB27" s="16"/>
      <c r="EYC27" s="16"/>
      <c r="EYD27" s="16"/>
      <c r="EYE27" s="16"/>
      <c r="EYF27" s="16"/>
      <c r="EYG27" s="16"/>
      <c r="EYH27" s="16"/>
      <c r="EYI27" s="16"/>
      <c r="EYJ27" s="16"/>
      <c r="EYK27" s="16"/>
      <c r="EYL27" s="16"/>
      <c r="EYM27" s="16"/>
      <c r="EYN27" s="16"/>
      <c r="EYO27" s="16"/>
      <c r="EYP27" s="16"/>
      <c r="EYQ27" s="16"/>
      <c r="EYR27" s="16"/>
      <c r="EYS27" s="16"/>
      <c r="EYT27" s="16"/>
      <c r="EYU27" s="16"/>
      <c r="EYV27" s="16"/>
      <c r="EYW27" s="16"/>
      <c r="EYX27" s="16"/>
      <c r="EYY27" s="16"/>
      <c r="EYZ27" s="16"/>
      <c r="EZA27" s="16"/>
      <c r="EZB27" s="16"/>
      <c r="EZC27" s="16"/>
      <c r="EZD27" s="16"/>
      <c r="EZE27" s="16"/>
      <c r="EZF27" s="16"/>
      <c r="EZG27" s="16"/>
      <c r="EZH27" s="16"/>
      <c r="EZI27" s="16"/>
      <c r="EZJ27" s="16"/>
      <c r="EZK27" s="16"/>
      <c r="EZL27" s="16"/>
      <c r="EZM27" s="16"/>
      <c r="EZN27" s="16"/>
      <c r="EZO27" s="16"/>
      <c r="EZP27" s="16"/>
      <c r="EZQ27" s="16"/>
      <c r="EZR27" s="16"/>
      <c r="EZS27" s="16"/>
      <c r="EZT27" s="16"/>
      <c r="EZU27" s="16"/>
      <c r="EZV27" s="16"/>
      <c r="EZW27" s="16"/>
      <c r="EZX27" s="16"/>
      <c r="EZY27" s="16"/>
      <c r="EZZ27" s="16"/>
      <c r="FAA27" s="16"/>
      <c r="FAB27" s="16"/>
      <c r="FAC27" s="16"/>
      <c r="FAD27" s="16"/>
      <c r="FAE27" s="16"/>
      <c r="FAF27" s="16"/>
      <c r="FAG27" s="16"/>
      <c r="FAH27" s="16"/>
      <c r="FAI27" s="16"/>
      <c r="FAJ27" s="16"/>
      <c r="FAK27" s="16"/>
      <c r="FAL27" s="16"/>
      <c r="FAM27" s="16"/>
      <c r="FAN27" s="16"/>
      <c r="FAO27" s="16"/>
      <c r="FAP27" s="16"/>
      <c r="FAQ27" s="16"/>
      <c r="FAR27" s="16"/>
      <c r="FAS27" s="16"/>
      <c r="FAT27" s="16"/>
      <c r="FAU27" s="16"/>
      <c r="FAV27" s="16"/>
      <c r="FAW27" s="16"/>
      <c r="FAX27" s="16"/>
      <c r="FAY27" s="16"/>
      <c r="FAZ27" s="16"/>
      <c r="FBA27" s="16"/>
      <c r="FBB27" s="16"/>
      <c r="FBC27" s="16"/>
      <c r="FBD27" s="16"/>
      <c r="FBE27" s="16"/>
      <c r="FBF27" s="16"/>
      <c r="FBG27" s="16"/>
      <c r="FBH27" s="16"/>
      <c r="FBI27" s="16"/>
      <c r="FBJ27" s="16"/>
      <c r="FBK27" s="16"/>
      <c r="FBL27" s="16"/>
      <c r="FBM27" s="16"/>
      <c r="FBN27" s="16"/>
      <c r="FBO27" s="16"/>
      <c r="FBP27" s="16"/>
      <c r="FBQ27" s="16"/>
      <c r="FBR27" s="16"/>
      <c r="FBS27" s="16"/>
      <c r="FBT27" s="16"/>
      <c r="FBU27" s="16"/>
      <c r="FBV27" s="16"/>
      <c r="FBW27" s="16"/>
      <c r="FBX27" s="16"/>
      <c r="FBY27" s="16"/>
      <c r="FBZ27" s="16"/>
      <c r="FCA27" s="16"/>
      <c r="FCB27" s="16"/>
      <c r="FCC27" s="16"/>
      <c r="FCD27" s="16"/>
      <c r="FCE27" s="16"/>
      <c r="FCF27" s="16"/>
      <c r="FCG27" s="16"/>
      <c r="FCH27" s="16"/>
      <c r="FCI27" s="16"/>
      <c r="FCJ27" s="16"/>
      <c r="FCK27" s="16"/>
      <c r="FCL27" s="16"/>
      <c r="FCM27" s="16"/>
      <c r="FCN27" s="16"/>
      <c r="FCO27" s="16"/>
      <c r="FCP27" s="16"/>
      <c r="FCQ27" s="16"/>
      <c r="FCR27" s="16"/>
      <c r="FCS27" s="16"/>
      <c r="FCT27" s="16"/>
      <c r="FCU27" s="16"/>
      <c r="FCV27" s="16"/>
      <c r="FCW27" s="16"/>
      <c r="FCX27" s="16"/>
      <c r="FCY27" s="16"/>
      <c r="FCZ27" s="16"/>
      <c r="FDA27" s="16"/>
      <c r="FDB27" s="16"/>
      <c r="FDC27" s="16"/>
      <c r="FDD27" s="16"/>
      <c r="FDE27" s="16"/>
      <c r="FDF27" s="16"/>
      <c r="FDG27" s="16"/>
      <c r="FDH27" s="16"/>
      <c r="FDI27" s="16"/>
      <c r="FDJ27" s="16"/>
      <c r="FDK27" s="16"/>
      <c r="FDL27" s="16"/>
      <c r="FDM27" s="16"/>
      <c r="FDN27" s="16"/>
      <c r="FDO27" s="16"/>
      <c r="FDP27" s="16"/>
      <c r="FDQ27" s="16"/>
      <c r="FDR27" s="16"/>
      <c r="FDS27" s="16"/>
      <c r="FDT27" s="16"/>
      <c r="FDU27" s="16"/>
      <c r="FDV27" s="16"/>
      <c r="FDW27" s="16"/>
      <c r="FDX27" s="16"/>
      <c r="FDY27" s="16"/>
      <c r="FDZ27" s="16"/>
      <c r="FEA27" s="16"/>
      <c r="FEB27" s="16"/>
      <c r="FEC27" s="16"/>
      <c r="FED27" s="16"/>
      <c r="FEE27" s="16"/>
      <c r="FEF27" s="16"/>
      <c r="FEG27" s="16"/>
      <c r="FEH27" s="16"/>
      <c r="FEI27" s="16"/>
      <c r="FEJ27" s="16"/>
      <c r="FEK27" s="16"/>
      <c r="FEL27" s="16"/>
      <c r="FEM27" s="16"/>
      <c r="FEN27" s="16"/>
      <c r="FEO27" s="16"/>
      <c r="FEP27" s="16"/>
      <c r="FEQ27" s="16"/>
      <c r="FER27" s="16"/>
      <c r="FES27" s="16"/>
      <c r="FET27" s="16"/>
      <c r="FEU27" s="16"/>
      <c r="FEV27" s="16"/>
      <c r="FEW27" s="16"/>
      <c r="FEX27" s="16"/>
      <c r="FEY27" s="16"/>
      <c r="FEZ27" s="16"/>
      <c r="FFA27" s="16"/>
      <c r="FFB27" s="16"/>
      <c r="FFC27" s="16"/>
      <c r="FFD27" s="16"/>
      <c r="FFE27" s="16"/>
      <c r="FFF27" s="16"/>
      <c r="FFG27" s="16"/>
      <c r="FFH27" s="16"/>
      <c r="FFI27" s="16"/>
      <c r="FFJ27" s="16"/>
      <c r="FFK27" s="16"/>
      <c r="FFL27" s="16"/>
      <c r="FFM27" s="16"/>
      <c r="FFN27" s="16"/>
      <c r="FFO27" s="16"/>
      <c r="FFP27" s="16"/>
      <c r="FFQ27" s="16"/>
      <c r="FFR27" s="16"/>
      <c r="FFS27" s="16"/>
      <c r="FFT27" s="16"/>
      <c r="FFU27" s="16"/>
      <c r="FFV27" s="16"/>
      <c r="FFW27" s="16"/>
      <c r="FFX27" s="16"/>
      <c r="FFY27" s="16"/>
      <c r="FFZ27" s="16"/>
      <c r="FGA27" s="16"/>
      <c r="FGB27" s="16"/>
      <c r="FGC27" s="16"/>
      <c r="FGD27" s="16"/>
      <c r="FGE27" s="16"/>
      <c r="FGF27" s="16"/>
      <c r="FGG27" s="16"/>
      <c r="FGH27" s="16"/>
      <c r="FGI27" s="16"/>
      <c r="FGJ27" s="16"/>
      <c r="FGK27" s="16"/>
      <c r="FGL27" s="16"/>
      <c r="FGM27" s="16"/>
      <c r="FGN27" s="16"/>
      <c r="FGO27" s="16"/>
      <c r="FGP27" s="16"/>
      <c r="FGQ27" s="16"/>
      <c r="FGR27" s="16"/>
      <c r="FGS27" s="16"/>
      <c r="FGT27" s="16"/>
      <c r="FGU27" s="16"/>
      <c r="FGV27" s="16"/>
      <c r="FGW27" s="16"/>
      <c r="FGX27" s="16"/>
      <c r="FGY27" s="16"/>
      <c r="FGZ27" s="16"/>
      <c r="FHA27" s="16"/>
      <c r="FHB27" s="16"/>
      <c r="FHC27" s="16"/>
      <c r="FHD27" s="16"/>
      <c r="FHE27" s="16"/>
      <c r="FHF27" s="16"/>
      <c r="FHG27" s="16"/>
      <c r="FHH27" s="16"/>
      <c r="FHI27" s="16"/>
      <c r="FHJ27" s="16"/>
      <c r="FHK27" s="16"/>
      <c r="FHL27" s="16"/>
      <c r="FHM27" s="16"/>
      <c r="FHN27" s="16"/>
      <c r="FHO27" s="16"/>
      <c r="FHP27" s="16"/>
      <c r="FHQ27" s="16"/>
      <c r="FHR27" s="16"/>
      <c r="FHS27" s="16"/>
      <c r="FHT27" s="16"/>
      <c r="FHU27" s="16"/>
      <c r="FHV27" s="16"/>
      <c r="FHW27" s="16"/>
      <c r="FHX27" s="16"/>
      <c r="FHY27" s="16"/>
      <c r="FHZ27" s="16"/>
      <c r="FIA27" s="16"/>
      <c r="FIB27" s="16"/>
      <c r="FIC27" s="16"/>
      <c r="FID27" s="16"/>
      <c r="FIE27" s="16"/>
      <c r="FIF27" s="16"/>
      <c r="FIG27" s="16"/>
      <c r="FIH27" s="16"/>
      <c r="FII27" s="16"/>
      <c r="FIJ27" s="16"/>
      <c r="FIK27" s="16"/>
      <c r="FIL27" s="16"/>
      <c r="FIM27" s="16"/>
      <c r="FIN27" s="16"/>
      <c r="FIO27" s="16"/>
      <c r="FIP27" s="16"/>
      <c r="FIQ27" s="16"/>
      <c r="FIR27" s="16"/>
      <c r="FIS27" s="16"/>
      <c r="FIT27" s="16"/>
      <c r="FIU27" s="16"/>
      <c r="FIV27" s="16"/>
      <c r="FIW27" s="16"/>
      <c r="FIX27" s="16"/>
      <c r="FIY27" s="16"/>
      <c r="FIZ27" s="16"/>
      <c r="FJA27" s="16"/>
      <c r="FJB27" s="16"/>
      <c r="FJC27" s="16"/>
      <c r="FJD27" s="16"/>
      <c r="FJE27" s="16"/>
      <c r="FJF27" s="16"/>
      <c r="FJG27" s="16"/>
      <c r="FJH27" s="16"/>
      <c r="FJI27" s="16"/>
      <c r="FJJ27" s="16"/>
      <c r="FJK27" s="16"/>
      <c r="FJL27" s="16"/>
      <c r="FJM27" s="16"/>
      <c r="FJN27" s="16"/>
      <c r="FJO27" s="16"/>
      <c r="FJP27" s="16"/>
      <c r="FJQ27" s="16"/>
      <c r="FJR27" s="16"/>
      <c r="FJS27" s="16"/>
      <c r="FJT27" s="16"/>
      <c r="FJU27" s="16"/>
      <c r="FJV27" s="16"/>
      <c r="FJW27" s="16"/>
      <c r="FJX27" s="16"/>
      <c r="FJY27" s="16"/>
      <c r="FJZ27" s="16"/>
      <c r="FKA27" s="16"/>
      <c r="FKB27" s="16"/>
      <c r="FKC27" s="16"/>
      <c r="FKD27" s="16"/>
      <c r="FKE27" s="16"/>
      <c r="FKF27" s="16"/>
      <c r="FKG27" s="16"/>
      <c r="FKH27" s="16"/>
      <c r="FKI27" s="16"/>
      <c r="FKJ27" s="16"/>
      <c r="FKK27" s="16"/>
      <c r="FKL27" s="16"/>
      <c r="FKM27" s="16"/>
      <c r="FKN27" s="16"/>
      <c r="FKO27" s="16"/>
      <c r="FKP27" s="16"/>
      <c r="FKQ27" s="16"/>
      <c r="FKR27" s="16"/>
      <c r="FKS27" s="16"/>
      <c r="FKT27" s="16"/>
      <c r="FKU27" s="16"/>
      <c r="FKV27" s="16"/>
      <c r="FKW27" s="16"/>
      <c r="FKX27" s="16"/>
      <c r="FKY27" s="16"/>
      <c r="FKZ27" s="16"/>
      <c r="FLA27" s="16"/>
      <c r="FLB27" s="16"/>
      <c r="FLC27" s="16"/>
      <c r="FLD27" s="16"/>
      <c r="FLE27" s="16"/>
      <c r="FLF27" s="16"/>
      <c r="FLG27" s="16"/>
      <c r="FLH27" s="16"/>
      <c r="FLI27" s="16"/>
      <c r="FLJ27" s="16"/>
      <c r="FLK27" s="16"/>
      <c r="FLL27" s="16"/>
      <c r="FLM27" s="16"/>
      <c r="FLN27" s="16"/>
      <c r="FLO27" s="16"/>
      <c r="FLP27" s="16"/>
      <c r="FLQ27" s="16"/>
      <c r="FLR27" s="16"/>
      <c r="FLS27" s="16"/>
      <c r="FLT27" s="16"/>
      <c r="FLU27" s="16"/>
      <c r="FLV27" s="16"/>
      <c r="FLW27" s="16"/>
      <c r="FLX27" s="16"/>
      <c r="FLY27" s="16"/>
      <c r="FLZ27" s="16"/>
      <c r="FMA27" s="16"/>
      <c r="FMB27" s="16"/>
      <c r="FMC27" s="16"/>
      <c r="FMD27" s="16"/>
      <c r="FME27" s="16"/>
      <c r="FMF27" s="16"/>
      <c r="FMG27" s="16"/>
      <c r="FMH27" s="16"/>
      <c r="FMI27" s="16"/>
      <c r="FMJ27" s="16"/>
      <c r="FMK27" s="16"/>
      <c r="FML27" s="16"/>
      <c r="FMM27" s="16"/>
      <c r="FMN27" s="16"/>
      <c r="FMO27" s="16"/>
      <c r="FMP27" s="16"/>
      <c r="FMQ27" s="16"/>
      <c r="FMR27" s="16"/>
      <c r="FMS27" s="16"/>
      <c r="FMT27" s="16"/>
      <c r="FMU27" s="16"/>
      <c r="FMV27" s="16"/>
      <c r="FMW27" s="16"/>
      <c r="FMX27" s="16"/>
      <c r="FMY27" s="16"/>
      <c r="FMZ27" s="16"/>
      <c r="FNA27" s="16"/>
      <c r="FNB27" s="16"/>
      <c r="FNC27" s="16"/>
      <c r="FND27" s="16"/>
      <c r="FNE27" s="16"/>
      <c r="FNF27" s="16"/>
      <c r="FNG27" s="16"/>
      <c r="FNH27" s="16"/>
      <c r="FNI27" s="16"/>
      <c r="FNJ27" s="16"/>
      <c r="FNK27" s="16"/>
      <c r="FNL27" s="16"/>
      <c r="FNM27" s="16"/>
      <c r="FNN27" s="16"/>
      <c r="FNO27" s="16"/>
      <c r="FNP27" s="16"/>
      <c r="FNQ27" s="16"/>
      <c r="FNR27" s="16"/>
      <c r="FNS27" s="16"/>
      <c r="FNT27" s="16"/>
      <c r="FNU27" s="16"/>
      <c r="FNV27" s="16"/>
      <c r="FNW27" s="16"/>
      <c r="FNX27" s="16"/>
      <c r="FNY27" s="16"/>
      <c r="FNZ27" s="16"/>
      <c r="FOA27" s="16"/>
      <c r="FOB27" s="16"/>
      <c r="FOC27" s="16"/>
      <c r="FOD27" s="16"/>
      <c r="FOE27" s="16"/>
      <c r="FOF27" s="16"/>
      <c r="FOG27" s="16"/>
      <c r="FOH27" s="16"/>
      <c r="FOI27" s="16"/>
      <c r="FOJ27" s="16"/>
      <c r="FOK27" s="16"/>
      <c r="FOL27" s="16"/>
      <c r="FOM27" s="16"/>
      <c r="FON27" s="16"/>
      <c r="FOO27" s="16"/>
      <c r="FOP27" s="16"/>
      <c r="FOQ27" s="16"/>
      <c r="FOR27" s="16"/>
      <c r="FOS27" s="16"/>
      <c r="FOT27" s="16"/>
      <c r="FOU27" s="16"/>
      <c r="FOV27" s="16"/>
      <c r="FOW27" s="16"/>
      <c r="FOX27" s="16"/>
      <c r="FOY27" s="16"/>
      <c r="FOZ27" s="16"/>
      <c r="FPA27" s="16"/>
      <c r="FPB27" s="16"/>
      <c r="FPC27" s="16"/>
      <c r="FPD27" s="16"/>
      <c r="FPE27" s="16"/>
      <c r="FPF27" s="16"/>
      <c r="FPG27" s="16"/>
      <c r="FPH27" s="16"/>
      <c r="FPI27" s="16"/>
      <c r="FPJ27" s="16"/>
      <c r="FPK27" s="16"/>
      <c r="FPL27" s="16"/>
      <c r="FPM27" s="16"/>
      <c r="FPN27" s="16"/>
      <c r="FPO27" s="16"/>
      <c r="FPP27" s="16"/>
      <c r="FPQ27" s="16"/>
      <c r="FPR27" s="16"/>
      <c r="FPS27" s="16"/>
      <c r="FPT27" s="16"/>
      <c r="FPU27" s="16"/>
      <c r="FPV27" s="16"/>
      <c r="FPW27" s="16"/>
      <c r="FPX27" s="16"/>
      <c r="FPY27" s="16"/>
      <c r="FPZ27" s="16"/>
      <c r="FQA27" s="16"/>
      <c r="FQB27" s="16"/>
      <c r="FQC27" s="16"/>
      <c r="FQD27" s="16"/>
      <c r="FQE27" s="16"/>
      <c r="FQF27" s="16"/>
      <c r="FQG27" s="16"/>
      <c r="FQH27" s="16"/>
      <c r="FQI27" s="16"/>
      <c r="FQJ27" s="16"/>
      <c r="FQK27" s="16"/>
      <c r="FQL27" s="16"/>
      <c r="FQM27" s="16"/>
      <c r="FQN27" s="16"/>
      <c r="FQO27" s="16"/>
      <c r="FQP27" s="16"/>
      <c r="FQQ27" s="16"/>
      <c r="FQR27" s="16"/>
      <c r="FQS27" s="16"/>
      <c r="FQT27" s="16"/>
      <c r="FQU27" s="16"/>
      <c r="FQV27" s="16"/>
      <c r="FQW27" s="16"/>
      <c r="FQX27" s="16"/>
      <c r="FQY27" s="16"/>
      <c r="FQZ27" s="16"/>
      <c r="FRA27" s="16"/>
      <c r="FRB27" s="16"/>
      <c r="FRC27" s="16"/>
      <c r="FRD27" s="16"/>
      <c r="FRE27" s="16"/>
      <c r="FRF27" s="16"/>
      <c r="FRG27" s="16"/>
      <c r="FRH27" s="16"/>
      <c r="FRI27" s="16"/>
      <c r="FRJ27" s="16"/>
      <c r="FRK27" s="16"/>
      <c r="FRL27" s="16"/>
      <c r="FRM27" s="16"/>
      <c r="FRN27" s="16"/>
      <c r="FRO27" s="16"/>
      <c r="FRP27" s="16"/>
      <c r="FRQ27" s="16"/>
      <c r="FRR27" s="16"/>
      <c r="FRS27" s="16"/>
      <c r="FRT27" s="16"/>
      <c r="FRU27" s="16"/>
      <c r="FRV27" s="16"/>
      <c r="FRW27" s="16"/>
      <c r="FRX27" s="16"/>
      <c r="FRY27" s="16"/>
      <c r="FRZ27" s="16"/>
      <c r="FSA27" s="16"/>
      <c r="FSB27" s="16"/>
      <c r="FSC27" s="16"/>
      <c r="FSD27" s="16"/>
      <c r="FSE27" s="16"/>
      <c r="FSF27" s="16"/>
      <c r="FSG27" s="16"/>
      <c r="FSH27" s="16"/>
      <c r="FSI27" s="16"/>
      <c r="FSJ27" s="16"/>
      <c r="FSK27" s="16"/>
      <c r="FSL27" s="16"/>
      <c r="FSM27" s="16"/>
      <c r="FSN27" s="16"/>
      <c r="FSO27" s="16"/>
      <c r="FSP27" s="16"/>
      <c r="FSQ27" s="16"/>
      <c r="FSR27" s="16"/>
      <c r="FSS27" s="16"/>
      <c r="FST27" s="16"/>
      <c r="FSU27" s="16"/>
      <c r="FSV27" s="16"/>
      <c r="FSW27" s="16"/>
      <c r="FSX27" s="16"/>
      <c r="FSY27" s="16"/>
      <c r="FSZ27" s="16"/>
      <c r="FTA27" s="16"/>
      <c r="FTB27" s="16"/>
      <c r="FTC27" s="16"/>
      <c r="FTD27" s="16"/>
      <c r="FTE27" s="16"/>
      <c r="FTF27" s="16"/>
      <c r="FTG27" s="16"/>
      <c r="FTH27" s="16"/>
      <c r="FTI27" s="16"/>
      <c r="FTJ27" s="16"/>
      <c r="FTK27" s="16"/>
      <c r="FTL27" s="16"/>
      <c r="FTM27" s="16"/>
      <c r="FTN27" s="16"/>
      <c r="FTO27" s="16"/>
      <c r="FTP27" s="16"/>
      <c r="FTQ27" s="16"/>
      <c r="FTR27" s="16"/>
      <c r="FTS27" s="16"/>
      <c r="FTT27" s="16"/>
      <c r="FTU27" s="16"/>
      <c r="FTV27" s="16"/>
      <c r="FTW27" s="16"/>
      <c r="FTX27" s="16"/>
      <c r="FTY27" s="16"/>
      <c r="FTZ27" s="16"/>
      <c r="FUA27" s="16"/>
      <c r="FUB27" s="16"/>
      <c r="FUC27" s="16"/>
      <c r="FUD27" s="16"/>
      <c r="FUE27" s="16"/>
      <c r="FUF27" s="16"/>
      <c r="FUG27" s="16"/>
      <c r="FUH27" s="16"/>
      <c r="FUI27" s="16"/>
      <c r="FUJ27" s="16"/>
      <c r="FUK27" s="16"/>
      <c r="FUL27" s="16"/>
      <c r="FUM27" s="16"/>
      <c r="FUN27" s="16"/>
      <c r="FUO27" s="16"/>
      <c r="FUP27" s="16"/>
      <c r="FUQ27" s="16"/>
      <c r="FUR27" s="16"/>
      <c r="FUS27" s="16"/>
      <c r="FUT27" s="16"/>
      <c r="FUU27" s="16"/>
      <c r="FUV27" s="16"/>
      <c r="FUW27" s="16"/>
      <c r="FUX27" s="16"/>
      <c r="FUY27" s="16"/>
      <c r="FUZ27" s="16"/>
      <c r="FVA27" s="16"/>
      <c r="FVB27" s="16"/>
      <c r="FVC27" s="16"/>
      <c r="FVD27" s="16"/>
      <c r="FVE27" s="16"/>
      <c r="FVF27" s="16"/>
      <c r="FVG27" s="16"/>
      <c r="FVH27" s="16"/>
      <c r="FVI27" s="16"/>
      <c r="FVJ27" s="16"/>
      <c r="FVK27" s="16"/>
      <c r="FVL27" s="16"/>
      <c r="FVM27" s="16"/>
      <c r="FVN27" s="16"/>
      <c r="FVO27" s="16"/>
      <c r="FVP27" s="16"/>
      <c r="FVQ27" s="16"/>
      <c r="FVR27" s="16"/>
      <c r="FVS27" s="16"/>
      <c r="FVT27" s="16"/>
      <c r="FVU27" s="16"/>
      <c r="FVV27" s="16"/>
      <c r="FVW27" s="16"/>
      <c r="FVX27" s="16"/>
      <c r="FVY27" s="16"/>
      <c r="FVZ27" s="16"/>
      <c r="FWA27" s="16"/>
      <c r="FWB27" s="16"/>
      <c r="FWC27" s="16"/>
      <c r="FWD27" s="16"/>
      <c r="FWE27" s="16"/>
      <c r="FWF27" s="16"/>
      <c r="FWG27" s="16"/>
      <c r="FWH27" s="16"/>
      <c r="FWI27" s="16"/>
      <c r="FWJ27" s="16"/>
      <c r="FWK27" s="16"/>
      <c r="FWL27" s="16"/>
      <c r="FWM27" s="16"/>
      <c r="FWN27" s="16"/>
      <c r="FWO27" s="16"/>
      <c r="FWP27" s="16"/>
      <c r="FWQ27" s="16"/>
      <c r="FWR27" s="16"/>
      <c r="FWS27" s="16"/>
      <c r="FWT27" s="16"/>
      <c r="FWU27" s="16"/>
      <c r="FWV27" s="16"/>
      <c r="FWW27" s="16"/>
      <c r="FWX27" s="16"/>
      <c r="FWY27" s="16"/>
      <c r="FWZ27" s="16"/>
      <c r="FXA27" s="16"/>
      <c r="FXB27" s="16"/>
      <c r="FXC27" s="16"/>
      <c r="FXD27" s="16"/>
      <c r="FXE27" s="16"/>
      <c r="FXF27" s="16"/>
      <c r="FXG27" s="16"/>
      <c r="FXH27" s="16"/>
      <c r="FXI27" s="16"/>
      <c r="FXJ27" s="16"/>
      <c r="FXK27" s="16"/>
      <c r="FXL27" s="16"/>
      <c r="FXM27" s="16"/>
      <c r="FXN27" s="16"/>
      <c r="FXO27" s="16"/>
      <c r="FXP27" s="16"/>
      <c r="FXQ27" s="16"/>
      <c r="FXR27" s="16"/>
      <c r="FXS27" s="16"/>
      <c r="FXT27" s="16"/>
      <c r="FXU27" s="16"/>
      <c r="FXV27" s="16"/>
      <c r="FXW27" s="16"/>
      <c r="FXX27" s="16"/>
      <c r="FXY27" s="16"/>
      <c r="FXZ27" s="16"/>
      <c r="FYA27" s="16"/>
      <c r="FYB27" s="16"/>
      <c r="FYC27" s="16"/>
      <c r="FYD27" s="16"/>
      <c r="FYE27" s="16"/>
      <c r="FYF27" s="16"/>
      <c r="FYG27" s="16"/>
      <c r="FYH27" s="16"/>
      <c r="FYI27" s="16"/>
      <c r="FYJ27" s="16"/>
      <c r="FYK27" s="16"/>
      <c r="FYL27" s="16"/>
      <c r="FYM27" s="16"/>
      <c r="FYN27" s="16"/>
      <c r="FYO27" s="16"/>
      <c r="FYP27" s="16"/>
      <c r="FYQ27" s="16"/>
      <c r="FYR27" s="16"/>
      <c r="FYS27" s="16"/>
      <c r="FYT27" s="16"/>
      <c r="FYU27" s="16"/>
      <c r="FYV27" s="16"/>
      <c r="FYW27" s="16"/>
      <c r="FYX27" s="16"/>
      <c r="FYY27" s="16"/>
      <c r="FYZ27" s="16"/>
      <c r="FZA27" s="16"/>
      <c r="FZB27" s="16"/>
      <c r="FZC27" s="16"/>
      <c r="FZD27" s="16"/>
      <c r="FZE27" s="16"/>
      <c r="FZF27" s="16"/>
      <c r="FZG27" s="16"/>
      <c r="FZH27" s="16"/>
      <c r="FZI27" s="16"/>
      <c r="FZJ27" s="16"/>
      <c r="FZK27" s="16"/>
      <c r="FZL27" s="16"/>
      <c r="FZM27" s="16"/>
      <c r="FZN27" s="16"/>
      <c r="FZO27" s="16"/>
      <c r="FZP27" s="16"/>
      <c r="FZQ27" s="16"/>
      <c r="FZR27" s="16"/>
      <c r="FZS27" s="16"/>
      <c r="FZT27" s="16"/>
      <c r="FZU27" s="16"/>
      <c r="FZV27" s="16"/>
      <c r="FZW27" s="16"/>
      <c r="FZX27" s="16"/>
      <c r="FZY27" s="16"/>
      <c r="FZZ27" s="16"/>
      <c r="GAA27" s="16"/>
      <c r="GAB27" s="16"/>
      <c r="GAC27" s="16"/>
      <c r="GAD27" s="16"/>
      <c r="GAE27" s="16"/>
      <c r="GAF27" s="16"/>
      <c r="GAG27" s="16"/>
      <c r="GAH27" s="16"/>
      <c r="GAI27" s="16"/>
      <c r="GAJ27" s="16"/>
      <c r="GAK27" s="16"/>
      <c r="GAL27" s="16"/>
      <c r="GAM27" s="16"/>
      <c r="GAN27" s="16"/>
      <c r="GAO27" s="16"/>
      <c r="GAP27" s="16"/>
      <c r="GAQ27" s="16"/>
      <c r="GAR27" s="16"/>
      <c r="GAS27" s="16"/>
      <c r="GAT27" s="16"/>
      <c r="GAU27" s="16"/>
      <c r="GAV27" s="16"/>
      <c r="GAW27" s="16"/>
      <c r="GAX27" s="16"/>
      <c r="GAY27" s="16"/>
      <c r="GAZ27" s="16"/>
      <c r="GBA27" s="16"/>
      <c r="GBB27" s="16"/>
      <c r="GBC27" s="16"/>
      <c r="GBD27" s="16"/>
      <c r="GBE27" s="16"/>
      <c r="GBF27" s="16"/>
      <c r="GBG27" s="16"/>
      <c r="GBH27" s="16"/>
      <c r="GBI27" s="16"/>
      <c r="GBJ27" s="16"/>
      <c r="GBK27" s="16"/>
      <c r="GBL27" s="16"/>
      <c r="GBM27" s="16"/>
      <c r="GBN27" s="16"/>
      <c r="GBO27" s="16"/>
      <c r="GBP27" s="16"/>
      <c r="GBQ27" s="16"/>
      <c r="GBR27" s="16"/>
      <c r="GBS27" s="16"/>
      <c r="GBT27" s="16"/>
      <c r="GBU27" s="16"/>
      <c r="GBV27" s="16"/>
      <c r="GBW27" s="16"/>
      <c r="GBX27" s="16"/>
      <c r="GBY27" s="16"/>
      <c r="GBZ27" s="16"/>
      <c r="GCA27" s="16"/>
      <c r="GCB27" s="16"/>
      <c r="GCC27" s="16"/>
      <c r="GCD27" s="16"/>
      <c r="GCE27" s="16"/>
      <c r="GCF27" s="16"/>
      <c r="GCG27" s="16"/>
      <c r="GCH27" s="16"/>
      <c r="GCI27" s="16"/>
      <c r="GCJ27" s="16"/>
      <c r="GCK27" s="16"/>
      <c r="GCL27" s="16"/>
      <c r="GCM27" s="16"/>
      <c r="GCN27" s="16"/>
      <c r="GCO27" s="16"/>
      <c r="GCP27" s="16"/>
      <c r="GCQ27" s="16"/>
      <c r="GCR27" s="16"/>
      <c r="GCS27" s="16"/>
      <c r="GCT27" s="16"/>
      <c r="GCU27" s="16"/>
      <c r="GCV27" s="16"/>
      <c r="GCW27" s="16"/>
      <c r="GCX27" s="16"/>
      <c r="GCY27" s="16"/>
      <c r="GCZ27" s="16"/>
      <c r="GDA27" s="16"/>
      <c r="GDB27" s="16"/>
      <c r="GDC27" s="16"/>
      <c r="GDD27" s="16"/>
      <c r="GDE27" s="16"/>
      <c r="GDF27" s="16"/>
      <c r="GDG27" s="16"/>
      <c r="GDH27" s="16"/>
      <c r="GDI27" s="16"/>
      <c r="GDJ27" s="16"/>
      <c r="GDK27" s="16"/>
      <c r="GDL27" s="16"/>
      <c r="GDM27" s="16"/>
      <c r="GDN27" s="16"/>
      <c r="GDO27" s="16"/>
      <c r="GDP27" s="16"/>
      <c r="GDQ27" s="16"/>
      <c r="GDR27" s="16"/>
      <c r="GDS27" s="16"/>
      <c r="GDT27" s="16"/>
      <c r="GDU27" s="16"/>
      <c r="GDV27" s="16"/>
      <c r="GDW27" s="16"/>
      <c r="GDX27" s="16"/>
      <c r="GDY27" s="16"/>
      <c r="GDZ27" s="16"/>
      <c r="GEA27" s="16"/>
      <c r="GEB27" s="16"/>
      <c r="GEC27" s="16"/>
      <c r="GED27" s="16"/>
      <c r="GEE27" s="16"/>
      <c r="GEF27" s="16"/>
      <c r="GEG27" s="16"/>
      <c r="GEH27" s="16"/>
      <c r="GEI27" s="16"/>
      <c r="GEJ27" s="16"/>
      <c r="GEK27" s="16"/>
      <c r="GEL27" s="16"/>
      <c r="GEM27" s="16"/>
      <c r="GEN27" s="16"/>
      <c r="GEO27" s="16"/>
      <c r="GEP27" s="16"/>
      <c r="GEQ27" s="16"/>
      <c r="GER27" s="16"/>
      <c r="GES27" s="16"/>
      <c r="GET27" s="16"/>
      <c r="GEU27" s="16"/>
      <c r="GEV27" s="16"/>
      <c r="GEW27" s="16"/>
      <c r="GEX27" s="16"/>
      <c r="GEY27" s="16"/>
      <c r="GEZ27" s="16"/>
      <c r="GFA27" s="16"/>
      <c r="GFB27" s="16"/>
      <c r="GFC27" s="16"/>
      <c r="GFD27" s="16"/>
      <c r="GFE27" s="16"/>
      <c r="GFF27" s="16"/>
      <c r="GFG27" s="16"/>
      <c r="GFH27" s="16"/>
      <c r="GFI27" s="16"/>
      <c r="GFJ27" s="16"/>
      <c r="GFK27" s="16"/>
      <c r="GFL27" s="16"/>
      <c r="GFM27" s="16"/>
      <c r="GFN27" s="16"/>
      <c r="GFO27" s="16"/>
      <c r="GFP27" s="16"/>
      <c r="GFQ27" s="16"/>
      <c r="GFR27" s="16"/>
      <c r="GFS27" s="16"/>
      <c r="GFT27" s="16"/>
      <c r="GFU27" s="16"/>
      <c r="GFV27" s="16"/>
      <c r="GFW27" s="16"/>
      <c r="GFX27" s="16"/>
      <c r="GFY27" s="16"/>
      <c r="GFZ27" s="16"/>
      <c r="GGA27" s="16"/>
      <c r="GGB27" s="16"/>
      <c r="GGC27" s="16"/>
      <c r="GGD27" s="16"/>
      <c r="GGE27" s="16"/>
      <c r="GGF27" s="16"/>
      <c r="GGG27" s="16"/>
      <c r="GGH27" s="16"/>
      <c r="GGI27" s="16"/>
      <c r="GGJ27" s="16"/>
      <c r="GGK27" s="16"/>
      <c r="GGL27" s="16"/>
      <c r="GGM27" s="16"/>
      <c r="GGN27" s="16"/>
      <c r="GGO27" s="16"/>
      <c r="GGP27" s="16"/>
      <c r="GGQ27" s="16"/>
      <c r="GGR27" s="16"/>
      <c r="GGS27" s="16"/>
      <c r="GGT27" s="16"/>
      <c r="GGU27" s="16"/>
      <c r="GGV27" s="16"/>
      <c r="GGW27" s="16"/>
      <c r="GGX27" s="16"/>
      <c r="GGY27" s="16"/>
      <c r="GGZ27" s="16"/>
      <c r="GHA27" s="16"/>
      <c r="GHB27" s="16"/>
      <c r="GHC27" s="16"/>
      <c r="GHD27" s="16"/>
      <c r="GHE27" s="16"/>
      <c r="GHF27" s="16"/>
      <c r="GHG27" s="16"/>
      <c r="GHH27" s="16"/>
      <c r="GHI27" s="16"/>
      <c r="GHJ27" s="16"/>
      <c r="GHK27" s="16"/>
      <c r="GHL27" s="16"/>
      <c r="GHM27" s="16"/>
      <c r="GHN27" s="16"/>
      <c r="GHO27" s="16"/>
      <c r="GHP27" s="16"/>
      <c r="GHQ27" s="16"/>
      <c r="GHR27" s="16"/>
      <c r="GHS27" s="16"/>
      <c r="GHT27" s="16"/>
      <c r="GHU27" s="16"/>
      <c r="GHV27" s="16"/>
      <c r="GHW27" s="16"/>
      <c r="GHX27" s="16"/>
      <c r="GHY27" s="16"/>
      <c r="GHZ27" s="16"/>
      <c r="GIA27" s="16"/>
      <c r="GIB27" s="16"/>
      <c r="GIC27" s="16"/>
      <c r="GID27" s="16"/>
      <c r="GIE27" s="16"/>
      <c r="GIF27" s="16"/>
      <c r="GIG27" s="16"/>
      <c r="GIH27" s="16"/>
      <c r="GII27" s="16"/>
      <c r="GIJ27" s="16"/>
      <c r="GIK27" s="16"/>
      <c r="GIL27" s="16"/>
      <c r="GIM27" s="16"/>
      <c r="GIN27" s="16"/>
      <c r="GIO27" s="16"/>
      <c r="GIP27" s="16"/>
      <c r="GIQ27" s="16"/>
      <c r="GIR27" s="16"/>
      <c r="GIS27" s="16"/>
      <c r="GIT27" s="16"/>
      <c r="GIU27" s="16"/>
      <c r="GIV27" s="16"/>
      <c r="GIW27" s="16"/>
      <c r="GIX27" s="16"/>
      <c r="GIY27" s="16"/>
      <c r="GIZ27" s="16"/>
      <c r="GJA27" s="16"/>
      <c r="GJB27" s="16"/>
      <c r="GJC27" s="16"/>
      <c r="GJD27" s="16"/>
      <c r="GJE27" s="16"/>
      <c r="GJF27" s="16"/>
      <c r="GJG27" s="16"/>
      <c r="GJH27" s="16"/>
      <c r="GJI27" s="16"/>
      <c r="GJJ27" s="16"/>
      <c r="GJK27" s="16"/>
      <c r="GJL27" s="16"/>
      <c r="GJM27" s="16"/>
      <c r="GJN27" s="16"/>
      <c r="GJO27" s="16"/>
      <c r="GJP27" s="16"/>
      <c r="GJQ27" s="16"/>
      <c r="GJR27" s="16"/>
      <c r="GJS27" s="16"/>
      <c r="GJT27" s="16"/>
      <c r="GJU27" s="16"/>
      <c r="GJV27" s="16"/>
      <c r="GJW27" s="16"/>
      <c r="GJX27" s="16"/>
      <c r="GJY27" s="16"/>
      <c r="GJZ27" s="16"/>
      <c r="GKA27" s="16"/>
      <c r="GKB27" s="16"/>
      <c r="GKC27" s="16"/>
      <c r="GKD27" s="16"/>
      <c r="GKE27" s="16"/>
      <c r="GKF27" s="16"/>
      <c r="GKG27" s="16"/>
      <c r="GKH27" s="16"/>
      <c r="GKI27" s="16"/>
      <c r="GKJ27" s="16"/>
      <c r="GKK27" s="16"/>
      <c r="GKL27" s="16"/>
      <c r="GKM27" s="16"/>
      <c r="GKN27" s="16"/>
      <c r="GKO27" s="16"/>
      <c r="GKP27" s="16"/>
      <c r="GKQ27" s="16"/>
      <c r="GKR27" s="16"/>
      <c r="GKS27" s="16"/>
      <c r="GKT27" s="16"/>
      <c r="GKU27" s="16"/>
      <c r="GKV27" s="16"/>
      <c r="GKW27" s="16"/>
      <c r="GKX27" s="16"/>
      <c r="GKY27" s="16"/>
      <c r="GKZ27" s="16"/>
      <c r="GLA27" s="16"/>
      <c r="GLB27" s="16"/>
      <c r="GLC27" s="16"/>
      <c r="GLD27" s="16"/>
      <c r="GLE27" s="16"/>
      <c r="GLF27" s="16"/>
      <c r="GLG27" s="16"/>
      <c r="GLH27" s="16"/>
      <c r="GLI27" s="16"/>
      <c r="GLJ27" s="16"/>
      <c r="GLK27" s="16"/>
      <c r="GLL27" s="16"/>
      <c r="GLM27" s="16"/>
      <c r="GLN27" s="16"/>
      <c r="GLO27" s="16"/>
      <c r="GLP27" s="16"/>
      <c r="GLQ27" s="16"/>
      <c r="GLR27" s="16"/>
      <c r="GLS27" s="16"/>
      <c r="GLT27" s="16"/>
      <c r="GLU27" s="16"/>
      <c r="GLV27" s="16"/>
      <c r="GLW27" s="16"/>
      <c r="GLX27" s="16"/>
      <c r="GLY27" s="16"/>
      <c r="GLZ27" s="16"/>
      <c r="GMA27" s="16"/>
      <c r="GMB27" s="16"/>
      <c r="GMC27" s="16"/>
      <c r="GMD27" s="16"/>
      <c r="GME27" s="16"/>
      <c r="GMF27" s="16"/>
      <c r="GMG27" s="16"/>
      <c r="GMH27" s="16"/>
      <c r="GMI27" s="16"/>
      <c r="GMJ27" s="16"/>
      <c r="GMK27" s="16"/>
      <c r="GML27" s="16"/>
      <c r="GMM27" s="16"/>
      <c r="GMN27" s="16"/>
      <c r="GMO27" s="16"/>
      <c r="GMP27" s="16"/>
      <c r="GMQ27" s="16"/>
      <c r="GMR27" s="16"/>
      <c r="GMS27" s="16"/>
      <c r="GMT27" s="16"/>
      <c r="GMU27" s="16"/>
      <c r="GMV27" s="16"/>
      <c r="GMW27" s="16"/>
      <c r="GMX27" s="16"/>
      <c r="GMY27" s="16"/>
      <c r="GMZ27" s="16"/>
      <c r="GNA27" s="16"/>
      <c r="GNB27" s="16"/>
      <c r="GNC27" s="16"/>
      <c r="GND27" s="16"/>
      <c r="GNE27" s="16"/>
      <c r="GNF27" s="16"/>
      <c r="GNG27" s="16"/>
      <c r="GNH27" s="16"/>
      <c r="GNI27" s="16"/>
      <c r="GNJ27" s="16"/>
      <c r="GNK27" s="16"/>
      <c r="GNL27" s="16"/>
      <c r="GNM27" s="16"/>
      <c r="GNN27" s="16"/>
      <c r="GNO27" s="16"/>
      <c r="GNP27" s="16"/>
      <c r="GNQ27" s="16"/>
      <c r="GNR27" s="16"/>
      <c r="GNS27" s="16"/>
      <c r="GNT27" s="16"/>
      <c r="GNU27" s="16"/>
      <c r="GNV27" s="16"/>
      <c r="GNW27" s="16"/>
      <c r="GNX27" s="16"/>
      <c r="GNY27" s="16"/>
      <c r="GNZ27" s="16"/>
      <c r="GOA27" s="16"/>
      <c r="GOB27" s="16"/>
      <c r="GOC27" s="16"/>
      <c r="GOD27" s="16"/>
      <c r="GOE27" s="16"/>
      <c r="GOF27" s="16"/>
      <c r="GOG27" s="16"/>
      <c r="GOH27" s="16"/>
      <c r="GOI27" s="16"/>
      <c r="GOJ27" s="16"/>
      <c r="GOK27" s="16"/>
      <c r="GOL27" s="16"/>
      <c r="GOM27" s="16"/>
      <c r="GON27" s="16"/>
      <c r="GOO27" s="16"/>
      <c r="GOP27" s="16"/>
      <c r="GOQ27" s="16"/>
      <c r="GOR27" s="16"/>
      <c r="GOS27" s="16"/>
      <c r="GOT27" s="16"/>
      <c r="GOU27" s="16"/>
      <c r="GOV27" s="16"/>
      <c r="GOW27" s="16"/>
      <c r="GOX27" s="16"/>
      <c r="GOY27" s="16"/>
      <c r="GOZ27" s="16"/>
      <c r="GPA27" s="16"/>
      <c r="GPB27" s="16"/>
      <c r="GPC27" s="16"/>
      <c r="GPD27" s="16"/>
      <c r="GPE27" s="16"/>
      <c r="GPF27" s="16"/>
      <c r="GPG27" s="16"/>
      <c r="GPH27" s="16"/>
      <c r="GPI27" s="16"/>
      <c r="GPJ27" s="16"/>
      <c r="GPK27" s="16"/>
      <c r="GPL27" s="16"/>
      <c r="GPM27" s="16"/>
      <c r="GPN27" s="16"/>
      <c r="GPO27" s="16"/>
      <c r="GPP27" s="16"/>
      <c r="GPQ27" s="16"/>
      <c r="GPR27" s="16"/>
      <c r="GPS27" s="16"/>
      <c r="GPT27" s="16"/>
      <c r="GPU27" s="16"/>
      <c r="GPV27" s="16"/>
      <c r="GPW27" s="16"/>
      <c r="GPX27" s="16"/>
      <c r="GPY27" s="16"/>
      <c r="GPZ27" s="16"/>
      <c r="GQA27" s="16"/>
      <c r="GQB27" s="16"/>
      <c r="GQC27" s="16"/>
      <c r="GQD27" s="16"/>
      <c r="GQE27" s="16"/>
      <c r="GQF27" s="16"/>
      <c r="GQG27" s="16"/>
      <c r="GQH27" s="16"/>
      <c r="GQI27" s="16"/>
      <c r="GQJ27" s="16"/>
      <c r="GQK27" s="16"/>
      <c r="GQL27" s="16"/>
      <c r="GQM27" s="16"/>
      <c r="GQN27" s="16"/>
      <c r="GQO27" s="16"/>
      <c r="GQP27" s="16"/>
      <c r="GQQ27" s="16"/>
      <c r="GQR27" s="16"/>
      <c r="GQS27" s="16"/>
      <c r="GQT27" s="16"/>
      <c r="GQU27" s="16"/>
      <c r="GQV27" s="16"/>
      <c r="GQW27" s="16"/>
      <c r="GQX27" s="16"/>
      <c r="GQY27" s="16"/>
      <c r="GQZ27" s="16"/>
      <c r="GRA27" s="16"/>
      <c r="GRB27" s="16"/>
      <c r="GRC27" s="16"/>
      <c r="GRD27" s="16"/>
      <c r="GRE27" s="16"/>
      <c r="GRF27" s="16"/>
      <c r="GRG27" s="16"/>
      <c r="GRH27" s="16"/>
      <c r="GRI27" s="16"/>
      <c r="GRJ27" s="16"/>
      <c r="GRK27" s="16"/>
      <c r="GRL27" s="16"/>
      <c r="GRM27" s="16"/>
      <c r="GRN27" s="16"/>
      <c r="GRO27" s="16"/>
      <c r="GRP27" s="16"/>
      <c r="GRQ27" s="16"/>
      <c r="GRR27" s="16"/>
      <c r="GRS27" s="16"/>
      <c r="GRT27" s="16"/>
      <c r="GRU27" s="16"/>
      <c r="GRV27" s="16"/>
      <c r="GRW27" s="16"/>
      <c r="GRX27" s="16"/>
      <c r="GRY27" s="16"/>
      <c r="GRZ27" s="16"/>
      <c r="GSA27" s="16"/>
      <c r="GSB27" s="16"/>
      <c r="GSC27" s="16"/>
      <c r="GSD27" s="16"/>
      <c r="GSE27" s="16"/>
      <c r="GSF27" s="16"/>
      <c r="GSG27" s="16"/>
      <c r="GSH27" s="16"/>
      <c r="GSI27" s="16"/>
      <c r="GSJ27" s="16"/>
      <c r="GSK27" s="16"/>
      <c r="GSL27" s="16"/>
      <c r="GSM27" s="16"/>
      <c r="GSN27" s="16"/>
      <c r="GSO27" s="16"/>
      <c r="GSP27" s="16"/>
      <c r="GSQ27" s="16"/>
      <c r="GSR27" s="16"/>
      <c r="GSS27" s="16"/>
      <c r="GST27" s="16"/>
      <c r="GSU27" s="16"/>
      <c r="GSV27" s="16"/>
      <c r="GSW27" s="16"/>
      <c r="GSX27" s="16"/>
      <c r="GSY27" s="16"/>
      <c r="GSZ27" s="16"/>
      <c r="GTA27" s="16"/>
      <c r="GTB27" s="16"/>
      <c r="GTC27" s="16"/>
      <c r="GTD27" s="16"/>
      <c r="GTE27" s="16"/>
      <c r="GTF27" s="16"/>
      <c r="GTG27" s="16"/>
      <c r="GTH27" s="16"/>
      <c r="GTI27" s="16"/>
      <c r="GTJ27" s="16"/>
      <c r="GTK27" s="16"/>
      <c r="GTL27" s="16"/>
      <c r="GTM27" s="16"/>
      <c r="GTN27" s="16"/>
      <c r="GTO27" s="16"/>
      <c r="GTP27" s="16"/>
      <c r="GTQ27" s="16"/>
      <c r="GTR27" s="16"/>
      <c r="GTS27" s="16"/>
      <c r="GTT27" s="16"/>
      <c r="GTU27" s="16"/>
      <c r="GTV27" s="16"/>
      <c r="GTW27" s="16"/>
      <c r="GTX27" s="16"/>
      <c r="GTY27" s="16"/>
      <c r="GTZ27" s="16"/>
      <c r="GUA27" s="16"/>
      <c r="GUB27" s="16"/>
      <c r="GUC27" s="16"/>
      <c r="GUD27" s="16"/>
      <c r="GUE27" s="16"/>
      <c r="GUF27" s="16"/>
      <c r="GUG27" s="16"/>
      <c r="GUH27" s="16"/>
      <c r="GUI27" s="16"/>
      <c r="GUJ27" s="16"/>
      <c r="GUK27" s="16"/>
      <c r="GUL27" s="16"/>
      <c r="GUM27" s="16"/>
      <c r="GUN27" s="16"/>
      <c r="GUO27" s="16"/>
      <c r="GUP27" s="16"/>
      <c r="GUQ27" s="16"/>
      <c r="GUR27" s="16"/>
      <c r="GUS27" s="16"/>
      <c r="GUT27" s="16"/>
      <c r="GUU27" s="16"/>
      <c r="GUV27" s="16"/>
      <c r="GUW27" s="16"/>
      <c r="GUX27" s="16"/>
      <c r="GUY27" s="16"/>
      <c r="GUZ27" s="16"/>
      <c r="GVA27" s="16"/>
      <c r="GVB27" s="16"/>
      <c r="GVC27" s="16"/>
      <c r="GVD27" s="16"/>
      <c r="GVE27" s="16"/>
      <c r="GVF27" s="16"/>
      <c r="GVG27" s="16"/>
      <c r="GVH27" s="16"/>
      <c r="GVI27" s="16"/>
      <c r="GVJ27" s="16"/>
      <c r="GVK27" s="16"/>
      <c r="GVL27" s="16"/>
      <c r="GVM27" s="16"/>
      <c r="GVN27" s="16"/>
      <c r="GVO27" s="16"/>
      <c r="GVP27" s="16"/>
      <c r="GVQ27" s="16"/>
      <c r="GVR27" s="16"/>
      <c r="GVS27" s="16"/>
      <c r="GVT27" s="16"/>
      <c r="GVU27" s="16"/>
      <c r="GVV27" s="16"/>
      <c r="GVW27" s="16"/>
      <c r="GVX27" s="16"/>
      <c r="GVY27" s="16"/>
      <c r="GVZ27" s="16"/>
      <c r="GWA27" s="16"/>
      <c r="GWB27" s="16"/>
      <c r="GWC27" s="16"/>
      <c r="GWD27" s="16"/>
      <c r="GWE27" s="16"/>
      <c r="GWF27" s="16"/>
      <c r="GWG27" s="16"/>
      <c r="GWH27" s="16"/>
      <c r="GWI27" s="16"/>
      <c r="GWJ27" s="16"/>
      <c r="GWK27" s="16"/>
      <c r="GWL27" s="16"/>
      <c r="GWM27" s="16"/>
      <c r="GWN27" s="16"/>
      <c r="GWO27" s="16"/>
      <c r="GWP27" s="16"/>
      <c r="GWQ27" s="16"/>
      <c r="GWR27" s="16"/>
      <c r="GWS27" s="16"/>
      <c r="GWT27" s="16"/>
      <c r="GWU27" s="16"/>
      <c r="GWV27" s="16"/>
      <c r="GWW27" s="16"/>
      <c r="GWX27" s="16"/>
      <c r="GWY27" s="16"/>
      <c r="GWZ27" s="16"/>
      <c r="GXA27" s="16"/>
      <c r="GXB27" s="16"/>
      <c r="GXC27" s="16"/>
      <c r="GXD27" s="16"/>
      <c r="GXE27" s="16"/>
      <c r="GXF27" s="16"/>
      <c r="GXG27" s="16"/>
      <c r="GXH27" s="16"/>
      <c r="GXI27" s="16"/>
      <c r="GXJ27" s="16"/>
      <c r="GXK27" s="16"/>
      <c r="GXL27" s="16"/>
      <c r="GXM27" s="16"/>
      <c r="GXN27" s="16"/>
      <c r="GXO27" s="16"/>
      <c r="GXP27" s="16"/>
      <c r="GXQ27" s="16"/>
      <c r="GXR27" s="16"/>
      <c r="GXS27" s="16"/>
      <c r="GXT27" s="16"/>
      <c r="GXU27" s="16"/>
      <c r="GXV27" s="16"/>
      <c r="GXW27" s="16"/>
      <c r="GXX27" s="16"/>
      <c r="GXY27" s="16"/>
      <c r="GXZ27" s="16"/>
      <c r="GYA27" s="16"/>
      <c r="GYB27" s="16"/>
      <c r="GYC27" s="16"/>
      <c r="GYD27" s="16"/>
      <c r="GYE27" s="16"/>
      <c r="GYF27" s="16"/>
      <c r="GYG27" s="16"/>
      <c r="GYH27" s="16"/>
      <c r="GYI27" s="16"/>
      <c r="GYJ27" s="16"/>
      <c r="GYK27" s="16"/>
      <c r="GYL27" s="16"/>
      <c r="GYM27" s="16"/>
      <c r="GYN27" s="16"/>
      <c r="GYO27" s="16"/>
      <c r="GYP27" s="16"/>
      <c r="GYQ27" s="16"/>
      <c r="GYR27" s="16"/>
      <c r="GYS27" s="16"/>
      <c r="GYT27" s="16"/>
      <c r="GYU27" s="16"/>
      <c r="GYV27" s="16"/>
      <c r="GYW27" s="16"/>
      <c r="GYX27" s="16"/>
      <c r="GYY27" s="16"/>
      <c r="GYZ27" s="16"/>
      <c r="GZA27" s="16"/>
      <c r="GZB27" s="16"/>
      <c r="GZC27" s="16"/>
      <c r="GZD27" s="16"/>
      <c r="GZE27" s="16"/>
      <c r="GZF27" s="16"/>
      <c r="GZG27" s="16"/>
      <c r="GZH27" s="16"/>
      <c r="GZI27" s="16"/>
      <c r="GZJ27" s="16"/>
      <c r="GZK27" s="16"/>
      <c r="GZL27" s="16"/>
      <c r="GZM27" s="16"/>
      <c r="GZN27" s="16"/>
      <c r="GZO27" s="16"/>
      <c r="GZP27" s="16"/>
      <c r="GZQ27" s="16"/>
      <c r="GZR27" s="16"/>
      <c r="GZS27" s="16"/>
      <c r="GZT27" s="16"/>
      <c r="GZU27" s="16"/>
      <c r="GZV27" s="16"/>
      <c r="GZW27" s="16"/>
      <c r="GZX27" s="16"/>
      <c r="GZY27" s="16"/>
      <c r="GZZ27" s="16"/>
      <c r="HAA27" s="16"/>
      <c r="HAB27" s="16"/>
      <c r="HAC27" s="16"/>
      <c r="HAD27" s="16"/>
      <c r="HAE27" s="16"/>
      <c r="HAF27" s="16"/>
      <c r="HAG27" s="16"/>
      <c r="HAH27" s="16"/>
      <c r="HAI27" s="16"/>
      <c r="HAJ27" s="16"/>
      <c r="HAK27" s="16"/>
      <c r="HAL27" s="16"/>
      <c r="HAM27" s="16"/>
      <c r="HAN27" s="16"/>
      <c r="HAO27" s="16"/>
      <c r="HAP27" s="16"/>
      <c r="HAQ27" s="16"/>
      <c r="HAR27" s="16"/>
      <c r="HAS27" s="16"/>
      <c r="HAT27" s="16"/>
      <c r="HAU27" s="16"/>
      <c r="HAV27" s="16"/>
      <c r="HAW27" s="16"/>
      <c r="HAX27" s="16"/>
      <c r="HAY27" s="16"/>
      <c r="HAZ27" s="16"/>
      <c r="HBA27" s="16"/>
      <c r="HBB27" s="16"/>
      <c r="HBC27" s="16"/>
      <c r="HBD27" s="16"/>
      <c r="HBE27" s="16"/>
      <c r="HBF27" s="16"/>
      <c r="HBG27" s="16"/>
      <c r="HBH27" s="16"/>
      <c r="HBI27" s="16"/>
      <c r="HBJ27" s="16"/>
      <c r="HBK27" s="16"/>
      <c r="HBL27" s="16"/>
      <c r="HBM27" s="16"/>
      <c r="HBN27" s="16"/>
      <c r="HBO27" s="16"/>
      <c r="HBP27" s="16"/>
      <c r="HBQ27" s="16"/>
      <c r="HBR27" s="16"/>
      <c r="HBS27" s="16"/>
      <c r="HBT27" s="16"/>
      <c r="HBU27" s="16"/>
      <c r="HBV27" s="16"/>
      <c r="HBW27" s="16"/>
      <c r="HBX27" s="16"/>
      <c r="HBY27" s="16"/>
      <c r="HBZ27" s="16"/>
      <c r="HCA27" s="16"/>
      <c r="HCB27" s="16"/>
      <c r="HCC27" s="16"/>
      <c r="HCD27" s="16"/>
      <c r="HCE27" s="16"/>
      <c r="HCF27" s="16"/>
      <c r="HCG27" s="16"/>
      <c r="HCH27" s="16"/>
      <c r="HCI27" s="16"/>
      <c r="HCJ27" s="16"/>
      <c r="HCK27" s="16"/>
      <c r="HCL27" s="16"/>
      <c r="HCM27" s="16"/>
      <c r="HCN27" s="16"/>
      <c r="HCO27" s="16"/>
      <c r="HCP27" s="16"/>
      <c r="HCQ27" s="16"/>
      <c r="HCR27" s="16"/>
      <c r="HCS27" s="16"/>
      <c r="HCT27" s="16"/>
      <c r="HCU27" s="16"/>
      <c r="HCV27" s="16"/>
      <c r="HCW27" s="16"/>
      <c r="HCX27" s="16"/>
      <c r="HCY27" s="16"/>
      <c r="HCZ27" s="16"/>
      <c r="HDA27" s="16"/>
      <c r="HDB27" s="16"/>
      <c r="HDC27" s="16"/>
      <c r="HDD27" s="16"/>
      <c r="HDE27" s="16"/>
      <c r="HDF27" s="16"/>
      <c r="HDG27" s="16"/>
      <c r="HDH27" s="16"/>
      <c r="HDI27" s="16"/>
      <c r="HDJ27" s="16"/>
      <c r="HDK27" s="16"/>
      <c r="HDL27" s="16"/>
      <c r="HDM27" s="16"/>
      <c r="HDN27" s="16"/>
      <c r="HDO27" s="16"/>
      <c r="HDP27" s="16"/>
      <c r="HDQ27" s="16"/>
      <c r="HDR27" s="16"/>
      <c r="HDS27" s="16"/>
      <c r="HDT27" s="16"/>
      <c r="HDU27" s="16"/>
      <c r="HDV27" s="16"/>
      <c r="HDW27" s="16"/>
      <c r="HDX27" s="16"/>
      <c r="HDY27" s="16"/>
      <c r="HDZ27" s="16"/>
      <c r="HEA27" s="16"/>
      <c r="HEB27" s="16"/>
      <c r="HEC27" s="16"/>
      <c r="HED27" s="16"/>
      <c r="HEE27" s="16"/>
      <c r="HEF27" s="16"/>
      <c r="HEG27" s="16"/>
      <c r="HEH27" s="16"/>
      <c r="HEI27" s="16"/>
      <c r="HEJ27" s="16"/>
      <c r="HEK27" s="16"/>
      <c r="HEL27" s="16"/>
      <c r="HEM27" s="16"/>
      <c r="HEN27" s="16"/>
      <c r="HEO27" s="16"/>
      <c r="HEP27" s="16"/>
      <c r="HEQ27" s="16"/>
      <c r="HER27" s="16"/>
      <c r="HES27" s="16"/>
      <c r="HET27" s="16"/>
      <c r="HEU27" s="16"/>
      <c r="HEV27" s="16"/>
      <c r="HEW27" s="16"/>
      <c r="HEX27" s="16"/>
      <c r="HEY27" s="16"/>
      <c r="HEZ27" s="16"/>
      <c r="HFA27" s="16"/>
      <c r="HFB27" s="16"/>
      <c r="HFC27" s="16"/>
      <c r="HFD27" s="16"/>
      <c r="HFE27" s="16"/>
      <c r="HFF27" s="16"/>
      <c r="HFG27" s="16"/>
      <c r="HFH27" s="16"/>
      <c r="HFI27" s="16"/>
      <c r="HFJ27" s="16"/>
      <c r="HFK27" s="16"/>
      <c r="HFL27" s="16"/>
      <c r="HFM27" s="16"/>
      <c r="HFN27" s="16"/>
      <c r="HFO27" s="16"/>
      <c r="HFP27" s="16"/>
      <c r="HFQ27" s="16"/>
      <c r="HFR27" s="16"/>
      <c r="HFS27" s="16"/>
      <c r="HFT27" s="16"/>
      <c r="HFU27" s="16"/>
      <c r="HFV27" s="16"/>
      <c r="HFW27" s="16"/>
      <c r="HFX27" s="16"/>
      <c r="HFY27" s="16"/>
      <c r="HFZ27" s="16"/>
      <c r="HGA27" s="16"/>
      <c r="HGB27" s="16"/>
      <c r="HGC27" s="16"/>
      <c r="HGD27" s="16"/>
      <c r="HGE27" s="16"/>
      <c r="HGF27" s="16"/>
      <c r="HGG27" s="16"/>
      <c r="HGH27" s="16"/>
      <c r="HGI27" s="16"/>
      <c r="HGJ27" s="16"/>
      <c r="HGK27" s="16"/>
      <c r="HGL27" s="16"/>
      <c r="HGM27" s="16"/>
      <c r="HGN27" s="16"/>
      <c r="HGO27" s="16"/>
      <c r="HGP27" s="16"/>
      <c r="HGQ27" s="16"/>
      <c r="HGR27" s="16"/>
      <c r="HGS27" s="16"/>
      <c r="HGT27" s="16"/>
      <c r="HGU27" s="16"/>
      <c r="HGV27" s="16"/>
      <c r="HGW27" s="16"/>
      <c r="HGX27" s="16"/>
      <c r="HGY27" s="16"/>
      <c r="HGZ27" s="16"/>
      <c r="HHA27" s="16"/>
      <c r="HHB27" s="16"/>
      <c r="HHC27" s="16"/>
      <c r="HHD27" s="16"/>
      <c r="HHE27" s="16"/>
      <c r="HHF27" s="16"/>
      <c r="HHG27" s="16"/>
      <c r="HHH27" s="16"/>
      <c r="HHI27" s="16"/>
      <c r="HHJ27" s="16"/>
      <c r="HHK27" s="16"/>
      <c r="HHL27" s="16"/>
      <c r="HHM27" s="16"/>
      <c r="HHN27" s="16"/>
      <c r="HHO27" s="16"/>
      <c r="HHP27" s="16"/>
      <c r="HHQ27" s="16"/>
      <c r="HHR27" s="16"/>
      <c r="HHS27" s="16"/>
      <c r="HHT27" s="16"/>
      <c r="HHU27" s="16"/>
      <c r="HHV27" s="16"/>
      <c r="HHW27" s="16"/>
      <c r="HHX27" s="16"/>
      <c r="HHY27" s="16"/>
      <c r="HHZ27" s="16"/>
      <c r="HIA27" s="16"/>
      <c r="HIB27" s="16"/>
      <c r="HIC27" s="16"/>
      <c r="HID27" s="16"/>
      <c r="HIE27" s="16"/>
      <c r="HIF27" s="16"/>
      <c r="HIG27" s="16"/>
      <c r="HIH27" s="16"/>
      <c r="HII27" s="16"/>
      <c r="HIJ27" s="16"/>
      <c r="HIK27" s="16"/>
      <c r="HIL27" s="16"/>
      <c r="HIM27" s="16"/>
      <c r="HIN27" s="16"/>
      <c r="HIO27" s="16"/>
      <c r="HIP27" s="16"/>
      <c r="HIQ27" s="16"/>
      <c r="HIR27" s="16"/>
      <c r="HIS27" s="16"/>
      <c r="HIT27" s="16"/>
      <c r="HIU27" s="16"/>
      <c r="HIV27" s="16"/>
      <c r="HIW27" s="16"/>
      <c r="HIX27" s="16"/>
      <c r="HIY27" s="16"/>
      <c r="HIZ27" s="16"/>
      <c r="HJA27" s="16"/>
      <c r="HJB27" s="16"/>
      <c r="HJC27" s="16"/>
      <c r="HJD27" s="16"/>
      <c r="HJE27" s="16"/>
      <c r="HJF27" s="16"/>
      <c r="HJG27" s="16"/>
      <c r="HJH27" s="16"/>
      <c r="HJI27" s="16"/>
      <c r="HJJ27" s="16"/>
      <c r="HJK27" s="16"/>
      <c r="HJL27" s="16"/>
      <c r="HJM27" s="16"/>
      <c r="HJN27" s="16"/>
      <c r="HJO27" s="16"/>
      <c r="HJP27" s="16"/>
      <c r="HJQ27" s="16"/>
      <c r="HJR27" s="16"/>
      <c r="HJS27" s="16"/>
      <c r="HJT27" s="16"/>
      <c r="HJU27" s="16"/>
      <c r="HJV27" s="16"/>
      <c r="HJW27" s="16"/>
      <c r="HJX27" s="16"/>
      <c r="HJY27" s="16"/>
      <c r="HJZ27" s="16"/>
      <c r="HKA27" s="16"/>
      <c r="HKB27" s="16"/>
      <c r="HKC27" s="16"/>
      <c r="HKD27" s="16"/>
      <c r="HKE27" s="16"/>
      <c r="HKF27" s="16"/>
      <c r="HKG27" s="16"/>
      <c r="HKH27" s="16"/>
      <c r="HKI27" s="16"/>
      <c r="HKJ27" s="16"/>
      <c r="HKK27" s="16"/>
      <c r="HKL27" s="16"/>
      <c r="HKM27" s="16"/>
      <c r="HKN27" s="16"/>
      <c r="HKO27" s="16"/>
      <c r="HKP27" s="16"/>
      <c r="HKQ27" s="16"/>
      <c r="HKR27" s="16"/>
      <c r="HKS27" s="16"/>
      <c r="HKT27" s="16"/>
      <c r="HKU27" s="16"/>
      <c r="HKV27" s="16"/>
      <c r="HKW27" s="16"/>
      <c r="HKX27" s="16"/>
      <c r="HKY27" s="16"/>
      <c r="HKZ27" s="16"/>
      <c r="HLA27" s="16"/>
      <c r="HLB27" s="16"/>
      <c r="HLC27" s="16"/>
      <c r="HLD27" s="16"/>
      <c r="HLE27" s="16"/>
      <c r="HLF27" s="16"/>
      <c r="HLG27" s="16"/>
      <c r="HLH27" s="16"/>
      <c r="HLI27" s="16"/>
      <c r="HLJ27" s="16"/>
      <c r="HLK27" s="16"/>
      <c r="HLL27" s="16"/>
      <c r="HLM27" s="16"/>
      <c r="HLN27" s="16"/>
      <c r="HLO27" s="16"/>
      <c r="HLP27" s="16"/>
      <c r="HLQ27" s="16"/>
      <c r="HLR27" s="16"/>
      <c r="HLS27" s="16"/>
      <c r="HLT27" s="16"/>
      <c r="HLU27" s="16"/>
      <c r="HLV27" s="16"/>
      <c r="HLW27" s="16"/>
      <c r="HLX27" s="16"/>
      <c r="HLY27" s="16"/>
      <c r="HLZ27" s="16"/>
      <c r="HMA27" s="16"/>
      <c r="HMB27" s="16"/>
      <c r="HMC27" s="16"/>
      <c r="HMD27" s="16"/>
      <c r="HME27" s="16"/>
      <c r="HMF27" s="16"/>
      <c r="HMG27" s="16"/>
      <c r="HMH27" s="16"/>
      <c r="HMI27" s="16"/>
      <c r="HMJ27" s="16"/>
      <c r="HMK27" s="16"/>
      <c r="HML27" s="16"/>
      <c r="HMM27" s="16"/>
      <c r="HMN27" s="16"/>
      <c r="HMO27" s="16"/>
      <c r="HMP27" s="16"/>
      <c r="HMQ27" s="16"/>
      <c r="HMR27" s="16"/>
      <c r="HMS27" s="16"/>
      <c r="HMT27" s="16"/>
      <c r="HMU27" s="16"/>
      <c r="HMV27" s="16"/>
      <c r="HMW27" s="16"/>
      <c r="HMX27" s="16"/>
      <c r="HMY27" s="16"/>
      <c r="HMZ27" s="16"/>
      <c r="HNA27" s="16"/>
      <c r="HNB27" s="16"/>
      <c r="HNC27" s="16"/>
      <c r="HND27" s="16"/>
      <c r="HNE27" s="16"/>
      <c r="HNF27" s="16"/>
      <c r="HNG27" s="16"/>
      <c r="HNH27" s="16"/>
      <c r="HNI27" s="16"/>
      <c r="HNJ27" s="16"/>
      <c r="HNK27" s="16"/>
      <c r="HNL27" s="16"/>
      <c r="HNM27" s="16"/>
      <c r="HNN27" s="16"/>
      <c r="HNO27" s="16"/>
      <c r="HNP27" s="16"/>
      <c r="HNQ27" s="16"/>
      <c r="HNR27" s="16"/>
      <c r="HNS27" s="16"/>
      <c r="HNT27" s="16"/>
      <c r="HNU27" s="16"/>
      <c r="HNV27" s="16"/>
      <c r="HNW27" s="16"/>
      <c r="HNX27" s="16"/>
      <c r="HNY27" s="16"/>
      <c r="HNZ27" s="16"/>
      <c r="HOA27" s="16"/>
      <c r="HOB27" s="16"/>
      <c r="HOC27" s="16"/>
      <c r="HOD27" s="16"/>
      <c r="HOE27" s="16"/>
      <c r="HOF27" s="16"/>
      <c r="HOG27" s="16"/>
      <c r="HOH27" s="16"/>
      <c r="HOI27" s="16"/>
      <c r="HOJ27" s="16"/>
      <c r="HOK27" s="16"/>
      <c r="HOL27" s="16"/>
      <c r="HOM27" s="16"/>
      <c r="HON27" s="16"/>
      <c r="HOO27" s="16"/>
      <c r="HOP27" s="16"/>
      <c r="HOQ27" s="16"/>
      <c r="HOR27" s="16"/>
      <c r="HOS27" s="16"/>
      <c r="HOT27" s="16"/>
      <c r="HOU27" s="16"/>
      <c r="HOV27" s="16"/>
      <c r="HOW27" s="16"/>
      <c r="HOX27" s="16"/>
      <c r="HOY27" s="16"/>
      <c r="HOZ27" s="16"/>
      <c r="HPA27" s="16"/>
      <c r="HPB27" s="16"/>
      <c r="HPC27" s="16"/>
      <c r="HPD27" s="16"/>
      <c r="HPE27" s="16"/>
      <c r="HPF27" s="16"/>
      <c r="HPG27" s="16"/>
      <c r="HPH27" s="16"/>
      <c r="HPI27" s="16"/>
      <c r="HPJ27" s="16"/>
      <c r="HPK27" s="16"/>
      <c r="HPL27" s="16"/>
      <c r="HPM27" s="16"/>
      <c r="HPN27" s="16"/>
      <c r="HPO27" s="16"/>
      <c r="HPP27" s="16"/>
      <c r="HPQ27" s="16"/>
      <c r="HPR27" s="16"/>
      <c r="HPS27" s="16"/>
      <c r="HPT27" s="16"/>
      <c r="HPU27" s="16"/>
      <c r="HPV27" s="16"/>
      <c r="HPW27" s="16"/>
      <c r="HPX27" s="16"/>
      <c r="HPY27" s="16"/>
      <c r="HPZ27" s="16"/>
      <c r="HQA27" s="16"/>
      <c r="HQB27" s="16"/>
      <c r="HQC27" s="16"/>
      <c r="HQD27" s="16"/>
      <c r="HQE27" s="16"/>
      <c r="HQF27" s="16"/>
      <c r="HQG27" s="16"/>
      <c r="HQH27" s="16"/>
      <c r="HQI27" s="16"/>
      <c r="HQJ27" s="16"/>
      <c r="HQK27" s="16"/>
      <c r="HQL27" s="16"/>
      <c r="HQM27" s="16"/>
      <c r="HQN27" s="16"/>
      <c r="HQO27" s="16"/>
      <c r="HQP27" s="16"/>
      <c r="HQQ27" s="16"/>
      <c r="HQR27" s="16"/>
      <c r="HQS27" s="16"/>
      <c r="HQT27" s="16"/>
      <c r="HQU27" s="16"/>
      <c r="HQV27" s="16"/>
      <c r="HQW27" s="16"/>
      <c r="HQX27" s="16"/>
      <c r="HQY27" s="16"/>
      <c r="HQZ27" s="16"/>
      <c r="HRA27" s="16"/>
      <c r="HRB27" s="16"/>
      <c r="HRC27" s="16"/>
      <c r="HRD27" s="16"/>
      <c r="HRE27" s="16"/>
      <c r="HRF27" s="16"/>
      <c r="HRG27" s="16"/>
      <c r="HRH27" s="16"/>
      <c r="HRI27" s="16"/>
      <c r="HRJ27" s="16"/>
      <c r="HRK27" s="16"/>
      <c r="HRL27" s="16"/>
      <c r="HRM27" s="16"/>
      <c r="HRN27" s="16"/>
      <c r="HRO27" s="16"/>
      <c r="HRP27" s="16"/>
      <c r="HRQ27" s="16"/>
      <c r="HRR27" s="16"/>
      <c r="HRS27" s="16"/>
      <c r="HRT27" s="16"/>
      <c r="HRU27" s="16"/>
      <c r="HRV27" s="16"/>
      <c r="HRW27" s="16"/>
      <c r="HRX27" s="16"/>
      <c r="HRY27" s="16"/>
      <c r="HRZ27" s="16"/>
      <c r="HSA27" s="16"/>
      <c r="HSB27" s="16"/>
      <c r="HSC27" s="16"/>
      <c r="HSD27" s="16"/>
      <c r="HSE27" s="16"/>
      <c r="HSF27" s="16"/>
      <c r="HSG27" s="16"/>
      <c r="HSH27" s="16"/>
      <c r="HSI27" s="16"/>
      <c r="HSJ27" s="16"/>
      <c r="HSK27" s="16"/>
      <c r="HSL27" s="16"/>
      <c r="HSM27" s="16"/>
      <c r="HSN27" s="16"/>
      <c r="HSO27" s="16"/>
      <c r="HSP27" s="16"/>
      <c r="HSQ27" s="16"/>
      <c r="HSR27" s="16"/>
      <c r="HSS27" s="16"/>
      <c r="HST27" s="16"/>
      <c r="HSU27" s="16"/>
      <c r="HSV27" s="16"/>
      <c r="HSW27" s="16"/>
      <c r="HSX27" s="16"/>
      <c r="HSY27" s="16"/>
      <c r="HSZ27" s="16"/>
      <c r="HTA27" s="16"/>
      <c r="HTB27" s="16"/>
      <c r="HTC27" s="16"/>
      <c r="HTD27" s="16"/>
      <c r="HTE27" s="16"/>
      <c r="HTF27" s="16"/>
      <c r="HTG27" s="16"/>
      <c r="HTH27" s="16"/>
      <c r="HTI27" s="16"/>
      <c r="HTJ27" s="16"/>
      <c r="HTK27" s="16"/>
      <c r="HTL27" s="16"/>
      <c r="HTM27" s="16"/>
      <c r="HTN27" s="16"/>
      <c r="HTO27" s="16"/>
      <c r="HTP27" s="16"/>
      <c r="HTQ27" s="16"/>
      <c r="HTR27" s="16"/>
      <c r="HTS27" s="16"/>
      <c r="HTT27" s="16"/>
      <c r="HTU27" s="16"/>
      <c r="HTV27" s="16"/>
      <c r="HTW27" s="16"/>
      <c r="HTX27" s="16"/>
      <c r="HTY27" s="16"/>
      <c r="HTZ27" s="16"/>
      <c r="HUA27" s="16"/>
      <c r="HUB27" s="16"/>
      <c r="HUC27" s="16"/>
      <c r="HUD27" s="16"/>
      <c r="HUE27" s="16"/>
      <c r="HUF27" s="16"/>
      <c r="HUG27" s="16"/>
      <c r="HUH27" s="16"/>
      <c r="HUI27" s="16"/>
      <c r="HUJ27" s="16"/>
      <c r="HUK27" s="16"/>
      <c r="HUL27" s="16"/>
      <c r="HUM27" s="16"/>
      <c r="HUN27" s="16"/>
      <c r="HUO27" s="16"/>
      <c r="HUP27" s="16"/>
      <c r="HUQ27" s="16"/>
      <c r="HUR27" s="16"/>
      <c r="HUS27" s="16"/>
      <c r="HUT27" s="16"/>
      <c r="HUU27" s="16"/>
      <c r="HUV27" s="16"/>
      <c r="HUW27" s="16"/>
      <c r="HUX27" s="16"/>
      <c r="HUY27" s="16"/>
      <c r="HUZ27" s="16"/>
      <c r="HVA27" s="16"/>
      <c r="HVB27" s="16"/>
      <c r="HVC27" s="16"/>
      <c r="HVD27" s="16"/>
      <c r="HVE27" s="16"/>
      <c r="HVF27" s="16"/>
      <c r="HVG27" s="16"/>
      <c r="HVH27" s="16"/>
      <c r="HVI27" s="16"/>
      <c r="HVJ27" s="16"/>
      <c r="HVK27" s="16"/>
      <c r="HVL27" s="16"/>
      <c r="HVM27" s="16"/>
      <c r="HVN27" s="16"/>
      <c r="HVO27" s="16"/>
      <c r="HVP27" s="16"/>
      <c r="HVQ27" s="16"/>
      <c r="HVR27" s="16"/>
      <c r="HVS27" s="16"/>
      <c r="HVT27" s="16"/>
      <c r="HVU27" s="16"/>
      <c r="HVV27" s="16"/>
      <c r="HVW27" s="16"/>
      <c r="HVX27" s="16"/>
      <c r="HVY27" s="16"/>
      <c r="HVZ27" s="16"/>
      <c r="HWA27" s="16"/>
      <c r="HWB27" s="16"/>
      <c r="HWC27" s="16"/>
      <c r="HWD27" s="16"/>
      <c r="HWE27" s="16"/>
      <c r="HWF27" s="16"/>
      <c r="HWG27" s="16"/>
      <c r="HWH27" s="16"/>
      <c r="HWI27" s="16"/>
      <c r="HWJ27" s="16"/>
      <c r="HWK27" s="16"/>
      <c r="HWL27" s="16"/>
      <c r="HWM27" s="16"/>
      <c r="HWN27" s="16"/>
      <c r="HWO27" s="16"/>
      <c r="HWP27" s="16"/>
      <c r="HWQ27" s="16"/>
      <c r="HWR27" s="16"/>
      <c r="HWS27" s="16"/>
      <c r="HWT27" s="16"/>
      <c r="HWU27" s="16"/>
      <c r="HWV27" s="16"/>
      <c r="HWW27" s="16"/>
      <c r="HWX27" s="16"/>
      <c r="HWY27" s="16"/>
      <c r="HWZ27" s="16"/>
      <c r="HXA27" s="16"/>
      <c r="HXB27" s="16"/>
      <c r="HXC27" s="16"/>
      <c r="HXD27" s="16"/>
      <c r="HXE27" s="16"/>
      <c r="HXF27" s="16"/>
      <c r="HXG27" s="16"/>
      <c r="HXH27" s="16"/>
      <c r="HXI27" s="16"/>
      <c r="HXJ27" s="16"/>
      <c r="HXK27" s="16"/>
      <c r="HXL27" s="16"/>
      <c r="HXM27" s="16"/>
      <c r="HXN27" s="16"/>
      <c r="HXO27" s="16"/>
      <c r="HXP27" s="16"/>
      <c r="HXQ27" s="16"/>
      <c r="HXR27" s="16"/>
      <c r="HXS27" s="16"/>
      <c r="HXT27" s="16"/>
      <c r="HXU27" s="16"/>
      <c r="HXV27" s="16"/>
      <c r="HXW27" s="16"/>
      <c r="HXX27" s="16"/>
      <c r="HXY27" s="16"/>
      <c r="HXZ27" s="16"/>
      <c r="HYA27" s="16"/>
      <c r="HYB27" s="16"/>
      <c r="HYC27" s="16"/>
      <c r="HYD27" s="16"/>
      <c r="HYE27" s="16"/>
      <c r="HYF27" s="16"/>
      <c r="HYG27" s="16"/>
      <c r="HYH27" s="16"/>
      <c r="HYI27" s="16"/>
      <c r="HYJ27" s="16"/>
      <c r="HYK27" s="16"/>
      <c r="HYL27" s="16"/>
      <c r="HYM27" s="16"/>
      <c r="HYN27" s="16"/>
      <c r="HYO27" s="16"/>
      <c r="HYP27" s="16"/>
      <c r="HYQ27" s="16"/>
      <c r="HYR27" s="16"/>
      <c r="HYS27" s="16"/>
      <c r="HYT27" s="16"/>
      <c r="HYU27" s="16"/>
      <c r="HYV27" s="16"/>
      <c r="HYW27" s="16"/>
      <c r="HYX27" s="16"/>
      <c r="HYY27" s="16"/>
      <c r="HYZ27" s="16"/>
      <c r="HZA27" s="16"/>
      <c r="HZB27" s="16"/>
      <c r="HZC27" s="16"/>
      <c r="HZD27" s="16"/>
      <c r="HZE27" s="16"/>
      <c r="HZF27" s="16"/>
      <c r="HZG27" s="16"/>
      <c r="HZH27" s="16"/>
      <c r="HZI27" s="16"/>
      <c r="HZJ27" s="16"/>
      <c r="HZK27" s="16"/>
      <c r="HZL27" s="16"/>
      <c r="HZM27" s="16"/>
      <c r="HZN27" s="16"/>
      <c r="HZO27" s="16"/>
      <c r="HZP27" s="16"/>
      <c r="HZQ27" s="16"/>
      <c r="HZR27" s="16"/>
      <c r="HZS27" s="16"/>
      <c r="HZT27" s="16"/>
      <c r="HZU27" s="16"/>
      <c r="HZV27" s="16"/>
      <c r="HZW27" s="16"/>
      <c r="HZX27" s="16"/>
      <c r="HZY27" s="16"/>
      <c r="HZZ27" s="16"/>
      <c r="IAA27" s="16"/>
      <c r="IAB27" s="16"/>
      <c r="IAC27" s="16"/>
      <c r="IAD27" s="16"/>
      <c r="IAE27" s="16"/>
      <c r="IAF27" s="16"/>
      <c r="IAG27" s="16"/>
      <c r="IAH27" s="16"/>
      <c r="IAI27" s="16"/>
      <c r="IAJ27" s="16"/>
      <c r="IAK27" s="16"/>
      <c r="IAL27" s="16"/>
      <c r="IAM27" s="16"/>
      <c r="IAN27" s="16"/>
      <c r="IAO27" s="16"/>
      <c r="IAP27" s="16"/>
      <c r="IAQ27" s="16"/>
      <c r="IAR27" s="16"/>
      <c r="IAS27" s="16"/>
      <c r="IAT27" s="16"/>
      <c r="IAU27" s="16"/>
      <c r="IAV27" s="16"/>
      <c r="IAW27" s="16"/>
      <c r="IAX27" s="16"/>
      <c r="IAY27" s="16"/>
      <c r="IAZ27" s="16"/>
      <c r="IBA27" s="16"/>
      <c r="IBB27" s="16"/>
      <c r="IBC27" s="16"/>
      <c r="IBD27" s="16"/>
      <c r="IBE27" s="16"/>
      <c r="IBF27" s="16"/>
      <c r="IBG27" s="16"/>
      <c r="IBH27" s="16"/>
      <c r="IBI27" s="16"/>
      <c r="IBJ27" s="16"/>
      <c r="IBK27" s="16"/>
      <c r="IBL27" s="16"/>
      <c r="IBM27" s="16"/>
      <c r="IBN27" s="16"/>
      <c r="IBO27" s="16"/>
      <c r="IBP27" s="16"/>
      <c r="IBQ27" s="16"/>
      <c r="IBR27" s="16"/>
      <c r="IBS27" s="16"/>
      <c r="IBT27" s="16"/>
      <c r="IBU27" s="16"/>
      <c r="IBV27" s="16"/>
      <c r="IBW27" s="16"/>
      <c r="IBX27" s="16"/>
      <c r="IBY27" s="16"/>
      <c r="IBZ27" s="16"/>
      <c r="ICA27" s="16"/>
      <c r="ICB27" s="16"/>
      <c r="ICC27" s="16"/>
      <c r="ICD27" s="16"/>
      <c r="ICE27" s="16"/>
      <c r="ICF27" s="16"/>
      <c r="ICG27" s="16"/>
      <c r="ICH27" s="16"/>
      <c r="ICI27" s="16"/>
      <c r="ICJ27" s="16"/>
      <c r="ICK27" s="16"/>
      <c r="ICL27" s="16"/>
      <c r="ICM27" s="16"/>
      <c r="ICN27" s="16"/>
      <c r="ICO27" s="16"/>
      <c r="ICP27" s="16"/>
      <c r="ICQ27" s="16"/>
      <c r="ICR27" s="16"/>
      <c r="ICS27" s="16"/>
      <c r="ICT27" s="16"/>
      <c r="ICU27" s="16"/>
      <c r="ICV27" s="16"/>
      <c r="ICW27" s="16"/>
      <c r="ICX27" s="16"/>
      <c r="ICY27" s="16"/>
      <c r="ICZ27" s="16"/>
      <c r="IDA27" s="16"/>
      <c r="IDB27" s="16"/>
      <c r="IDC27" s="16"/>
      <c r="IDD27" s="16"/>
      <c r="IDE27" s="16"/>
      <c r="IDF27" s="16"/>
      <c r="IDG27" s="16"/>
      <c r="IDH27" s="16"/>
      <c r="IDI27" s="16"/>
      <c r="IDJ27" s="16"/>
      <c r="IDK27" s="16"/>
      <c r="IDL27" s="16"/>
      <c r="IDM27" s="16"/>
      <c r="IDN27" s="16"/>
      <c r="IDO27" s="16"/>
      <c r="IDP27" s="16"/>
      <c r="IDQ27" s="16"/>
      <c r="IDR27" s="16"/>
      <c r="IDS27" s="16"/>
      <c r="IDT27" s="16"/>
      <c r="IDU27" s="16"/>
      <c r="IDV27" s="16"/>
      <c r="IDW27" s="16"/>
      <c r="IDX27" s="16"/>
      <c r="IDY27" s="16"/>
      <c r="IDZ27" s="16"/>
      <c r="IEA27" s="16"/>
      <c r="IEB27" s="16"/>
      <c r="IEC27" s="16"/>
      <c r="IED27" s="16"/>
      <c r="IEE27" s="16"/>
      <c r="IEF27" s="16"/>
      <c r="IEG27" s="16"/>
      <c r="IEH27" s="16"/>
      <c r="IEI27" s="16"/>
      <c r="IEJ27" s="16"/>
      <c r="IEK27" s="16"/>
      <c r="IEL27" s="16"/>
      <c r="IEM27" s="16"/>
      <c r="IEN27" s="16"/>
      <c r="IEO27" s="16"/>
      <c r="IEP27" s="16"/>
      <c r="IEQ27" s="16"/>
      <c r="IER27" s="16"/>
      <c r="IES27" s="16"/>
      <c r="IET27" s="16"/>
      <c r="IEU27" s="16"/>
      <c r="IEV27" s="16"/>
      <c r="IEW27" s="16"/>
      <c r="IEX27" s="16"/>
      <c r="IEY27" s="16"/>
      <c r="IEZ27" s="16"/>
      <c r="IFA27" s="16"/>
      <c r="IFB27" s="16"/>
      <c r="IFC27" s="16"/>
      <c r="IFD27" s="16"/>
      <c r="IFE27" s="16"/>
      <c r="IFF27" s="16"/>
      <c r="IFG27" s="16"/>
      <c r="IFH27" s="16"/>
      <c r="IFI27" s="16"/>
      <c r="IFJ27" s="16"/>
      <c r="IFK27" s="16"/>
      <c r="IFL27" s="16"/>
      <c r="IFM27" s="16"/>
      <c r="IFN27" s="16"/>
      <c r="IFO27" s="16"/>
      <c r="IFP27" s="16"/>
      <c r="IFQ27" s="16"/>
      <c r="IFR27" s="16"/>
      <c r="IFS27" s="16"/>
      <c r="IFT27" s="16"/>
      <c r="IFU27" s="16"/>
      <c r="IFV27" s="16"/>
      <c r="IFW27" s="16"/>
      <c r="IFX27" s="16"/>
      <c r="IFY27" s="16"/>
      <c r="IFZ27" s="16"/>
      <c r="IGA27" s="16"/>
      <c r="IGB27" s="16"/>
      <c r="IGC27" s="16"/>
      <c r="IGD27" s="16"/>
      <c r="IGE27" s="16"/>
      <c r="IGF27" s="16"/>
      <c r="IGG27" s="16"/>
      <c r="IGH27" s="16"/>
      <c r="IGI27" s="16"/>
      <c r="IGJ27" s="16"/>
      <c r="IGK27" s="16"/>
      <c r="IGL27" s="16"/>
      <c r="IGM27" s="16"/>
      <c r="IGN27" s="16"/>
      <c r="IGO27" s="16"/>
      <c r="IGP27" s="16"/>
      <c r="IGQ27" s="16"/>
      <c r="IGR27" s="16"/>
      <c r="IGS27" s="16"/>
      <c r="IGT27" s="16"/>
      <c r="IGU27" s="16"/>
      <c r="IGV27" s="16"/>
      <c r="IGW27" s="16"/>
      <c r="IGX27" s="16"/>
      <c r="IGY27" s="16"/>
      <c r="IGZ27" s="16"/>
      <c r="IHA27" s="16"/>
      <c r="IHB27" s="16"/>
      <c r="IHC27" s="16"/>
      <c r="IHD27" s="16"/>
      <c r="IHE27" s="16"/>
      <c r="IHF27" s="16"/>
      <c r="IHG27" s="16"/>
      <c r="IHH27" s="16"/>
      <c r="IHI27" s="16"/>
      <c r="IHJ27" s="16"/>
      <c r="IHK27" s="16"/>
      <c r="IHL27" s="16"/>
      <c r="IHM27" s="16"/>
      <c r="IHN27" s="16"/>
      <c r="IHO27" s="16"/>
      <c r="IHP27" s="16"/>
      <c r="IHQ27" s="16"/>
      <c r="IHR27" s="16"/>
      <c r="IHS27" s="16"/>
      <c r="IHT27" s="16"/>
      <c r="IHU27" s="16"/>
      <c r="IHV27" s="16"/>
      <c r="IHW27" s="16"/>
      <c r="IHX27" s="16"/>
      <c r="IHY27" s="16"/>
      <c r="IHZ27" s="16"/>
      <c r="IIA27" s="16"/>
      <c r="IIB27" s="16"/>
      <c r="IIC27" s="16"/>
      <c r="IID27" s="16"/>
      <c r="IIE27" s="16"/>
      <c r="IIF27" s="16"/>
      <c r="IIG27" s="16"/>
      <c r="IIH27" s="16"/>
      <c r="III27" s="16"/>
      <c r="IIJ27" s="16"/>
      <c r="IIK27" s="16"/>
      <c r="IIL27" s="16"/>
      <c r="IIM27" s="16"/>
      <c r="IIN27" s="16"/>
      <c r="IIO27" s="16"/>
      <c r="IIP27" s="16"/>
      <c r="IIQ27" s="16"/>
      <c r="IIR27" s="16"/>
      <c r="IIS27" s="16"/>
      <c r="IIT27" s="16"/>
      <c r="IIU27" s="16"/>
      <c r="IIV27" s="16"/>
      <c r="IIW27" s="16"/>
      <c r="IIX27" s="16"/>
      <c r="IIY27" s="16"/>
      <c r="IIZ27" s="16"/>
      <c r="IJA27" s="16"/>
      <c r="IJB27" s="16"/>
      <c r="IJC27" s="16"/>
      <c r="IJD27" s="16"/>
      <c r="IJE27" s="16"/>
      <c r="IJF27" s="16"/>
      <c r="IJG27" s="16"/>
      <c r="IJH27" s="16"/>
      <c r="IJI27" s="16"/>
      <c r="IJJ27" s="16"/>
      <c r="IJK27" s="16"/>
      <c r="IJL27" s="16"/>
      <c r="IJM27" s="16"/>
      <c r="IJN27" s="16"/>
      <c r="IJO27" s="16"/>
      <c r="IJP27" s="16"/>
      <c r="IJQ27" s="16"/>
      <c r="IJR27" s="16"/>
      <c r="IJS27" s="16"/>
      <c r="IJT27" s="16"/>
      <c r="IJU27" s="16"/>
      <c r="IJV27" s="16"/>
      <c r="IJW27" s="16"/>
      <c r="IJX27" s="16"/>
      <c r="IJY27" s="16"/>
      <c r="IJZ27" s="16"/>
      <c r="IKA27" s="16"/>
      <c r="IKB27" s="16"/>
      <c r="IKC27" s="16"/>
      <c r="IKD27" s="16"/>
      <c r="IKE27" s="16"/>
      <c r="IKF27" s="16"/>
      <c r="IKG27" s="16"/>
      <c r="IKH27" s="16"/>
      <c r="IKI27" s="16"/>
      <c r="IKJ27" s="16"/>
      <c r="IKK27" s="16"/>
      <c r="IKL27" s="16"/>
      <c r="IKM27" s="16"/>
      <c r="IKN27" s="16"/>
      <c r="IKO27" s="16"/>
      <c r="IKP27" s="16"/>
      <c r="IKQ27" s="16"/>
      <c r="IKR27" s="16"/>
      <c r="IKS27" s="16"/>
      <c r="IKT27" s="16"/>
      <c r="IKU27" s="16"/>
      <c r="IKV27" s="16"/>
      <c r="IKW27" s="16"/>
      <c r="IKX27" s="16"/>
      <c r="IKY27" s="16"/>
      <c r="IKZ27" s="16"/>
      <c r="ILA27" s="16"/>
      <c r="ILB27" s="16"/>
      <c r="ILC27" s="16"/>
      <c r="ILD27" s="16"/>
      <c r="ILE27" s="16"/>
      <c r="ILF27" s="16"/>
      <c r="ILG27" s="16"/>
      <c r="ILH27" s="16"/>
      <c r="ILI27" s="16"/>
      <c r="ILJ27" s="16"/>
      <c r="ILK27" s="16"/>
      <c r="ILL27" s="16"/>
      <c r="ILM27" s="16"/>
      <c r="ILN27" s="16"/>
      <c r="ILO27" s="16"/>
      <c r="ILP27" s="16"/>
      <c r="ILQ27" s="16"/>
      <c r="ILR27" s="16"/>
      <c r="ILS27" s="16"/>
      <c r="ILT27" s="16"/>
      <c r="ILU27" s="16"/>
      <c r="ILV27" s="16"/>
      <c r="ILW27" s="16"/>
      <c r="ILX27" s="16"/>
      <c r="ILY27" s="16"/>
      <c r="ILZ27" s="16"/>
      <c r="IMA27" s="16"/>
      <c r="IMB27" s="16"/>
      <c r="IMC27" s="16"/>
      <c r="IMD27" s="16"/>
      <c r="IME27" s="16"/>
      <c r="IMF27" s="16"/>
      <c r="IMG27" s="16"/>
      <c r="IMH27" s="16"/>
      <c r="IMI27" s="16"/>
      <c r="IMJ27" s="16"/>
      <c r="IMK27" s="16"/>
      <c r="IML27" s="16"/>
      <c r="IMM27" s="16"/>
      <c r="IMN27" s="16"/>
      <c r="IMO27" s="16"/>
      <c r="IMP27" s="16"/>
      <c r="IMQ27" s="16"/>
      <c r="IMR27" s="16"/>
      <c r="IMS27" s="16"/>
      <c r="IMT27" s="16"/>
      <c r="IMU27" s="16"/>
      <c r="IMV27" s="16"/>
      <c r="IMW27" s="16"/>
      <c r="IMX27" s="16"/>
      <c r="IMY27" s="16"/>
      <c r="IMZ27" s="16"/>
      <c r="INA27" s="16"/>
      <c r="INB27" s="16"/>
      <c r="INC27" s="16"/>
      <c r="IND27" s="16"/>
      <c r="INE27" s="16"/>
      <c r="INF27" s="16"/>
      <c r="ING27" s="16"/>
      <c r="INH27" s="16"/>
      <c r="INI27" s="16"/>
      <c r="INJ27" s="16"/>
      <c r="INK27" s="16"/>
      <c r="INL27" s="16"/>
      <c r="INM27" s="16"/>
      <c r="INN27" s="16"/>
      <c r="INO27" s="16"/>
      <c r="INP27" s="16"/>
      <c r="INQ27" s="16"/>
      <c r="INR27" s="16"/>
      <c r="INS27" s="16"/>
      <c r="INT27" s="16"/>
      <c r="INU27" s="16"/>
      <c r="INV27" s="16"/>
      <c r="INW27" s="16"/>
      <c r="INX27" s="16"/>
      <c r="INY27" s="16"/>
      <c r="INZ27" s="16"/>
      <c r="IOA27" s="16"/>
      <c r="IOB27" s="16"/>
      <c r="IOC27" s="16"/>
      <c r="IOD27" s="16"/>
      <c r="IOE27" s="16"/>
      <c r="IOF27" s="16"/>
      <c r="IOG27" s="16"/>
      <c r="IOH27" s="16"/>
      <c r="IOI27" s="16"/>
      <c r="IOJ27" s="16"/>
      <c r="IOK27" s="16"/>
      <c r="IOL27" s="16"/>
      <c r="IOM27" s="16"/>
      <c r="ION27" s="16"/>
      <c r="IOO27" s="16"/>
      <c r="IOP27" s="16"/>
      <c r="IOQ27" s="16"/>
      <c r="IOR27" s="16"/>
      <c r="IOS27" s="16"/>
      <c r="IOT27" s="16"/>
      <c r="IOU27" s="16"/>
      <c r="IOV27" s="16"/>
      <c r="IOW27" s="16"/>
      <c r="IOX27" s="16"/>
      <c r="IOY27" s="16"/>
      <c r="IOZ27" s="16"/>
      <c r="IPA27" s="16"/>
      <c r="IPB27" s="16"/>
      <c r="IPC27" s="16"/>
      <c r="IPD27" s="16"/>
      <c r="IPE27" s="16"/>
      <c r="IPF27" s="16"/>
      <c r="IPG27" s="16"/>
      <c r="IPH27" s="16"/>
      <c r="IPI27" s="16"/>
      <c r="IPJ27" s="16"/>
      <c r="IPK27" s="16"/>
      <c r="IPL27" s="16"/>
      <c r="IPM27" s="16"/>
      <c r="IPN27" s="16"/>
      <c r="IPO27" s="16"/>
      <c r="IPP27" s="16"/>
      <c r="IPQ27" s="16"/>
      <c r="IPR27" s="16"/>
      <c r="IPS27" s="16"/>
      <c r="IPT27" s="16"/>
      <c r="IPU27" s="16"/>
      <c r="IPV27" s="16"/>
      <c r="IPW27" s="16"/>
      <c r="IPX27" s="16"/>
      <c r="IPY27" s="16"/>
      <c r="IPZ27" s="16"/>
      <c r="IQA27" s="16"/>
      <c r="IQB27" s="16"/>
      <c r="IQC27" s="16"/>
      <c r="IQD27" s="16"/>
      <c r="IQE27" s="16"/>
      <c r="IQF27" s="16"/>
      <c r="IQG27" s="16"/>
      <c r="IQH27" s="16"/>
      <c r="IQI27" s="16"/>
      <c r="IQJ27" s="16"/>
      <c r="IQK27" s="16"/>
      <c r="IQL27" s="16"/>
      <c r="IQM27" s="16"/>
      <c r="IQN27" s="16"/>
      <c r="IQO27" s="16"/>
      <c r="IQP27" s="16"/>
      <c r="IQQ27" s="16"/>
      <c r="IQR27" s="16"/>
      <c r="IQS27" s="16"/>
      <c r="IQT27" s="16"/>
      <c r="IQU27" s="16"/>
      <c r="IQV27" s="16"/>
      <c r="IQW27" s="16"/>
      <c r="IQX27" s="16"/>
      <c r="IQY27" s="16"/>
      <c r="IQZ27" s="16"/>
      <c r="IRA27" s="16"/>
      <c r="IRB27" s="16"/>
      <c r="IRC27" s="16"/>
      <c r="IRD27" s="16"/>
      <c r="IRE27" s="16"/>
      <c r="IRF27" s="16"/>
      <c r="IRG27" s="16"/>
      <c r="IRH27" s="16"/>
      <c r="IRI27" s="16"/>
      <c r="IRJ27" s="16"/>
      <c r="IRK27" s="16"/>
      <c r="IRL27" s="16"/>
      <c r="IRM27" s="16"/>
      <c r="IRN27" s="16"/>
      <c r="IRO27" s="16"/>
      <c r="IRP27" s="16"/>
      <c r="IRQ27" s="16"/>
      <c r="IRR27" s="16"/>
      <c r="IRS27" s="16"/>
      <c r="IRT27" s="16"/>
      <c r="IRU27" s="16"/>
      <c r="IRV27" s="16"/>
      <c r="IRW27" s="16"/>
      <c r="IRX27" s="16"/>
      <c r="IRY27" s="16"/>
      <c r="IRZ27" s="16"/>
      <c r="ISA27" s="16"/>
      <c r="ISB27" s="16"/>
      <c r="ISC27" s="16"/>
      <c r="ISD27" s="16"/>
      <c r="ISE27" s="16"/>
      <c r="ISF27" s="16"/>
      <c r="ISG27" s="16"/>
      <c r="ISH27" s="16"/>
      <c r="ISI27" s="16"/>
      <c r="ISJ27" s="16"/>
      <c r="ISK27" s="16"/>
      <c r="ISL27" s="16"/>
      <c r="ISM27" s="16"/>
      <c r="ISN27" s="16"/>
      <c r="ISO27" s="16"/>
      <c r="ISP27" s="16"/>
      <c r="ISQ27" s="16"/>
      <c r="ISR27" s="16"/>
      <c r="ISS27" s="16"/>
      <c r="IST27" s="16"/>
      <c r="ISU27" s="16"/>
      <c r="ISV27" s="16"/>
      <c r="ISW27" s="16"/>
      <c r="ISX27" s="16"/>
      <c r="ISY27" s="16"/>
      <c r="ISZ27" s="16"/>
      <c r="ITA27" s="16"/>
      <c r="ITB27" s="16"/>
      <c r="ITC27" s="16"/>
      <c r="ITD27" s="16"/>
      <c r="ITE27" s="16"/>
      <c r="ITF27" s="16"/>
      <c r="ITG27" s="16"/>
      <c r="ITH27" s="16"/>
      <c r="ITI27" s="16"/>
      <c r="ITJ27" s="16"/>
      <c r="ITK27" s="16"/>
      <c r="ITL27" s="16"/>
      <c r="ITM27" s="16"/>
      <c r="ITN27" s="16"/>
      <c r="ITO27" s="16"/>
      <c r="ITP27" s="16"/>
      <c r="ITQ27" s="16"/>
      <c r="ITR27" s="16"/>
      <c r="ITS27" s="16"/>
      <c r="ITT27" s="16"/>
      <c r="ITU27" s="16"/>
      <c r="ITV27" s="16"/>
      <c r="ITW27" s="16"/>
      <c r="ITX27" s="16"/>
      <c r="ITY27" s="16"/>
      <c r="ITZ27" s="16"/>
      <c r="IUA27" s="16"/>
      <c r="IUB27" s="16"/>
      <c r="IUC27" s="16"/>
      <c r="IUD27" s="16"/>
      <c r="IUE27" s="16"/>
      <c r="IUF27" s="16"/>
      <c r="IUG27" s="16"/>
      <c r="IUH27" s="16"/>
      <c r="IUI27" s="16"/>
      <c r="IUJ27" s="16"/>
      <c r="IUK27" s="16"/>
      <c r="IUL27" s="16"/>
      <c r="IUM27" s="16"/>
      <c r="IUN27" s="16"/>
      <c r="IUO27" s="16"/>
      <c r="IUP27" s="16"/>
      <c r="IUQ27" s="16"/>
      <c r="IUR27" s="16"/>
      <c r="IUS27" s="16"/>
      <c r="IUT27" s="16"/>
      <c r="IUU27" s="16"/>
      <c r="IUV27" s="16"/>
      <c r="IUW27" s="16"/>
      <c r="IUX27" s="16"/>
      <c r="IUY27" s="16"/>
      <c r="IUZ27" s="16"/>
      <c r="IVA27" s="16"/>
      <c r="IVB27" s="16"/>
      <c r="IVC27" s="16"/>
      <c r="IVD27" s="16"/>
      <c r="IVE27" s="16"/>
      <c r="IVF27" s="16"/>
      <c r="IVG27" s="16"/>
      <c r="IVH27" s="16"/>
      <c r="IVI27" s="16"/>
      <c r="IVJ27" s="16"/>
      <c r="IVK27" s="16"/>
      <c r="IVL27" s="16"/>
      <c r="IVM27" s="16"/>
      <c r="IVN27" s="16"/>
      <c r="IVO27" s="16"/>
      <c r="IVP27" s="16"/>
      <c r="IVQ27" s="16"/>
      <c r="IVR27" s="16"/>
      <c r="IVS27" s="16"/>
      <c r="IVT27" s="16"/>
      <c r="IVU27" s="16"/>
      <c r="IVV27" s="16"/>
      <c r="IVW27" s="16"/>
      <c r="IVX27" s="16"/>
      <c r="IVY27" s="16"/>
      <c r="IVZ27" s="16"/>
      <c r="IWA27" s="16"/>
      <c r="IWB27" s="16"/>
      <c r="IWC27" s="16"/>
      <c r="IWD27" s="16"/>
      <c r="IWE27" s="16"/>
      <c r="IWF27" s="16"/>
      <c r="IWG27" s="16"/>
      <c r="IWH27" s="16"/>
      <c r="IWI27" s="16"/>
      <c r="IWJ27" s="16"/>
      <c r="IWK27" s="16"/>
      <c r="IWL27" s="16"/>
      <c r="IWM27" s="16"/>
      <c r="IWN27" s="16"/>
      <c r="IWO27" s="16"/>
      <c r="IWP27" s="16"/>
      <c r="IWQ27" s="16"/>
      <c r="IWR27" s="16"/>
      <c r="IWS27" s="16"/>
      <c r="IWT27" s="16"/>
      <c r="IWU27" s="16"/>
      <c r="IWV27" s="16"/>
      <c r="IWW27" s="16"/>
      <c r="IWX27" s="16"/>
      <c r="IWY27" s="16"/>
      <c r="IWZ27" s="16"/>
      <c r="IXA27" s="16"/>
      <c r="IXB27" s="16"/>
      <c r="IXC27" s="16"/>
      <c r="IXD27" s="16"/>
      <c r="IXE27" s="16"/>
      <c r="IXF27" s="16"/>
      <c r="IXG27" s="16"/>
      <c r="IXH27" s="16"/>
      <c r="IXI27" s="16"/>
      <c r="IXJ27" s="16"/>
      <c r="IXK27" s="16"/>
      <c r="IXL27" s="16"/>
      <c r="IXM27" s="16"/>
      <c r="IXN27" s="16"/>
      <c r="IXO27" s="16"/>
      <c r="IXP27" s="16"/>
      <c r="IXQ27" s="16"/>
      <c r="IXR27" s="16"/>
      <c r="IXS27" s="16"/>
      <c r="IXT27" s="16"/>
      <c r="IXU27" s="16"/>
      <c r="IXV27" s="16"/>
      <c r="IXW27" s="16"/>
      <c r="IXX27" s="16"/>
      <c r="IXY27" s="16"/>
      <c r="IXZ27" s="16"/>
      <c r="IYA27" s="16"/>
      <c r="IYB27" s="16"/>
      <c r="IYC27" s="16"/>
      <c r="IYD27" s="16"/>
      <c r="IYE27" s="16"/>
      <c r="IYF27" s="16"/>
      <c r="IYG27" s="16"/>
      <c r="IYH27" s="16"/>
      <c r="IYI27" s="16"/>
      <c r="IYJ27" s="16"/>
      <c r="IYK27" s="16"/>
      <c r="IYL27" s="16"/>
      <c r="IYM27" s="16"/>
      <c r="IYN27" s="16"/>
      <c r="IYO27" s="16"/>
      <c r="IYP27" s="16"/>
      <c r="IYQ27" s="16"/>
      <c r="IYR27" s="16"/>
      <c r="IYS27" s="16"/>
      <c r="IYT27" s="16"/>
      <c r="IYU27" s="16"/>
      <c r="IYV27" s="16"/>
      <c r="IYW27" s="16"/>
      <c r="IYX27" s="16"/>
      <c r="IYY27" s="16"/>
      <c r="IYZ27" s="16"/>
      <c r="IZA27" s="16"/>
      <c r="IZB27" s="16"/>
      <c r="IZC27" s="16"/>
      <c r="IZD27" s="16"/>
      <c r="IZE27" s="16"/>
      <c r="IZF27" s="16"/>
      <c r="IZG27" s="16"/>
      <c r="IZH27" s="16"/>
      <c r="IZI27" s="16"/>
      <c r="IZJ27" s="16"/>
      <c r="IZK27" s="16"/>
      <c r="IZL27" s="16"/>
      <c r="IZM27" s="16"/>
      <c r="IZN27" s="16"/>
      <c r="IZO27" s="16"/>
      <c r="IZP27" s="16"/>
      <c r="IZQ27" s="16"/>
      <c r="IZR27" s="16"/>
      <c r="IZS27" s="16"/>
      <c r="IZT27" s="16"/>
      <c r="IZU27" s="16"/>
      <c r="IZV27" s="16"/>
      <c r="IZW27" s="16"/>
      <c r="IZX27" s="16"/>
      <c r="IZY27" s="16"/>
      <c r="IZZ27" s="16"/>
      <c r="JAA27" s="16"/>
      <c r="JAB27" s="16"/>
      <c r="JAC27" s="16"/>
      <c r="JAD27" s="16"/>
      <c r="JAE27" s="16"/>
      <c r="JAF27" s="16"/>
      <c r="JAG27" s="16"/>
      <c r="JAH27" s="16"/>
      <c r="JAI27" s="16"/>
      <c r="JAJ27" s="16"/>
      <c r="JAK27" s="16"/>
      <c r="JAL27" s="16"/>
      <c r="JAM27" s="16"/>
      <c r="JAN27" s="16"/>
      <c r="JAO27" s="16"/>
      <c r="JAP27" s="16"/>
      <c r="JAQ27" s="16"/>
      <c r="JAR27" s="16"/>
      <c r="JAS27" s="16"/>
      <c r="JAT27" s="16"/>
      <c r="JAU27" s="16"/>
      <c r="JAV27" s="16"/>
      <c r="JAW27" s="16"/>
      <c r="JAX27" s="16"/>
      <c r="JAY27" s="16"/>
      <c r="JAZ27" s="16"/>
      <c r="JBA27" s="16"/>
      <c r="JBB27" s="16"/>
      <c r="JBC27" s="16"/>
      <c r="JBD27" s="16"/>
      <c r="JBE27" s="16"/>
      <c r="JBF27" s="16"/>
      <c r="JBG27" s="16"/>
      <c r="JBH27" s="16"/>
      <c r="JBI27" s="16"/>
      <c r="JBJ27" s="16"/>
      <c r="JBK27" s="16"/>
      <c r="JBL27" s="16"/>
      <c r="JBM27" s="16"/>
      <c r="JBN27" s="16"/>
      <c r="JBO27" s="16"/>
      <c r="JBP27" s="16"/>
      <c r="JBQ27" s="16"/>
      <c r="JBR27" s="16"/>
      <c r="JBS27" s="16"/>
      <c r="JBT27" s="16"/>
      <c r="JBU27" s="16"/>
      <c r="JBV27" s="16"/>
      <c r="JBW27" s="16"/>
      <c r="JBX27" s="16"/>
      <c r="JBY27" s="16"/>
      <c r="JBZ27" s="16"/>
      <c r="JCA27" s="16"/>
      <c r="JCB27" s="16"/>
      <c r="JCC27" s="16"/>
      <c r="JCD27" s="16"/>
      <c r="JCE27" s="16"/>
      <c r="JCF27" s="16"/>
      <c r="JCG27" s="16"/>
      <c r="JCH27" s="16"/>
      <c r="JCI27" s="16"/>
      <c r="JCJ27" s="16"/>
      <c r="JCK27" s="16"/>
      <c r="JCL27" s="16"/>
      <c r="JCM27" s="16"/>
      <c r="JCN27" s="16"/>
      <c r="JCO27" s="16"/>
      <c r="JCP27" s="16"/>
      <c r="JCQ27" s="16"/>
      <c r="JCR27" s="16"/>
      <c r="JCS27" s="16"/>
      <c r="JCT27" s="16"/>
      <c r="JCU27" s="16"/>
      <c r="JCV27" s="16"/>
      <c r="JCW27" s="16"/>
      <c r="JCX27" s="16"/>
      <c r="JCY27" s="16"/>
      <c r="JCZ27" s="16"/>
      <c r="JDA27" s="16"/>
      <c r="JDB27" s="16"/>
      <c r="JDC27" s="16"/>
      <c r="JDD27" s="16"/>
      <c r="JDE27" s="16"/>
      <c r="JDF27" s="16"/>
      <c r="JDG27" s="16"/>
      <c r="JDH27" s="16"/>
      <c r="JDI27" s="16"/>
      <c r="JDJ27" s="16"/>
      <c r="JDK27" s="16"/>
      <c r="JDL27" s="16"/>
      <c r="JDM27" s="16"/>
      <c r="JDN27" s="16"/>
      <c r="JDO27" s="16"/>
      <c r="JDP27" s="16"/>
      <c r="JDQ27" s="16"/>
      <c r="JDR27" s="16"/>
      <c r="JDS27" s="16"/>
      <c r="JDT27" s="16"/>
      <c r="JDU27" s="16"/>
      <c r="JDV27" s="16"/>
      <c r="JDW27" s="16"/>
      <c r="JDX27" s="16"/>
      <c r="JDY27" s="16"/>
      <c r="JDZ27" s="16"/>
      <c r="JEA27" s="16"/>
      <c r="JEB27" s="16"/>
      <c r="JEC27" s="16"/>
      <c r="JED27" s="16"/>
      <c r="JEE27" s="16"/>
      <c r="JEF27" s="16"/>
      <c r="JEG27" s="16"/>
      <c r="JEH27" s="16"/>
      <c r="JEI27" s="16"/>
      <c r="JEJ27" s="16"/>
      <c r="JEK27" s="16"/>
      <c r="JEL27" s="16"/>
      <c r="JEM27" s="16"/>
      <c r="JEN27" s="16"/>
      <c r="JEO27" s="16"/>
      <c r="JEP27" s="16"/>
      <c r="JEQ27" s="16"/>
      <c r="JER27" s="16"/>
      <c r="JES27" s="16"/>
      <c r="JET27" s="16"/>
      <c r="JEU27" s="16"/>
      <c r="JEV27" s="16"/>
      <c r="JEW27" s="16"/>
      <c r="JEX27" s="16"/>
      <c r="JEY27" s="16"/>
      <c r="JEZ27" s="16"/>
      <c r="JFA27" s="16"/>
      <c r="JFB27" s="16"/>
      <c r="JFC27" s="16"/>
      <c r="JFD27" s="16"/>
      <c r="JFE27" s="16"/>
      <c r="JFF27" s="16"/>
      <c r="JFG27" s="16"/>
      <c r="JFH27" s="16"/>
      <c r="JFI27" s="16"/>
      <c r="JFJ27" s="16"/>
      <c r="JFK27" s="16"/>
      <c r="JFL27" s="16"/>
      <c r="JFM27" s="16"/>
      <c r="JFN27" s="16"/>
      <c r="JFO27" s="16"/>
      <c r="JFP27" s="16"/>
      <c r="JFQ27" s="16"/>
      <c r="JFR27" s="16"/>
      <c r="JFS27" s="16"/>
      <c r="JFT27" s="16"/>
      <c r="JFU27" s="16"/>
      <c r="JFV27" s="16"/>
      <c r="JFW27" s="16"/>
      <c r="JFX27" s="16"/>
      <c r="JFY27" s="16"/>
      <c r="JFZ27" s="16"/>
      <c r="JGA27" s="16"/>
      <c r="JGB27" s="16"/>
      <c r="JGC27" s="16"/>
      <c r="JGD27" s="16"/>
      <c r="JGE27" s="16"/>
      <c r="JGF27" s="16"/>
      <c r="JGG27" s="16"/>
      <c r="JGH27" s="16"/>
      <c r="JGI27" s="16"/>
      <c r="JGJ27" s="16"/>
      <c r="JGK27" s="16"/>
      <c r="JGL27" s="16"/>
      <c r="JGM27" s="16"/>
      <c r="JGN27" s="16"/>
      <c r="JGO27" s="16"/>
      <c r="JGP27" s="16"/>
      <c r="JGQ27" s="16"/>
      <c r="JGR27" s="16"/>
      <c r="JGS27" s="16"/>
      <c r="JGT27" s="16"/>
      <c r="JGU27" s="16"/>
      <c r="JGV27" s="16"/>
      <c r="JGW27" s="16"/>
      <c r="JGX27" s="16"/>
      <c r="JGY27" s="16"/>
      <c r="JGZ27" s="16"/>
      <c r="JHA27" s="16"/>
      <c r="JHB27" s="16"/>
      <c r="JHC27" s="16"/>
      <c r="JHD27" s="16"/>
      <c r="JHE27" s="16"/>
      <c r="JHF27" s="16"/>
      <c r="JHG27" s="16"/>
      <c r="JHH27" s="16"/>
      <c r="JHI27" s="16"/>
      <c r="JHJ27" s="16"/>
      <c r="JHK27" s="16"/>
      <c r="JHL27" s="16"/>
      <c r="JHM27" s="16"/>
      <c r="JHN27" s="16"/>
      <c r="JHO27" s="16"/>
      <c r="JHP27" s="16"/>
      <c r="JHQ27" s="16"/>
      <c r="JHR27" s="16"/>
      <c r="JHS27" s="16"/>
      <c r="JHT27" s="16"/>
      <c r="JHU27" s="16"/>
      <c r="JHV27" s="16"/>
      <c r="JHW27" s="16"/>
      <c r="JHX27" s="16"/>
      <c r="JHY27" s="16"/>
      <c r="JHZ27" s="16"/>
      <c r="JIA27" s="16"/>
      <c r="JIB27" s="16"/>
      <c r="JIC27" s="16"/>
      <c r="JID27" s="16"/>
      <c r="JIE27" s="16"/>
      <c r="JIF27" s="16"/>
      <c r="JIG27" s="16"/>
      <c r="JIH27" s="16"/>
      <c r="JII27" s="16"/>
      <c r="JIJ27" s="16"/>
      <c r="JIK27" s="16"/>
      <c r="JIL27" s="16"/>
      <c r="JIM27" s="16"/>
      <c r="JIN27" s="16"/>
      <c r="JIO27" s="16"/>
      <c r="JIP27" s="16"/>
      <c r="JIQ27" s="16"/>
      <c r="JIR27" s="16"/>
      <c r="JIS27" s="16"/>
      <c r="JIT27" s="16"/>
      <c r="JIU27" s="16"/>
      <c r="JIV27" s="16"/>
      <c r="JIW27" s="16"/>
      <c r="JIX27" s="16"/>
      <c r="JIY27" s="16"/>
      <c r="JIZ27" s="16"/>
      <c r="JJA27" s="16"/>
      <c r="JJB27" s="16"/>
      <c r="JJC27" s="16"/>
      <c r="JJD27" s="16"/>
      <c r="JJE27" s="16"/>
      <c r="JJF27" s="16"/>
      <c r="JJG27" s="16"/>
      <c r="JJH27" s="16"/>
      <c r="JJI27" s="16"/>
      <c r="JJJ27" s="16"/>
      <c r="JJK27" s="16"/>
      <c r="JJL27" s="16"/>
      <c r="JJM27" s="16"/>
      <c r="JJN27" s="16"/>
      <c r="JJO27" s="16"/>
      <c r="JJP27" s="16"/>
      <c r="JJQ27" s="16"/>
      <c r="JJR27" s="16"/>
      <c r="JJS27" s="16"/>
      <c r="JJT27" s="16"/>
      <c r="JJU27" s="16"/>
      <c r="JJV27" s="16"/>
      <c r="JJW27" s="16"/>
      <c r="JJX27" s="16"/>
      <c r="JJY27" s="16"/>
      <c r="JJZ27" s="16"/>
      <c r="JKA27" s="16"/>
      <c r="JKB27" s="16"/>
      <c r="JKC27" s="16"/>
      <c r="JKD27" s="16"/>
      <c r="JKE27" s="16"/>
      <c r="JKF27" s="16"/>
      <c r="JKG27" s="16"/>
      <c r="JKH27" s="16"/>
      <c r="JKI27" s="16"/>
      <c r="JKJ27" s="16"/>
      <c r="JKK27" s="16"/>
      <c r="JKL27" s="16"/>
      <c r="JKM27" s="16"/>
      <c r="JKN27" s="16"/>
      <c r="JKO27" s="16"/>
      <c r="JKP27" s="16"/>
      <c r="JKQ27" s="16"/>
      <c r="JKR27" s="16"/>
      <c r="JKS27" s="16"/>
      <c r="JKT27" s="16"/>
      <c r="JKU27" s="16"/>
      <c r="JKV27" s="16"/>
      <c r="JKW27" s="16"/>
      <c r="JKX27" s="16"/>
      <c r="JKY27" s="16"/>
      <c r="JKZ27" s="16"/>
      <c r="JLA27" s="16"/>
      <c r="JLB27" s="16"/>
      <c r="JLC27" s="16"/>
      <c r="JLD27" s="16"/>
      <c r="JLE27" s="16"/>
      <c r="JLF27" s="16"/>
      <c r="JLG27" s="16"/>
      <c r="JLH27" s="16"/>
      <c r="JLI27" s="16"/>
      <c r="JLJ27" s="16"/>
      <c r="JLK27" s="16"/>
      <c r="JLL27" s="16"/>
      <c r="JLM27" s="16"/>
      <c r="JLN27" s="16"/>
      <c r="JLO27" s="16"/>
      <c r="JLP27" s="16"/>
      <c r="JLQ27" s="16"/>
      <c r="JLR27" s="16"/>
      <c r="JLS27" s="16"/>
      <c r="JLT27" s="16"/>
      <c r="JLU27" s="16"/>
      <c r="JLV27" s="16"/>
      <c r="JLW27" s="16"/>
      <c r="JLX27" s="16"/>
      <c r="JLY27" s="16"/>
      <c r="JLZ27" s="16"/>
      <c r="JMA27" s="16"/>
      <c r="JMB27" s="16"/>
      <c r="JMC27" s="16"/>
      <c r="JMD27" s="16"/>
      <c r="JME27" s="16"/>
      <c r="JMF27" s="16"/>
      <c r="JMG27" s="16"/>
      <c r="JMH27" s="16"/>
      <c r="JMI27" s="16"/>
      <c r="JMJ27" s="16"/>
      <c r="JMK27" s="16"/>
      <c r="JML27" s="16"/>
      <c r="JMM27" s="16"/>
      <c r="JMN27" s="16"/>
      <c r="JMO27" s="16"/>
      <c r="JMP27" s="16"/>
      <c r="JMQ27" s="16"/>
      <c r="JMR27" s="16"/>
      <c r="JMS27" s="16"/>
      <c r="JMT27" s="16"/>
      <c r="JMU27" s="16"/>
      <c r="JMV27" s="16"/>
      <c r="JMW27" s="16"/>
      <c r="JMX27" s="16"/>
      <c r="JMY27" s="16"/>
      <c r="JMZ27" s="16"/>
      <c r="JNA27" s="16"/>
      <c r="JNB27" s="16"/>
      <c r="JNC27" s="16"/>
      <c r="JND27" s="16"/>
      <c r="JNE27" s="16"/>
      <c r="JNF27" s="16"/>
      <c r="JNG27" s="16"/>
      <c r="JNH27" s="16"/>
      <c r="JNI27" s="16"/>
      <c r="JNJ27" s="16"/>
      <c r="JNK27" s="16"/>
      <c r="JNL27" s="16"/>
      <c r="JNM27" s="16"/>
      <c r="JNN27" s="16"/>
      <c r="JNO27" s="16"/>
      <c r="JNP27" s="16"/>
      <c r="JNQ27" s="16"/>
      <c r="JNR27" s="16"/>
      <c r="JNS27" s="16"/>
      <c r="JNT27" s="16"/>
      <c r="JNU27" s="16"/>
      <c r="JNV27" s="16"/>
      <c r="JNW27" s="16"/>
      <c r="JNX27" s="16"/>
      <c r="JNY27" s="16"/>
      <c r="JNZ27" s="16"/>
      <c r="JOA27" s="16"/>
      <c r="JOB27" s="16"/>
      <c r="JOC27" s="16"/>
      <c r="JOD27" s="16"/>
      <c r="JOE27" s="16"/>
      <c r="JOF27" s="16"/>
      <c r="JOG27" s="16"/>
      <c r="JOH27" s="16"/>
      <c r="JOI27" s="16"/>
      <c r="JOJ27" s="16"/>
      <c r="JOK27" s="16"/>
      <c r="JOL27" s="16"/>
      <c r="JOM27" s="16"/>
      <c r="JON27" s="16"/>
      <c r="JOO27" s="16"/>
      <c r="JOP27" s="16"/>
      <c r="JOQ27" s="16"/>
      <c r="JOR27" s="16"/>
      <c r="JOS27" s="16"/>
      <c r="JOT27" s="16"/>
      <c r="JOU27" s="16"/>
      <c r="JOV27" s="16"/>
      <c r="JOW27" s="16"/>
      <c r="JOX27" s="16"/>
      <c r="JOY27" s="16"/>
      <c r="JOZ27" s="16"/>
      <c r="JPA27" s="16"/>
      <c r="JPB27" s="16"/>
      <c r="JPC27" s="16"/>
      <c r="JPD27" s="16"/>
      <c r="JPE27" s="16"/>
      <c r="JPF27" s="16"/>
      <c r="JPG27" s="16"/>
      <c r="JPH27" s="16"/>
      <c r="JPI27" s="16"/>
      <c r="JPJ27" s="16"/>
      <c r="JPK27" s="16"/>
      <c r="JPL27" s="16"/>
      <c r="JPM27" s="16"/>
      <c r="JPN27" s="16"/>
      <c r="JPO27" s="16"/>
      <c r="JPP27" s="16"/>
      <c r="JPQ27" s="16"/>
      <c r="JPR27" s="16"/>
      <c r="JPS27" s="16"/>
      <c r="JPT27" s="16"/>
      <c r="JPU27" s="16"/>
      <c r="JPV27" s="16"/>
      <c r="JPW27" s="16"/>
      <c r="JPX27" s="16"/>
      <c r="JPY27" s="16"/>
      <c r="JPZ27" s="16"/>
      <c r="JQA27" s="16"/>
      <c r="JQB27" s="16"/>
      <c r="JQC27" s="16"/>
      <c r="JQD27" s="16"/>
      <c r="JQE27" s="16"/>
      <c r="JQF27" s="16"/>
      <c r="JQG27" s="16"/>
      <c r="JQH27" s="16"/>
      <c r="JQI27" s="16"/>
      <c r="JQJ27" s="16"/>
      <c r="JQK27" s="16"/>
      <c r="JQL27" s="16"/>
      <c r="JQM27" s="16"/>
      <c r="JQN27" s="16"/>
      <c r="JQO27" s="16"/>
      <c r="JQP27" s="16"/>
      <c r="JQQ27" s="16"/>
      <c r="JQR27" s="16"/>
      <c r="JQS27" s="16"/>
      <c r="JQT27" s="16"/>
      <c r="JQU27" s="16"/>
      <c r="JQV27" s="16"/>
      <c r="JQW27" s="16"/>
      <c r="JQX27" s="16"/>
      <c r="JQY27" s="16"/>
      <c r="JQZ27" s="16"/>
      <c r="JRA27" s="16"/>
      <c r="JRB27" s="16"/>
      <c r="JRC27" s="16"/>
      <c r="JRD27" s="16"/>
      <c r="JRE27" s="16"/>
      <c r="JRF27" s="16"/>
      <c r="JRG27" s="16"/>
      <c r="JRH27" s="16"/>
      <c r="JRI27" s="16"/>
      <c r="JRJ27" s="16"/>
      <c r="JRK27" s="16"/>
      <c r="JRL27" s="16"/>
      <c r="JRM27" s="16"/>
      <c r="JRN27" s="16"/>
      <c r="JRO27" s="16"/>
      <c r="JRP27" s="16"/>
      <c r="JRQ27" s="16"/>
      <c r="JRR27" s="16"/>
      <c r="JRS27" s="16"/>
      <c r="JRT27" s="16"/>
      <c r="JRU27" s="16"/>
      <c r="JRV27" s="16"/>
      <c r="JRW27" s="16"/>
      <c r="JRX27" s="16"/>
      <c r="JRY27" s="16"/>
      <c r="JRZ27" s="16"/>
      <c r="JSA27" s="16"/>
      <c r="JSB27" s="16"/>
      <c r="JSC27" s="16"/>
      <c r="JSD27" s="16"/>
      <c r="JSE27" s="16"/>
      <c r="JSF27" s="16"/>
      <c r="JSG27" s="16"/>
      <c r="JSH27" s="16"/>
      <c r="JSI27" s="16"/>
      <c r="JSJ27" s="16"/>
      <c r="JSK27" s="16"/>
      <c r="JSL27" s="16"/>
      <c r="JSM27" s="16"/>
      <c r="JSN27" s="16"/>
      <c r="JSO27" s="16"/>
      <c r="JSP27" s="16"/>
      <c r="JSQ27" s="16"/>
      <c r="JSR27" s="16"/>
      <c r="JSS27" s="16"/>
      <c r="JST27" s="16"/>
      <c r="JSU27" s="16"/>
      <c r="JSV27" s="16"/>
      <c r="JSW27" s="16"/>
      <c r="JSX27" s="16"/>
      <c r="JSY27" s="16"/>
      <c r="JSZ27" s="16"/>
      <c r="JTA27" s="16"/>
      <c r="JTB27" s="16"/>
      <c r="JTC27" s="16"/>
      <c r="JTD27" s="16"/>
      <c r="JTE27" s="16"/>
      <c r="JTF27" s="16"/>
      <c r="JTG27" s="16"/>
      <c r="JTH27" s="16"/>
      <c r="JTI27" s="16"/>
      <c r="JTJ27" s="16"/>
      <c r="JTK27" s="16"/>
      <c r="JTL27" s="16"/>
      <c r="JTM27" s="16"/>
      <c r="JTN27" s="16"/>
      <c r="JTO27" s="16"/>
      <c r="JTP27" s="16"/>
      <c r="JTQ27" s="16"/>
      <c r="JTR27" s="16"/>
      <c r="JTS27" s="16"/>
      <c r="JTT27" s="16"/>
      <c r="JTU27" s="16"/>
      <c r="JTV27" s="16"/>
      <c r="JTW27" s="16"/>
      <c r="JTX27" s="16"/>
      <c r="JTY27" s="16"/>
      <c r="JTZ27" s="16"/>
      <c r="JUA27" s="16"/>
      <c r="JUB27" s="16"/>
      <c r="JUC27" s="16"/>
      <c r="JUD27" s="16"/>
      <c r="JUE27" s="16"/>
      <c r="JUF27" s="16"/>
      <c r="JUG27" s="16"/>
      <c r="JUH27" s="16"/>
      <c r="JUI27" s="16"/>
      <c r="JUJ27" s="16"/>
      <c r="JUK27" s="16"/>
      <c r="JUL27" s="16"/>
      <c r="JUM27" s="16"/>
      <c r="JUN27" s="16"/>
      <c r="JUO27" s="16"/>
      <c r="JUP27" s="16"/>
      <c r="JUQ27" s="16"/>
      <c r="JUR27" s="16"/>
      <c r="JUS27" s="16"/>
      <c r="JUT27" s="16"/>
      <c r="JUU27" s="16"/>
      <c r="JUV27" s="16"/>
      <c r="JUW27" s="16"/>
      <c r="JUX27" s="16"/>
      <c r="JUY27" s="16"/>
      <c r="JUZ27" s="16"/>
      <c r="JVA27" s="16"/>
      <c r="JVB27" s="16"/>
      <c r="JVC27" s="16"/>
      <c r="JVD27" s="16"/>
      <c r="JVE27" s="16"/>
      <c r="JVF27" s="16"/>
      <c r="JVG27" s="16"/>
      <c r="JVH27" s="16"/>
      <c r="JVI27" s="16"/>
      <c r="JVJ27" s="16"/>
      <c r="JVK27" s="16"/>
      <c r="JVL27" s="16"/>
      <c r="JVM27" s="16"/>
      <c r="JVN27" s="16"/>
      <c r="JVO27" s="16"/>
      <c r="JVP27" s="16"/>
      <c r="JVQ27" s="16"/>
      <c r="JVR27" s="16"/>
      <c r="JVS27" s="16"/>
      <c r="JVT27" s="16"/>
      <c r="JVU27" s="16"/>
      <c r="JVV27" s="16"/>
      <c r="JVW27" s="16"/>
      <c r="JVX27" s="16"/>
      <c r="JVY27" s="16"/>
      <c r="JVZ27" s="16"/>
      <c r="JWA27" s="16"/>
      <c r="JWB27" s="16"/>
      <c r="JWC27" s="16"/>
      <c r="JWD27" s="16"/>
      <c r="JWE27" s="16"/>
      <c r="JWF27" s="16"/>
      <c r="JWG27" s="16"/>
      <c r="JWH27" s="16"/>
      <c r="JWI27" s="16"/>
      <c r="JWJ27" s="16"/>
      <c r="JWK27" s="16"/>
      <c r="JWL27" s="16"/>
      <c r="JWM27" s="16"/>
      <c r="JWN27" s="16"/>
      <c r="JWO27" s="16"/>
      <c r="JWP27" s="16"/>
      <c r="JWQ27" s="16"/>
      <c r="JWR27" s="16"/>
      <c r="JWS27" s="16"/>
      <c r="JWT27" s="16"/>
      <c r="JWU27" s="16"/>
      <c r="JWV27" s="16"/>
      <c r="JWW27" s="16"/>
      <c r="JWX27" s="16"/>
      <c r="JWY27" s="16"/>
      <c r="JWZ27" s="16"/>
      <c r="JXA27" s="16"/>
      <c r="JXB27" s="16"/>
      <c r="JXC27" s="16"/>
      <c r="JXD27" s="16"/>
      <c r="JXE27" s="16"/>
      <c r="JXF27" s="16"/>
      <c r="JXG27" s="16"/>
      <c r="JXH27" s="16"/>
      <c r="JXI27" s="16"/>
      <c r="JXJ27" s="16"/>
      <c r="JXK27" s="16"/>
      <c r="JXL27" s="16"/>
      <c r="JXM27" s="16"/>
      <c r="JXN27" s="16"/>
      <c r="JXO27" s="16"/>
      <c r="JXP27" s="16"/>
      <c r="JXQ27" s="16"/>
      <c r="JXR27" s="16"/>
      <c r="JXS27" s="16"/>
      <c r="JXT27" s="16"/>
      <c r="JXU27" s="16"/>
      <c r="JXV27" s="16"/>
      <c r="JXW27" s="16"/>
      <c r="JXX27" s="16"/>
      <c r="JXY27" s="16"/>
      <c r="JXZ27" s="16"/>
      <c r="JYA27" s="16"/>
      <c r="JYB27" s="16"/>
      <c r="JYC27" s="16"/>
      <c r="JYD27" s="16"/>
      <c r="JYE27" s="16"/>
      <c r="JYF27" s="16"/>
      <c r="JYG27" s="16"/>
      <c r="JYH27" s="16"/>
      <c r="JYI27" s="16"/>
      <c r="JYJ27" s="16"/>
      <c r="JYK27" s="16"/>
      <c r="JYL27" s="16"/>
      <c r="JYM27" s="16"/>
      <c r="JYN27" s="16"/>
      <c r="JYO27" s="16"/>
      <c r="JYP27" s="16"/>
      <c r="JYQ27" s="16"/>
      <c r="JYR27" s="16"/>
      <c r="JYS27" s="16"/>
      <c r="JYT27" s="16"/>
      <c r="JYU27" s="16"/>
      <c r="JYV27" s="16"/>
      <c r="JYW27" s="16"/>
      <c r="JYX27" s="16"/>
      <c r="JYY27" s="16"/>
      <c r="JYZ27" s="16"/>
      <c r="JZA27" s="16"/>
      <c r="JZB27" s="16"/>
      <c r="JZC27" s="16"/>
      <c r="JZD27" s="16"/>
      <c r="JZE27" s="16"/>
      <c r="JZF27" s="16"/>
      <c r="JZG27" s="16"/>
      <c r="JZH27" s="16"/>
      <c r="JZI27" s="16"/>
      <c r="JZJ27" s="16"/>
      <c r="JZK27" s="16"/>
      <c r="JZL27" s="16"/>
      <c r="JZM27" s="16"/>
      <c r="JZN27" s="16"/>
      <c r="JZO27" s="16"/>
      <c r="JZP27" s="16"/>
      <c r="JZQ27" s="16"/>
      <c r="JZR27" s="16"/>
      <c r="JZS27" s="16"/>
      <c r="JZT27" s="16"/>
      <c r="JZU27" s="16"/>
      <c r="JZV27" s="16"/>
      <c r="JZW27" s="16"/>
      <c r="JZX27" s="16"/>
      <c r="JZY27" s="16"/>
      <c r="JZZ27" s="16"/>
      <c r="KAA27" s="16"/>
      <c r="KAB27" s="16"/>
      <c r="KAC27" s="16"/>
      <c r="KAD27" s="16"/>
      <c r="KAE27" s="16"/>
      <c r="KAF27" s="16"/>
      <c r="KAG27" s="16"/>
      <c r="KAH27" s="16"/>
      <c r="KAI27" s="16"/>
      <c r="KAJ27" s="16"/>
      <c r="KAK27" s="16"/>
      <c r="KAL27" s="16"/>
      <c r="KAM27" s="16"/>
      <c r="KAN27" s="16"/>
      <c r="KAO27" s="16"/>
      <c r="KAP27" s="16"/>
      <c r="KAQ27" s="16"/>
      <c r="KAR27" s="16"/>
      <c r="KAS27" s="16"/>
      <c r="KAT27" s="16"/>
      <c r="KAU27" s="16"/>
      <c r="KAV27" s="16"/>
      <c r="KAW27" s="16"/>
      <c r="KAX27" s="16"/>
      <c r="KAY27" s="16"/>
      <c r="KAZ27" s="16"/>
      <c r="KBA27" s="16"/>
      <c r="KBB27" s="16"/>
      <c r="KBC27" s="16"/>
      <c r="KBD27" s="16"/>
      <c r="KBE27" s="16"/>
      <c r="KBF27" s="16"/>
      <c r="KBG27" s="16"/>
      <c r="KBH27" s="16"/>
      <c r="KBI27" s="16"/>
      <c r="KBJ27" s="16"/>
      <c r="KBK27" s="16"/>
      <c r="KBL27" s="16"/>
      <c r="KBM27" s="16"/>
      <c r="KBN27" s="16"/>
      <c r="KBO27" s="16"/>
      <c r="KBP27" s="16"/>
      <c r="KBQ27" s="16"/>
      <c r="KBR27" s="16"/>
      <c r="KBS27" s="16"/>
      <c r="KBT27" s="16"/>
      <c r="KBU27" s="16"/>
      <c r="KBV27" s="16"/>
      <c r="KBW27" s="16"/>
      <c r="KBX27" s="16"/>
      <c r="KBY27" s="16"/>
      <c r="KBZ27" s="16"/>
      <c r="KCA27" s="16"/>
      <c r="KCB27" s="16"/>
      <c r="KCC27" s="16"/>
      <c r="KCD27" s="16"/>
      <c r="KCE27" s="16"/>
      <c r="KCF27" s="16"/>
      <c r="KCG27" s="16"/>
      <c r="KCH27" s="16"/>
      <c r="KCI27" s="16"/>
      <c r="KCJ27" s="16"/>
      <c r="KCK27" s="16"/>
      <c r="KCL27" s="16"/>
      <c r="KCM27" s="16"/>
      <c r="KCN27" s="16"/>
      <c r="KCO27" s="16"/>
      <c r="KCP27" s="16"/>
      <c r="KCQ27" s="16"/>
      <c r="KCR27" s="16"/>
      <c r="KCS27" s="16"/>
      <c r="KCT27" s="16"/>
      <c r="KCU27" s="16"/>
      <c r="KCV27" s="16"/>
      <c r="KCW27" s="16"/>
      <c r="KCX27" s="16"/>
      <c r="KCY27" s="16"/>
      <c r="KCZ27" s="16"/>
      <c r="KDA27" s="16"/>
      <c r="KDB27" s="16"/>
      <c r="KDC27" s="16"/>
      <c r="KDD27" s="16"/>
      <c r="KDE27" s="16"/>
      <c r="KDF27" s="16"/>
      <c r="KDG27" s="16"/>
      <c r="KDH27" s="16"/>
      <c r="KDI27" s="16"/>
      <c r="KDJ27" s="16"/>
      <c r="KDK27" s="16"/>
      <c r="KDL27" s="16"/>
      <c r="KDM27" s="16"/>
      <c r="KDN27" s="16"/>
      <c r="KDO27" s="16"/>
      <c r="KDP27" s="16"/>
      <c r="KDQ27" s="16"/>
      <c r="KDR27" s="16"/>
      <c r="KDS27" s="16"/>
      <c r="KDT27" s="16"/>
      <c r="KDU27" s="16"/>
      <c r="KDV27" s="16"/>
      <c r="KDW27" s="16"/>
      <c r="KDX27" s="16"/>
      <c r="KDY27" s="16"/>
      <c r="KDZ27" s="16"/>
      <c r="KEA27" s="16"/>
      <c r="KEB27" s="16"/>
      <c r="KEC27" s="16"/>
      <c r="KED27" s="16"/>
      <c r="KEE27" s="16"/>
      <c r="KEF27" s="16"/>
      <c r="KEG27" s="16"/>
      <c r="KEH27" s="16"/>
      <c r="KEI27" s="16"/>
      <c r="KEJ27" s="16"/>
      <c r="KEK27" s="16"/>
      <c r="KEL27" s="16"/>
      <c r="KEM27" s="16"/>
      <c r="KEN27" s="16"/>
      <c r="KEO27" s="16"/>
      <c r="KEP27" s="16"/>
      <c r="KEQ27" s="16"/>
      <c r="KER27" s="16"/>
      <c r="KES27" s="16"/>
      <c r="KET27" s="16"/>
      <c r="KEU27" s="16"/>
      <c r="KEV27" s="16"/>
      <c r="KEW27" s="16"/>
      <c r="KEX27" s="16"/>
      <c r="KEY27" s="16"/>
      <c r="KEZ27" s="16"/>
      <c r="KFA27" s="16"/>
      <c r="KFB27" s="16"/>
      <c r="KFC27" s="16"/>
      <c r="KFD27" s="16"/>
      <c r="KFE27" s="16"/>
      <c r="KFF27" s="16"/>
      <c r="KFG27" s="16"/>
      <c r="KFH27" s="16"/>
      <c r="KFI27" s="16"/>
      <c r="KFJ27" s="16"/>
      <c r="KFK27" s="16"/>
      <c r="KFL27" s="16"/>
      <c r="KFM27" s="16"/>
      <c r="KFN27" s="16"/>
      <c r="KFO27" s="16"/>
      <c r="KFP27" s="16"/>
      <c r="KFQ27" s="16"/>
      <c r="KFR27" s="16"/>
      <c r="KFS27" s="16"/>
      <c r="KFT27" s="16"/>
      <c r="KFU27" s="16"/>
      <c r="KFV27" s="16"/>
      <c r="KFW27" s="16"/>
      <c r="KFX27" s="16"/>
      <c r="KFY27" s="16"/>
      <c r="KFZ27" s="16"/>
      <c r="KGA27" s="16"/>
      <c r="KGB27" s="16"/>
      <c r="KGC27" s="16"/>
      <c r="KGD27" s="16"/>
      <c r="KGE27" s="16"/>
      <c r="KGF27" s="16"/>
      <c r="KGG27" s="16"/>
      <c r="KGH27" s="16"/>
      <c r="KGI27" s="16"/>
      <c r="KGJ27" s="16"/>
      <c r="KGK27" s="16"/>
      <c r="KGL27" s="16"/>
      <c r="KGM27" s="16"/>
      <c r="KGN27" s="16"/>
      <c r="KGO27" s="16"/>
      <c r="KGP27" s="16"/>
      <c r="KGQ27" s="16"/>
      <c r="KGR27" s="16"/>
      <c r="KGS27" s="16"/>
      <c r="KGT27" s="16"/>
      <c r="KGU27" s="16"/>
      <c r="KGV27" s="16"/>
      <c r="KGW27" s="16"/>
      <c r="KGX27" s="16"/>
      <c r="KGY27" s="16"/>
      <c r="KGZ27" s="16"/>
      <c r="KHA27" s="16"/>
      <c r="KHB27" s="16"/>
      <c r="KHC27" s="16"/>
      <c r="KHD27" s="16"/>
      <c r="KHE27" s="16"/>
      <c r="KHF27" s="16"/>
      <c r="KHG27" s="16"/>
      <c r="KHH27" s="16"/>
      <c r="KHI27" s="16"/>
      <c r="KHJ27" s="16"/>
      <c r="KHK27" s="16"/>
      <c r="KHL27" s="16"/>
      <c r="KHM27" s="16"/>
      <c r="KHN27" s="16"/>
      <c r="KHO27" s="16"/>
      <c r="KHP27" s="16"/>
      <c r="KHQ27" s="16"/>
      <c r="KHR27" s="16"/>
      <c r="KHS27" s="16"/>
      <c r="KHT27" s="16"/>
      <c r="KHU27" s="16"/>
      <c r="KHV27" s="16"/>
      <c r="KHW27" s="16"/>
      <c r="KHX27" s="16"/>
      <c r="KHY27" s="16"/>
      <c r="KHZ27" s="16"/>
      <c r="KIA27" s="16"/>
      <c r="KIB27" s="16"/>
      <c r="KIC27" s="16"/>
      <c r="KID27" s="16"/>
      <c r="KIE27" s="16"/>
      <c r="KIF27" s="16"/>
      <c r="KIG27" s="16"/>
      <c r="KIH27" s="16"/>
      <c r="KII27" s="16"/>
      <c r="KIJ27" s="16"/>
      <c r="KIK27" s="16"/>
      <c r="KIL27" s="16"/>
      <c r="KIM27" s="16"/>
      <c r="KIN27" s="16"/>
      <c r="KIO27" s="16"/>
      <c r="KIP27" s="16"/>
      <c r="KIQ27" s="16"/>
      <c r="KIR27" s="16"/>
      <c r="KIS27" s="16"/>
      <c r="KIT27" s="16"/>
      <c r="KIU27" s="16"/>
      <c r="KIV27" s="16"/>
      <c r="KIW27" s="16"/>
      <c r="KIX27" s="16"/>
      <c r="KIY27" s="16"/>
      <c r="KIZ27" s="16"/>
      <c r="KJA27" s="16"/>
      <c r="KJB27" s="16"/>
      <c r="KJC27" s="16"/>
      <c r="KJD27" s="16"/>
      <c r="KJE27" s="16"/>
      <c r="KJF27" s="16"/>
      <c r="KJG27" s="16"/>
      <c r="KJH27" s="16"/>
      <c r="KJI27" s="16"/>
      <c r="KJJ27" s="16"/>
      <c r="KJK27" s="16"/>
      <c r="KJL27" s="16"/>
      <c r="KJM27" s="16"/>
      <c r="KJN27" s="16"/>
      <c r="KJO27" s="16"/>
      <c r="KJP27" s="16"/>
      <c r="KJQ27" s="16"/>
      <c r="KJR27" s="16"/>
      <c r="KJS27" s="16"/>
      <c r="KJT27" s="16"/>
      <c r="KJU27" s="16"/>
      <c r="KJV27" s="16"/>
      <c r="KJW27" s="16"/>
      <c r="KJX27" s="16"/>
      <c r="KJY27" s="16"/>
      <c r="KJZ27" s="16"/>
      <c r="KKA27" s="16"/>
      <c r="KKB27" s="16"/>
      <c r="KKC27" s="16"/>
      <c r="KKD27" s="16"/>
      <c r="KKE27" s="16"/>
      <c r="KKF27" s="16"/>
      <c r="KKG27" s="16"/>
      <c r="KKH27" s="16"/>
      <c r="KKI27" s="16"/>
      <c r="KKJ27" s="16"/>
      <c r="KKK27" s="16"/>
      <c r="KKL27" s="16"/>
      <c r="KKM27" s="16"/>
      <c r="KKN27" s="16"/>
      <c r="KKO27" s="16"/>
      <c r="KKP27" s="16"/>
      <c r="KKQ27" s="16"/>
      <c r="KKR27" s="16"/>
      <c r="KKS27" s="16"/>
      <c r="KKT27" s="16"/>
      <c r="KKU27" s="16"/>
      <c r="KKV27" s="16"/>
      <c r="KKW27" s="16"/>
      <c r="KKX27" s="16"/>
      <c r="KKY27" s="16"/>
      <c r="KKZ27" s="16"/>
      <c r="KLA27" s="16"/>
      <c r="KLB27" s="16"/>
      <c r="KLC27" s="16"/>
      <c r="KLD27" s="16"/>
      <c r="KLE27" s="16"/>
      <c r="KLF27" s="16"/>
      <c r="KLG27" s="16"/>
      <c r="KLH27" s="16"/>
      <c r="KLI27" s="16"/>
      <c r="KLJ27" s="16"/>
      <c r="KLK27" s="16"/>
      <c r="KLL27" s="16"/>
      <c r="KLM27" s="16"/>
      <c r="KLN27" s="16"/>
      <c r="KLO27" s="16"/>
      <c r="KLP27" s="16"/>
      <c r="KLQ27" s="16"/>
      <c r="KLR27" s="16"/>
      <c r="KLS27" s="16"/>
      <c r="KLT27" s="16"/>
      <c r="KLU27" s="16"/>
      <c r="KLV27" s="16"/>
      <c r="KLW27" s="16"/>
      <c r="KLX27" s="16"/>
      <c r="KLY27" s="16"/>
      <c r="KLZ27" s="16"/>
      <c r="KMA27" s="16"/>
      <c r="KMB27" s="16"/>
      <c r="KMC27" s="16"/>
      <c r="KMD27" s="16"/>
      <c r="KME27" s="16"/>
      <c r="KMF27" s="16"/>
      <c r="KMG27" s="16"/>
      <c r="KMH27" s="16"/>
      <c r="KMI27" s="16"/>
      <c r="KMJ27" s="16"/>
      <c r="KMK27" s="16"/>
      <c r="KML27" s="16"/>
      <c r="KMM27" s="16"/>
      <c r="KMN27" s="16"/>
      <c r="KMO27" s="16"/>
      <c r="KMP27" s="16"/>
      <c r="KMQ27" s="16"/>
      <c r="KMR27" s="16"/>
      <c r="KMS27" s="16"/>
      <c r="KMT27" s="16"/>
      <c r="KMU27" s="16"/>
      <c r="KMV27" s="16"/>
      <c r="KMW27" s="16"/>
      <c r="KMX27" s="16"/>
      <c r="KMY27" s="16"/>
      <c r="KMZ27" s="16"/>
      <c r="KNA27" s="16"/>
      <c r="KNB27" s="16"/>
      <c r="KNC27" s="16"/>
      <c r="KND27" s="16"/>
      <c r="KNE27" s="16"/>
      <c r="KNF27" s="16"/>
      <c r="KNG27" s="16"/>
      <c r="KNH27" s="16"/>
      <c r="KNI27" s="16"/>
      <c r="KNJ27" s="16"/>
      <c r="KNK27" s="16"/>
      <c r="KNL27" s="16"/>
      <c r="KNM27" s="16"/>
      <c r="KNN27" s="16"/>
      <c r="KNO27" s="16"/>
      <c r="KNP27" s="16"/>
      <c r="KNQ27" s="16"/>
      <c r="KNR27" s="16"/>
      <c r="KNS27" s="16"/>
      <c r="KNT27" s="16"/>
      <c r="KNU27" s="16"/>
      <c r="KNV27" s="16"/>
      <c r="KNW27" s="16"/>
      <c r="KNX27" s="16"/>
      <c r="KNY27" s="16"/>
      <c r="KNZ27" s="16"/>
      <c r="KOA27" s="16"/>
      <c r="KOB27" s="16"/>
      <c r="KOC27" s="16"/>
      <c r="KOD27" s="16"/>
      <c r="KOE27" s="16"/>
      <c r="KOF27" s="16"/>
      <c r="KOG27" s="16"/>
      <c r="KOH27" s="16"/>
      <c r="KOI27" s="16"/>
      <c r="KOJ27" s="16"/>
      <c r="KOK27" s="16"/>
      <c r="KOL27" s="16"/>
      <c r="KOM27" s="16"/>
      <c r="KON27" s="16"/>
      <c r="KOO27" s="16"/>
      <c r="KOP27" s="16"/>
      <c r="KOQ27" s="16"/>
      <c r="KOR27" s="16"/>
      <c r="KOS27" s="16"/>
      <c r="KOT27" s="16"/>
      <c r="KOU27" s="16"/>
      <c r="KOV27" s="16"/>
      <c r="KOW27" s="16"/>
      <c r="KOX27" s="16"/>
      <c r="KOY27" s="16"/>
      <c r="KOZ27" s="16"/>
      <c r="KPA27" s="16"/>
      <c r="KPB27" s="16"/>
      <c r="KPC27" s="16"/>
      <c r="KPD27" s="16"/>
      <c r="KPE27" s="16"/>
      <c r="KPF27" s="16"/>
      <c r="KPG27" s="16"/>
      <c r="KPH27" s="16"/>
      <c r="KPI27" s="16"/>
      <c r="KPJ27" s="16"/>
      <c r="KPK27" s="16"/>
      <c r="KPL27" s="16"/>
      <c r="KPM27" s="16"/>
      <c r="KPN27" s="16"/>
      <c r="KPO27" s="16"/>
      <c r="KPP27" s="16"/>
      <c r="KPQ27" s="16"/>
      <c r="KPR27" s="16"/>
      <c r="KPS27" s="16"/>
      <c r="KPT27" s="16"/>
      <c r="KPU27" s="16"/>
      <c r="KPV27" s="16"/>
      <c r="KPW27" s="16"/>
      <c r="KPX27" s="16"/>
      <c r="KPY27" s="16"/>
      <c r="KPZ27" s="16"/>
      <c r="KQA27" s="16"/>
      <c r="KQB27" s="16"/>
      <c r="KQC27" s="16"/>
      <c r="KQD27" s="16"/>
      <c r="KQE27" s="16"/>
      <c r="KQF27" s="16"/>
      <c r="KQG27" s="16"/>
      <c r="KQH27" s="16"/>
      <c r="KQI27" s="16"/>
      <c r="KQJ27" s="16"/>
      <c r="KQK27" s="16"/>
      <c r="KQL27" s="16"/>
      <c r="KQM27" s="16"/>
      <c r="KQN27" s="16"/>
      <c r="KQO27" s="16"/>
      <c r="KQP27" s="16"/>
      <c r="KQQ27" s="16"/>
      <c r="KQR27" s="16"/>
      <c r="KQS27" s="16"/>
      <c r="KQT27" s="16"/>
      <c r="KQU27" s="16"/>
      <c r="KQV27" s="16"/>
      <c r="KQW27" s="16"/>
      <c r="KQX27" s="16"/>
      <c r="KQY27" s="16"/>
      <c r="KQZ27" s="16"/>
      <c r="KRA27" s="16"/>
      <c r="KRB27" s="16"/>
      <c r="KRC27" s="16"/>
      <c r="KRD27" s="16"/>
      <c r="KRE27" s="16"/>
      <c r="KRF27" s="16"/>
      <c r="KRG27" s="16"/>
      <c r="KRH27" s="16"/>
      <c r="KRI27" s="16"/>
      <c r="KRJ27" s="16"/>
      <c r="KRK27" s="16"/>
      <c r="KRL27" s="16"/>
      <c r="KRM27" s="16"/>
      <c r="KRN27" s="16"/>
      <c r="KRO27" s="16"/>
      <c r="KRP27" s="16"/>
      <c r="KRQ27" s="16"/>
      <c r="KRR27" s="16"/>
      <c r="KRS27" s="16"/>
      <c r="KRT27" s="16"/>
      <c r="KRU27" s="16"/>
      <c r="KRV27" s="16"/>
      <c r="KRW27" s="16"/>
      <c r="KRX27" s="16"/>
      <c r="KRY27" s="16"/>
      <c r="KRZ27" s="16"/>
      <c r="KSA27" s="16"/>
      <c r="KSB27" s="16"/>
      <c r="KSC27" s="16"/>
      <c r="KSD27" s="16"/>
      <c r="KSE27" s="16"/>
      <c r="KSF27" s="16"/>
      <c r="KSG27" s="16"/>
      <c r="KSH27" s="16"/>
      <c r="KSI27" s="16"/>
      <c r="KSJ27" s="16"/>
      <c r="KSK27" s="16"/>
      <c r="KSL27" s="16"/>
      <c r="KSM27" s="16"/>
      <c r="KSN27" s="16"/>
      <c r="KSO27" s="16"/>
      <c r="KSP27" s="16"/>
      <c r="KSQ27" s="16"/>
      <c r="KSR27" s="16"/>
      <c r="KSS27" s="16"/>
      <c r="KST27" s="16"/>
      <c r="KSU27" s="16"/>
      <c r="KSV27" s="16"/>
      <c r="KSW27" s="16"/>
      <c r="KSX27" s="16"/>
      <c r="KSY27" s="16"/>
      <c r="KSZ27" s="16"/>
      <c r="KTA27" s="16"/>
      <c r="KTB27" s="16"/>
      <c r="KTC27" s="16"/>
      <c r="KTD27" s="16"/>
      <c r="KTE27" s="16"/>
      <c r="KTF27" s="16"/>
      <c r="KTG27" s="16"/>
      <c r="KTH27" s="16"/>
      <c r="KTI27" s="16"/>
      <c r="KTJ27" s="16"/>
      <c r="KTK27" s="16"/>
      <c r="KTL27" s="16"/>
      <c r="KTM27" s="16"/>
      <c r="KTN27" s="16"/>
      <c r="KTO27" s="16"/>
      <c r="KTP27" s="16"/>
      <c r="KTQ27" s="16"/>
      <c r="KTR27" s="16"/>
      <c r="KTS27" s="16"/>
      <c r="KTT27" s="16"/>
      <c r="KTU27" s="16"/>
      <c r="KTV27" s="16"/>
      <c r="KTW27" s="16"/>
      <c r="KTX27" s="16"/>
      <c r="KTY27" s="16"/>
      <c r="KTZ27" s="16"/>
      <c r="KUA27" s="16"/>
      <c r="KUB27" s="16"/>
      <c r="KUC27" s="16"/>
      <c r="KUD27" s="16"/>
      <c r="KUE27" s="16"/>
      <c r="KUF27" s="16"/>
      <c r="KUG27" s="16"/>
      <c r="KUH27" s="16"/>
      <c r="KUI27" s="16"/>
      <c r="KUJ27" s="16"/>
      <c r="KUK27" s="16"/>
      <c r="KUL27" s="16"/>
      <c r="KUM27" s="16"/>
      <c r="KUN27" s="16"/>
      <c r="KUO27" s="16"/>
      <c r="KUP27" s="16"/>
      <c r="KUQ27" s="16"/>
      <c r="KUR27" s="16"/>
      <c r="KUS27" s="16"/>
      <c r="KUT27" s="16"/>
      <c r="KUU27" s="16"/>
      <c r="KUV27" s="16"/>
      <c r="KUW27" s="16"/>
      <c r="KUX27" s="16"/>
      <c r="KUY27" s="16"/>
      <c r="KUZ27" s="16"/>
      <c r="KVA27" s="16"/>
      <c r="KVB27" s="16"/>
      <c r="KVC27" s="16"/>
      <c r="KVD27" s="16"/>
      <c r="KVE27" s="16"/>
      <c r="KVF27" s="16"/>
      <c r="KVG27" s="16"/>
      <c r="KVH27" s="16"/>
      <c r="KVI27" s="16"/>
      <c r="KVJ27" s="16"/>
      <c r="KVK27" s="16"/>
      <c r="KVL27" s="16"/>
      <c r="KVM27" s="16"/>
      <c r="KVN27" s="16"/>
      <c r="KVO27" s="16"/>
      <c r="KVP27" s="16"/>
      <c r="KVQ27" s="16"/>
      <c r="KVR27" s="16"/>
      <c r="KVS27" s="16"/>
      <c r="KVT27" s="16"/>
      <c r="KVU27" s="16"/>
      <c r="KVV27" s="16"/>
      <c r="KVW27" s="16"/>
      <c r="KVX27" s="16"/>
      <c r="KVY27" s="16"/>
      <c r="KVZ27" s="16"/>
      <c r="KWA27" s="16"/>
      <c r="KWB27" s="16"/>
      <c r="KWC27" s="16"/>
      <c r="KWD27" s="16"/>
      <c r="KWE27" s="16"/>
      <c r="KWF27" s="16"/>
      <c r="KWG27" s="16"/>
      <c r="KWH27" s="16"/>
      <c r="KWI27" s="16"/>
      <c r="KWJ27" s="16"/>
      <c r="KWK27" s="16"/>
      <c r="KWL27" s="16"/>
      <c r="KWM27" s="16"/>
      <c r="KWN27" s="16"/>
      <c r="KWO27" s="16"/>
      <c r="KWP27" s="16"/>
      <c r="KWQ27" s="16"/>
      <c r="KWR27" s="16"/>
      <c r="KWS27" s="16"/>
      <c r="KWT27" s="16"/>
      <c r="KWU27" s="16"/>
      <c r="KWV27" s="16"/>
      <c r="KWW27" s="16"/>
      <c r="KWX27" s="16"/>
      <c r="KWY27" s="16"/>
      <c r="KWZ27" s="16"/>
      <c r="KXA27" s="16"/>
      <c r="KXB27" s="16"/>
      <c r="KXC27" s="16"/>
      <c r="KXD27" s="16"/>
      <c r="KXE27" s="16"/>
      <c r="KXF27" s="16"/>
      <c r="KXG27" s="16"/>
      <c r="KXH27" s="16"/>
      <c r="KXI27" s="16"/>
      <c r="KXJ27" s="16"/>
      <c r="KXK27" s="16"/>
      <c r="KXL27" s="16"/>
      <c r="KXM27" s="16"/>
      <c r="KXN27" s="16"/>
      <c r="KXO27" s="16"/>
      <c r="KXP27" s="16"/>
      <c r="KXQ27" s="16"/>
      <c r="KXR27" s="16"/>
      <c r="KXS27" s="16"/>
      <c r="KXT27" s="16"/>
      <c r="KXU27" s="16"/>
      <c r="KXV27" s="16"/>
      <c r="KXW27" s="16"/>
      <c r="KXX27" s="16"/>
      <c r="KXY27" s="16"/>
      <c r="KXZ27" s="16"/>
      <c r="KYA27" s="16"/>
      <c r="KYB27" s="16"/>
      <c r="KYC27" s="16"/>
      <c r="KYD27" s="16"/>
      <c r="KYE27" s="16"/>
      <c r="KYF27" s="16"/>
      <c r="KYG27" s="16"/>
      <c r="KYH27" s="16"/>
      <c r="KYI27" s="16"/>
      <c r="KYJ27" s="16"/>
      <c r="KYK27" s="16"/>
      <c r="KYL27" s="16"/>
      <c r="KYM27" s="16"/>
      <c r="KYN27" s="16"/>
      <c r="KYO27" s="16"/>
      <c r="KYP27" s="16"/>
      <c r="KYQ27" s="16"/>
      <c r="KYR27" s="16"/>
      <c r="KYS27" s="16"/>
      <c r="KYT27" s="16"/>
      <c r="KYU27" s="16"/>
      <c r="KYV27" s="16"/>
      <c r="KYW27" s="16"/>
      <c r="KYX27" s="16"/>
      <c r="KYY27" s="16"/>
      <c r="KYZ27" s="16"/>
      <c r="KZA27" s="16"/>
      <c r="KZB27" s="16"/>
      <c r="KZC27" s="16"/>
      <c r="KZD27" s="16"/>
      <c r="KZE27" s="16"/>
      <c r="KZF27" s="16"/>
      <c r="KZG27" s="16"/>
      <c r="KZH27" s="16"/>
      <c r="KZI27" s="16"/>
      <c r="KZJ27" s="16"/>
      <c r="KZK27" s="16"/>
      <c r="KZL27" s="16"/>
      <c r="KZM27" s="16"/>
      <c r="KZN27" s="16"/>
      <c r="KZO27" s="16"/>
      <c r="KZP27" s="16"/>
      <c r="KZQ27" s="16"/>
      <c r="KZR27" s="16"/>
      <c r="KZS27" s="16"/>
      <c r="KZT27" s="16"/>
      <c r="KZU27" s="16"/>
      <c r="KZV27" s="16"/>
      <c r="KZW27" s="16"/>
      <c r="KZX27" s="16"/>
      <c r="KZY27" s="16"/>
      <c r="KZZ27" s="16"/>
      <c r="LAA27" s="16"/>
      <c r="LAB27" s="16"/>
      <c r="LAC27" s="16"/>
      <c r="LAD27" s="16"/>
      <c r="LAE27" s="16"/>
      <c r="LAF27" s="16"/>
      <c r="LAG27" s="16"/>
      <c r="LAH27" s="16"/>
      <c r="LAI27" s="16"/>
      <c r="LAJ27" s="16"/>
      <c r="LAK27" s="16"/>
      <c r="LAL27" s="16"/>
      <c r="LAM27" s="16"/>
      <c r="LAN27" s="16"/>
      <c r="LAO27" s="16"/>
      <c r="LAP27" s="16"/>
      <c r="LAQ27" s="16"/>
      <c r="LAR27" s="16"/>
      <c r="LAS27" s="16"/>
      <c r="LAT27" s="16"/>
      <c r="LAU27" s="16"/>
      <c r="LAV27" s="16"/>
      <c r="LAW27" s="16"/>
      <c r="LAX27" s="16"/>
      <c r="LAY27" s="16"/>
      <c r="LAZ27" s="16"/>
      <c r="LBA27" s="16"/>
      <c r="LBB27" s="16"/>
      <c r="LBC27" s="16"/>
      <c r="LBD27" s="16"/>
      <c r="LBE27" s="16"/>
      <c r="LBF27" s="16"/>
      <c r="LBG27" s="16"/>
      <c r="LBH27" s="16"/>
      <c r="LBI27" s="16"/>
      <c r="LBJ27" s="16"/>
      <c r="LBK27" s="16"/>
      <c r="LBL27" s="16"/>
      <c r="LBM27" s="16"/>
      <c r="LBN27" s="16"/>
      <c r="LBO27" s="16"/>
      <c r="LBP27" s="16"/>
      <c r="LBQ27" s="16"/>
      <c r="LBR27" s="16"/>
      <c r="LBS27" s="16"/>
      <c r="LBT27" s="16"/>
      <c r="LBU27" s="16"/>
      <c r="LBV27" s="16"/>
      <c r="LBW27" s="16"/>
      <c r="LBX27" s="16"/>
      <c r="LBY27" s="16"/>
      <c r="LBZ27" s="16"/>
      <c r="LCA27" s="16"/>
      <c r="LCB27" s="16"/>
      <c r="LCC27" s="16"/>
      <c r="LCD27" s="16"/>
      <c r="LCE27" s="16"/>
      <c r="LCF27" s="16"/>
      <c r="LCG27" s="16"/>
      <c r="LCH27" s="16"/>
      <c r="LCI27" s="16"/>
      <c r="LCJ27" s="16"/>
      <c r="LCK27" s="16"/>
      <c r="LCL27" s="16"/>
      <c r="LCM27" s="16"/>
      <c r="LCN27" s="16"/>
      <c r="LCO27" s="16"/>
      <c r="LCP27" s="16"/>
      <c r="LCQ27" s="16"/>
      <c r="LCR27" s="16"/>
      <c r="LCS27" s="16"/>
      <c r="LCT27" s="16"/>
      <c r="LCU27" s="16"/>
      <c r="LCV27" s="16"/>
      <c r="LCW27" s="16"/>
      <c r="LCX27" s="16"/>
      <c r="LCY27" s="16"/>
      <c r="LCZ27" s="16"/>
      <c r="LDA27" s="16"/>
      <c r="LDB27" s="16"/>
      <c r="LDC27" s="16"/>
      <c r="LDD27" s="16"/>
      <c r="LDE27" s="16"/>
      <c r="LDF27" s="16"/>
      <c r="LDG27" s="16"/>
      <c r="LDH27" s="16"/>
      <c r="LDI27" s="16"/>
      <c r="LDJ27" s="16"/>
      <c r="LDK27" s="16"/>
      <c r="LDL27" s="16"/>
      <c r="LDM27" s="16"/>
      <c r="LDN27" s="16"/>
      <c r="LDO27" s="16"/>
      <c r="LDP27" s="16"/>
      <c r="LDQ27" s="16"/>
      <c r="LDR27" s="16"/>
      <c r="LDS27" s="16"/>
      <c r="LDT27" s="16"/>
      <c r="LDU27" s="16"/>
      <c r="LDV27" s="16"/>
      <c r="LDW27" s="16"/>
      <c r="LDX27" s="16"/>
      <c r="LDY27" s="16"/>
      <c r="LDZ27" s="16"/>
      <c r="LEA27" s="16"/>
      <c r="LEB27" s="16"/>
      <c r="LEC27" s="16"/>
      <c r="LED27" s="16"/>
      <c r="LEE27" s="16"/>
      <c r="LEF27" s="16"/>
      <c r="LEG27" s="16"/>
      <c r="LEH27" s="16"/>
      <c r="LEI27" s="16"/>
      <c r="LEJ27" s="16"/>
      <c r="LEK27" s="16"/>
      <c r="LEL27" s="16"/>
      <c r="LEM27" s="16"/>
      <c r="LEN27" s="16"/>
      <c r="LEO27" s="16"/>
      <c r="LEP27" s="16"/>
      <c r="LEQ27" s="16"/>
      <c r="LER27" s="16"/>
      <c r="LES27" s="16"/>
      <c r="LET27" s="16"/>
      <c r="LEU27" s="16"/>
      <c r="LEV27" s="16"/>
      <c r="LEW27" s="16"/>
      <c r="LEX27" s="16"/>
      <c r="LEY27" s="16"/>
      <c r="LEZ27" s="16"/>
      <c r="LFA27" s="16"/>
      <c r="LFB27" s="16"/>
      <c r="LFC27" s="16"/>
      <c r="LFD27" s="16"/>
      <c r="LFE27" s="16"/>
      <c r="LFF27" s="16"/>
      <c r="LFG27" s="16"/>
      <c r="LFH27" s="16"/>
      <c r="LFI27" s="16"/>
      <c r="LFJ27" s="16"/>
      <c r="LFK27" s="16"/>
      <c r="LFL27" s="16"/>
      <c r="LFM27" s="16"/>
      <c r="LFN27" s="16"/>
      <c r="LFO27" s="16"/>
      <c r="LFP27" s="16"/>
      <c r="LFQ27" s="16"/>
      <c r="LFR27" s="16"/>
      <c r="LFS27" s="16"/>
      <c r="LFT27" s="16"/>
      <c r="LFU27" s="16"/>
      <c r="LFV27" s="16"/>
      <c r="LFW27" s="16"/>
      <c r="LFX27" s="16"/>
      <c r="LFY27" s="16"/>
      <c r="LFZ27" s="16"/>
      <c r="LGA27" s="16"/>
      <c r="LGB27" s="16"/>
      <c r="LGC27" s="16"/>
      <c r="LGD27" s="16"/>
      <c r="LGE27" s="16"/>
      <c r="LGF27" s="16"/>
      <c r="LGG27" s="16"/>
      <c r="LGH27" s="16"/>
      <c r="LGI27" s="16"/>
      <c r="LGJ27" s="16"/>
      <c r="LGK27" s="16"/>
      <c r="LGL27" s="16"/>
      <c r="LGM27" s="16"/>
      <c r="LGN27" s="16"/>
      <c r="LGO27" s="16"/>
      <c r="LGP27" s="16"/>
      <c r="LGQ27" s="16"/>
      <c r="LGR27" s="16"/>
      <c r="LGS27" s="16"/>
      <c r="LGT27" s="16"/>
      <c r="LGU27" s="16"/>
      <c r="LGV27" s="16"/>
      <c r="LGW27" s="16"/>
      <c r="LGX27" s="16"/>
      <c r="LGY27" s="16"/>
      <c r="LGZ27" s="16"/>
      <c r="LHA27" s="16"/>
      <c r="LHB27" s="16"/>
      <c r="LHC27" s="16"/>
      <c r="LHD27" s="16"/>
      <c r="LHE27" s="16"/>
      <c r="LHF27" s="16"/>
      <c r="LHG27" s="16"/>
      <c r="LHH27" s="16"/>
      <c r="LHI27" s="16"/>
      <c r="LHJ27" s="16"/>
      <c r="LHK27" s="16"/>
      <c r="LHL27" s="16"/>
      <c r="LHM27" s="16"/>
      <c r="LHN27" s="16"/>
      <c r="LHO27" s="16"/>
      <c r="LHP27" s="16"/>
      <c r="LHQ27" s="16"/>
      <c r="LHR27" s="16"/>
      <c r="LHS27" s="16"/>
      <c r="LHT27" s="16"/>
      <c r="LHU27" s="16"/>
      <c r="LHV27" s="16"/>
      <c r="LHW27" s="16"/>
      <c r="LHX27" s="16"/>
      <c r="LHY27" s="16"/>
      <c r="LHZ27" s="16"/>
      <c r="LIA27" s="16"/>
      <c r="LIB27" s="16"/>
      <c r="LIC27" s="16"/>
      <c r="LID27" s="16"/>
      <c r="LIE27" s="16"/>
      <c r="LIF27" s="16"/>
      <c r="LIG27" s="16"/>
      <c r="LIH27" s="16"/>
      <c r="LII27" s="16"/>
      <c r="LIJ27" s="16"/>
      <c r="LIK27" s="16"/>
      <c r="LIL27" s="16"/>
      <c r="LIM27" s="16"/>
      <c r="LIN27" s="16"/>
      <c r="LIO27" s="16"/>
      <c r="LIP27" s="16"/>
      <c r="LIQ27" s="16"/>
      <c r="LIR27" s="16"/>
      <c r="LIS27" s="16"/>
      <c r="LIT27" s="16"/>
      <c r="LIU27" s="16"/>
      <c r="LIV27" s="16"/>
      <c r="LIW27" s="16"/>
      <c r="LIX27" s="16"/>
      <c r="LIY27" s="16"/>
      <c r="LIZ27" s="16"/>
      <c r="LJA27" s="16"/>
      <c r="LJB27" s="16"/>
      <c r="LJC27" s="16"/>
      <c r="LJD27" s="16"/>
      <c r="LJE27" s="16"/>
      <c r="LJF27" s="16"/>
      <c r="LJG27" s="16"/>
      <c r="LJH27" s="16"/>
      <c r="LJI27" s="16"/>
      <c r="LJJ27" s="16"/>
      <c r="LJK27" s="16"/>
      <c r="LJL27" s="16"/>
      <c r="LJM27" s="16"/>
      <c r="LJN27" s="16"/>
      <c r="LJO27" s="16"/>
      <c r="LJP27" s="16"/>
      <c r="LJQ27" s="16"/>
      <c r="LJR27" s="16"/>
      <c r="LJS27" s="16"/>
      <c r="LJT27" s="16"/>
      <c r="LJU27" s="16"/>
      <c r="LJV27" s="16"/>
      <c r="LJW27" s="16"/>
      <c r="LJX27" s="16"/>
      <c r="LJY27" s="16"/>
      <c r="LJZ27" s="16"/>
      <c r="LKA27" s="16"/>
      <c r="LKB27" s="16"/>
      <c r="LKC27" s="16"/>
      <c r="LKD27" s="16"/>
      <c r="LKE27" s="16"/>
      <c r="LKF27" s="16"/>
      <c r="LKG27" s="16"/>
      <c r="LKH27" s="16"/>
      <c r="LKI27" s="16"/>
      <c r="LKJ27" s="16"/>
      <c r="LKK27" s="16"/>
      <c r="LKL27" s="16"/>
      <c r="LKM27" s="16"/>
      <c r="LKN27" s="16"/>
      <c r="LKO27" s="16"/>
      <c r="LKP27" s="16"/>
      <c r="LKQ27" s="16"/>
      <c r="LKR27" s="16"/>
      <c r="LKS27" s="16"/>
      <c r="LKT27" s="16"/>
      <c r="LKU27" s="16"/>
      <c r="LKV27" s="16"/>
      <c r="LKW27" s="16"/>
      <c r="LKX27" s="16"/>
      <c r="LKY27" s="16"/>
      <c r="LKZ27" s="16"/>
      <c r="LLA27" s="16"/>
      <c r="LLB27" s="16"/>
      <c r="LLC27" s="16"/>
      <c r="LLD27" s="16"/>
      <c r="LLE27" s="16"/>
      <c r="LLF27" s="16"/>
      <c r="LLG27" s="16"/>
      <c r="LLH27" s="16"/>
      <c r="LLI27" s="16"/>
      <c r="LLJ27" s="16"/>
      <c r="LLK27" s="16"/>
      <c r="LLL27" s="16"/>
      <c r="LLM27" s="16"/>
      <c r="LLN27" s="16"/>
      <c r="LLO27" s="16"/>
      <c r="LLP27" s="16"/>
      <c r="LLQ27" s="16"/>
      <c r="LLR27" s="16"/>
      <c r="LLS27" s="16"/>
      <c r="LLT27" s="16"/>
      <c r="LLU27" s="16"/>
      <c r="LLV27" s="16"/>
      <c r="LLW27" s="16"/>
      <c r="LLX27" s="16"/>
      <c r="LLY27" s="16"/>
      <c r="LLZ27" s="16"/>
      <c r="LMA27" s="16"/>
      <c r="LMB27" s="16"/>
      <c r="LMC27" s="16"/>
      <c r="LMD27" s="16"/>
      <c r="LME27" s="16"/>
      <c r="LMF27" s="16"/>
      <c r="LMG27" s="16"/>
      <c r="LMH27" s="16"/>
      <c r="LMI27" s="16"/>
      <c r="LMJ27" s="16"/>
      <c r="LMK27" s="16"/>
      <c r="LML27" s="16"/>
      <c r="LMM27" s="16"/>
      <c r="LMN27" s="16"/>
      <c r="LMO27" s="16"/>
      <c r="LMP27" s="16"/>
      <c r="LMQ27" s="16"/>
      <c r="LMR27" s="16"/>
      <c r="LMS27" s="16"/>
      <c r="LMT27" s="16"/>
      <c r="LMU27" s="16"/>
      <c r="LMV27" s="16"/>
      <c r="LMW27" s="16"/>
      <c r="LMX27" s="16"/>
      <c r="LMY27" s="16"/>
      <c r="LMZ27" s="16"/>
      <c r="LNA27" s="16"/>
      <c r="LNB27" s="16"/>
      <c r="LNC27" s="16"/>
      <c r="LND27" s="16"/>
      <c r="LNE27" s="16"/>
      <c r="LNF27" s="16"/>
      <c r="LNG27" s="16"/>
      <c r="LNH27" s="16"/>
      <c r="LNI27" s="16"/>
      <c r="LNJ27" s="16"/>
      <c r="LNK27" s="16"/>
      <c r="LNL27" s="16"/>
      <c r="LNM27" s="16"/>
      <c r="LNN27" s="16"/>
      <c r="LNO27" s="16"/>
      <c r="LNP27" s="16"/>
      <c r="LNQ27" s="16"/>
      <c r="LNR27" s="16"/>
      <c r="LNS27" s="16"/>
      <c r="LNT27" s="16"/>
      <c r="LNU27" s="16"/>
      <c r="LNV27" s="16"/>
      <c r="LNW27" s="16"/>
      <c r="LNX27" s="16"/>
      <c r="LNY27" s="16"/>
      <c r="LNZ27" s="16"/>
      <c r="LOA27" s="16"/>
      <c r="LOB27" s="16"/>
      <c r="LOC27" s="16"/>
      <c r="LOD27" s="16"/>
      <c r="LOE27" s="16"/>
      <c r="LOF27" s="16"/>
      <c r="LOG27" s="16"/>
      <c r="LOH27" s="16"/>
      <c r="LOI27" s="16"/>
      <c r="LOJ27" s="16"/>
      <c r="LOK27" s="16"/>
      <c r="LOL27" s="16"/>
      <c r="LOM27" s="16"/>
      <c r="LON27" s="16"/>
      <c r="LOO27" s="16"/>
      <c r="LOP27" s="16"/>
      <c r="LOQ27" s="16"/>
      <c r="LOR27" s="16"/>
      <c r="LOS27" s="16"/>
      <c r="LOT27" s="16"/>
      <c r="LOU27" s="16"/>
      <c r="LOV27" s="16"/>
      <c r="LOW27" s="16"/>
      <c r="LOX27" s="16"/>
      <c r="LOY27" s="16"/>
      <c r="LOZ27" s="16"/>
      <c r="LPA27" s="16"/>
      <c r="LPB27" s="16"/>
      <c r="LPC27" s="16"/>
      <c r="LPD27" s="16"/>
      <c r="LPE27" s="16"/>
      <c r="LPF27" s="16"/>
      <c r="LPG27" s="16"/>
      <c r="LPH27" s="16"/>
      <c r="LPI27" s="16"/>
      <c r="LPJ27" s="16"/>
      <c r="LPK27" s="16"/>
      <c r="LPL27" s="16"/>
      <c r="LPM27" s="16"/>
      <c r="LPN27" s="16"/>
      <c r="LPO27" s="16"/>
      <c r="LPP27" s="16"/>
      <c r="LPQ27" s="16"/>
      <c r="LPR27" s="16"/>
      <c r="LPS27" s="16"/>
      <c r="LPT27" s="16"/>
      <c r="LPU27" s="16"/>
      <c r="LPV27" s="16"/>
      <c r="LPW27" s="16"/>
      <c r="LPX27" s="16"/>
      <c r="LPY27" s="16"/>
      <c r="LPZ27" s="16"/>
      <c r="LQA27" s="16"/>
      <c r="LQB27" s="16"/>
      <c r="LQC27" s="16"/>
      <c r="LQD27" s="16"/>
      <c r="LQE27" s="16"/>
      <c r="LQF27" s="16"/>
      <c r="LQG27" s="16"/>
      <c r="LQH27" s="16"/>
      <c r="LQI27" s="16"/>
      <c r="LQJ27" s="16"/>
      <c r="LQK27" s="16"/>
      <c r="LQL27" s="16"/>
      <c r="LQM27" s="16"/>
      <c r="LQN27" s="16"/>
      <c r="LQO27" s="16"/>
      <c r="LQP27" s="16"/>
      <c r="LQQ27" s="16"/>
      <c r="LQR27" s="16"/>
      <c r="LQS27" s="16"/>
      <c r="LQT27" s="16"/>
      <c r="LQU27" s="16"/>
      <c r="LQV27" s="16"/>
      <c r="LQW27" s="16"/>
      <c r="LQX27" s="16"/>
      <c r="LQY27" s="16"/>
      <c r="LQZ27" s="16"/>
      <c r="LRA27" s="16"/>
      <c r="LRB27" s="16"/>
      <c r="LRC27" s="16"/>
      <c r="LRD27" s="16"/>
      <c r="LRE27" s="16"/>
      <c r="LRF27" s="16"/>
      <c r="LRG27" s="16"/>
      <c r="LRH27" s="16"/>
      <c r="LRI27" s="16"/>
      <c r="LRJ27" s="16"/>
      <c r="LRK27" s="16"/>
      <c r="LRL27" s="16"/>
      <c r="LRM27" s="16"/>
      <c r="LRN27" s="16"/>
      <c r="LRO27" s="16"/>
      <c r="LRP27" s="16"/>
      <c r="LRQ27" s="16"/>
      <c r="LRR27" s="16"/>
      <c r="LRS27" s="16"/>
      <c r="LRT27" s="16"/>
      <c r="LRU27" s="16"/>
      <c r="LRV27" s="16"/>
      <c r="LRW27" s="16"/>
      <c r="LRX27" s="16"/>
      <c r="LRY27" s="16"/>
      <c r="LRZ27" s="16"/>
      <c r="LSA27" s="16"/>
      <c r="LSB27" s="16"/>
      <c r="LSC27" s="16"/>
      <c r="LSD27" s="16"/>
      <c r="LSE27" s="16"/>
      <c r="LSF27" s="16"/>
      <c r="LSG27" s="16"/>
      <c r="LSH27" s="16"/>
      <c r="LSI27" s="16"/>
      <c r="LSJ27" s="16"/>
      <c r="LSK27" s="16"/>
      <c r="LSL27" s="16"/>
      <c r="LSM27" s="16"/>
      <c r="LSN27" s="16"/>
      <c r="LSO27" s="16"/>
      <c r="LSP27" s="16"/>
      <c r="LSQ27" s="16"/>
      <c r="LSR27" s="16"/>
      <c r="LSS27" s="16"/>
      <c r="LST27" s="16"/>
      <c r="LSU27" s="16"/>
      <c r="LSV27" s="16"/>
      <c r="LSW27" s="16"/>
      <c r="LSX27" s="16"/>
      <c r="LSY27" s="16"/>
      <c r="LSZ27" s="16"/>
      <c r="LTA27" s="16"/>
      <c r="LTB27" s="16"/>
      <c r="LTC27" s="16"/>
      <c r="LTD27" s="16"/>
      <c r="LTE27" s="16"/>
      <c r="LTF27" s="16"/>
      <c r="LTG27" s="16"/>
      <c r="LTH27" s="16"/>
      <c r="LTI27" s="16"/>
      <c r="LTJ27" s="16"/>
      <c r="LTK27" s="16"/>
      <c r="LTL27" s="16"/>
      <c r="LTM27" s="16"/>
      <c r="LTN27" s="16"/>
      <c r="LTO27" s="16"/>
      <c r="LTP27" s="16"/>
      <c r="LTQ27" s="16"/>
      <c r="LTR27" s="16"/>
      <c r="LTS27" s="16"/>
      <c r="LTT27" s="16"/>
      <c r="LTU27" s="16"/>
      <c r="LTV27" s="16"/>
      <c r="LTW27" s="16"/>
      <c r="LTX27" s="16"/>
      <c r="LTY27" s="16"/>
      <c r="LTZ27" s="16"/>
      <c r="LUA27" s="16"/>
      <c r="LUB27" s="16"/>
      <c r="LUC27" s="16"/>
      <c r="LUD27" s="16"/>
      <c r="LUE27" s="16"/>
      <c r="LUF27" s="16"/>
      <c r="LUG27" s="16"/>
      <c r="LUH27" s="16"/>
      <c r="LUI27" s="16"/>
      <c r="LUJ27" s="16"/>
      <c r="LUK27" s="16"/>
      <c r="LUL27" s="16"/>
      <c r="LUM27" s="16"/>
      <c r="LUN27" s="16"/>
      <c r="LUO27" s="16"/>
      <c r="LUP27" s="16"/>
      <c r="LUQ27" s="16"/>
      <c r="LUR27" s="16"/>
      <c r="LUS27" s="16"/>
      <c r="LUT27" s="16"/>
      <c r="LUU27" s="16"/>
      <c r="LUV27" s="16"/>
      <c r="LUW27" s="16"/>
      <c r="LUX27" s="16"/>
      <c r="LUY27" s="16"/>
      <c r="LUZ27" s="16"/>
      <c r="LVA27" s="16"/>
      <c r="LVB27" s="16"/>
      <c r="LVC27" s="16"/>
      <c r="LVD27" s="16"/>
      <c r="LVE27" s="16"/>
      <c r="LVF27" s="16"/>
      <c r="LVG27" s="16"/>
      <c r="LVH27" s="16"/>
      <c r="LVI27" s="16"/>
      <c r="LVJ27" s="16"/>
      <c r="LVK27" s="16"/>
      <c r="LVL27" s="16"/>
      <c r="LVM27" s="16"/>
      <c r="LVN27" s="16"/>
      <c r="LVO27" s="16"/>
      <c r="LVP27" s="16"/>
      <c r="LVQ27" s="16"/>
      <c r="LVR27" s="16"/>
      <c r="LVS27" s="16"/>
      <c r="LVT27" s="16"/>
      <c r="LVU27" s="16"/>
      <c r="LVV27" s="16"/>
      <c r="LVW27" s="16"/>
      <c r="LVX27" s="16"/>
      <c r="LVY27" s="16"/>
      <c r="LVZ27" s="16"/>
      <c r="LWA27" s="16"/>
      <c r="LWB27" s="16"/>
      <c r="LWC27" s="16"/>
      <c r="LWD27" s="16"/>
      <c r="LWE27" s="16"/>
      <c r="LWF27" s="16"/>
      <c r="LWG27" s="16"/>
      <c r="LWH27" s="16"/>
      <c r="LWI27" s="16"/>
      <c r="LWJ27" s="16"/>
      <c r="LWK27" s="16"/>
      <c r="LWL27" s="16"/>
      <c r="LWM27" s="16"/>
      <c r="LWN27" s="16"/>
      <c r="LWO27" s="16"/>
      <c r="LWP27" s="16"/>
      <c r="LWQ27" s="16"/>
      <c r="LWR27" s="16"/>
      <c r="LWS27" s="16"/>
      <c r="LWT27" s="16"/>
      <c r="LWU27" s="16"/>
      <c r="LWV27" s="16"/>
      <c r="LWW27" s="16"/>
      <c r="LWX27" s="16"/>
      <c r="LWY27" s="16"/>
      <c r="LWZ27" s="16"/>
      <c r="LXA27" s="16"/>
      <c r="LXB27" s="16"/>
      <c r="LXC27" s="16"/>
      <c r="LXD27" s="16"/>
      <c r="LXE27" s="16"/>
      <c r="LXF27" s="16"/>
      <c r="LXG27" s="16"/>
      <c r="LXH27" s="16"/>
      <c r="LXI27" s="16"/>
      <c r="LXJ27" s="16"/>
      <c r="LXK27" s="16"/>
      <c r="LXL27" s="16"/>
      <c r="LXM27" s="16"/>
      <c r="LXN27" s="16"/>
      <c r="LXO27" s="16"/>
      <c r="LXP27" s="16"/>
      <c r="LXQ27" s="16"/>
      <c r="LXR27" s="16"/>
      <c r="LXS27" s="16"/>
      <c r="LXT27" s="16"/>
      <c r="LXU27" s="16"/>
      <c r="LXV27" s="16"/>
      <c r="LXW27" s="16"/>
      <c r="LXX27" s="16"/>
      <c r="LXY27" s="16"/>
      <c r="LXZ27" s="16"/>
      <c r="LYA27" s="16"/>
      <c r="LYB27" s="16"/>
      <c r="LYC27" s="16"/>
      <c r="LYD27" s="16"/>
      <c r="LYE27" s="16"/>
      <c r="LYF27" s="16"/>
      <c r="LYG27" s="16"/>
      <c r="LYH27" s="16"/>
      <c r="LYI27" s="16"/>
      <c r="LYJ27" s="16"/>
      <c r="LYK27" s="16"/>
      <c r="LYL27" s="16"/>
      <c r="LYM27" s="16"/>
      <c r="LYN27" s="16"/>
      <c r="LYO27" s="16"/>
      <c r="LYP27" s="16"/>
      <c r="LYQ27" s="16"/>
      <c r="LYR27" s="16"/>
      <c r="LYS27" s="16"/>
      <c r="LYT27" s="16"/>
      <c r="LYU27" s="16"/>
      <c r="LYV27" s="16"/>
      <c r="LYW27" s="16"/>
      <c r="LYX27" s="16"/>
      <c r="LYY27" s="16"/>
      <c r="LYZ27" s="16"/>
      <c r="LZA27" s="16"/>
      <c r="LZB27" s="16"/>
      <c r="LZC27" s="16"/>
      <c r="LZD27" s="16"/>
      <c r="LZE27" s="16"/>
      <c r="LZF27" s="16"/>
      <c r="LZG27" s="16"/>
      <c r="LZH27" s="16"/>
      <c r="LZI27" s="16"/>
      <c r="LZJ27" s="16"/>
      <c r="LZK27" s="16"/>
      <c r="LZL27" s="16"/>
      <c r="LZM27" s="16"/>
      <c r="LZN27" s="16"/>
      <c r="LZO27" s="16"/>
      <c r="LZP27" s="16"/>
      <c r="LZQ27" s="16"/>
      <c r="LZR27" s="16"/>
      <c r="LZS27" s="16"/>
      <c r="LZT27" s="16"/>
      <c r="LZU27" s="16"/>
      <c r="LZV27" s="16"/>
      <c r="LZW27" s="16"/>
      <c r="LZX27" s="16"/>
      <c r="LZY27" s="16"/>
      <c r="LZZ27" s="16"/>
      <c r="MAA27" s="16"/>
      <c r="MAB27" s="16"/>
      <c r="MAC27" s="16"/>
      <c r="MAD27" s="16"/>
      <c r="MAE27" s="16"/>
      <c r="MAF27" s="16"/>
      <c r="MAG27" s="16"/>
      <c r="MAH27" s="16"/>
      <c r="MAI27" s="16"/>
      <c r="MAJ27" s="16"/>
      <c r="MAK27" s="16"/>
      <c r="MAL27" s="16"/>
      <c r="MAM27" s="16"/>
      <c r="MAN27" s="16"/>
      <c r="MAO27" s="16"/>
      <c r="MAP27" s="16"/>
      <c r="MAQ27" s="16"/>
      <c r="MAR27" s="16"/>
      <c r="MAS27" s="16"/>
      <c r="MAT27" s="16"/>
      <c r="MAU27" s="16"/>
      <c r="MAV27" s="16"/>
      <c r="MAW27" s="16"/>
      <c r="MAX27" s="16"/>
      <c r="MAY27" s="16"/>
      <c r="MAZ27" s="16"/>
      <c r="MBA27" s="16"/>
      <c r="MBB27" s="16"/>
      <c r="MBC27" s="16"/>
      <c r="MBD27" s="16"/>
      <c r="MBE27" s="16"/>
      <c r="MBF27" s="16"/>
      <c r="MBG27" s="16"/>
      <c r="MBH27" s="16"/>
      <c r="MBI27" s="16"/>
      <c r="MBJ27" s="16"/>
      <c r="MBK27" s="16"/>
      <c r="MBL27" s="16"/>
      <c r="MBM27" s="16"/>
      <c r="MBN27" s="16"/>
      <c r="MBO27" s="16"/>
      <c r="MBP27" s="16"/>
      <c r="MBQ27" s="16"/>
      <c r="MBR27" s="16"/>
      <c r="MBS27" s="16"/>
      <c r="MBT27" s="16"/>
      <c r="MBU27" s="16"/>
      <c r="MBV27" s="16"/>
      <c r="MBW27" s="16"/>
      <c r="MBX27" s="16"/>
      <c r="MBY27" s="16"/>
      <c r="MBZ27" s="16"/>
      <c r="MCA27" s="16"/>
      <c r="MCB27" s="16"/>
      <c r="MCC27" s="16"/>
      <c r="MCD27" s="16"/>
      <c r="MCE27" s="16"/>
      <c r="MCF27" s="16"/>
      <c r="MCG27" s="16"/>
      <c r="MCH27" s="16"/>
      <c r="MCI27" s="16"/>
      <c r="MCJ27" s="16"/>
      <c r="MCK27" s="16"/>
      <c r="MCL27" s="16"/>
      <c r="MCM27" s="16"/>
      <c r="MCN27" s="16"/>
      <c r="MCO27" s="16"/>
      <c r="MCP27" s="16"/>
      <c r="MCQ27" s="16"/>
      <c r="MCR27" s="16"/>
      <c r="MCS27" s="16"/>
      <c r="MCT27" s="16"/>
      <c r="MCU27" s="16"/>
      <c r="MCV27" s="16"/>
      <c r="MCW27" s="16"/>
      <c r="MCX27" s="16"/>
      <c r="MCY27" s="16"/>
      <c r="MCZ27" s="16"/>
      <c r="MDA27" s="16"/>
      <c r="MDB27" s="16"/>
      <c r="MDC27" s="16"/>
      <c r="MDD27" s="16"/>
      <c r="MDE27" s="16"/>
      <c r="MDF27" s="16"/>
      <c r="MDG27" s="16"/>
      <c r="MDH27" s="16"/>
      <c r="MDI27" s="16"/>
      <c r="MDJ27" s="16"/>
      <c r="MDK27" s="16"/>
      <c r="MDL27" s="16"/>
      <c r="MDM27" s="16"/>
      <c r="MDN27" s="16"/>
      <c r="MDO27" s="16"/>
      <c r="MDP27" s="16"/>
      <c r="MDQ27" s="16"/>
      <c r="MDR27" s="16"/>
      <c r="MDS27" s="16"/>
      <c r="MDT27" s="16"/>
      <c r="MDU27" s="16"/>
      <c r="MDV27" s="16"/>
      <c r="MDW27" s="16"/>
      <c r="MDX27" s="16"/>
      <c r="MDY27" s="16"/>
      <c r="MDZ27" s="16"/>
      <c r="MEA27" s="16"/>
      <c r="MEB27" s="16"/>
      <c r="MEC27" s="16"/>
      <c r="MED27" s="16"/>
      <c r="MEE27" s="16"/>
      <c r="MEF27" s="16"/>
      <c r="MEG27" s="16"/>
      <c r="MEH27" s="16"/>
      <c r="MEI27" s="16"/>
      <c r="MEJ27" s="16"/>
      <c r="MEK27" s="16"/>
      <c r="MEL27" s="16"/>
      <c r="MEM27" s="16"/>
      <c r="MEN27" s="16"/>
      <c r="MEO27" s="16"/>
      <c r="MEP27" s="16"/>
      <c r="MEQ27" s="16"/>
      <c r="MER27" s="16"/>
      <c r="MES27" s="16"/>
      <c r="MET27" s="16"/>
      <c r="MEU27" s="16"/>
      <c r="MEV27" s="16"/>
      <c r="MEW27" s="16"/>
      <c r="MEX27" s="16"/>
      <c r="MEY27" s="16"/>
      <c r="MEZ27" s="16"/>
      <c r="MFA27" s="16"/>
      <c r="MFB27" s="16"/>
      <c r="MFC27" s="16"/>
      <c r="MFD27" s="16"/>
      <c r="MFE27" s="16"/>
      <c r="MFF27" s="16"/>
      <c r="MFG27" s="16"/>
      <c r="MFH27" s="16"/>
      <c r="MFI27" s="16"/>
      <c r="MFJ27" s="16"/>
      <c r="MFK27" s="16"/>
      <c r="MFL27" s="16"/>
      <c r="MFM27" s="16"/>
      <c r="MFN27" s="16"/>
      <c r="MFO27" s="16"/>
      <c r="MFP27" s="16"/>
      <c r="MFQ27" s="16"/>
      <c r="MFR27" s="16"/>
      <c r="MFS27" s="16"/>
      <c r="MFT27" s="16"/>
      <c r="MFU27" s="16"/>
      <c r="MFV27" s="16"/>
      <c r="MFW27" s="16"/>
      <c r="MFX27" s="16"/>
      <c r="MFY27" s="16"/>
      <c r="MFZ27" s="16"/>
      <c r="MGA27" s="16"/>
      <c r="MGB27" s="16"/>
      <c r="MGC27" s="16"/>
      <c r="MGD27" s="16"/>
      <c r="MGE27" s="16"/>
      <c r="MGF27" s="16"/>
      <c r="MGG27" s="16"/>
      <c r="MGH27" s="16"/>
      <c r="MGI27" s="16"/>
      <c r="MGJ27" s="16"/>
      <c r="MGK27" s="16"/>
      <c r="MGL27" s="16"/>
      <c r="MGM27" s="16"/>
      <c r="MGN27" s="16"/>
      <c r="MGO27" s="16"/>
      <c r="MGP27" s="16"/>
      <c r="MGQ27" s="16"/>
      <c r="MGR27" s="16"/>
      <c r="MGS27" s="16"/>
      <c r="MGT27" s="16"/>
      <c r="MGU27" s="16"/>
      <c r="MGV27" s="16"/>
      <c r="MGW27" s="16"/>
      <c r="MGX27" s="16"/>
      <c r="MGY27" s="16"/>
      <c r="MGZ27" s="16"/>
      <c r="MHA27" s="16"/>
      <c r="MHB27" s="16"/>
      <c r="MHC27" s="16"/>
      <c r="MHD27" s="16"/>
      <c r="MHE27" s="16"/>
      <c r="MHF27" s="16"/>
      <c r="MHG27" s="16"/>
      <c r="MHH27" s="16"/>
      <c r="MHI27" s="16"/>
      <c r="MHJ27" s="16"/>
      <c r="MHK27" s="16"/>
      <c r="MHL27" s="16"/>
      <c r="MHM27" s="16"/>
      <c r="MHN27" s="16"/>
      <c r="MHO27" s="16"/>
      <c r="MHP27" s="16"/>
      <c r="MHQ27" s="16"/>
      <c r="MHR27" s="16"/>
      <c r="MHS27" s="16"/>
      <c r="MHT27" s="16"/>
      <c r="MHU27" s="16"/>
      <c r="MHV27" s="16"/>
      <c r="MHW27" s="16"/>
      <c r="MHX27" s="16"/>
      <c r="MHY27" s="16"/>
      <c r="MHZ27" s="16"/>
      <c r="MIA27" s="16"/>
      <c r="MIB27" s="16"/>
      <c r="MIC27" s="16"/>
      <c r="MID27" s="16"/>
      <c r="MIE27" s="16"/>
      <c r="MIF27" s="16"/>
      <c r="MIG27" s="16"/>
      <c r="MIH27" s="16"/>
      <c r="MII27" s="16"/>
      <c r="MIJ27" s="16"/>
      <c r="MIK27" s="16"/>
      <c r="MIL27" s="16"/>
      <c r="MIM27" s="16"/>
      <c r="MIN27" s="16"/>
      <c r="MIO27" s="16"/>
      <c r="MIP27" s="16"/>
      <c r="MIQ27" s="16"/>
      <c r="MIR27" s="16"/>
      <c r="MIS27" s="16"/>
      <c r="MIT27" s="16"/>
      <c r="MIU27" s="16"/>
      <c r="MIV27" s="16"/>
      <c r="MIW27" s="16"/>
      <c r="MIX27" s="16"/>
      <c r="MIY27" s="16"/>
      <c r="MIZ27" s="16"/>
      <c r="MJA27" s="16"/>
      <c r="MJB27" s="16"/>
      <c r="MJC27" s="16"/>
      <c r="MJD27" s="16"/>
      <c r="MJE27" s="16"/>
      <c r="MJF27" s="16"/>
      <c r="MJG27" s="16"/>
      <c r="MJH27" s="16"/>
      <c r="MJI27" s="16"/>
      <c r="MJJ27" s="16"/>
      <c r="MJK27" s="16"/>
      <c r="MJL27" s="16"/>
      <c r="MJM27" s="16"/>
      <c r="MJN27" s="16"/>
      <c r="MJO27" s="16"/>
      <c r="MJP27" s="16"/>
      <c r="MJQ27" s="16"/>
      <c r="MJR27" s="16"/>
      <c r="MJS27" s="16"/>
      <c r="MJT27" s="16"/>
      <c r="MJU27" s="16"/>
      <c r="MJV27" s="16"/>
      <c r="MJW27" s="16"/>
      <c r="MJX27" s="16"/>
      <c r="MJY27" s="16"/>
      <c r="MJZ27" s="16"/>
      <c r="MKA27" s="16"/>
      <c r="MKB27" s="16"/>
      <c r="MKC27" s="16"/>
      <c r="MKD27" s="16"/>
      <c r="MKE27" s="16"/>
      <c r="MKF27" s="16"/>
      <c r="MKG27" s="16"/>
      <c r="MKH27" s="16"/>
      <c r="MKI27" s="16"/>
      <c r="MKJ27" s="16"/>
      <c r="MKK27" s="16"/>
      <c r="MKL27" s="16"/>
      <c r="MKM27" s="16"/>
      <c r="MKN27" s="16"/>
      <c r="MKO27" s="16"/>
      <c r="MKP27" s="16"/>
      <c r="MKQ27" s="16"/>
      <c r="MKR27" s="16"/>
      <c r="MKS27" s="16"/>
      <c r="MKT27" s="16"/>
      <c r="MKU27" s="16"/>
      <c r="MKV27" s="16"/>
      <c r="MKW27" s="16"/>
      <c r="MKX27" s="16"/>
      <c r="MKY27" s="16"/>
      <c r="MKZ27" s="16"/>
      <c r="MLA27" s="16"/>
      <c r="MLB27" s="16"/>
      <c r="MLC27" s="16"/>
      <c r="MLD27" s="16"/>
      <c r="MLE27" s="16"/>
      <c r="MLF27" s="16"/>
      <c r="MLG27" s="16"/>
      <c r="MLH27" s="16"/>
      <c r="MLI27" s="16"/>
      <c r="MLJ27" s="16"/>
      <c r="MLK27" s="16"/>
      <c r="MLL27" s="16"/>
      <c r="MLM27" s="16"/>
      <c r="MLN27" s="16"/>
      <c r="MLO27" s="16"/>
      <c r="MLP27" s="16"/>
      <c r="MLQ27" s="16"/>
      <c r="MLR27" s="16"/>
      <c r="MLS27" s="16"/>
      <c r="MLT27" s="16"/>
      <c r="MLU27" s="16"/>
      <c r="MLV27" s="16"/>
      <c r="MLW27" s="16"/>
      <c r="MLX27" s="16"/>
      <c r="MLY27" s="16"/>
      <c r="MLZ27" s="16"/>
      <c r="MMA27" s="16"/>
      <c r="MMB27" s="16"/>
      <c r="MMC27" s="16"/>
      <c r="MMD27" s="16"/>
      <c r="MME27" s="16"/>
      <c r="MMF27" s="16"/>
      <c r="MMG27" s="16"/>
      <c r="MMH27" s="16"/>
      <c r="MMI27" s="16"/>
      <c r="MMJ27" s="16"/>
      <c r="MMK27" s="16"/>
      <c r="MML27" s="16"/>
      <c r="MMM27" s="16"/>
      <c r="MMN27" s="16"/>
      <c r="MMO27" s="16"/>
      <c r="MMP27" s="16"/>
      <c r="MMQ27" s="16"/>
      <c r="MMR27" s="16"/>
      <c r="MMS27" s="16"/>
      <c r="MMT27" s="16"/>
      <c r="MMU27" s="16"/>
      <c r="MMV27" s="16"/>
      <c r="MMW27" s="16"/>
      <c r="MMX27" s="16"/>
      <c r="MMY27" s="16"/>
      <c r="MMZ27" s="16"/>
      <c r="MNA27" s="16"/>
      <c r="MNB27" s="16"/>
      <c r="MNC27" s="16"/>
      <c r="MND27" s="16"/>
      <c r="MNE27" s="16"/>
      <c r="MNF27" s="16"/>
      <c r="MNG27" s="16"/>
      <c r="MNH27" s="16"/>
      <c r="MNI27" s="16"/>
      <c r="MNJ27" s="16"/>
      <c r="MNK27" s="16"/>
      <c r="MNL27" s="16"/>
      <c r="MNM27" s="16"/>
      <c r="MNN27" s="16"/>
      <c r="MNO27" s="16"/>
      <c r="MNP27" s="16"/>
      <c r="MNQ27" s="16"/>
      <c r="MNR27" s="16"/>
      <c r="MNS27" s="16"/>
      <c r="MNT27" s="16"/>
      <c r="MNU27" s="16"/>
      <c r="MNV27" s="16"/>
      <c r="MNW27" s="16"/>
      <c r="MNX27" s="16"/>
      <c r="MNY27" s="16"/>
      <c r="MNZ27" s="16"/>
      <c r="MOA27" s="16"/>
      <c r="MOB27" s="16"/>
      <c r="MOC27" s="16"/>
      <c r="MOD27" s="16"/>
      <c r="MOE27" s="16"/>
      <c r="MOF27" s="16"/>
      <c r="MOG27" s="16"/>
      <c r="MOH27" s="16"/>
      <c r="MOI27" s="16"/>
      <c r="MOJ27" s="16"/>
      <c r="MOK27" s="16"/>
      <c r="MOL27" s="16"/>
      <c r="MOM27" s="16"/>
      <c r="MON27" s="16"/>
      <c r="MOO27" s="16"/>
      <c r="MOP27" s="16"/>
      <c r="MOQ27" s="16"/>
      <c r="MOR27" s="16"/>
      <c r="MOS27" s="16"/>
      <c r="MOT27" s="16"/>
      <c r="MOU27" s="16"/>
      <c r="MOV27" s="16"/>
      <c r="MOW27" s="16"/>
      <c r="MOX27" s="16"/>
      <c r="MOY27" s="16"/>
      <c r="MOZ27" s="16"/>
      <c r="MPA27" s="16"/>
      <c r="MPB27" s="16"/>
      <c r="MPC27" s="16"/>
      <c r="MPD27" s="16"/>
      <c r="MPE27" s="16"/>
      <c r="MPF27" s="16"/>
      <c r="MPG27" s="16"/>
      <c r="MPH27" s="16"/>
      <c r="MPI27" s="16"/>
      <c r="MPJ27" s="16"/>
      <c r="MPK27" s="16"/>
      <c r="MPL27" s="16"/>
      <c r="MPM27" s="16"/>
      <c r="MPN27" s="16"/>
      <c r="MPO27" s="16"/>
      <c r="MPP27" s="16"/>
      <c r="MPQ27" s="16"/>
      <c r="MPR27" s="16"/>
      <c r="MPS27" s="16"/>
      <c r="MPT27" s="16"/>
      <c r="MPU27" s="16"/>
      <c r="MPV27" s="16"/>
      <c r="MPW27" s="16"/>
      <c r="MPX27" s="16"/>
      <c r="MPY27" s="16"/>
      <c r="MPZ27" s="16"/>
      <c r="MQA27" s="16"/>
      <c r="MQB27" s="16"/>
      <c r="MQC27" s="16"/>
      <c r="MQD27" s="16"/>
      <c r="MQE27" s="16"/>
      <c r="MQF27" s="16"/>
      <c r="MQG27" s="16"/>
      <c r="MQH27" s="16"/>
      <c r="MQI27" s="16"/>
      <c r="MQJ27" s="16"/>
      <c r="MQK27" s="16"/>
      <c r="MQL27" s="16"/>
      <c r="MQM27" s="16"/>
      <c r="MQN27" s="16"/>
      <c r="MQO27" s="16"/>
      <c r="MQP27" s="16"/>
      <c r="MQQ27" s="16"/>
      <c r="MQR27" s="16"/>
      <c r="MQS27" s="16"/>
      <c r="MQT27" s="16"/>
      <c r="MQU27" s="16"/>
      <c r="MQV27" s="16"/>
      <c r="MQW27" s="16"/>
      <c r="MQX27" s="16"/>
      <c r="MQY27" s="16"/>
      <c r="MQZ27" s="16"/>
      <c r="MRA27" s="16"/>
      <c r="MRB27" s="16"/>
      <c r="MRC27" s="16"/>
      <c r="MRD27" s="16"/>
      <c r="MRE27" s="16"/>
      <c r="MRF27" s="16"/>
      <c r="MRG27" s="16"/>
      <c r="MRH27" s="16"/>
      <c r="MRI27" s="16"/>
      <c r="MRJ27" s="16"/>
      <c r="MRK27" s="16"/>
      <c r="MRL27" s="16"/>
      <c r="MRM27" s="16"/>
      <c r="MRN27" s="16"/>
      <c r="MRO27" s="16"/>
      <c r="MRP27" s="16"/>
      <c r="MRQ27" s="16"/>
      <c r="MRR27" s="16"/>
      <c r="MRS27" s="16"/>
      <c r="MRT27" s="16"/>
      <c r="MRU27" s="16"/>
      <c r="MRV27" s="16"/>
      <c r="MRW27" s="16"/>
      <c r="MRX27" s="16"/>
      <c r="MRY27" s="16"/>
      <c r="MRZ27" s="16"/>
      <c r="MSA27" s="16"/>
      <c r="MSB27" s="16"/>
      <c r="MSC27" s="16"/>
      <c r="MSD27" s="16"/>
      <c r="MSE27" s="16"/>
      <c r="MSF27" s="16"/>
      <c r="MSG27" s="16"/>
      <c r="MSH27" s="16"/>
      <c r="MSI27" s="16"/>
      <c r="MSJ27" s="16"/>
      <c r="MSK27" s="16"/>
      <c r="MSL27" s="16"/>
      <c r="MSM27" s="16"/>
      <c r="MSN27" s="16"/>
      <c r="MSO27" s="16"/>
      <c r="MSP27" s="16"/>
      <c r="MSQ27" s="16"/>
      <c r="MSR27" s="16"/>
      <c r="MSS27" s="16"/>
      <c r="MST27" s="16"/>
      <c r="MSU27" s="16"/>
      <c r="MSV27" s="16"/>
      <c r="MSW27" s="16"/>
      <c r="MSX27" s="16"/>
      <c r="MSY27" s="16"/>
      <c r="MSZ27" s="16"/>
      <c r="MTA27" s="16"/>
      <c r="MTB27" s="16"/>
      <c r="MTC27" s="16"/>
      <c r="MTD27" s="16"/>
      <c r="MTE27" s="16"/>
      <c r="MTF27" s="16"/>
      <c r="MTG27" s="16"/>
      <c r="MTH27" s="16"/>
      <c r="MTI27" s="16"/>
      <c r="MTJ27" s="16"/>
      <c r="MTK27" s="16"/>
      <c r="MTL27" s="16"/>
      <c r="MTM27" s="16"/>
      <c r="MTN27" s="16"/>
      <c r="MTO27" s="16"/>
      <c r="MTP27" s="16"/>
      <c r="MTQ27" s="16"/>
      <c r="MTR27" s="16"/>
      <c r="MTS27" s="16"/>
      <c r="MTT27" s="16"/>
      <c r="MTU27" s="16"/>
      <c r="MTV27" s="16"/>
      <c r="MTW27" s="16"/>
      <c r="MTX27" s="16"/>
      <c r="MTY27" s="16"/>
      <c r="MTZ27" s="16"/>
      <c r="MUA27" s="16"/>
      <c r="MUB27" s="16"/>
      <c r="MUC27" s="16"/>
      <c r="MUD27" s="16"/>
      <c r="MUE27" s="16"/>
      <c r="MUF27" s="16"/>
      <c r="MUG27" s="16"/>
      <c r="MUH27" s="16"/>
      <c r="MUI27" s="16"/>
      <c r="MUJ27" s="16"/>
      <c r="MUK27" s="16"/>
      <c r="MUL27" s="16"/>
      <c r="MUM27" s="16"/>
      <c r="MUN27" s="16"/>
      <c r="MUO27" s="16"/>
      <c r="MUP27" s="16"/>
      <c r="MUQ27" s="16"/>
      <c r="MUR27" s="16"/>
      <c r="MUS27" s="16"/>
      <c r="MUT27" s="16"/>
      <c r="MUU27" s="16"/>
      <c r="MUV27" s="16"/>
      <c r="MUW27" s="16"/>
      <c r="MUX27" s="16"/>
      <c r="MUY27" s="16"/>
      <c r="MUZ27" s="16"/>
      <c r="MVA27" s="16"/>
      <c r="MVB27" s="16"/>
      <c r="MVC27" s="16"/>
      <c r="MVD27" s="16"/>
      <c r="MVE27" s="16"/>
      <c r="MVF27" s="16"/>
      <c r="MVG27" s="16"/>
      <c r="MVH27" s="16"/>
      <c r="MVI27" s="16"/>
      <c r="MVJ27" s="16"/>
      <c r="MVK27" s="16"/>
      <c r="MVL27" s="16"/>
      <c r="MVM27" s="16"/>
      <c r="MVN27" s="16"/>
      <c r="MVO27" s="16"/>
      <c r="MVP27" s="16"/>
      <c r="MVQ27" s="16"/>
      <c r="MVR27" s="16"/>
      <c r="MVS27" s="16"/>
      <c r="MVT27" s="16"/>
      <c r="MVU27" s="16"/>
      <c r="MVV27" s="16"/>
      <c r="MVW27" s="16"/>
      <c r="MVX27" s="16"/>
      <c r="MVY27" s="16"/>
      <c r="MVZ27" s="16"/>
      <c r="MWA27" s="16"/>
      <c r="MWB27" s="16"/>
      <c r="MWC27" s="16"/>
      <c r="MWD27" s="16"/>
      <c r="MWE27" s="16"/>
      <c r="MWF27" s="16"/>
      <c r="MWG27" s="16"/>
      <c r="MWH27" s="16"/>
      <c r="MWI27" s="16"/>
      <c r="MWJ27" s="16"/>
      <c r="MWK27" s="16"/>
      <c r="MWL27" s="16"/>
      <c r="MWM27" s="16"/>
      <c r="MWN27" s="16"/>
      <c r="MWO27" s="16"/>
      <c r="MWP27" s="16"/>
      <c r="MWQ27" s="16"/>
      <c r="MWR27" s="16"/>
      <c r="MWS27" s="16"/>
      <c r="MWT27" s="16"/>
      <c r="MWU27" s="16"/>
      <c r="MWV27" s="16"/>
      <c r="MWW27" s="16"/>
      <c r="MWX27" s="16"/>
      <c r="MWY27" s="16"/>
      <c r="MWZ27" s="16"/>
      <c r="MXA27" s="16"/>
      <c r="MXB27" s="16"/>
      <c r="MXC27" s="16"/>
      <c r="MXD27" s="16"/>
      <c r="MXE27" s="16"/>
      <c r="MXF27" s="16"/>
      <c r="MXG27" s="16"/>
      <c r="MXH27" s="16"/>
      <c r="MXI27" s="16"/>
      <c r="MXJ27" s="16"/>
      <c r="MXK27" s="16"/>
      <c r="MXL27" s="16"/>
      <c r="MXM27" s="16"/>
      <c r="MXN27" s="16"/>
      <c r="MXO27" s="16"/>
      <c r="MXP27" s="16"/>
      <c r="MXQ27" s="16"/>
      <c r="MXR27" s="16"/>
      <c r="MXS27" s="16"/>
      <c r="MXT27" s="16"/>
      <c r="MXU27" s="16"/>
      <c r="MXV27" s="16"/>
      <c r="MXW27" s="16"/>
      <c r="MXX27" s="16"/>
      <c r="MXY27" s="16"/>
      <c r="MXZ27" s="16"/>
      <c r="MYA27" s="16"/>
      <c r="MYB27" s="16"/>
      <c r="MYC27" s="16"/>
      <c r="MYD27" s="16"/>
      <c r="MYE27" s="16"/>
      <c r="MYF27" s="16"/>
      <c r="MYG27" s="16"/>
      <c r="MYH27" s="16"/>
      <c r="MYI27" s="16"/>
      <c r="MYJ27" s="16"/>
      <c r="MYK27" s="16"/>
      <c r="MYL27" s="16"/>
      <c r="MYM27" s="16"/>
      <c r="MYN27" s="16"/>
      <c r="MYO27" s="16"/>
      <c r="MYP27" s="16"/>
      <c r="MYQ27" s="16"/>
      <c r="MYR27" s="16"/>
      <c r="MYS27" s="16"/>
      <c r="MYT27" s="16"/>
      <c r="MYU27" s="16"/>
      <c r="MYV27" s="16"/>
      <c r="MYW27" s="16"/>
      <c r="MYX27" s="16"/>
      <c r="MYY27" s="16"/>
      <c r="MYZ27" s="16"/>
      <c r="MZA27" s="16"/>
      <c r="MZB27" s="16"/>
      <c r="MZC27" s="16"/>
      <c r="MZD27" s="16"/>
      <c r="MZE27" s="16"/>
      <c r="MZF27" s="16"/>
      <c r="MZG27" s="16"/>
      <c r="MZH27" s="16"/>
      <c r="MZI27" s="16"/>
      <c r="MZJ27" s="16"/>
      <c r="MZK27" s="16"/>
      <c r="MZL27" s="16"/>
      <c r="MZM27" s="16"/>
      <c r="MZN27" s="16"/>
      <c r="MZO27" s="16"/>
      <c r="MZP27" s="16"/>
      <c r="MZQ27" s="16"/>
      <c r="MZR27" s="16"/>
      <c r="MZS27" s="16"/>
      <c r="MZT27" s="16"/>
      <c r="MZU27" s="16"/>
      <c r="MZV27" s="16"/>
      <c r="MZW27" s="16"/>
      <c r="MZX27" s="16"/>
      <c r="MZY27" s="16"/>
      <c r="MZZ27" s="16"/>
      <c r="NAA27" s="16"/>
      <c r="NAB27" s="16"/>
      <c r="NAC27" s="16"/>
      <c r="NAD27" s="16"/>
      <c r="NAE27" s="16"/>
      <c r="NAF27" s="16"/>
      <c r="NAG27" s="16"/>
      <c r="NAH27" s="16"/>
      <c r="NAI27" s="16"/>
      <c r="NAJ27" s="16"/>
      <c r="NAK27" s="16"/>
      <c r="NAL27" s="16"/>
      <c r="NAM27" s="16"/>
      <c r="NAN27" s="16"/>
      <c r="NAO27" s="16"/>
      <c r="NAP27" s="16"/>
      <c r="NAQ27" s="16"/>
      <c r="NAR27" s="16"/>
      <c r="NAS27" s="16"/>
      <c r="NAT27" s="16"/>
      <c r="NAU27" s="16"/>
      <c r="NAV27" s="16"/>
      <c r="NAW27" s="16"/>
      <c r="NAX27" s="16"/>
      <c r="NAY27" s="16"/>
      <c r="NAZ27" s="16"/>
      <c r="NBA27" s="16"/>
      <c r="NBB27" s="16"/>
      <c r="NBC27" s="16"/>
      <c r="NBD27" s="16"/>
      <c r="NBE27" s="16"/>
      <c r="NBF27" s="16"/>
      <c r="NBG27" s="16"/>
      <c r="NBH27" s="16"/>
      <c r="NBI27" s="16"/>
      <c r="NBJ27" s="16"/>
      <c r="NBK27" s="16"/>
      <c r="NBL27" s="16"/>
      <c r="NBM27" s="16"/>
      <c r="NBN27" s="16"/>
      <c r="NBO27" s="16"/>
      <c r="NBP27" s="16"/>
      <c r="NBQ27" s="16"/>
      <c r="NBR27" s="16"/>
      <c r="NBS27" s="16"/>
      <c r="NBT27" s="16"/>
      <c r="NBU27" s="16"/>
      <c r="NBV27" s="16"/>
      <c r="NBW27" s="16"/>
      <c r="NBX27" s="16"/>
      <c r="NBY27" s="16"/>
      <c r="NBZ27" s="16"/>
      <c r="NCA27" s="16"/>
      <c r="NCB27" s="16"/>
      <c r="NCC27" s="16"/>
      <c r="NCD27" s="16"/>
      <c r="NCE27" s="16"/>
      <c r="NCF27" s="16"/>
      <c r="NCG27" s="16"/>
      <c r="NCH27" s="16"/>
      <c r="NCI27" s="16"/>
      <c r="NCJ27" s="16"/>
      <c r="NCK27" s="16"/>
      <c r="NCL27" s="16"/>
      <c r="NCM27" s="16"/>
      <c r="NCN27" s="16"/>
      <c r="NCO27" s="16"/>
      <c r="NCP27" s="16"/>
      <c r="NCQ27" s="16"/>
      <c r="NCR27" s="16"/>
      <c r="NCS27" s="16"/>
      <c r="NCT27" s="16"/>
      <c r="NCU27" s="16"/>
      <c r="NCV27" s="16"/>
      <c r="NCW27" s="16"/>
      <c r="NCX27" s="16"/>
      <c r="NCY27" s="16"/>
      <c r="NCZ27" s="16"/>
      <c r="NDA27" s="16"/>
      <c r="NDB27" s="16"/>
      <c r="NDC27" s="16"/>
      <c r="NDD27" s="16"/>
      <c r="NDE27" s="16"/>
      <c r="NDF27" s="16"/>
      <c r="NDG27" s="16"/>
      <c r="NDH27" s="16"/>
      <c r="NDI27" s="16"/>
      <c r="NDJ27" s="16"/>
      <c r="NDK27" s="16"/>
      <c r="NDL27" s="16"/>
      <c r="NDM27" s="16"/>
      <c r="NDN27" s="16"/>
      <c r="NDO27" s="16"/>
      <c r="NDP27" s="16"/>
      <c r="NDQ27" s="16"/>
      <c r="NDR27" s="16"/>
      <c r="NDS27" s="16"/>
      <c r="NDT27" s="16"/>
      <c r="NDU27" s="16"/>
      <c r="NDV27" s="16"/>
      <c r="NDW27" s="16"/>
      <c r="NDX27" s="16"/>
      <c r="NDY27" s="16"/>
      <c r="NDZ27" s="16"/>
      <c r="NEA27" s="16"/>
      <c r="NEB27" s="16"/>
      <c r="NEC27" s="16"/>
      <c r="NED27" s="16"/>
      <c r="NEE27" s="16"/>
      <c r="NEF27" s="16"/>
      <c r="NEG27" s="16"/>
      <c r="NEH27" s="16"/>
      <c r="NEI27" s="16"/>
      <c r="NEJ27" s="16"/>
      <c r="NEK27" s="16"/>
      <c r="NEL27" s="16"/>
      <c r="NEM27" s="16"/>
      <c r="NEN27" s="16"/>
      <c r="NEO27" s="16"/>
      <c r="NEP27" s="16"/>
      <c r="NEQ27" s="16"/>
      <c r="NER27" s="16"/>
      <c r="NES27" s="16"/>
      <c r="NET27" s="16"/>
      <c r="NEU27" s="16"/>
      <c r="NEV27" s="16"/>
      <c r="NEW27" s="16"/>
      <c r="NEX27" s="16"/>
      <c r="NEY27" s="16"/>
      <c r="NEZ27" s="16"/>
      <c r="NFA27" s="16"/>
      <c r="NFB27" s="16"/>
      <c r="NFC27" s="16"/>
      <c r="NFD27" s="16"/>
      <c r="NFE27" s="16"/>
      <c r="NFF27" s="16"/>
      <c r="NFG27" s="16"/>
      <c r="NFH27" s="16"/>
      <c r="NFI27" s="16"/>
      <c r="NFJ27" s="16"/>
      <c r="NFK27" s="16"/>
      <c r="NFL27" s="16"/>
      <c r="NFM27" s="16"/>
      <c r="NFN27" s="16"/>
      <c r="NFO27" s="16"/>
      <c r="NFP27" s="16"/>
      <c r="NFQ27" s="16"/>
      <c r="NFR27" s="16"/>
      <c r="NFS27" s="16"/>
      <c r="NFT27" s="16"/>
      <c r="NFU27" s="16"/>
      <c r="NFV27" s="16"/>
      <c r="NFW27" s="16"/>
      <c r="NFX27" s="16"/>
      <c r="NFY27" s="16"/>
      <c r="NFZ27" s="16"/>
      <c r="NGA27" s="16"/>
      <c r="NGB27" s="16"/>
      <c r="NGC27" s="16"/>
      <c r="NGD27" s="16"/>
      <c r="NGE27" s="16"/>
      <c r="NGF27" s="16"/>
      <c r="NGG27" s="16"/>
      <c r="NGH27" s="16"/>
      <c r="NGI27" s="16"/>
      <c r="NGJ27" s="16"/>
      <c r="NGK27" s="16"/>
      <c r="NGL27" s="16"/>
      <c r="NGM27" s="16"/>
      <c r="NGN27" s="16"/>
      <c r="NGO27" s="16"/>
      <c r="NGP27" s="16"/>
      <c r="NGQ27" s="16"/>
      <c r="NGR27" s="16"/>
      <c r="NGS27" s="16"/>
      <c r="NGT27" s="16"/>
      <c r="NGU27" s="16"/>
      <c r="NGV27" s="16"/>
      <c r="NGW27" s="16"/>
      <c r="NGX27" s="16"/>
      <c r="NGY27" s="16"/>
      <c r="NGZ27" s="16"/>
      <c r="NHA27" s="16"/>
      <c r="NHB27" s="16"/>
      <c r="NHC27" s="16"/>
      <c r="NHD27" s="16"/>
      <c r="NHE27" s="16"/>
      <c r="NHF27" s="16"/>
      <c r="NHG27" s="16"/>
      <c r="NHH27" s="16"/>
      <c r="NHI27" s="16"/>
      <c r="NHJ27" s="16"/>
      <c r="NHK27" s="16"/>
      <c r="NHL27" s="16"/>
      <c r="NHM27" s="16"/>
      <c r="NHN27" s="16"/>
      <c r="NHO27" s="16"/>
      <c r="NHP27" s="16"/>
      <c r="NHQ27" s="16"/>
      <c r="NHR27" s="16"/>
      <c r="NHS27" s="16"/>
      <c r="NHT27" s="16"/>
      <c r="NHU27" s="16"/>
      <c r="NHV27" s="16"/>
      <c r="NHW27" s="16"/>
      <c r="NHX27" s="16"/>
      <c r="NHY27" s="16"/>
      <c r="NHZ27" s="16"/>
      <c r="NIA27" s="16"/>
      <c r="NIB27" s="16"/>
      <c r="NIC27" s="16"/>
      <c r="NID27" s="16"/>
      <c r="NIE27" s="16"/>
      <c r="NIF27" s="16"/>
      <c r="NIG27" s="16"/>
      <c r="NIH27" s="16"/>
      <c r="NII27" s="16"/>
      <c r="NIJ27" s="16"/>
      <c r="NIK27" s="16"/>
      <c r="NIL27" s="16"/>
      <c r="NIM27" s="16"/>
      <c r="NIN27" s="16"/>
      <c r="NIO27" s="16"/>
      <c r="NIP27" s="16"/>
      <c r="NIQ27" s="16"/>
      <c r="NIR27" s="16"/>
      <c r="NIS27" s="16"/>
      <c r="NIT27" s="16"/>
      <c r="NIU27" s="16"/>
      <c r="NIV27" s="16"/>
      <c r="NIW27" s="16"/>
      <c r="NIX27" s="16"/>
      <c r="NIY27" s="16"/>
      <c r="NIZ27" s="16"/>
      <c r="NJA27" s="16"/>
      <c r="NJB27" s="16"/>
      <c r="NJC27" s="16"/>
      <c r="NJD27" s="16"/>
      <c r="NJE27" s="16"/>
      <c r="NJF27" s="16"/>
      <c r="NJG27" s="16"/>
      <c r="NJH27" s="16"/>
      <c r="NJI27" s="16"/>
      <c r="NJJ27" s="16"/>
      <c r="NJK27" s="16"/>
      <c r="NJL27" s="16"/>
      <c r="NJM27" s="16"/>
      <c r="NJN27" s="16"/>
      <c r="NJO27" s="16"/>
      <c r="NJP27" s="16"/>
      <c r="NJQ27" s="16"/>
      <c r="NJR27" s="16"/>
      <c r="NJS27" s="16"/>
      <c r="NJT27" s="16"/>
      <c r="NJU27" s="16"/>
      <c r="NJV27" s="16"/>
      <c r="NJW27" s="16"/>
      <c r="NJX27" s="16"/>
      <c r="NJY27" s="16"/>
      <c r="NJZ27" s="16"/>
      <c r="NKA27" s="16"/>
      <c r="NKB27" s="16"/>
      <c r="NKC27" s="16"/>
      <c r="NKD27" s="16"/>
      <c r="NKE27" s="16"/>
      <c r="NKF27" s="16"/>
      <c r="NKG27" s="16"/>
      <c r="NKH27" s="16"/>
      <c r="NKI27" s="16"/>
      <c r="NKJ27" s="16"/>
      <c r="NKK27" s="16"/>
      <c r="NKL27" s="16"/>
      <c r="NKM27" s="16"/>
      <c r="NKN27" s="16"/>
      <c r="NKO27" s="16"/>
      <c r="NKP27" s="16"/>
      <c r="NKQ27" s="16"/>
      <c r="NKR27" s="16"/>
      <c r="NKS27" s="16"/>
      <c r="NKT27" s="16"/>
      <c r="NKU27" s="16"/>
      <c r="NKV27" s="16"/>
      <c r="NKW27" s="16"/>
      <c r="NKX27" s="16"/>
      <c r="NKY27" s="16"/>
      <c r="NKZ27" s="16"/>
      <c r="NLA27" s="16"/>
      <c r="NLB27" s="16"/>
      <c r="NLC27" s="16"/>
      <c r="NLD27" s="16"/>
      <c r="NLE27" s="16"/>
      <c r="NLF27" s="16"/>
      <c r="NLG27" s="16"/>
      <c r="NLH27" s="16"/>
      <c r="NLI27" s="16"/>
      <c r="NLJ27" s="16"/>
      <c r="NLK27" s="16"/>
      <c r="NLL27" s="16"/>
      <c r="NLM27" s="16"/>
      <c r="NLN27" s="16"/>
      <c r="NLO27" s="16"/>
      <c r="NLP27" s="16"/>
      <c r="NLQ27" s="16"/>
      <c r="NLR27" s="16"/>
      <c r="NLS27" s="16"/>
      <c r="NLT27" s="16"/>
      <c r="NLU27" s="16"/>
      <c r="NLV27" s="16"/>
      <c r="NLW27" s="16"/>
      <c r="NLX27" s="16"/>
      <c r="NLY27" s="16"/>
      <c r="NLZ27" s="16"/>
      <c r="NMA27" s="16"/>
      <c r="NMB27" s="16"/>
      <c r="NMC27" s="16"/>
      <c r="NMD27" s="16"/>
      <c r="NME27" s="16"/>
      <c r="NMF27" s="16"/>
      <c r="NMG27" s="16"/>
      <c r="NMH27" s="16"/>
      <c r="NMI27" s="16"/>
      <c r="NMJ27" s="16"/>
      <c r="NMK27" s="16"/>
      <c r="NML27" s="16"/>
      <c r="NMM27" s="16"/>
      <c r="NMN27" s="16"/>
      <c r="NMO27" s="16"/>
      <c r="NMP27" s="16"/>
      <c r="NMQ27" s="16"/>
      <c r="NMR27" s="16"/>
      <c r="NMS27" s="16"/>
      <c r="NMT27" s="16"/>
      <c r="NMU27" s="16"/>
      <c r="NMV27" s="16"/>
      <c r="NMW27" s="16"/>
      <c r="NMX27" s="16"/>
      <c r="NMY27" s="16"/>
      <c r="NMZ27" s="16"/>
      <c r="NNA27" s="16"/>
      <c r="NNB27" s="16"/>
      <c r="NNC27" s="16"/>
      <c r="NND27" s="16"/>
      <c r="NNE27" s="16"/>
      <c r="NNF27" s="16"/>
      <c r="NNG27" s="16"/>
      <c r="NNH27" s="16"/>
      <c r="NNI27" s="16"/>
      <c r="NNJ27" s="16"/>
      <c r="NNK27" s="16"/>
      <c r="NNL27" s="16"/>
      <c r="NNM27" s="16"/>
      <c r="NNN27" s="16"/>
      <c r="NNO27" s="16"/>
      <c r="NNP27" s="16"/>
      <c r="NNQ27" s="16"/>
      <c r="NNR27" s="16"/>
      <c r="NNS27" s="16"/>
      <c r="NNT27" s="16"/>
      <c r="NNU27" s="16"/>
      <c r="NNV27" s="16"/>
      <c r="NNW27" s="16"/>
      <c r="NNX27" s="16"/>
      <c r="NNY27" s="16"/>
      <c r="NNZ27" s="16"/>
      <c r="NOA27" s="16"/>
      <c r="NOB27" s="16"/>
      <c r="NOC27" s="16"/>
      <c r="NOD27" s="16"/>
      <c r="NOE27" s="16"/>
      <c r="NOF27" s="16"/>
      <c r="NOG27" s="16"/>
      <c r="NOH27" s="16"/>
      <c r="NOI27" s="16"/>
      <c r="NOJ27" s="16"/>
      <c r="NOK27" s="16"/>
      <c r="NOL27" s="16"/>
      <c r="NOM27" s="16"/>
      <c r="NON27" s="16"/>
      <c r="NOO27" s="16"/>
      <c r="NOP27" s="16"/>
      <c r="NOQ27" s="16"/>
      <c r="NOR27" s="16"/>
      <c r="NOS27" s="16"/>
      <c r="NOT27" s="16"/>
      <c r="NOU27" s="16"/>
      <c r="NOV27" s="16"/>
      <c r="NOW27" s="16"/>
      <c r="NOX27" s="16"/>
      <c r="NOY27" s="16"/>
      <c r="NOZ27" s="16"/>
      <c r="NPA27" s="16"/>
      <c r="NPB27" s="16"/>
      <c r="NPC27" s="16"/>
      <c r="NPD27" s="16"/>
      <c r="NPE27" s="16"/>
      <c r="NPF27" s="16"/>
      <c r="NPG27" s="16"/>
      <c r="NPH27" s="16"/>
      <c r="NPI27" s="16"/>
      <c r="NPJ27" s="16"/>
      <c r="NPK27" s="16"/>
      <c r="NPL27" s="16"/>
      <c r="NPM27" s="16"/>
      <c r="NPN27" s="16"/>
      <c r="NPO27" s="16"/>
      <c r="NPP27" s="16"/>
      <c r="NPQ27" s="16"/>
      <c r="NPR27" s="16"/>
      <c r="NPS27" s="16"/>
      <c r="NPT27" s="16"/>
      <c r="NPU27" s="16"/>
      <c r="NPV27" s="16"/>
      <c r="NPW27" s="16"/>
      <c r="NPX27" s="16"/>
      <c r="NPY27" s="16"/>
      <c r="NPZ27" s="16"/>
      <c r="NQA27" s="16"/>
      <c r="NQB27" s="16"/>
      <c r="NQC27" s="16"/>
      <c r="NQD27" s="16"/>
      <c r="NQE27" s="16"/>
      <c r="NQF27" s="16"/>
      <c r="NQG27" s="16"/>
      <c r="NQH27" s="16"/>
      <c r="NQI27" s="16"/>
      <c r="NQJ27" s="16"/>
      <c r="NQK27" s="16"/>
      <c r="NQL27" s="16"/>
      <c r="NQM27" s="16"/>
      <c r="NQN27" s="16"/>
      <c r="NQO27" s="16"/>
      <c r="NQP27" s="16"/>
      <c r="NQQ27" s="16"/>
      <c r="NQR27" s="16"/>
      <c r="NQS27" s="16"/>
      <c r="NQT27" s="16"/>
      <c r="NQU27" s="16"/>
      <c r="NQV27" s="16"/>
      <c r="NQW27" s="16"/>
      <c r="NQX27" s="16"/>
      <c r="NQY27" s="16"/>
      <c r="NQZ27" s="16"/>
      <c r="NRA27" s="16"/>
      <c r="NRB27" s="16"/>
      <c r="NRC27" s="16"/>
      <c r="NRD27" s="16"/>
      <c r="NRE27" s="16"/>
      <c r="NRF27" s="16"/>
      <c r="NRG27" s="16"/>
      <c r="NRH27" s="16"/>
      <c r="NRI27" s="16"/>
      <c r="NRJ27" s="16"/>
      <c r="NRK27" s="16"/>
      <c r="NRL27" s="16"/>
      <c r="NRM27" s="16"/>
      <c r="NRN27" s="16"/>
      <c r="NRO27" s="16"/>
      <c r="NRP27" s="16"/>
      <c r="NRQ27" s="16"/>
      <c r="NRR27" s="16"/>
      <c r="NRS27" s="16"/>
      <c r="NRT27" s="16"/>
      <c r="NRU27" s="16"/>
      <c r="NRV27" s="16"/>
      <c r="NRW27" s="16"/>
      <c r="NRX27" s="16"/>
      <c r="NRY27" s="16"/>
      <c r="NRZ27" s="16"/>
      <c r="NSA27" s="16"/>
      <c r="NSB27" s="16"/>
      <c r="NSC27" s="16"/>
      <c r="NSD27" s="16"/>
      <c r="NSE27" s="16"/>
      <c r="NSF27" s="16"/>
      <c r="NSG27" s="16"/>
      <c r="NSH27" s="16"/>
      <c r="NSI27" s="16"/>
      <c r="NSJ27" s="16"/>
      <c r="NSK27" s="16"/>
      <c r="NSL27" s="16"/>
      <c r="NSM27" s="16"/>
      <c r="NSN27" s="16"/>
      <c r="NSO27" s="16"/>
      <c r="NSP27" s="16"/>
      <c r="NSQ27" s="16"/>
      <c r="NSR27" s="16"/>
      <c r="NSS27" s="16"/>
      <c r="NST27" s="16"/>
      <c r="NSU27" s="16"/>
      <c r="NSV27" s="16"/>
      <c r="NSW27" s="16"/>
      <c r="NSX27" s="16"/>
      <c r="NSY27" s="16"/>
      <c r="NSZ27" s="16"/>
      <c r="NTA27" s="16"/>
      <c r="NTB27" s="16"/>
      <c r="NTC27" s="16"/>
      <c r="NTD27" s="16"/>
      <c r="NTE27" s="16"/>
      <c r="NTF27" s="16"/>
      <c r="NTG27" s="16"/>
      <c r="NTH27" s="16"/>
      <c r="NTI27" s="16"/>
      <c r="NTJ27" s="16"/>
      <c r="NTK27" s="16"/>
      <c r="NTL27" s="16"/>
      <c r="NTM27" s="16"/>
      <c r="NTN27" s="16"/>
      <c r="NTO27" s="16"/>
      <c r="NTP27" s="16"/>
      <c r="NTQ27" s="16"/>
      <c r="NTR27" s="16"/>
      <c r="NTS27" s="16"/>
      <c r="NTT27" s="16"/>
      <c r="NTU27" s="16"/>
      <c r="NTV27" s="16"/>
      <c r="NTW27" s="16"/>
      <c r="NTX27" s="16"/>
      <c r="NTY27" s="16"/>
      <c r="NTZ27" s="16"/>
      <c r="NUA27" s="16"/>
      <c r="NUB27" s="16"/>
      <c r="NUC27" s="16"/>
      <c r="NUD27" s="16"/>
      <c r="NUE27" s="16"/>
      <c r="NUF27" s="16"/>
      <c r="NUG27" s="16"/>
      <c r="NUH27" s="16"/>
      <c r="NUI27" s="16"/>
      <c r="NUJ27" s="16"/>
      <c r="NUK27" s="16"/>
      <c r="NUL27" s="16"/>
      <c r="NUM27" s="16"/>
      <c r="NUN27" s="16"/>
      <c r="NUO27" s="16"/>
      <c r="NUP27" s="16"/>
      <c r="NUQ27" s="16"/>
      <c r="NUR27" s="16"/>
      <c r="NUS27" s="16"/>
      <c r="NUT27" s="16"/>
      <c r="NUU27" s="16"/>
      <c r="NUV27" s="16"/>
      <c r="NUW27" s="16"/>
      <c r="NUX27" s="16"/>
      <c r="NUY27" s="16"/>
      <c r="NUZ27" s="16"/>
      <c r="NVA27" s="16"/>
      <c r="NVB27" s="16"/>
      <c r="NVC27" s="16"/>
      <c r="NVD27" s="16"/>
      <c r="NVE27" s="16"/>
      <c r="NVF27" s="16"/>
      <c r="NVG27" s="16"/>
      <c r="NVH27" s="16"/>
      <c r="NVI27" s="16"/>
      <c r="NVJ27" s="16"/>
      <c r="NVK27" s="16"/>
      <c r="NVL27" s="16"/>
      <c r="NVM27" s="16"/>
      <c r="NVN27" s="16"/>
      <c r="NVO27" s="16"/>
      <c r="NVP27" s="16"/>
      <c r="NVQ27" s="16"/>
      <c r="NVR27" s="16"/>
      <c r="NVS27" s="16"/>
      <c r="NVT27" s="16"/>
      <c r="NVU27" s="16"/>
      <c r="NVV27" s="16"/>
      <c r="NVW27" s="16"/>
      <c r="NVX27" s="16"/>
      <c r="NVY27" s="16"/>
      <c r="NVZ27" s="16"/>
      <c r="NWA27" s="16"/>
      <c r="NWB27" s="16"/>
      <c r="NWC27" s="16"/>
      <c r="NWD27" s="16"/>
      <c r="NWE27" s="16"/>
      <c r="NWF27" s="16"/>
      <c r="NWG27" s="16"/>
      <c r="NWH27" s="16"/>
      <c r="NWI27" s="16"/>
      <c r="NWJ27" s="16"/>
      <c r="NWK27" s="16"/>
      <c r="NWL27" s="16"/>
      <c r="NWM27" s="16"/>
      <c r="NWN27" s="16"/>
      <c r="NWO27" s="16"/>
      <c r="NWP27" s="16"/>
      <c r="NWQ27" s="16"/>
      <c r="NWR27" s="16"/>
      <c r="NWS27" s="16"/>
      <c r="NWT27" s="16"/>
      <c r="NWU27" s="16"/>
      <c r="NWV27" s="16"/>
      <c r="NWW27" s="16"/>
      <c r="NWX27" s="16"/>
      <c r="NWY27" s="16"/>
      <c r="NWZ27" s="16"/>
      <c r="NXA27" s="16"/>
      <c r="NXB27" s="16"/>
      <c r="NXC27" s="16"/>
      <c r="NXD27" s="16"/>
      <c r="NXE27" s="16"/>
      <c r="NXF27" s="16"/>
      <c r="NXG27" s="16"/>
      <c r="NXH27" s="16"/>
      <c r="NXI27" s="16"/>
      <c r="NXJ27" s="16"/>
      <c r="NXK27" s="16"/>
      <c r="NXL27" s="16"/>
      <c r="NXM27" s="16"/>
      <c r="NXN27" s="16"/>
      <c r="NXO27" s="16"/>
      <c r="NXP27" s="16"/>
      <c r="NXQ27" s="16"/>
      <c r="NXR27" s="16"/>
      <c r="NXS27" s="16"/>
      <c r="NXT27" s="16"/>
      <c r="NXU27" s="16"/>
      <c r="NXV27" s="16"/>
      <c r="NXW27" s="16"/>
      <c r="NXX27" s="16"/>
      <c r="NXY27" s="16"/>
      <c r="NXZ27" s="16"/>
      <c r="NYA27" s="16"/>
      <c r="NYB27" s="16"/>
      <c r="NYC27" s="16"/>
      <c r="NYD27" s="16"/>
      <c r="NYE27" s="16"/>
      <c r="NYF27" s="16"/>
      <c r="NYG27" s="16"/>
      <c r="NYH27" s="16"/>
      <c r="NYI27" s="16"/>
      <c r="NYJ27" s="16"/>
      <c r="NYK27" s="16"/>
      <c r="NYL27" s="16"/>
      <c r="NYM27" s="16"/>
      <c r="NYN27" s="16"/>
      <c r="NYO27" s="16"/>
      <c r="NYP27" s="16"/>
      <c r="NYQ27" s="16"/>
      <c r="NYR27" s="16"/>
      <c r="NYS27" s="16"/>
      <c r="NYT27" s="16"/>
      <c r="NYU27" s="16"/>
      <c r="NYV27" s="16"/>
      <c r="NYW27" s="16"/>
      <c r="NYX27" s="16"/>
      <c r="NYY27" s="16"/>
      <c r="NYZ27" s="16"/>
      <c r="NZA27" s="16"/>
      <c r="NZB27" s="16"/>
      <c r="NZC27" s="16"/>
      <c r="NZD27" s="16"/>
      <c r="NZE27" s="16"/>
      <c r="NZF27" s="16"/>
      <c r="NZG27" s="16"/>
      <c r="NZH27" s="16"/>
      <c r="NZI27" s="16"/>
      <c r="NZJ27" s="16"/>
      <c r="NZK27" s="16"/>
      <c r="NZL27" s="16"/>
      <c r="NZM27" s="16"/>
      <c r="NZN27" s="16"/>
      <c r="NZO27" s="16"/>
      <c r="NZP27" s="16"/>
      <c r="NZQ27" s="16"/>
      <c r="NZR27" s="16"/>
      <c r="NZS27" s="16"/>
      <c r="NZT27" s="16"/>
      <c r="NZU27" s="16"/>
      <c r="NZV27" s="16"/>
      <c r="NZW27" s="16"/>
      <c r="NZX27" s="16"/>
      <c r="NZY27" s="16"/>
      <c r="NZZ27" s="16"/>
      <c r="OAA27" s="16"/>
      <c r="OAB27" s="16"/>
      <c r="OAC27" s="16"/>
      <c r="OAD27" s="16"/>
      <c r="OAE27" s="16"/>
      <c r="OAF27" s="16"/>
      <c r="OAG27" s="16"/>
      <c r="OAH27" s="16"/>
      <c r="OAI27" s="16"/>
      <c r="OAJ27" s="16"/>
      <c r="OAK27" s="16"/>
      <c r="OAL27" s="16"/>
      <c r="OAM27" s="16"/>
      <c r="OAN27" s="16"/>
      <c r="OAO27" s="16"/>
      <c r="OAP27" s="16"/>
      <c r="OAQ27" s="16"/>
      <c r="OAR27" s="16"/>
      <c r="OAS27" s="16"/>
      <c r="OAT27" s="16"/>
      <c r="OAU27" s="16"/>
      <c r="OAV27" s="16"/>
      <c r="OAW27" s="16"/>
      <c r="OAX27" s="16"/>
      <c r="OAY27" s="16"/>
      <c r="OAZ27" s="16"/>
      <c r="OBA27" s="16"/>
      <c r="OBB27" s="16"/>
      <c r="OBC27" s="16"/>
      <c r="OBD27" s="16"/>
      <c r="OBE27" s="16"/>
      <c r="OBF27" s="16"/>
      <c r="OBG27" s="16"/>
      <c r="OBH27" s="16"/>
      <c r="OBI27" s="16"/>
      <c r="OBJ27" s="16"/>
      <c r="OBK27" s="16"/>
      <c r="OBL27" s="16"/>
      <c r="OBM27" s="16"/>
      <c r="OBN27" s="16"/>
      <c r="OBO27" s="16"/>
      <c r="OBP27" s="16"/>
      <c r="OBQ27" s="16"/>
      <c r="OBR27" s="16"/>
      <c r="OBS27" s="16"/>
      <c r="OBT27" s="16"/>
      <c r="OBU27" s="16"/>
      <c r="OBV27" s="16"/>
      <c r="OBW27" s="16"/>
      <c r="OBX27" s="16"/>
      <c r="OBY27" s="16"/>
      <c r="OBZ27" s="16"/>
      <c r="OCA27" s="16"/>
      <c r="OCB27" s="16"/>
      <c r="OCC27" s="16"/>
      <c r="OCD27" s="16"/>
      <c r="OCE27" s="16"/>
      <c r="OCF27" s="16"/>
      <c r="OCG27" s="16"/>
      <c r="OCH27" s="16"/>
      <c r="OCI27" s="16"/>
      <c r="OCJ27" s="16"/>
      <c r="OCK27" s="16"/>
      <c r="OCL27" s="16"/>
      <c r="OCM27" s="16"/>
      <c r="OCN27" s="16"/>
      <c r="OCO27" s="16"/>
      <c r="OCP27" s="16"/>
      <c r="OCQ27" s="16"/>
      <c r="OCR27" s="16"/>
      <c r="OCS27" s="16"/>
      <c r="OCT27" s="16"/>
      <c r="OCU27" s="16"/>
      <c r="OCV27" s="16"/>
      <c r="OCW27" s="16"/>
      <c r="OCX27" s="16"/>
      <c r="OCY27" s="16"/>
      <c r="OCZ27" s="16"/>
      <c r="ODA27" s="16"/>
      <c r="ODB27" s="16"/>
      <c r="ODC27" s="16"/>
      <c r="ODD27" s="16"/>
      <c r="ODE27" s="16"/>
      <c r="ODF27" s="16"/>
      <c r="ODG27" s="16"/>
      <c r="ODH27" s="16"/>
      <c r="ODI27" s="16"/>
      <c r="ODJ27" s="16"/>
      <c r="ODK27" s="16"/>
      <c r="ODL27" s="16"/>
      <c r="ODM27" s="16"/>
      <c r="ODN27" s="16"/>
      <c r="ODO27" s="16"/>
      <c r="ODP27" s="16"/>
      <c r="ODQ27" s="16"/>
      <c r="ODR27" s="16"/>
      <c r="ODS27" s="16"/>
      <c r="ODT27" s="16"/>
      <c r="ODU27" s="16"/>
      <c r="ODV27" s="16"/>
      <c r="ODW27" s="16"/>
      <c r="ODX27" s="16"/>
      <c r="ODY27" s="16"/>
      <c r="ODZ27" s="16"/>
      <c r="OEA27" s="16"/>
      <c r="OEB27" s="16"/>
      <c r="OEC27" s="16"/>
      <c r="OED27" s="16"/>
      <c r="OEE27" s="16"/>
      <c r="OEF27" s="16"/>
      <c r="OEG27" s="16"/>
      <c r="OEH27" s="16"/>
      <c r="OEI27" s="16"/>
      <c r="OEJ27" s="16"/>
      <c r="OEK27" s="16"/>
      <c r="OEL27" s="16"/>
      <c r="OEM27" s="16"/>
      <c r="OEN27" s="16"/>
      <c r="OEO27" s="16"/>
      <c r="OEP27" s="16"/>
      <c r="OEQ27" s="16"/>
      <c r="OER27" s="16"/>
      <c r="OES27" s="16"/>
      <c r="OET27" s="16"/>
      <c r="OEU27" s="16"/>
      <c r="OEV27" s="16"/>
      <c r="OEW27" s="16"/>
      <c r="OEX27" s="16"/>
      <c r="OEY27" s="16"/>
      <c r="OEZ27" s="16"/>
      <c r="OFA27" s="16"/>
      <c r="OFB27" s="16"/>
      <c r="OFC27" s="16"/>
      <c r="OFD27" s="16"/>
      <c r="OFE27" s="16"/>
      <c r="OFF27" s="16"/>
      <c r="OFG27" s="16"/>
      <c r="OFH27" s="16"/>
      <c r="OFI27" s="16"/>
      <c r="OFJ27" s="16"/>
      <c r="OFK27" s="16"/>
      <c r="OFL27" s="16"/>
      <c r="OFM27" s="16"/>
      <c r="OFN27" s="16"/>
      <c r="OFO27" s="16"/>
      <c r="OFP27" s="16"/>
      <c r="OFQ27" s="16"/>
      <c r="OFR27" s="16"/>
      <c r="OFS27" s="16"/>
      <c r="OFT27" s="16"/>
      <c r="OFU27" s="16"/>
      <c r="OFV27" s="16"/>
      <c r="OFW27" s="16"/>
      <c r="OFX27" s="16"/>
      <c r="OFY27" s="16"/>
      <c r="OFZ27" s="16"/>
      <c r="OGA27" s="16"/>
      <c r="OGB27" s="16"/>
      <c r="OGC27" s="16"/>
      <c r="OGD27" s="16"/>
      <c r="OGE27" s="16"/>
      <c r="OGF27" s="16"/>
      <c r="OGG27" s="16"/>
      <c r="OGH27" s="16"/>
      <c r="OGI27" s="16"/>
      <c r="OGJ27" s="16"/>
      <c r="OGK27" s="16"/>
      <c r="OGL27" s="16"/>
      <c r="OGM27" s="16"/>
      <c r="OGN27" s="16"/>
      <c r="OGO27" s="16"/>
      <c r="OGP27" s="16"/>
      <c r="OGQ27" s="16"/>
      <c r="OGR27" s="16"/>
      <c r="OGS27" s="16"/>
      <c r="OGT27" s="16"/>
      <c r="OGU27" s="16"/>
      <c r="OGV27" s="16"/>
      <c r="OGW27" s="16"/>
      <c r="OGX27" s="16"/>
      <c r="OGY27" s="16"/>
      <c r="OGZ27" s="16"/>
      <c r="OHA27" s="16"/>
      <c r="OHB27" s="16"/>
      <c r="OHC27" s="16"/>
      <c r="OHD27" s="16"/>
      <c r="OHE27" s="16"/>
      <c r="OHF27" s="16"/>
      <c r="OHG27" s="16"/>
      <c r="OHH27" s="16"/>
      <c r="OHI27" s="16"/>
      <c r="OHJ27" s="16"/>
      <c r="OHK27" s="16"/>
      <c r="OHL27" s="16"/>
      <c r="OHM27" s="16"/>
      <c r="OHN27" s="16"/>
      <c r="OHO27" s="16"/>
      <c r="OHP27" s="16"/>
      <c r="OHQ27" s="16"/>
      <c r="OHR27" s="16"/>
      <c r="OHS27" s="16"/>
      <c r="OHT27" s="16"/>
      <c r="OHU27" s="16"/>
      <c r="OHV27" s="16"/>
      <c r="OHW27" s="16"/>
      <c r="OHX27" s="16"/>
      <c r="OHY27" s="16"/>
      <c r="OHZ27" s="16"/>
      <c r="OIA27" s="16"/>
      <c r="OIB27" s="16"/>
      <c r="OIC27" s="16"/>
      <c r="OID27" s="16"/>
      <c r="OIE27" s="16"/>
      <c r="OIF27" s="16"/>
      <c r="OIG27" s="16"/>
      <c r="OIH27" s="16"/>
      <c r="OII27" s="16"/>
      <c r="OIJ27" s="16"/>
      <c r="OIK27" s="16"/>
      <c r="OIL27" s="16"/>
      <c r="OIM27" s="16"/>
      <c r="OIN27" s="16"/>
      <c r="OIO27" s="16"/>
      <c r="OIP27" s="16"/>
      <c r="OIQ27" s="16"/>
      <c r="OIR27" s="16"/>
      <c r="OIS27" s="16"/>
      <c r="OIT27" s="16"/>
      <c r="OIU27" s="16"/>
      <c r="OIV27" s="16"/>
      <c r="OIW27" s="16"/>
      <c r="OIX27" s="16"/>
      <c r="OIY27" s="16"/>
      <c r="OIZ27" s="16"/>
      <c r="OJA27" s="16"/>
      <c r="OJB27" s="16"/>
      <c r="OJC27" s="16"/>
      <c r="OJD27" s="16"/>
      <c r="OJE27" s="16"/>
      <c r="OJF27" s="16"/>
      <c r="OJG27" s="16"/>
      <c r="OJH27" s="16"/>
      <c r="OJI27" s="16"/>
      <c r="OJJ27" s="16"/>
      <c r="OJK27" s="16"/>
      <c r="OJL27" s="16"/>
      <c r="OJM27" s="16"/>
      <c r="OJN27" s="16"/>
      <c r="OJO27" s="16"/>
      <c r="OJP27" s="16"/>
      <c r="OJQ27" s="16"/>
      <c r="OJR27" s="16"/>
      <c r="OJS27" s="16"/>
      <c r="OJT27" s="16"/>
      <c r="OJU27" s="16"/>
      <c r="OJV27" s="16"/>
      <c r="OJW27" s="16"/>
      <c r="OJX27" s="16"/>
      <c r="OJY27" s="16"/>
      <c r="OJZ27" s="16"/>
      <c r="OKA27" s="16"/>
      <c r="OKB27" s="16"/>
      <c r="OKC27" s="16"/>
      <c r="OKD27" s="16"/>
      <c r="OKE27" s="16"/>
      <c r="OKF27" s="16"/>
      <c r="OKG27" s="16"/>
      <c r="OKH27" s="16"/>
      <c r="OKI27" s="16"/>
      <c r="OKJ27" s="16"/>
      <c r="OKK27" s="16"/>
      <c r="OKL27" s="16"/>
      <c r="OKM27" s="16"/>
      <c r="OKN27" s="16"/>
      <c r="OKO27" s="16"/>
      <c r="OKP27" s="16"/>
      <c r="OKQ27" s="16"/>
      <c r="OKR27" s="16"/>
      <c r="OKS27" s="16"/>
      <c r="OKT27" s="16"/>
      <c r="OKU27" s="16"/>
      <c r="OKV27" s="16"/>
      <c r="OKW27" s="16"/>
      <c r="OKX27" s="16"/>
      <c r="OKY27" s="16"/>
      <c r="OKZ27" s="16"/>
      <c r="OLA27" s="16"/>
      <c r="OLB27" s="16"/>
      <c r="OLC27" s="16"/>
      <c r="OLD27" s="16"/>
      <c r="OLE27" s="16"/>
      <c r="OLF27" s="16"/>
      <c r="OLG27" s="16"/>
      <c r="OLH27" s="16"/>
      <c r="OLI27" s="16"/>
      <c r="OLJ27" s="16"/>
      <c r="OLK27" s="16"/>
      <c r="OLL27" s="16"/>
      <c r="OLM27" s="16"/>
      <c r="OLN27" s="16"/>
      <c r="OLO27" s="16"/>
      <c r="OLP27" s="16"/>
      <c r="OLQ27" s="16"/>
      <c r="OLR27" s="16"/>
      <c r="OLS27" s="16"/>
      <c r="OLT27" s="16"/>
      <c r="OLU27" s="16"/>
      <c r="OLV27" s="16"/>
      <c r="OLW27" s="16"/>
      <c r="OLX27" s="16"/>
      <c r="OLY27" s="16"/>
      <c r="OLZ27" s="16"/>
      <c r="OMA27" s="16"/>
      <c r="OMB27" s="16"/>
      <c r="OMC27" s="16"/>
      <c r="OMD27" s="16"/>
      <c r="OME27" s="16"/>
      <c r="OMF27" s="16"/>
      <c r="OMG27" s="16"/>
      <c r="OMH27" s="16"/>
      <c r="OMI27" s="16"/>
      <c r="OMJ27" s="16"/>
      <c r="OMK27" s="16"/>
      <c r="OML27" s="16"/>
      <c r="OMM27" s="16"/>
      <c r="OMN27" s="16"/>
      <c r="OMO27" s="16"/>
      <c r="OMP27" s="16"/>
      <c r="OMQ27" s="16"/>
      <c r="OMR27" s="16"/>
      <c r="OMS27" s="16"/>
      <c r="OMT27" s="16"/>
      <c r="OMU27" s="16"/>
      <c r="OMV27" s="16"/>
      <c r="OMW27" s="16"/>
      <c r="OMX27" s="16"/>
      <c r="OMY27" s="16"/>
      <c r="OMZ27" s="16"/>
      <c r="ONA27" s="16"/>
      <c r="ONB27" s="16"/>
      <c r="ONC27" s="16"/>
      <c r="OND27" s="16"/>
      <c r="ONE27" s="16"/>
      <c r="ONF27" s="16"/>
      <c r="ONG27" s="16"/>
      <c r="ONH27" s="16"/>
      <c r="ONI27" s="16"/>
      <c r="ONJ27" s="16"/>
      <c r="ONK27" s="16"/>
      <c r="ONL27" s="16"/>
      <c r="ONM27" s="16"/>
      <c r="ONN27" s="16"/>
      <c r="ONO27" s="16"/>
      <c r="ONP27" s="16"/>
      <c r="ONQ27" s="16"/>
      <c r="ONR27" s="16"/>
      <c r="ONS27" s="16"/>
      <c r="ONT27" s="16"/>
      <c r="ONU27" s="16"/>
      <c r="ONV27" s="16"/>
      <c r="ONW27" s="16"/>
      <c r="ONX27" s="16"/>
      <c r="ONY27" s="16"/>
      <c r="ONZ27" s="16"/>
      <c r="OOA27" s="16"/>
      <c r="OOB27" s="16"/>
      <c r="OOC27" s="16"/>
      <c r="OOD27" s="16"/>
      <c r="OOE27" s="16"/>
      <c r="OOF27" s="16"/>
      <c r="OOG27" s="16"/>
      <c r="OOH27" s="16"/>
      <c r="OOI27" s="16"/>
      <c r="OOJ27" s="16"/>
      <c r="OOK27" s="16"/>
      <c r="OOL27" s="16"/>
      <c r="OOM27" s="16"/>
      <c r="OON27" s="16"/>
      <c r="OOO27" s="16"/>
      <c r="OOP27" s="16"/>
      <c r="OOQ27" s="16"/>
      <c r="OOR27" s="16"/>
      <c r="OOS27" s="16"/>
      <c r="OOT27" s="16"/>
      <c r="OOU27" s="16"/>
      <c r="OOV27" s="16"/>
      <c r="OOW27" s="16"/>
      <c r="OOX27" s="16"/>
      <c r="OOY27" s="16"/>
      <c r="OOZ27" s="16"/>
      <c r="OPA27" s="16"/>
      <c r="OPB27" s="16"/>
      <c r="OPC27" s="16"/>
      <c r="OPD27" s="16"/>
      <c r="OPE27" s="16"/>
      <c r="OPF27" s="16"/>
      <c r="OPG27" s="16"/>
      <c r="OPH27" s="16"/>
      <c r="OPI27" s="16"/>
      <c r="OPJ27" s="16"/>
      <c r="OPK27" s="16"/>
      <c r="OPL27" s="16"/>
      <c r="OPM27" s="16"/>
      <c r="OPN27" s="16"/>
      <c r="OPO27" s="16"/>
      <c r="OPP27" s="16"/>
      <c r="OPQ27" s="16"/>
      <c r="OPR27" s="16"/>
      <c r="OPS27" s="16"/>
      <c r="OPT27" s="16"/>
      <c r="OPU27" s="16"/>
      <c r="OPV27" s="16"/>
      <c r="OPW27" s="16"/>
      <c r="OPX27" s="16"/>
      <c r="OPY27" s="16"/>
      <c r="OPZ27" s="16"/>
      <c r="OQA27" s="16"/>
      <c r="OQB27" s="16"/>
      <c r="OQC27" s="16"/>
      <c r="OQD27" s="16"/>
      <c r="OQE27" s="16"/>
      <c r="OQF27" s="16"/>
      <c r="OQG27" s="16"/>
      <c r="OQH27" s="16"/>
      <c r="OQI27" s="16"/>
      <c r="OQJ27" s="16"/>
      <c r="OQK27" s="16"/>
      <c r="OQL27" s="16"/>
      <c r="OQM27" s="16"/>
      <c r="OQN27" s="16"/>
      <c r="OQO27" s="16"/>
      <c r="OQP27" s="16"/>
      <c r="OQQ27" s="16"/>
      <c r="OQR27" s="16"/>
      <c r="OQS27" s="16"/>
      <c r="OQT27" s="16"/>
      <c r="OQU27" s="16"/>
      <c r="OQV27" s="16"/>
      <c r="OQW27" s="16"/>
      <c r="OQX27" s="16"/>
      <c r="OQY27" s="16"/>
      <c r="OQZ27" s="16"/>
      <c r="ORA27" s="16"/>
      <c r="ORB27" s="16"/>
      <c r="ORC27" s="16"/>
      <c r="ORD27" s="16"/>
      <c r="ORE27" s="16"/>
      <c r="ORF27" s="16"/>
      <c r="ORG27" s="16"/>
      <c r="ORH27" s="16"/>
      <c r="ORI27" s="16"/>
      <c r="ORJ27" s="16"/>
      <c r="ORK27" s="16"/>
      <c r="ORL27" s="16"/>
      <c r="ORM27" s="16"/>
      <c r="ORN27" s="16"/>
      <c r="ORO27" s="16"/>
      <c r="ORP27" s="16"/>
      <c r="ORQ27" s="16"/>
      <c r="ORR27" s="16"/>
      <c r="ORS27" s="16"/>
      <c r="ORT27" s="16"/>
      <c r="ORU27" s="16"/>
      <c r="ORV27" s="16"/>
      <c r="ORW27" s="16"/>
      <c r="ORX27" s="16"/>
      <c r="ORY27" s="16"/>
      <c r="ORZ27" s="16"/>
      <c r="OSA27" s="16"/>
      <c r="OSB27" s="16"/>
      <c r="OSC27" s="16"/>
      <c r="OSD27" s="16"/>
      <c r="OSE27" s="16"/>
      <c r="OSF27" s="16"/>
      <c r="OSG27" s="16"/>
      <c r="OSH27" s="16"/>
      <c r="OSI27" s="16"/>
      <c r="OSJ27" s="16"/>
      <c r="OSK27" s="16"/>
      <c r="OSL27" s="16"/>
      <c r="OSM27" s="16"/>
      <c r="OSN27" s="16"/>
      <c r="OSO27" s="16"/>
      <c r="OSP27" s="16"/>
      <c r="OSQ27" s="16"/>
      <c r="OSR27" s="16"/>
      <c r="OSS27" s="16"/>
      <c r="OST27" s="16"/>
      <c r="OSU27" s="16"/>
      <c r="OSV27" s="16"/>
      <c r="OSW27" s="16"/>
      <c r="OSX27" s="16"/>
      <c r="OSY27" s="16"/>
      <c r="OSZ27" s="16"/>
      <c r="OTA27" s="16"/>
      <c r="OTB27" s="16"/>
      <c r="OTC27" s="16"/>
      <c r="OTD27" s="16"/>
      <c r="OTE27" s="16"/>
      <c r="OTF27" s="16"/>
      <c r="OTG27" s="16"/>
      <c r="OTH27" s="16"/>
      <c r="OTI27" s="16"/>
      <c r="OTJ27" s="16"/>
      <c r="OTK27" s="16"/>
      <c r="OTL27" s="16"/>
      <c r="OTM27" s="16"/>
      <c r="OTN27" s="16"/>
      <c r="OTO27" s="16"/>
      <c r="OTP27" s="16"/>
      <c r="OTQ27" s="16"/>
      <c r="OTR27" s="16"/>
      <c r="OTS27" s="16"/>
      <c r="OTT27" s="16"/>
      <c r="OTU27" s="16"/>
      <c r="OTV27" s="16"/>
      <c r="OTW27" s="16"/>
      <c r="OTX27" s="16"/>
      <c r="OTY27" s="16"/>
      <c r="OTZ27" s="16"/>
      <c r="OUA27" s="16"/>
      <c r="OUB27" s="16"/>
      <c r="OUC27" s="16"/>
      <c r="OUD27" s="16"/>
      <c r="OUE27" s="16"/>
      <c r="OUF27" s="16"/>
      <c r="OUG27" s="16"/>
      <c r="OUH27" s="16"/>
      <c r="OUI27" s="16"/>
      <c r="OUJ27" s="16"/>
      <c r="OUK27" s="16"/>
      <c r="OUL27" s="16"/>
      <c r="OUM27" s="16"/>
      <c r="OUN27" s="16"/>
      <c r="OUO27" s="16"/>
      <c r="OUP27" s="16"/>
      <c r="OUQ27" s="16"/>
      <c r="OUR27" s="16"/>
      <c r="OUS27" s="16"/>
      <c r="OUT27" s="16"/>
      <c r="OUU27" s="16"/>
      <c r="OUV27" s="16"/>
      <c r="OUW27" s="16"/>
      <c r="OUX27" s="16"/>
      <c r="OUY27" s="16"/>
      <c r="OUZ27" s="16"/>
      <c r="OVA27" s="16"/>
      <c r="OVB27" s="16"/>
      <c r="OVC27" s="16"/>
      <c r="OVD27" s="16"/>
      <c r="OVE27" s="16"/>
      <c r="OVF27" s="16"/>
      <c r="OVG27" s="16"/>
      <c r="OVH27" s="16"/>
      <c r="OVI27" s="16"/>
      <c r="OVJ27" s="16"/>
      <c r="OVK27" s="16"/>
      <c r="OVL27" s="16"/>
      <c r="OVM27" s="16"/>
      <c r="OVN27" s="16"/>
      <c r="OVO27" s="16"/>
      <c r="OVP27" s="16"/>
      <c r="OVQ27" s="16"/>
      <c r="OVR27" s="16"/>
      <c r="OVS27" s="16"/>
      <c r="OVT27" s="16"/>
      <c r="OVU27" s="16"/>
      <c r="OVV27" s="16"/>
      <c r="OVW27" s="16"/>
      <c r="OVX27" s="16"/>
      <c r="OVY27" s="16"/>
      <c r="OVZ27" s="16"/>
      <c r="OWA27" s="16"/>
      <c r="OWB27" s="16"/>
      <c r="OWC27" s="16"/>
      <c r="OWD27" s="16"/>
      <c r="OWE27" s="16"/>
      <c r="OWF27" s="16"/>
      <c r="OWG27" s="16"/>
      <c r="OWH27" s="16"/>
      <c r="OWI27" s="16"/>
      <c r="OWJ27" s="16"/>
      <c r="OWK27" s="16"/>
      <c r="OWL27" s="16"/>
      <c r="OWM27" s="16"/>
      <c r="OWN27" s="16"/>
      <c r="OWO27" s="16"/>
      <c r="OWP27" s="16"/>
      <c r="OWQ27" s="16"/>
      <c r="OWR27" s="16"/>
      <c r="OWS27" s="16"/>
      <c r="OWT27" s="16"/>
      <c r="OWU27" s="16"/>
      <c r="OWV27" s="16"/>
      <c r="OWW27" s="16"/>
      <c r="OWX27" s="16"/>
      <c r="OWY27" s="16"/>
      <c r="OWZ27" s="16"/>
      <c r="OXA27" s="16"/>
      <c r="OXB27" s="16"/>
      <c r="OXC27" s="16"/>
      <c r="OXD27" s="16"/>
      <c r="OXE27" s="16"/>
      <c r="OXF27" s="16"/>
      <c r="OXG27" s="16"/>
      <c r="OXH27" s="16"/>
      <c r="OXI27" s="16"/>
      <c r="OXJ27" s="16"/>
      <c r="OXK27" s="16"/>
      <c r="OXL27" s="16"/>
      <c r="OXM27" s="16"/>
      <c r="OXN27" s="16"/>
      <c r="OXO27" s="16"/>
      <c r="OXP27" s="16"/>
      <c r="OXQ27" s="16"/>
      <c r="OXR27" s="16"/>
      <c r="OXS27" s="16"/>
      <c r="OXT27" s="16"/>
      <c r="OXU27" s="16"/>
      <c r="OXV27" s="16"/>
      <c r="OXW27" s="16"/>
      <c r="OXX27" s="16"/>
      <c r="OXY27" s="16"/>
      <c r="OXZ27" s="16"/>
      <c r="OYA27" s="16"/>
      <c r="OYB27" s="16"/>
      <c r="OYC27" s="16"/>
      <c r="OYD27" s="16"/>
      <c r="OYE27" s="16"/>
      <c r="OYF27" s="16"/>
      <c r="OYG27" s="16"/>
      <c r="OYH27" s="16"/>
      <c r="OYI27" s="16"/>
      <c r="OYJ27" s="16"/>
      <c r="OYK27" s="16"/>
      <c r="OYL27" s="16"/>
      <c r="OYM27" s="16"/>
      <c r="OYN27" s="16"/>
      <c r="OYO27" s="16"/>
      <c r="OYP27" s="16"/>
      <c r="OYQ27" s="16"/>
      <c r="OYR27" s="16"/>
      <c r="OYS27" s="16"/>
      <c r="OYT27" s="16"/>
      <c r="OYU27" s="16"/>
      <c r="OYV27" s="16"/>
      <c r="OYW27" s="16"/>
      <c r="OYX27" s="16"/>
      <c r="OYY27" s="16"/>
      <c r="OYZ27" s="16"/>
      <c r="OZA27" s="16"/>
      <c r="OZB27" s="16"/>
      <c r="OZC27" s="16"/>
      <c r="OZD27" s="16"/>
      <c r="OZE27" s="16"/>
      <c r="OZF27" s="16"/>
      <c r="OZG27" s="16"/>
      <c r="OZH27" s="16"/>
      <c r="OZI27" s="16"/>
      <c r="OZJ27" s="16"/>
      <c r="OZK27" s="16"/>
      <c r="OZL27" s="16"/>
      <c r="OZM27" s="16"/>
      <c r="OZN27" s="16"/>
      <c r="OZO27" s="16"/>
      <c r="OZP27" s="16"/>
      <c r="OZQ27" s="16"/>
      <c r="OZR27" s="16"/>
      <c r="OZS27" s="16"/>
      <c r="OZT27" s="16"/>
      <c r="OZU27" s="16"/>
      <c r="OZV27" s="16"/>
      <c r="OZW27" s="16"/>
      <c r="OZX27" s="16"/>
      <c r="OZY27" s="16"/>
      <c r="OZZ27" s="16"/>
      <c r="PAA27" s="16"/>
      <c r="PAB27" s="16"/>
      <c r="PAC27" s="16"/>
      <c r="PAD27" s="16"/>
      <c r="PAE27" s="16"/>
      <c r="PAF27" s="16"/>
      <c r="PAG27" s="16"/>
      <c r="PAH27" s="16"/>
      <c r="PAI27" s="16"/>
      <c r="PAJ27" s="16"/>
      <c r="PAK27" s="16"/>
      <c r="PAL27" s="16"/>
      <c r="PAM27" s="16"/>
      <c r="PAN27" s="16"/>
      <c r="PAO27" s="16"/>
      <c r="PAP27" s="16"/>
      <c r="PAQ27" s="16"/>
      <c r="PAR27" s="16"/>
      <c r="PAS27" s="16"/>
      <c r="PAT27" s="16"/>
      <c r="PAU27" s="16"/>
      <c r="PAV27" s="16"/>
      <c r="PAW27" s="16"/>
      <c r="PAX27" s="16"/>
      <c r="PAY27" s="16"/>
      <c r="PAZ27" s="16"/>
      <c r="PBA27" s="16"/>
      <c r="PBB27" s="16"/>
      <c r="PBC27" s="16"/>
      <c r="PBD27" s="16"/>
      <c r="PBE27" s="16"/>
      <c r="PBF27" s="16"/>
      <c r="PBG27" s="16"/>
      <c r="PBH27" s="16"/>
      <c r="PBI27" s="16"/>
      <c r="PBJ27" s="16"/>
      <c r="PBK27" s="16"/>
      <c r="PBL27" s="16"/>
      <c r="PBM27" s="16"/>
      <c r="PBN27" s="16"/>
      <c r="PBO27" s="16"/>
      <c r="PBP27" s="16"/>
      <c r="PBQ27" s="16"/>
      <c r="PBR27" s="16"/>
      <c r="PBS27" s="16"/>
      <c r="PBT27" s="16"/>
      <c r="PBU27" s="16"/>
      <c r="PBV27" s="16"/>
      <c r="PBW27" s="16"/>
      <c r="PBX27" s="16"/>
      <c r="PBY27" s="16"/>
      <c r="PBZ27" s="16"/>
      <c r="PCA27" s="16"/>
      <c r="PCB27" s="16"/>
      <c r="PCC27" s="16"/>
      <c r="PCD27" s="16"/>
      <c r="PCE27" s="16"/>
      <c r="PCF27" s="16"/>
      <c r="PCG27" s="16"/>
      <c r="PCH27" s="16"/>
      <c r="PCI27" s="16"/>
      <c r="PCJ27" s="16"/>
      <c r="PCK27" s="16"/>
      <c r="PCL27" s="16"/>
      <c r="PCM27" s="16"/>
      <c r="PCN27" s="16"/>
      <c r="PCO27" s="16"/>
      <c r="PCP27" s="16"/>
      <c r="PCQ27" s="16"/>
      <c r="PCR27" s="16"/>
      <c r="PCS27" s="16"/>
      <c r="PCT27" s="16"/>
      <c r="PCU27" s="16"/>
      <c r="PCV27" s="16"/>
      <c r="PCW27" s="16"/>
      <c r="PCX27" s="16"/>
      <c r="PCY27" s="16"/>
      <c r="PCZ27" s="16"/>
      <c r="PDA27" s="16"/>
      <c r="PDB27" s="16"/>
      <c r="PDC27" s="16"/>
      <c r="PDD27" s="16"/>
      <c r="PDE27" s="16"/>
      <c r="PDF27" s="16"/>
      <c r="PDG27" s="16"/>
      <c r="PDH27" s="16"/>
      <c r="PDI27" s="16"/>
      <c r="PDJ27" s="16"/>
      <c r="PDK27" s="16"/>
      <c r="PDL27" s="16"/>
      <c r="PDM27" s="16"/>
      <c r="PDN27" s="16"/>
      <c r="PDO27" s="16"/>
      <c r="PDP27" s="16"/>
      <c r="PDQ27" s="16"/>
      <c r="PDR27" s="16"/>
      <c r="PDS27" s="16"/>
      <c r="PDT27" s="16"/>
      <c r="PDU27" s="16"/>
      <c r="PDV27" s="16"/>
      <c r="PDW27" s="16"/>
      <c r="PDX27" s="16"/>
      <c r="PDY27" s="16"/>
      <c r="PDZ27" s="16"/>
      <c r="PEA27" s="16"/>
      <c r="PEB27" s="16"/>
      <c r="PEC27" s="16"/>
      <c r="PED27" s="16"/>
      <c r="PEE27" s="16"/>
      <c r="PEF27" s="16"/>
      <c r="PEG27" s="16"/>
      <c r="PEH27" s="16"/>
      <c r="PEI27" s="16"/>
      <c r="PEJ27" s="16"/>
      <c r="PEK27" s="16"/>
      <c r="PEL27" s="16"/>
      <c r="PEM27" s="16"/>
      <c r="PEN27" s="16"/>
      <c r="PEO27" s="16"/>
      <c r="PEP27" s="16"/>
      <c r="PEQ27" s="16"/>
      <c r="PER27" s="16"/>
      <c r="PES27" s="16"/>
      <c r="PET27" s="16"/>
      <c r="PEU27" s="16"/>
      <c r="PEV27" s="16"/>
      <c r="PEW27" s="16"/>
      <c r="PEX27" s="16"/>
      <c r="PEY27" s="16"/>
      <c r="PEZ27" s="16"/>
      <c r="PFA27" s="16"/>
      <c r="PFB27" s="16"/>
      <c r="PFC27" s="16"/>
      <c r="PFD27" s="16"/>
      <c r="PFE27" s="16"/>
      <c r="PFF27" s="16"/>
      <c r="PFG27" s="16"/>
      <c r="PFH27" s="16"/>
      <c r="PFI27" s="16"/>
      <c r="PFJ27" s="16"/>
      <c r="PFK27" s="16"/>
      <c r="PFL27" s="16"/>
      <c r="PFM27" s="16"/>
      <c r="PFN27" s="16"/>
      <c r="PFO27" s="16"/>
      <c r="PFP27" s="16"/>
      <c r="PFQ27" s="16"/>
      <c r="PFR27" s="16"/>
      <c r="PFS27" s="16"/>
      <c r="PFT27" s="16"/>
      <c r="PFU27" s="16"/>
      <c r="PFV27" s="16"/>
      <c r="PFW27" s="16"/>
      <c r="PFX27" s="16"/>
      <c r="PFY27" s="16"/>
      <c r="PFZ27" s="16"/>
      <c r="PGA27" s="16"/>
      <c r="PGB27" s="16"/>
      <c r="PGC27" s="16"/>
      <c r="PGD27" s="16"/>
      <c r="PGE27" s="16"/>
      <c r="PGF27" s="16"/>
      <c r="PGG27" s="16"/>
      <c r="PGH27" s="16"/>
      <c r="PGI27" s="16"/>
      <c r="PGJ27" s="16"/>
      <c r="PGK27" s="16"/>
      <c r="PGL27" s="16"/>
      <c r="PGM27" s="16"/>
      <c r="PGN27" s="16"/>
      <c r="PGO27" s="16"/>
      <c r="PGP27" s="16"/>
      <c r="PGQ27" s="16"/>
      <c r="PGR27" s="16"/>
      <c r="PGS27" s="16"/>
      <c r="PGT27" s="16"/>
      <c r="PGU27" s="16"/>
      <c r="PGV27" s="16"/>
      <c r="PGW27" s="16"/>
      <c r="PGX27" s="16"/>
      <c r="PGY27" s="16"/>
      <c r="PGZ27" s="16"/>
      <c r="PHA27" s="16"/>
      <c r="PHB27" s="16"/>
      <c r="PHC27" s="16"/>
      <c r="PHD27" s="16"/>
      <c r="PHE27" s="16"/>
      <c r="PHF27" s="16"/>
      <c r="PHG27" s="16"/>
      <c r="PHH27" s="16"/>
      <c r="PHI27" s="16"/>
      <c r="PHJ27" s="16"/>
      <c r="PHK27" s="16"/>
      <c r="PHL27" s="16"/>
      <c r="PHM27" s="16"/>
      <c r="PHN27" s="16"/>
      <c r="PHO27" s="16"/>
      <c r="PHP27" s="16"/>
      <c r="PHQ27" s="16"/>
      <c r="PHR27" s="16"/>
      <c r="PHS27" s="16"/>
      <c r="PHT27" s="16"/>
      <c r="PHU27" s="16"/>
      <c r="PHV27" s="16"/>
      <c r="PHW27" s="16"/>
      <c r="PHX27" s="16"/>
      <c r="PHY27" s="16"/>
      <c r="PHZ27" s="16"/>
      <c r="PIA27" s="16"/>
      <c r="PIB27" s="16"/>
      <c r="PIC27" s="16"/>
      <c r="PID27" s="16"/>
      <c r="PIE27" s="16"/>
      <c r="PIF27" s="16"/>
      <c r="PIG27" s="16"/>
      <c r="PIH27" s="16"/>
      <c r="PII27" s="16"/>
      <c r="PIJ27" s="16"/>
      <c r="PIK27" s="16"/>
      <c r="PIL27" s="16"/>
      <c r="PIM27" s="16"/>
      <c r="PIN27" s="16"/>
      <c r="PIO27" s="16"/>
      <c r="PIP27" s="16"/>
      <c r="PIQ27" s="16"/>
      <c r="PIR27" s="16"/>
      <c r="PIS27" s="16"/>
      <c r="PIT27" s="16"/>
      <c r="PIU27" s="16"/>
      <c r="PIV27" s="16"/>
      <c r="PIW27" s="16"/>
      <c r="PIX27" s="16"/>
      <c r="PIY27" s="16"/>
      <c r="PIZ27" s="16"/>
      <c r="PJA27" s="16"/>
      <c r="PJB27" s="16"/>
      <c r="PJC27" s="16"/>
      <c r="PJD27" s="16"/>
      <c r="PJE27" s="16"/>
      <c r="PJF27" s="16"/>
      <c r="PJG27" s="16"/>
      <c r="PJH27" s="16"/>
      <c r="PJI27" s="16"/>
      <c r="PJJ27" s="16"/>
      <c r="PJK27" s="16"/>
      <c r="PJL27" s="16"/>
      <c r="PJM27" s="16"/>
      <c r="PJN27" s="16"/>
      <c r="PJO27" s="16"/>
      <c r="PJP27" s="16"/>
      <c r="PJQ27" s="16"/>
      <c r="PJR27" s="16"/>
      <c r="PJS27" s="16"/>
      <c r="PJT27" s="16"/>
      <c r="PJU27" s="16"/>
      <c r="PJV27" s="16"/>
      <c r="PJW27" s="16"/>
      <c r="PJX27" s="16"/>
      <c r="PJY27" s="16"/>
      <c r="PJZ27" s="16"/>
      <c r="PKA27" s="16"/>
      <c r="PKB27" s="16"/>
      <c r="PKC27" s="16"/>
      <c r="PKD27" s="16"/>
      <c r="PKE27" s="16"/>
      <c r="PKF27" s="16"/>
      <c r="PKG27" s="16"/>
      <c r="PKH27" s="16"/>
      <c r="PKI27" s="16"/>
      <c r="PKJ27" s="16"/>
      <c r="PKK27" s="16"/>
      <c r="PKL27" s="16"/>
      <c r="PKM27" s="16"/>
      <c r="PKN27" s="16"/>
      <c r="PKO27" s="16"/>
      <c r="PKP27" s="16"/>
      <c r="PKQ27" s="16"/>
      <c r="PKR27" s="16"/>
      <c r="PKS27" s="16"/>
      <c r="PKT27" s="16"/>
      <c r="PKU27" s="16"/>
      <c r="PKV27" s="16"/>
      <c r="PKW27" s="16"/>
      <c r="PKX27" s="16"/>
      <c r="PKY27" s="16"/>
      <c r="PKZ27" s="16"/>
      <c r="PLA27" s="16"/>
      <c r="PLB27" s="16"/>
      <c r="PLC27" s="16"/>
      <c r="PLD27" s="16"/>
      <c r="PLE27" s="16"/>
      <c r="PLF27" s="16"/>
      <c r="PLG27" s="16"/>
      <c r="PLH27" s="16"/>
      <c r="PLI27" s="16"/>
      <c r="PLJ27" s="16"/>
      <c r="PLK27" s="16"/>
      <c r="PLL27" s="16"/>
      <c r="PLM27" s="16"/>
      <c r="PLN27" s="16"/>
      <c r="PLO27" s="16"/>
      <c r="PLP27" s="16"/>
      <c r="PLQ27" s="16"/>
      <c r="PLR27" s="16"/>
      <c r="PLS27" s="16"/>
      <c r="PLT27" s="16"/>
      <c r="PLU27" s="16"/>
      <c r="PLV27" s="16"/>
      <c r="PLW27" s="16"/>
      <c r="PLX27" s="16"/>
      <c r="PLY27" s="16"/>
      <c r="PLZ27" s="16"/>
      <c r="PMA27" s="16"/>
      <c r="PMB27" s="16"/>
      <c r="PMC27" s="16"/>
      <c r="PMD27" s="16"/>
      <c r="PME27" s="16"/>
      <c r="PMF27" s="16"/>
      <c r="PMG27" s="16"/>
      <c r="PMH27" s="16"/>
      <c r="PMI27" s="16"/>
      <c r="PMJ27" s="16"/>
      <c r="PMK27" s="16"/>
      <c r="PML27" s="16"/>
      <c r="PMM27" s="16"/>
      <c r="PMN27" s="16"/>
      <c r="PMO27" s="16"/>
      <c r="PMP27" s="16"/>
      <c r="PMQ27" s="16"/>
      <c r="PMR27" s="16"/>
      <c r="PMS27" s="16"/>
      <c r="PMT27" s="16"/>
      <c r="PMU27" s="16"/>
      <c r="PMV27" s="16"/>
      <c r="PMW27" s="16"/>
      <c r="PMX27" s="16"/>
      <c r="PMY27" s="16"/>
      <c r="PMZ27" s="16"/>
      <c r="PNA27" s="16"/>
      <c r="PNB27" s="16"/>
      <c r="PNC27" s="16"/>
      <c r="PND27" s="16"/>
      <c r="PNE27" s="16"/>
      <c r="PNF27" s="16"/>
      <c r="PNG27" s="16"/>
      <c r="PNH27" s="16"/>
      <c r="PNI27" s="16"/>
      <c r="PNJ27" s="16"/>
      <c r="PNK27" s="16"/>
      <c r="PNL27" s="16"/>
      <c r="PNM27" s="16"/>
      <c r="PNN27" s="16"/>
      <c r="PNO27" s="16"/>
      <c r="PNP27" s="16"/>
      <c r="PNQ27" s="16"/>
      <c r="PNR27" s="16"/>
      <c r="PNS27" s="16"/>
      <c r="PNT27" s="16"/>
      <c r="PNU27" s="16"/>
      <c r="PNV27" s="16"/>
      <c r="PNW27" s="16"/>
      <c r="PNX27" s="16"/>
      <c r="PNY27" s="16"/>
      <c r="PNZ27" s="16"/>
      <c r="POA27" s="16"/>
      <c r="POB27" s="16"/>
      <c r="POC27" s="16"/>
      <c r="POD27" s="16"/>
      <c r="POE27" s="16"/>
      <c r="POF27" s="16"/>
      <c r="POG27" s="16"/>
      <c r="POH27" s="16"/>
      <c r="POI27" s="16"/>
      <c r="POJ27" s="16"/>
      <c r="POK27" s="16"/>
      <c r="POL27" s="16"/>
      <c r="POM27" s="16"/>
      <c r="PON27" s="16"/>
      <c r="POO27" s="16"/>
      <c r="POP27" s="16"/>
      <c r="POQ27" s="16"/>
      <c r="POR27" s="16"/>
      <c r="POS27" s="16"/>
      <c r="POT27" s="16"/>
      <c r="POU27" s="16"/>
      <c r="POV27" s="16"/>
      <c r="POW27" s="16"/>
      <c r="POX27" s="16"/>
      <c r="POY27" s="16"/>
      <c r="POZ27" s="16"/>
      <c r="PPA27" s="16"/>
      <c r="PPB27" s="16"/>
      <c r="PPC27" s="16"/>
      <c r="PPD27" s="16"/>
      <c r="PPE27" s="16"/>
      <c r="PPF27" s="16"/>
      <c r="PPG27" s="16"/>
      <c r="PPH27" s="16"/>
      <c r="PPI27" s="16"/>
      <c r="PPJ27" s="16"/>
      <c r="PPK27" s="16"/>
      <c r="PPL27" s="16"/>
      <c r="PPM27" s="16"/>
      <c r="PPN27" s="16"/>
      <c r="PPO27" s="16"/>
      <c r="PPP27" s="16"/>
      <c r="PPQ27" s="16"/>
      <c r="PPR27" s="16"/>
      <c r="PPS27" s="16"/>
      <c r="PPT27" s="16"/>
      <c r="PPU27" s="16"/>
      <c r="PPV27" s="16"/>
      <c r="PPW27" s="16"/>
      <c r="PPX27" s="16"/>
      <c r="PPY27" s="16"/>
      <c r="PPZ27" s="16"/>
      <c r="PQA27" s="16"/>
      <c r="PQB27" s="16"/>
      <c r="PQC27" s="16"/>
      <c r="PQD27" s="16"/>
      <c r="PQE27" s="16"/>
      <c r="PQF27" s="16"/>
      <c r="PQG27" s="16"/>
      <c r="PQH27" s="16"/>
      <c r="PQI27" s="16"/>
      <c r="PQJ27" s="16"/>
      <c r="PQK27" s="16"/>
      <c r="PQL27" s="16"/>
      <c r="PQM27" s="16"/>
      <c r="PQN27" s="16"/>
      <c r="PQO27" s="16"/>
      <c r="PQP27" s="16"/>
      <c r="PQQ27" s="16"/>
      <c r="PQR27" s="16"/>
      <c r="PQS27" s="16"/>
      <c r="PQT27" s="16"/>
      <c r="PQU27" s="16"/>
      <c r="PQV27" s="16"/>
      <c r="PQW27" s="16"/>
      <c r="PQX27" s="16"/>
      <c r="PQY27" s="16"/>
      <c r="PQZ27" s="16"/>
      <c r="PRA27" s="16"/>
      <c r="PRB27" s="16"/>
      <c r="PRC27" s="16"/>
      <c r="PRD27" s="16"/>
      <c r="PRE27" s="16"/>
      <c r="PRF27" s="16"/>
      <c r="PRG27" s="16"/>
      <c r="PRH27" s="16"/>
      <c r="PRI27" s="16"/>
      <c r="PRJ27" s="16"/>
      <c r="PRK27" s="16"/>
      <c r="PRL27" s="16"/>
      <c r="PRM27" s="16"/>
      <c r="PRN27" s="16"/>
      <c r="PRO27" s="16"/>
      <c r="PRP27" s="16"/>
      <c r="PRQ27" s="16"/>
      <c r="PRR27" s="16"/>
      <c r="PRS27" s="16"/>
      <c r="PRT27" s="16"/>
      <c r="PRU27" s="16"/>
      <c r="PRV27" s="16"/>
      <c r="PRW27" s="16"/>
      <c r="PRX27" s="16"/>
      <c r="PRY27" s="16"/>
      <c r="PRZ27" s="16"/>
      <c r="PSA27" s="16"/>
      <c r="PSB27" s="16"/>
      <c r="PSC27" s="16"/>
      <c r="PSD27" s="16"/>
      <c r="PSE27" s="16"/>
      <c r="PSF27" s="16"/>
      <c r="PSG27" s="16"/>
      <c r="PSH27" s="16"/>
      <c r="PSI27" s="16"/>
      <c r="PSJ27" s="16"/>
      <c r="PSK27" s="16"/>
      <c r="PSL27" s="16"/>
      <c r="PSM27" s="16"/>
      <c r="PSN27" s="16"/>
      <c r="PSO27" s="16"/>
      <c r="PSP27" s="16"/>
      <c r="PSQ27" s="16"/>
      <c r="PSR27" s="16"/>
      <c r="PSS27" s="16"/>
      <c r="PST27" s="16"/>
      <c r="PSU27" s="16"/>
      <c r="PSV27" s="16"/>
      <c r="PSW27" s="16"/>
      <c r="PSX27" s="16"/>
      <c r="PSY27" s="16"/>
      <c r="PSZ27" s="16"/>
      <c r="PTA27" s="16"/>
      <c r="PTB27" s="16"/>
      <c r="PTC27" s="16"/>
      <c r="PTD27" s="16"/>
      <c r="PTE27" s="16"/>
      <c r="PTF27" s="16"/>
      <c r="PTG27" s="16"/>
      <c r="PTH27" s="16"/>
      <c r="PTI27" s="16"/>
      <c r="PTJ27" s="16"/>
      <c r="PTK27" s="16"/>
      <c r="PTL27" s="16"/>
      <c r="PTM27" s="16"/>
      <c r="PTN27" s="16"/>
      <c r="PTO27" s="16"/>
      <c r="PTP27" s="16"/>
      <c r="PTQ27" s="16"/>
      <c r="PTR27" s="16"/>
      <c r="PTS27" s="16"/>
      <c r="PTT27" s="16"/>
      <c r="PTU27" s="16"/>
      <c r="PTV27" s="16"/>
      <c r="PTW27" s="16"/>
      <c r="PTX27" s="16"/>
      <c r="PTY27" s="16"/>
      <c r="PTZ27" s="16"/>
      <c r="PUA27" s="16"/>
      <c r="PUB27" s="16"/>
      <c r="PUC27" s="16"/>
      <c r="PUD27" s="16"/>
      <c r="PUE27" s="16"/>
      <c r="PUF27" s="16"/>
      <c r="PUG27" s="16"/>
      <c r="PUH27" s="16"/>
      <c r="PUI27" s="16"/>
      <c r="PUJ27" s="16"/>
      <c r="PUK27" s="16"/>
      <c r="PUL27" s="16"/>
      <c r="PUM27" s="16"/>
      <c r="PUN27" s="16"/>
      <c r="PUO27" s="16"/>
      <c r="PUP27" s="16"/>
      <c r="PUQ27" s="16"/>
      <c r="PUR27" s="16"/>
      <c r="PUS27" s="16"/>
      <c r="PUT27" s="16"/>
      <c r="PUU27" s="16"/>
      <c r="PUV27" s="16"/>
      <c r="PUW27" s="16"/>
      <c r="PUX27" s="16"/>
      <c r="PUY27" s="16"/>
      <c r="PUZ27" s="16"/>
      <c r="PVA27" s="16"/>
      <c r="PVB27" s="16"/>
      <c r="PVC27" s="16"/>
      <c r="PVD27" s="16"/>
      <c r="PVE27" s="16"/>
      <c r="PVF27" s="16"/>
      <c r="PVG27" s="16"/>
      <c r="PVH27" s="16"/>
      <c r="PVI27" s="16"/>
      <c r="PVJ27" s="16"/>
      <c r="PVK27" s="16"/>
      <c r="PVL27" s="16"/>
      <c r="PVM27" s="16"/>
      <c r="PVN27" s="16"/>
      <c r="PVO27" s="16"/>
      <c r="PVP27" s="16"/>
      <c r="PVQ27" s="16"/>
      <c r="PVR27" s="16"/>
      <c r="PVS27" s="16"/>
      <c r="PVT27" s="16"/>
      <c r="PVU27" s="16"/>
      <c r="PVV27" s="16"/>
      <c r="PVW27" s="16"/>
      <c r="PVX27" s="16"/>
      <c r="PVY27" s="16"/>
      <c r="PVZ27" s="16"/>
      <c r="PWA27" s="16"/>
      <c r="PWB27" s="16"/>
      <c r="PWC27" s="16"/>
      <c r="PWD27" s="16"/>
      <c r="PWE27" s="16"/>
      <c r="PWF27" s="16"/>
      <c r="PWG27" s="16"/>
      <c r="PWH27" s="16"/>
      <c r="PWI27" s="16"/>
      <c r="PWJ27" s="16"/>
      <c r="PWK27" s="16"/>
      <c r="PWL27" s="16"/>
      <c r="PWM27" s="16"/>
      <c r="PWN27" s="16"/>
      <c r="PWO27" s="16"/>
      <c r="PWP27" s="16"/>
      <c r="PWQ27" s="16"/>
      <c r="PWR27" s="16"/>
      <c r="PWS27" s="16"/>
      <c r="PWT27" s="16"/>
      <c r="PWU27" s="16"/>
      <c r="PWV27" s="16"/>
      <c r="PWW27" s="16"/>
      <c r="PWX27" s="16"/>
      <c r="PWY27" s="16"/>
      <c r="PWZ27" s="16"/>
      <c r="PXA27" s="16"/>
      <c r="PXB27" s="16"/>
      <c r="PXC27" s="16"/>
      <c r="PXD27" s="16"/>
      <c r="PXE27" s="16"/>
      <c r="PXF27" s="16"/>
      <c r="PXG27" s="16"/>
      <c r="PXH27" s="16"/>
      <c r="PXI27" s="16"/>
      <c r="PXJ27" s="16"/>
      <c r="PXK27" s="16"/>
      <c r="PXL27" s="16"/>
      <c r="PXM27" s="16"/>
      <c r="PXN27" s="16"/>
      <c r="PXO27" s="16"/>
      <c r="PXP27" s="16"/>
      <c r="PXQ27" s="16"/>
      <c r="PXR27" s="16"/>
      <c r="PXS27" s="16"/>
      <c r="PXT27" s="16"/>
      <c r="PXU27" s="16"/>
      <c r="PXV27" s="16"/>
      <c r="PXW27" s="16"/>
      <c r="PXX27" s="16"/>
      <c r="PXY27" s="16"/>
      <c r="PXZ27" s="16"/>
      <c r="PYA27" s="16"/>
      <c r="PYB27" s="16"/>
      <c r="PYC27" s="16"/>
      <c r="PYD27" s="16"/>
      <c r="PYE27" s="16"/>
      <c r="PYF27" s="16"/>
      <c r="PYG27" s="16"/>
      <c r="PYH27" s="16"/>
      <c r="PYI27" s="16"/>
      <c r="PYJ27" s="16"/>
      <c r="PYK27" s="16"/>
      <c r="PYL27" s="16"/>
      <c r="PYM27" s="16"/>
      <c r="PYN27" s="16"/>
      <c r="PYO27" s="16"/>
      <c r="PYP27" s="16"/>
      <c r="PYQ27" s="16"/>
      <c r="PYR27" s="16"/>
      <c r="PYS27" s="16"/>
      <c r="PYT27" s="16"/>
      <c r="PYU27" s="16"/>
      <c r="PYV27" s="16"/>
      <c r="PYW27" s="16"/>
      <c r="PYX27" s="16"/>
      <c r="PYY27" s="16"/>
      <c r="PYZ27" s="16"/>
      <c r="PZA27" s="16"/>
      <c r="PZB27" s="16"/>
      <c r="PZC27" s="16"/>
      <c r="PZD27" s="16"/>
      <c r="PZE27" s="16"/>
      <c r="PZF27" s="16"/>
      <c r="PZG27" s="16"/>
      <c r="PZH27" s="16"/>
      <c r="PZI27" s="16"/>
      <c r="PZJ27" s="16"/>
      <c r="PZK27" s="16"/>
      <c r="PZL27" s="16"/>
      <c r="PZM27" s="16"/>
      <c r="PZN27" s="16"/>
      <c r="PZO27" s="16"/>
      <c r="PZP27" s="16"/>
      <c r="PZQ27" s="16"/>
      <c r="PZR27" s="16"/>
      <c r="PZS27" s="16"/>
      <c r="PZT27" s="16"/>
      <c r="PZU27" s="16"/>
      <c r="PZV27" s="16"/>
      <c r="PZW27" s="16"/>
      <c r="PZX27" s="16"/>
      <c r="PZY27" s="16"/>
      <c r="PZZ27" s="16"/>
      <c r="QAA27" s="16"/>
      <c r="QAB27" s="16"/>
      <c r="QAC27" s="16"/>
      <c r="QAD27" s="16"/>
      <c r="QAE27" s="16"/>
      <c r="QAF27" s="16"/>
      <c r="QAG27" s="16"/>
      <c r="QAH27" s="16"/>
      <c r="QAI27" s="16"/>
      <c r="QAJ27" s="16"/>
      <c r="QAK27" s="16"/>
      <c r="QAL27" s="16"/>
      <c r="QAM27" s="16"/>
      <c r="QAN27" s="16"/>
      <c r="QAO27" s="16"/>
      <c r="QAP27" s="16"/>
      <c r="QAQ27" s="16"/>
      <c r="QAR27" s="16"/>
      <c r="QAS27" s="16"/>
      <c r="QAT27" s="16"/>
      <c r="QAU27" s="16"/>
      <c r="QAV27" s="16"/>
      <c r="QAW27" s="16"/>
      <c r="QAX27" s="16"/>
      <c r="QAY27" s="16"/>
      <c r="QAZ27" s="16"/>
      <c r="QBA27" s="16"/>
      <c r="QBB27" s="16"/>
      <c r="QBC27" s="16"/>
      <c r="QBD27" s="16"/>
      <c r="QBE27" s="16"/>
      <c r="QBF27" s="16"/>
      <c r="QBG27" s="16"/>
      <c r="QBH27" s="16"/>
      <c r="QBI27" s="16"/>
      <c r="QBJ27" s="16"/>
      <c r="QBK27" s="16"/>
      <c r="QBL27" s="16"/>
      <c r="QBM27" s="16"/>
      <c r="QBN27" s="16"/>
      <c r="QBO27" s="16"/>
      <c r="QBP27" s="16"/>
      <c r="QBQ27" s="16"/>
      <c r="QBR27" s="16"/>
      <c r="QBS27" s="16"/>
      <c r="QBT27" s="16"/>
      <c r="QBU27" s="16"/>
      <c r="QBV27" s="16"/>
      <c r="QBW27" s="16"/>
      <c r="QBX27" s="16"/>
      <c r="QBY27" s="16"/>
      <c r="QBZ27" s="16"/>
      <c r="QCA27" s="16"/>
      <c r="QCB27" s="16"/>
      <c r="QCC27" s="16"/>
      <c r="QCD27" s="16"/>
      <c r="QCE27" s="16"/>
      <c r="QCF27" s="16"/>
      <c r="QCG27" s="16"/>
      <c r="QCH27" s="16"/>
      <c r="QCI27" s="16"/>
      <c r="QCJ27" s="16"/>
      <c r="QCK27" s="16"/>
      <c r="QCL27" s="16"/>
      <c r="QCM27" s="16"/>
      <c r="QCN27" s="16"/>
      <c r="QCO27" s="16"/>
      <c r="QCP27" s="16"/>
      <c r="QCQ27" s="16"/>
      <c r="QCR27" s="16"/>
      <c r="QCS27" s="16"/>
      <c r="QCT27" s="16"/>
      <c r="QCU27" s="16"/>
      <c r="QCV27" s="16"/>
      <c r="QCW27" s="16"/>
      <c r="QCX27" s="16"/>
      <c r="QCY27" s="16"/>
      <c r="QCZ27" s="16"/>
      <c r="QDA27" s="16"/>
      <c r="QDB27" s="16"/>
      <c r="QDC27" s="16"/>
      <c r="QDD27" s="16"/>
      <c r="QDE27" s="16"/>
      <c r="QDF27" s="16"/>
      <c r="QDG27" s="16"/>
      <c r="QDH27" s="16"/>
      <c r="QDI27" s="16"/>
      <c r="QDJ27" s="16"/>
      <c r="QDK27" s="16"/>
      <c r="QDL27" s="16"/>
      <c r="QDM27" s="16"/>
      <c r="QDN27" s="16"/>
      <c r="QDO27" s="16"/>
      <c r="QDP27" s="16"/>
      <c r="QDQ27" s="16"/>
      <c r="QDR27" s="16"/>
      <c r="QDS27" s="16"/>
      <c r="QDT27" s="16"/>
      <c r="QDU27" s="16"/>
      <c r="QDV27" s="16"/>
      <c r="QDW27" s="16"/>
      <c r="QDX27" s="16"/>
      <c r="QDY27" s="16"/>
      <c r="QDZ27" s="16"/>
      <c r="QEA27" s="16"/>
      <c r="QEB27" s="16"/>
      <c r="QEC27" s="16"/>
      <c r="QED27" s="16"/>
      <c r="QEE27" s="16"/>
      <c r="QEF27" s="16"/>
      <c r="QEG27" s="16"/>
      <c r="QEH27" s="16"/>
      <c r="QEI27" s="16"/>
      <c r="QEJ27" s="16"/>
      <c r="QEK27" s="16"/>
      <c r="QEL27" s="16"/>
      <c r="QEM27" s="16"/>
      <c r="QEN27" s="16"/>
      <c r="QEO27" s="16"/>
      <c r="QEP27" s="16"/>
      <c r="QEQ27" s="16"/>
      <c r="QER27" s="16"/>
      <c r="QES27" s="16"/>
      <c r="QET27" s="16"/>
      <c r="QEU27" s="16"/>
      <c r="QEV27" s="16"/>
      <c r="QEW27" s="16"/>
      <c r="QEX27" s="16"/>
      <c r="QEY27" s="16"/>
      <c r="QEZ27" s="16"/>
      <c r="QFA27" s="16"/>
      <c r="QFB27" s="16"/>
      <c r="QFC27" s="16"/>
      <c r="QFD27" s="16"/>
      <c r="QFE27" s="16"/>
      <c r="QFF27" s="16"/>
      <c r="QFG27" s="16"/>
      <c r="QFH27" s="16"/>
      <c r="QFI27" s="16"/>
      <c r="QFJ27" s="16"/>
      <c r="QFK27" s="16"/>
      <c r="QFL27" s="16"/>
      <c r="QFM27" s="16"/>
      <c r="QFN27" s="16"/>
      <c r="QFO27" s="16"/>
      <c r="QFP27" s="16"/>
      <c r="QFQ27" s="16"/>
      <c r="QFR27" s="16"/>
      <c r="QFS27" s="16"/>
      <c r="QFT27" s="16"/>
      <c r="QFU27" s="16"/>
      <c r="QFV27" s="16"/>
      <c r="QFW27" s="16"/>
      <c r="QFX27" s="16"/>
      <c r="QFY27" s="16"/>
      <c r="QFZ27" s="16"/>
      <c r="QGA27" s="16"/>
      <c r="QGB27" s="16"/>
      <c r="QGC27" s="16"/>
      <c r="QGD27" s="16"/>
      <c r="QGE27" s="16"/>
      <c r="QGF27" s="16"/>
      <c r="QGG27" s="16"/>
      <c r="QGH27" s="16"/>
      <c r="QGI27" s="16"/>
      <c r="QGJ27" s="16"/>
      <c r="QGK27" s="16"/>
      <c r="QGL27" s="16"/>
      <c r="QGM27" s="16"/>
      <c r="QGN27" s="16"/>
      <c r="QGO27" s="16"/>
      <c r="QGP27" s="16"/>
      <c r="QGQ27" s="16"/>
      <c r="QGR27" s="16"/>
      <c r="QGS27" s="16"/>
      <c r="QGT27" s="16"/>
      <c r="QGU27" s="16"/>
      <c r="QGV27" s="16"/>
      <c r="QGW27" s="16"/>
      <c r="QGX27" s="16"/>
      <c r="QGY27" s="16"/>
      <c r="QGZ27" s="16"/>
      <c r="QHA27" s="16"/>
      <c r="QHB27" s="16"/>
      <c r="QHC27" s="16"/>
      <c r="QHD27" s="16"/>
      <c r="QHE27" s="16"/>
      <c r="QHF27" s="16"/>
      <c r="QHG27" s="16"/>
      <c r="QHH27" s="16"/>
      <c r="QHI27" s="16"/>
      <c r="QHJ27" s="16"/>
      <c r="QHK27" s="16"/>
      <c r="QHL27" s="16"/>
      <c r="QHM27" s="16"/>
      <c r="QHN27" s="16"/>
      <c r="QHO27" s="16"/>
      <c r="QHP27" s="16"/>
      <c r="QHQ27" s="16"/>
      <c r="QHR27" s="16"/>
      <c r="QHS27" s="16"/>
      <c r="QHT27" s="16"/>
      <c r="QHU27" s="16"/>
      <c r="QHV27" s="16"/>
      <c r="QHW27" s="16"/>
      <c r="QHX27" s="16"/>
      <c r="QHY27" s="16"/>
      <c r="QHZ27" s="16"/>
      <c r="QIA27" s="16"/>
      <c r="QIB27" s="16"/>
      <c r="QIC27" s="16"/>
      <c r="QID27" s="16"/>
      <c r="QIE27" s="16"/>
      <c r="QIF27" s="16"/>
      <c r="QIG27" s="16"/>
      <c r="QIH27" s="16"/>
      <c r="QII27" s="16"/>
      <c r="QIJ27" s="16"/>
      <c r="QIK27" s="16"/>
      <c r="QIL27" s="16"/>
      <c r="QIM27" s="16"/>
      <c r="QIN27" s="16"/>
      <c r="QIO27" s="16"/>
      <c r="QIP27" s="16"/>
      <c r="QIQ27" s="16"/>
      <c r="QIR27" s="16"/>
      <c r="QIS27" s="16"/>
      <c r="QIT27" s="16"/>
      <c r="QIU27" s="16"/>
      <c r="QIV27" s="16"/>
      <c r="QIW27" s="16"/>
      <c r="QIX27" s="16"/>
      <c r="QIY27" s="16"/>
      <c r="QIZ27" s="16"/>
      <c r="QJA27" s="16"/>
      <c r="QJB27" s="16"/>
      <c r="QJC27" s="16"/>
      <c r="QJD27" s="16"/>
      <c r="QJE27" s="16"/>
      <c r="QJF27" s="16"/>
      <c r="QJG27" s="16"/>
      <c r="QJH27" s="16"/>
      <c r="QJI27" s="16"/>
      <c r="QJJ27" s="16"/>
      <c r="QJK27" s="16"/>
      <c r="QJL27" s="16"/>
      <c r="QJM27" s="16"/>
      <c r="QJN27" s="16"/>
      <c r="QJO27" s="16"/>
      <c r="QJP27" s="16"/>
      <c r="QJQ27" s="16"/>
      <c r="QJR27" s="16"/>
      <c r="QJS27" s="16"/>
      <c r="QJT27" s="16"/>
      <c r="QJU27" s="16"/>
      <c r="QJV27" s="16"/>
      <c r="QJW27" s="16"/>
      <c r="QJX27" s="16"/>
      <c r="QJY27" s="16"/>
      <c r="QJZ27" s="16"/>
      <c r="QKA27" s="16"/>
      <c r="QKB27" s="16"/>
      <c r="QKC27" s="16"/>
      <c r="QKD27" s="16"/>
      <c r="QKE27" s="16"/>
      <c r="QKF27" s="16"/>
      <c r="QKG27" s="16"/>
      <c r="QKH27" s="16"/>
      <c r="QKI27" s="16"/>
      <c r="QKJ27" s="16"/>
      <c r="QKK27" s="16"/>
      <c r="QKL27" s="16"/>
      <c r="QKM27" s="16"/>
      <c r="QKN27" s="16"/>
      <c r="QKO27" s="16"/>
      <c r="QKP27" s="16"/>
      <c r="QKQ27" s="16"/>
      <c r="QKR27" s="16"/>
      <c r="QKS27" s="16"/>
      <c r="QKT27" s="16"/>
      <c r="QKU27" s="16"/>
      <c r="QKV27" s="16"/>
      <c r="QKW27" s="16"/>
      <c r="QKX27" s="16"/>
      <c r="QKY27" s="16"/>
      <c r="QKZ27" s="16"/>
      <c r="QLA27" s="16"/>
      <c r="QLB27" s="16"/>
      <c r="QLC27" s="16"/>
      <c r="QLD27" s="16"/>
      <c r="QLE27" s="16"/>
      <c r="QLF27" s="16"/>
      <c r="QLG27" s="16"/>
      <c r="QLH27" s="16"/>
      <c r="QLI27" s="16"/>
      <c r="QLJ27" s="16"/>
      <c r="QLK27" s="16"/>
      <c r="QLL27" s="16"/>
      <c r="QLM27" s="16"/>
      <c r="QLN27" s="16"/>
      <c r="QLO27" s="16"/>
      <c r="QLP27" s="16"/>
      <c r="QLQ27" s="16"/>
      <c r="QLR27" s="16"/>
      <c r="QLS27" s="16"/>
      <c r="QLT27" s="16"/>
      <c r="QLU27" s="16"/>
      <c r="QLV27" s="16"/>
      <c r="QLW27" s="16"/>
      <c r="QLX27" s="16"/>
      <c r="QLY27" s="16"/>
      <c r="QLZ27" s="16"/>
      <c r="QMA27" s="16"/>
      <c r="QMB27" s="16"/>
      <c r="QMC27" s="16"/>
      <c r="QMD27" s="16"/>
      <c r="QME27" s="16"/>
      <c r="QMF27" s="16"/>
      <c r="QMG27" s="16"/>
      <c r="QMH27" s="16"/>
      <c r="QMI27" s="16"/>
      <c r="QMJ27" s="16"/>
      <c r="QMK27" s="16"/>
      <c r="QML27" s="16"/>
      <c r="QMM27" s="16"/>
      <c r="QMN27" s="16"/>
      <c r="QMO27" s="16"/>
      <c r="QMP27" s="16"/>
      <c r="QMQ27" s="16"/>
      <c r="QMR27" s="16"/>
      <c r="QMS27" s="16"/>
      <c r="QMT27" s="16"/>
      <c r="QMU27" s="16"/>
      <c r="QMV27" s="16"/>
      <c r="QMW27" s="16"/>
      <c r="QMX27" s="16"/>
      <c r="QMY27" s="16"/>
      <c r="QMZ27" s="16"/>
      <c r="QNA27" s="16"/>
      <c r="QNB27" s="16"/>
      <c r="QNC27" s="16"/>
      <c r="QND27" s="16"/>
      <c r="QNE27" s="16"/>
      <c r="QNF27" s="16"/>
      <c r="QNG27" s="16"/>
      <c r="QNH27" s="16"/>
      <c r="QNI27" s="16"/>
      <c r="QNJ27" s="16"/>
      <c r="QNK27" s="16"/>
      <c r="QNL27" s="16"/>
      <c r="QNM27" s="16"/>
      <c r="QNN27" s="16"/>
      <c r="QNO27" s="16"/>
      <c r="QNP27" s="16"/>
      <c r="QNQ27" s="16"/>
      <c r="QNR27" s="16"/>
      <c r="QNS27" s="16"/>
      <c r="QNT27" s="16"/>
      <c r="QNU27" s="16"/>
      <c r="QNV27" s="16"/>
      <c r="QNW27" s="16"/>
      <c r="QNX27" s="16"/>
      <c r="QNY27" s="16"/>
      <c r="QNZ27" s="16"/>
      <c r="QOA27" s="16"/>
      <c r="QOB27" s="16"/>
      <c r="QOC27" s="16"/>
      <c r="QOD27" s="16"/>
      <c r="QOE27" s="16"/>
      <c r="QOF27" s="16"/>
      <c r="QOG27" s="16"/>
      <c r="QOH27" s="16"/>
      <c r="QOI27" s="16"/>
      <c r="QOJ27" s="16"/>
      <c r="QOK27" s="16"/>
      <c r="QOL27" s="16"/>
      <c r="QOM27" s="16"/>
      <c r="QON27" s="16"/>
      <c r="QOO27" s="16"/>
      <c r="QOP27" s="16"/>
      <c r="QOQ27" s="16"/>
      <c r="QOR27" s="16"/>
      <c r="QOS27" s="16"/>
      <c r="QOT27" s="16"/>
      <c r="QOU27" s="16"/>
      <c r="QOV27" s="16"/>
      <c r="QOW27" s="16"/>
      <c r="QOX27" s="16"/>
      <c r="QOY27" s="16"/>
      <c r="QOZ27" s="16"/>
      <c r="QPA27" s="16"/>
      <c r="QPB27" s="16"/>
      <c r="QPC27" s="16"/>
      <c r="QPD27" s="16"/>
      <c r="QPE27" s="16"/>
      <c r="QPF27" s="16"/>
      <c r="QPG27" s="16"/>
      <c r="QPH27" s="16"/>
      <c r="QPI27" s="16"/>
      <c r="QPJ27" s="16"/>
      <c r="QPK27" s="16"/>
      <c r="QPL27" s="16"/>
      <c r="QPM27" s="16"/>
      <c r="QPN27" s="16"/>
      <c r="QPO27" s="16"/>
      <c r="QPP27" s="16"/>
      <c r="QPQ27" s="16"/>
      <c r="QPR27" s="16"/>
      <c r="QPS27" s="16"/>
      <c r="QPT27" s="16"/>
      <c r="QPU27" s="16"/>
      <c r="QPV27" s="16"/>
      <c r="QPW27" s="16"/>
      <c r="QPX27" s="16"/>
      <c r="QPY27" s="16"/>
      <c r="QPZ27" s="16"/>
      <c r="QQA27" s="16"/>
      <c r="QQB27" s="16"/>
      <c r="QQC27" s="16"/>
      <c r="QQD27" s="16"/>
      <c r="QQE27" s="16"/>
      <c r="QQF27" s="16"/>
      <c r="QQG27" s="16"/>
      <c r="QQH27" s="16"/>
      <c r="QQI27" s="16"/>
      <c r="QQJ27" s="16"/>
      <c r="QQK27" s="16"/>
      <c r="QQL27" s="16"/>
      <c r="QQM27" s="16"/>
      <c r="QQN27" s="16"/>
      <c r="QQO27" s="16"/>
      <c r="QQP27" s="16"/>
      <c r="QQQ27" s="16"/>
      <c r="QQR27" s="16"/>
      <c r="QQS27" s="16"/>
      <c r="QQT27" s="16"/>
      <c r="QQU27" s="16"/>
      <c r="QQV27" s="16"/>
      <c r="QQW27" s="16"/>
      <c r="QQX27" s="16"/>
      <c r="QQY27" s="16"/>
      <c r="QQZ27" s="16"/>
      <c r="QRA27" s="16"/>
      <c r="QRB27" s="16"/>
      <c r="QRC27" s="16"/>
      <c r="QRD27" s="16"/>
      <c r="QRE27" s="16"/>
      <c r="QRF27" s="16"/>
      <c r="QRG27" s="16"/>
      <c r="QRH27" s="16"/>
      <c r="QRI27" s="16"/>
      <c r="QRJ27" s="16"/>
      <c r="QRK27" s="16"/>
      <c r="QRL27" s="16"/>
      <c r="QRM27" s="16"/>
      <c r="QRN27" s="16"/>
      <c r="QRO27" s="16"/>
      <c r="QRP27" s="16"/>
      <c r="QRQ27" s="16"/>
      <c r="QRR27" s="16"/>
      <c r="QRS27" s="16"/>
      <c r="QRT27" s="16"/>
      <c r="QRU27" s="16"/>
      <c r="QRV27" s="16"/>
      <c r="QRW27" s="16"/>
      <c r="QRX27" s="16"/>
      <c r="QRY27" s="16"/>
      <c r="QRZ27" s="16"/>
      <c r="QSA27" s="16"/>
      <c r="QSB27" s="16"/>
      <c r="QSC27" s="16"/>
      <c r="QSD27" s="16"/>
      <c r="QSE27" s="16"/>
      <c r="QSF27" s="16"/>
      <c r="QSG27" s="16"/>
      <c r="QSH27" s="16"/>
      <c r="QSI27" s="16"/>
      <c r="QSJ27" s="16"/>
      <c r="QSK27" s="16"/>
      <c r="QSL27" s="16"/>
      <c r="QSM27" s="16"/>
      <c r="QSN27" s="16"/>
      <c r="QSO27" s="16"/>
      <c r="QSP27" s="16"/>
      <c r="QSQ27" s="16"/>
      <c r="QSR27" s="16"/>
      <c r="QSS27" s="16"/>
      <c r="QST27" s="16"/>
      <c r="QSU27" s="16"/>
      <c r="QSV27" s="16"/>
      <c r="QSW27" s="16"/>
      <c r="QSX27" s="16"/>
      <c r="QSY27" s="16"/>
      <c r="QSZ27" s="16"/>
      <c r="QTA27" s="16"/>
      <c r="QTB27" s="16"/>
      <c r="QTC27" s="16"/>
      <c r="QTD27" s="16"/>
      <c r="QTE27" s="16"/>
      <c r="QTF27" s="16"/>
      <c r="QTG27" s="16"/>
      <c r="QTH27" s="16"/>
      <c r="QTI27" s="16"/>
      <c r="QTJ27" s="16"/>
      <c r="QTK27" s="16"/>
      <c r="QTL27" s="16"/>
      <c r="QTM27" s="16"/>
      <c r="QTN27" s="16"/>
      <c r="QTO27" s="16"/>
      <c r="QTP27" s="16"/>
      <c r="QTQ27" s="16"/>
      <c r="QTR27" s="16"/>
      <c r="QTS27" s="16"/>
      <c r="QTT27" s="16"/>
      <c r="QTU27" s="16"/>
      <c r="QTV27" s="16"/>
      <c r="QTW27" s="16"/>
      <c r="QTX27" s="16"/>
      <c r="QTY27" s="16"/>
      <c r="QTZ27" s="16"/>
      <c r="QUA27" s="16"/>
      <c r="QUB27" s="16"/>
      <c r="QUC27" s="16"/>
      <c r="QUD27" s="16"/>
      <c r="QUE27" s="16"/>
      <c r="QUF27" s="16"/>
      <c r="QUG27" s="16"/>
      <c r="QUH27" s="16"/>
      <c r="QUI27" s="16"/>
      <c r="QUJ27" s="16"/>
      <c r="QUK27" s="16"/>
      <c r="QUL27" s="16"/>
      <c r="QUM27" s="16"/>
      <c r="QUN27" s="16"/>
      <c r="QUO27" s="16"/>
      <c r="QUP27" s="16"/>
      <c r="QUQ27" s="16"/>
      <c r="QUR27" s="16"/>
      <c r="QUS27" s="16"/>
      <c r="QUT27" s="16"/>
      <c r="QUU27" s="16"/>
      <c r="QUV27" s="16"/>
      <c r="QUW27" s="16"/>
      <c r="QUX27" s="16"/>
      <c r="QUY27" s="16"/>
      <c r="QUZ27" s="16"/>
      <c r="QVA27" s="16"/>
      <c r="QVB27" s="16"/>
      <c r="QVC27" s="16"/>
      <c r="QVD27" s="16"/>
      <c r="QVE27" s="16"/>
      <c r="QVF27" s="16"/>
      <c r="QVG27" s="16"/>
      <c r="QVH27" s="16"/>
      <c r="QVI27" s="16"/>
      <c r="QVJ27" s="16"/>
      <c r="QVK27" s="16"/>
      <c r="QVL27" s="16"/>
      <c r="QVM27" s="16"/>
      <c r="QVN27" s="16"/>
      <c r="QVO27" s="16"/>
      <c r="QVP27" s="16"/>
      <c r="QVQ27" s="16"/>
      <c r="QVR27" s="16"/>
      <c r="QVS27" s="16"/>
      <c r="QVT27" s="16"/>
      <c r="QVU27" s="16"/>
      <c r="QVV27" s="16"/>
      <c r="QVW27" s="16"/>
      <c r="QVX27" s="16"/>
      <c r="QVY27" s="16"/>
      <c r="QVZ27" s="16"/>
      <c r="QWA27" s="16"/>
      <c r="QWB27" s="16"/>
      <c r="QWC27" s="16"/>
      <c r="QWD27" s="16"/>
      <c r="QWE27" s="16"/>
      <c r="QWF27" s="16"/>
      <c r="QWG27" s="16"/>
      <c r="QWH27" s="16"/>
      <c r="QWI27" s="16"/>
      <c r="QWJ27" s="16"/>
      <c r="QWK27" s="16"/>
      <c r="QWL27" s="16"/>
      <c r="QWM27" s="16"/>
      <c r="QWN27" s="16"/>
      <c r="QWO27" s="16"/>
      <c r="QWP27" s="16"/>
      <c r="QWQ27" s="16"/>
      <c r="QWR27" s="16"/>
      <c r="QWS27" s="16"/>
      <c r="QWT27" s="16"/>
      <c r="QWU27" s="16"/>
      <c r="QWV27" s="16"/>
      <c r="QWW27" s="16"/>
      <c r="QWX27" s="16"/>
      <c r="QWY27" s="16"/>
      <c r="QWZ27" s="16"/>
      <c r="QXA27" s="16"/>
      <c r="QXB27" s="16"/>
      <c r="QXC27" s="16"/>
      <c r="QXD27" s="16"/>
      <c r="QXE27" s="16"/>
      <c r="QXF27" s="16"/>
      <c r="QXG27" s="16"/>
      <c r="QXH27" s="16"/>
      <c r="QXI27" s="16"/>
      <c r="QXJ27" s="16"/>
      <c r="QXK27" s="16"/>
      <c r="QXL27" s="16"/>
      <c r="QXM27" s="16"/>
      <c r="QXN27" s="16"/>
      <c r="QXO27" s="16"/>
      <c r="QXP27" s="16"/>
      <c r="QXQ27" s="16"/>
      <c r="QXR27" s="16"/>
      <c r="QXS27" s="16"/>
      <c r="QXT27" s="16"/>
      <c r="QXU27" s="16"/>
      <c r="QXV27" s="16"/>
      <c r="QXW27" s="16"/>
      <c r="QXX27" s="16"/>
      <c r="QXY27" s="16"/>
      <c r="QXZ27" s="16"/>
      <c r="QYA27" s="16"/>
      <c r="QYB27" s="16"/>
      <c r="QYC27" s="16"/>
      <c r="QYD27" s="16"/>
      <c r="QYE27" s="16"/>
      <c r="QYF27" s="16"/>
      <c r="QYG27" s="16"/>
      <c r="QYH27" s="16"/>
      <c r="QYI27" s="16"/>
      <c r="QYJ27" s="16"/>
      <c r="QYK27" s="16"/>
      <c r="QYL27" s="16"/>
      <c r="QYM27" s="16"/>
      <c r="QYN27" s="16"/>
      <c r="QYO27" s="16"/>
      <c r="QYP27" s="16"/>
      <c r="QYQ27" s="16"/>
      <c r="QYR27" s="16"/>
      <c r="QYS27" s="16"/>
      <c r="QYT27" s="16"/>
      <c r="QYU27" s="16"/>
      <c r="QYV27" s="16"/>
      <c r="QYW27" s="16"/>
      <c r="QYX27" s="16"/>
      <c r="QYY27" s="16"/>
      <c r="QYZ27" s="16"/>
      <c r="QZA27" s="16"/>
      <c r="QZB27" s="16"/>
      <c r="QZC27" s="16"/>
      <c r="QZD27" s="16"/>
      <c r="QZE27" s="16"/>
      <c r="QZF27" s="16"/>
      <c r="QZG27" s="16"/>
      <c r="QZH27" s="16"/>
      <c r="QZI27" s="16"/>
      <c r="QZJ27" s="16"/>
      <c r="QZK27" s="16"/>
      <c r="QZL27" s="16"/>
      <c r="QZM27" s="16"/>
      <c r="QZN27" s="16"/>
      <c r="QZO27" s="16"/>
      <c r="QZP27" s="16"/>
      <c r="QZQ27" s="16"/>
      <c r="QZR27" s="16"/>
      <c r="QZS27" s="16"/>
      <c r="QZT27" s="16"/>
      <c r="QZU27" s="16"/>
      <c r="QZV27" s="16"/>
      <c r="QZW27" s="16"/>
      <c r="QZX27" s="16"/>
      <c r="QZY27" s="16"/>
      <c r="QZZ27" s="16"/>
      <c r="RAA27" s="16"/>
      <c r="RAB27" s="16"/>
      <c r="RAC27" s="16"/>
      <c r="RAD27" s="16"/>
      <c r="RAE27" s="16"/>
      <c r="RAF27" s="16"/>
      <c r="RAG27" s="16"/>
      <c r="RAH27" s="16"/>
      <c r="RAI27" s="16"/>
      <c r="RAJ27" s="16"/>
      <c r="RAK27" s="16"/>
      <c r="RAL27" s="16"/>
      <c r="RAM27" s="16"/>
      <c r="RAN27" s="16"/>
      <c r="RAO27" s="16"/>
      <c r="RAP27" s="16"/>
      <c r="RAQ27" s="16"/>
      <c r="RAR27" s="16"/>
      <c r="RAS27" s="16"/>
      <c r="RAT27" s="16"/>
      <c r="RAU27" s="16"/>
      <c r="RAV27" s="16"/>
      <c r="RAW27" s="16"/>
      <c r="RAX27" s="16"/>
      <c r="RAY27" s="16"/>
      <c r="RAZ27" s="16"/>
      <c r="RBA27" s="16"/>
      <c r="RBB27" s="16"/>
      <c r="RBC27" s="16"/>
      <c r="RBD27" s="16"/>
      <c r="RBE27" s="16"/>
      <c r="RBF27" s="16"/>
      <c r="RBG27" s="16"/>
      <c r="RBH27" s="16"/>
      <c r="RBI27" s="16"/>
      <c r="RBJ27" s="16"/>
      <c r="RBK27" s="16"/>
      <c r="RBL27" s="16"/>
      <c r="RBM27" s="16"/>
      <c r="RBN27" s="16"/>
      <c r="RBO27" s="16"/>
      <c r="RBP27" s="16"/>
      <c r="RBQ27" s="16"/>
      <c r="RBR27" s="16"/>
      <c r="RBS27" s="16"/>
      <c r="RBT27" s="16"/>
      <c r="RBU27" s="16"/>
      <c r="RBV27" s="16"/>
      <c r="RBW27" s="16"/>
      <c r="RBX27" s="16"/>
      <c r="RBY27" s="16"/>
      <c r="RBZ27" s="16"/>
      <c r="RCA27" s="16"/>
      <c r="RCB27" s="16"/>
      <c r="RCC27" s="16"/>
      <c r="RCD27" s="16"/>
      <c r="RCE27" s="16"/>
      <c r="RCF27" s="16"/>
      <c r="RCG27" s="16"/>
      <c r="RCH27" s="16"/>
      <c r="RCI27" s="16"/>
      <c r="RCJ27" s="16"/>
      <c r="RCK27" s="16"/>
      <c r="RCL27" s="16"/>
      <c r="RCM27" s="16"/>
      <c r="RCN27" s="16"/>
      <c r="RCO27" s="16"/>
      <c r="RCP27" s="16"/>
      <c r="RCQ27" s="16"/>
      <c r="RCR27" s="16"/>
      <c r="RCS27" s="16"/>
      <c r="RCT27" s="16"/>
      <c r="RCU27" s="16"/>
      <c r="RCV27" s="16"/>
      <c r="RCW27" s="16"/>
      <c r="RCX27" s="16"/>
      <c r="RCY27" s="16"/>
      <c r="RCZ27" s="16"/>
      <c r="RDA27" s="16"/>
      <c r="RDB27" s="16"/>
      <c r="RDC27" s="16"/>
      <c r="RDD27" s="16"/>
      <c r="RDE27" s="16"/>
      <c r="RDF27" s="16"/>
      <c r="RDG27" s="16"/>
      <c r="RDH27" s="16"/>
      <c r="RDI27" s="16"/>
      <c r="RDJ27" s="16"/>
      <c r="RDK27" s="16"/>
      <c r="RDL27" s="16"/>
      <c r="RDM27" s="16"/>
      <c r="RDN27" s="16"/>
      <c r="RDO27" s="16"/>
      <c r="RDP27" s="16"/>
      <c r="RDQ27" s="16"/>
      <c r="RDR27" s="16"/>
      <c r="RDS27" s="16"/>
      <c r="RDT27" s="16"/>
      <c r="RDU27" s="16"/>
      <c r="RDV27" s="16"/>
      <c r="RDW27" s="16"/>
      <c r="RDX27" s="16"/>
      <c r="RDY27" s="16"/>
      <c r="RDZ27" s="16"/>
      <c r="REA27" s="16"/>
      <c r="REB27" s="16"/>
      <c r="REC27" s="16"/>
      <c r="RED27" s="16"/>
      <c r="REE27" s="16"/>
      <c r="REF27" s="16"/>
      <c r="REG27" s="16"/>
      <c r="REH27" s="16"/>
      <c r="REI27" s="16"/>
      <c r="REJ27" s="16"/>
      <c r="REK27" s="16"/>
      <c r="REL27" s="16"/>
      <c r="REM27" s="16"/>
      <c r="REN27" s="16"/>
      <c r="REO27" s="16"/>
      <c r="REP27" s="16"/>
      <c r="REQ27" s="16"/>
      <c r="RER27" s="16"/>
      <c r="RES27" s="16"/>
      <c r="RET27" s="16"/>
      <c r="REU27" s="16"/>
      <c r="REV27" s="16"/>
      <c r="REW27" s="16"/>
      <c r="REX27" s="16"/>
      <c r="REY27" s="16"/>
      <c r="REZ27" s="16"/>
      <c r="RFA27" s="16"/>
      <c r="RFB27" s="16"/>
      <c r="RFC27" s="16"/>
      <c r="RFD27" s="16"/>
      <c r="RFE27" s="16"/>
      <c r="RFF27" s="16"/>
      <c r="RFG27" s="16"/>
      <c r="RFH27" s="16"/>
      <c r="RFI27" s="16"/>
      <c r="RFJ27" s="16"/>
      <c r="RFK27" s="16"/>
      <c r="RFL27" s="16"/>
      <c r="RFM27" s="16"/>
      <c r="RFN27" s="16"/>
      <c r="RFO27" s="16"/>
      <c r="RFP27" s="16"/>
      <c r="RFQ27" s="16"/>
      <c r="RFR27" s="16"/>
      <c r="RFS27" s="16"/>
      <c r="RFT27" s="16"/>
      <c r="RFU27" s="16"/>
      <c r="RFV27" s="16"/>
      <c r="RFW27" s="16"/>
      <c r="RFX27" s="16"/>
      <c r="RFY27" s="16"/>
      <c r="RFZ27" s="16"/>
      <c r="RGA27" s="16"/>
      <c r="RGB27" s="16"/>
      <c r="RGC27" s="16"/>
      <c r="RGD27" s="16"/>
      <c r="RGE27" s="16"/>
      <c r="RGF27" s="16"/>
      <c r="RGG27" s="16"/>
      <c r="RGH27" s="16"/>
      <c r="RGI27" s="16"/>
      <c r="RGJ27" s="16"/>
      <c r="RGK27" s="16"/>
      <c r="RGL27" s="16"/>
      <c r="RGM27" s="16"/>
      <c r="RGN27" s="16"/>
      <c r="RGO27" s="16"/>
      <c r="RGP27" s="16"/>
      <c r="RGQ27" s="16"/>
      <c r="RGR27" s="16"/>
      <c r="RGS27" s="16"/>
      <c r="RGT27" s="16"/>
      <c r="RGU27" s="16"/>
      <c r="RGV27" s="16"/>
      <c r="RGW27" s="16"/>
      <c r="RGX27" s="16"/>
      <c r="RGY27" s="16"/>
      <c r="RGZ27" s="16"/>
      <c r="RHA27" s="16"/>
      <c r="RHB27" s="16"/>
      <c r="RHC27" s="16"/>
      <c r="RHD27" s="16"/>
      <c r="RHE27" s="16"/>
      <c r="RHF27" s="16"/>
      <c r="RHG27" s="16"/>
      <c r="RHH27" s="16"/>
      <c r="RHI27" s="16"/>
      <c r="RHJ27" s="16"/>
      <c r="RHK27" s="16"/>
      <c r="RHL27" s="16"/>
      <c r="RHM27" s="16"/>
      <c r="RHN27" s="16"/>
      <c r="RHO27" s="16"/>
      <c r="RHP27" s="16"/>
      <c r="RHQ27" s="16"/>
      <c r="RHR27" s="16"/>
      <c r="RHS27" s="16"/>
      <c r="RHT27" s="16"/>
      <c r="RHU27" s="16"/>
      <c r="RHV27" s="16"/>
      <c r="RHW27" s="16"/>
      <c r="RHX27" s="16"/>
      <c r="RHY27" s="16"/>
      <c r="RHZ27" s="16"/>
      <c r="RIA27" s="16"/>
      <c r="RIB27" s="16"/>
      <c r="RIC27" s="16"/>
      <c r="RID27" s="16"/>
      <c r="RIE27" s="16"/>
      <c r="RIF27" s="16"/>
      <c r="RIG27" s="16"/>
      <c r="RIH27" s="16"/>
      <c r="RII27" s="16"/>
      <c r="RIJ27" s="16"/>
      <c r="RIK27" s="16"/>
      <c r="RIL27" s="16"/>
      <c r="RIM27" s="16"/>
      <c r="RIN27" s="16"/>
      <c r="RIO27" s="16"/>
      <c r="RIP27" s="16"/>
      <c r="RIQ27" s="16"/>
      <c r="RIR27" s="16"/>
      <c r="RIS27" s="16"/>
      <c r="RIT27" s="16"/>
      <c r="RIU27" s="16"/>
      <c r="RIV27" s="16"/>
      <c r="RIW27" s="16"/>
      <c r="RIX27" s="16"/>
      <c r="RIY27" s="16"/>
      <c r="RIZ27" s="16"/>
      <c r="RJA27" s="16"/>
      <c r="RJB27" s="16"/>
      <c r="RJC27" s="16"/>
      <c r="RJD27" s="16"/>
      <c r="RJE27" s="16"/>
      <c r="RJF27" s="16"/>
      <c r="RJG27" s="16"/>
      <c r="RJH27" s="16"/>
      <c r="RJI27" s="16"/>
      <c r="RJJ27" s="16"/>
      <c r="RJK27" s="16"/>
      <c r="RJL27" s="16"/>
      <c r="RJM27" s="16"/>
      <c r="RJN27" s="16"/>
      <c r="RJO27" s="16"/>
      <c r="RJP27" s="16"/>
      <c r="RJQ27" s="16"/>
      <c r="RJR27" s="16"/>
      <c r="RJS27" s="16"/>
      <c r="RJT27" s="16"/>
      <c r="RJU27" s="16"/>
      <c r="RJV27" s="16"/>
      <c r="RJW27" s="16"/>
      <c r="RJX27" s="16"/>
      <c r="RJY27" s="16"/>
      <c r="RJZ27" s="16"/>
      <c r="RKA27" s="16"/>
      <c r="RKB27" s="16"/>
      <c r="RKC27" s="16"/>
      <c r="RKD27" s="16"/>
      <c r="RKE27" s="16"/>
      <c r="RKF27" s="16"/>
      <c r="RKG27" s="16"/>
      <c r="RKH27" s="16"/>
      <c r="RKI27" s="16"/>
      <c r="RKJ27" s="16"/>
      <c r="RKK27" s="16"/>
      <c r="RKL27" s="16"/>
      <c r="RKM27" s="16"/>
      <c r="RKN27" s="16"/>
      <c r="RKO27" s="16"/>
      <c r="RKP27" s="16"/>
      <c r="RKQ27" s="16"/>
      <c r="RKR27" s="16"/>
      <c r="RKS27" s="16"/>
      <c r="RKT27" s="16"/>
      <c r="RKU27" s="16"/>
      <c r="RKV27" s="16"/>
      <c r="RKW27" s="16"/>
      <c r="RKX27" s="16"/>
      <c r="RKY27" s="16"/>
      <c r="RKZ27" s="16"/>
      <c r="RLA27" s="16"/>
      <c r="RLB27" s="16"/>
      <c r="RLC27" s="16"/>
      <c r="RLD27" s="16"/>
      <c r="RLE27" s="16"/>
      <c r="RLF27" s="16"/>
      <c r="RLG27" s="16"/>
      <c r="RLH27" s="16"/>
      <c r="RLI27" s="16"/>
      <c r="RLJ27" s="16"/>
      <c r="RLK27" s="16"/>
      <c r="RLL27" s="16"/>
      <c r="RLM27" s="16"/>
      <c r="RLN27" s="16"/>
      <c r="RLO27" s="16"/>
      <c r="RLP27" s="16"/>
      <c r="RLQ27" s="16"/>
      <c r="RLR27" s="16"/>
      <c r="RLS27" s="16"/>
      <c r="RLT27" s="16"/>
      <c r="RLU27" s="16"/>
      <c r="RLV27" s="16"/>
      <c r="RLW27" s="16"/>
      <c r="RLX27" s="16"/>
      <c r="RLY27" s="16"/>
      <c r="RLZ27" s="16"/>
      <c r="RMA27" s="16"/>
      <c r="RMB27" s="16"/>
      <c r="RMC27" s="16"/>
      <c r="RMD27" s="16"/>
      <c r="RME27" s="16"/>
      <c r="RMF27" s="16"/>
      <c r="RMG27" s="16"/>
      <c r="RMH27" s="16"/>
      <c r="RMI27" s="16"/>
      <c r="RMJ27" s="16"/>
      <c r="RMK27" s="16"/>
      <c r="RML27" s="16"/>
      <c r="RMM27" s="16"/>
      <c r="RMN27" s="16"/>
      <c r="RMO27" s="16"/>
      <c r="RMP27" s="16"/>
      <c r="RMQ27" s="16"/>
      <c r="RMR27" s="16"/>
      <c r="RMS27" s="16"/>
      <c r="RMT27" s="16"/>
      <c r="RMU27" s="16"/>
      <c r="RMV27" s="16"/>
      <c r="RMW27" s="16"/>
      <c r="RMX27" s="16"/>
      <c r="RMY27" s="16"/>
      <c r="RMZ27" s="16"/>
      <c r="RNA27" s="16"/>
      <c r="RNB27" s="16"/>
      <c r="RNC27" s="16"/>
      <c r="RND27" s="16"/>
      <c r="RNE27" s="16"/>
      <c r="RNF27" s="16"/>
      <c r="RNG27" s="16"/>
      <c r="RNH27" s="16"/>
      <c r="RNI27" s="16"/>
      <c r="RNJ27" s="16"/>
      <c r="RNK27" s="16"/>
      <c r="RNL27" s="16"/>
      <c r="RNM27" s="16"/>
      <c r="RNN27" s="16"/>
      <c r="RNO27" s="16"/>
      <c r="RNP27" s="16"/>
      <c r="RNQ27" s="16"/>
      <c r="RNR27" s="16"/>
      <c r="RNS27" s="16"/>
      <c r="RNT27" s="16"/>
      <c r="RNU27" s="16"/>
      <c r="RNV27" s="16"/>
      <c r="RNW27" s="16"/>
      <c r="RNX27" s="16"/>
      <c r="RNY27" s="16"/>
      <c r="RNZ27" s="16"/>
      <c r="ROA27" s="16"/>
      <c r="ROB27" s="16"/>
      <c r="ROC27" s="16"/>
      <c r="ROD27" s="16"/>
      <c r="ROE27" s="16"/>
      <c r="ROF27" s="16"/>
      <c r="ROG27" s="16"/>
      <c r="ROH27" s="16"/>
      <c r="ROI27" s="16"/>
      <c r="ROJ27" s="16"/>
      <c r="ROK27" s="16"/>
      <c r="ROL27" s="16"/>
      <c r="ROM27" s="16"/>
      <c r="RON27" s="16"/>
      <c r="ROO27" s="16"/>
      <c r="ROP27" s="16"/>
      <c r="ROQ27" s="16"/>
      <c r="ROR27" s="16"/>
      <c r="ROS27" s="16"/>
      <c r="ROT27" s="16"/>
      <c r="ROU27" s="16"/>
      <c r="ROV27" s="16"/>
      <c r="ROW27" s="16"/>
      <c r="ROX27" s="16"/>
      <c r="ROY27" s="16"/>
      <c r="ROZ27" s="16"/>
      <c r="RPA27" s="16"/>
      <c r="RPB27" s="16"/>
      <c r="RPC27" s="16"/>
      <c r="RPD27" s="16"/>
      <c r="RPE27" s="16"/>
      <c r="RPF27" s="16"/>
      <c r="RPG27" s="16"/>
      <c r="RPH27" s="16"/>
      <c r="RPI27" s="16"/>
      <c r="RPJ27" s="16"/>
      <c r="RPK27" s="16"/>
      <c r="RPL27" s="16"/>
      <c r="RPM27" s="16"/>
      <c r="RPN27" s="16"/>
      <c r="RPO27" s="16"/>
      <c r="RPP27" s="16"/>
      <c r="RPQ27" s="16"/>
      <c r="RPR27" s="16"/>
      <c r="RPS27" s="16"/>
      <c r="RPT27" s="16"/>
      <c r="RPU27" s="16"/>
      <c r="RPV27" s="16"/>
      <c r="RPW27" s="16"/>
      <c r="RPX27" s="16"/>
      <c r="RPY27" s="16"/>
      <c r="RPZ27" s="16"/>
      <c r="RQA27" s="16"/>
      <c r="RQB27" s="16"/>
      <c r="RQC27" s="16"/>
      <c r="RQD27" s="16"/>
      <c r="RQE27" s="16"/>
      <c r="RQF27" s="16"/>
      <c r="RQG27" s="16"/>
      <c r="RQH27" s="16"/>
      <c r="RQI27" s="16"/>
      <c r="RQJ27" s="16"/>
      <c r="RQK27" s="16"/>
      <c r="RQL27" s="16"/>
      <c r="RQM27" s="16"/>
      <c r="RQN27" s="16"/>
      <c r="RQO27" s="16"/>
      <c r="RQP27" s="16"/>
      <c r="RQQ27" s="16"/>
      <c r="RQR27" s="16"/>
      <c r="RQS27" s="16"/>
      <c r="RQT27" s="16"/>
      <c r="RQU27" s="16"/>
      <c r="RQV27" s="16"/>
      <c r="RQW27" s="16"/>
      <c r="RQX27" s="16"/>
      <c r="RQY27" s="16"/>
      <c r="RQZ27" s="16"/>
      <c r="RRA27" s="16"/>
      <c r="RRB27" s="16"/>
      <c r="RRC27" s="16"/>
      <c r="RRD27" s="16"/>
      <c r="RRE27" s="16"/>
      <c r="RRF27" s="16"/>
      <c r="RRG27" s="16"/>
      <c r="RRH27" s="16"/>
      <c r="RRI27" s="16"/>
      <c r="RRJ27" s="16"/>
      <c r="RRK27" s="16"/>
      <c r="RRL27" s="16"/>
      <c r="RRM27" s="16"/>
      <c r="RRN27" s="16"/>
      <c r="RRO27" s="16"/>
      <c r="RRP27" s="16"/>
      <c r="RRQ27" s="16"/>
      <c r="RRR27" s="16"/>
      <c r="RRS27" s="16"/>
      <c r="RRT27" s="16"/>
      <c r="RRU27" s="16"/>
      <c r="RRV27" s="16"/>
      <c r="RRW27" s="16"/>
      <c r="RRX27" s="16"/>
      <c r="RRY27" s="16"/>
      <c r="RRZ27" s="16"/>
      <c r="RSA27" s="16"/>
      <c r="RSB27" s="16"/>
      <c r="RSC27" s="16"/>
      <c r="RSD27" s="16"/>
      <c r="RSE27" s="16"/>
      <c r="RSF27" s="16"/>
      <c r="RSG27" s="16"/>
      <c r="RSH27" s="16"/>
      <c r="RSI27" s="16"/>
      <c r="RSJ27" s="16"/>
      <c r="RSK27" s="16"/>
      <c r="RSL27" s="16"/>
      <c r="RSM27" s="16"/>
      <c r="RSN27" s="16"/>
      <c r="RSO27" s="16"/>
      <c r="RSP27" s="16"/>
      <c r="RSQ27" s="16"/>
      <c r="RSR27" s="16"/>
      <c r="RSS27" s="16"/>
      <c r="RST27" s="16"/>
      <c r="RSU27" s="16"/>
      <c r="RSV27" s="16"/>
      <c r="RSW27" s="16"/>
      <c r="RSX27" s="16"/>
      <c r="RSY27" s="16"/>
      <c r="RSZ27" s="16"/>
      <c r="RTA27" s="16"/>
      <c r="RTB27" s="16"/>
      <c r="RTC27" s="16"/>
      <c r="RTD27" s="16"/>
      <c r="RTE27" s="16"/>
      <c r="RTF27" s="16"/>
      <c r="RTG27" s="16"/>
      <c r="RTH27" s="16"/>
      <c r="RTI27" s="16"/>
      <c r="RTJ27" s="16"/>
      <c r="RTK27" s="16"/>
      <c r="RTL27" s="16"/>
      <c r="RTM27" s="16"/>
      <c r="RTN27" s="16"/>
      <c r="RTO27" s="16"/>
      <c r="RTP27" s="16"/>
      <c r="RTQ27" s="16"/>
      <c r="RTR27" s="16"/>
      <c r="RTS27" s="16"/>
      <c r="RTT27" s="16"/>
      <c r="RTU27" s="16"/>
      <c r="RTV27" s="16"/>
      <c r="RTW27" s="16"/>
      <c r="RTX27" s="16"/>
      <c r="RTY27" s="16"/>
      <c r="RTZ27" s="16"/>
      <c r="RUA27" s="16"/>
      <c r="RUB27" s="16"/>
      <c r="RUC27" s="16"/>
      <c r="RUD27" s="16"/>
      <c r="RUE27" s="16"/>
      <c r="RUF27" s="16"/>
      <c r="RUG27" s="16"/>
      <c r="RUH27" s="16"/>
      <c r="RUI27" s="16"/>
      <c r="RUJ27" s="16"/>
      <c r="RUK27" s="16"/>
      <c r="RUL27" s="16"/>
      <c r="RUM27" s="16"/>
      <c r="RUN27" s="16"/>
      <c r="RUO27" s="16"/>
      <c r="RUP27" s="16"/>
      <c r="RUQ27" s="16"/>
      <c r="RUR27" s="16"/>
      <c r="RUS27" s="16"/>
      <c r="RUT27" s="16"/>
      <c r="RUU27" s="16"/>
      <c r="RUV27" s="16"/>
      <c r="RUW27" s="16"/>
      <c r="RUX27" s="16"/>
      <c r="RUY27" s="16"/>
      <c r="RUZ27" s="16"/>
      <c r="RVA27" s="16"/>
      <c r="RVB27" s="16"/>
      <c r="RVC27" s="16"/>
      <c r="RVD27" s="16"/>
      <c r="RVE27" s="16"/>
      <c r="RVF27" s="16"/>
      <c r="RVG27" s="16"/>
      <c r="RVH27" s="16"/>
      <c r="RVI27" s="16"/>
      <c r="RVJ27" s="16"/>
      <c r="RVK27" s="16"/>
      <c r="RVL27" s="16"/>
      <c r="RVM27" s="16"/>
      <c r="RVN27" s="16"/>
      <c r="RVO27" s="16"/>
      <c r="RVP27" s="16"/>
      <c r="RVQ27" s="16"/>
      <c r="RVR27" s="16"/>
      <c r="RVS27" s="16"/>
      <c r="RVT27" s="16"/>
      <c r="RVU27" s="16"/>
      <c r="RVV27" s="16"/>
      <c r="RVW27" s="16"/>
      <c r="RVX27" s="16"/>
      <c r="RVY27" s="16"/>
      <c r="RVZ27" s="16"/>
      <c r="RWA27" s="16"/>
      <c r="RWB27" s="16"/>
      <c r="RWC27" s="16"/>
      <c r="RWD27" s="16"/>
      <c r="RWE27" s="16"/>
      <c r="RWF27" s="16"/>
      <c r="RWG27" s="16"/>
      <c r="RWH27" s="16"/>
      <c r="RWI27" s="16"/>
      <c r="RWJ27" s="16"/>
      <c r="RWK27" s="16"/>
      <c r="RWL27" s="16"/>
      <c r="RWM27" s="16"/>
      <c r="RWN27" s="16"/>
      <c r="RWO27" s="16"/>
      <c r="RWP27" s="16"/>
      <c r="RWQ27" s="16"/>
      <c r="RWR27" s="16"/>
      <c r="RWS27" s="16"/>
      <c r="RWT27" s="16"/>
      <c r="RWU27" s="16"/>
      <c r="RWV27" s="16"/>
      <c r="RWW27" s="16"/>
      <c r="RWX27" s="16"/>
      <c r="RWY27" s="16"/>
      <c r="RWZ27" s="16"/>
      <c r="RXA27" s="16"/>
      <c r="RXB27" s="16"/>
      <c r="RXC27" s="16"/>
      <c r="RXD27" s="16"/>
      <c r="RXE27" s="16"/>
      <c r="RXF27" s="16"/>
      <c r="RXG27" s="16"/>
      <c r="RXH27" s="16"/>
      <c r="RXI27" s="16"/>
      <c r="RXJ27" s="16"/>
      <c r="RXK27" s="16"/>
      <c r="RXL27" s="16"/>
      <c r="RXM27" s="16"/>
      <c r="RXN27" s="16"/>
      <c r="RXO27" s="16"/>
      <c r="RXP27" s="16"/>
      <c r="RXQ27" s="16"/>
      <c r="RXR27" s="16"/>
      <c r="RXS27" s="16"/>
      <c r="RXT27" s="16"/>
      <c r="RXU27" s="16"/>
      <c r="RXV27" s="16"/>
      <c r="RXW27" s="16"/>
      <c r="RXX27" s="16"/>
      <c r="RXY27" s="16"/>
      <c r="RXZ27" s="16"/>
      <c r="RYA27" s="16"/>
      <c r="RYB27" s="16"/>
      <c r="RYC27" s="16"/>
      <c r="RYD27" s="16"/>
      <c r="RYE27" s="16"/>
      <c r="RYF27" s="16"/>
      <c r="RYG27" s="16"/>
      <c r="RYH27" s="16"/>
      <c r="RYI27" s="16"/>
      <c r="RYJ27" s="16"/>
      <c r="RYK27" s="16"/>
      <c r="RYL27" s="16"/>
      <c r="RYM27" s="16"/>
      <c r="RYN27" s="16"/>
      <c r="RYO27" s="16"/>
      <c r="RYP27" s="16"/>
      <c r="RYQ27" s="16"/>
      <c r="RYR27" s="16"/>
      <c r="RYS27" s="16"/>
      <c r="RYT27" s="16"/>
      <c r="RYU27" s="16"/>
      <c r="RYV27" s="16"/>
      <c r="RYW27" s="16"/>
      <c r="RYX27" s="16"/>
      <c r="RYY27" s="16"/>
      <c r="RYZ27" s="16"/>
      <c r="RZA27" s="16"/>
      <c r="RZB27" s="16"/>
      <c r="RZC27" s="16"/>
      <c r="RZD27" s="16"/>
      <c r="RZE27" s="16"/>
      <c r="RZF27" s="16"/>
      <c r="RZG27" s="16"/>
      <c r="RZH27" s="16"/>
      <c r="RZI27" s="16"/>
      <c r="RZJ27" s="16"/>
      <c r="RZK27" s="16"/>
      <c r="RZL27" s="16"/>
      <c r="RZM27" s="16"/>
      <c r="RZN27" s="16"/>
      <c r="RZO27" s="16"/>
      <c r="RZP27" s="16"/>
      <c r="RZQ27" s="16"/>
      <c r="RZR27" s="16"/>
      <c r="RZS27" s="16"/>
      <c r="RZT27" s="16"/>
      <c r="RZU27" s="16"/>
      <c r="RZV27" s="16"/>
      <c r="RZW27" s="16"/>
      <c r="RZX27" s="16"/>
      <c r="RZY27" s="16"/>
      <c r="RZZ27" s="16"/>
      <c r="SAA27" s="16"/>
      <c r="SAB27" s="16"/>
      <c r="SAC27" s="16"/>
      <c r="SAD27" s="16"/>
      <c r="SAE27" s="16"/>
      <c r="SAF27" s="16"/>
      <c r="SAG27" s="16"/>
      <c r="SAH27" s="16"/>
      <c r="SAI27" s="16"/>
      <c r="SAJ27" s="16"/>
      <c r="SAK27" s="16"/>
      <c r="SAL27" s="16"/>
      <c r="SAM27" s="16"/>
      <c r="SAN27" s="16"/>
      <c r="SAO27" s="16"/>
      <c r="SAP27" s="16"/>
      <c r="SAQ27" s="16"/>
      <c r="SAR27" s="16"/>
      <c r="SAS27" s="16"/>
      <c r="SAT27" s="16"/>
      <c r="SAU27" s="16"/>
      <c r="SAV27" s="16"/>
      <c r="SAW27" s="16"/>
      <c r="SAX27" s="16"/>
      <c r="SAY27" s="16"/>
      <c r="SAZ27" s="16"/>
      <c r="SBA27" s="16"/>
      <c r="SBB27" s="16"/>
      <c r="SBC27" s="16"/>
      <c r="SBD27" s="16"/>
      <c r="SBE27" s="16"/>
      <c r="SBF27" s="16"/>
      <c r="SBG27" s="16"/>
      <c r="SBH27" s="16"/>
      <c r="SBI27" s="16"/>
      <c r="SBJ27" s="16"/>
      <c r="SBK27" s="16"/>
      <c r="SBL27" s="16"/>
      <c r="SBM27" s="16"/>
      <c r="SBN27" s="16"/>
      <c r="SBO27" s="16"/>
      <c r="SBP27" s="16"/>
      <c r="SBQ27" s="16"/>
      <c r="SBR27" s="16"/>
      <c r="SBS27" s="16"/>
      <c r="SBT27" s="16"/>
      <c r="SBU27" s="16"/>
      <c r="SBV27" s="16"/>
      <c r="SBW27" s="16"/>
      <c r="SBX27" s="16"/>
      <c r="SBY27" s="16"/>
      <c r="SBZ27" s="16"/>
      <c r="SCA27" s="16"/>
      <c r="SCB27" s="16"/>
      <c r="SCC27" s="16"/>
      <c r="SCD27" s="16"/>
      <c r="SCE27" s="16"/>
      <c r="SCF27" s="16"/>
      <c r="SCG27" s="16"/>
      <c r="SCH27" s="16"/>
      <c r="SCI27" s="16"/>
      <c r="SCJ27" s="16"/>
      <c r="SCK27" s="16"/>
      <c r="SCL27" s="16"/>
      <c r="SCM27" s="16"/>
      <c r="SCN27" s="16"/>
      <c r="SCO27" s="16"/>
      <c r="SCP27" s="16"/>
      <c r="SCQ27" s="16"/>
      <c r="SCR27" s="16"/>
      <c r="SCS27" s="16"/>
      <c r="SCT27" s="16"/>
      <c r="SCU27" s="16"/>
      <c r="SCV27" s="16"/>
      <c r="SCW27" s="16"/>
      <c r="SCX27" s="16"/>
      <c r="SCY27" s="16"/>
      <c r="SCZ27" s="16"/>
      <c r="SDA27" s="16"/>
      <c r="SDB27" s="16"/>
      <c r="SDC27" s="16"/>
      <c r="SDD27" s="16"/>
      <c r="SDE27" s="16"/>
      <c r="SDF27" s="16"/>
      <c r="SDG27" s="16"/>
      <c r="SDH27" s="16"/>
      <c r="SDI27" s="16"/>
      <c r="SDJ27" s="16"/>
      <c r="SDK27" s="16"/>
      <c r="SDL27" s="16"/>
      <c r="SDM27" s="16"/>
      <c r="SDN27" s="16"/>
      <c r="SDO27" s="16"/>
      <c r="SDP27" s="16"/>
      <c r="SDQ27" s="16"/>
      <c r="SDR27" s="16"/>
      <c r="SDS27" s="16"/>
      <c r="SDT27" s="16"/>
      <c r="SDU27" s="16"/>
      <c r="SDV27" s="16"/>
      <c r="SDW27" s="16"/>
      <c r="SDX27" s="16"/>
      <c r="SDY27" s="16"/>
      <c r="SDZ27" s="16"/>
      <c r="SEA27" s="16"/>
      <c r="SEB27" s="16"/>
      <c r="SEC27" s="16"/>
      <c r="SED27" s="16"/>
      <c r="SEE27" s="16"/>
      <c r="SEF27" s="16"/>
      <c r="SEG27" s="16"/>
      <c r="SEH27" s="16"/>
      <c r="SEI27" s="16"/>
      <c r="SEJ27" s="16"/>
      <c r="SEK27" s="16"/>
      <c r="SEL27" s="16"/>
      <c r="SEM27" s="16"/>
      <c r="SEN27" s="16"/>
      <c r="SEO27" s="16"/>
      <c r="SEP27" s="16"/>
      <c r="SEQ27" s="16"/>
      <c r="SER27" s="16"/>
      <c r="SES27" s="16"/>
      <c r="SET27" s="16"/>
      <c r="SEU27" s="16"/>
      <c r="SEV27" s="16"/>
      <c r="SEW27" s="16"/>
      <c r="SEX27" s="16"/>
      <c r="SEY27" s="16"/>
      <c r="SEZ27" s="16"/>
      <c r="SFA27" s="16"/>
      <c r="SFB27" s="16"/>
      <c r="SFC27" s="16"/>
      <c r="SFD27" s="16"/>
      <c r="SFE27" s="16"/>
      <c r="SFF27" s="16"/>
      <c r="SFG27" s="16"/>
      <c r="SFH27" s="16"/>
      <c r="SFI27" s="16"/>
      <c r="SFJ27" s="16"/>
      <c r="SFK27" s="16"/>
      <c r="SFL27" s="16"/>
      <c r="SFM27" s="16"/>
      <c r="SFN27" s="16"/>
      <c r="SFO27" s="16"/>
      <c r="SFP27" s="16"/>
      <c r="SFQ27" s="16"/>
      <c r="SFR27" s="16"/>
      <c r="SFS27" s="16"/>
      <c r="SFT27" s="16"/>
      <c r="SFU27" s="16"/>
      <c r="SFV27" s="16"/>
      <c r="SFW27" s="16"/>
      <c r="SFX27" s="16"/>
      <c r="SFY27" s="16"/>
      <c r="SFZ27" s="16"/>
      <c r="SGA27" s="16"/>
      <c r="SGB27" s="16"/>
      <c r="SGC27" s="16"/>
      <c r="SGD27" s="16"/>
      <c r="SGE27" s="16"/>
      <c r="SGF27" s="16"/>
      <c r="SGG27" s="16"/>
      <c r="SGH27" s="16"/>
      <c r="SGI27" s="16"/>
      <c r="SGJ27" s="16"/>
      <c r="SGK27" s="16"/>
      <c r="SGL27" s="16"/>
      <c r="SGM27" s="16"/>
      <c r="SGN27" s="16"/>
      <c r="SGO27" s="16"/>
      <c r="SGP27" s="16"/>
      <c r="SGQ27" s="16"/>
      <c r="SGR27" s="16"/>
      <c r="SGS27" s="16"/>
      <c r="SGT27" s="16"/>
      <c r="SGU27" s="16"/>
      <c r="SGV27" s="16"/>
      <c r="SGW27" s="16"/>
      <c r="SGX27" s="16"/>
      <c r="SGY27" s="16"/>
      <c r="SGZ27" s="16"/>
      <c r="SHA27" s="16"/>
      <c r="SHB27" s="16"/>
      <c r="SHC27" s="16"/>
      <c r="SHD27" s="16"/>
      <c r="SHE27" s="16"/>
      <c r="SHF27" s="16"/>
      <c r="SHG27" s="16"/>
      <c r="SHH27" s="16"/>
      <c r="SHI27" s="16"/>
      <c r="SHJ27" s="16"/>
      <c r="SHK27" s="16"/>
      <c r="SHL27" s="16"/>
      <c r="SHM27" s="16"/>
      <c r="SHN27" s="16"/>
      <c r="SHO27" s="16"/>
      <c r="SHP27" s="16"/>
      <c r="SHQ27" s="16"/>
      <c r="SHR27" s="16"/>
      <c r="SHS27" s="16"/>
      <c r="SHT27" s="16"/>
      <c r="SHU27" s="16"/>
      <c r="SHV27" s="16"/>
      <c r="SHW27" s="16"/>
      <c r="SHX27" s="16"/>
      <c r="SHY27" s="16"/>
      <c r="SHZ27" s="16"/>
      <c r="SIA27" s="16"/>
      <c r="SIB27" s="16"/>
      <c r="SIC27" s="16"/>
      <c r="SID27" s="16"/>
      <c r="SIE27" s="16"/>
      <c r="SIF27" s="16"/>
      <c r="SIG27" s="16"/>
      <c r="SIH27" s="16"/>
      <c r="SII27" s="16"/>
      <c r="SIJ27" s="16"/>
      <c r="SIK27" s="16"/>
      <c r="SIL27" s="16"/>
      <c r="SIM27" s="16"/>
      <c r="SIN27" s="16"/>
      <c r="SIO27" s="16"/>
      <c r="SIP27" s="16"/>
      <c r="SIQ27" s="16"/>
      <c r="SIR27" s="16"/>
      <c r="SIS27" s="16"/>
      <c r="SIT27" s="16"/>
      <c r="SIU27" s="16"/>
      <c r="SIV27" s="16"/>
      <c r="SIW27" s="16"/>
      <c r="SIX27" s="16"/>
      <c r="SIY27" s="16"/>
      <c r="SIZ27" s="16"/>
      <c r="SJA27" s="16"/>
      <c r="SJB27" s="16"/>
      <c r="SJC27" s="16"/>
      <c r="SJD27" s="16"/>
      <c r="SJE27" s="16"/>
      <c r="SJF27" s="16"/>
      <c r="SJG27" s="16"/>
      <c r="SJH27" s="16"/>
      <c r="SJI27" s="16"/>
      <c r="SJJ27" s="16"/>
      <c r="SJK27" s="16"/>
      <c r="SJL27" s="16"/>
      <c r="SJM27" s="16"/>
      <c r="SJN27" s="16"/>
      <c r="SJO27" s="16"/>
      <c r="SJP27" s="16"/>
      <c r="SJQ27" s="16"/>
      <c r="SJR27" s="16"/>
      <c r="SJS27" s="16"/>
      <c r="SJT27" s="16"/>
      <c r="SJU27" s="16"/>
      <c r="SJV27" s="16"/>
      <c r="SJW27" s="16"/>
      <c r="SJX27" s="16"/>
      <c r="SJY27" s="16"/>
      <c r="SJZ27" s="16"/>
      <c r="SKA27" s="16"/>
      <c r="SKB27" s="16"/>
      <c r="SKC27" s="16"/>
      <c r="SKD27" s="16"/>
      <c r="SKE27" s="16"/>
      <c r="SKF27" s="16"/>
      <c r="SKG27" s="16"/>
      <c r="SKH27" s="16"/>
      <c r="SKI27" s="16"/>
      <c r="SKJ27" s="16"/>
      <c r="SKK27" s="16"/>
      <c r="SKL27" s="16"/>
      <c r="SKM27" s="16"/>
      <c r="SKN27" s="16"/>
      <c r="SKO27" s="16"/>
      <c r="SKP27" s="16"/>
      <c r="SKQ27" s="16"/>
      <c r="SKR27" s="16"/>
      <c r="SKS27" s="16"/>
      <c r="SKT27" s="16"/>
      <c r="SKU27" s="16"/>
      <c r="SKV27" s="16"/>
      <c r="SKW27" s="16"/>
      <c r="SKX27" s="16"/>
      <c r="SKY27" s="16"/>
      <c r="SKZ27" s="16"/>
      <c r="SLA27" s="16"/>
      <c r="SLB27" s="16"/>
      <c r="SLC27" s="16"/>
      <c r="SLD27" s="16"/>
      <c r="SLE27" s="16"/>
      <c r="SLF27" s="16"/>
      <c r="SLG27" s="16"/>
      <c r="SLH27" s="16"/>
      <c r="SLI27" s="16"/>
      <c r="SLJ27" s="16"/>
      <c r="SLK27" s="16"/>
      <c r="SLL27" s="16"/>
      <c r="SLM27" s="16"/>
      <c r="SLN27" s="16"/>
      <c r="SLO27" s="16"/>
      <c r="SLP27" s="16"/>
      <c r="SLQ27" s="16"/>
      <c r="SLR27" s="16"/>
      <c r="SLS27" s="16"/>
      <c r="SLT27" s="16"/>
      <c r="SLU27" s="16"/>
      <c r="SLV27" s="16"/>
      <c r="SLW27" s="16"/>
      <c r="SLX27" s="16"/>
      <c r="SLY27" s="16"/>
      <c r="SLZ27" s="16"/>
      <c r="SMA27" s="16"/>
      <c r="SMB27" s="16"/>
      <c r="SMC27" s="16"/>
      <c r="SMD27" s="16"/>
      <c r="SME27" s="16"/>
      <c r="SMF27" s="16"/>
      <c r="SMG27" s="16"/>
      <c r="SMH27" s="16"/>
      <c r="SMI27" s="16"/>
      <c r="SMJ27" s="16"/>
      <c r="SMK27" s="16"/>
      <c r="SML27" s="16"/>
      <c r="SMM27" s="16"/>
      <c r="SMN27" s="16"/>
      <c r="SMO27" s="16"/>
      <c r="SMP27" s="16"/>
      <c r="SMQ27" s="16"/>
      <c r="SMR27" s="16"/>
      <c r="SMS27" s="16"/>
      <c r="SMT27" s="16"/>
      <c r="SMU27" s="16"/>
      <c r="SMV27" s="16"/>
      <c r="SMW27" s="16"/>
      <c r="SMX27" s="16"/>
      <c r="SMY27" s="16"/>
      <c r="SMZ27" s="16"/>
      <c r="SNA27" s="16"/>
      <c r="SNB27" s="16"/>
      <c r="SNC27" s="16"/>
      <c r="SND27" s="16"/>
      <c r="SNE27" s="16"/>
      <c r="SNF27" s="16"/>
      <c r="SNG27" s="16"/>
      <c r="SNH27" s="16"/>
      <c r="SNI27" s="16"/>
      <c r="SNJ27" s="16"/>
      <c r="SNK27" s="16"/>
      <c r="SNL27" s="16"/>
      <c r="SNM27" s="16"/>
      <c r="SNN27" s="16"/>
      <c r="SNO27" s="16"/>
      <c r="SNP27" s="16"/>
      <c r="SNQ27" s="16"/>
      <c r="SNR27" s="16"/>
      <c r="SNS27" s="16"/>
      <c r="SNT27" s="16"/>
      <c r="SNU27" s="16"/>
      <c r="SNV27" s="16"/>
      <c r="SNW27" s="16"/>
      <c r="SNX27" s="16"/>
      <c r="SNY27" s="16"/>
      <c r="SNZ27" s="16"/>
      <c r="SOA27" s="16"/>
      <c r="SOB27" s="16"/>
      <c r="SOC27" s="16"/>
      <c r="SOD27" s="16"/>
      <c r="SOE27" s="16"/>
      <c r="SOF27" s="16"/>
      <c r="SOG27" s="16"/>
      <c r="SOH27" s="16"/>
      <c r="SOI27" s="16"/>
      <c r="SOJ27" s="16"/>
      <c r="SOK27" s="16"/>
      <c r="SOL27" s="16"/>
      <c r="SOM27" s="16"/>
      <c r="SON27" s="16"/>
      <c r="SOO27" s="16"/>
      <c r="SOP27" s="16"/>
      <c r="SOQ27" s="16"/>
      <c r="SOR27" s="16"/>
      <c r="SOS27" s="16"/>
      <c r="SOT27" s="16"/>
      <c r="SOU27" s="16"/>
      <c r="SOV27" s="16"/>
      <c r="SOW27" s="16"/>
      <c r="SOX27" s="16"/>
      <c r="SOY27" s="16"/>
      <c r="SOZ27" s="16"/>
      <c r="SPA27" s="16"/>
      <c r="SPB27" s="16"/>
      <c r="SPC27" s="16"/>
      <c r="SPD27" s="16"/>
      <c r="SPE27" s="16"/>
      <c r="SPF27" s="16"/>
      <c r="SPG27" s="16"/>
      <c r="SPH27" s="16"/>
      <c r="SPI27" s="16"/>
      <c r="SPJ27" s="16"/>
      <c r="SPK27" s="16"/>
      <c r="SPL27" s="16"/>
      <c r="SPM27" s="16"/>
      <c r="SPN27" s="16"/>
      <c r="SPO27" s="16"/>
      <c r="SPP27" s="16"/>
      <c r="SPQ27" s="16"/>
      <c r="SPR27" s="16"/>
      <c r="SPS27" s="16"/>
      <c r="SPT27" s="16"/>
      <c r="SPU27" s="16"/>
      <c r="SPV27" s="16"/>
      <c r="SPW27" s="16"/>
      <c r="SPX27" s="16"/>
      <c r="SPY27" s="16"/>
      <c r="SPZ27" s="16"/>
      <c r="SQA27" s="16"/>
      <c r="SQB27" s="16"/>
      <c r="SQC27" s="16"/>
      <c r="SQD27" s="16"/>
      <c r="SQE27" s="16"/>
      <c r="SQF27" s="16"/>
      <c r="SQG27" s="16"/>
      <c r="SQH27" s="16"/>
      <c r="SQI27" s="16"/>
      <c r="SQJ27" s="16"/>
      <c r="SQK27" s="16"/>
      <c r="SQL27" s="16"/>
      <c r="SQM27" s="16"/>
      <c r="SQN27" s="16"/>
      <c r="SQO27" s="16"/>
      <c r="SQP27" s="16"/>
      <c r="SQQ27" s="16"/>
      <c r="SQR27" s="16"/>
      <c r="SQS27" s="16"/>
      <c r="SQT27" s="16"/>
      <c r="SQU27" s="16"/>
      <c r="SQV27" s="16"/>
      <c r="SQW27" s="16"/>
      <c r="SQX27" s="16"/>
      <c r="SQY27" s="16"/>
      <c r="SQZ27" s="16"/>
      <c r="SRA27" s="16"/>
      <c r="SRB27" s="16"/>
      <c r="SRC27" s="16"/>
      <c r="SRD27" s="16"/>
      <c r="SRE27" s="16"/>
      <c r="SRF27" s="16"/>
      <c r="SRG27" s="16"/>
      <c r="SRH27" s="16"/>
      <c r="SRI27" s="16"/>
      <c r="SRJ27" s="16"/>
      <c r="SRK27" s="16"/>
      <c r="SRL27" s="16"/>
      <c r="SRM27" s="16"/>
      <c r="SRN27" s="16"/>
      <c r="SRO27" s="16"/>
      <c r="SRP27" s="16"/>
      <c r="SRQ27" s="16"/>
      <c r="SRR27" s="16"/>
      <c r="SRS27" s="16"/>
      <c r="SRT27" s="16"/>
      <c r="SRU27" s="16"/>
      <c r="SRV27" s="16"/>
      <c r="SRW27" s="16"/>
      <c r="SRX27" s="16"/>
      <c r="SRY27" s="16"/>
      <c r="SRZ27" s="16"/>
      <c r="SSA27" s="16"/>
      <c r="SSB27" s="16"/>
      <c r="SSC27" s="16"/>
      <c r="SSD27" s="16"/>
      <c r="SSE27" s="16"/>
      <c r="SSF27" s="16"/>
      <c r="SSG27" s="16"/>
      <c r="SSH27" s="16"/>
      <c r="SSI27" s="16"/>
      <c r="SSJ27" s="16"/>
      <c r="SSK27" s="16"/>
      <c r="SSL27" s="16"/>
      <c r="SSM27" s="16"/>
      <c r="SSN27" s="16"/>
      <c r="SSO27" s="16"/>
      <c r="SSP27" s="16"/>
      <c r="SSQ27" s="16"/>
      <c r="SSR27" s="16"/>
      <c r="SSS27" s="16"/>
      <c r="SST27" s="16"/>
      <c r="SSU27" s="16"/>
      <c r="SSV27" s="16"/>
      <c r="SSW27" s="16"/>
      <c r="SSX27" s="16"/>
      <c r="SSY27" s="16"/>
      <c r="SSZ27" s="16"/>
      <c r="STA27" s="16"/>
      <c r="STB27" s="16"/>
      <c r="STC27" s="16"/>
      <c r="STD27" s="16"/>
      <c r="STE27" s="16"/>
      <c r="STF27" s="16"/>
      <c r="STG27" s="16"/>
      <c r="STH27" s="16"/>
      <c r="STI27" s="16"/>
      <c r="STJ27" s="16"/>
      <c r="STK27" s="16"/>
      <c r="STL27" s="16"/>
      <c r="STM27" s="16"/>
      <c r="STN27" s="16"/>
      <c r="STO27" s="16"/>
      <c r="STP27" s="16"/>
      <c r="STQ27" s="16"/>
      <c r="STR27" s="16"/>
      <c r="STS27" s="16"/>
      <c r="STT27" s="16"/>
      <c r="STU27" s="16"/>
      <c r="STV27" s="16"/>
      <c r="STW27" s="16"/>
      <c r="STX27" s="16"/>
      <c r="STY27" s="16"/>
      <c r="STZ27" s="16"/>
      <c r="SUA27" s="16"/>
      <c r="SUB27" s="16"/>
      <c r="SUC27" s="16"/>
      <c r="SUD27" s="16"/>
      <c r="SUE27" s="16"/>
      <c r="SUF27" s="16"/>
      <c r="SUG27" s="16"/>
      <c r="SUH27" s="16"/>
      <c r="SUI27" s="16"/>
      <c r="SUJ27" s="16"/>
      <c r="SUK27" s="16"/>
      <c r="SUL27" s="16"/>
      <c r="SUM27" s="16"/>
      <c r="SUN27" s="16"/>
      <c r="SUO27" s="16"/>
      <c r="SUP27" s="16"/>
      <c r="SUQ27" s="16"/>
      <c r="SUR27" s="16"/>
      <c r="SUS27" s="16"/>
      <c r="SUT27" s="16"/>
      <c r="SUU27" s="16"/>
      <c r="SUV27" s="16"/>
      <c r="SUW27" s="16"/>
      <c r="SUX27" s="16"/>
      <c r="SUY27" s="16"/>
      <c r="SUZ27" s="16"/>
      <c r="SVA27" s="16"/>
      <c r="SVB27" s="16"/>
      <c r="SVC27" s="16"/>
      <c r="SVD27" s="16"/>
      <c r="SVE27" s="16"/>
      <c r="SVF27" s="16"/>
      <c r="SVG27" s="16"/>
      <c r="SVH27" s="16"/>
      <c r="SVI27" s="16"/>
      <c r="SVJ27" s="16"/>
      <c r="SVK27" s="16"/>
      <c r="SVL27" s="16"/>
      <c r="SVM27" s="16"/>
      <c r="SVN27" s="16"/>
      <c r="SVO27" s="16"/>
      <c r="SVP27" s="16"/>
      <c r="SVQ27" s="16"/>
      <c r="SVR27" s="16"/>
      <c r="SVS27" s="16"/>
      <c r="SVT27" s="16"/>
      <c r="SVU27" s="16"/>
      <c r="SVV27" s="16"/>
      <c r="SVW27" s="16"/>
      <c r="SVX27" s="16"/>
      <c r="SVY27" s="16"/>
      <c r="SVZ27" s="16"/>
      <c r="SWA27" s="16"/>
      <c r="SWB27" s="16"/>
      <c r="SWC27" s="16"/>
      <c r="SWD27" s="16"/>
      <c r="SWE27" s="16"/>
      <c r="SWF27" s="16"/>
      <c r="SWG27" s="16"/>
      <c r="SWH27" s="16"/>
      <c r="SWI27" s="16"/>
      <c r="SWJ27" s="16"/>
      <c r="SWK27" s="16"/>
      <c r="SWL27" s="16"/>
      <c r="SWM27" s="16"/>
      <c r="SWN27" s="16"/>
      <c r="SWO27" s="16"/>
      <c r="SWP27" s="16"/>
      <c r="SWQ27" s="16"/>
      <c r="SWR27" s="16"/>
      <c r="SWS27" s="16"/>
      <c r="SWT27" s="16"/>
      <c r="SWU27" s="16"/>
      <c r="SWV27" s="16"/>
      <c r="SWW27" s="16"/>
      <c r="SWX27" s="16"/>
      <c r="SWY27" s="16"/>
      <c r="SWZ27" s="16"/>
      <c r="SXA27" s="16"/>
      <c r="SXB27" s="16"/>
      <c r="SXC27" s="16"/>
      <c r="SXD27" s="16"/>
      <c r="SXE27" s="16"/>
      <c r="SXF27" s="16"/>
      <c r="SXG27" s="16"/>
      <c r="SXH27" s="16"/>
      <c r="SXI27" s="16"/>
      <c r="SXJ27" s="16"/>
      <c r="SXK27" s="16"/>
      <c r="SXL27" s="16"/>
      <c r="SXM27" s="16"/>
      <c r="SXN27" s="16"/>
      <c r="SXO27" s="16"/>
      <c r="SXP27" s="16"/>
      <c r="SXQ27" s="16"/>
      <c r="SXR27" s="16"/>
      <c r="SXS27" s="16"/>
      <c r="SXT27" s="16"/>
      <c r="SXU27" s="16"/>
      <c r="SXV27" s="16"/>
      <c r="SXW27" s="16"/>
      <c r="SXX27" s="16"/>
      <c r="SXY27" s="16"/>
      <c r="SXZ27" s="16"/>
      <c r="SYA27" s="16"/>
      <c r="SYB27" s="16"/>
      <c r="SYC27" s="16"/>
      <c r="SYD27" s="16"/>
      <c r="SYE27" s="16"/>
      <c r="SYF27" s="16"/>
      <c r="SYG27" s="16"/>
      <c r="SYH27" s="16"/>
      <c r="SYI27" s="16"/>
      <c r="SYJ27" s="16"/>
      <c r="SYK27" s="16"/>
      <c r="SYL27" s="16"/>
      <c r="SYM27" s="16"/>
      <c r="SYN27" s="16"/>
      <c r="SYO27" s="16"/>
      <c r="SYP27" s="16"/>
      <c r="SYQ27" s="16"/>
      <c r="SYR27" s="16"/>
      <c r="SYS27" s="16"/>
      <c r="SYT27" s="16"/>
      <c r="SYU27" s="16"/>
      <c r="SYV27" s="16"/>
      <c r="SYW27" s="16"/>
      <c r="SYX27" s="16"/>
      <c r="SYY27" s="16"/>
      <c r="SYZ27" s="16"/>
      <c r="SZA27" s="16"/>
      <c r="SZB27" s="16"/>
      <c r="SZC27" s="16"/>
      <c r="SZD27" s="16"/>
      <c r="SZE27" s="16"/>
      <c r="SZF27" s="16"/>
      <c r="SZG27" s="16"/>
      <c r="SZH27" s="16"/>
      <c r="SZI27" s="16"/>
      <c r="SZJ27" s="16"/>
      <c r="SZK27" s="16"/>
      <c r="SZL27" s="16"/>
      <c r="SZM27" s="16"/>
      <c r="SZN27" s="16"/>
      <c r="SZO27" s="16"/>
      <c r="SZP27" s="16"/>
      <c r="SZQ27" s="16"/>
      <c r="SZR27" s="16"/>
      <c r="SZS27" s="16"/>
      <c r="SZT27" s="16"/>
      <c r="SZU27" s="16"/>
      <c r="SZV27" s="16"/>
      <c r="SZW27" s="16"/>
      <c r="SZX27" s="16"/>
      <c r="SZY27" s="16"/>
      <c r="SZZ27" s="16"/>
      <c r="TAA27" s="16"/>
      <c r="TAB27" s="16"/>
      <c r="TAC27" s="16"/>
      <c r="TAD27" s="16"/>
      <c r="TAE27" s="16"/>
      <c r="TAF27" s="16"/>
      <c r="TAG27" s="16"/>
      <c r="TAH27" s="16"/>
      <c r="TAI27" s="16"/>
      <c r="TAJ27" s="16"/>
      <c r="TAK27" s="16"/>
      <c r="TAL27" s="16"/>
      <c r="TAM27" s="16"/>
      <c r="TAN27" s="16"/>
      <c r="TAO27" s="16"/>
      <c r="TAP27" s="16"/>
      <c r="TAQ27" s="16"/>
      <c r="TAR27" s="16"/>
      <c r="TAS27" s="16"/>
      <c r="TAT27" s="16"/>
      <c r="TAU27" s="16"/>
      <c r="TAV27" s="16"/>
      <c r="TAW27" s="16"/>
      <c r="TAX27" s="16"/>
      <c r="TAY27" s="16"/>
      <c r="TAZ27" s="16"/>
      <c r="TBA27" s="16"/>
      <c r="TBB27" s="16"/>
      <c r="TBC27" s="16"/>
      <c r="TBD27" s="16"/>
      <c r="TBE27" s="16"/>
      <c r="TBF27" s="16"/>
      <c r="TBG27" s="16"/>
      <c r="TBH27" s="16"/>
      <c r="TBI27" s="16"/>
      <c r="TBJ27" s="16"/>
      <c r="TBK27" s="16"/>
      <c r="TBL27" s="16"/>
      <c r="TBM27" s="16"/>
      <c r="TBN27" s="16"/>
      <c r="TBO27" s="16"/>
      <c r="TBP27" s="16"/>
      <c r="TBQ27" s="16"/>
      <c r="TBR27" s="16"/>
      <c r="TBS27" s="16"/>
      <c r="TBT27" s="16"/>
      <c r="TBU27" s="16"/>
      <c r="TBV27" s="16"/>
      <c r="TBW27" s="16"/>
      <c r="TBX27" s="16"/>
      <c r="TBY27" s="16"/>
      <c r="TBZ27" s="16"/>
      <c r="TCA27" s="16"/>
      <c r="TCB27" s="16"/>
      <c r="TCC27" s="16"/>
      <c r="TCD27" s="16"/>
      <c r="TCE27" s="16"/>
      <c r="TCF27" s="16"/>
      <c r="TCG27" s="16"/>
      <c r="TCH27" s="16"/>
      <c r="TCI27" s="16"/>
      <c r="TCJ27" s="16"/>
      <c r="TCK27" s="16"/>
      <c r="TCL27" s="16"/>
      <c r="TCM27" s="16"/>
      <c r="TCN27" s="16"/>
      <c r="TCO27" s="16"/>
      <c r="TCP27" s="16"/>
      <c r="TCQ27" s="16"/>
      <c r="TCR27" s="16"/>
      <c r="TCS27" s="16"/>
      <c r="TCT27" s="16"/>
      <c r="TCU27" s="16"/>
      <c r="TCV27" s="16"/>
      <c r="TCW27" s="16"/>
      <c r="TCX27" s="16"/>
      <c r="TCY27" s="16"/>
      <c r="TCZ27" s="16"/>
      <c r="TDA27" s="16"/>
      <c r="TDB27" s="16"/>
      <c r="TDC27" s="16"/>
      <c r="TDD27" s="16"/>
      <c r="TDE27" s="16"/>
      <c r="TDF27" s="16"/>
      <c r="TDG27" s="16"/>
      <c r="TDH27" s="16"/>
      <c r="TDI27" s="16"/>
      <c r="TDJ27" s="16"/>
      <c r="TDK27" s="16"/>
      <c r="TDL27" s="16"/>
      <c r="TDM27" s="16"/>
      <c r="TDN27" s="16"/>
      <c r="TDO27" s="16"/>
      <c r="TDP27" s="16"/>
      <c r="TDQ27" s="16"/>
      <c r="TDR27" s="16"/>
      <c r="TDS27" s="16"/>
      <c r="TDT27" s="16"/>
      <c r="TDU27" s="16"/>
      <c r="TDV27" s="16"/>
      <c r="TDW27" s="16"/>
      <c r="TDX27" s="16"/>
      <c r="TDY27" s="16"/>
      <c r="TDZ27" s="16"/>
      <c r="TEA27" s="16"/>
      <c r="TEB27" s="16"/>
      <c r="TEC27" s="16"/>
      <c r="TED27" s="16"/>
      <c r="TEE27" s="16"/>
      <c r="TEF27" s="16"/>
      <c r="TEG27" s="16"/>
      <c r="TEH27" s="16"/>
      <c r="TEI27" s="16"/>
      <c r="TEJ27" s="16"/>
      <c r="TEK27" s="16"/>
      <c r="TEL27" s="16"/>
      <c r="TEM27" s="16"/>
      <c r="TEN27" s="16"/>
      <c r="TEO27" s="16"/>
      <c r="TEP27" s="16"/>
      <c r="TEQ27" s="16"/>
      <c r="TER27" s="16"/>
      <c r="TES27" s="16"/>
      <c r="TET27" s="16"/>
      <c r="TEU27" s="16"/>
      <c r="TEV27" s="16"/>
      <c r="TEW27" s="16"/>
      <c r="TEX27" s="16"/>
      <c r="TEY27" s="16"/>
      <c r="TEZ27" s="16"/>
      <c r="TFA27" s="16"/>
      <c r="TFB27" s="16"/>
      <c r="TFC27" s="16"/>
      <c r="TFD27" s="16"/>
      <c r="TFE27" s="16"/>
      <c r="TFF27" s="16"/>
      <c r="TFG27" s="16"/>
      <c r="TFH27" s="16"/>
      <c r="TFI27" s="16"/>
      <c r="TFJ27" s="16"/>
      <c r="TFK27" s="16"/>
      <c r="TFL27" s="16"/>
      <c r="TFM27" s="16"/>
      <c r="TFN27" s="16"/>
      <c r="TFO27" s="16"/>
      <c r="TFP27" s="16"/>
      <c r="TFQ27" s="16"/>
      <c r="TFR27" s="16"/>
      <c r="TFS27" s="16"/>
      <c r="TFT27" s="16"/>
      <c r="TFU27" s="16"/>
      <c r="TFV27" s="16"/>
      <c r="TFW27" s="16"/>
      <c r="TFX27" s="16"/>
      <c r="TFY27" s="16"/>
      <c r="TFZ27" s="16"/>
      <c r="TGA27" s="16"/>
      <c r="TGB27" s="16"/>
      <c r="TGC27" s="16"/>
      <c r="TGD27" s="16"/>
      <c r="TGE27" s="16"/>
      <c r="TGF27" s="16"/>
      <c r="TGG27" s="16"/>
      <c r="TGH27" s="16"/>
      <c r="TGI27" s="16"/>
      <c r="TGJ27" s="16"/>
      <c r="TGK27" s="16"/>
      <c r="TGL27" s="16"/>
      <c r="TGM27" s="16"/>
      <c r="TGN27" s="16"/>
      <c r="TGO27" s="16"/>
      <c r="TGP27" s="16"/>
      <c r="TGQ27" s="16"/>
      <c r="TGR27" s="16"/>
      <c r="TGS27" s="16"/>
      <c r="TGT27" s="16"/>
      <c r="TGU27" s="16"/>
      <c r="TGV27" s="16"/>
      <c r="TGW27" s="16"/>
      <c r="TGX27" s="16"/>
      <c r="TGY27" s="16"/>
      <c r="TGZ27" s="16"/>
      <c r="THA27" s="16"/>
      <c r="THB27" s="16"/>
      <c r="THC27" s="16"/>
      <c r="THD27" s="16"/>
      <c r="THE27" s="16"/>
      <c r="THF27" s="16"/>
      <c r="THG27" s="16"/>
      <c r="THH27" s="16"/>
      <c r="THI27" s="16"/>
      <c r="THJ27" s="16"/>
      <c r="THK27" s="16"/>
      <c r="THL27" s="16"/>
      <c r="THM27" s="16"/>
      <c r="THN27" s="16"/>
      <c r="THO27" s="16"/>
      <c r="THP27" s="16"/>
      <c r="THQ27" s="16"/>
      <c r="THR27" s="16"/>
      <c r="THS27" s="16"/>
      <c r="THT27" s="16"/>
      <c r="THU27" s="16"/>
      <c r="THV27" s="16"/>
      <c r="THW27" s="16"/>
      <c r="THX27" s="16"/>
      <c r="THY27" s="16"/>
      <c r="THZ27" s="16"/>
      <c r="TIA27" s="16"/>
      <c r="TIB27" s="16"/>
      <c r="TIC27" s="16"/>
      <c r="TID27" s="16"/>
      <c r="TIE27" s="16"/>
      <c r="TIF27" s="16"/>
      <c r="TIG27" s="16"/>
      <c r="TIH27" s="16"/>
      <c r="TII27" s="16"/>
      <c r="TIJ27" s="16"/>
      <c r="TIK27" s="16"/>
      <c r="TIL27" s="16"/>
      <c r="TIM27" s="16"/>
      <c r="TIN27" s="16"/>
      <c r="TIO27" s="16"/>
      <c r="TIP27" s="16"/>
      <c r="TIQ27" s="16"/>
      <c r="TIR27" s="16"/>
      <c r="TIS27" s="16"/>
      <c r="TIT27" s="16"/>
      <c r="TIU27" s="16"/>
      <c r="TIV27" s="16"/>
      <c r="TIW27" s="16"/>
      <c r="TIX27" s="16"/>
      <c r="TIY27" s="16"/>
      <c r="TIZ27" s="16"/>
      <c r="TJA27" s="16"/>
      <c r="TJB27" s="16"/>
      <c r="TJC27" s="16"/>
      <c r="TJD27" s="16"/>
      <c r="TJE27" s="16"/>
      <c r="TJF27" s="16"/>
      <c r="TJG27" s="16"/>
      <c r="TJH27" s="16"/>
      <c r="TJI27" s="16"/>
      <c r="TJJ27" s="16"/>
      <c r="TJK27" s="16"/>
      <c r="TJL27" s="16"/>
      <c r="TJM27" s="16"/>
      <c r="TJN27" s="16"/>
      <c r="TJO27" s="16"/>
      <c r="TJP27" s="16"/>
      <c r="TJQ27" s="16"/>
      <c r="TJR27" s="16"/>
      <c r="TJS27" s="16"/>
      <c r="TJT27" s="16"/>
      <c r="TJU27" s="16"/>
      <c r="TJV27" s="16"/>
      <c r="TJW27" s="16"/>
      <c r="TJX27" s="16"/>
      <c r="TJY27" s="16"/>
      <c r="TJZ27" s="16"/>
      <c r="TKA27" s="16"/>
      <c r="TKB27" s="16"/>
      <c r="TKC27" s="16"/>
      <c r="TKD27" s="16"/>
      <c r="TKE27" s="16"/>
      <c r="TKF27" s="16"/>
      <c r="TKG27" s="16"/>
      <c r="TKH27" s="16"/>
      <c r="TKI27" s="16"/>
      <c r="TKJ27" s="16"/>
      <c r="TKK27" s="16"/>
      <c r="TKL27" s="16"/>
      <c r="TKM27" s="16"/>
      <c r="TKN27" s="16"/>
      <c r="TKO27" s="16"/>
      <c r="TKP27" s="16"/>
      <c r="TKQ27" s="16"/>
      <c r="TKR27" s="16"/>
      <c r="TKS27" s="16"/>
      <c r="TKT27" s="16"/>
      <c r="TKU27" s="16"/>
      <c r="TKV27" s="16"/>
      <c r="TKW27" s="16"/>
      <c r="TKX27" s="16"/>
      <c r="TKY27" s="16"/>
      <c r="TKZ27" s="16"/>
      <c r="TLA27" s="16"/>
      <c r="TLB27" s="16"/>
      <c r="TLC27" s="16"/>
      <c r="TLD27" s="16"/>
      <c r="TLE27" s="16"/>
      <c r="TLF27" s="16"/>
      <c r="TLG27" s="16"/>
      <c r="TLH27" s="16"/>
      <c r="TLI27" s="16"/>
      <c r="TLJ27" s="16"/>
      <c r="TLK27" s="16"/>
      <c r="TLL27" s="16"/>
      <c r="TLM27" s="16"/>
      <c r="TLN27" s="16"/>
      <c r="TLO27" s="16"/>
      <c r="TLP27" s="16"/>
      <c r="TLQ27" s="16"/>
      <c r="TLR27" s="16"/>
      <c r="TLS27" s="16"/>
      <c r="TLT27" s="16"/>
      <c r="TLU27" s="16"/>
      <c r="TLV27" s="16"/>
      <c r="TLW27" s="16"/>
      <c r="TLX27" s="16"/>
      <c r="TLY27" s="16"/>
      <c r="TLZ27" s="16"/>
      <c r="TMA27" s="16"/>
      <c r="TMB27" s="16"/>
      <c r="TMC27" s="16"/>
      <c r="TMD27" s="16"/>
      <c r="TME27" s="16"/>
      <c r="TMF27" s="16"/>
      <c r="TMG27" s="16"/>
      <c r="TMH27" s="16"/>
      <c r="TMI27" s="16"/>
      <c r="TMJ27" s="16"/>
      <c r="TMK27" s="16"/>
      <c r="TML27" s="16"/>
      <c r="TMM27" s="16"/>
      <c r="TMN27" s="16"/>
      <c r="TMO27" s="16"/>
      <c r="TMP27" s="16"/>
      <c r="TMQ27" s="16"/>
      <c r="TMR27" s="16"/>
      <c r="TMS27" s="16"/>
      <c r="TMT27" s="16"/>
      <c r="TMU27" s="16"/>
      <c r="TMV27" s="16"/>
      <c r="TMW27" s="16"/>
      <c r="TMX27" s="16"/>
      <c r="TMY27" s="16"/>
      <c r="TMZ27" s="16"/>
      <c r="TNA27" s="16"/>
      <c r="TNB27" s="16"/>
      <c r="TNC27" s="16"/>
      <c r="TND27" s="16"/>
      <c r="TNE27" s="16"/>
      <c r="TNF27" s="16"/>
      <c r="TNG27" s="16"/>
      <c r="TNH27" s="16"/>
      <c r="TNI27" s="16"/>
      <c r="TNJ27" s="16"/>
      <c r="TNK27" s="16"/>
      <c r="TNL27" s="16"/>
      <c r="TNM27" s="16"/>
      <c r="TNN27" s="16"/>
      <c r="TNO27" s="16"/>
      <c r="TNP27" s="16"/>
      <c r="TNQ27" s="16"/>
      <c r="TNR27" s="16"/>
      <c r="TNS27" s="16"/>
      <c r="TNT27" s="16"/>
      <c r="TNU27" s="16"/>
      <c r="TNV27" s="16"/>
      <c r="TNW27" s="16"/>
      <c r="TNX27" s="16"/>
      <c r="TNY27" s="16"/>
      <c r="TNZ27" s="16"/>
      <c r="TOA27" s="16"/>
      <c r="TOB27" s="16"/>
      <c r="TOC27" s="16"/>
      <c r="TOD27" s="16"/>
      <c r="TOE27" s="16"/>
      <c r="TOF27" s="16"/>
      <c r="TOG27" s="16"/>
      <c r="TOH27" s="16"/>
      <c r="TOI27" s="16"/>
      <c r="TOJ27" s="16"/>
      <c r="TOK27" s="16"/>
      <c r="TOL27" s="16"/>
      <c r="TOM27" s="16"/>
      <c r="TON27" s="16"/>
      <c r="TOO27" s="16"/>
      <c r="TOP27" s="16"/>
      <c r="TOQ27" s="16"/>
      <c r="TOR27" s="16"/>
      <c r="TOS27" s="16"/>
      <c r="TOT27" s="16"/>
      <c r="TOU27" s="16"/>
      <c r="TOV27" s="16"/>
      <c r="TOW27" s="16"/>
      <c r="TOX27" s="16"/>
      <c r="TOY27" s="16"/>
      <c r="TOZ27" s="16"/>
      <c r="TPA27" s="16"/>
      <c r="TPB27" s="16"/>
      <c r="TPC27" s="16"/>
      <c r="TPD27" s="16"/>
      <c r="TPE27" s="16"/>
      <c r="TPF27" s="16"/>
      <c r="TPG27" s="16"/>
      <c r="TPH27" s="16"/>
      <c r="TPI27" s="16"/>
      <c r="TPJ27" s="16"/>
      <c r="TPK27" s="16"/>
      <c r="TPL27" s="16"/>
      <c r="TPM27" s="16"/>
      <c r="TPN27" s="16"/>
      <c r="TPO27" s="16"/>
      <c r="TPP27" s="16"/>
      <c r="TPQ27" s="16"/>
      <c r="TPR27" s="16"/>
      <c r="TPS27" s="16"/>
      <c r="TPT27" s="16"/>
      <c r="TPU27" s="16"/>
      <c r="TPV27" s="16"/>
      <c r="TPW27" s="16"/>
      <c r="TPX27" s="16"/>
      <c r="TPY27" s="16"/>
      <c r="TPZ27" s="16"/>
      <c r="TQA27" s="16"/>
      <c r="TQB27" s="16"/>
      <c r="TQC27" s="16"/>
      <c r="TQD27" s="16"/>
      <c r="TQE27" s="16"/>
      <c r="TQF27" s="16"/>
      <c r="TQG27" s="16"/>
      <c r="TQH27" s="16"/>
      <c r="TQI27" s="16"/>
      <c r="TQJ27" s="16"/>
      <c r="TQK27" s="16"/>
      <c r="TQL27" s="16"/>
      <c r="TQM27" s="16"/>
      <c r="TQN27" s="16"/>
      <c r="TQO27" s="16"/>
      <c r="TQP27" s="16"/>
      <c r="TQQ27" s="16"/>
      <c r="TQR27" s="16"/>
      <c r="TQS27" s="16"/>
      <c r="TQT27" s="16"/>
      <c r="TQU27" s="16"/>
      <c r="TQV27" s="16"/>
      <c r="TQW27" s="16"/>
      <c r="TQX27" s="16"/>
      <c r="TQY27" s="16"/>
      <c r="TQZ27" s="16"/>
      <c r="TRA27" s="16"/>
      <c r="TRB27" s="16"/>
      <c r="TRC27" s="16"/>
      <c r="TRD27" s="16"/>
      <c r="TRE27" s="16"/>
      <c r="TRF27" s="16"/>
      <c r="TRG27" s="16"/>
      <c r="TRH27" s="16"/>
      <c r="TRI27" s="16"/>
      <c r="TRJ27" s="16"/>
      <c r="TRK27" s="16"/>
      <c r="TRL27" s="16"/>
      <c r="TRM27" s="16"/>
      <c r="TRN27" s="16"/>
      <c r="TRO27" s="16"/>
      <c r="TRP27" s="16"/>
      <c r="TRQ27" s="16"/>
      <c r="TRR27" s="16"/>
      <c r="TRS27" s="16"/>
      <c r="TRT27" s="16"/>
      <c r="TRU27" s="16"/>
      <c r="TRV27" s="16"/>
      <c r="TRW27" s="16"/>
      <c r="TRX27" s="16"/>
      <c r="TRY27" s="16"/>
      <c r="TRZ27" s="16"/>
      <c r="TSA27" s="16"/>
      <c r="TSB27" s="16"/>
      <c r="TSC27" s="16"/>
      <c r="TSD27" s="16"/>
      <c r="TSE27" s="16"/>
      <c r="TSF27" s="16"/>
      <c r="TSG27" s="16"/>
      <c r="TSH27" s="16"/>
      <c r="TSI27" s="16"/>
      <c r="TSJ27" s="16"/>
      <c r="TSK27" s="16"/>
      <c r="TSL27" s="16"/>
      <c r="TSM27" s="16"/>
      <c r="TSN27" s="16"/>
      <c r="TSO27" s="16"/>
      <c r="TSP27" s="16"/>
      <c r="TSQ27" s="16"/>
      <c r="TSR27" s="16"/>
      <c r="TSS27" s="16"/>
      <c r="TST27" s="16"/>
      <c r="TSU27" s="16"/>
      <c r="TSV27" s="16"/>
      <c r="TSW27" s="16"/>
      <c r="TSX27" s="16"/>
      <c r="TSY27" s="16"/>
      <c r="TSZ27" s="16"/>
      <c r="TTA27" s="16"/>
      <c r="TTB27" s="16"/>
      <c r="TTC27" s="16"/>
      <c r="TTD27" s="16"/>
      <c r="TTE27" s="16"/>
      <c r="TTF27" s="16"/>
      <c r="TTG27" s="16"/>
      <c r="TTH27" s="16"/>
      <c r="TTI27" s="16"/>
      <c r="TTJ27" s="16"/>
      <c r="TTK27" s="16"/>
      <c r="TTL27" s="16"/>
      <c r="TTM27" s="16"/>
      <c r="TTN27" s="16"/>
      <c r="TTO27" s="16"/>
      <c r="TTP27" s="16"/>
      <c r="TTQ27" s="16"/>
      <c r="TTR27" s="16"/>
      <c r="TTS27" s="16"/>
      <c r="TTT27" s="16"/>
      <c r="TTU27" s="16"/>
      <c r="TTV27" s="16"/>
      <c r="TTW27" s="16"/>
      <c r="TTX27" s="16"/>
      <c r="TTY27" s="16"/>
      <c r="TTZ27" s="16"/>
      <c r="TUA27" s="16"/>
      <c r="TUB27" s="16"/>
      <c r="TUC27" s="16"/>
      <c r="TUD27" s="16"/>
      <c r="TUE27" s="16"/>
      <c r="TUF27" s="16"/>
      <c r="TUG27" s="16"/>
      <c r="TUH27" s="16"/>
      <c r="TUI27" s="16"/>
      <c r="TUJ27" s="16"/>
      <c r="TUK27" s="16"/>
      <c r="TUL27" s="16"/>
      <c r="TUM27" s="16"/>
      <c r="TUN27" s="16"/>
      <c r="TUO27" s="16"/>
      <c r="TUP27" s="16"/>
      <c r="TUQ27" s="16"/>
      <c r="TUR27" s="16"/>
      <c r="TUS27" s="16"/>
      <c r="TUT27" s="16"/>
      <c r="TUU27" s="16"/>
      <c r="TUV27" s="16"/>
      <c r="TUW27" s="16"/>
      <c r="TUX27" s="16"/>
      <c r="TUY27" s="16"/>
      <c r="TUZ27" s="16"/>
      <c r="TVA27" s="16"/>
      <c r="TVB27" s="16"/>
      <c r="TVC27" s="16"/>
      <c r="TVD27" s="16"/>
      <c r="TVE27" s="16"/>
      <c r="TVF27" s="16"/>
      <c r="TVG27" s="16"/>
      <c r="TVH27" s="16"/>
      <c r="TVI27" s="16"/>
      <c r="TVJ27" s="16"/>
      <c r="TVK27" s="16"/>
      <c r="TVL27" s="16"/>
      <c r="TVM27" s="16"/>
      <c r="TVN27" s="16"/>
      <c r="TVO27" s="16"/>
      <c r="TVP27" s="16"/>
      <c r="TVQ27" s="16"/>
      <c r="TVR27" s="16"/>
      <c r="TVS27" s="16"/>
      <c r="TVT27" s="16"/>
      <c r="TVU27" s="16"/>
      <c r="TVV27" s="16"/>
      <c r="TVW27" s="16"/>
      <c r="TVX27" s="16"/>
      <c r="TVY27" s="16"/>
      <c r="TVZ27" s="16"/>
      <c r="TWA27" s="16"/>
      <c r="TWB27" s="16"/>
      <c r="TWC27" s="16"/>
      <c r="TWD27" s="16"/>
      <c r="TWE27" s="16"/>
      <c r="TWF27" s="16"/>
      <c r="TWG27" s="16"/>
      <c r="TWH27" s="16"/>
      <c r="TWI27" s="16"/>
      <c r="TWJ27" s="16"/>
      <c r="TWK27" s="16"/>
      <c r="TWL27" s="16"/>
      <c r="TWM27" s="16"/>
      <c r="TWN27" s="16"/>
      <c r="TWO27" s="16"/>
      <c r="TWP27" s="16"/>
      <c r="TWQ27" s="16"/>
      <c r="TWR27" s="16"/>
      <c r="TWS27" s="16"/>
      <c r="TWT27" s="16"/>
      <c r="TWU27" s="16"/>
      <c r="TWV27" s="16"/>
      <c r="TWW27" s="16"/>
      <c r="TWX27" s="16"/>
      <c r="TWY27" s="16"/>
      <c r="TWZ27" s="16"/>
      <c r="TXA27" s="16"/>
      <c r="TXB27" s="16"/>
      <c r="TXC27" s="16"/>
      <c r="TXD27" s="16"/>
      <c r="TXE27" s="16"/>
      <c r="TXF27" s="16"/>
      <c r="TXG27" s="16"/>
      <c r="TXH27" s="16"/>
      <c r="TXI27" s="16"/>
      <c r="TXJ27" s="16"/>
      <c r="TXK27" s="16"/>
      <c r="TXL27" s="16"/>
      <c r="TXM27" s="16"/>
      <c r="TXN27" s="16"/>
      <c r="TXO27" s="16"/>
      <c r="TXP27" s="16"/>
      <c r="TXQ27" s="16"/>
      <c r="TXR27" s="16"/>
      <c r="TXS27" s="16"/>
      <c r="TXT27" s="16"/>
      <c r="TXU27" s="16"/>
      <c r="TXV27" s="16"/>
      <c r="TXW27" s="16"/>
      <c r="TXX27" s="16"/>
      <c r="TXY27" s="16"/>
      <c r="TXZ27" s="16"/>
      <c r="TYA27" s="16"/>
      <c r="TYB27" s="16"/>
      <c r="TYC27" s="16"/>
      <c r="TYD27" s="16"/>
      <c r="TYE27" s="16"/>
      <c r="TYF27" s="16"/>
      <c r="TYG27" s="16"/>
      <c r="TYH27" s="16"/>
      <c r="TYI27" s="16"/>
      <c r="TYJ27" s="16"/>
      <c r="TYK27" s="16"/>
      <c r="TYL27" s="16"/>
      <c r="TYM27" s="16"/>
      <c r="TYN27" s="16"/>
      <c r="TYO27" s="16"/>
      <c r="TYP27" s="16"/>
      <c r="TYQ27" s="16"/>
      <c r="TYR27" s="16"/>
      <c r="TYS27" s="16"/>
      <c r="TYT27" s="16"/>
      <c r="TYU27" s="16"/>
      <c r="TYV27" s="16"/>
      <c r="TYW27" s="16"/>
      <c r="TYX27" s="16"/>
      <c r="TYY27" s="16"/>
      <c r="TYZ27" s="16"/>
      <c r="TZA27" s="16"/>
      <c r="TZB27" s="16"/>
      <c r="TZC27" s="16"/>
      <c r="TZD27" s="16"/>
      <c r="TZE27" s="16"/>
      <c r="TZF27" s="16"/>
      <c r="TZG27" s="16"/>
      <c r="TZH27" s="16"/>
      <c r="TZI27" s="16"/>
      <c r="TZJ27" s="16"/>
      <c r="TZK27" s="16"/>
      <c r="TZL27" s="16"/>
      <c r="TZM27" s="16"/>
      <c r="TZN27" s="16"/>
      <c r="TZO27" s="16"/>
      <c r="TZP27" s="16"/>
      <c r="TZQ27" s="16"/>
      <c r="TZR27" s="16"/>
      <c r="TZS27" s="16"/>
      <c r="TZT27" s="16"/>
      <c r="TZU27" s="16"/>
      <c r="TZV27" s="16"/>
      <c r="TZW27" s="16"/>
      <c r="TZX27" s="16"/>
      <c r="TZY27" s="16"/>
      <c r="TZZ27" s="16"/>
      <c r="UAA27" s="16"/>
      <c r="UAB27" s="16"/>
      <c r="UAC27" s="16"/>
      <c r="UAD27" s="16"/>
      <c r="UAE27" s="16"/>
      <c r="UAF27" s="16"/>
      <c r="UAG27" s="16"/>
      <c r="UAH27" s="16"/>
      <c r="UAI27" s="16"/>
      <c r="UAJ27" s="16"/>
      <c r="UAK27" s="16"/>
      <c r="UAL27" s="16"/>
      <c r="UAM27" s="16"/>
      <c r="UAN27" s="16"/>
      <c r="UAO27" s="16"/>
      <c r="UAP27" s="16"/>
      <c r="UAQ27" s="16"/>
      <c r="UAR27" s="16"/>
      <c r="UAS27" s="16"/>
      <c r="UAT27" s="16"/>
      <c r="UAU27" s="16"/>
      <c r="UAV27" s="16"/>
      <c r="UAW27" s="16"/>
      <c r="UAX27" s="16"/>
      <c r="UAY27" s="16"/>
      <c r="UAZ27" s="16"/>
      <c r="UBA27" s="16"/>
      <c r="UBB27" s="16"/>
      <c r="UBC27" s="16"/>
      <c r="UBD27" s="16"/>
      <c r="UBE27" s="16"/>
      <c r="UBF27" s="16"/>
      <c r="UBG27" s="16"/>
      <c r="UBH27" s="16"/>
      <c r="UBI27" s="16"/>
      <c r="UBJ27" s="16"/>
      <c r="UBK27" s="16"/>
      <c r="UBL27" s="16"/>
      <c r="UBM27" s="16"/>
      <c r="UBN27" s="16"/>
      <c r="UBO27" s="16"/>
      <c r="UBP27" s="16"/>
      <c r="UBQ27" s="16"/>
      <c r="UBR27" s="16"/>
      <c r="UBS27" s="16"/>
      <c r="UBT27" s="16"/>
      <c r="UBU27" s="16"/>
      <c r="UBV27" s="16"/>
      <c r="UBW27" s="16"/>
      <c r="UBX27" s="16"/>
      <c r="UBY27" s="16"/>
      <c r="UBZ27" s="16"/>
      <c r="UCA27" s="16"/>
      <c r="UCB27" s="16"/>
      <c r="UCC27" s="16"/>
      <c r="UCD27" s="16"/>
      <c r="UCE27" s="16"/>
      <c r="UCF27" s="16"/>
      <c r="UCG27" s="16"/>
      <c r="UCH27" s="16"/>
      <c r="UCI27" s="16"/>
      <c r="UCJ27" s="16"/>
      <c r="UCK27" s="16"/>
      <c r="UCL27" s="16"/>
      <c r="UCM27" s="16"/>
      <c r="UCN27" s="16"/>
      <c r="UCO27" s="16"/>
      <c r="UCP27" s="16"/>
      <c r="UCQ27" s="16"/>
      <c r="UCR27" s="16"/>
      <c r="UCS27" s="16"/>
      <c r="UCT27" s="16"/>
      <c r="UCU27" s="16"/>
      <c r="UCV27" s="16"/>
      <c r="UCW27" s="16"/>
      <c r="UCX27" s="16"/>
      <c r="UCY27" s="16"/>
      <c r="UCZ27" s="16"/>
      <c r="UDA27" s="16"/>
      <c r="UDB27" s="16"/>
      <c r="UDC27" s="16"/>
      <c r="UDD27" s="16"/>
      <c r="UDE27" s="16"/>
      <c r="UDF27" s="16"/>
      <c r="UDG27" s="16"/>
      <c r="UDH27" s="16"/>
      <c r="UDI27" s="16"/>
      <c r="UDJ27" s="16"/>
      <c r="UDK27" s="16"/>
      <c r="UDL27" s="16"/>
      <c r="UDM27" s="16"/>
      <c r="UDN27" s="16"/>
      <c r="UDO27" s="16"/>
      <c r="UDP27" s="16"/>
      <c r="UDQ27" s="16"/>
      <c r="UDR27" s="16"/>
      <c r="UDS27" s="16"/>
      <c r="UDT27" s="16"/>
      <c r="UDU27" s="16"/>
      <c r="UDV27" s="16"/>
      <c r="UDW27" s="16"/>
      <c r="UDX27" s="16"/>
      <c r="UDY27" s="16"/>
      <c r="UDZ27" s="16"/>
      <c r="UEA27" s="16"/>
      <c r="UEB27" s="16"/>
      <c r="UEC27" s="16"/>
      <c r="UED27" s="16"/>
      <c r="UEE27" s="16"/>
      <c r="UEF27" s="16"/>
      <c r="UEG27" s="16"/>
      <c r="UEH27" s="16"/>
      <c r="UEI27" s="16"/>
      <c r="UEJ27" s="16"/>
      <c r="UEK27" s="16"/>
      <c r="UEL27" s="16"/>
      <c r="UEM27" s="16"/>
      <c r="UEN27" s="16"/>
      <c r="UEO27" s="16"/>
      <c r="UEP27" s="16"/>
      <c r="UEQ27" s="16"/>
      <c r="UER27" s="16"/>
      <c r="UES27" s="16"/>
      <c r="UET27" s="16"/>
      <c r="UEU27" s="16"/>
      <c r="UEV27" s="16"/>
      <c r="UEW27" s="16"/>
      <c r="UEX27" s="16"/>
      <c r="UEY27" s="16"/>
      <c r="UEZ27" s="16"/>
      <c r="UFA27" s="16"/>
      <c r="UFB27" s="16"/>
      <c r="UFC27" s="16"/>
      <c r="UFD27" s="16"/>
      <c r="UFE27" s="16"/>
      <c r="UFF27" s="16"/>
      <c r="UFG27" s="16"/>
      <c r="UFH27" s="16"/>
      <c r="UFI27" s="16"/>
      <c r="UFJ27" s="16"/>
      <c r="UFK27" s="16"/>
      <c r="UFL27" s="16"/>
      <c r="UFM27" s="16"/>
      <c r="UFN27" s="16"/>
      <c r="UFO27" s="16"/>
      <c r="UFP27" s="16"/>
      <c r="UFQ27" s="16"/>
      <c r="UFR27" s="16"/>
      <c r="UFS27" s="16"/>
      <c r="UFT27" s="16"/>
      <c r="UFU27" s="16"/>
      <c r="UFV27" s="16"/>
      <c r="UFW27" s="16"/>
      <c r="UFX27" s="16"/>
      <c r="UFY27" s="16"/>
      <c r="UFZ27" s="16"/>
      <c r="UGA27" s="16"/>
      <c r="UGB27" s="16"/>
      <c r="UGC27" s="16"/>
      <c r="UGD27" s="16"/>
      <c r="UGE27" s="16"/>
      <c r="UGF27" s="16"/>
      <c r="UGG27" s="16"/>
      <c r="UGH27" s="16"/>
      <c r="UGI27" s="16"/>
      <c r="UGJ27" s="16"/>
      <c r="UGK27" s="16"/>
      <c r="UGL27" s="16"/>
      <c r="UGM27" s="16"/>
      <c r="UGN27" s="16"/>
      <c r="UGO27" s="16"/>
      <c r="UGP27" s="16"/>
      <c r="UGQ27" s="16"/>
      <c r="UGR27" s="16"/>
      <c r="UGS27" s="16"/>
      <c r="UGT27" s="16"/>
      <c r="UGU27" s="16"/>
      <c r="UGV27" s="16"/>
      <c r="UGW27" s="16"/>
      <c r="UGX27" s="16"/>
      <c r="UGY27" s="16"/>
      <c r="UGZ27" s="16"/>
      <c r="UHA27" s="16"/>
      <c r="UHB27" s="16"/>
      <c r="UHC27" s="16"/>
      <c r="UHD27" s="16"/>
      <c r="UHE27" s="16"/>
      <c r="UHF27" s="16"/>
      <c r="UHG27" s="16"/>
      <c r="UHH27" s="16"/>
      <c r="UHI27" s="16"/>
      <c r="UHJ27" s="16"/>
      <c r="UHK27" s="16"/>
      <c r="UHL27" s="16"/>
      <c r="UHM27" s="16"/>
      <c r="UHN27" s="16"/>
      <c r="UHO27" s="16"/>
      <c r="UHP27" s="16"/>
      <c r="UHQ27" s="16"/>
      <c r="UHR27" s="16"/>
      <c r="UHS27" s="16"/>
      <c r="UHT27" s="16"/>
      <c r="UHU27" s="16"/>
      <c r="UHV27" s="16"/>
      <c r="UHW27" s="16"/>
      <c r="UHX27" s="16"/>
      <c r="UHY27" s="16"/>
      <c r="UHZ27" s="16"/>
      <c r="UIA27" s="16"/>
      <c r="UIB27" s="16"/>
      <c r="UIC27" s="16"/>
      <c r="UID27" s="16"/>
      <c r="UIE27" s="16"/>
      <c r="UIF27" s="16"/>
      <c r="UIG27" s="16"/>
      <c r="UIH27" s="16"/>
      <c r="UII27" s="16"/>
      <c r="UIJ27" s="16"/>
      <c r="UIK27" s="16"/>
      <c r="UIL27" s="16"/>
      <c r="UIM27" s="16"/>
      <c r="UIN27" s="16"/>
      <c r="UIO27" s="16"/>
      <c r="UIP27" s="16"/>
      <c r="UIQ27" s="16"/>
      <c r="UIR27" s="16"/>
      <c r="UIS27" s="16"/>
      <c r="UIT27" s="16"/>
      <c r="UIU27" s="16"/>
      <c r="UIV27" s="16"/>
      <c r="UIW27" s="16"/>
      <c r="UIX27" s="16"/>
      <c r="UIY27" s="16"/>
      <c r="UIZ27" s="16"/>
      <c r="UJA27" s="16"/>
      <c r="UJB27" s="16"/>
      <c r="UJC27" s="16"/>
      <c r="UJD27" s="16"/>
      <c r="UJE27" s="16"/>
      <c r="UJF27" s="16"/>
      <c r="UJG27" s="16"/>
      <c r="UJH27" s="16"/>
      <c r="UJI27" s="16"/>
      <c r="UJJ27" s="16"/>
      <c r="UJK27" s="16"/>
      <c r="UJL27" s="16"/>
      <c r="UJM27" s="16"/>
      <c r="UJN27" s="16"/>
      <c r="UJO27" s="16"/>
      <c r="UJP27" s="16"/>
      <c r="UJQ27" s="16"/>
      <c r="UJR27" s="16"/>
      <c r="UJS27" s="16"/>
      <c r="UJT27" s="16"/>
      <c r="UJU27" s="16"/>
      <c r="UJV27" s="16"/>
      <c r="UJW27" s="16"/>
      <c r="UJX27" s="16"/>
      <c r="UJY27" s="16"/>
      <c r="UJZ27" s="16"/>
      <c r="UKA27" s="16"/>
      <c r="UKB27" s="16"/>
      <c r="UKC27" s="16"/>
      <c r="UKD27" s="16"/>
      <c r="UKE27" s="16"/>
      <c r="UKF27" s="16"/>
      <c r="UKG27" s="16"/>
      <c r="UKH27" s="16"/>
      <c r="UKI27" s="16"/>
      <c r="UKJ27" s="16"/>
      <c r="UKK27" s="16"/>
      <c r="UKL27" s="16"/>
      <c r="UKM27" s="16"/>
      <c r="UKN27" s="16"/>
      <c r="UKO27" s="16"/>
      <c r="UKP27" s="16"/>
      <c r="UKQ27" s="16"/>
      <c r="UKR27" s="16"/>
      <c r="UKS27" s="16"/>
      <c r="UKT27" s="16"/>
      <c r="UKU27" s="16"/>
      <c r="UKV27" s="16"/>
      <c r="UKW27" s="16"/>
      <c r="UKX27" s="16"/>
      <c r="UKY27" s="16"/>
      <c r="UKZ27" s="16"/>
      <c r="ULA27" s="16"/>
      <c r="ULB27" s="16"/>
      <c r="ULC27" s="16"/>
      <c r="ULD27" s="16"/>
      <c r="ULE27" s="16"/>
      <c r="ULF27" s="16"/>
      <c r="ULG27" s="16"/>
      <c r="ULH27" s="16"/>
      <c r="ULI27" s="16"/>
      <c r="ULJ27" s="16"/>
      <c r="ULK27" s="16"/>
      <c r="ULL27" s="16"/>
      <c r="ULM27" s="16"/>
      <c r="ULN27" s="16"/>
      <c r="ULO27" s="16"/>
      <c r="ULP27" s="16"/>
      <c r="ULQ27" s="16"/>
      <c r="ULR27" s="16"/>
      <c r="ULS27" s="16"/>
      <c r="ULT27" s="16"/>
      <c r="ULU27" s="16"/>
      <c r="ULV27" s="16"/>
      <c r="ULW27" s="16"/>
      <c r="ULX27" s="16"/>
      <c r="ULY27" s="16"/>
      <c r="ULZ27" s="16"/>
      <c r="UMA27" s="16"/>
      <c r="UMB27" s="16"/>
      <c r="UMC27" s="16"/>
      <c r="UMD27" s="16"/>
      <c r="UME27" s="16"/>
      <c r="UMF27" s="16"/>
      <c r="UMG27" s="16"/>
      <c r="UMH27" s="16"/>
      <c r="UMI27" s="16"/>
      <c r="UMJ27" s="16"/>
      <c r="UMK27" s="16"/>
      <c r="UML27" s="16"/>
      <c r="UMM27" s="16"/>
      <c r="UMN27" s="16"/>
      <c r="UMO27" s="16"/>
      <c r="UMP27" s="16"/>
      <c r="UMQ27" s="16"/>
      <c r="UMR27" s="16"/>
      <c r="UMS27" s="16"/>
      <c r="UMT27" s="16"/>
      <c r="UMU27" s="16"/>
      <c r="UMV27" s="16"/>
      <c r="UMW27" s="16"/>
      <c r="UMX27" s="16"/>
      <c r="UMY27" s="16"/>
      <c r="UMZ27" s="16"/>
      <c r="UNA27" s="16"/>
      <c r="UNB27" s="16"/>
      <c r="UNC27" s="16"/>
      <c r="UND27" s="16"/>
      <c r="UNE27" s="16"/>
      <c r="UNF27" s="16"/>
      <c r="UNG27" s="16"/>
      <c r="UNH27" s="16"/>
      <c r="UNI27" s="16"/>
      <c r="UNJ27" s="16"/>
      <c r="UNK27" s="16"/>
      <c r="UNL27" s="16"/>
      <c r="UNM27" s="16"/>
      <c r="UNN27" s="16"/>
      <c r="UNO27" s="16"/>
      <c r="UNP27" s="16"/>
      <c r="UNQ27" s="16"/>
      <c r="UNR27" s="16"/>
      <c r="UNS27" s="16"/>
      <c r="UNT27" s="16"/>
      <c r="UNU27" s="16"/>
      <c r="UNV27" s="16"/>
      <c r="UNW27" s="16"/>
      <c r="UNX27" s="16"/>
      <c r="UNY27" s="16"/>
      <c r="UNZ27" s="16"/>
      <c r="UOA27" s="16"/>
      <c r="UOB27" s="16"/>
      <c r="UOC27" s="16"/>
      <c r="UOD27" s="16"/>
      <c r="UOE27" s="16"/>
      <c r="UOF27" s="16"/>
      <c r="UOG27" s="16"/>
      <c r="UOH27" s="16"/>
      <c r="UOI27" s="16"/>
      <c r="UOJ27" s="16"/>
      <c r="UOK27" s="16"/>
      <c r="UOL27" s="16"/>
      <c r="UOM27" s="16"/>
      <c r="UON27" s="16"/>
      <c r="UOO27" s="16"/>
      <c r="UOP27" s="16"/>
      <c r="UOQ27" s="16"/>
      <c r="UOR27" s="16"/>
      <c r="UOS27" s="16"/>
      <c r="UOT27" s="16"/>
      <c r="UOU27" s="16"/>
      <c r="UOV27" s="16"/>
      <c r="UOW27" s="16"/>
      <c r="UOX27" s="16"/>
      <c r="UOY27" s="16"/>
      <c r="UOZ27" s="16"/>
      <c r="UPA27" s="16"/>
      <c r="UPB27" s="16"/>
      <c r="UPC27" s="16"/>
      <c r="UPD27" s="16"/>
      <c r="UPE27" s="16"/>
      <c r="UPF27" s="16"/>
      <c r="UPG27" s="16"/>
      <c r="UPH27" s="16"/>
      <c r="UPI27" s="16"/>
      <c r="UPJ27" s="16"/>
      <c r="UPK27" s="16"/>
      <c r="UPL27" s="16"/>
      <c r="UPM27" s="16"/>
      <c r="UPN27" s="16"/>
      <c r="UPO27" s="16"/>
      <c r="UPP27" s="16"/>
      <c r="UPQ27" s="16"/>
      <c r="UPR27" s="16"/>
      <c r="UPS27" s="16"/>
      <c r="UPT27" s="16"/>
      <c r="UPU27" s="16"/>
      <c r="UPV27" s="16"/>
      <c r="UPW27" s="16"/>
      <c r="UPX27" s="16"/>
      <c r="UPY27" s="16"/>
      <c r="UPZ27" s="16"/>
      <c r="UQA27" s="16"/>
      <c r="UQB27" s="16"/>
      <c r="UQC27" s="16"/>
      <c r="UQD27" s="16"/>
      <c r="UQE27" s="16"/>
      <c r="UQF27" s="16"/>
      <c r="UQG27" s="16"/>
      <c r="UQH27" s="16"/>
      <c r="UQI27" s="16"/>
      <c r="UQJ27" s="16"/>
      <c r="UQK27" s="16"/>
      <c r="UQL27" s="16"/>
      <c r="UQM27" s="16"/>
      <c r="UQN27" s="16"/>
      <c r="UQO27" s="16"/>
      <c r="UQP27" s="16"/>
      <c r="UQQ27" s="16"/>
      <c r="UQR27" s="16"/>
      <c r="UQS27" s="16"/>
      <c r="UQT27" s="16"/>
      <c r="UQU27" s="16"/>
      <c r="UQV27" s="16"/>
      <c r="UQW27" s="16"/>
      <c r="UQX27" s="16"/>
      <c r="UQY27" s="16"/>
      <c r="UQZ27" s="16"/>
      <c r="URA27" s="16"/>
      <c r="URB27" s="16"/>
      <c r="URC27" s="16"/>
      <c r="URD27" s="16"/>
      <c r="URE27" s="16"/>
      <c r="URF27" s="16"/>
      <c r="URG27" s="16"/>
      <c r="URH27" s="16"/>
      <c r="URI27" s="16"/>
      <c r="URJ27" s="16"/>
      <c r="URK27" s="16"/>
      <c r="URL27" s="16"/>
      <c r="URM27" s="16"/>
      <c r="URN27" s="16"/>
      <c r="URO27" s="16"/>
      <c r="URP27" s="16"/>
      <c r="URQ27" s="16"/>
      <c r="URR27" s="16"/>
      <c r="URS27" s="16"/>
      <c r="URT27" s="16"/>
      <c r="URU27" s="16"/>
      <c r="URV27" s="16"/>
      <c r="URW27" s="16"/>
      <c r="URX27" s="16"/>
      <c r="URY27" s="16"/>
      <c r="URZ27" s="16"/>
      <c r="USA27" s="16"/>
      <c r="USB27" s="16"/>
      <c r="USC27" s="16"/>
      <c r="USD27" s="16"/>
      <c r="USE27" s="16"/>
      <c r="USF27" s="16"/>
      <c r="USG27" s="16"/>
      <c r="USH27" s="16"/>
      <c r="USI27" s="16"/>
      <c r="USJ27" s="16"/>
      <c r="USK27" s="16"/>
      <c r="USL27" s="16"/>
      <c r="USM27" s="16"/>
      <c r="USN27" s="16"/>
      <c r="USO27" s="16"/>
      <c r="USP27" s="16"/>
      <c r="USQ27" s="16"/>
      <c r="USR27" s="16"/>
      <c r="USS27" s="16"/>
      <c r="UST27" s="16"/>
      <c r="USU27" s="16"/>
      <c r="USV27" s="16"/>
      <c r="USW27" s="16"/>
      <c r="USX27" s="16"/>
      <c r="USY27" s="16"/>
      <c r="USZ27" s="16"/>
      <c r="UTA27" s="16"/>
      <c r="UTB27" s="16"/>
      <c r="UTC27" s="16"/>
      <c r="UTD27" s="16"/>
      <c r="UTE27" s="16"/>
      <c r="UTF27" s="16"/>
      <c r="UTG27" s="16"/>
      <c r="UTH27" s="16"/>
      <c r="UTI27" s="16"/>
      <c r="UTJ27" s="16"/>
      <c r="UTK27" s="16"/>
      <c r="UTL27" s="16"/>
      <c r="UTM27" s="16"/>
      <c r="UTN27" s="16"/>
      <c r="UTO27" s="16"/>
      <c r="UTP27" s="16"/>
      <c r="UTQ27" s="16"/>
      <c r="UTR27" s="16"/>
      <c r="UTS27" s="16"/>
      <c r="UTT27" s="16"/>
      <c r="UTU27" s="16"/>
      <c r="UTV27" s="16"/>
      <c r="UTW27" s="16"/>
      <c r="UTX27" s="16"/>
      <c r="UTY27" s="16"/>
      <c r="UTZ27" s="16"/>
      <c r="UUA27" s="16"/>
      <c r="UUB27" s="16"/>
      <c r="UUC27" s="16"/>
      <c r="UUD27" s="16"/>
      <c r="UUE27" s="16"/>
      <c r="UUF27" s="16"/>
      <c r="UUG27" s="16"/>
      <c r="UUH27" s="16"/>
      <c r="UUI27" s="16"/>
      <c r="UUJ27" s="16"/>
      <c r="UUK27" s="16"/>
      <c r="UUL27" s="16"/>
      <c r="UUM27" s="16"/>
      <c r="UUN27" s="16"/>
      <c r="UUO27" s="16"/>
      <c r="UUP27" s="16"/>
      <c r="UUQ27" s="16"/>
      <c r="UUR27" s="16"/>
      <c r="UUS27" s="16"/>
      <c r="UUT27" s="16"/>
      <c r="UUU27" s="16"/>
      <c r="UUV27" s="16"/>
      <c r="UUW27" s="16"/>
      <c r="UUX27" s="16"/>
      <c r="UUY27" s="16"/>
      <c r="UUZ27" s="16"/>
      <c r="UVA27" s="16"/>
      <c r="UVB27" s="16"/>
      <c r="UVC27" s="16"/>
      <c r="UVD27" s="16"/>
      <c r="UVE27" s="16"/>
      <c r="UVF27" s="16"/>
      <c r="UVG27" s="16"/>
      <c r="UVH27" s="16"/>
      <c r="UVI27" s="16"/>
      <c r="UVJ27" s="16"/>
      <c r="UVK27" s="16"/>
      <c r="UVL27" s="16"/>
      <c r="UVM27" s="16"/>
      <c r="UVN27" s="16"/>
      <c r="UVO27" s="16"/>
      <c r="UVP27" s="16"/>
      <c r="UVQ27" s="16"/>
      <c r="UVR27" s="16"/>
      <c r="UVS27" s="16"/>
      <c r="UVT27" s="16"/>
      <c r="UVU27" s="16"/>
      <c r="UVV27" s="16"/>
      <c r="UVW27" s="16"/>
      <c r="UVX27" s="16"/>
      <c r="UVY27" s="16"/>
      <c r="UVZ27" s="16"/>
      <c r="UWA27" s="16"/>
      <c r="UWB27" s="16"/>
      <c r="UWC27" s="16"/>
      <c r="UWD27" s="16"/>
      <c r="UWE27" s="16"/>
      <c r="UWF27" s="16"/>
      <c r="UWG27" s="16"/>
      <c r="UWH27" s="16"/>
      <c r="UWI27" s="16"/>
      <c r="UWJ27" s="16"/>
      <c r="UWK27" s="16"/>
      <c r="UWL27" s="16"/>
      <c r="UWM27" s="16"/>
      <c r="UWN27" s="16"/>
      <c r="UWO27" s="16"/>
      <c r="UWP27" s="16"/>
      <c r="UWQ27" s="16"/>
      <c r="UWR27" s="16"/>
      <c r="UWS27" s="16"/>
      <c r="UWT27" s="16"/>
      <c r="UWU27" s="16"/>
      <c r="UWV27" s="16"/>
      <c r="UWW27" s="16"/>
      <c r="UWX27" s="16"/>
      <c r="UWY27" s="16"/>
      <c r="UWZ27" s="16"/>
      <c r="UXA27" s="16"/>
      <c r="UXB27" s="16"/>
      <c r="UXC27" s="16"/>
      <c r="UXD27" s="16"/>
      <c r="UXE27" s="16"/>
      <c r="UXF27" s="16"/>
      <c r="UXG27" s="16"/>
      <c r="UXH27" s="16"/>
      <c r="UXI27" s="16"/>
      <c r="UXJ27" s="16"/>
      <c r="UXK27" s="16"/>
      <c r="UXL27" s="16"/>
      <c r="UXM27" s="16"/>
      <c r="UXN27" s="16"/>
      <c r="UXO27" s="16"/>
      <c r="UXP27" s="16"/>
      <c r="UXQ27" s="16"/>
      <c r="UXR27" s="16"/>
      <c r="UXS27" s="16"/>
      <c r="UXT27" s="16"/>
      <c r="UXU27" s="16"/>
      <c r="UXV27" s="16"/>
      <c r="UXW27" s="16"/>
      <c r="UXX27" s="16"/>
      <c r="UXY27" s="16"/>
      <c r="UXZ27" s="16"/>
      <c r="UYA27" s="16"/>
      <c r="UYB27" s="16"/>
      <c r="UYC27" s="16"/>
      <c r="UYD27" s="16"/>
      <c r="UYE27" s="16"/>
      <c r="UYF27" s="16"/>
      <c r="UYG27" s="16"/>
      <c r="UYH27" s="16"/>
      <c r="UYI27" s="16"/>
      <c r="UYJ27" s="16"/>
      <c r="UYK27" s="16"/>
      <c r="UYL27" s="16"/>
      <c r="UYM27" s="16"/>
      <c r="UYN27" s="16"/>
      <c r="UYO27" s="16"/>
      <c r="UYP27" s="16"/>
      <c r="UYQ27" s="16"/>
      <c r="UYR27" s="16"/>
      <c r="UYS27" s="16"/>
      <c r="UYT27" s="16"/>
      <c r="UYU27" s="16"/>
      <c r="UYV27" s="16"/>
      <c r="UYW27" s="16"/>
      <c r="UYX27" s="16"/>
      <c r="UYY27" s="16"/>
      <c r="UYZ27" s="16"/>
      <c r="UZA27" s="16"/>
      <c r="UZB27" s="16"/>
      <c r="UZC27" s="16"/>
      <c r="UZD27" s="16"/>
      <c r="UZE27" s="16"/>
      <c r="UZF27" s="16"/>
      <c r="UZG27" s="16"/>
      <c r="UZH27" s="16"/>
      <c r="UZI27" s="16"/>
      <c r="UZJ27" s="16"/>
      <c r="UZK27" s="16"/>
      <c r="UZL27" s="16"/>
      <c r="UZM27" s="16"/>
      <c r="UZN27" s="16"/>
      <c r="UZO27" s="16"/>
      <c r="UZP27" s="16"/>
      <c r="UZQ27" s="16"/>
      <c r="UZR27" s="16"/>
      <c r="UZS27" s="16"/>
      <c r="UZT27" s="16"/>
      <c r="UZU27" s="16"/>
      <c r="UZV27" s="16"/>
      <c r="UZW27" s="16"/>
      <c r="UZX27" s="16"/>
      <c r="UZY27" s="16"/>
      <c r="UZZ27" s="16"/>
      <c r="VAA27" s="16"/>
      <c r="VAB27" s="16"/>
      <c r="VAC27" s="16"/>
      <c r="VAD27" s="16"/>
      <c r="VAE27" s="16"/>
      <c r="VAF27" s="16"/>
      <c r="VAG27" s="16"/>
      <c r="VAH27" s="16"/>
      <c r="VAI27" s="16"/>
      <c r="VAJ27" s="16"/>
      <c r="VAK27" s="16"/>
      <c r="VAL27" s="16"/>
      <c r="VAM27" s="16"/>
      <c r="VAN27" s="16"/>
      <c r="VAO27" s="16"/>
      <c r="VAP27" s="16"/>
      <c r="VAQ27" s="16"/>
      <c r="VAR27" s="16"/>
      <c r="VAS27" s="16"/>
      <c r="VAT27" s="16"/>
      <c r="VAU27" s="16"/>
      <c r="VAV27" s="16"/>
      <c r="VAW27" s="16"/>
      <c r="VAX27" s="16"/>
      <c r="VAY27" s="16"/>
      <c r="VAZ27" s="16"/>
      <c r="VBA27" s="16"/>
      <c r="VBB27" s="16"/>
      <c r="VBC27" s="16"/>
      <c r="VBD27" s="16"/>
      <c r="VBE27" s="16"/>
      <c r="VBF27" s="16"/>
      <c r="VBG27" s="16"/>
      <c r="VBH27" s="16"/>
      <c r="VBI27" s="16"/>
      <c r="VBJ27" s="16"/>
      <c r="VBK27" s="16"/>
      <c r="VBL27" s="16"/>
      <c r="VBM27" s="16"/>
      <c r="VBN27" s="16"/>
      <c r="VBO27" s="16"/>
      <c r="VBP27" s="16"/>
      <c r="VBQ27" s="16"/>
      <c r="VBR27" s="16"/>
      <c r="VBS27" s="16"/>
      <c r="VBT27" s="16"/>
      <c r="VBU27" s="16"/>
      <c r="VBV27" s="16"/>
      <c r="VBW27" s="16"/>
      <c r="VBX27" s="16"/>
      <c r="VBY27" s="16"/>
      <c r="VBZ27" s="16"/>
      <c r="VCA27" s="16"/>
      <c r="VCB27" s="16"/>
      <c r="VCC27" s="16"/>
      <c r="VCD27" s="16"/>
      <c r="VCE27" s="16"/>
      <c r="VCF27" s="16"/>
      <c r="VCG27" s="16"/>
      <c r="VCH27" s="16"/>
      <c r="VCI27" s="16"/>
      <c r="VCJ27" s="16"/>
      <c r="VCK27" s="16"/>
      <c r="VCL27" s="16"/>
      <c r="VCM27" s="16"/>
      <c r="VCN27" s="16"/>
      <c r="VCO27" s="16"/>
      <c r="VCP27" s="16"/>
      <c r="VCQ27" s="16"/>
      <c r="VCR27" s="16"/>
      <c r="VCS27" s="16"/>
      <c r="VCT27" s="16"/>
      <c r="VCU27" s="16"/>
      <c r="VCV27" s="16"/>
      <c r="VCW27" s="16"/>
      <c r="VCX27" s="16"/>
      <c r="VCY27" s="16"/>
      <c r="VCZ27" s="16"/>
      <c r="VDA27" s="16"/>
      <c r="VDB27" s="16"/>
      <c r="VDC27" s="16"/>
      <c r="VDD27" s="16"/>
      <c r="VDE27" s="16"/>
      <c r="VDF27" s="16"/>
      <c r="VDG27" s="16"/>
      <c r="VDH27" s="16"/>
      <c r="VDI27" s="16"/>
      <c r="VDJ27" s="16"/>
      <c r="VDK27" s="16"/>
      <c r="VDL27" s="16"/>
      <c r="VDM27" s="16"/>
      <c r="VDN27" s="16"/>
      <c r="VDO27" s="16"/>
      <c r="VDP27" s="16"/>
      <c r="VDQ27" s="16"/>
      <c r="VDR27" s="16"/>
      <c r="VDS27" s="16"/>
      <c r="VDT27" s="16"/>
      <c r="VDU27" s="16"/>
      <c r="VDV27" s="16"/>
      <c r="VDW27" s="16"/>
      <c r="VDX27" s="16"/>
      <c r="VDY27" s="16"/>
      <c r="VDZ27" s="16"/>
      <c r="VEA27" s="16"/>
      <c r="VEB27" s="16"/>
      <c r="VEC27" s="16"/>
      <c r="VED27" s="16"/>
      <c r="VEE27" s="16"/>
      <c r="VEF27" s="16"/>
      <c r="VEG27" s="16"/>
      <c r="VEH27" s="16"/>
      <c r="VEI27" s="16"/>
      <c r="VEJ27" s="16"/>
      <c r="VEK27" s="16"/>
      <c r="VEL27" s="16"/>
      <c r="VEM27" s="16"/>
      <c r="VEN27" s="16"/>
      <c r="VEO27" s="16"/>
      <c r="VEP27" s="16"/>
      <c r="VEQ27" s="16"/>
      <c r="VER27" s="16"/>
      <c r="VES27" s="16"/>
      <c r="VET27" s="16"/>
      <c r="VEU27" s="16"/>
      <c r="VEV27" s="16"/>
      <c r="VEW27" s="16"/>
      <c r="VEX27" s="16"/>
      <c r="VEY27" s="16"/>
      <c r="VEZ27" s="16"/>
      <c r="VFA27" s="16"/>
      <c r="VFB27" s="16"/>
      <c r="VFC27" s="16"/>
      <c r="VFD27" s="16"/>
      <c r="VFE27" s="16"/>
      <c r="VFF27" s="16"/>
      <c r="VFG27" s="16"/>
      <c r="VFH27" s="16"/>
      <c r="VFI27" s="16"/>
      <c r="VFJ27" s="16"/>
      <c r="VFK27" s="16"/>
      <c r="VFL27" s="16"/>
      <c r="VFM27" s="16"/>
      <c r="VFN27" s="16"/>
      <c r="VFO27" s="16"/>
      <c r="VFP27" s="16"/>
      <c r="VFQ27" s="16"/>
      <c r="VFR27" s="16"/>
      <c r="VFS27" s="16"/>
      <c r="VFT27" s="16"/>
      <c r="VFU27" s="16"/>
      <c r="VFV27" s="16"/>
      <c r="VFW27" s="16"/>
      <c r="VFX27" s="16"/>
      <c r="VFY27" s="16"/>
      <c r="VFZ27" s="16"/>
      <c r="VGA27" s="16"/>
      <c r="VGB27" s="16"/>
      <c r="VGC27" s="16"/>
      <c r="VGD27" s="16"/>
      <c r="VGE27" s="16"/>
      <c r="VGF27" s="16"/>
      <c r="VGG27" s="16"/>
      <c r="VGH27" s="16"/>
      <c r="VGI27" s="16"/>
      <c r="VGJ27" s="16"/>
      <c r="VGK27" s="16"/>
    </row>
    <row r="28" spans="1:15113" s="1" customFormat="1" x14ac:dyDescent="0.25">
      <c r="B28" s="15"/>
      <c r="C28" s="14" t="s">
        <v>70</v>
      </c>
      <c r="D28" s="267"/>
      <c r="E28" s="20" t="s">
        <v>14</v>
      </c>
      <c r="F28" s="33">
        <f>F29+F30</f>
        <v>0</v>
      </c>
      <c r="G28" s="33">
        <f t="shared" ref="G28:I28" si="10">G29+G30</f>
        <v>0</v>
      </c>
      <c r="H28" s="33">
        <f t="shared" si="10"/>
        <v>0</v>
      </c>
      <c r="I28" s="33">
        <f t="shared" si="10"/>
        <v>0</v>
      </c>
      <c r="J28" s="33">
        <f t="shared" ref="J28:AJ28" si="11">J29+J30</f>
        <v>0</v>
      </c>
      <c r="K28" s="33">
        <f t="shared" si="11"/>
        <v>0</v>
      </c>
      <c r="L28" s="33">
        <f t="shared" si="11"/>
        <v>0</v>
      </c>
      <c r="M28" s="33">
        <f t="shared" si="11"/>
        <v>0</v>
      </c>
      <c r="N28" s="33">
        <f t="shared" si="11"/>
        <v>0</v>
      </c>
      <c r="O28" s="33">
        <f t="shared" si="11"/>
        <v>0</v>
      </c>
      <c r="P28" s="33">
        <f t="shared" si="11"/>
        <v>0</v>
      </c>
      <c r="Q28" s="33">
        <f t="shared" si="11"/>
        <v>0</v>
      </c>
      <c r="R28" s="33">
        <f t="shared" si="11"/>
        <v>0</v>
      </c>
      <c r="S28" s="33">
        <f t="shared" si="11"/>
        <v>0</v>
      </c>
      <c r="T28" s="33">
        <f t="shared" si="11"/>
        <v>0</v>
      </c>
      <c r="U28" s="33">
        <f t="shared" si="11"/>
        <v>0</v>
      </c>
      <c r="V28" s="33">
        <f t="shared" si="11"/>
        <v>0</v>
      </c>
      <c r="W28" s="33">
        <f t="shared" si="11"/>
        <v>0</v>
      </c>
      <c r="X28" s="33">
        <f t="shared" si="11"/>
        <v>0</v>
      </c>
      <c r="Y28" s="33">
        <f t="shared" si="11"/>
        <v>0</v>
      </c>
      <c r="Z28" s="33">
        <f t="shared" si="11"/>
        <v>0</v>
      </c>
      <c r="AA28" s="33">
        <f t="shared" si="11"/>
        <v>0</v>
      </c>
      <c r="AB28" s="33">
        <f t="shared" si="11"/>
        <v>0</v>
      </c>
      <c r="AC28" s="33">
        <f t="shared" si="11"/>
        <v>0</v>
      </c>
      <c r="AD28" s="33">
        <f t="shared" si="11"/>
        <v>0</v>
      </c>
      <c r="AE28" s="33">
        <f t="shared" si="11"/>
        <v>0</v>
      </c>
      <c r="AF28" s="33">
        <f t="shared" si="11"/>
        <v>0</v>
      </c>
      <c r="AG28" s="33">
        <f t="shared" si="11"/>
        <v>0</v>
      </c>
      <c r="AH28" s="33">
        <f t="shared" si="11"/>
        <v>0</v>
      </c>
      <c r="AI28" s="33">
        <f t="shared" si="11"/>
        <v>0</v>
      </c>
      <c r="AJ28" s="33">
        <f t="shared" si="11"/>
        <v>0</v>
      </c>
      <c r="AL28" s="63">
        <f t="shared" si="9"/>
        <v>0</v>
      </c>
      <c r="CV28" s="152"/>
    </row>
    <row r="29" spans="1:15113" s="1" customFormat="1" x14ac:dyDescent="0.25">
      <c r="B29" s="15"/>
      <c r="C29" s="73" t="s">
        <v>110</v>
      </c>
      <c r="D29" s="267"/>
      <c r="E29" s="74" t="s">
        <v>14</v>
      </c>
      <c r="F29" s="284">
        <v>0</v>
      </c>
      <c r="G29" s="284">
        <v>0</v>
      </c>
      <c r="H29" s="284">
        <v>0</v>
      </c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L29" s="66">
        <f t="shared" si="9"/>
        <v>0</v>
      </c>
      <c r="CV29" s="152"/>
    </row>
    <row r="30" spans="1:15113" s="1" customFormat="1" x14ac:dyDescent="0.25">
      <c r="B30" s="15"/>
      <c r="C30" s="64" t="s">
        <v>73</v>
      </c>
      <c r="D30" s="267"/>
      <c r="E30" s="74" t="s">
        <v>14</v>
      </c>
      <c r="F30" s="285">
        <v>0</v>
      </c>
      <c r="G30" s="285">
        <v>0</v>
      </c>
      <c r="H30" s="284">
        <v>0</v>
      </c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84"/>
      <c r="AB30" s="284"/>
      <c r="AC30" s="284"/>
      <c r="AD30" s="284"/>
      <c r="AE30" s="284"/>
      <c r="AF30" s="284"/>
      <c r="AG30" s="284"/>
      <c r="AH30" s="284"/>
      <c r="AI30" s="284"/>
      <c r="AJ30" s="284"/>
      <c r="AL30" s="66">
        <f t="shared" ref="AL30" si="12">SUM(F30:O30)</f>
        <v>0</v>
      </c>
      <c r="CV30" s="152"/>
    </row>
    <row r="31" spans="1:15113" s="79" customFormat="1" x14ac:dyDescent="0.25">
      <c r="A31" s="71"/>
      <c r="B31" s="77"/>
      <c r="C31" s="242" t="s">
        <v>111</v>
      </c>
      <c r="D31" s="322"/>
      <c r="E31" s="101"/>
      <c r="F31" s="286"/>
      <c r="G31" s="286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71"/>
      <c r="AL31" s="75" t="s">
        <v>112</v>
      </c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153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  <c r="IX31" s="71"/>
      <c r="IY31" s="71"/>
      <c r="IZ31" s="71"/>
      <c r="JA31" s="71"/>
      <c r="JB31" s="71"/>
      <c r="JC31" s="71"/>
      <c r="JD31" s="71"/>
      <c r="JE31" s="71"/>
      <c r="JF31" s="71"/>
      <c r="JG31" s="71"/>
      <c r="JH31" s="71"/>
      <c r="JI31" s="71"/>
      <c r="JJ31" s="71"/>
      <c r="JK31" s="71"/>
      <c r="JL31" s="71"/>
      <c r="JM31" s="71"/>
      <c r="JN31" s="71"/>
      <c r="JO31" s="71"/>
      <c r="JP31" s="71"/>
      <c r="JQ31" s="71"/>
      <c r="JR31" s="71"/>
      <c r="JS31" s="71"/>
      <c r="JT31" s="71"/>
      <c r="JU31" s="71"/>
      <c r="JV31" s="71"/>
      <c r="JW31" s="71"/>
      <c r="JX31" s="71"/>
      <c r="JY31" s="71"/>
      <c r="JZ31" s="71"/>
      <c r="KA31" s="71"/>
      <c r="KB31" s="71"/>
      <c r="KC31" s="71"/>
      <c r="KD31" s="71"/>
      <c r="KE31" s="71"/>
      <c r="KF31" s="71"/>
      <c r="KG31" s="71"/>
      <c r="KH31" s="71"/>
      <c r="KI31" s="71"/>
      <c r="KJ31" s="71"/>
      <c r="KK31" s="71"/>
      <c r="KL31" s="71"/>
      <c r="KM31" s="71"/>
      <c r="KN31" s="71"/>
      <c r="KO31" s="71"/>
      <c r="KP31" s="71"/>
      <c r="KQ31" s="71"/>
      <c r="KR31" s="71"/>
      <c r="KS31" s="71"/>
      <c r="KT31" s="71"/>
      <c r="KU31" s="71"/>
      <c r="KV31" s="71"/>
      <c r="KW31" s="71"/>
      <c r="KX31" s="71"/>
      <c r="KY31" s="71"/>
      <c r="KZ31" s="71"/>
      <c r="LA31" s="71"/>
      <c r="LB31" s="71"/>
      <c r="LC31" s="71"/>
      <c r="LD31" s="71"/>
      <c r="LE31" s="71"/>
      <c r="LF31" s="71"/>
      <c r="LG31" s="71"/>
      <c r="LH31" s="71"/>
      <c r="LI31" s="71"/>
      <c r="LJ31" s="71"/>
      <c r="LK31" s="71"/>
      <c r="LL31" s="71"/>
      <c r="LM31" s="71"/>
      <c r="LN31" s="71"/>
      <c r="LO31" s="71"/>
      <c r="LP31" s="71"/>
      <c r="LQ31" s="71"/>
      <c r="LR31" s="71"/>
      <c r="LS31" s="71"/>
      <c r="LT31" s="71"/>
      <c r="LU31" s="71"/>
      <c r="LV31" s="71"/>
      <c r="LW31" s="71"/>
      <c r="LX31" s="71"/>
      <c r="LY31" s="71"/>
      <c r="LZ31" s="71"/>
      <c r="MA31" s="71"/>
      <c r="MB31" s="71"/>
      <c r="MC31" s="71"/>
      <c r="MD31" s="71"/>
      <c r="ME31" s="71"/>
      <c r="MF31" s="71"/>
      <c r="MG31" s="71"/>
      <c r="MH31" s="71"/>
      <c r="MI31" s="71"/>
      <c r="MJ31" s="71"/>
      <c r="MK31" s="71"/>
      <c r="ML31" s="71"/>
      <c r="MM31" s="71"/>
      <c r="MN31" s="71"/>
      <c r="MO31" s="71"/>
      <c r="MP31" s="71"/>
      <c r="MQ31" s="71"/>
      <c r="MR31" s="71"/>
      <c r="MS31" s="71"/>
      <c r="MT31" s="71"/>
      <c r="MU31" s="71"/>
      <c r="MV31" s="71"/>
      <c r="MW31" s="71"/>
      <c r="MX31" s="71"/>
      <c r="MY31" s="71"/>
      <c r="MZ31" s="71"/>
      <c r="NA31" s="71"/>
      <c r="NB31" s="71"/>
      <c r="NC31" s="71"/>
      <c r="ND31" s="71"/>
      <c r="NE31" s="71"/>
      <c r="NF31" s="71"/>
      <c r="NG31" s="71"/>
      <c r="NH31" s="71"/>
      <c r="NI31" s="71"/>
      <c r="NJ31" s="71"/>
      <c r="NK31" s="71"/>
      <c r="NL31" s="71"/>
      <c r="NM31" s="71"/>
      <c r="NN31" s="71"/>
      <c r="NO31" s="71"/>
      <c r="NP31" s="71"/>
      <c r="NQ31" s="71"/>
      <c r="NR31" s="71"/>
      <c r="NS31" s="71"/>
      <c r="NT31" s="71"/>
      <c r="NU31" s="71"/>
      <c r="NV31" s="71"/>
      <c r="NW31" s="71"/>
      <c r="NX31" s="71"/>
      <c r="NY31" s="71"/>
      <c r="NZ31" s="71"/>
      <c r="OA31" s="71"/>
      <c r="OB31" s="71"/>
      <c r="OC31" s="71"/>
      <c r="OD31" s="71"/>
      <c r="OE31" s="71"/>
      <c r="OF31" s="71"/>
      <c r="OG31" s="71"/>
      <c r="OH31" s="71"/>
      <c r="OI31" s="71"/>
      <c r="OJ31" s="71"/>
      <c r="OK31" s="71"/>
      <c r="OL31" s="71"/>
      <c r="OM31" s="71"/>
      <c r="ON31" s="71"/>
      <c r="OO31" s="71"/>
      <c r="OP31" s="71"/>
      <c r="OQ31" s="71"/>
      <c r="OR31" s="71"/>
      <c r="OS31" s="71"/>
      <c r="OT31" s="71"/>
      <c r="OU31" s="71"/>
      <c r="OV31" s="71"/>
      <c r="OW31" s="71"/>
      <c r="OX31" s="71"/>
      <c r="OY31" s="71"/>
      <c r="OZ31" s="71"/>
      <c r="PA31" s="71"/>
      <c r="PB31" s="71"/>
      <c r="PC31" s="71"/>
      <c r="PD31" s="71"/>
      <c r="PE31" s="71"/>
      <c r="PF31" s="71"/>
      <c r="PG31" s="71"/>
      <c r="PH31" s="71"/>
      <c r="PI31" s="71"/>
      <c r="PJ31" s="71"/>
      <c r="PK31" s="71"/>
      <c r="PL31" s="71"/>
      <c r="PM31" s="71"/>
      <c r="PN31" s="71"/>
      <c r="PO31" s="71"/>
      <c r="PP31" s="71"/>
      <c r="PQ31" s="71"/>
      <c r="PR31" s="71"/>
      <c r="PS31" s="71"/>
      <c r="PT31" s="71"/>
      <c r="PU31" s="71"/>
      <c r="PV31" s="71"/>
      <c r="PW31" s="71"/>
      <c r="PX31" s="71"/>
      <c r="PY31" s="71"/>
      <c r="PZ31" s="71"/>
      <c r="QA31" s="71"/>
      <c r="QB31" s="71"/>
      <c r="QC31" s="71"/>
      <c r="QD31" s="71"/>
      <c r="QE31" s="71"/>
      <c r="QF31" s="71"/>
      <c r="QG31" s="71"/>
      <c r="QH31" s="71"/>
      <c r="QI31" s="71"/>
      <c r="QJ31" s="71"/>
      <c r="QK31" s="71"/>
      <c r="QL31" s="71"/>
      <c r="QM31" s="71"/>
      <c r="QN31" s="71"/>
      <c r="QO31" s="71"/>
      <c r="QP31" s="71"/>
      <c r="QQ31" s="71"/>
      <c r="QR31" s="71"/>
      <c r="QS31" s="71"/>
      <c r="QT31" s="71"/>
      <c r="QU31" s="71"/>
      <c r="QV31" s="71"/>
      <c r="QW31" s="71"/>
      <c r="QX31" s="71"/>
      <c r="QY31" s="71"/>
      <c r="QZ31" s="71"/>
      <c r="RA31" s="71"/>
      <c r="RB31" s="71"/>
      <c r="RC31" s="71"/>
      <c r="RD31" s="71"/>
      <c r="RE31" s="71"/>
      <c r="RF31" s="71"/>
      <c r="RG31" s="71"/>
      <c r="RH31" s="71"/>
      <c r="RI31" s="71"/>
      <c r="RJ31" s="71"/>
      <c r="RK31" s="71"/>
      <c r="RL31" s="71"/>
      <c r="RM31" s="71"/>
      <c r="RN31" s="71"/>
      <c r="RO31" s="71"/>
      <c r="RP31" s="71"/>
      <c r="RQ31" s="71"/>
      <c r="RR31" s="71"/>
      <c r="RS31" s="71"/>
      <c r="RT31" s="71"/>
      <c r="RU31" s="71"/>
      <c r="RV31" s="71"/>
      <c r="RW31" s="71"/>
      <c r="RX31" s="71"/>
      <c r="RY31" s="71"/>
      <c r="RZ31" s="71"/>
      <c r="SA31" s="71"/>
      <c r="SB31" s="71"/>
      <c r="SC31" s="71"/>
      <c r="SD31" s="71"/>
      <c r="SE31" s="71"/>
      <c r="SF31" s="71"/>
      <c r="SG31" s="71"/>
      <c r="SH31" s="71"/>
      <c r="SI31" s="71"/>
      <c r="SJ31" s="71"/>
      <c r="SK31" s="71"/>
      <c r="SL31" s="71"/>
      <c r="SM31" s="71"/>
      <c r="SN31" s="71"/>
      <c r="SO31" s="71"/>
      <c r="SP31" s="71"/>
      <c r="SQ31" s="71"/>
      <c r="SR31" s="71"/>
      <c r="SS31" s="71"/>
      <c r="ST31" s="71"/>
      <c r="SU31" s="71"/>
      <c r="SV31" s="71"/>
      <c r="SW31" s="71"/>
      <c r="SX31" s="71"/>
      <c r="SY31" s="71"/>
      <c r="SZ31" s="71"/>
      <c r="TA31" s="71"/>
      <c r="TB31" s="71"/>
      <c r="TC31" s="71"/>
      <c r="TD31" s="71"/>
      <c r="TE31" s="71"/>
      <c r="TF31" s="71"/>
      <c r="TG31" s="71"/>
      <c r="TH31" s="71"/>
      <c r="TI31" s="71"/>
      <c r="TJ31" s="71"/>
      <c r="TK31" s="71"/>
      <c r="TL31" s="71"/>
      <c r="TM31" s="71"/>
      <c r="TN31" s="71"/>
      <c r="TO31" s="71"/>
      <c r="TP31" s="71"/>
      <c r="TQ31" s="71"/>
      <c r="TR31" s="71"/>
      <c r="TS31" s="71"/>
      <c r="TT31" s="71"/>
      <c r="TU31" s="71"/>
      <c r="TV31" s="71"/>
      <c r="TW31" s="71"/>
      <c r="TX31" s="71"/>
      <c r="TY31" s="71"/>
      <c r="TZ31" s="71"/>
      <c r="UA31" s="71"/>
      <c r="UB31" s="71"/>
      <c r="UC31" s="71"/>
      <c r="UD31" s="71"/>
      <c r="UE31" s="71"/>
      <c r="UF31" s="71"/>
      <c r="UG31" s="71"/>
      <c r="UH31" s="71"/>
      <c r="UI31" s="71"/>
      <c r="UJ31" s="71"/>
      <c r="UK31" s="71"/>
      <c r="UL31" s="71"/>
      <c r="UM31" s="71"/>
      <c r="UN31" s="71"/>
      <c r="UO31" s="71"/>
      <c r="UP31" s="71"/>
      <c r="UQ31" s="71"/>
      <c r="UR31" s="71"/>
      <c r="US31" s="71"/>
      <c r="UT31" s="71"/>
      <c r="UU31" s="71"/>
      <c r="UV31" s="71"/>
      <c r="UW31" s="71"/>
      <c r="UX31" s="71"/>
      <c r="UY31" s="71"/>
      <c r="UZ31" s="71"/>
      <c r="VA31" s="71"/>
      <c r="VB31" s="71"/>
      <c r="VC31" s="71"/>
      <c r="VD31" s="71"/>
      <c r="VE31" s="71"/>
      <c r="VF31" s="71"/>
      <c r="VG31" s="71"/>
      <c r="VH31" s="71"/>
      <c r="VI31" s="71"/>
      <c r="VJ31" s="71"/>
      <c r="VK31" s="71"/>
      <c r="VL31" s="71"/>
      <c r="VM31" s="71"/>
      <c r="VN31" s="71"/>
      <c r="VO31" s="71"/>
      <c r="VP31" s="71"/>
      <c r="VQ31" s="71"/>
      <c r="VR31" s="71"/>
      <c r="VS31" s="71"/>
      <c r="VT31" s="71"/>
      <c r="VU31" s="71"/>
      <c r="VV31" s="71"/>
      <c r="VW31" s="71"/>
      <c r="VX31" s="71"/>
      <c r="VY31" s="71"/>
      <c r="VZ31" s="71"/>
      <c r="WA31" s="71"/>
      <c r="WB31" s="71"/>
      <c r="WC31" s="71"/>
      <c r="WD31" s="71"/>
      <c r="WE31" s="71"/>
      <c r="WF31" s="71"/>
      <c r="WG31" s="71"/>
      <c r="WH31" s="71"/>
      <c r="WI31" s="71"/>
      <c r="WJ31" s="71"/>
      <c r="WK31" s="71"/>
      <c r="WL31" s="71"/>
      <c r="WM31" s="71"/>
      <c r="WN31" s="71"/>
      <c r="WO31" s="71"/>
      <c r="WP31" s="71"/>
      <c r="WQ31" s="71"/>
      <c r="WR31" s="71"/>
      <c r="WS31" s="71"/>
      <c r="WT31" s="71"/>
      <c r="WU31" s="71"/>
      <c r="WV31" s="71"/>
      <c r="WW31" s="71"/>
      <c r="WX31" s="71"/>
      <c r="WY31" s="71"/>
      <c r="WZ31" s="71"/>
      <c r="XA31" s="71"/>
      <c r="XB31" s="71"/>
      <c r="XC31" s="71"/>
      <c r="XD31" s="71"/>
      <c r="XE31" s="71"/>
      <c r="XF31" s="71"/>
      <c r="XG31" s="71"/>
      <c r="XH31" s="71"/>
      <c r="XI31" s="71"/>
      <c r="XJ31" s="71"/>
      <c r="XK31" s="71"/>
      <c r="XL31" s="71"/>
      <c r="XM31" s="71"/>
      <c r="XN31" s="71"/>
      <c r="XO31" s="71"/>
      <c r="XP31" s="71"/>
      <c r="XQ31" s="71"/>
      <c r="XR31" s="71"/>
      <c r="XS31" s="71"/>
      <c r="XT31" s="71"/>
      <c r="XU31" s="71"/>
      <c r="XV31" s="71"/>
      <c r="XW31" s="71"/>
      <c r="XX31" s="71"/>
      <c r="XY31" s="71"/>
      <c r="XZ31" s="71"/>
      <c r="YA31" s="71"/>
      <c r="YB31" s="71"/>
      <c r="YC31" s="71"/>
      <c r="YD31" s="71"/>
      <c r="YE31" s="71"/>
      <c r="YF31" s="71"/>
      <c r="YG31" s="71"/>
      <c r="YH31" s="71"/>
      <c r="YI31" s="71"/>
      <c r="YJ31" s="71"/>
      <c r="YK31" s="71"/>
      <c r="YL31" s="71"/>
      <c r="YM31" s="71"/>
      <c r="YN31" s="71"/>
      <c r="YO31" s="71"/>
      <c r="YP31" s="71"/>
      <c r="YQ31" s="71"/>
      <c r="YR31" s="71"/>
      <c r="YS31" s="71"/>
      <c r="YT31" s="71"/>
      <c r="YU31" s="71"/>
      <c r="YV31" s="71"/>
      <c r="YW31" s="71"/>
      <c r="YX31" s="71"/>
      <c r="YY31" s="71"/>
      <c r="YZ31" s="71"/>
      <c r="ZA31" s="71"/>
      <c r="ZB31" s="71"/>
      <c r="ZC31" s="71"/>
      <c r="ZD31" s="71"/>
      <c r="ZE31" s="71"/>
      <c r="ZF31" s="71"/>
      <c r="ZG31" s="71"/>
      <c r="ZH31" s="71"/>
      <c r="ZI31" s="71"/>
      <c r="ZJ31" s="71"/>
      <c r="ZK31" s="71"/>
      <c r="ZL31" s="71"/>
      <c r="ZM31" s="71"/>
      <c r="ZN31" s="71"/>
      <c r="ZO31" s="71"/>
      <c r="ZP31" s="71"/>
      <c r="ZQ31" s="71"/>
      <c r="ZR31" s="71"/>
      <c r="ZS31" s="71"/>
      <c r="ZT31" s="71"/>
      <c r="ZU31" s="71"/>
      <c r="ZV31" s="71"/>
      <c r="ZW31" s="71"/>
      <c r="ZX31" s="71"/>
      <c r="ZY31" s="71"/>
      <c r="ZZ31" s="71"/>
      <c r="AAA31" s="71"/>
      <c r="AAB31" s="71"/>
      <c r="AAC31" s="71"/>
      <c r="AAD31" s="71"/>
      <c r="AAE31" s="71"/>
      <c r="AAF31" s="71"/>
      <c r="AAG31" s="71"/>
      <c r="AAH31" s="71"/>
      <c r="AAI31" s="71"/>
      <c r="AAJ31" s="71"/>
      <c r="AAK31" s="71"/>
      <c r="AAL31" s="71"/>
      <c r="AAM31" s="71"/>
      <c r="AAN31" s="71"/>
      <c r="AAO31" s="71"/>
      <c r="AAP31" s="71"/>
      <c r="AAQ31" s="71"/>
      <c r="AAR31" s="71"/>
      <c r="AAS31" s="71"/>
      <c r="AAT31" s="71"/>
      <c r="AAU31" s="71"/>
      <c r="AAV31" s="71"/>
      <c r="AAW31" s="71"/>
      <c r="AAX31" s="71"/>
      <c r="AAY31" s="71"/>
      <c r="AAZ31" s="71"/>
      <c r="ABA31" s="71"/>
      <c r="ABB31" s="71"/>
      <c r="ABC31" s="71"/>
      <c r="ABD31" s="71"/>
      <c r="ABE31" s="71"/>
      <c r="ABF31" s="71"/>
      <c r="ABG31" s="71"/>
      <c r="ABH31" s="71"/>
      <c r="ABI31" s="71"/>
      <c r="ABJ31" s="71"/>
      <c r="ABK31" s="71"/>
      <c r="ABL31" s="71"/>
      <c r="ABM31" s="71"/>
      <c r="ABN31" s="71"/>
      <c r="ABO31" s="71"/>
      <c r="ABP31" s="71"/>
      <c r="ABQ31" s="71"/>
      <c r="ABR31" s="71"/>
      <c r="ABS31" s="71"/>
      <c r="ABT31" s="71"/>
      <c r="ABU31" s="71"/>
      <c r="ABV31" s="71"/>
      <c r="ABW31" s="71"/>
      <c r="ABX31" s="71"/>
      <c r="ABY31" s="71"/>
      <c r="ABZ31" s="71"/>
      <c r="ACA31" s="71"/>
      <c r="ACB31" s="71"/>
      <c r="ACC31" s="71"/>
      <c r="ACD31" s="71"/>
      <c r="ACE31" s="71"/>
      <c r="ACF31" s="71"/>
      <c r="ACG31" s="71"/>
      <c r="ACH31" s="71"/>
      <c r="ACI31" s="71"/>
      <c r="ACJ31" s="71"/>
      <c r="ACK31" s="71"/>
      <c r="ACL31" s="71"/>
      <c r="ACM31" s="71"/>
      <c r="ACN31" s="71"/>
      <c r="ACO31" s="71"/>
      <c r="ACP31" s="71"/>
      <c r="ACQ31" s="71"/>
      <c r="ACR31" s="71"/>
      <c r="ACS31" s="71"/>
      <c r="ACT31" s="71"/>
      <c r="ACU31" s="71"/>
      <c r="ACV31" s="71"/>
      <c r="ACW31" s="71"/>
      <c r="ACX31" s="71"/>
      <c r="ACY31" s="71"/>
      <c r="ACZ31" s="71"/>
      <c r="ADA31" s="71"/>
      <c r="ADB31" s="71"/>
      <c r="ADC31" s="71"/>
      <c r="ADD31" s="71"/>
      <c r="ADE31" s="71"/>
      <c r="ADF31" s="71"/>
      <c r="ADG31" s="71"/>
      <c r="ADH31" s="71"/>
      <c r="ADI31" s="71"/>
      <c r="ADJ31" s="71"/>
      <c r="ADK31" s="71"/>
      <c r="ADL31" s="71"/>
      <c r="ADM31" s="71"/>
      <c r="ADN31" s="71"/>
      <c r="ADO31" s="71"/>
      <c r="ADP31" s="71"/>
      <c r="ADQ31" s="71"/>
      <c r="ADR31" s="71"/>
      <c r="ADS31" s="71"/>
      <c r="ADT31" s="71"/>
      <c r="ADU31" s="71"/>
      <c r="ADV31" s="71"/>
      <c r="ADW31" s="71"/>
      <c r="ADX31" s="71"/>
      <c r="ADY31" s="71"/>
      <c r="ADZ31" s="71"/>
      <c r="AEA31" s="71"/>
      <c r="AEB31" s="71"/>
      <c r="AEC31" s="71"/>
      <c r="AED31" s="71"/>
      <c r="AEE31" s="71"/>
      <c r="AEF31" s="71"/>
      <c r="AEG31" s="71"/>
      <c r="AEH31" s="71"/>
      <c r="AEI31" s="71"/>
      <c r="AEJ31" s="71"/>
      <c r="AEK31" s="71"/>
      <c r="AEL31" s="71"/>
      <c r="AEM31" s="71"/>
      <c r="AEN31" s="71"/>
      <c r="AEO31" s="71"/>
      <c r="AEP31" s="71"/>
      <c r="AEQ31" s="71"/>
      <c r="AER31" s="71"/>
      <c r="AES31" s="71"/>
      <c r="AET31" s="71"/>
      <c r="AEU31" s="71"/>
      <c r="AEV31" s="71"/>
      <c r="AEW31" s="71"/>
      <c r="AEX31" s="71"/>
      <c r="AEY31" s="71"/>
      <c r="AEZ31" s="71"/>
      <c r="AFA31" s="71"/>
      <c r="AFB31" s="71"/>
      <c r="AFC31" s="71"/>
      <c r="AFD31" s="71"/>
      <c r="AFE31" s="71"/>
      <c r="AFF31" s="71"/>
      <c r="AFG31" s="71"/>
      <c r="AFH31" s="71"/>
      <c r="AFI31" s="71"/>
      <c r="AFJ31" s="71"/>
      <c r="AFK31" s="71"/>
      <c r="AFL31" s="71"/>
      <c r="AFM31" s="71"/>
      <c r="AFN31" s="71"/>
      <c r="AFO31" s="71"/>
      <c r="AFP31" s="71"/>
      <c r="AFQ31" s="71"/>
      <c r="AFR31" s="71"/>
      <c r="AFS31" s="71"/>
      <c r="AFT31" s="71"/>
      <c r="AFU31" s="71"/>
      <c r="AFV31" s="71"/>
      <c r="AFW31" s="71"/>
      <c r="AFX31" s="71"/>
      <c r="AFY31" s="71"/>
      <c r="AFZ31" s="71"/>
      <c r="AGA31" s="71"/>
      <c r="AGB31" s="71"/>
      <c r="AGC31" s="71"/>
      <c r="AGD31" s="71"/>
      <c r="AGE31" s="71"/>
      <c r="AGF31" s="71"/>
      <c r="AGG31" s="71"/>
      <c r="AGH31" s="71"/>
      <c r="AGI31" s="71"/>
      <c r="AGJ31" s="71"/>
      <c r="AGK31" s="71"/>
      <c r="AGL31" s="71"/>
      <c r="AGM31" s="71"/>
      <c r="AGN31" s="71"/>
      <c r="AGO31" s="71"/>
      <c r="AGP31" s="71"/>
      <c r="AGQ31" s="71"/>
      <c r="AGR31" s="71"/>
      <c r="AGS31" s="71"/>
      <c r="AGT31" s="71"/>
      <c r="AGU31" s="71"/>
      <c r="AGV31" s="71"/>
      <c r="AGW31" s="71"/>
      <c r="AGX31" s="71"/>
      <c r="AGY31" s="71"/>
      <c r="AGZ31" s="71"/>
      <c r="AHA31" s="71"/>
      <c r="AHB31" s="71"/>
      <c r="AHC31" s="71"/>
      <c r="AHD31" s="71"/>
      <c r="AHE31" s="71"/>
      <c r="AHF31" s="71"/>
      <c r="AHG31" s="71"/>
      <c r="AHH31" s="71"/>
      <c r="AHI31" s="71"/>
      <c r="AHJ31" s="71"/>
      <c r="AHK31" s="71"/>
      <c r="AHL31" s="71"/>
      <c r="AHM31" s="71"/>
      <c r="AHN31" s="71"/>
      <c r="AHO31" s="71"/>
      <c r="AHP31" s="71"/>
      <c r="AHQ31" s="71"/>
      <c r="AHR31" s="71"/>
      <c r="AHS31" s="71"/>
      <c r="AHT31" s="71"/>
      <c r="AHU31" s="71"/>
      <c r="AHV31" s="71"/>
      <c r="AHW31" s="71"/>
      <c r="AHX31" s="71"/>
      <c r="AHY31" s="71"/>
      <c r="AHZ31" s="71"/>
      <c r="AIA31" s="71"/>
      <c r="AIB31" s="71"/>
      <c r="AIC31" s="71"/>
      <c r="AID31" s="71"/>
      <c r="AIE31" s="71"/>
      <c r="AIF31" s="71"/>
      <c r="AIG31" s="71"/>
      <c r="AIH31" s="71"/>
      <c r="AII31" s="71"/>
      <c r="AIJ31" s="71"/>
      <c r="AIK31" s="71"/>
      <c r="AIL31" s="71"/>
      <c r="AIM31" s="71"/>
      <c r="AIN31" s="71"/>
      <c r="AIO31" s="71"/>
      <c r="AIP31" s="71"/>
      <c r="AIQ31" s="71"/>
      <c r="AIR31" s="71"/>
      <c r="AIS31" s="71"/>
      <c r="AIT31" s="71"/>
      <c r="AIU31" s="71"/>
      <c r="AIV31" s="71"/>
      <c r="AIW31" s="71"/>
      <c r="AIX31" s="71"/>
      <c r="AIY31" s="71"/>
      <c r="AIZ31" s="71"/>
      <c r="AJA31" s="71"/>
      <c r="AJB31" s="71"/>
      <c r="AJC31" s="71"/>
      <c r="AJD31" s="71"/>
      <c r="AJE31" s="71"/>
      <c r="AJF31" s="71"/>
      <c r="AJG31" s="71"/>
      <c r="AJH31" s="71"/>
      <c r="AJI31" s="71"/>
      <c r="AJJ31" s="71"/>
      <c r="AJK31" s="71"/>
      <c r="AJL31" s="71"/>
      <c r="AJM31" s="71"/>
      <c r="AJN31" s="71"/>
      <c r="AJO31" s="71"/>
      <c r="AJP31" s="71"/>
      <c r="AJQ31" s="71"/>
      <c r="AJR31" s="71"/>
      <c r="AJS31" s="71"/>
      <c r="AJT31" s="71"/>
      <c r="AJU31" s="71"/>
      <c r="AJV31" s="71"/>
      <c r="AJW31" s="71"/>
      <c r="AJX31" s="71"/>
      <c r="AJY31" s="71"/>
      <c r="AJZ31" s="71"/>
      <c r="AKA31" s="71"/>
      <c r="AKB31" s="71"/>
      <c r="AKC31" s="71"/>
      <c r="AKD31" s="71"/>
      <c r="AKE31" s="71"/>
      <c r="AKF31" s="71"/>
      <c r="AKG31" s="71"/>
      <c r="AKH31" s="71"/>
      <c r="AKI31" s="71"/>
      <c r="AKJ31" s="71"/>
      <c r="AKK31" s="71"/>
      <c r="AKL31" s="71"/>
      <c r="AKM31" s="71"/>
      <c r="AKN31" s="71"/>
      <c r="AKO31" s="71"/>
      <c r="AKP31" s="71"/>
      <c r="AKQ31" s="71"/>
      <c r="AKR31" s="71"/>
      <c r="AKS31" s="71"/>
      <c r="AKT31" s="71"/>
      <c r="AKU31" s="71"/>
      <c r="AKV31" s="71"/>
      <c r="AKW31" s="71"/>
      <c r="AKX31" s="71"/>
      <c r="AKY31" s="71"/>
      <c r="AKZ31" s="71"/>
      <c r="ALA31" s="71"/>
      <c r="ALB31" s="71"/>
      <c r="ALC31" s="71"/>
      <c r="ALD31" s="71"/>
      <c r="ALE31" s="71"/>
      <c r="ALF31" s="71"/>
      <c r="ALG31" s="71"/>
      <c r="ALH31" s="71"/>
      <c r="ALI31" s="71"/>
      <c r="ALJ31" s="71"/>
      <c r="ALK31" s="71"/>
      <c r="ALL31" s="71"/>
      <c r="ALM31" s="71"/>
      <c r="ALN31" s="71"/>
      <c r="ALO31" s="71"/>
      <c r="ALP31" s="71"/>
      <c r="ALQ31" s="71"/>
      <c r="ALR31" s="71"/>
      <c r="ALS31" s="71"/>
      <c r="ALT31" s="71"/>
      <c r="ALU31" s="71"/>
      <c r="ALV31" s="71"/>
      <c r="ALW31" s="71"/>
      <c r="ALX31" s="71"/>
      <c r="ALY31" s="71"/>
      <c r="ALZ31" s="71"/>
      <c r="AMA31" s="71"/>
      <c r="AMB31" s="71"/>
      <c r="AMC31" s="71"/>
      <c r="AMD31" s="71"/>
      <c r="AME31" s="71"/>
      <c r="AMF31" s="71"/>
      <c r="AMG31" s="71"/>
      <c r="AMH31" s="71"/>
      <c r="AMI31" s="71"/>
      <c r="AMJ31" s="71"/>
      <c r="AMK31" s="71"/>
      <c r="AML31" s="71"/>
      <c r="AMM31" s="71"/>
      <c r="AMN31" s="71"/>
      <c r="AMO31" s="71"/>
      <c r="AMP31" s="71"/>
      <c r="AMQ31" s="71"/>
      <c r="AMR31" s="71"/>
      <c r="AMS31" s="71"/>
      <c r="AMT31" s="71"/>
      <c r="AMU31" s="71"/>
      <c r="AMV31" s="71"/>
      <c r="AMW31" s="71"/>
      <c r="AMX31" s="71"/>
      <c r="AMY31" s="71"/>
      <c r="AMZ31" s="71"/>
      <c r="ANA31" s="71"/>
      <c r="ANB31" s="71"/>
      <c r="ANC31" s="71"/>
      <c r="AND31" s="71"/>
      <c r="ANE31" s="71"/>
      <c r="ANF31" s="71"/>
      <c r="ANG31" s="71"/>
      <c r="ANH31" s="71"/>
      <c r="ANI31" s="71"/>
      <c r="ANJ31" s="71"/>
      <c r="ANK31" s="71"/>
      <c r="ANL31" s="71"/>
      <c r="ANM31" s="71"/>
      <c r="ANN31" s="71"/>
      <c r="ANO31" s="71"/>
      <c r="ANP31" s="71"/>
      <c r="ANQ31" s="71"/>
      <c r="ANR31" s="71"/>
      <c r="ANS31" s="71"/>
      <c r="ANT31" s="71"/>
      <c r="ANU31" s="71"/>
      <c r="ANV31" s="71"/>
      <c r="ANW31" s="71"/>
      <c r="ANX31" s="71"/>
      <c r="ANY31" s="71"/>
      <c r="ANZ31" s="71"/>
      <c r="AOA31" s="71"/>
      <c r="AOB31" s="71"/>
      <c r="AOC31" s="71"/>
      <c r="AOD31" s="71"/>
      <c r="AOE31" s="71"/>
      <c r="AOF31" s="71"/>
      <c r="AOG31" s="71"/>
      <c r="AOH31" s="71"/>
      <c r="AOI31" s="71"/>
      <c r="AOJ31" s="71"/>
      <c r="AOK31" s="71"/>
      <c r="AOL31" s="71"/>
      <c r="AOM31" s="71"/>
      <c r="AON31" s="71"/>
      <c r="AOO31" s="71"/>
      <c r="AOP31" s="71"/>
      <c r="AOQ31" s="71"/>
      <c r="AOR31" s="71"/>
      <c r="AOS31" s="71"/>
      <c r="AOT31" s="71"/>
      <c r="AOU31" s="71"/>
      <c r="AOV31" s="71"/>
      <c r="AOW31" s="71"/>
      <c r="AOX31" s="71"/>
      <c r="AOY31" s="71"/>
      <c r="AOZ31" s="71"/>
      <c r="APA31" s="71"/>
      <c r="APB31" s="71"/>
      <c r="APC31" s="71"/>
      <c r="APD31" s="71"/>
      <c r="APE31" s="71"/>
      <c r="APF31" s="71"/>
      <c r="APG31" s="71"/>
      <c r="APH31" s="71"/>
      <c r="API31" s="71"/>
      <c r="APJ31" s="71"/>
      <c r="APK31" s="71"/>
      <c r="APL31" s="71"/>
      <c r="APM31" s="71"/>
      <c r="APN31" s="71"/>
      <c r="APO31" s="71"/>
      <c r="APP31" s="71"/>
      <c r="APQ31" s="71"/>
      <c r="APR31" s="71"/>
      <c r="APS31" s="71"/>
      <c r="APT31" s="71"/>
      <c r="APU31" s="71"/>
      <c r="APV31" s="71"/>
      <c r="APW31" s="71"/>
      <c r="APX31" s="71"/>
      <c r="APY31" s="71"/>
      <c r="APZ31" s="71"/>
      <c r="AQA31" s="71"/>
      <c r="AQB31" s="71"/>
      <c r="AQC31" s="71"/>
      <c r="AQD31" s="71"/>
      <c r="AQE31" s="71"/>
      <c r="AQF31" s="71"/>
      <c r="AQG31" s="71"/>
      <c r="AQH31" s="71"/>
      <c r="AQI31" s="71"/>
      <c r="AQJ31" s="71"/>
      <c r="AQK31" s="71"/>
      <c r="AQL31" s="71"/>
      <c r="AQM31" s="71"/>
      <c r="AQN31" s="71"/>
      <c r="AQO31" s="71"/>
      <c r="AQP31" s="71"/>
      <c r="AQQ31" s="71"/>
      <c r="AQR31" s="71"/>
      <c r="AQS31" s="71"/>
      <c r="AQT31" s="71"/>
      <c r="AQU31" s="71"/>
      <c r="AQV31" s="71"/>
      <c r="AQW31" s="71"/>
      <c r="AQX31" s="71"/>
      <c r="AQY31" s="71"/>
      <c r="AQZ31" s="71"/>
      <c r="ARA31" s="71"/>
      <c r="ARB31" s="71"/>
      <c r="ARC31" s="71"/>
      <c r="ARD31" s="71"/>
      <c r="ARE31" s="71"/>
      <c r="ARF31" s="71"/>
      <c r="ARG31" s="71"/>
      <c r="ARH31" s="71"/>
      <c r="ARI31" s="71"/>
      <c r="ARJ31" s="71"/>
      <c r="ARK31" s="71"/>
      <c r="ARL31" s="71"/>
      <c r="ARM31" s="71"/>
      <c r="ARN31" s="71"/>
      <c r="ARO31" s="71"/>
      <c r="ARP31" s="71"/>
      <c r="ARQ31" s="71"/>
      <c r="ARR31" s="71"/>
      <c r="ARS31" s="71"/>
      <c r="ART31" s="71"/>
      <c r="ARU31" s="71"/>
      <c r="ARV31" s="71"/>
      <c r="ARW31" s="71"/>
      <c r="ARX31" s="71"/>
      <c r="ARY31" s="71"/>
      <c r="ARZ31" s="71"/>
      <c r="ASA31" s="71"/>
      <c r="ASB31" s="71"/>
      <c r="ASC31" s="71"/>
      <c r="ASD31" s="71"/>
      <c r="ASE31" s="71"/>
      <c r="ASF31" s="71"/>
      <c r="ASG31" s="71"/>
      <c r="ASH31" s="71"/>
      <c r="ASI31" s="71"/>
      <c r="ASJ31" s="71"/>
      <c r="ASK31" s="71"/>
      <c r="ASL31" s="71"/>
      <c r="ASM31" s="71"/>
      <c r="ASN31" s="71"/>
      <c r="ASO31" s="71"/>
      <c r="ASP31" s="71"/>
      <c r="ASQ31" s="71"/>
      <c r="ASR31" s="71"/>
      <c r="ASS31" s="71"/>
      <c r="AST31" s="71"/>
      <c r="ASU31" s="71"/>
      <c r="ASV31" s="71"/>
      <c r="ASW31" s="71"/>
      <c r="ASX31" s="71"/>
      <c r="ASY31" s="71"/>
      <c r="ASZ31" s="71"/>
      <c r="ATA31" s="71"/>
      <c r="ATB31" s="71"/>
      <c r="ATC31" s="71"/>
      <c r="ATD31" s="71"/>
      <c r="ATE31" s="71"/>
      <c r="ATF31" s="71"/>
      <c r="ATG31" s="71"/>
      <c r="ATH31" s="71"/>
      <c r="ATI31" s="71"/>
      <c r="ATJ31" s="71"/>
      <c r="ATK31" s="71"/>
      <c r="ATL31" s="71"/>
      <c r="ATM31" s="71"/>
      <c r="ATN31" s="71"/>
      <c r="ATO31" s="71"/>
      <c r="ATP31" s="71"/>
      <c r="ATQ31" s="71"/>
      <c r="ATR31" s="71"/>
      <c r="ATS31" s="71"/>
      <c r="ATT31" s="71"/>
      <c r="ATU31" s="71"/>
      <c r="ATV31" s="71"/>
      <c r="ATW31" s="71"/>
      <c r="ATX31" s="71"/>
      <c r="ATY31" s="71"/>
      <c r="ATZ31" s="71"/>
      <c r="AUA31" s="71"/>
      <c r="AUB31" s="71"/>
      <c r="AUC31" s="71"/>
      <c r="AUD31" s="71"/>
      <c r="AUE31" s="71"/>
      <c r="AUF31" s="71"/>
      <c r="AUG31" s="71"/>
      <c r="AUH31" s="71"/>
      <c r="AUI31" s="71"/>
      <c r="AUJ31" s="71"/>
      <c r="AUK31" s="71"/>
      <c r="AUL31" s="71"/>
      <c r="AUM31" s="71"/>
      <c r="AUN31" s="71"/>
      <c r="AUO31" s="71"/>
      <c r="AUP31" s="71"/>
      <c r="AUQ31" s="71"/>
      <c r="AUR31" s="71"/>
      <c r="AUS31" s="71"/>
      <c r="AUT31" s="71"/>
      <c r="AUU31" s="71"/>
      <c r="AUV31" s="71"/>
      <c r="AUW31" s="71"/>
      <c r="AUX31" s="71"/>
      <c r="AUY31" s="71"/>
      <c r="AUZ31" s="71"/>
      <c r="AVA31" s="71"/>
      <c r="AVB31" s="71"/>
      <c r="AVC31" s="71"/>
      <c r="AVD31" s="71"/>
      <c r="AVE31" s="71"/>
      <c r="AVF31" s="71"/>
      <c r="AVG31" s="71"/>
      <c r="AVH31" s="71"/>
      <c r="AVI31" s="71"/>
      <c r="AVJ31" s="71"/>
      <c r="AVK31" s="71"/>
      <c r="AVL31" s="71"/>
      <c r="AVM31" s="71"/>
      <c r="AVN31" s="71"/>
      <c r="AVO31" s="71"/>
      <c r="AVP31" s="71"/>
      <c r="AVQ31" s="71"/>
      <c r="AVR31" s="71"/>
      <c r="AVS31" s="71"/>
      <c r="AVT31" s="71"/>
      <c r="AVU31" s="71"/>
      <c r="AVV31" s="71"/>
      <c r="AVW31" s="71"/>
      <c r="AVX31" s="71"/>
      <c r="AVY31" s="71"/>
      <c r="AVZ31" s="71"/>
      <c r="AWA31" s="71"/>
      <c r="AWB31" s="71"/>
      <c r="AWC31" s="71"/>
      <c r="AWD31" s="71"/>
      <c r="AWE31" s="71"/>
      <c r="AWF31" s="71"/>
      <c r="AWG31" s="71"/>
      <c r="AWH31" s="71"/>
      <c r="AWI31" s="71"/>
      <c r="AWJ31" s="71"/>
      <c r="AWK31" s="71"/>
      <c r="AWL31" s="71"/>
      <c r="AWM31" s="71"/>
      <c r="AWN31" s="71"/>
      <c r="AWO31" s="71"/>
      <c r="AWP31" s="71"/>
      <c r="AWQ31" s="71"/>
      <c r="AWR31" s="71"/>
      <c r="AWS31" s="71"/>
      <c r="AWT31" s="71"/>
      <c r="AWU31" s="71"/>
      <c r="AWV31" s="71"/>
      <c r="AWW31" s="71"/>
      <c r="AWX31" s="71"/>
      <c r="AWY31" s="71"/>
      <c r="AWZ31" s="71"/>
      <c r="AXA31" s="71"/>
      <c r="AXB31" s="71"/>
      <c r="AXC31" s="71"/>
      <c r="AXD31" s="71"/>
      <c r="AXE31" s="71"/>
      <c r="AXF31" s="71"/>
      <c r="AXG31" s="71"/>
      <c r="AXH31" s="71"/>
      <c r="AXI31" s="71"/>
      <c r="AXJ31" s="71"/>
      <c r="AXK31" s="71"/>
      <c r="AXL31" s="71"/>
      <c r="AXM31" s="71"/>
      <c r="AXN31" s="71"/>
      <c r="AXO31" s="71"/>
      <c r="AXP31" s="71"/>
      <c r="AXQ31" s="71"/>
      <c r="AXR31" s="71"/>
      <c r="AXS31" s="71"/>
      <c r="AXT31" s="71"/>
      <c r="AXU31" s="71"/>
      <c r="AXV31" s="71"/>
      <c r="AXW31" s="71"/>
      <c r="AXX31" s="71"/>
      <c r="AXY31" s="71"/>
      <c r="AXZ31" s="71"/>
      <c r="AYA31" s="71"/>
      <c r="AYB31" s="71"/>
      <c r="AYC31" s="71"/>
      <c r="AYD31" s="71"/>
      <c r="AYE31" s="71"/>
      <c r="AYF31" s="71"/>
      <c r="AYG31" s="71"/>
      <c r="AYH31" s="71"/>
      <c r="AYI31" s="71"/>
      <c r="AYJ31" s="71"/>
      <c r="AYK31" s="71"/>
      <c r="AYL31" s="71"/>
      <c r="AYM31" s="71"/>
      <c r="AYN31" s="71"/>
      <c r="AYO31" s="71"/>
      <c r="AYP31" s="71"/>
      <c r="AYQ31" s="71"/>
      <c r="AYR31" s="71"/>
      <c r="AYS31" s="71"/>
      <c r="AYT31" s="71"/>
      <c r="AYU31" s="71"/>
      <c r="AYV31" s="71"/>
      <c r="AYW31" s="71"/>
      <c r="AYX31" s="71"/>
      <c r="AYY31" s="71"/>
      <c r="AYZ31" s="71"/>
      <c r="AZA31" s="71"/>
      <c r="AZB31" s="71"/>
      <c r="AZC31" s="71"/>
      <c r="AZD31" s="71"/>
      <c r="AZE31" s="71"/>
      <c r="AZF31" s="71"/>
      <c r="AZG31" s="71"/>
      <c r="AZH31" s="71"/>
      <c r="AZI31" s="71"/>
      <c r="AZJ31" s="71"/>
      <c r="AZK31" s="71"/>
      <c r="AZL31" s="71"/>
      <c r="AZM31" s="71"/>
      <c r="AZN31" s="71"/>
      <c r="AZO31" s="71"/>
      <c r="AZP31" s="71"/>
      <c r="AZQ31" s="71"/>
      <c r="AZR31" s="71"/>
      <c r="AZS31" s="71"/>
      <c r="AZT31" s="71"/>
      <c r="AZU31" s="71"/>
      <c r="AZV31" s="71"/>
      <c r="AZW31" s="71"/>
      <c r="AZX31" s="71"/>
      <c r="AZY31" s="71"/>
      <c r="AZZ31" s="71"/>
      <c r="BAA31" s="71"/>
      <c r="BAB31" s="71"/>
      <c r="BAC31" s="71"/>
      <c r="BAD31" s="71"/>
      <c r="BAE31" s="71"/>
      <c r="BAF31" s="71"/>
      <c r="BAG31" s="71"/>
      <c r="BAH31" s="71"/>
      <c r="BAI31" s="71"/>
      <c r="BAJ31" s="71"/>
      <c r="BAK31" s="71"/>
      <c r="BAL31" s="71"/>
      <c r="BAM31" s="71"/>
      <c r="BAN31" s="71"/>
      <c r="BAO31" s="71"/>
      <c r="BAP31" s="71"/>
      <c r="BAQ31" s="71"/>
      <c r="BAR31" s="71"/>
      <c r="BAS31" s="71"/>
      <c r="BAT31" s="71"/>
      <c r="BAU31" s="71"/>
      <c r="BAV31" s="71"/>
      <c r="BAW31" s="71"/>
      <c r="BAX31" s="71"/>
      <c r="BAY31" s="71"/>
      <c r="BAZ31" s="71"/>
      <c r="BBA31" s="71"/>
      <c r="BBB31" s="71"/>
      <c r="BBC31" s="71"/>
      <c r="BBD31" s="71"/>
      <c r="BBE31" s="71"/>
      <c r="BBF31" s="71"/>
      <c r="BBG31" s="71"/>
      <c r="BBH31" s="71"/>
      <c r="BBI31" s="71"/>
      <c r="BBJ31" s="71"/>
      <c r="BBK31" s="71"/>
      <c r="BBL31" s="71"/>
      <c r="BBM31" s="71"/>
      <c r="BBN31" s="71"/>
      <c r="BBO31" s="71"/>
      <c r="BBP31" s="71"/>
      <c r="BBQ31" s="71"/>
      <c r="BBR31" s="71"/>
      <c r="BBS31" s="71"/>
      <c r="BBT31" s="71"/>
      <c r="BBU31" s="71"/>
      <c r="BBV31" s="71"/>
      <c r="BBW31" s="71"/>
      <c r="BBX31" s="71"/>
      <c r="BBY31" s="71"/>
      <c r="BBZ31" s="71"/>
      <c r="BCA31" s="71"/>
      <c r="BCB31" s="71"/>
      <c r="BCC31" s="71"/>
      <c r="BCD31" s="71"/>
      <c r="BCE31" s="71"/>
      <c r="BCF31" s="71"/>
      <c r="BCG31" s="71"/>
      <c r="BCH31" s="71"/>
      <c r="BCI31" s="71"/>
      <c r="BCJ31" s="71"/>
      <c r="BCK31" s="71"/>
      <c r="BCL31" s="71"/>
      <c r="BCM31" s="71"/>
      <c r="BCN31" s="71"/>
      <c r="BCO31" s="71"/>
      <c r="BCP31" s="71"/>
      <c r="BCQ31" s="71"/>
      <c r="BCR31" s="71"/>
      <c r="BCS31" s="71"/>
      <c r="BCT31" s="71"/>
      <c r="BCU31" s="71"/>
      <c r="BCV31" s="71"/>
      <c r="BCW31" s="71"/>
      <c r="BCX31" s="71"/>
      <c r="BCY31" s="71"/>
      <c r="BCZ31" s="71"/>
      <c r="BDA31" s="71"/>
      <c r="BDB31" s="71"/>
      <c r="BDC31" s="71"/>
      <c r="BDD31" s="71"/>
      <c r="BDE31" s="71"/>
      <c r="BDF31" s="71"/>
      <c r="BDG31" s="71"/>
      <c r="BDH31" s="71"/>
      <c r="BDI31" s="71"/>
      <c r="BDJ31" s="71"/>
      <c r="BDK31" s="71"/>
      <c r="BDL31" s="71"/>
      <c r="BDM31" s="71"/>
      <c r="BDN31" s="71"/>
      <c r="BDO31" s="71"/>
      <c r="BDP31" s="71"/>
      <c r="BDQ31" s="71"/>
      <c r="BDR31" s="71"/>
      <c r="BDS31" s="71"/>
      <c r="BDT31" s="71"/>
      <c r="BDU31" s="71"/>
      <c r="BDV31" s="71"/>
      <c r="BDW31" s="71"/>
      <c r="BDX31" s="71"/>
      <c r="BDY31" s="71"/>
      <c r="BDZ31" s="71"/>
      <c r="BEA31" s="71"/>
      <c r="BEB31" s="71"/>
      <c r="BEC31" s="71"/>
      <c r="BED31" s="71"/>
      <c r="BEE31" s="71"/>
      <c r="BEF31" s="71"/>
      <c r="BEG31" s="71"/>
      <c r="BEH31" s="71"/>
      <c r="BEI31" s="71"/>
      <c r="BEJ31" s="71"/>
      <c r="BEK31" s="71"/>
      <c r="BEL31" s="71"/>
      <c r="BEM31" s="71"/>
      <c r="BEN31" s="71"/>
      <c r="BEO31" s="71"/>
      <c r="BEP31" s="71"/>
      <c r="BEQ31" s="71"/>
      <c r="BER31" s="71"/>
      <c r="BES31" s="71"/>
      <c r="BET31" s="71"/>
      <c r="BEU31" s="71"/>
      <c r="BEV31" s="71"/>
      <c r="BEW31" s="71"/>
      <c r="BEX31" s="71"/>
      <c r="BEY31" s="71"/>
      <c r="BEZ31" s="71"/>
      <c r="BFA31" s="71"/>
      <c r="BFB31" s="71"/>
      <c r="BFC31" s="71"/>
      <c r="BFD31" s="71"/>
      <c r="BFE31" s="71"/>
      <c r="BFF31" s="71"/>
      <c r="BFG31" s="71"/>
      <c r="BFH31" s="71"/>
      <c r="BFI31" s="71"/>
      <c r="BFJ31" s="71"/>
      <c r="BFK31" s="71"/>
      <c r="BFL31" s="71"/>
      <c r="BFM31" s="71"/>
      <c r="BFN31" s="71"/>
      <c r="BFO31" s="71"/>
      <c r="BFP31" s="71"/>
      <c r="BFQ31" s="71"/>
      <c r="BFR31" s="71"/>
      <c r="BFS31" s="71"/>
      <c r="BFT31" s="71"/>
      <c r="BFU31" s="71"/>
      <c r="BFV31" s="71"/>
      <c r="BFW31" s="71"/>
      <c r="BFX31" s="71"/>
      <c r="BFY31" s="71"/>
      <c r="BFZ31" s="71"/>
      <c r="BGA31" s="71"/>
      <c r="BGB31" s="71"/>
      <c r="BGC31" s="71"/>
      <c r="BGD31" s="71"/>
      <c r="BGE31" s="71"/>
      <c r="BGF31" s="71"/>
      <c r="BGG31" s="71"/>
      <c r="BGH31" s="71"/>
      <c r="BGI31" s="71"/>
      <c r="BGJ31" s="71"/>
      <c r="BGK31" s="71"/>
      <c r="BGL31" s="71"/>
      <c r="BGM31" s="71"/>
      <c r="BGN31" s="71"/>
      <c r="BGO31" s="71"/>
      <c r="BGP31" s="71"/>
      <c r="BGQ31" s="71"/>
      <c r="BGR31" s="71"/>
      <c r="BGS31" s="71"/>
      <c r="BGT31" s="71"/>
      <c r="BGU31" s="71"/>
      <c r="BGV31" s="71"/>
      <c r="BGW31" s="71"/>
      <c r="BGX31" s="71"/>
      <c r="BGY31" s="71"/>
      <c r="BGZ31" s="71"/>
      <c r="BHA31" s="71"/>
      <c r="BHB31" s="71"/>
      <c r="BHC31" s="71"/>
      <c r="BHD31" s="71"/>
      <c r="BHE31" s="71"/>
      <c r="BHF31" s="71"/>
      <c r="BHG31" s="71"/>
      <c r="BHH31" s="71"/>
      <c r="BHI31" s="71"/>
      <c r="BHJ31" s="71"/>
      <c r="BHK31" s="71"/>
      <c r="BHL31" s="71"/>
      <c r="BHM31" s="71"/>
      <c r="BHN31" s="71"/>
      <c r="BHO31" s="71"/>
      <c r="BHP31" s="71"/>
      <c r="BHQ31" s="71"/>
      <c r="BHR31" s="71"/>
      <c r="BHS31" s="71"/>
      <c r="BHT31" s="71"/>
      <c r="BHU31" s="71"/>
      <c r="BHV31" s="71"/>
      <c r="BHW31" s="71"/>
      <c r="BHX31" s="71"/>
      <c r="BHY31" s="71"/>
      <c r="BHZ31" s="71"/>
      <c r="BIA31" s="71"/>
      <c r="BIB31" s="71"/>
      <c r="BIC31" s="71"/>
      <c r="BID31" s="71"/>
      <c r="BIE31" s="71"/>
      <c r="BIF31" s="71"/>
      <c r="BIG31" s="71"/>
      <c r="BIH31" s="71"/>
      <c r="BII31" s="71"/>
      <c r="BIJ31" s="71"/>
      <c r="BIK31" s="71"/>
      <c r="BIL31" s="71"/>
      <c r="BIM31" s="71"/>
      <c r="BIN31" s="71"/>
      <c r="BIO31" s="71"/>
      <c r="BIP31" s="71"/>
      <c r="BIQ31" s="71"/>
      <c r="BIR31" s="71"/>
      <c r="BIS31" s="71"/>
      <c r="BIT31" s="71"/>
      <c r="BIU31" s="71"/>
      <c r="BIV31" s="71"/>
      <c r="BIW31" s="71"/>
      <c r="BIX31" s="71"/>
      <c r="BIY31" s="71"/>
      <c r="BIZ31" s="71"/>
      <c r="BJA31" s="71"/>
      <c r="BJB31" s="71"/>
      <c r="BJC31" s="71"/>
      <c r="BJD31" s="71"/>
      <c r="BJE31" s="71"/>
      <c r="BJF31" s="71"/>
      <c r="BJG31" s="71"/>
      <c r="BJH31" s="71"/>
      <c r="BJI31" s="71"/>
      <c r="BJJ31" s="71"/>
      <c r="BJK31" s="71"/>
      <c r="BJL31" s="71"/>
      <c r="BJM31" s="71"/>
      <c r="BJN31" s="71"/>
      <c r="BJO31" s="71"/>
      <c r="BJP31" s="71"/>
      <c r="BJQ31" s="71"/>
      <c r="BJR31" s="71"/>
      <c r="BJS31" s="71"/>
      <c r="BJT31" s="71"/>
      <c r="BJU31" s="71"/>
      <c r="BJV31" s="71"/>
      <c r="BJW31" s="71"/>
      <c r="BJX31" s="71"/>
      <c r="BJY31" s="71"/>
      <c r="BJZ31" s="71"/>
      <c r="BKA31" s="71"/>
      <c r="BKB31" s="71"/>
      <c r="BKC31" s="71"/>
      <c r="BKD31" s="71"/>
      <c r="BKE31" s="71"/>
      <c r="BKF31" s="71"/>
      <c r="BKG31" s="71"/>
      <c r="BKH31" s="71"/>
      <c r="BKI31" s="71"/>
      <c r="BKJ31" s="71"/>
      <c r="BKK31" s="71"/>
      <c r="BKL31" s="71"/>
      <c r="BKM31" s="71"/>
      <c r="BKN31" s="71"/>
      <c r="BKO31" s="71"/>
      <c r="BKP31" s="71"/>
      <c r="BKQ31" s="71"/>
      <c r="BKR31" s="71"/>
      <c r="BKS31" s="71"/>
      <c r="BKT31" s="71"/>
      <c r="BKU31" s="71"/>
      <c r="BKV31" s="71"/>
      <c r="BKW31" s="71"/>
      <c r="BKX31" s="71"/>
      <c r="BKY31" s="71"/>
      <c r="BKZ31" s="71"/>
      <c r="BLA31" s="71"/>
      <c r="BLB31" s="71"/>
      <c r="BLC31" s="71"/>
      <c r="BLD31" s="71"/>
      <c r="BLE31" s="71"/>
      <c r="BLF31" s="71"/>
      <c r="BLG31" s="71"/>
      <c r="BLH31" s="71"/>
      <c r="BLI31" s="71"/>
      <c r="BLJ31" s="71"/>
      <c r="BLK31" s="71"/>
      <c r="BLL31" s="71"/>
      <c r="BLM31" s="71"/>
      <c r="BLN31" s="71"/>
      <c r="BLO31" s="71"/>
      <c r="BLP31" s="71"/>
      <c r="BLQ31" s="71"/>
      <c r="BLR31" s="71"/>
      <c r="BLS31" s="71"/>
      <c r="BLT31" s="71"/>
      <c r="BLU31" s="71"/>
      <c r="BLV31" s="71"/>
      <c r="BLW31" s="71"/>
      <c r="BLX31" s="71"/>
      <c r="BLY31" s="71"/>
      <c r="BLZ31" s="71"/>
      <c r="BMA31" s="71"/>
      <c r="BMB31" s="71"/>
      <c r="BMC31" s="71"/>
      <c r="BMD31" s="71"/>
      <c r="BME31" s="71"/>
      <c r="BMF31" s="71"/>
      <c r="BMG31" s="71"/>
      <c r="BMH31" s="71"/>
      <c r="BMI31" s="71"/>
      <c r="BMJ31" s="71"/>
      <c r="BMK31" s="71"/>
      <c r="BML31" s="71"/>
      <c r="BMM31" s="71"/>
      <c r="BMN31" s="71"/>
      <c r="BMO31" s="71"/>
      <c r="BMP31" s="71"/>
      <c r="BMQ31" s="71"/>
      <c r="BMR31" s="71"/>
      <c r="BMS31" s="71"/>
      <c r="BMT31" s="71"/>
      <c r="BMU31" s="71"/>
      <c r="BMV31" s="71"/>
      <c r="BMW31" s="71"/>
      <c r="BMX31" s="71"/>
      <c r="BMY31" s="71"/>
      <c r="BMZ31" s="71"/>
      <c r="BNA31" s="71"/>
      <c r="BNB31" s="71"/>
      <c r="BNC31" s="71"/>
      <c r="BND31" s="71"/>
      <c r="BNE31" s="71"/>
      <c r="BNF31" s="71"/>
      <c r="BNG31" s="71"/>
      <c r="BNH31" s="71"/>
      <c r="BNI31" s="71"/>
      <c r="BNJ31" s="71"/>
      <c r="BNK31" s="71"/>
      <c r="BNL31" s="71"/>
      <c r="BNM31" s="71"/>
      <c r="BNN31" s="71"/>
      <c r="BNO31" s="71"/>
      <c r="BNP31" s="71"/>
      <c r="BNQ31" s="71"/>
      <c r="BNR31" s="71"/>
      <c r="BNS31" s="71"/>
      <c r="BNT31" s="71"/>
      <c r="BNU31" s="71"/>
      <c r="BNV31" s="71"/>
      <c r="BNW31" s="71"/>
      <c r="BNX31" s="71"/>
      <c r="BNY31" s="71"/>
      <c r="BNZ31" s="71"/>
      <c r="BOA31" s="71"/>
      <c r="BOB31" s="71"/>
      <c r="BOC31" s="71"/>
      <c r="BOD31" s="71"/>
      <c r="BOE31" s="71"/>
      <c r="BOF31" s="71"/>
      <c r="BOG31" s="71"/>
      <c r="BOH31" s="71"/>
      <c r="BOI31" s="71"/>
      <c r="BOJ31" s="71"/>
      <c r="BOK31" s="71"/>
      <c r="BOL31" s="71"/>
      <c r="BOM31" s="71"/>
      <c r="BON31" s="71"/>
      <c r="BOO31" s="71"/>
      <c r="BOP31" s="71"/>
      <c r="BOQ31" s="71"/>
      <c r="BOR31" s="71"/>
      <c r="BOS31" s="71"/>
      <c r="BOT31" s="71"/>
      <c r="BOU31" s="71"/>
      <c r="BOV31" s="71"/>
      <c r="BOW31" s="71"/>
      <c r="BOX31" s="71"/>
      <c r="BOY31" s="71"/>
      <c r="BOZ31" s="71"/>
      <c r="BPA31" s="71"/>
      <c r="BPB31" s="71"/>
      <c r="BPC31" s="71"/>
      <c r="BPD31" s="71"/>
      <c r="BPE31" s="71"/>
      <c r="BPF31" s="71"/>
      <c r="BPG31" s="71"/>
      <c r="BPH31" s="71"/>
      <c r="BPI31" s="71"/>
      <c r="BPJ31" s="71"/>
      <c r="BPK31" s="71"/>
      <c r="BPL31" s="71"/>
      <c r="BPM31" s="71"/>
      <c r="BPN31" s="71"/>
      <c r="BPO31" s="71"/>
      <c r="BPP31" s="71"/>
      <c r="BPQ31" s="71"/>
      <c r="BPR31" s="71"/>
      <c r="BPS31" s="71"/>
      <c r="BPT31" s="71"/>
      <c r="BPU31" s="71"/>
      <c r="BPV31" s="71"/>
      <c r="BPW31" s="71"/>
      <c r="BPX31" s="71"/>
      <c r="BPY31" s="71"/>
      <c r="BPZ31" s="71"/>
      <c r="BQA31" s="71"/>
      <c r="BQB31" s="71"/>
      <c r="BQC31" s="71"/>
      <c r="BQD31" s="71"/>
      <c r="BQE31" s="71"/>
      <c r="BQF31" s="71"/>
      <c r="BQG31" s="71"/>
      <c r="BQH31" s="71"/>
      <c r="BQI31" s="71"/>
      <c r="BQJ31" s="71"/>
      <c r="BQK31" s="71"/>
      <c r="BQL31" s="71"/>
      <c r="BQM31" s="71"/>
      <c r="BQN31" s="71"/>
      <c r="BQO31" s="71"/>
      <c r="BQP31" s="71"/>
      <c r="BQQ31" s="71"/>
      <c r="BQR31" s="71"/>
      <c r="BQS31" s="71"/>
      <c r="BQT31" s="71"/>
      <c r="BQU31" s="71"/>
      <c r="BQV31" s="71"/>
      <c r="BQW31" s="71"/>
      <c r="BQX31" s="71"/>
      <c r="BQY31" s="71"/>
      <c r="BQZ31" s="71"/>
      <c r="BRA31" s="71"/>
      <c r="BRB31" s="71"/>
      <c r="BRC31" s="71"/>
      <c r="BRD31" s="71"/>
      <c r="BRE31" s="71"/>
      <c r="BRF31" s="71"/>
      <c r="BRG31" s="71"/>
      <c r="BRH31" s="71"/>
      <c r="BRI31" s="71"/>
      <c r="BRJ31" s="71"/>
      <c r="BRK31" s="71"/>
      <c r="BRL31" s="71"/>
      <c r="BRM31" s="71"/>
      <c r="BRN31" s="71"/>
      <c r="BRO31" s="71"/>
      <c r="BRP31" s="71"/>
      <c r="BRQ31" s="71"/>
      <c r="BRR31" s="71"/>
      <c r="BRS31" s="71"/>
      <c r="BRT31" s="71"/>
      <c r="BRU31" s="71"/>
      <c r="BRV31" s="71"/>
      <c r="BRW31" s="71"/>
      <c r="BRX31" s="71"/>
      <c r="BRY31" s="71"/>
      <c r="BRZ31" s="71"/>
      <c r="BSA31" s="71"/>
      <c r="BSB31" s="71"/>
      <c r="BSC31" s="71"/>
      <c r="BSD31" s="71"/>
      <c r="BSE31" s="71"/>
      <c r="BSF31" s="71"/>
      <c r="BSG31" s="71"/>
      <c r="BSH31" s="71"/>
      <c r="BSI31" s="71"/>
      <c r="BSJ31" s="71"/>
      <c r="BSK31" s="71"/>
      <c r="BSL31" s="71"/>
      <c r="BSM31" s="71"/>
      <c r="BSN31" s="71"/>
      <c r="BSO31" s="71"/>
      <c r="BSP31" s="71"/>
      <c r="BSQ31" s="71"/>
      <c r="BSR31" s="71"/>
      <c r="BSS31" s="71"/>
      <c r="BST31" s="71"/>
      <c r="BSU31" s="71"/>
      <c r="BSV31" s="71"/>
      <c r="BSW31" s="71"/>
      <c r="BSX31" s="71"/>
      <c r="BSY31" s="71"/>
      <c r="BSZ31" s="71"/>
      <c r="BTA31" s="71"/>
      <c r="BTB31" s="71"/>
      <c r="BTC31" s="71"/>
      <c r="BTD31" s="71"/>
      <c r="BTE31" s="71"/>
      <c r="BTF31" s="71"/>
      <c r="BTG31" s="71"/>
      <c r="BTH31" s="71"/>
      <c r="BTI31" s="71"/>
      <c r="BTJ31" s="71"/>
      <c r="BTK31" s="71"/>
      <c r="BTL31" s="71"/>
      <c r="BTM31" s="71"/>
      <c r="BTN31" s="71"/>
      <c r="BTO31" s="71"/>
      <c r="BTP31" s="71"/>
      <c r="BTQ31" s="71"/>
      <c r="BTR31" s="71"/>
      <c r="BTS31" s="71"/>
      <c r="BTT31" s="71"/>
      <c r="BTU31" s="71"/>
      <c r="BTV31" s="71"/>
      <c r="BTW31" s="71"/>
      <c r="BTX31" s="71"/>
      <c r="BTY31" s="71"/>
      <c r="BTZ31" s="71"/>
      <c r="BUA31" s="71"/>
      <c r="BUB31" s="71"/>
      <c r="BUC31" s="71"/>
      <c r="BUD31" s="71"/>
      <c r="BUE31" s="71"/>
      <c r="BUF31" s="71"/>
      <c r="BUG31" s="71"/>
      <c r="BUH31" s="71"/>
      <c r="BUI31" s="71"/>
      <c r="BUJ31" s="71"/>
      <c r="BUK31" s="71"/>
      <c r="BUL31" s="71"/>
      <c r="BUM31" s="71"/>
      <c r="BUN31" s="71"/>
      <c r="BUO31" s="71"/>
      <c r="BUP31" s="71"/>
      <c r="BUQ31" s="71"/>
      <c r="BUR31" s="71"/>
      <c r="BUS31" s="71"/>
      <c r="BUT31" s="71"/>
      <c r="BUU31" s="71"/>
      <c r="BUV31" s="71"/>
      <c r="BUW31" s="71"/>
      <c r="BUX31" s="71"/>
      <c r="BUY31" s="71"/>
      <c r="BUZ31" s="71"/>
      <c r="BVA31" s="71"/>
      <c r="BVB31" s="71"/>
      <c r="BVC31" s="71"/>
      <c r="BVD31" s="71"/>
      <c r="BVE31" s="71"/>
      <c r="BVF31" s="71"/>
      <c r="BVG31" s="71"/>
      <c r="BVH31" s="71"/>
      <c r="BVI31" s="71"/>
      <c r="BVJ31" s="71"/>
      <c r="BVK31" s="71"/>
      <c r="BVL31" s="71"/>
      <c r="BVM31" s="71"/>
      <c r="BVN31" s="71"/>
      <c r="BVO31" s="71"/>
      <c r="BVP31" s="71"/>
      <c r="BVQ31" s="71"/>
      <c r="BVR31" s="71"/>
      <c r="BVS31" s="71"/>
      <c r="BVT31" s="71"/>
      <c r="BVU31" s="71"/>
      <c r="BVV31" s="71"/>
      <c r="BVW31" s="71"/>
      <c r="BVX31" s="71"/>
      <c r="BVY31" s="71"/>
      <c r="BVZ31" s="71"/>
      <c r="BWA31" s="71"/>
      <c r="BWB31" s="71"/>
      <c r="BWC31" s="71"/>
      <c r="BWD31" s="71"/>
      <c r="BWE31" s="71"/>
      <c r="BWF31" s="71"/>
      <c r="BWG31" s="71"/>
      <c r="BWH31" s="71"/>
      <c r="BWI31" s="71"/>
      <c r="BWJ31" s="71"/>
      <c r="BWK31" s="71"/>
      <c r="BWL31" s="71"/>
      <c r="BWM31" s="71"/>
      <c r="BWN31" s="71"/>
      <c r="BWO31" s="71"/>
      <c r="BWP31" s="71"/>
      <c r="BWQ31" s="71"/>
      <c r="BWR31" s="71"/>
      <c r="BWS31" s="71"/>
      <c r="BWT31" s="71"/>
      <c r="BWU31" s="71"/>
      <c r="BWV31" s="71"/>
      <c r="BWW31" s="71"/>
      <c r="BWX31" s="71"/>
      <c r="BWY31" s="71"/>
      <c r="BWZ31" s="71"/>
      <c r="BXA31" s="71"/>
      <c r="BXB31" s="71"/>
      <c r="BXC31" s="71"/>
      <c r="BXD31" s="71"/>
      <c r="BXE31" s="71"/>
      <c r="BXF31" s="71"/>
      <c r="BXG31" s="71"/>
      <c r="BXH31" s="71"/>
      <c r="BXI31" s="71"/>
      <c r="BXJ31" s="71"/>
      <c r="BXK31" s="71"/>
      <c r="BXL31" s="71"/>
      <c r="BXM31" s="71"/>
      <c r="BXN31" s="71"/>
      <c r="BXO31" s="71"/>
      <c r="BXP31" s="71"/>
      <c r="BXQ31" s="71"/>
      <c r="BXR31" s="71"/>
      <c r="BXS31" s="71"/>
      <c r="BXT31" s="71"/>
      <c r="BXU31" s="71"/>
      <c r="BXV31" s="71"/>
      <c r="BXW31" s="71"/>
      <c r="BXX31" s="71"/>
      <c r="BXY31" s="71"/>
      <c r="BXZ31" s="71"/>
      <c r="BYA31" s="71"/>
      <c r="BYB31" s="71"/>
      <c r="BYC31" s="71"/>
      <c r="BYD31" s="71"/>
      <c r="BYE31" s="71"/>
      <c r="BYF31" s="71"/>
      <c r="BYG31" s="71"/>
      <c r="BYH31" s="71"/>
      <c r="BYI31" s="71"/>
      <c r="BYJ31" s="71"/>
      <c r="BYK31" s="71"/>
      <c r="BYL31" s="71"/>
      <c r="BYM31" s="71"/>
      <c r="BYN31" s="71"/>
      <c r="BYO31" s="71"/>
      <c r="BYP31" s="71"/>
      <c r="BYQ31" s="71"/>
      <c r="BYR31" s="71"/>
      <c r="BYS31" s="71"/>
      <c r="BYT31" s="71"/>
      <c r="BYU31" s="71"/>
      <c r="BYV31" s="71"/>
      <c r="BYW31" s="71"/>
      <c r="BYX31" s="71"/>
      <c r="BYY31" s="71"/>
      <c r="BYZ31" s="71"/>
      <c r="BZA31" s="71"/>
      <c r="BZB31" s="71"/>
      <c r="BZC31" s="71"/>
      <c r="BZD31" s="71"/>
      <c r="BZE31" s="71"/>
      <c r="BZF31" s="71"/>
      <c r="BZG31" s="71"/>
      <c r="BZH31" s="71"/>
      <c r="BZI31" s="71"/>
      <c r="BZJ31" s="71"/>
      <c r="BZK31" s="71"/>
      <c r="BZL31" s="71"/>
      <c r="BZM31" s="71"/>
      <c r="BZN31" s="71"/>
      <c r="BZO31" s="71"/>
      <c r="BZP31" s="71"/>
      <c r="BZQ31" s="71"/>
      <c r="BZR31" s="71"/>
      <c r="BZS31" s="71"/>
      <c r="BZT31" s="71"/>
      <c r="BZU31" s="71"/>
      <c r="BZV31" s="71"/>
      <c r="BZW31" s="71"/>
      <c r="BZX31" s="71"/>
      <c r="BZY31" s="71"/>
      <c r="BZZ31" s="71"/>
      <c r="CAA31" s="71"/>
      <c r="CAB31" s="71"/>
      <c r="CAC31" s="71"/>
      <c r="CAD31" s="71"/>
      <c r="CAE31" s="71"/>
      <c r="CAF31" s="71"/>
      <c r="CAG31" s="71"/>
      <c r="CAH31" s="71"/>
      <c r="CAI31" s="71"/>
      <c r="CAJ31" s="71"/>
      <c r="CAK31" s="71"/>
      <c r="CAL31" s="71"/>
      <c r="CAM31" s="71"/>
      <c r="CAN31" s="71"/>
      <c r="CAO31" s="71"/>
      <c r="CAP31" s="71"/>
      <c r="CAQ31" s="71"/>
      <c r="CAR31" s="71"/>
      <c r="CAS31" s="71"/>
      <c r="CAT31" s="71"/>
      <c r="CAU31" s="71"/>
      <c r="CAV31" s="71"/>
      <c r="CAW31" s="71"/>
      <c r="CAX31" s="71"/>
      <c r="CAY31" s="71"/>
      <c r="CAZ31" s="71"/>
      <c r="CBA31" s="71"/>
      <c r="CBB31" s="71"/>
      <c r="CBC31" s="71"/>
      <c r="CBD31" s="71"/>
      <c r="CBE31" s="71"/>
      <c r="CBF31" s="71"/>
      <c r="CBG31" s="71"/>
      <c r="CBH31" s="71"/>
      <c r="CBI31" s="71"/>
      <c r="CBJ31" s="71"/>
      <c r="CBK31" s="71"/>
      <c r="CBL31" s="71"/>
      <c r="CBM31" s="71"/>
      <c r="CBN31" s="71"/>
      <c r="CBO31" s="71"/>
      <c r="CBP31" s="71"/>
      <c r="CBQ31" s="71"/>
      <c r="CBR31" s="71"/>
      <c r="CBS31" s="71"/>
      <c r="CBT31" s="71"/>
      <c r="CBU31" s="71"/>
      <c r="CBV31" s="71"/>
      <c r="CBW31" s="71"/>
      <c r="CBX31" s="71"/>
      <c r="CBY31" s="71"/>
      <c r="CBZ31" s="71"/>
      <c r="CCA31" s="71"/>
      <c r="CCB31" s="71"/>
      <c r="CCC31" s="71"/>
      <c r="CCD31" s="71"/>
      <c r="CCE31" s="71"/>
      <c r="CCF31" s="71"/>
      <c r="CCG31" s="71"/>
      <c r="CCH31" s="71"/>
      <c r="CCI31" s="71"/>
      <c r="CCJ31" s="71"/>
      <c r="CCK31" s="71"/>
      <c r="CCL31" s="71"/>
      <c r="CCM31" s="71"/>
      <c r="CCN31" s="71"/>
      <c r="CCO31" s="71"/>
      <c r="CCP31" s="71"/>
      <c r="CCQ31" s="71"/>
      <c r="CCR31" s="71"/>
      <c r="CCS31" s="71"/>
      <c r="CCT31" s="71"/>
      <c r="CCU31" s="71"/>
      <c r="CCV31" s="71"/>
      <c r="CCW31" s="71"/>
      <c r="CCX31" s="71"/>
      <c r="CCY31" s="71"/>
      <c r="CCZ31" s="71"/>
      <c r="CDA31" s="71"/>
      <c r="CDB31" s="71"/>
      <c r="CDC31" s="71"/>
      <c r="CDD31" s="71"/>
      <c r="CDE31" s="71"/>
      <c r="CDF31" s="71"/>
      <c r="CDG31" s="71"/>
      <c r="CDH31" s="71"/>
      <c r="CDI31" s="71"/>
      <c r="CDJ31" s="71"/>
      <c r="CDK31" s="71"/>
      <c r="CDL31" s="71"/>
      <c r="CDM31" s="71"/>
      <c r="CDN31" s="71"/>
      <c r="CDO31" s="71"/>
      <c r="CDP31" s="71"/>
      <c r="CDQ31" s="71"/>
      <c r="CDR31" s="71"/>
      <c r="CDS31" s="71"/>
      <c r="CDT31" s="71"/>
      <c r="CDU31" s="71"/>
      <c r="CDV31" s="71"/>
      <c r="CDW31" s="71"/>
      <c r="CDX31" s="71"/>
      <c r="CDY31" s="71"/>
      <c r="CDZ31" s="71"/>
      <c r="CEA31" s="71"/>
      <c r="CEB31" s="71"/>
      <c r="CEC31" s="71"/>
      <c r="CED31" s="71"/>
      <c r="CEE31" s="71"/>
      <c r="CEF31" s="71"/>
      <c r="CEG31" s="71"/>
      <c r="CEH31" s="71"/>
      <c r="CEI31" s="71"/>
      <c r="CEJ31" s="71"/>
      <c r="CEK31" s="71"/>
      <c r="CEL31" s="71"/>
      <c r="CEM31" s="71"/>
      <c r="CEN31" s="71"/>
      <c r="CEO31" s="71"/>
      <c r="CEP31" s="71"/>
      <c r="CEQ31" s="71"/>
      <c r="CER31" s="71"/>
      <c r="CES31" s="71"/>
      <c r="CET31" s="71"/>
      <c r="CEU31" s="71"/>
      <c r="CEV31" s="71"/>
      <c r="CEW31" s="71"/>
      <c r="CEX31" s="71"/>
      <c r="CEY31" s="71"/>
      <c r="CEZ31" s="71"/>
      <c r="CFA31" s="71"/>
      <c r="CFB31" s="71"/>
      <c r="CFC31" s="71"/>
      <c r="CFD31" s="71"/>
      <c r="CFE31" s="71"/>
      <c r="CFF31" s="71"/>
      <c r="CFG31" s="71"/>
      <c r="CFH31" s="71"/>
      <c r="CFI31" s="71"/>
      <c r="CFJ31" s="71"/>
      <c r="CFK31" s="71"/>
      <c r="CFL31" s="71"/>
      <c r="CFM31" s="71"/>
      <c r="CFN31" s="71"/>
      <c r="CFO31" s="71"/>
      <c r="CFP31" s="71"/>
      <c r="CFQ31" s="71"/>
      <c r="CFR31" s="71"/>
      <c r="CFS31" s="71"/>
      <c r="CFT31" s="71"/>
      <c r="CFU31" s="71"/>
      <c r="CFV31" s="71"/>
      <c r="CFW31" s="71"/>
      <c r="CFX31" s="71"/>
      <c r="CFY31" s="71"/>
      <c r="CFZ31" s="71"/>
      <c r="CGA31" s="71"/>
      <c r="CGB31" s="71"/>
      <c r="CGC31" s="71"/>
      <c r="CGD31" s="71"/>
      <c r="CGE31" s="71"/>
      <c r="CGF31" s="71"/>
      <c r="CGG31" s="71"/>
      <c r="CGH31" s="71"/>
      <c r="CGI31" s="71"/>
      <c r="CGJ31" s="71"/>
      <c r="CGK31" s="71"/>
      <c r="CGL31" s="71"/>
      <c r="CGM31" s="71"/>
      <c r="CGN31" s="71"/>
      <c r="CGO31" s="71"/>
      <c r="CGP31" s="71"/>
      <c r="CGQ31" s="71"/>
      <c r="CGR31" s="71"/>
      <c r="CGS31" s="71"/>
      <c r="CGT31" s="71"/>
      <c r="CGU31" s="71"/>
      <c r="CGV31" s="71"/>
      <c r="CGW31" s="71"/>
      <c r="CGX31" s="71"/>
      <c r="CGY31" s="71"/>
      <c r="CGZ31" s="71"/>
      <c r="CHA31" s="71"/>
      <c r="CHB31" s="71"/>
      <c r="CHC31" s="71"/>
      <c r="CHD31" s="71"/>
      <c r="CHE31" s="71"/>
      <c r="CHF31" s="71"/>
      <c r="CHG31" s="71"/>
      <c r="CHH31" s="71"/>
      <c r="CHI31" s="71"/>
      <c r="CHJ31" s="71"/>
      <c r="CHK31" s="71"/>
      <c r="CHL31" s="71"/>
      <c r="CHM31" s="71"/>
      <c r="CHN31" s="71"/>
      <c r="CHO31" s="71"/>
      <c r="CHP31" s="71"/>
      <c r="CHQ31" s="71"/>
      <c r="CHR31" s="71"/>
      <c r="CHS31" s="71"/>
      <c r="CHT31" s="71"/>
      <c r="CHU31" s="71"/>
      <c r="CHV31" s="71"/>
      <c r="CHW31" s="71"/>
      <c r="CHX31" s="71"/>
      <c r="CHY31" s="71"/>
      <c r="CHZ31" s="71"/>
      <c r="CIA31" s="71"/>
      <c r="CIB31" s="71"/>
      <c r="CIC31" s="71"/>
      <c r="CID31" s="71"/>
      <c r="CIE31" s="71"/>
      <c r="CIF31" s="71"/>
      <c r="CIG31" s="71"/>
      <c r="CIH31" s="71"/>
      <c r="CII31" s="71"/>
      <c r="CIJ31" s="71"/>
      <c r="CIK31" s="71"/>
      <c r="CIL31" s="71"/>
      <c r="CIM31" s="71"/>
      <c r="CIN31" s="71"/>
      <c r="CIO31" s="71"/>
      <c r="CIP31" s="71"/>
      <c r="CIQ31" s="71"/>
      <c r="CIR31" s="71"/>
      <c r="CIS31" s="71"/>
      <c r="CIT31" s="71"/>
      <c r="CIU31" s="71"/>
      <c r="CIV31" s="71"/>
      <c r="CIW31" s="71"/>
      <c r="CIX31" s="71"/>
      <c r="CIY31" s="71"/>
      <c r="CIZ31" s="71"/>
      <c r="CJA31" s="71"/>
      <c r="CJB31" s="71"/>
      <c r="CJC31" s="71"/>
      <c r="CJD31" s="71"/>
      <c r="CJE31" s="71"/>
      <c r="CJF31" s="71"/>
      <c r="CJG31" s="71"/>
      <c r="CJH31" s="71"/>
      <c r="CJI31" s="71"/>
      <c r="CJJ31" s="71"/>
      <c r="CJK31" s="71"/>
      <c r="CJL31" s="71"/>
      <c r="CJM31" s="71"/>
      <c r="CJN31" s="71"/>
      <c r="CJO31" s="71"/>
      <c r="CJP31" s="71"/>
      <c r="CJQ31" s="71"/>
      <c r="CJR31" s="71"/>
      <c r="CJS31" s="71"/>
      <c r="CJT31" s="71"/>
      <c r="CJU31" s="71"/>
      <c r="CJV31" s="71"/>
      <c r="CJW31" s="71"/>
      <c r="CJX31" s="71"/>
      <c r="CJY31" s="71"/>
      <c r="CJZ31" s="71"/>
      <c r="CKA31" s="71"/>
      <c r="CKB31" s="71"/>
      <c r="CKC31" s="71"/>
      <c r="CKD31" s="71"/>
      <c r="CKE31" s="71"/>
      <c r="CKF31" s="71"/>
      <c r="CKG31" s="71"/>
      <c r="CKH31" s="71"/>
      <c r="CKI31" s="71"/>
      <c r="CKJ31" s="71"/>
      <c r="CKK31" s="71"/>
      <c r="CKL31" s="71"/>
      <c r="CKM31" s="71"/>
      <c r="CKN31" s="71"/>
      <c r="CKO31" s="71"/>
      <c r="CKP31" s="71"/>
      <c r="CKQ31" s="71"/>
      <c r="CKR31" s="71"/>
      <c r="CKS31" s="71"/>
      <c r="CKT31" s="71"/>
      <c r="CKU31" s="71"/>
      <c r="CKV31" s="71"/>
      <c r="CKW31" s="71"/>
      <c r="CKX31" s="71"/>
      <c r="CKY31" s="71"/>
      <c r="CKZ31" s="71"/>
      <c r="CLA31" s="71"/>
      <c r="CLB31" s="71"/>
      <c r="CLC31" s="71"/>
      <c r="CLD31" s="71"/>
      <c r="CLE31" s="71"/>
      <c r="CLF31" s="71"/>
      <c r="CLG31" s="71"/>
      <c r="CLH31" s="71"/>
      <c r="CLI31" s="71"/>
      <c r="CLJ31" s="71"/>
      <c r="CLK31" s="71"/>
      <c r="CLL31" s="71"/>
      <c r="CLM31" s="71"/>
      <c r="CLN31" s="71"/>
      <c r="CLO31" s="71"/>
      <c r="CLP31" s="71"/>
      <c r="CLQ31" s="71"/>
      <c r="CLR31" s="71"/>
      <c r="CLS31" s="71"/>
      <c r="CLT31" s="71"/>
      <c r="CLU31" s="71"/>
      <c r="CLV31" s="71"/>
      <c r="CLW31" s="71"/>
      <c r="CLX31" s="71"/>
      <c r="CLY31" s="71"/>
      <c r="CLZ31" s="71"/>
      <c r="CMA31" s="71"/>
      <c r="CMB31" s="71"/>
      <c r="CMC31" s="71"/>
      <c r="CMD31" s="71"/>
      <c r="CME31" s="71"/>
      <c r="CMF31" s="71"/>
      <c r="CMG31" s="71"/>
      <c r="CMH31" s="71"/>
      <c r="CMI31" s="71"/>
      <c r="CMJ31" s="71"/>
      <c r="CMK31" s="71"/>
      <c r="CML31" s="71"/>
      <c r="CMM31" s="71"/>
      <c r="CMN31" s="71"/>
      <c r="CMO31" s="71"/>
      <c r="CMP31" s="71"/>
      <c r="CMQ31" s="71"/>
      <c r="CMR31" s="71"/>
      <c r="CMS31" s="71"/>
      <c r="CMT31" s="71"/>
      <c r="CMU31" s="71"/>
      <c r="CMV31" s="71"/>
      <c r="CMW31" s="71"/>
      <c r="CMX31" s="71"/>
      <c r="CMY31" s="71"/>
      <c r="CMZ31" s="71"/>
      <c r="CNA31" s="71"/>
      <c r="CNB31" s="71"/>
      <c r="CNC31" s="71"/>
      <c r="CND31" s="71"/>
      <c r="CNE31" s="71"/>
      <c r="CNF31" s="71"/>
      <c r="CNG31" s="71"/>
      <c r="CNH31" s="71"/>
      <c r="CNI31" s="71"/>
      <c r="CNJ31" s="71"/>
      <c r="CNK31" s="71"/>
      <c r="CNL31" s="71"/>
      <c r="CNM31" s="71"/>
      <c r="CNN31" s="71"/>
      <c r="CNO31" s="71"/>
      <c r="CNP31" s="71"/>
      <c r="CNQ31" s="71"/>
      <c r="CNR31" s="71"/>
      <c r="CNS31" s="71"/>
      <c r="CNT31" s="71"/>
      <c r="CNU31" s="71"/>
      <c r="CNV31" s="71"/>
      <c r="CNW31" s="71"/>
      <c r="CNX31" s="71"/>
      <c r="CNY31" s="71"/>
      <c r="CNZ31" s="71"/>
      <c r="COA31" s="71"/>
      <c r="COB31" s="71"/>
      <c r="COC31" s="71"/>
      <c r="COD31" s="71"/>
      <c r="COE31" s="71"/>
      <c r="COF31" s="71"/>
      <c r="COG31" s="71"/>
      <c r="COH31" s="71"/>
      <c r="COI31" s="71"/>
      <c r="COJ31" s="71"/>
      <c r="COK31" s="71"/>
      <c r="COL31" s="71"/>
      <c r="COM31" s="71"/>
      <c r="CON31" s="71"/>
      <c r="COO31" s="71"/>
      <c r="COP31" s="71"/>
      <c r="COQ31" s="71"/>
      <c r="COR31" s="71"/>
      <c r="COS31" s="71"/>
      <c r="COT31" s="71"/>
      <c r="COU31" s="71"/>
      <c r="COV31" s="71"/>
      <c r="COW31" s="71"/>
      <c r="COX31" s="71"/>
      <c r="COY31" s="71"/>
      <c r="COZ31" s="71"/>
      <c r="CPA31" s="71"/>
      <c r="CPB31" s="71"/>
      <c r="CPC31" s="71"/>
      <c r="CPD31" s="71"/>
      <c r="CPE31" s="71"/>
      <c r="CPF31" s="71"/>
      <c r="CPG31" s="71"/>
      <c r="CPH31" s="71"/>
      <c r="CPI31" s="71"/>
      <c r="CPJ31" s="71"/>
      <c r="CPK31" s="71"/>
      <c r="CPL31" s="71"/>
      <c r="CPM31" s="71"/>
      <c r="CPN31" s="71"/>
      <c r="CPO31" s="71"/>
      <c r="CPP31" s="71"/>
      <c r="CPQ31" s="71"/>
      <c r="CPR31" s="71"/>
      <c r="CPS31" s="71"/>
      <c r="CPT31" s="71"/>
      <c r="CPU31" s="71"/>
      <c r="CPV31" s="71"/>
      <c r="CPW31" s="71"/>
      <c r="CPX31" s="71"/>
      <c r="CPY31" s="71"/>
      <c r="CPZ31" s="71"/>
      <c r="CQA31" s="71"/>
      <c r="CQB31" s="71"/>
      <c r="CQC31" s="71"/>
      <c r="CQD31" s="71"/>
      <c r="CQE31" s="71"/>
      <c r="CQF31" s="71"/>
      <c r="CQG31" s="71"/>
      <c r="CQH31" s="71"/>
      <c r="CQI31" s="71"/>
      <c r="CQJ31" s="71"/>
      <c r="CQK31" s="71"/>
      <c r="CQL31" s="71"/>
      <c r="CQM31" s="71"/>
      <c r="CQN31" s="71"/>
      <c r="CQO31" s="71"/>
      <c r="CQP31" s="71"/>
      <c r="CQQ31" s="71"/>
      <c r="CQR31" s="71"/>
      <c r="CQS31" s="71"/>
      <c r="CQT31" s="71"/>
      <c r="CQU31" s="71"/>
      <c r="CQV31" s="71"/>
      <c r="CQW31" s="71"/>
      <c r="CQX31" s="71"/>
      <c r="CQY31" s="71"/>
      <c r="CQZ31" s="71"/>
      <c r="CRA31" s="71"/>
      <c r="CRB31" s="71"/>
      <c r="CRC31" s="71"/>
      <c r="CRD31" s="71"/>
      <c r="CRE31" s="71"/>
      <c r="CRF31" s="71"/>
      <c r="CRG31" s="71"/>
      <c r="CRH31" s="71"/>
      <c r="CRI31" s="71"/>
      <c r="CRJ31" s="71"/>
      <c r="CRK31" s="71"/>
      <c r="CRL31" s="71"/>
      <c r="CRM31" s="71"/>
      <c r="CRN31" s="71"/>
      <c r="CRO31" s="71"/>
      <c r="CRP31" s="71"/>
      <c r="CRQ31" s="71"/>
      <c r="CRR31" s="71"/>
      <c r="CRS31" s="71"/>
      <c r="CRT31" s="71"/>
      <c r="CRU31" s="71"/>
      <c r="CRV31" s="71"/>
      <c r="CRW31" s="71"/>
      <c r="CRX31" s="71"/>
      <c r="CRY31" s="71"/>
      <c r="CRZ31" s="71"/>
      <c r="CSA31" s="71"/>
      <c r="CSB31" s="71"/>
      <c r="CSC31" s="71"/>
      <c r="CSD31" s="71"/>
      <c r="CSE31" s="71"/>
      <c r="CSF31" s="71"/>
      <c r="CSG31" s="71"/>
      <c r="CSH31" s="71"/>
      <c r="CSI31" s="71"/>
      <c r="CSJ31" s="71"/>
      <c r="CSK31" s="71"/>
      <c r="CSL31" s="71"/>
      <c r="CSM31" s="71"/>
      <c r="CSN31" s="71"/>
      <c r="CSO31" s="71"/>
      <c r="CSP31" s="71"/>
      <c r="CSQ31" s="71"/>
      <c r="CSR31" s="71"/>
      <c r="CSS31" s="71"/>
      <c r="CST31" s="71"/>
      <c r="CSU31" s="71"/>
      <c r="CSV31" s="71"/>
      <c r="CSW31" s="71"/>
      <c r="CSX31" s="71"/>
      <c r="CSY31" s="71"/>
      <c r="CSZ31" s="71"/>
      <c r="CTA31" s="71"/>
      <c r="CTB31" s="71"/>
      <c r="CTC31" s="71"/>
      <c r="CTD31" s="71"/>
      <c r="CTE31" s="71"/>
      <c r="CTF31" s="71"/>
      <c r="CTG31" s="71"/>
      <c r="CTH31" s="71"/>
      <c r="CTI31" s="71"/>
      <c r="CTJ31" s="71"/>
      <c r="CTK31" s="71"/>
      <c r="CTL31" s="71"/>
      <c r="CTM31" s="71"/>
      <c r="CTN31" s="71"/>
      <c r="CTO31" s="71"/>
      <c r="CTP31" s="71"/>
      <c r="CTQ31" s="71"/>
      <c r="CTR31" s="71"/>
      <c r="CTS31" s="71"/>
      <c r="CTT31" s="71"/>
      <c r="CTU31" s="71"/>
      <c r="CTV31" s="71"/>
      <c r="CTW31" s="71"/>
      <c r="CTX31" s="71"/>
      <c r="CTY31" s="71"/>
      <c r="CTZ31" s="71"/>
      <c r="CUA31" s="71"/>
      <c r="CUB31" s="71"/>
      <c r="CUC31" s="71"/>
      <c r="CUD31" s="71"/>
      <c r="CUE31" s="71"/>
      <c r="CUF31" s="71"/>
      <c r="CUG31" s="71"/>
      <c r="CUH31" s="71"/>
      <c r="CUI31" s="71"/>
      <c r="CUJ31" s="71"/>
      <c r="CUK31" s="71"/>
      <c r="CUL31" s="71"/>
      <c r="CUM31" s="71"/>
      <c r="CUN31" s="71"/>
      <c r="CUO31" s="71"/>
      <c r="CUP31" s="71"/>
      <c r="CUQ31" s="71"/>
      <c r="CUR31" s="71"/>
      <c r="CUS31" s="71"/>
      <c r="CUT31" s="71"/>
      <c r="CUU31" s="71"/>
      <c r="CUV31" s="71"/>
      <c r="CUW31" s="71"/>
      <c r="CUX31" s="71"/>
      <c r="CUY31" s="71"/>
      <c r="CUZ31" s="71"/>
      <c r="CVA31" s="71"/>
      <c r="CVB31" s="71"/>
      <c r="CVC31" s="71"/>
      <c r="CVD31" s="71"/>
      <c r="CVE31" s="71"/>
      <c r="CVF31" s="71"/>
      <c r="CVG31" s="71"/>
      <c r="CVH31" s="71"/>
      <c r="CVI31" s="71"/>
      <c r="CVJ31" s="71"/>
      <c r="CVK31" s="71"/>
      <c r="CVL31" s="71"/>
      <c r="CVM31" s="71"/>
      <c r="CVN31" s="71"/>
      <c r="CVO31" s="71"/>
      <c r="CVP31" s="71"/>
      <c r="CVQ31" s="71"/>
      <c r="CVR31" s="71"/>
      <c r="CVS31" s="71"/>
      <c r="CVT31" s="71"/>
      <c r="CVU31" s="71"/>
      <c r="CVV31" s="71"/>
      <c r="CVW31" s="71"/>
      <c r="CVX31" s="71"/>
      <c r="CVY31" s="71"/>
      <c r="CVZ31" s="71"/>
      <c r="CWA31" s="71"/>
      <c r="CWB31" s="71"/>
      <c r="CWC31" s="71"/>
      <c r="CWD31" s="71"/>
      <c r="CWE31" s="71"/>
      <c r="CWF31" s="71"/>
      <c r="CWG31" s="71"/>
      <c r="CWH31" s="71"/>
      <c r="CWI31" s="71"/>
      <c r="CWJ31" s="71"/>
      <c r="CWK31" s="71"/>
      <c r="CWL31" s="71"/>
      <c r="CWM31" s="71"/>
      <c r="CWN31" s="71"/>
      <c r="CWO31" s="71"/>
      <c r="CWP31" s="71"/>
      <c r="CWQ31" s="71"/>
      <c r="CWR31" s="71"/>
      <c r="CWS31" s="71"/>
      <c r="CWT31" s="71"/>
      <c r="CWU31" s="71"/>
      <c r="CWV31" s="71"/>
      <c r="CWW31" s="71"/>
      <c r="CWX31" s="71"/>
      <c r="CWY31" s="71"/>
      <c r="CWZ31" s="71"/>
      <c r="CXA31" s="71"/>
      <c r="CXB31" s="71"/>
      <c r="CXC31" s="71"/>
      <c r="CXD31" s="71"/>
      <c r="CXE31" s="71"/>
      <c r="CXF31" s="71"/>
      <c r="CXG31" s="71"/>
      <c r="CXH31" s="71"/>
      <c r="CXI31" s="71"/>
      <c r="CXJ31" s="71"/>
      <c r="CXK31" s="71"/>
      <c r="CXL31" s="71"/>
      <c r="CXM31" s="71"/>
      <c r="CXN31" s="71"/>
      <c r="CXO31" s="71"/>
      <c r="CXP31" s="71"/>
      <c r="CXQ31" s="71"/>
      <c r="CXR31" s="71"/>
      <c r="CXS31" s="71"/>
      <c r="CXT31" s="71"/>
      <c r="CXU31" s="71"/>
      <c r="CXV31" s="71"/>
      <c r="CXW31" s="71"/>
      <c r="CXX31" s="71"/>
      <c r="CXY31" s="71"/>
      <c r="CXZ31" s="71"/>
      <c r="CYA31" s="71"/>
      <c r="CYB31" s="71"/>
      <c r="CYC31" s="71"/>
      <c r="CYD31" s="71"/>
      <c r="CYE31" s="71"/>
      <c r="CYF31" s="71"/>
      <c r="CYG31" s="71"/>
      <c r="CYH31" s="71"/>
      <c r="CYI31" s="71"/>
      <c r="CYJ31" s="71"/>
      <c r="CYK31" s="71"/>
      <c r="CYL31" s="71"/>
      <c r="CYM31" s="71"/>
      <c r="CYN31" s="71"/>
      <c r="CYO31" s="71"/>
      <c r="CYP31" s="71"/>
      <c r="CYQ31" s="71"/>
      <c r="CYR31" s="71"/>
      <c r="CYS31" s="71"/>
      <c r="CYT31" s="71"/>
      <c r="CYU31" s="71"/>
      <c r="CYV31" s="71"/>
      <c r="CYW31" s="71"/>
      <c r="CYX31" s="71"/>
      <c r="CYY31" s="71"/>
      <c r="CYZ31" s="71"/>
      <c r="CZA31" s="71"/>
      <c r="CZB31" s="71"/>
      <c r="CZC31" s="71"/>
      <c r="CZD31" s="71"/>
      <c r="CZE31" s="71"/>
      <c r="CZF31" s="71"/>
      <c r="CZG31" s="71"/>
      <c r="CZH31" s="71"/>
      <c r="CZI31" s="71"/>
      <c r="CZJ31" s="71"/>
      <c r="CZK31" s="71"/>
      <c r="CZL31" s="71"/>
      <c r="CZM31" s="71"/>
      <c r="CZN31" s="71"/>
      <c r="CZO31" s="71"/>
      <c r="CZP31" s="71"/>
      <c r="CZQ31" s="71"/>
      <c r="CZR31" s="71"/>
      <c r="CZS31" s="71"/>
      <c r="CZT31" s="71"/>
      <c r="CZU31" s="71"/>
      <c r="CZV31" s="71"/>
      <c r="CZW31" s="71"/>
      <c r="CZX31" s="71"/>
      <c r="CZY31" s="71"/>
      <c r="CZZ31" s="71"/>
      <c r="DAA31" s="71"/>
      <c r="DAB31" s="71"/>
      <c r="DAC31" s="71"/>
      <c r="DAD31" s="71"/>
      <c r="DAE31" s="71"/>
      <c r="DAF31" s="71"/>
      <c r="DAG31" s="71"/>
      <c r="DAH31" s="71"/>
      <c r="DAI31" s="71"/>
      <c r="DAJ31" s="71"/>
      <c r="DAK31" s="71"/>
      <c r="DAL31" s="71"/>
      <c r="DAM31" s="71"/>
      <c r="DAN31" s="71"/>
      <c r="DAO31" s="71"/>
      <c r="DAP31" s="71"/>
      <c r="DAQ31" s="71"/>
      <c r="DAR31" s="71"/>
      <c r="DAS31" s="71"/>
      <c r="DAT31" s="71"/>
      <c r="DAU31" s="71"/>
      <c r="DAV31" s="71"/>
      <c r="DAW31" s="71"/>
      <c r="DAX31" s="71"/>
      <c r="DAY31" s="71"/>
      <c r="DAZ31" s="71"/>
      <c r="DBA31" s="71"/>
      <c r="DBB31" s="71"/>
      <c r="DBC31" s="71"/>
      <c r="DBD31" s="71"/>
      <c r="DBE31" s="71"/>
      <c r="DBF31" s="71"/>
      <c r="DBG31" s="71"/>
      <c r="DBH31" s="71"/>
      <c r="DBI31" s="71"/>
      <c r="DBJ31" s="71"/>
      <c r="DBK31" s="71"/>
      <c r="DBL31" s="71"/>
      <c r="DBM31" s="71"/>
      <c r="DBN31" s="71"/>
      <c r="DBO31" s="71"/>
      <c r="DBP31" s="71"/>
      <c r="DBQ31" s="71"/>
      <c r="DBR31" s="71"/>
      <c r="DBS31" s="71"/>
      <c r="DBT31" s="71"/>
      <c r="DBU31" s="71"/>
      <c r="DBV31" s="71"/>
      <c r="DBW31" s="71"/>
      <c r="DBX31" s="71"/>
      <c r="DBY31" s="71"/>
      <c r="DBZ31" s="71"/>
      <c r="DCA31" s="71"/>
      <c r="DCB31" s="71"/>
      <c r="DCC31" s="71"/>
      <c r="DCD31" s="71"/>
      <c r="DCE31" s="71"/>
      <c r="DCF31" s="71"/>
      <c r="DCG31" s="71"/>
      <c r="DCH31" s="71"/>
      <c r="DCI31" s="71"/>
      <c r="DCJ31" s="71"/>
      <c r="DCK31" s="71"/>
      <c r="DCL31" s="71"/>
      <c r="DCM31" s="71"/>
      <c r="DCN31" s="71"/>
      <c r="DCO31" s="71"/>
      <c r="DCP31" s="71"/>
      <c r="DCQ31" s="71"/>
      <c r="DCR31" s="71"/>
      <c r="DCS31" s="71"/>
      <c r="DCT31" s="71"/>
      <c r="DCU31" s="71"/>
      <c r="DCV31" s="71"/>
      <c r="DCW31" s="71"/>
      <c r="DCX31" s="71"/>
      <c r="DCY31" s="71"/>
      <c r="DCZ31" s="71"/>
      <c r="DDA31" s="71"/>
      <c r="DDB31" s="71"/>
      <c r="DDC31" s="71"/>
      <c r="DDD31" s="71"/>
      <c r="DDE31" s="71"/>
      <c r="DDF31" s="71"/>
      <c r="DDG31" s="71"/>
      <c r="DDH31" s="71"/>
      <c r="DDI31" s="71"/>
      <c r="DDJ31" s="71"/>
      <c r="DDK31" s="71"/>
      <c r="DDL31" s="71"/>
      <c r="DDM31" s="71"/>
      <c r="DDN31" s="71"/>
      <c r="DDO31" s="71"/>
      <c r="DDP31" s="71"/>
      <c r="DDQ31" s="71"/>
      <c r="DDR31" s="71"/>
      <c r="DDS31" s="71"/>
      <c r="DDT31" s="71"/>
      <c r="DDU31" s="71"/>
      <c r="DDV31" s="71"/>
      <c r="DDW31" s="71"/>
      <c r="DDX31" s="71"/>
      <c r="DDY31" s="71"/>
      <c r="DDZ31" s="71"/>
      <c r="DEA31" s="71"/>
      <c r="DEB31" s="71"/>
      <c r="DEC31" s="71"/>
      <c r="DED31" s="71"/>
      <c r="DEE31" s="71"/>
      <c r="DEF31" s="71"/>
      <c r="DEG31" s="71"/>
      <c r="DEH31" s="71"/>
      <c r="DEI31" s="71"/>
      <c r="DEJ31" s="71"/>
      <c r="DEK31" s="71"/>
      <c r="DEL31" s="71"/>
      <c r="DEM31" s="71"/>
      <c r="DEN31" s="71"/>
      <c r="DEO31" s="71"/>
      <c r="DEP31" s="71"/>
      <c r="DEQ31" s="71"/>
      <c r="DER31" s="71"/>
      <c r="DES31" s="71"/>
      <c r="DET31" s="71"/>
      <c r="DEU31" s="71"/>
      <c r="DEV31" s="71"/>
      <c r="DEW31" s="71"/>
      <c r="DEX31" s="71"/>
      <c r="DEY31" s="71"/>
      <c r="DEZ31" s="71"/>
      <c r="DFA31" s="71"/>
      <c r="DFB31" s="71"/>
      <c r="DFC31" s="71"/>
      <c r="DFD31" s="71"/>
      <c r="DFE31" s="71"/>
      <c r="DFF31" s="71"/>
      <c r="DFG31" s="71"/>
      <c r="DFH31" s="71"/>
      <c r="DFI31" s="71"/>
      <c r="DFJ31" s="71"/>
      <c r="DFK31" s="71"/>
      <c r="DFL31" s="71"/>
      <c r="DFM31" s="71"/>
      <c r="DFN31" s="71"/>
      <c r="DFO31" s="71"/>
      <c r="DFP31" s="71"/>
      <c r="DFQ31" s="71"/>
      <c r="DFR31" s="71"/>
      <c r="DFS31" s="71"/>
      <c r="DFT31" s="71"/>
      <c r="DFU31" s="71"/>
      <c r="DFV31" s="71"/>
      <c r="DFW31" s="71"/>
      <c r="DFX31" s="71"/>
      <c r="DFY31" s="71"/>
      <c r="DFZ31" s="71"/>
      <c r="DGA31" s="71"/>
      <c r="DGB31" s="71"/>
      <c r="DGC31" s="71"/>
      <c r="DGD31" s="71"/>
      <c r="DGE31" s="71"/>
      <c r="DGF31" s="71"/>
      <c r="DGG31" s="71"/>
      <c r="DGH31" s="71"/>
      <c r="DGI31" s="71"/>
      <c r="DGJ31" s="71"/>
      <c r="DGK31" s="71"/>
      <c r="DGL31" s="71"/>
      <c r="DGM31" s="71"/>
      <c r="DGN31" s="71"/>
      <c r="DGO31" s="71"/>
      <c r="DGP31" s="71"/>
      <c r="DGQ31" s="71"/>
      <c r="DGR31" s="71"/>
      <c r="DGS31" s="71"/>
      <c r="DGT31" s="71"/>
      <c r="DGU31" s="71"/>
      <c r="DGV31" s="71"/>
      <c r="DGW31" s="71"/>
      <c r="DGX31" s="71"/>
      <c r="DGY31" s="71"/>
      <c r="DGZ31" s="71"/>
      <c r="DHA31" s="71"/>
      <c r="DHB31" s="71"/>
      <c r="DHC31" s="71"/>
      <c r="DHD31" s="71"/>
      <c r="DHE31" s="71"/>
      <c r="DHF31" s="71"/>
      <c r="DHG31" s="71"/>
      <c r="DHH31" s="71"/>
      <c r="DHI31" s="71"/>
      <c r="DHJ31" s="71"/>
      <c r="DHK31" s="71"/>
      <c r="DHL31" s="71"/>
      <c r="DHM31" s="71"/>
      <c r="DHN31" s="71"/>
      <c r="DHO31" s="71"/>
      <c r="DHP31" s="71"/>
      <c r="DHQ31" s="71"/>
      <c r="DHR31" s="71"/>
      <c r="DHS31" s="71"/>
      <c r="DHT31" s="71"/>
      <c r="DHU31" s="71"/>
      <c r="DHV31" s="71"/>
      <c r="DHW31" s="71"/>
      <c r="DHX31" s="71"/>
      <c r="DHY31" s="71"/>
      <c r="DHZ31" s="71"/>
      <c r="DIA31" s="71"/>
      <c r="DIB31" s="71"/>
      <c r="DIC31" s="71"/>
      <c r="DID31" s="71"/>
      <c r="DIE31" s="71"/>
      <c r="DIF31" s="71"/>
      <c r="DIG31" s="71"/>
      <c r="DIH31" s="71"/>
      <c r="DII31" s="71"/>
      <c r="DIJ31" s="71"/>
      <c r="DIK31" s="71"/>
      <c r="DIL31" s="71"/>
      <c r="DIM31" s="71"/>
      <c r="DIN31" s="71"/>
      <c r="DIO31" s="71"/>
      <c r="DIP31" s="71"/>
      <c r="DIQ31" s="71"/>
      <c r="DIR31" s="71"/>
      <c r="DIS31" s="71"/>
      <c r="DIT31" s="71"/>
      <c r="DIU31" s="71"/>
      <c r="DIV31" s="71"/>
      <c r="DIW31" s="71"/>
      <c r="DIX31" s="71"/>
      <c r="DIY31" s="71"/>
      <c r="DIZ31" s="71"/>
      <c r="DJA31" s="71"/>
      <c r="DJB31" s="71"/>
      <c r="DJC31" s="71"/>
      <c r="DJD31" s="71"/>
      <c r="DJE31" s="71"/>
      <c r="DJF31" s="71"/>
      <c r="DJG31" s="71"/>
      <c r="DJH31" s="71"/>
      <c r="DJI31" s="71"/>
      <c r="DJJ31" s="71"/>
      <c r="DJK31" s="71"/>
      <c r="DJL31" s="71"/>
      <c r="DJM31" s="71"/>
      <c r="DJN31" s="71"/>
      <c r="DJO31" s="71"/>
      <c r="DJP31" s="71"/>
      <c r="DJQ31" s="71"/>
      <c r="DJR31" s="71"/>
      <c r="DJS31" s="71"/>
      <c r="DJT31" s="71"/>
      <c r="DJU31" s="71"/>
      <c r="DJV31" s="71"/>
      <c r="DJW31" s="71"/>
      <c r="DJX31" s="71"/>
      <c r="DJY31" s="71"/>
      <c r="DJZ31" s="71"/>
      <c r="DKA31" s="71"/>
      <c r="DKB31" s="71"/>
      <c r="DKC31" s="71"/>
      <c r="DKD31" s="71"/>
      <c r="DKE31" s="71"/>
      <c r="DKF31" s="71"/>
      <c r="DKG31" s="71"/>
      <c r="DKH31" s="71"/>
      <c r="DKI31" s="71"/>
      <c r="DKJ31" s="71"/>
      <c r="DKK31" s="71"/>
      <c r="DKL31" s="71"/>
      <c r="DKM31" s="71"/>
      <c r="DKN31" s="71"/>
      <c r="DKO31" s="71"/>
      <c r="DKP31" s="71"/>
      <c r="DKQ31" s="71"/>
      <c r="DKR31" s="71"/>
      <c r="DKS31" s="71"/>
      <c r="DKT31" s="71"/>
      <c r="DKU31" s="71"/>
      <c r="DKV31" s="71"/>
      <c r="DKW31" s="71"/>
      <c r="DKX31" s="71"/>
      <c r="DKY31" s="71"/>
      <c r="DKZ31" s="71"/>
      <c r="DLA31" s="71"/>
      <c r="DLB31" s="71"/>
      <c r="DLC31" s="71"/>
      <c r="DLD31" s="71"/>
      <c r="DLE31" s="71"/>
      <c r="DLF31" s="71"/>
      <c r="DLG31" s="71"/>
      <c r="DLH31" s="71"/>
      <c r="DLI31" s="71"/>
      <c r="DLJ31" s="71"/>
      <c r="DLK31" s="71"/>
      <c r="DLL31" s="71"/>
      <c r="DLM31" s="71"/>
      <c r="DLN31" s="71"/>
      <c r="DLO31" s="71"/>
      <c r="DLP31" s="71"/>
      <c r="DLQ31" s="71"/>
      <c r="DLR31" s="71"/>
      <c r="DLS31" s="71"/>
      <c r="DLT31" s="71"/>
      <c r="DLU31" s="71"/>
      <c r="DLV31" s="71"/>
      <c r="DLW31" s="71"/>
      <c r="DLX31" s="71"/>
      <c r="DLY31" s="71"/>
      <c r="DLZ31" s="71"/>
      <c r="DMA31" s="71"/>
      <c r="DMB31" s="71"/>
      <c r="DMC31" s="71"/>
      <c r="DMD31" s="71"/>
      <c r="DME31" s="71"/>
      <c r="DMF31" s="71"/>
      <c r="DMG31" s="71"/>
      <c r="DMH31" s="71"/>
      <c r="DMI31" s="71"/>
      <c r="DMJ31" s="71"/>
      <c r="DMK31" s="71"/>
      <c r="DML31" s="71"/>
      <c r="DMM31" s="71"/>
      <c r="DMN31" s="71"/>
      <c r="DMO31" s="71"/>
      <c r="DMP31" s="71"/>
      <c r="DMQ31" s="71"/>
      <c r="DMR31" s="71"/>
      <c r="DMS31" s="71"/>
      <c r="DMT31" s="71"/>
      <c r="DMU31" s="71"/>
      <c r="DMV31" s="71"/>
      <c r="DMW31" s="71"/>
      <c r="DMX31" s="71"/>
      <c r="DMY31" s="71"/>
      <c r="DMZ31" s="71"/>
      <c r="DNA31" s="71"/>
      <c r="DNB31" s="71"/>
      <c r="DNC31" s="71"/>
      <c r="DND31" s="71"/>
      <c r="DNE31" s="71"/>
      <c r="DNF31" s="71"/>
      <c r="DNG31" s="71"/>
      <c r="DNH31" s="71"/>
      <c r="DNI31" s="71"/>
      <c r="DNJ31" s="71"/>
      <c r="DNK31" s="71"/>
      <c r="DNL31" s="71"/>
      <c r="DNM31" s="71"/>
      <c r="DNN31" s="71"/>
      <c r="DNO31" s="71"/>
      <c r="DNP31" s="71"/>
      <c r="DNQ31" s="71"/>
      <c r="DNR31" s="71"/>
      <c r="DNS31" s="71"/>
      <c r="DNT31" s="71"/>
      <c r="DNU31" s="71"/>
      <c r="DNV31" s="71"/>
      <c r="DNW31" s="71"/>
      <c r="DNX31" s="71"/>
      <c r="DNY31" s="71"/>
      <c r="DNZ31" s="71"/>
      <c r="DOA31" s="71"/>
      <c r="DOB31" s="71"/>
      <c r="DOC31" s="71"/>
      <c r="DOD31" s="71"/>
      <c r="DOE31" s="71"/>
      <c r="DOF31" s="71"/>
      <c r="DOG31" s="71"/>
      <c r="DOH31" s="71"/>
      <c r="DOI31" s="71"/>
      <c r="DOJ31" s="71"/>
      <c r="DOK31" s="71"/>
      <c r="DOL31" s="71"/>
      <c r="DOM31" s="71"/>
      <c r="DON31" s="71"/>
      <c r="DOO31" s="71"/>
      <c r="DOP31" s="71"/>
      <c r="DOQ31" s="71"/>
      <c r="DOR31" s="71"/>
      <c r="DOS31" s="71"/>
      <c r="DOT31" s="71"/>
      <c r="DOU31" s="71"/>
      <c r="DOV31" s="71"/>
      <c r="DOW31" s="71"/>
      <c r="DOX31" s="71"/>
      <c r="DOY31" s="71"/>
      <c r="DOZ31" s="71"/>
      <c r="DPA31" s="71"/>
      <c r="DPB31" s="71"/>
      <c r="DPC31" s="71"/>
      <c r="DPD31" s="71"/>
      <c r="DPE31" s="71"/>
      <c r="DPF31" s="71"/>
      <c r="DPG31" s="71"/>
      <c r="DPH31" s="71"/>
      <c r="DPI31" s="71"/>
      <c r="DPJ31" s="71"/>
      <c r="DPK31" s="71"/>
      <c r="DPL31" s="71"/>
      <c r="DPM31" s="71"/>
      <c r="DPN31" s="71"/>
      <c r="DPO31" s="71"/>
      <c r="DPP31" s="71"/>
      <c r="DPQ31" s="71"/>
      <c r="DPR31" s="71"/>
      <c r="DPS31" s="71"/>
      <c r="DPT31" s="71"/>
      <c r="DPU31" s="71"/>
      <c r="DPV31" s="71"/>
      <c r="DPW31" s="71"/>
      <c r="DPX31" s="71"/>
      <c r="DPY31" s="71"/>
      <c r="DPZ31" s="71"/>
      <c r="DQA31" s="71"/>
      <c r="DQB31" s="71"/>
      <c r="DQC31" s="71"/>
      <c r="DQD31" s="71"/>
      <c r="DQE31" s="71"/>
      <c r="DQF31" s="71"/>
      <c r="DQG31" s="71"/>
      <c r="DQH31" s="71"/>
      <c r="DQI31" s="71"/>
      <c r="DQJ31" s="71"/>
      <c r="DQK31" s="71"/>
      <c r="DQL31" s="71"/>
      <c r="DQM31" s="71"/>
      <c r="DQN31" s="71"/>
      <c r="DQO31" s="71"/>
      <c r="DQP31" s="71"/>
      <c r="DQQ31" s="71"/>
      <c r="DQR31" s="71"/>
      <c r="DQS31" s="71"/>
      <c r="DQT31" s="71"/>
      <c r="DQU31" s="71"/>
      <c r="DQV31" s="71"/>
      <c r="DQW31" s="71"/>
      <c r="DQX31" s="71"/>
      <c r="DQY31" s="71"/>
      <c r="DQZ31" s="71"/>
      <c r="DRA31" s="71"/>
      <c r="DRB31" s="71"/>
      <c r="DRC31" s="71"/>
      <c r="DRD31" s="71"/>
      <c r="DRE31" s="71"/>
      <c r="DRF31" s="71"/>
      <c r="DRG31" s="71"/>
      <c r="DRH31" s="71"/>
      <c r="DRI31" s="71"/>
      <c r="DRJ31" s="71"/>
      <c r="DRK31" s="71"/>
      <c r="DRL31" s="71"/>
      <c r="DRM31" s="71"/>
      <c r="DRN31" s="71"/>
      <c r="DRO31" s="71"/>
      <c r="DRP31" s="71"/>
      <c r="DRQ31" s="71"/>
      <c r="DRR31" s="71"/>
      <c r="DRS31" s="71"/>
      <c r="DRT31" s="71"/>
      <c r="DRU31" s="71"/>
      <c r="DRV31" s="71"/>
      <c r="DRW31" s="71"/>
      <c r="DRX31" s="71"/>
      <c r="DRY31" s="71"/>
      <c r="DRZ31" s="71"/>
      <c r="DSA31" s="71"/>
      <c r="DSB31" s="71"/>
      <c r="DSC31" s="71"/>
      <c r="DSD31" s="71"/>
      <c r="DSE31" s="71"/>
      <c r="DSF31" s="71"/>
      <c r="DSG31" s="71"/>
      <c r="DSH31" s="71"/>
      <c r="DSI31" s="71"/>
      <c r="DSJ31" s="71"/>
      <c r="DSK31" s="71"/>
      <c r="DSL31" s="71"/>
      <c r="DSM31" s="71"/>
      <c r="DSN31" s="71"/>
      <c r="DSO31" s="71"/>
      <c r="DSP31" s="71"/>
      <c r="DSQ31" s="71"/>
      <c r="DSR31" s="71"/>
      <c r="DSS31" s="71"/>
      <c r="DST31" s="71"/>
      <c r="DSU31" s="71"/>
      <c r="DSV31" s="71"/>
      <c r="DSW31" s="71"/>
      <c r="DSX31" s="71"/>
      <c r="DSY31" s="71"/>
      <c r="DSZ31" s="71"/>
      <c r="DTA31" s="71"/>
      <c r="DTB31" s="71"/>
      <c r="DTC31" s="71"/>
      <c r="DTD31" s="71"/>
      <c r="DTE31" s="71"/>
      <c r="DTF31" s="71"/>
      <c r="DTG31" s="71"/>
      <c r="DTH31" s="71"/>
      <c r="DTI31" s="71"/>
      <c r="DTJ31" s="71"/>
      <c r="DTK31" s="71"/>
      <c r="DTL31" s="71"/>
      <c r="DTM31" s="71"/>
      <c r="DTN31" s="71"/>
      <c r="DTO31" s="71"/>
      <c r="DTP31" s="71"/>
      <c r="DTQ31" s="71"/>
      <c r="DTR31" s="71"/>
      <c r="DTS31" s="71"/>
      <c r="DTT31" s="71"/>
      <c r="DTU31" s="71"/>
      <c r="DTV31" s="71"/>
      <c r="DTW31" s="71"/>
      <c r="DTX31" s="71"/>
      <c r="DTY31" s="71"/>
      <c r="DTZ31" s="71"/>
      <c r="DUA31" s="71"/>
      <c r="DUB31" s="71"/>
      <c r="DUC31" s="71"/>
      <c r="DUD31" s="71"/>
      <c r="DUE31" s="71"/>
      <c r="DUF31" s="71"/>
      <c r="DUG31" s="71"/>
      <c r="DUH31" s="71"/>
      <c r="DUI31" s="71"/>
      <c r="DUJ31" s="71"/>
      <c r="DUK31" s="71"/>
      <c r="DUL31" s="71"/>
      <c r="DUM31" s="71"/>
      <c r="DUN31" s="71"/>
      <c r="DUO31" s="71"/>
      <c r="DUP31" s="71"/>
      <c r="DUQ31" s="71"/>
      <c r="DUR31" s="71"/>
      <c r="DUS31" s="71"/>
      <c r="DUT31" s="71"/>
      <c r="DUU31" s="71"/>
      <c r="DUV31" s="71"/>
      <c r="DUW31" s="71"/>
      <c r="DUX31" s="71"/>
      <c r="DUY31" s="71"/>
      <c r="DUZ31" s="71"/>
      <c r="DVA31" s="71"/>
      <c r="DVB31" s="71"/>
      <c r="DVC31" s="71"/>
      <c r="DVD31" s="71"/>
      <c r="DVE31" s="71"/>
      <c r="DVF31" s="71"/>
      <c r="DVG31" s="71"/>
      <c r="DVH31" s="71"/>
      <c r="DVI31" s="71"/>
      <c r="DVJ31" s="71"/>
      <c r="DVK31" s="71"/>
      <c r="DVL31" s="71"/>
      <c r="DVM31" s="71"/>
      <c r="DVN31" s="71"/>
      <c r="DVO31" s="71"/>
      <c r="DVP31" s="71"/>
      <c r="DVQ31" s="71"/>
      <c r="DVR31" s="71"/>
      <c r="DVS31" s="71"/>
      <c r="DVT31" s="71"/>
      <c r="DVU31" s="71"/>
      <c r="DVV31" s="71"/>
      <c r="DVW31" s="71"/>
      <c r="DVX31" s="71"/>
      <c r="DVY31" s="71"/>
      <c r="DVZ31" s="71"/>
      <c r="DWA31" s="71"/>
      <c r="DWB31" s="71"/>
      <c r="DWC31" s="71"/>
      <c r="DWD31" s="71"/>
      <c r="DWE31" s="71"/>
      <c r="DWF31" s="71"/>
      <c r="DWG31" s="71"/>
      <c r="DWH31" s="71"/>
      <c r="DWI31" s="71"/>
      <c r="DWJ31" s="71"/>
      <c r="DWK31" s="71"/>
      <c r="DWL31" s="71"/>
      <c r="DWM31" s="71"/>
      <c r="DWN31" s="71"/>
      <c r="DWO31" s="71"/>
      <c r="DWP31" s="71"/>
      <c r="DWQ31" s="71"/>
      <c r="DWR31" s="71"/>
      <c r="DWS31" s="71"/>
      <c r="DWT31" s="71"/>
      <c r="DWU31" s="71"/>
      <c r="DWV31" s="71"/>
      <c r="DWW31" s="71"/>
      <c r="DWX31" s="71"/>
      <c r="DWY31" s="71"/>
      <c r="DWZ31" s="71"/>
      <c r="DXA31" s="71"/>
      <c r="DXB31" s="71"/>
      <c r="DXC31" s="71"/>
      <c r="DXD31" s="71"/>
      <c r="DXE31" s="71"/>
      <c r="DXF31" s="71"/>
      <c r="DXG31" s="71"/>
      <c r="DXH31" s="71"/>
      <c r="DXI31" s="71"/>
      <c r="DXJ31" s="71"/>
      <c r="DXK31" s="71"/>
      <c r="DXL31" s="71"/>
      <c r="DXM31" s="71"/>
      <c r="DXN31" s="71"/>
      <c r="DXO31" s="71"/>
      <c r="DXP31" s="71"/>
      <c r="DXQ31" s="71"/>
      <c r="DXR31" s="71"/>
      <c r="DXS31" s="71"/>
      <c r="DXT31" s="71"/>
      <c r="DXU31" s="71"/>
      <c r="DXV31" s="71"/>
      <c r="DXW31" s="71"/>
      <c r="DXX31" s="71"/>
      <c r="DXY31" s="71"/>
      <c r="DXZ31" s="71"/>
      <c r="DYA31" s="71"/>
      <c r="DYB31" s="71"/>
      <c r="DYC31" s="71"/>
      <c r="DYD31" s="71"/>
      <c r="DYE31" s="71"/>
      <c r="DYF31" s="71"/>
      <c r="DYG31" s="71"/>
      <c r="DYH31" s="71"/>
      <c r="DYI31" s="71"/>
      <c r="DYJ31" s="71"/>
      <c r="DYK31" s="71"/>
      <c r="DYL31" s="71"/>
      <c r="DYM31" s="71"/>
      <c r="DYN31" s="71"/>
      <c r="DYO31" s="71"/>
      <c r="DYP31" s="71"/>
      <c r="DYQ31" s="71"/>
      <c r="DYR31" s="71"/>
      <c r="DYS31" s="71"/>
      <c r="DYT31" s="71"/>
      <c r="DYU31" s="71"/>
      <c r="DYV31" s="71"/>
      <c r="DYW31" s="71"/>
      <c r="DYX31" s="71"/>
      <c r="DYY31" s="71"/>
      <c r="DYZ31" s="71"/>
      <c r="DZA31" s="71"/>
      <c r="DZB31" s="71"/>
      <c r="DZC31" s="71"/>
      <c r="DZD31" s="71"/>
      <c r="DZE31" s="71"/>
      <c r="DZF31" s="71"/>
      <c r="DZG31" s="71"/>
      <c r="DZH31" s="71"/>
      <c r="DZI31" s="71"/>
      <c r="DZJ31" s="71"/>
      <c r="DZK31" s="71"/>
      <c r="DZL31" s="71"/>
      <c r="DZM31" s="71"/>
      <c r="DZN31" s="71"/>
      <c r="DZO31" s="71"/>
      <c r="DZP31" s="71"/>
      <c r="DZQ31" s="71"/>
      <c r="DZR31" s="71"/>
      <c r="DZS31" s="71"/>
      <c r="DZT31" s="71"/>
      <c r="DZU31" s="71"/>
      <c r="DZV31" s="71"/>
      <c r="DZW31" s="71"/>
      <c r="DZX31" s="71"/>
      <c r="DZY31" s="71"/>
      <c r="DZZ31" s="71"/>
      <c r="EAA31" s="71"/>
      <c r="EAB31" s="71"/>
      <c r="EAC31" s="71"/>
      <c r="EAD31" s="71"/>
      <c r="EAE31" s="71"/>
      <c r="EAF31" s="71"/>
      <c r="EAG31" s="71"/>
      <c r="EAH31" s="71"/>
      <c r="EAI31" s="71"/>
      <c r="EAJ31" s="71"/>
      <c r="EAK31" s="71"/>
      <c r="EAL31" s="71"/>
      <c r="EAM31" s="71"/>
      <c r="EAN31" s="71"/>
      <c r="EAO31" s="71"/>
      <c r="EAP31" s="71"/>
      <c r="EAQ31" s="71"/>
      <c r="EAR31" s="71"/>
      <c r="EAS31" s="71"/>
      <c r="EAT31" s="71"/>
      <c r="EAU31" s="71"/>
      <c r="EAV31" s="71"/>
      <c r="EAW31" s="71"/>
      <c r="EAX31" s="71"/>
      <c r="EAY31" s="71"/>
      <c r="EAZ31" s="71"/>
      <c r="EBA31" s="71"/>
      <c r="EBB31" s="71"/>
      <c r="EBC31" s="71"/>
      <c r="EBD31" s="71"/>
      <c r="EBE31" s="71"/>
      <c r="EBF31" s="71"/>
      <c r="EBG31" s="71"/>
      <c r="EBH31" s="71"/>
      <c r="EBI31" s="71"/>
      <c r="EBJ31" s="71"/>
      <c r="EBK31" s="71"/>
      <c r="EBL31" s="71"/>
      <c r="EBM31" s="71"/>
      <c r="EBN31" s="71"/>
      <c r="EBO31" s="71"/>
      <c r="EBP31" s="71"/>
      <c r="EBQ31" s="71"/>
      <c r="EBR31" s="71"/>
      <c r="EBS31" s="71"/>
      <c r="EBT31" s="71"/>
      <c r="EBU31" s="71"/>
      <c r="EBV31" s="71"/>
      <c r="EBW31" s="71"/>
      <c r="EBX31" s="71"/>
      <c r="EBY31" s="71"/>
      <c r="EBZ31" s="71"/>
      <c r="ECA31" s="71"/>
      <c r="ECB31" s="71"/>
      <c r="ECC31" s="71"/>
      <c r="ECD31" s="71"/>
      <c r="ECE31" s="71"/>
      <c r="ECF31" s="71"/>
      <c r="ECG31" s="71"/>
      <c r="ECH31" s="71"/>
      <c r="ECI31" s="71"/>
      <c r="ECJ31" s="71"/>
      <c r="ECK31" s="71"/>
      <c r="ECL31" s="71"/>
      <c r="ECM31" s="71"/>
      <c r="ECN31" s="71"/>
      <c r="ECO31" s="71"/>
      <c r="ECP31" s="71"/>
      <c r="ECQ31" s="71"/>
      <c r="ECR31" s="71"/>
      <c r="ECS31" s="71"/>
      <c r="ECT31" s="71"/>
      <c r="ECU31" s="71"/>
      <c r="ECV31" s="71"/>
      <c r="ECW31" s="71"/>
      <c r="ECX31" s="71"/>
      <c r="ECY31" s="71"/>
      <c r="ECZ31" s="71"/>
      <c r="EDA31" s="71"/>
      <c r="EDB31" s="71"/>
      <c r="EDC31" s="71"/>
      <c r="EDD31" s="71"/>
      <c r="EDE31" s="71"/>
      <c r="EDF31" s="71"/>
      <c r="EDG31" s="71"/>
      <c r="EDH31" s="71"/>
      <c r="EDI31" s="71"/>
      <c r="EDJ31" s="71"/>
      <c r="EDK31" s="71"/>
      <c r="EDL31" s="71"/>
      <c r="EDM31" s="71"/>
      <c r="EDN31" s="71"/>
      <c r="EDO31" s="71"/>
      <c r="EDP31" s="71"/>
      <c r="EDQ31" s="71"/>
      <c r="EDR31" s="71"/>
      <c r="EDS31" s="71"/>
      <c r="EDT31" s="71"/>
      <c r="EDU31" s="71"/>
      <c r="EDV31" s="71"/>
      <c r="EDW31" s="71"/>
      <c r="EDX31" s="71"/>
      <c r="EDY31" s="71"/>
      <c r="EDZ31" s="71"/>
      <c r="EEA31" s="71"/>
      <c r="EEB31" s="71"/>
      <c r="EEC31" s="71"/>
      <c r="EED31" s="71"/>
      <c r="EEE31" s="71"/>
      <c r="EEF31" s="71"/>
      <c r="EEG31" s="71"/>
      <c r="EEH31" s="71"/>
      <c r="EEI31" s="71"/>
      <c r="EEJ31" s="71"/>
      <c r="EEK31" s="71"/>
      <c r="EEL31" s="71"/>
      <c r="EEM31" s="71"/>
      <c r="EEN31" s="71"/>
      <c r="EEO31" s="71"/>
      <c r="EEP31" s="71"/>
      <c r="EEQ31" s="71"/>
      <c r="EER31" s="71"/>
      <c r="EES31" s="71"/>
      <c r="EET31" s="71"/>
      <c r="EEU31" s="71"/>
      <c r="EEV31" s="71"/>
      <c r="EEW31" s="71"/>
      <c r="EEX31" s="71"/>
      <c r="EEY31" s="71"/>
      <c r="EEZ31" s="71"/>
      <c r="EFA31" s="71"/>
      <c r="EFB31" s="71"/>
      <c r="EFC31" s="71"/>
      <c r="EFD31" s="71"/>
      <c r="EFE31" s="71"/>
      <c r="EFF31" s="71"/>
      <c r="EFG31" s="71"/>
      <c r="EFH31" s="71"/>
      <c r="EFI31" s="71"/>
      <c r="EFJ31" s="71"/>
      <c r="EFK31" s="71"/>
      <c r="EFL31" s="71"/>
      <c r="EFM31" s="71"/>
      <c r="EFN31" s="71"/>
      <c r="EFO31" s="71"/>
      <c r="EFP31" s="71"/>
      <c r="EFQ31" s="71"/>
      <c r="EFR31" s="71"/>
      <c r="EFS31" s="71"/>
      <c r="EFT31" s="71"/>
      <c r="EFU31" s="71"/>
      <c r="EFV31" s="71"/>
      <c r="EFW31" s="71"/>
      <c r="EFX31" s="71"/>
      <c r="EFY31" s="71"/>
      <c r="EFZ31" s="71"/>
      <c r="EGA31" s="71"/>
      <c r="EGB31" s="71"/>
      <c r="EGC31" s="71"/>
      <c r="EGD31" s="71"/>
      <c r="EGE31" s="71"/>
      <c r="EGF31" s="71"/>
      <c r="EGG31" s="71"/>
      <c r="EGH31" s="71"/>
      <c r="EGI31" s="71"/>
      <c r="EGJ31" s="71"/>
      <c r="EGK31" s="71"/>
      <c r="EGL31" s="71"/>
      <c r="EGM31" s="71"/>
      <c r="EGN31" s="71"/>
      <c r="EGO31" s="71"/>
      <c r="EGP31" s="71"/>
      <c r="EGQ31" s="71"/>
      <c r="EGR31" s="71"/>
      <c r="EGS31" s="71"/>
      <c r="EGT31" s="71"/>
      <c r="EGU31" s="71"/>
      <c r="EGV31" s="71"/>
      <c r="EGW31" s="71"/>
      <c r="EGX31" s="71"/>
      <c r="EGY31" s="71"/>
      <c r="EGZ31" s="71"/>
      <c r="EHA31" s="71"/>
      <c r="EHB31" s="71"/>
      <c r="EHC31" s="71"/>
      <c r="EHD31" s="71"/>
      <c r="EHE31" s="71"/>
      <c r="EHF31" s="71"/>
      <c r="EHG31" s="71"/>
      <c r="EHH31" s="71"/>
      <c r="EHI31" s="71"/>
      <c r="EHJ31" s="71"/>
      <c r="EHK31" s="71"/>
      <c r="EHL31" s="71"/>
      <c r="EHM31" s="71"/>
      <c r="EHN31" s="71"/>
      <c r="EHO31" s="71"/>
      <c r="EHP31" s="71"/>
      <c r="EHQ31" s="71"/>
      <c r="EHR31" s="71"/>
      <c r="EHS31" s="71"/>
      <c r="EHT31" s="71"/>
      <c r="EHU31" s="71"/>
      <c r="EHV31" s="71"/>
      <c r="EHW31" s="71"/>
      <c r="EHX31" s="71"/>
      <c r="EHY31" s="71"/>
      <c r="EHZ31" s="71"/>
      <c r="EIA31" s="71"/>
      <c r="EIB31" s="71"/>
      <c r="EIC31" s="71"/>
      <c r="EID31" s="71"/>
      <c r="EIE31" s="71"/>
      <c r="EIF31" s="71"/>
      <c r="EIG31" s="71"/>
      <c r="EIH31" s="71"/>
      <c r="EII31" s="71"/>
      <c r="EIJ31" s="71"/>
      <c r="EIK31" s="71"/>
      <c r="EIL31" s="71"/>
      <c r="EIM31" s="71"/>
      <c r="EIN31" s="71"/>
      <c r="EIO31" s="71"/>
      <c r="EIP31" s="71"/>
      <c r="EIQ31" s="71"/>
      <c r="EIR31" s="71"/>
      <c r="EIS31" s="71"/>
      <c r="EIT31" s="71"/>
      <c r="EIU31" s="71"/>
      <c r="EIV31" s="71"/>
      <c r="EIW31" s="71"/>
      <c r="EIX31" s="71"/>
      <c r="EIY31" s="71"/>
      <c r="EIZ31" s="71"/>
      <c r="EJA31" s="71"/>
      <c r="EJB31" s="71"/>
      <c r="EJC31" s="71"/>
      <c r="EJD31" s="71"/>
      <c r="EJE31" s="71"/>
      <c r="EJF31" s="71"/>
      <c r="EJG31" s="71"/>
      <c r="EJH31" s="71"/>
      <c r="EJI31" s="71"/>
      <c r="EJJ31" s="71"/>
      <c r="EJK31" s="71"/>
      <c r="EJL31" s="71"/>
      <c r="EJM31" s="71"/>
      <c r="EJN31" s="71"/>
      <c r="EJO31" s="71"/>
      <c r="EJP31" s="71"/>
      <c r="EJQ31" s="71"/>
      <c r="EJR31" s="71"/>
      <c r="EJS31" s="71"/>
      <c r="EJT31" s="71"/>
      <c r="EJU31" s="71"/>
      <c r="EJV31" s="71"/>
      <c r="EJW31" s="71"/>
      <c r="EJX31" s="71"/>
      <c r="EJY31" s="71"/>
      <c r="EJZ31" s="71"/>
      <c r="EKA31" s="71"/>
      <c r="EKB31" s="71"/>
      <c r="EKC31" s="71"/>
      <c r="EKD31" s="71"/>
      <c r="EKE31" s="71"/>
      <c r="EKF31" s="71"/>
      <c r="EKG31" s="71"/>
      <c r="EKH31" s="71"/>
      <c r="EKI31" s="71"/>
      <c r="EKJ31" s="71"/>
      <c r="EKK31" s="71"/>
      <c r="EKL31" s="71"/>
      <c r="EKM31" s="71"/>
      <c r="EKN31" s="71"/>
      <c r="EKO31" s="71"/>
      <c r="EKP31" s="71"/>
      <c r="EKQ31" s="71"/>
      <c r="EKR31" s="71"/>
      <c r="EKS31" s="71"/>
      <c r="EKT31" s="71"/>
      <c r="EKU31" s="71"/>
      <c r="EKV31" s="71"/>
      <c r="EKW31" s="71"/>
      <c r="EKX31" s="71"/>
      <c r="EKY31" s="71"/>
      <c r="EKZ31" s="71"/>
      <c r="ELA31" s="71"/>
      <c r="ELB31" s="71"/>
      <c r="ELC31" s="71"/>
      <c r="ELD31" s="71"/>
      <c r="ELE31" s="71"/>
      <c r="ELF31" s="71"/>
      <c r="ELG31" s="71"/>
      <c r="ELH31" s="71"/>
      <c r="ELI31" s="71"/>
      <c r="ELJ31" s="71"/>
      <c r="ELK31" s="71"/>
      <c r="ELL31" s="71"/>
      <c r="ELM31" s="71"/>
      <c r="ELN31" s="71"/>
      <c r="ELO31" s="71"/>
      <c r="ELP31" s="71"/>
      <c r="ELQ31" s="71"/>
      <c r="ELR31" s="71"/>
      <c r="ELS31" s="71"/>
      <c r="ELT31" s="71"/>
      <c r="ELU31" s="71"/>
      <c r="ELV31" s="71"/>
      <c r="ELW31" s="71"/>
      <c r="ELX31" s="71"/>
      <c r="ELY31" s="71"/>
      <c r="ELZ31" s="71"/>
      <c r="EMA31" s="71"/>
      <c r="EMB31" s="71"/>
      <c r="EMC31" s="71"/>
      <c r="EMD31" s="71"/>
      <c r="EME31" s="71"/>
      <c r="EMF31" s="71"/>
      <c r="EMG31" s="71"/>
      <c r="EMH31" s="71"/>
      <c r="EMI31" s="71"/>
      <c r="EMJ31" s="71"/>
      <c r="EMK31" s="71"/>
      <c r="EML31" s="71"/>
      <c r="EMM31" s="71"/>
      <c r="EMN31" s="71"/>
      <c r="EMO31" s="71"/>
      <c r="EMP31" s="71"/>
      <c r="EMQ31" s="71"/>
      <c r="EMR31" s="71"/>
      <c r="EMS31" s="71"/>
      <c r="EMT31" s="71"/>
      <c r="EMU31" s="71"/>
      <c r="EMV31" s="71"/>
      <c r="EMW31" s="71"/>
      <c r="EMX31" s="71"/>
      <c r="EMY31" s="71"/>
      <c r="EMZ31" s="71"/>
      <c r="ENA31" s="71"/>
      <c r="ENB31" s="71"/>
      <c r="ENC31" s="71"/>
      <c r="END31" s="71"/>
      <c r="ENE31" s="71"/>
      <c r="ENF31" s="71"/>
      <c r="ENG31" s="71"/>
      <c r="ENH31" s="71"/>
      <c r="ENI31" s="71"/>
      <c r="ENJ31" s="71"/>
      <c r="ENK31" s="71"/>
      <c r="ENL31" s="71"/>
      <c r="ENM31" s="71"/>
      <c r="ENN31" s="71"/>
      <c r="ENO31" s="71"/>
      <c r="ENP31" s="71"/>
      <c r="ENQ31" s="71"/>
      <c r="ENR31" s="71"/>
      <c r="ENS31" s="71"/>
      <c r="ENT31" s="71"/>
      <c r="ENU31" s="71"/>
      <c r="ENV31" s="71"/>
      <c r="ENW31" s="71"/>
      <c r="ENX31" s="71"/>
      <c r="ENY31" s="71"/>
      <c r="ENZ31" s="71"/>
      <c r="EOA31" s="71"/>
      <c r="EOB31" s="71"/>
      <c r="EOC31" s="71"/>
      <c r="EOD31" s="71"/>
      <c r="EOE31" s="71"/>
      <c r="EOF31" s="71"/>
      <c r="EOG31" s="71"/>
      <c r="EOH31" s="71"/>
      <c r="EOI31" s="71"/>
      <c r="EOJ31" s="71"/>
      <c r="EOK31" s="71"/>
      <c r="EOL31" s="71"/>
      <c r="EOM31" s="71"/>
      <c r="EON31" s="71"/>
      <c r="EOO31" s="71"/>
      <c r="EOP31" s="71"/>
      <c r="EOQ31" s="71"/>
      <c r="EOR31" s="71"/>
      <c r="EOS31" s="71"/>
      <c r="EOT31" s="71"/>
      <c r="EOU31" s="71"/>
      <c r="EOV31" s="71"/>
      <c r="EOW31" s="71"/>
      <c r="EOX31" s="71"/>
      <c r="EOY31" s="71"/>
      <c r="EOZ31" s="71"/>
      <c r="EPA31" s="71"/>
      <c r="EPB31" s="71"/>
      <c r="EPC31" s="71"/>
      <c r="EPD31" s="71"/>
      <c r="EPE31" s="71"/>
      <c r="EPF31" s="71"/>
      <c r="EPG31" s="71"/>
      <c r="EPH31" s="71"/>
      <c r="EPI31" s="71"/>
      <c r="EPJ31" s="71"/>
      <c r="EPK31" s="71"/>
      <c r="EPL31" s="71"/>
      <c r="EPM31" s="71"/>
      <c r="EPN31" s="71"/>
      <c r="EPO31" s="71"/>
      <c r="EPP31" s="71"/>
      <c r="EPQ31" s="71"/>
      <c r="EPR31" s="71"/>
      <c r="EPS31" s="71"/>
      <c r="EPT31" s="71"/>
      <c r="EPU31" s="71"/>
      <c r="EPV31" s="71"/>
      <c r="EPW31" s="71"/>
      <c r="EPX31" s="71"/>
      <c r="EPY31" s="71"/>
      <c r="EPZ31" s="71"/>
      <c r="EQA31" s="71"/>
      <c r="EQB31" s="71"/>
      <c r="EQC31" s="71"/>
      <c r="EQD31" s="71"/>
      <c r="EQE31" s="71"/>
      <c r="EQF31" s="71"/>
      <c r="EQG31" s="71"/>
      <c r="EQH31" s="71"/>
      <c r="EQI31" s="71"/>
      <c r="EQJ31" s="71"/>
      <c r="EQK31" s="71"/>
      <c r="EQL31" s="71"/>
      <c r="EQM31" s="71"/>
      <c r="EQN31" s="71"/>
      <c r="EQO31" s="71"/>
      <c r="EQP31" s="71"/>
      <c r="EQQ31" s="71"/>
      <c r="EQR31" s="71"/>
      <c r="EQS31" s="71"/>
      <c r="EQT31" s="71"/>
      <c r="EQU31" s="71"/>
      <c r="EQV31" s="71"/>
      <c r="EQW31" s="71"/>
      <c r="EQX31" s="71"/>
      <c r="EQY31" s="71"/>
      <c r="EQZ31" s="71"/>
      <c r="ERA31" s="71"/>
      <c r="ERB31" s="71"/>
      <c r="ERC31" s="71"/>
      <c r="ERD31" s="71"/>
      <c r="ERE31" s="71"/>
      <c r="ERF31" s="71"/>
      <c r="ERG31" s="71"/>
      <c r="ERH31" s="71"/>
      <c r="ERI31" s="71"/>
      <c r="ERJ31" s="71"/>
      <c r="ERK31" s="71"/>
      <c r="ERL31" s="71"/>
      <c r="ERM31" s="71"/>
      <c r="ERN31" s="71"/>
      <c r="ERO31" s="71"/>
      <c r="ERP31" s="71"/>
      <c r="ERQ31" s="71"/>
      <c r="ERR31" s="71"/>
      <c r="ERS31" s="71"/>
      <c r="ERT31" s="71"/>
      <c r="ERU31" s="71"/>
      <c r="ERV31" s="71"/>
      <c r="ERW31" s="71"/>
      <c r="ERX31" s="71"/>
      <c r="ERY31" s="71"/>
      <c r="ERZ31" s="71"/>
      <c r="ESA31" s="71"/>
      <c r="ESB31" s="71"/>
      <c r="ESC31" s="71"/>
      <c r="ESD31" s="71"/>
      <c r="ESE31" s="71"/>
      <c r="ESF31" s="71"/>
      <c r="ESG31" s="71"/>
      <c r="ESH31" s="71"/>
      <c r="ESI31" s="71"/>
      <c r="ESJ31" s="71"/>
      <c r="ESK31" s="71"/>
      <c r="ESL31" s="71"/>
      <c r="ESM31" s="71"/>
      <c r="ESN31" s="71"/>
      <c r="ESO31" s="71"/>
      <c r="ESP31" s="71"/>
      <c r="ESQ31" s="71"/>
      <c r="ESR31" s="71"/>
      <c r="ESS31" s="71"/>
      <c r="EST31" s="71"/>
      <c r="ESU31" s="71"/>
      <c r="ESV31" s="71"/>
      <c r="ESW31" s="71"/>
      <c r="ESX31" s="71"/>
      <c r="ESY31" s="71"/>
      <c r="ESZ31" s="71"/>
      <c r="ETA31" s="71"/>
      <c r="ETB31" s="71"/>
      <c r="ETC31" s="71"/>
      <c r="ETD31" s="71"/>
      <c r="ETE31" s="71"/>
      <c r="ETF31" s="71"/>
      <c r="ETG31" s="71"/>
      <c r="ETH31" s="71"/>
      <c r="ETI31" s="71"/>
      <c r="ETJ31" s="71"/>
      <c r="ETK31" s="71"/>
      <c r="ETL31" s="71"/>
      <c r="ETM31" s="71"/>
      <c r="ETN31" s="71"/>
      <c r="ETO31" s="71"/>
      <c r="ETP31" s="71"/>
      <c r="ETQ31" s="71"/>
      <c r="ETR31" s="71"/>
      <c r="ETS31" s="71"/>
      <c r="ETT31" s="71"/>
      <c r="ETU31" s="71"/>
      <c r="ETV31" s="71"/>
      <c r="ETW31" s="71"/>
      <c r="ETX31" s="71"/>
      <c r="ETY31" s="71"/>
      <c r="ETZ31" s="71"/>
      <c r="EUA31" s="71"/>
      <c r="EUB31" s="71"/>
      <c r="EUC31" s="71"/>
      <c r="EUD31" s="71"/>
      <c r="EUE31" s="71"/>
      <c r="EUF31" s="71"/>
      <c r="EUG31" s="71"/>
      <c r="EUH31" s="71"/>
      <c r="EUI31" s="71"/>
      <c r="EUJ31" s="71"/>
      <c r="EUK31" s="71"/>
      <c r="EUL31" s="71"/>
      <c r="EUM31" s="71"/>
      <c r="EUN31" s="71"/>
      <c r="EUO31" s="71"/>
      <c r="EUP31" s="71"/>
      <c r="EUQ31" s="71"/>
      <c r="EUR31" s="71"/>
      <c r="EUS31" s="71"/>
      <c r="EUT31" s="71"/>
      <c r="EUU31" s="71"/>
      <c r="EUV31" s="71"/>
      <c r="EUW31" s="71"/>
      <c r="EUX31" s="71"/>
      <c r="EUY31" s="71"/>
      <c r="EUZ31" s="71"/>
      <c r="EVA31" s="71"/>
      <c r="EVB31" s="71"/>
      <c r="EVC31" s="71"/>
      <c r="EVD31" s="71"/>
      <c r="EVE31" s="71"/>
      <c r="EVF31" s="71"/>
      <c r="EVG31" s="71"/>
      <c r="EVH31" s="71"/>
      <c r="EVI31" s="71"/>
      <c r="EVJ31" s="71"/>
      <c r="EVK31" s="71"/>
      <c r="EVL31" s="71"/>
      <c r="EVM31" s="71"/>
      <c r="EVN31" s="71"/>
      <c r="EVO31" s="71"/>
      <c r="EVP31" s="71"/>
      <c r="EVQ31" s="71"/>
      <c r="EVR31" s="71"/>
      <c r="EVS31" s="71"/>
      <c r="EVT31" s="71"/>
      <c r="EVU31" s="71"/>
      <c r="EVV31" s="71"/>
      <c r="EVW31" s="71"/>
      <c r="EVX31" s="71"/>
      <c r="EVY31" s="71"/>
      <c r="EVZ31" s="71"/>
      <c r="EWA31" s="71"/>
      <c r="EWB31" s="71"/>
      <c r="EWC31" s="71"/>
      <c r="EWD31" s="71"/>
      <c r="EWE31" s="71"/>
      <c r="EWF31" s="71"/>
      <c r="EWG31" s="71"/>
      <c r="EWH31" s="71"/>
      <c r="EWI31" s="71"/>
      <c r="EWJ31" s="71"/>
      <c r="EWK31" s="71"/>
      <c r="EWL31" s="71"/>
      <c r="EWM31" s="71"/>
      <c r="EWN31" s="71"/>
      <c r="EWO31" s="71"/>
      <c r="EWP31" s="71"/>
      <c r="EWQ31" s="71"/>
      <c r="EWR31" s="71"/>
      <c r="EWS31" s="71"/>
      <c r="EWT31" s="71"/>
      <c r="EWU31" s="71"/>
      <c r="EWV31" s="71"/>
      <c r="EWW31" s="71"/>
      <c r="EWX31" s="71"/>
      <c r="EWY31" s="71"/>
      <c r="EWZ31" s="71"/>
      <c r="EXA31" s="71"/>
      <c r="EXB31" s="71"/>
      <c r="EXC31" s="71"/>
      <c r="EXD31" s="71"/>
      <c r="EXE31" s="71"/>
      <c r="EXF31" s="71"/>
      <c r="EXG31" s="71"/>
      <c r="EXH31" s="71"/>
      <c r="EXI31" s="71"/>
      <c r="EXJ31" s="71"/>
      <c r="EXK31" s="71"/>
      <c r="EXL31" s="71"/>
      <c r="EXM31" s="71"/>
      <c r="EXN31" s="71"/>
      <c r="EXO31" s="71"/>
      <c r="EXP31" s="71"/>
      <c r="EXQ31" s="71"/>
      <c r="EXR31" s="71"/>
      <c r="EXS31" s="71"/>
      <c r="EXT31" s="71"/>
      <c r="EXU31" s="71"/>
      <c r="EXV31" s="71"/>
      <c r="EXW31" s="71"/>
      <c r="EXX31" s="71"/>
      <c r="EXY31" s="71"/>
      <c r="EXZ31" s="71"/>
      <c r="EYA31" s="71"/>
      <c r="EYB31" s="71"/>
      <c r="EYC31" s="71"/>
      <c r="EYD31" s="71"/>
      <c r="EYE31" s="71"/>
      <c r="EYF31" s="71"/>
      <c r="EYG31" s="71"/>
      <c r="EYH31" s="71"/>
      <c r="EYI31" s="71"/>
      <c r="EYJ31" s="71"/>
      <c r="EYK31" s="71"/>
      <c r="EYL31" s="71"/>
      <c r="EYM31" s="71"/>
      <c r="EYN31" s="71"/>
      <c r="EYO31" s="71"/>
      <c r="EYP31" s="71"/>
      <c r="EYQ31" s="71"/>
      <c r="EYR31" s="71"/>
      <c r="EYS31" s="71"/>
      <c r="EYT31" s="71"/>
      <c r="EYU31" s="71"/>
      <c r="EYV31" s="71"/>
      <c r="EYW31" s="71"/>
      <c r="EYX31" s="71"/>
      <c r="EYY31" s="71"/>
      <c r="EYZ31" s="71"/>
      <c r="EZA31" s="71"/>
      <c r="EZB31" s="71"/>
      <c r="EZC31" s="71"/>
      <c r="EZD31" s="71"/>
      <c r="EZE31" s="71"/>
      <c r="EZF31" s="71"/>
      <c r="EZG31" s="71"/>
      <c r="EZH31" s="71"/>
      <c r="EZI31" s="71"/>
      <c r="EZJ31" s="71"/>
      <c r="EZK31" s="71"/>
      <c r="EZL31" s="71"/>
      <c r="EZM31" s="71"/>
      <c r="EZN31" s="71"/>
      <c r="EZO31" s="71"/>
      <c r="EZP31" s="71"/>
      <c r="EZQ31" s="71"/>
      <c r="EZR31" s="71"/>
      <c r="EZS31" s="71"/>
      <c r="EZT31" s="71"/>
      <c r="EZU31" s="71"/>
      <c r="EZV31" s="71"/>
      <c r="EZW31" s="71"/>
      <c r="EZX31" s="71"/>
      <c r="EZY31" s="71"/>
      <c r="EZZ31" s="71"/>
      <c r="FAA31" s="71"/>
      <c r="FAB31" s="71"/>
      <c r="FAC31" s="71"/>
      <c r="FAD31" s="71"/>
      <c r="FAE31" s="71"/>
      <c r="FAF31" s="71"/>
      <c r="FAG31" s="71"/>
      <c r="FAH31" s="71"/>
      <c r="FAI31" s="71"/>
      <c r="FAJ31" s="71"/>
      <c r="FAK31" s="71"/>
      <c r="FAL31" s="71"/>
      <c r="FAM31" s="71"/>
      <c r="FAN31" s="71"/>
      <c r="FAO31" s="71"/>
      <c r="FAP31" s="71"/>
      <c r="FAQ31" s="71"/>
      <c r="FAR31" s="71"/>
      <c r="FAS31" s="71"/>
      <c r="FAT31" s="71"/>
      <c r="FAU31" s="71"/>
      <c r="FAV31" s="71"/>
      <c r="FAW31" s="71"/>
      <c r="FAX31" s="71"/>
      <c r="FAY31" s="71"/>
      <c r="FAZ31" s="71"/>
      <c r="FBA31" s="71"/>
      <c r="FBB31" s="71"/>
      <c r="FBC31" s="71"/>
      <c r="FBD31" s="71"/>
      <c r="FBE31" s="71"/>
      <c r="FBF31" s="71"/>
      <c r="FBG31" s="71"/>
      <c r="FBH31" s="71"/>
      <c r="FBI31" s="71"/>
      <c r="FBJ31" s="71"/>
      <c r="FBK31" s="71"/>
      <c r="FBL31" s="71"/>
      <c r="FBM31" s="71"/>
      <c r="FBN31" s="71"/>
      <c r="FBO31" s="71"/>
      <c r="FBP31" s="71"/>
      <c r="FBQ31" s="71"/>
      <c r="FBR31" s="71"/>
      <c r="FBS31" s="71"/>
      <c r="FBT31" s="71"/>
      <c r="FBU31" s="71"/>
      <c r="FBV31" s="71"/>
      <c r="FBW31" s="71"/>
      <c r="FBX31" s="71"/>
      <c r="FBY31" s="71"/>
      <c r="FBZ31" s="71"/>
      <c r="FCA31" s="71"/>
      <c r="FCB31" s="71"/>
      <c r="FCC31" s="71"/>
      <c r="FCD31" s="71"/>
      <c r="FCE31" s="71"/>
      <c r="FCF31" s="71"/>
      <c r="FCG31" s="71"/>
      <c r="FCH31" s="71"/>
      <c r="FCI31" s="71"/>
      <c r="FCJ31" s="71"/>
      <c r="FCK31" s="71"/>
      <c r="FCL31" s="71"/>
      <c r="FCM31" s="71"/>
      <c r="FCN31" s="71"/>
      <c r="FCO31" s="71"/>
      <c r="FCP31" s="71"/>
      <c r="FCQ31" s="71"/>
      <c r="FCR31" s="71"/>
      <c r="FCS31" s="71"/>
      <c r="FCT31" s="71"/>
      <c r="FCU31" s="71"/>
      <c r="FCV31" s="71"/>
      <c r="FCW31" s="71"/>
      <c r="FCX31" s="71"/>
      <c r="FCY31" s="71"/>
      <c r="FCZ31" s="71"/>
      <c r="FDA31" s="71"/>
      <c r="FDB31" s="71"/>
      <c r="FDC31" s="71"/>
      <c r="FDD31" s="71"/>
      <c r="FDE31" s="71"/>
      <c r="FDF31" s="71"/>
      <c r="FDG31" s="71"/>
      <c r="FDH31" s="71"/>
      <c r="FDI31" s="71"/>
      <c r="FDJ31" s="71"/>
      <c r="FDK31" s="71"/>
      <c r="FDL31" s="71"/>
      <c r="FDM31" s="71"/>
      <c r="FDN31" s="71"/>
      <c r="FDO31" s="71"/>
      <c r="FDP31" s="71"/>
      <c r="FDQ31" s="71"/>
      <c r="FDR31" s="71"/>
      <c r="FDS31" s="71"/>
      <c r="FDT31" s="71"/>
      <c r="FDU31" s="71"/>
      <c r="FDV31" s="71"/>
      <c r="FDW31" s="71"/>
      <c r="FDX31" s="71"/>
      <c r="FDY31" s="71"/>
      <c r="FDZ31" s="71"/>
      <c r="FEA31" s="71"/>
      <c r="FEB31" s="71"/>
      <c r="FEC31" s="71"/>
      <c r="FED31" s="71"/>
      <c r="FEE31" s="71"/>
      <c r="FEF31" s="71"/>
      <c r="FEG31" s="71"/>
      <c r="FEH31" s="71"/>
      <c r="FEI31" s="71"/>
      <c r="FEJ31" s="71"/>
      <c r="FEK31" s="71"/>
      <c r="FEL31" s="71"/>
      <c r="FEM31" s="71"/>
      <c r="FEN31" s="71"/>
      <c r="FEO31" s="71"/>
      <c r="FEP31" s="71"/>
      <c r="FEQ31" s="71"/>
      <c r="FER31" s="71"/>
      <c r="FES31" s="71"/>
      <c r="FET31" s="71"/>
      <c r="FEU31" s="71"/>
      <c r="FEV31" s="71"/>
      <c r="FEW31" s="71"/>
      <c r="FEX31" s="71"/>
      <c r="FEY31" s="71"/>
      <c r="FEZ31" s="71"/>
      <c r="FFA31" s="71"/>
      <c r="FFB31" s="71"/>
      <c r="FFC31" s="71"/>
      <c r="FFD31" s="71"/>
      <c r="FFE31" s="71"/>
      <c r="FFF31" s="71"/>
      <c r="FFG31" s="71"/>
      <c r="FFH31" s="71"/>
      <c r="FFI31" s="71"/>
      <c r="FFJ31" s="71"/>
      <c r="FFK31" s="71"/>
      <c r="FFL31" s="71"/>
      <c r="FFM31" s="71"/>
      <c r="FFN31" s="71"/>
      <c r="FFO31" s="71"/>
      <c r="FFP31" s="71"/>
      <c r="FFQ31" s="71"/>
      <c r="FFR31" s="71"/>
      <c r="FFS31" s="71"/>
      <c r="FFT31" s="71"/>
      <c r="FFU31" s="71"/>
      <c r="FFV31" s="71"/>
      <c r="FFW31" s="71"/>
      <c r="FFX31" s="71"/>
      <c r="FFY31" s="71"/>
      <c r="FFZ31" s="71"/>
      <c r="FGA31" s="71"/>
      <c r="FGB31" s="71"/>
      <c r="FGC31" s="71"/>
      <c r="FGD31" s="71"/>
      <c r="FGE31" s="71"/>
      <c r="FGF31" s="71"/>
      <c r="FGG31" s="71"/>
      <c r="FGH31" s="71"/>
      <c r="FGI31" s="71"/>
      <c r="FGJ31" s="71"/>
      <c r="FGK31" s="71"/>
      <c r="FGL31" s="71"/>
      <c r="FGM31" s="71"/>
      <c r="FGN31" s="71"/>
      <c r="FGO31" s="71"/>
      <c r="FGP31" s="71"/>
      <c r="FGQ31" s="71"/>
      <c r="FGR31" s="71"/>
      <c r="FGS31" s="71"/>
      <c r="FGT31" s="71"/>
      <c r="FGU31" s="71"/>
      <c r="FGV31" s="71"/>
      <c r="FGW31" s="71"/>
      <c r="FGX31" s="71"/>
      <c r="FGY31" s="71"/>
      <c r="FGZ31" s="71"/>
      <c r="FHA31" s="71"/>
      <c r="FHB31" s="71"/>
      <c r="FHC31" s="71"/>
      <c r="FHD31" s="71"/>
      <c r="FHE31" s="71"/>
      <c r="FHF31" s="71"/>
      <c r="FHG31" s="71"/>
      <c r="FHH31" s="71"/>
      <c r="FHI31" s="71"/>
      <c r="FHJ31" s="71"/>
      <c r="FHK31" s="71"/>
      <c r="FHL31" s="71"/>
      <c r="FHM31" s="71"/>
      <c r="FHN31" s="71"/>
      <c r="FHO31" s="71"/>
      <c r="FHP31" s="71"/>
      <c r="FHQ31" s="71"/>
      <c r="FHR31" s="71"/>
      <c r="FHS31" s="71"/>
      <c r="FHT31" s="71"/>
      <c r="FHU31" s="71"/>
      <c r="FHV31" s="71"/>
      <c r="FHW31" s="71"/>
      <c r="FHX31" s="71"/>
      <c r="FHY31" s="71"/>
      <c r="FHZ31" s="71"/>
      <c r="FIA31" s="71"/>
      <c r="FIB31" s="71"/>
      <c r="FIC31" s="71"/>
      <c r="FID31" s="71"/>
      <c r="FIE31" s="71"/>
      <c r="FIF31" s="71"/>
      <c r="FIG31" s="71"/>
      <c r="FIH31" s="71"/>
      <c r="FII31" s="71"/>
      <c r="FIJ31" s="71"/>
      <c r="FIK31" s="71"/>
      <c r="FIL31" s="71"/>
      <c r="FIM31" s="71"/>
      <c r="FIN31" s="71"/>
      <c r="FIO31" s="71"/>
      <c r="FIP31" s="71"/>
      <c r="FIQ31" s="71"/>
      <c r="FIR31" s="71"/>
      <c r="FIS31" s="71"/>
      <c r="FIT31" s="71"/>
      <c r="FIU31" s="71"/>
      <c r="FIV31" s="71"/>
      <c r="FIW31" s="71"/>
      <c r="FIX31" s="71"/>
      <c r="FIY31" s="71"/>
      <c r="FIZ31" s="71"/>
      <c r="FJA31" s="71"/>
      <c r="FJB31" s="71"/>
      <c r="FJC31" s="71"/>
      <c r="FJD31" s="71"/>
      <c r="FJE31" s="71"/>
      <c r="FJF31" s="71"/>
      <c r="FJG31" s="71"/>
      <c r="FJH31" s="71"/>
      <c r="FJI31" s="71"/>
      <c r="FJJ31" s="71"/>
      <c r="FJK31" s="71"/>
      <c r="FJL31" s="71"/>
      <c r="FJM31" s="71"/>
      <c r="FJN31" s="71"/>
      <c r="FJO31" s="71"/>
      <c r="FJP31" s="71"/>
      <c r="FJQ31" s="71"/>
      <c r="FJR31" s="71"/>
      <c r="FJS31" s="71"/>
      <c r="FJT31" s="71"/>
      <c r="FJU31" s="71"/>
      <c r="FJV31" s="71"/>
      <c r="FJW31" s="71"/>
      <c r="FJX31" s="71"/>
      <c r="FJY31" s="71"/>
      <c r="FJZ31" s="71"/>
      <c r="FKA31" s="71"/>
      <c r="FKB31" s="71"/>
      <c r="FKC31" s="71"/>
      <c r="FKD31" s="71"/>
      <c r="FKE31" s="71"/>
      <c r="FKF31" s="71"/>
      <c r="FKG31" s="71"/>
      <c r="FKH31" s="71"/>
      <c r="FKI31" s="71"/>
      <c r="FKJ31" s="71"/>
      <c r="FKK31" s="71"/>
      <c r="FKL31" s="71"/>
      <c r="FKM31" s="71"/>
      <c r="FKN31" s="71"/>
      <c r="FKO31" s="71"/>
      <c r="FKP31" s="71"/>
      <c r="FKQ31" s="71"/>
      <c r="FKR31" s="71"/>
      <c r="FKS31" s="71"/>
      <c r="FKT31" s="71"/>
      <c r="FKU31" s="71"/>
      <c r="FKV31" s="71"/>
      <c r="FKW31" s="71"/>
      <c r="FKX31" s="71"/>
      <c r="FKY31" s="71"/>
      <c r="FKZ31" s="71"/>
      <c r="FLA31" s="71"/>
      <c r="FLB31" s="71"/>
      <c r="FLC31" s="71"/>
      <c r="FLD31" s="71"/>
      <c r="FLE31" s="71"/>
      <c r="FLF31" s="71"/>
      <c r="FLG31" s="71"/>
      <c r="FLH31" s="71"/>
      <c r="FLI31" s="71"/>
      <c r="FLJ31" s="71"/>
      <c r="FLK31" s="71"/>
      <c r="FLL31" s="71"/>
      <c r="FLM31" s="71"/>
      <c r="FLN31" s="71"/>
      <c r="FLO31" s="71"/>
      <c r="FLP31" s="71"/>
      <c r="FLQ31" s="71"/>
      <c r="FLR31" s="71"/>
      <c r="FLS31" s="71"/>
      <c r="FLT31" s="71"/>
      <c r="FLU31" s="71"/>
      <c r="FLV31" s="71"/>
      <c r="FLW31" s="71"/>
      <c r="FLX31" s="71"/>
      <c r="FLY31" s="71"/>
      <c r="FLZ31" s="71"/>
      <c r="FMA31" s="71"/>
      <c r="FMB31" s="71"/>
      <c r="FMC31" s="71"/>
      <c r="FMD31" s="71"/>
      <c r="FME31" s="71"/>
      <c r="FMF31" s="71"/>
      <c r="FMG31" s="71"/>
      <c r="FMH31" s="71"/>
      <c r="FMI31" s="71"/>
      <c r="FMJ31" s="71"/>
      <c r="FMK31" s="71"/>
      <c r="FML31" s="71"/>
      <c r="FMM31" s="71"/>
      <c r="FMN31" s="71"/>
      <c r="FMO31" s="71"/>
      <c r="FMP31" s="71"/>
      <c r="FMQ31" s="71"/>
      <c r="FMR31" s="71"/>
      <c r="FMS31" s="71"/>
      <c r="FMT31" s="71"/>
      <c r="FMU31" s="71"/>
      <c r="FMV31" s="71"/>
      <c r="FMW31" s="71"/>
      <c r="FMX31" s="71"/>
      <c r="FMY31" s="71"/>
      <c r="FMZ31" s="71"/>
      <c r="FNA31" s="71"/>
      <c r="FNB31" s="71"/>
      <c r="FNC31" s="71"/>
      <c r="FND31" s="71"/>
      <c r="FNE31" s="71"/>
      <c r="FNF31" s="71"/>
      <c r="FNG31" s="71"/>
      <c r="FNH31" s="71"/>
      <c r="FNI31" s="71"/>
      <c r="FNJ31" s="71"/>
      <c r="FNK31" s="71"/>
      <c r="FNL31" s="71"/>
      <c r="FNM31" s="71"/>
      <c r="FNN31" s="71"/>
      <c r="FNO31" s="71"/>
      <c r="FNP31" s="71"/>
      <c r="FNQ31" s="71"/>
      <c r="FNR31" s="71"/>
      <c r="FNS31" s="71"/>
      <c r="FNT31" s="71"/>
      <c r="FNU31" s="71"/>
      <c r="FNV31" s="71"/>
      <c r="FNW31" s="71"/>
      <c r="FNX31" s="71"/>
      <c r="FNY31" s="71"/>
      <c r="FNZ31" s="71"/>
      <c r="FOA31" s="71"/>
      <c r="FOB31" s="71"/>
      <c r="FOC31" s="71"/>
      <c r="FOD31" s="71"/>
      <c r="FOE31" s="71"/>
      <c r="FOF31" s="71"/>
      <c r="FOG31" s="71"/>
      <c r="FOH31" s="71"/>
      <c r="FOI31" s="71"/>
      <c r="FOJ31" s="71"/>
      <c r="FOK31" s="71"/>
      <c r="FOL31" s="71"/>
      <c r="FOM31" s="71"/>
      <c r="FON31" s="71"/>
      <c r="FOO31" s="71"/>
      <c r="FOP31" s="71"/>
      <c r="FOQ31" s="71"/>
      <c r="FOR31" s="71"/>
      <c r="FOS31" s="71"/>
      <c r="FOT31" s="71"/>
      <c r="FOU31" s="71"/>
      <c r="FOV31" s="71"/>
      <c r="FOW31" s="71"/>
      <c r="FOX31" s="71"/>
      <c r="FOY31" s="71"/>
      <c r="FOZ31" s="71"/>
      <c r="FPA31" s="71"/>
      <c r="FPB31" s="71"/>
      <c r="FPC31" s="71"/>
      <c r="FPD31" s="71"/>
      <c r="FPE31" s="71"/>
      <c r="FPF31" s="71"/>
      <c r="FPG31" s="71"/>
      <c r="FPH31" s="71"/>
      <c r="FPI31" s="71"/>
      <c r="FPJ31" s="71"/>
      <c r="FPK31" s="71"/>
      <c r="FPL31" s="71"/>
      <c r="FPM31" s="71"/>
      <c r="FPN31" s="71"/>
      <c r="FPO31" s="71"/>
      <c r="FPP31" s="71"/>
      <c r="FPQ31" s="71"/>
      <c r="FPR31" s="71"/>
      <c r="FPS31" s="71"/>
      <c r="FPT31" s="71"/>
      <c r="FPU31" s="71"/>
      <c r="FPV31" s="71"/>
      <c r="FPW31" s="71"/>
      <c r="FPX31" s="71"/>
      <c r="FPY31" s="71"/>
      <c r="FPZ31" s="71"/>
      <c r="FQA31" s="71"/>
      <c r="FQB31" s="71"/>
      <c r="FQC31" s="71"/>
      <c r="FQD31" s="71"/>
      <c r="FQE31" s="71"/>
      <c r="FQF31" s="71"/>
      <c r="FQG31" s="71"/>
      <c r="FQH31" s="71"/>
      <c r="FQI31" s="71"/>
      <c r="FQJ31" s="71"/>
      <c r="FQK31" s="71"/>
      <c r="FQL31" s="71"/>
      <c r="FQM31" s="71"/>
      <c r="FQN31" s="71"/>
      <c r="FQO31" s="71"/>
      <c r="FQP31" s="71"/>
      <c r="FQQ31" s="71"/>
      <c r="FQR31" s="71"/>
      <c r="FQS31" s="71"/>
      <c r="FQT31" s="71"/>
      <c r="FQU31" s="71"/>
      <c r="FQV31" s="71"/>
      <c r="FQW31" s="71"/>
      <c r="FQX31" s="71"/>
      <c r="FQY31" s="71"/>
      <c r="FQZ31" s="71"/>
      <c r="FRA31" s="71"/>
      <c r="FRB31" s="71"/>
      <c r="FRC31" s="71"/>
      <c r="FRD31" s="71"/>
      <c r="FRE31" s="71"/>
      <c r="FRF31" s="71"/>
      <c r="FRG31" s="71"/>
      <c r="FRH31" s="71"/>
      <c r="FRI31" s="71"/>
      <c r="FRJ31" s="71"/>
      <c r="FRK31" s="71"/>
      <c r="FRL31" s="71"/>
      <c r="FRM31" s="71"/>
      <c r="FRN31" s="71"/>
      <c r="FRO31" s="71"/>
      <c r="FRP31" s="71"/>
      <c r="FRQ31" s="71"/>
      <c r="FRR31" s="71"/>
      <c r="FRS31" s="71"/>
      <c r="FRT31" s="71"/>
      <c r="FRU31" s="71"/>
      <c r="FRV31" s="71"/>
      <c r="FRW31" s="71"/>
      <c r="FRX31" s="71"/>
      <c r="FRY31" s="71"/>
      <c r="FRZ31" s="71"/>
      <c r="FSA31" s="71"/>
      <c r="FSB31" s="71"/>
      <c r="FSC31" s="71"/>
      <c r="FSD31" s="71"/>
      <c r="FSE31" s="71"/>
      <c r="FSF31" s="71"/>
      <c r="FSG31" s="71"/>
      <c r="FSH31" s="71"/>
      <c r="FSI31" s="71"/>
      <c r="FSJ31" s="71"/>
      <c r="FSK31" s="71"/>
      <c r="FSL31" s="71"/>
      <c r="FSM31" s="71"/>
      <c r="FSN31" s="71"/>
      <c r="FSO31" s="71"/>
      <c r="FSP31" s="71"/>
      <c r="FSQ31" s="71"/>
      <c r="FSR31" s="71"/>
      <c r="FSS31" s="71"/>
      <c r="FST31" s="71"/>
      <c r="FSU31" s="71"/>
      <c r="FSV31" s="71"/>
      <c r="FSW31" s="71"/>
      <c r="FSX31" s="71"/>
      <c r="FSY31" s="71"/>
      <c r="FSZ31" s="71"/>
      <c r="FTA31" s="71"/>
      <c r="FTB31" s="71"/>
      <c r="FTC31" s="71"/>
      <c r="FTD31" s="71"/>
      <c r="FTE31" s="71"/>
      <c r="FTF31" s="71"/>
      <c r="FTG31" s="71"/>
      <c r="FTH31" s="71"/>
      <c r="FTI31" s="71"/>
      <c r="FTJ31" s="71"/>
      <c r="FTK31" s="71"/>
      <c r="FTL31" s="71"/>
      <c r="FTM31" s="71"/>
      <c r="FTN31" s="71"/>
      <c r="FTO31" s="71"/>
      <c r="FTP31" s="71"/>
      <c r="FTQ31" s="71"/>
      <c r="FTR31" s="71"/>
      <c r="FTS31" s="71"/>
      <c r="FTT31" s="71"/>
      <c r="FTU31" s="71"/>
      <c r="FTV31" s="71"/>
      <c r="FTW31" s="71"/>
      <c r="FTX31" s="71"/>
      <c r="FTY31" s="71"/>
      <c r="FTZ31" s="71"/>
      <c r="FUA31" s="71"/>
      <c r="FUB31" s="71"/>
      <c r="FUC31" s="71"/>
      <c r="FUD31" s="71"/>
      <c r="FUE31" s="71"/>
      <c r="FUF31" s="71"/>
      <c r="FUG31" s="71"/>
      <c r="FUH31" s="71"/>
      <c r="FUI31" s="71"/>
      <c r="FUJ31" s="71"/>
      <c r="FUK31" s="71"/>
      <c r="FUL31" s="71"/>
      <c r="FUM31" s="71"/>
      <c r="FUN31" s="71"/>
      <c r="FUO31" s="71"/>
      <c r="FUP31" s="71"/>
      <c r="FUQ31" s="71"/>
      <c r="FUR31" s="71"/>
      <c r="FUS31" s="71"/>
      <c r="FUT31" s="71"/>
      <c r="FUU31" s="71"/>
      <c r="FUV31" s="71"/>
      <c r="FUW31" s="71"/>
      <c r="FUX31" s="71"/>
      <c r="FUY31" s="71"/>
      <c r="FUZ31" s="71"/>
      <c r="FVA31" s="71"/>
      <c r="FVB31" s="71"/>
      <c r="FVC31" s="71"/>
      <c r="FVD31" s="71"/>
      <c r="FVE31" s="71"/>
      <c r="FVF31" s="71"/>
      <c r="FVG31" s="71"/>
      <c r="FVH31" s="71"/>
      <c r="FVI31" s="71"/>
      <c r="FVJ31" s="71"/>
      <c r="FVK31" s="71"/>
      <c r="FVL31" s="71"/>
      <c r="FVM31" s="71"/>
      <c r="FVN31" s="71"/>
      <c r="FVO31" s="71"/>
      <c r="FVP31" s="71"/>
      <c r="FVQ31" s="71"/>
      <c r="FVR31" s="71"/>
      <c r="FVS31" s="71"/>
      <c r="FVT31" s="71"/>
      <c r="FVU31" s="71"/>
      <c r="FVV31" s="71"/>
      <c r="FVW31" s="71"/>
      <c r="FVX31" s="71"/>
      <c r="FVY31" s="71"/>
      <c r="FVZ31" s="71"/>
      <c r="FWA31" s="71"/>
      <c r="FWB31" s="71"/>
      <c r="FWC31" s="71"/>
      <c r="FWD31" s="71"/>
      <c r="FWE31" s="71"/>
      <c r="FWF31" s="71"/>
      <c r="FWG31" s="71"/>
      <c r="FWH31" s="71"/>
      <c r="FWI31" s="71"/>
      <c r="FWJ31" s="71"/>
      <c r="FWK31" s="71"/>
      <c r="FWL31" s="71"/>
      <c r="FWM31" s="71"/>
      <c r="FWN31" s="71"/>
      <c r="FWO31" s="71"/>
      <c r="FWP31" s="71"/>
      <c r="FWQ31" s="71"/>
      <c r="FWR31" s="71"/>
      <c r="FWS31" s="71"/>
      <c r="FWT31" s="71"/>
      <c r="FWU31" s="71"/>
      <c r="FWV31" s="71"/>
      <c r="FWW31" s="71"/>
      <c r="FWX31" s="71"/>
      <c r="FWY31" s="71"/>
      <c r="FWZ31" s="71"/>
      <c r="FXA31" s="71"/>
      <c r="FXB31" s="71"/>
      <c r="FXC31" s="71"/>
      <c r="FXD31" s="71"/>
      <c r="FXE31" s="71"/>
      <c r="FXF31" s="71"/>
      <c r="FXG31" s="71"/>
      <c r="FXH31" s="71"/>
      <c r="FXI31" s="71"/>
      <c r="FXJ31" s="71"/>
      <c r="FXK31" s="71"/>
      <c r="FXL31" s="71"/>
      <c r="FXM31" s="71"/>
      <c r="FXN31" s="71"/>
      <c r="FXO31" s="71"/>
      <c r="FXP31" s="71"/>
      <c r="FXQ31" s="71"/>
      <c r="FXR31" s="71"/>
      <c r="FXS31" s="71"/>
      <c r="FXT31" s="71"/>
      <c r="FXU31" s="71"/>
      <c r="FXV31" s="71"/>
      <c r="FXW31" s="71"/>
      <c r="FXX31" s="71"/>
      <c r="FXY31" s="71"/>
      <c r="FXZ31" s="71"/>
      <c r="FYA31" s="71"/>
      <c r="FYB31" s="71"/>
      <c r="FYC31" s="71"/>
      <c r="FYD31" s="71"/>
      <c r="FYE31" s="71"/>
      <c r="FYF31" s="71"/>
      <c r="FYG31" s="71"/>
      <c r="FYH31" s="71"/>
      <c r="FYI31" s="71"/>
      <c r="FYJ31" s="71"/>
      <c r="FYK31" s="71"/>
      <c r="FYL31" s="71"/>
      <c r="FYM31" s="71"/>
      <c r="FYN31" s="71"/>
      <c r="FYO31" s="71"/>
      <c r="FYP31" s="71"/>
      <c r="FYQ31" s="71"/>
      <c r="FYR31" s="71"/>
      <c r="FYS31" s="71"/>
      <c r="FYT31" s="71"/>
      <c r="FYU31" s="71"/>
      <c r="FYV31" s="71"/>
      <c r="FYW31" s="71"/>
      <c r="FYX31" s="71"/>
      <c r="FYY31" s="71"/>
      <c r="FYZ31" s="71"/>
      <c r="FZA31" s="71"/>
      <c r="FZB31" s="71"/>
      <c r="FZC31" s="71"/>
      <c r="FZD31" s="71"/>
      <c r="FZE31" s="71"/>
      <c r="FZF31" s="71"/>
      <c r="FZG31" s="71"/>
      <c r="FZH31" s="71"/>
      <c r="FZI31" s="71"/>
      <c r="FZJ31" s="71"/>
      <c r="FZK31" s="71"/>
      <c r="FZL31" s="71"/>
      <c r="FZM31" s="71"/>
      <c r="FZN31" s="71"/>
      <c r="FZO31" s="71"/>
      <c r="FZP31" s="71"/>
      <c r="FZQ31" s="71"/>
      <c r="FZR31" s="71"/>
      <c r="FZS31" s="71"/>
      <c r="FZT31" s="71"/>
      <c r="FZU31" s="71"/>
      <c r="FZV31" s="71"/>
      <c r="FZW31" s="71"/>
      <c r="FZX31" s="71"/>
      <c r="FZY31" s="71"/>
      <c r="FZZ31" s="71"/>
      <c r="GAA31" s="71"/>
      <c r="GAB31" s="71"/>
      <c r="GAC31" s="71"/>
      <c r="GAD31" s="71"/>
      <c r="GAE31" s="71"/>
      <c r="GAF31" s="71"/>
      <c r="GAG31" s="71"/>
      <c r="GAH31" s="71"/>
      <c r="GAI31" s="71"/>
      <c r="GAJ31" s="71"/>
      <c r="GAK31" s="71"/>
      <c r="GAL31" s="71"/>
      <c r="GAM31" s="71"/>
      <c r="GAN31" s="71"/>
      <c r="GAO31" s="71"/>
      <c r="GAP31" s="71"/>
      <c r="GAQ31" s="71"/>
      <c r="GAR31" s="71"/>
      <c r="GAS31" s="71"/>
      <c r="GAT31" s="71"/>
      <c r="GAU31" s="71"/>
      <c r="GAV31" s="71"/>
      <c r="GAW31" s="71"/>
      <c r="GAX31" s="71"/>
      <c r="GAY31" s="71"/>
      <c r="GAZ31" s="71"/>
      <c r="GBA31" s="71"/>
      <c r="GBB31" s="71"/>
      <c r="GBC31" s="71"/>
      <c r="GBD31" s="71"/>
      <c r="GBE31" s="71"/>
      <c r="GBF31" s="71"/>
      <c r="GBG31" s="71"/>
      <c r="GBH31" s="71"/>
      <c r="GBI31" s="71"/>
      <c r="GBJ31" s="71"/>
      <c r="GBK31" s="71"/>
      <c r="GBL31" s="71"/>
      <c r="GBM31" s="71"/>
      <c r="GBN31" s="71"/>
      <c r="GBO31" s="71"/>
      <c r="GBP31" s="71"/>
      <c r="GBQ31" s="71"/>
      <c r="GBR31" s="71"/>
      <c r="GBS31" s="71"/>
      <c r="GBT31" s="71"/>
      <c r="GBU31" s="71"/>
      <c r="GBV31" s="71"/>
      <c r="GBW31" s="71"/>
      <c r="GBX31" s="71"/>
      <c r="GBY31" s="71"/>
      <c r="GBZ31" s="71"/>
      <c r="GCA31" s="71"/>
      <c r="GCB31" s="71"/>
      <c r="GCC31" s="71"/>
      <c r="GCD31" s="71"/>
      <c r="GCE31" s="71"/>
      <c r="GCF31" s="71"/>
      <c r="GCG31" s="71"/>
      <c r="GCH31" s="71"/>
      <c r="GCI31" s="71"/>
      <c r="GCJ31" s="71"/>
      <c r="GCK31" s="71"/>
      <c r="GCL31" s="71"/>
      <c r="GCM31" s="71"/>
      <c r="GCN31" s="71"/>
      <c r="GCO31" s="71"/>
      <c r="GCP31" s="71"/>
      <c r="GCQ31" s="71"/>
      <c r="GCR31" s="71"/>
      <c r="GCS31" s="71"/>
      <c r="GCT31" s="71"/>
      <c r="GCU31" s="71"/>
      <c r="GCV31" s="71"/>
      <c r="GCW31" s="71"/>
      <c r="GCX31" s="71"/>
      <c r="GCY31" s="71"/>
      <c r="GCZ31" s="71"/>
      <c r="GDA31" s="71"/>
      <c r="GDB31" s="71"/>
      <c r="GDC31" s="71"/>
      <c r="GDD31" s="71"/>
      <c r="GDE31" s="71"/>
      <c r="GDF31" s="71"/>
      <c r="GDG31" s="71"/>
      <c r="GDH31" s="71"/>
      <c r="GDI31" s="71"/>
      <c r="GDJ31" s="71"/>
      <c r="GDK31" s="71"/>
      <c r="GDL31" s="71"/>
      <c r="GDM31" s="71"/>
      <c r="GDN31" s="71"/>
      <c r="GDO31" s="71"/>
      <c r="GDP31" s="71"/>
      <c r="GDQ31" s="71"/>
      <c r="GDR31" s="71"/>
      <c r="GDS31" s="71"/>
      <c r="GDT31" s="71"/>
      <c r="GDU31" s="71"/>
      <c r="GDV31" s="71"/>
      <c r="GDW31" s="71"/>
      <c r="GDX31" s="71"/>
      <c r="GDY31" s="71"/>
      <c r="GDZ31" s="71"/>
      <c r="GEA31" s="71"/>
      <c r="GEB31" s="71"/>
      <c r="GEC31" s="71"/>
      <c r="GED31" s="71"/>
      <c r="GEE31" s="71"/>
      <c r="GEF31" s="71"/>
      <c r="GEG31" s="71"/>
      <c r="GEH31" s="71"/>
      <c r="GEI31" s="71"/>
      <c r="GEJ31" s="71"/>
      <c r="GEK31" s="71"/>
      <c r="GEL31" s="71"/>
      <c r="GEM31" s="71"/>
      <c r="GEN31" s="71"/>
      <c r="GEO31" s="71"/>
      <c r="GEP31" s="71"/>
      <c r="GEQ31" s="71"/>
      <c r="GER31" s="71"/>
      <c r="GES31" s="71"/>
      <c r="GET31" s="71"/>
      <c r="GEU31" s="71"/>
      <c r="GEV31" s="71"/>
      <c r="GEW31" s="71"/>
      <c r="GEX31" s="71"/>
      <c r="GEY31" s="71"/>
      <c r="GEZ31" s="71"/>
      <c r="GFA31" s="71"/>
      <c r="GFB31" s="71"/>
      <c r="GFC31" s="71"/>
      <c r="GFD31" s="71"/>
      <c r="GFE31" s="71"/>
      <c r="GFF31" s="71"/>
      <c r="GFG31" s="71"/>
      <c r="GFH31" s="71"/>
      <c r="GFI31" s="71"/>
      <c r="GFJ31" s="71"/>
      <c r="GFK31" s="71"/>
      <c r="GFL31" s="71"/>
      <c r="GFM31" s="71"/>
      <c r="GFN31" s="71"/>
      <c r="GFO31" s="71"/>
      <c r="GFP31" s="71"/>
      <c r="GFQ31" s="71"/>
      <c r="GFR31" s="71"/>
      <c r="GFS31" s="71"/>
      <c r="GFT31" s="71"/>
      <c r="GFU31" s="71"/>
      <c r="GFV31" s="71"/>
      <c r="GFW31" s="71"/>
      <c r="GFX31" s="71"/>
      <c r="GFY31" s="71"/>
      <c r="GFZ31" s="71"/>
      <c r="GGA31" s="71"/>
      <c r="GGB31" s="71"/>
      <c r="GGC31" s="71"/>
      <c r="GGD31" s="71"/>
      <c r="GGE31" s="71"/>
      <c r="GGF31" s="71"/>
      <c r="GGG31" s="71"/>
      <c r="GGH31" s="71"/>
      <c r="GGI31" s="71"/>
      <c r="GGJ31" s="71"/>
      <c r="GGK31" s="71"/>
      <c r="GGL31" s="71"/>
      <c r="GGM31" s="71"/>
      <c r="GGN31" s="71"/>
      <c r="GGO31" s="71"/>
      <c r="GGP31" s="71"/>
      <c r="GGQ31" s="71"/>
      <c r="GGR31" s="71"/>
      <c r="GGS31" s="71"/>
      <c r="GGT31" s="71"/>
      <c r="GGU31" s="71"/>
      <c r="GGV31" s="71"/>
      <c r="GGW31" s="71"/>
      <c r="GGX31" s="71"/>
      <c r="GGY31" s="71"/>
      <c r="GGZ31" s="71"/>
      <c r="GHA31" s="71"/>
      <c r="GHB31" s="71"/>
      <c r="GHC31" s="71"/>
      <c r="GHD31" s="71"/>
      <c r="GHE31" s="71"/>
      <c r="GHF31" s="71"/>
      <c r="GHG31" s="71"/>
      <c r="GHH31" s="71"/>
      <c r="GHI31" s="71"/>
      <c r="GHJ31" s="71"/>
      <c r="GHK31" s="71"/>
      <c r="GHL31" s="71"/>
      <c r="GHM31" s="71"/>
      <c r="GHN31" s="71"/>
      <c r="GHO31" s="71"/>
      <c r="GHP31" s="71"/>
      <c r="GHQ31" s="71"/>
      <c r="GHR31" s="71"/>
      <c r="GHS31" s="71"/>
      <c r="GHT31" s="71"/>
      <c r="GHU31" s="71"/>
      <c r="GHV31" s="71"/>
      <c r="GHW31" s="71"/>
      <c r="GHX31" s="71"/>
      <c r="GHY31" s="71"/>
      <c r="GHZ31" s="71"/>
      <c r="GIA31" s="71"/>
      <c r="GIB31" s="71"/>
      <c r="GIC31" s="71"/>
      <c r="GID31" s="71"/>
      <c r="GIE31" s="71"/>
      <c r="GIF31" s="71"/>
      <c r="GIG31" s="71"/>
      <c r="GIH31" s="71"/>
      <c r="GII31" s="71"/>
      <c r="GIJ31" s="71"/>
      <c r="GIK31" s="71"/>
      <c r="GIL31" s="71"/>
      <c r="GIM31" s="71"/>
      <c r="GIN31" s="71"/>
      <c r="GIO31" s="71"/>
      <c r="GIP31" s="71"/>
      <c r="GIQ31" s="71"/>
      <c r="GIR31" s="71"/>
      <c r="GIS31" s="71"/>
      <c r="GIT31" s="71"/>
      <c r="GIU31" s="71"/>
      <c r="GIV31" s="71"/>
      <c r="GIW31" s="71"/>
      <c r="GIX31" s="71"/>
      <c r="GIY31" s="71"/>
      <c r="GIZ31" s="71"/>
      <c r="GJA31" s="71"/>
      <c r="GJB31" s="71"/>
      <c r="GJC31" s="71"/>
      <c r="GJD31" s="71"/>
      <c r="GJE31" s="71"/>
      <c r="GJF31" s="71"/>
      <c r="GJG31" s="71"/>
      <c r="GJH31" s="71"/>
      <c r="GJI31" s="71"/>
      <c r="GJJ31" s="71"/>
      <c r="GJK31" s="71"/>
      <c r="GJL31" s="71"/>
      <c r="GJM31" s="71"/>
      <c r="GJN31" s="71"/>
      <c r="GJO31" s="71"/>
      <c r="GJP31" s="71"/>
      <c r="GJQ31" s="71"/>
      <c r="GJR31" s="71"/>
      <c r="GJS31" s="71"/>
      <c r="GJT31" s="71"/>
      <c r="GJU31" s="71"/>
      <c r="GJV31" s="71"/>
      <c r="GJW31" s="71"/>
      <c r="GJX31" s="71"/>
      <c r="GJY31" s="71"/>
      <c r="GJZ31" s="71"/>
      <c r="GKA31" s="71"/>
      <c r="GKB31" s="71"/>
      <c r="GKC31" s="71"/>
      <c r="GKD31" s="71"/>
      <c r="GKE31" s="71"/>
      <c r="GKF31" s="71"/>
      <c r="GKG31" s="71"/>
      <c r="GKH31" s="71"/>
      <c r="GKI31" s="71"/>
      <c r="GKJ31" s="71"/>
      <c r="GKK31" s="71"/>
      <c r="GKL31" s="71"/>
      <c r="GKM31" s="71"/>
      <c r="GKN31" s="71"/>
      <c r="GKO31" s="71"/>
      <c r="GKP31" s="71"/>
      <c r="GKQ31" s="71"/>
      <c r="GKR31" s="71"/>
      <c r="GKS31" s="71"/>
      <c r="GKT31" s="71"/>
      <c r="GKU31" s="71"/>
      <c r="GKV31" s="71"/>
      <c r="GKW31" s="71"/>
      <c r="GKX31" s="71"/>
      <c r="GKY31" s="71"/>
      <c r="GKZ31" s="71"/>
      <c r="GLA31" s="71"/>
      <c r="GLB31" s="71"/>
      <c r="GLC31" s="71"/>
      <c r="GLD31" s="71"/>
      <c r="GLE31" s="71"/>
      <c r="GLF31" s="71"/>
      <c r="GLG31" s="71"/>
      <c r="GLH31" s="71"/>
      <c r="GLI31" s="71"/>
      <c r="GLJ31" s="71"/>
      <c r="GLK31" s="71"/>
      <c r="GLL31" s="71"/>
      <c r="GLM31" s="71"/>
      <c r="GLN31" s="71"/>
      <c r="GLO31" s="71"/>
      <c r="GLP31" s="71"/>
      <c r="GLQ31" s="71"/>
      <c r="GLR31" s="71"/>
      <c r="GLS31" s="71"/>
      <c r="GLT31" s="71"/>
      <c r="GLU31" s="71"/>
      <c r="GLV31" s="71"/>
      <c r="GLW31" s="71"/>
      <c r="GLX31" s="71"/>
      <c r="GLY31" s="71"/>
      <c r="GLZ31" s="71"/>
      <c r="GMA31" s="71"/>
      <c r="GMB31" s="71"/>
      <c r="GMC31" s="71"/>
      <c r="GMD31" s="71"/>
      <c r="GME31" s="71"/>
      <c r="GMF31" s="71"/>
      <c r="GMG31" s="71"/>
      <c r="GMH31" s="71"/>
      <c r="GMI31" s="71"/>
      <c r="GMJ31" s="71"/>
      <c r="GMK31" s="71"/>
      <c r="GML31" s="71"/>
      <c r="GMM31" s="71"/>
      <c r="GMN31" s="71"/>
      <c r="GMO31" s="71"/>
      <c r="GMP31" s="71"/>
      <c r="GMQ31" s="71"/>
      <c r="GMR31" s="71"/>
      <c r="GMS31" s="71"/>
      <c r="GMT31" s="71"/>
      <c r="GMU31" s="71"/>
      <c r="GMV31" s="71"/>
      <c r="GMW31" s="71"/>
      <c r="GMX31" s="71"/>
      <c r="GMY31" s="71"/>
      <c r="GMZ31" s="71"/>
      <c r="GNA31" s="71"/>
      <c r="GNB31" s="71"/>
      <c r="GNC31" s="71"/>
      <c r="GND31" s="71"/>
      <c r="GNE31" s="71"/>
      <c r="GNF31" s="71"/>
      <c r="GNG31" s="71"/>
      <c r="GNH31" s="71"/>
      <c r="GNI31" s="71"/>
      <c r="GNJ31" s="71"/>
      <c r="GNK31" s="71"/>
      <c r="GNL31" s="71"/>
      <c r="GNM31" s="71"/>
      <c r="GNN31" s="71"/>
      <c r="GNO31" s="71"/>
      <c r="GNP31" s="71"/>
      <c r="GNQ31" s="71"/>
      <c r="GNR31" s="71"/>
      <c r="GNS31" s="71"/>
      <c r="GNT31" s="71"/>
      <c r="GNU31" s="71"/>
      <c r="GNV31" s="71"/>
      <c r="GNW31" s="71"/>
      <c r="GNX31" s="71"/>
      <c r="GNY31" s="71"/>
      <c r="GNZ31" s="71"/>
      <c r="GOA31" s="71"/>
      <c r="GOB31" s="71"/>
      <c r="GOC31" s="71"/>
      <c r="GOD31" s="71"/>
      <c r="GOE31" s="71"/>
      <c r="GOF31" s="71"/>
      <c r="GOG31" s="71"/>
      <c r="GOH31" s="71"/>
      <c r="GOI31" s="71"/>
      <c r="GOJ31" s="71"/>
      <c r="GOK31" s="71"/>
      <c r="GOL31" s="71"/>
      <c r="GOM31" s="71"/>
      <c r="GON31" s="71"/>
      <c r="GOO31" s="71"/>
      <c r="GOP31" s="71"/>
      <c r="GOQ31" s="71"/>
      <c r="GOR31" s="71"/>
      <c r="GOS31" s="71"/>
      <c r="GOT31" s="71"/>
      <c r="GOU31" s="71"/>
      <c r="GOV31" s="71"/>
      <c r="GOW31" s="71"/>
      <c r="GOX31" s="71"/>
      <c r="GOY31" s="71"/>
      <c r="GOZ31" s="71"/>
      <c r="GPA31" s="71"/>
      <c r="GPB31" s="71"/>
      <c r="GPC31" s="71"/>
      <c r="GPD31" s="71"/>
      <c r="GPE31" s="71"/>
      <c r="GPF31" s="71"/>
      <c r="GPG31" s="71"/>
      <c r="GPH31" s="71"/>
      <c r="GPI31" s="71"/>
      <c r="GPJ31" s="71"/>
      <c r="GPK31" s="71"/>
      <c r="GPL31" s="71"/>
      <c r="GPM31" s="71"/>
      <c r="GPN31" s="71"/>
      <c r="GPO31" s="71"/>
      <c r="GPP31" s="71"/>
      <c r="GPQ31" s="71"/>
      <c r="GPR31" s="71"/>
      <c r="GPS31" s="71"/>
      <c r="GPT31" s="71"/>
      <c r="GPU31" s="71"/>
      <c r="GPV31" s="71"/>
      <c r="GPW31" s="71"/>
      <c r="GPX31" s="71"/>
      <c r="GPY31" s="71"/>
      <c r="GPZ31" s="71"/>
      <c r="GQA31" s="71"/>
      <c r="GQB31" s="71"/>
      <c r="GQC31" s="71"/>
      <c r="GQD31" s="71"/>
      <c r="GQE31" s="71"/>
      <c r="GQF31" s="71"/>
      <c r="GQG31" s="71"/>
      <c r="GQH31" s="71"/>
      <c r="GQI31" s="71"/>
      <c r="GQJ31" s="71"/>
      <c r="GQK31" s="71"/>
      <c r="GQL31" s="71"/>
      <c r="GQM31" s="71"/>
      <c r="GQN31" s="71"/>
      <c r="GQO31" s="71"/>
      <c r="GQP31" s="71"/>
      <c r="GQQ31" s="71"/>
      <c r="GQR31" s="71"/>
      <c r="GQS31" s="71"/>
      <c r="GQT31" s="71"/>
      <c r="GQU31" s="71"/>
      <c r="GQV31" s="71"/>
      <c r="GQW31" s="71"/>
      <c r="GQX31" s="71"/>
      <c r="GQY31" s="71"/>
      <c r="GQZ31" s="71"/>
      <c r="GRA31" s="71"/>
      <c r="GRB31" s="71"/>
      <c r="GRC31" s="71"/>
      <c r="GRD31" s="71"/>
      <c r="GRE31" s="71"/>
      <c r="GRF31" s="71"/>
      <c r="GRG31" s="71"/>
      <c r="GRH31" s="71"/>
      <c r="GRI31" s="71"/>
      <c r="GRJ31" s="71"/>
      <c r="GRK31" s="71"/>
      <c r="GRL31" s="71"/>
      <c r="GRM31" s="71"/>
      <c r="GRN31" s="71"/>
      <c r="GRO31" s="71"/>
      <c r="GRP31" s="71"/>
      <c r="GRQ31" s="71"/>
      <c r="GRR31" s="71"/>
      <c r="GRS31" s="71"/>
      <c r="GRT31" s="71"/>
      <c r="GRU31" s="71"/>
      <c r="GRV31" s="71"/>
      <c r="GRW31" s="71"/>
      <c r="GRX31" s="71"/>
      <c r="GRY31" s="71"/>
      <c r="GRZ31" s="71"/>
      <c r="GSA31" s="71"/>
      <c r="GSB31" s="71"/>
      <c r="GSC31" s="71"/>
      <c r="GSD31" s="71"/>
      <c r="GSE31" s="71"/>
      <c r="GSF31" s="71"/>
      <c r="GSG31" s="71"/>
      <c r="GSH31" s="71"/>
      <c r="GSI31" s="71"/>
      <c r="GSJ31" s="71"/>
      <c r="GSK31" s="71"/>
      <c r="GSL31" s="71"/>
      <c r="GSM31" s="71"/>
      <c r="GSN31" s="71"/>
      <c r="GSO31" s="71"/>
      <c r="GSP31" s="71"/>
      <c r="GSQ31" s="71"/>
      <c r="GSR31" s="71"/>
      <c r="GSS31" s="71"/>
      <c r="GST31" s="71"/>
      <c r="GSU31" s="71"/>
      <c r="GSV31" s="71"/>
      <c r="GSW31" s="71"/>
      <c r="GSX31" s="71"/>
      <c r="GSY31" s="71"/>
      <c r="GSZ31" s="71"/>
      <c r="GTA31" s="71"/>
      <c r="GTB31" s="71"/>
      <c r="GTC31" s="71"/>
      <c r="GTD31" s="71"/>
      <c r="GTE31" s="71"/>
      <c r="GTF31" s="71"/>
      <c r="GTG31" s="71"/>
      <c r="GTH31" s="71"/>
      <c r="GTI31" s="71"/>
      <c r="GTJ31" s="71"/>
      <c r="GTK31" s="71"/>
      <c r="GTL31" s="71"/>
      <c r="GTM31" s="71"/>
      <c r="GTN31" s="71"/>
      <c r="GTO31" s="71"/>
      <c r="GTP31" s="71"/>
      <c r="GTQ31" s="71"/>
      <c r="GTR31" s="71"/>
      <c r="GTS31" s="71"/>
      <c r="GTT31" s="71"/>
      <c r="GTU31" s="71"/>
      <c r="GTV31" s="71"/>
      <c r="GTW31" s="71"/>
      <c r="GTX31" s="71"/>
      <c r="GTY31" s="71"/>
      <c r="GTZ31" s="71"/>
      <c r="GUA31" s="71"/>
      <c r="GUB31" s="71"/>
      <c r="GUC31" s="71"/>
      <c r="GUD31" s="71"/>
      <c r="GUE31" s="71"/>
      <c r="GUF31" s="71"/>
      <c r="GUG31" s="71"/>
      <c r="GUH31" s="71"/>
      <c r="GUI31" s="71"/>
      <c r="GUJ31" s="71"/>
      <c r="GUK31" s="71"/>
      <c r="GUL31" s="71"/>
      <c r="GUM31" s="71"/>
      <c r="GUN31" s="71"/>
      <c r="GUO31" s="71"/>
      <c r="GUP31" s="71"/>
      <c r="GUQ31" s="71"/>
      <c r="GUR31" s="71"/>
      <c r="GUS31" s="71"/>
      <c r="GUT31" s="71"/>
      <c r="GUU31" s="71"/>
      <c r="GUV31" s="71"/>
      <c r="GUW31" s="71"/>
      <c r="GUX31" s="71"/>
      <c r="GUY31" s="71"/>
      <c r="GUZ31" s="71"/>
      <c r="GVA31" s="71"/>
      <c r="GVB31" s="71"/>
      <c r="GVC31" s="71"/>
      <c r="GVD31" s="71"/>
      <c r="GVE31" s="71"/>
      <c r="GVF31" s="71"/>
      <c r="GVG31" s="71"/>
      <c r="GVH31" s="71"/>
      <c r="GVI31" s="71"/>
      <c r="GVJ31" s="71"/>
      <c r="GVK31" s="71"/>
      <c r="GVL31" s="71"/>
      <c r="GVM31" s="71"/>
      <c r="GVN31" s="71"/>
      <c r="GVO31" s="71"/>
      <c r="GVP31" s="71"/>
      <c r="GVQ31" s="71"/>
      <c r="GVR31" s="71"/>
      <c r="GVS31" s="71"/>
      <c r="GVT31" s="71"/>
      <c r="GVU31" s="71"/>
      <c r="GVV31" s="71"/>
      <c r="GVW31" s="71"/>
      <c r="GVX31" s="71"/>
      <c r="GVY31" s="71"/>
      <c r="GVZ31" s="71"/>
      <c r="GWA31" s="71"/>
      <c r="GWB31" s="71"/>
      <c r="GWC31" s="71"/>
      <c r="GWD31" s="71"/>
      <c r="GWE31" s="71"/>
      <c r="GWF31" s="71"/>
      <c r="GWG31" s="71"/>
      <c r="GWH31" s="71"/>
      <c r="GWI31" s="71"/>
      <c r="GWJ31" s="71"/>
      <c r="GWK31" s="71"/>
      <c r="GWL31" s="71"/>
      <c r="GWM31" s="71"/>
      <c r="GWN31" s="71"/>
      <c r="GWO31" s="71"/>
      <c r="GWP31" s="71"/>
      <c r="GWQ31" s="71"/>
      <c r="GWR31" s="71"/>
      <c r="GWS31" s="71"/>
      <c r="GWT31" s="71"/>
      <c r="GWU31" s="71"/>
      <c r="GWV31" s="71"/>
      <c r="GWW31" s="71"/>
      <c r="GWX31" s="71"/>
      <c r="GWY31" s="71"/>
      <c r="GWZ31" s="71"/>
      <c r="GXA31" s="71"/>
      <c r="GXB31" s="71"/>
      <c r="GXC31" s="71"/>
      <c r="GXD31" s="71"/>
      <c r="GXE31" s="71"/>
      <c r="GXF31" s="71"/>
      <c r="GXG31" s="71"/>
      <c r="GXH31" s="71"/>
      <c r="GXI31" s="71"/>
      <c r="GXJ31" s="71"/>
      <c r="GXK31" s="71"/>
      <c r="GXL31" s="71"/>
      <c r="GXM31" s="71"/>
      <c r="GXN31" s="71"/>
      <c r="GXO31" s="71"/>
      <c r="GXP31" s="71"/>
      <c r="GXQ31" s="71"/>
      <c r="GXR31" s="71"/>
      <c r="GXS31" s="71"/>
      <c r="GXT31" s="71"/>
      <c r="GXU31" s="71"/>
      <c r="GXV31" s="71"/>
      <c r="GXW31" s="71"/>
      <c r="GXX31" s="71"/>
      <c r="GXY31" s="71"/>
      <c r="GXZ31" s="71"/>
      <c r="GYA31" s="71"/>
      <c r="GYB31" s="71"/>
      <c r="GYC31" s="71"/>
      <c r="GYD31" s="71"/>
      <c r="GYE31" s="71"/>
      <c r="GYF31" s="71"/>
      <c r="GYG31" s="71"/>
      <c r="GYH31" s="71"/>
      <c r="GYI31" s="71"/>
      <c r="GYJ31" s="71"/>
      <c r="GYK31" s="71"/>
      <c r="GYL31" s="71"/>
      <c r="GYM31" s="71"/>
      <c r="GYN31" s="71"/>
      <c r="GYO31" s="71"/>
      <c r="GYP31" s="71"/>
      <c r="GYQ31" s="71"/>
      <c r="GYR31" s="71"/>
      <c r="GYS31" s="71"/>
      <c r="GYT31" s="71"/>
      <c r="GYU31" s="71"/>
      <c r="GYV31" s="71"/>
      <c r="GYW31" s="71"/>
      <c r="GYX31" s="71"/>
      <c r="GYY31" s="71"/>
      <c r="GYZ31" s="71"/>
      <c r="GZA31" s="71"/>
      <c r="GZB31" s="71"/>
      <c r="GZC31" s="71"/>
      <c r="GZD31" s="71"/>
      <c r="GZE31" s="71"/>
      <c r="GZF31" s="71"/>
      <c r="GZG31" s="71"/>
      <c r="GZH31" s="71"/>
      <c r="GZI31" s="71"/>
      <c r="GZJ31" s="71"/>
      <c r="GZK31" s="71"/>
      <c r="GZL31" s="71"/>
      <c r="GZM31" s="71"/>
      <c r="GZN31" s="71"/>
      <c r="GZO31" s="71"/>
      <c r="GZP31" s="71"/>
      <c r="GZQ31" s="71"/>
      <c r="GZR31" s="71"/>
      <c r="GZS31" s="71"/>
      <c r="GZT31" s="71"/>
      <c r="GZU31" s="71"/>
      <c r="GZV31" s="71"/>
      <c r="GZW31" s="71"/>
      <c r="GZX31" s="71"/>
      <c r="GZY31" s="71"/>
      <c r="GZZ31" s="71"/>
      <c r="HAA31" s="71"/>
      <c r="HAB31" s="71"/>
      <c r="HAC31" s="71"/>
      <c r="HAD31" s="71"/>
      <c r="HAE31" s="71"/>
      <c r="HAF31" s="71"/>
      <c r="HAG31" s="71"/>
      <c r="HAH31" s="71"/>
      <c r="HAI31" s="71"/>
      <c r="HAJ31" s="71"/>
      <c r="HAK31" s="71"/>
      <c r="HAL31" s="71"/>
      <c r="HAM31" s="71"/>
      <c r="HAN31" s="71"/>
      <c r="HAO31" s="71"/>
      <c r="HAP31" s="71"/>
      <c r="HAQ31" s="71"/>
      <c r="HAR31" s="71"/>
      <c r="HAS31" s="71"/>
      <c r="HAT31" s="71"/>
      <c r="HAU31" s="71"/>
      <c r="HAV31" s="71"/>
      <c r="HAW31" s="71"/>
      <c r="HAX31" s="71"/>
      <c r="HAY31" s="71"/>
      <c r="HAZ31" s="71"/>
      <c r="HBA31" s="71"/>
      <c r="HBB31" s="71"/>
      <c r="HBC31" s="71"/>
      <c r="HBD31" s="71"/>
      <c r="HBE31" s="71"/>
      <c r="HBF31" s="71"/>
      <c r="HBG31" s="71"/>
      <c r="HBH31" s="71"/>
      <c r="HBI31" s="71"/>
      <c r="HBJ31" s="71"/>
      <c r="HBK31" s="71"/>
      <c r="HBL31" s="71"/>
      <c r="HBM31" s="71"/>
      <c r="HBN31" s="71"/>
      <c r="HBO31" s="71"/>
      <c r="HBP31" s="71"/>
      <c r="HBQ31" s="71"/>
      <c r="HBR31" s="71"/>
      <c r="HBS31" s="71"/>
      <c r="HBT31" s="71"/>
      <c r="HBU31" s="71"/>
      <c r="HBV31" s="71"/>
      <c r="HBW31" s="71"/>
      <c r="HBX31" s="71"/>
      <c r="HBY31" s="71"/>
      <c r="HBZ31" s="71"/>
      <c r="HCA31" s="71"/>
      <c r="HCB31" s="71"/>
      <c r="HCC31" s="71"/>
      <c r="HCD31" s="71"/>
      <c r="HCE31" s="71"/>
      <c r="HCF31" s="71"/>
      <c r="HCG31" s="71"/>
      <c r="HCH31" s="71"/>
      <c r="HCI31" s="71"/>
      <c r="HCJ31" s="71"/>
      <c r="HCK31" s="71"/>
      <c r="HCL31" s="71"/>
      <c r="HCM31" s="71"/>
      <c r="HCN31" s="71"/>
      <c r="HCO31" s="71"/>
      <c r="HCP31" s="71"/>
      <c r="HCQ31" s="71"/>
      <c r="HCR31" s="71"/>
      <c r="HCS31" s="71"/>
      <c r="HCT31" s="71"/>
      <c r="HCU31" s="71"/>
      <c r="HCV31" s="71"/>
      <c r="HCW31" s="71"/>
      <c r="HCX31" s="71"/>
      <c r="HCY31" s="71"/>
      <c r="HCZ31" s="71"/>
      <c r="HDA31" s="71"/>
      <c r="HDB31" s="71"/>
      <c r="HDC31" s="71"/>
      <c r="HDD31" s="71"/>
      <c r="HDE31" s="71"/>
      <c r="HDF31" s="71"/>
      <c r="HDG31" s="71"/>
      <c r="HDH31" s="71"/>
      <c r="HDI31" s="71"/>
      <c r="HDJ31" s="71"/>
      <c r="HDK31" s="71"/>
      <c r="HDL31" s="71"/>
      <c r="HDM31" s="71"/>
      <c r="HDN31" s="71"/>
      <c r="HDO31" s="71"/>
      <c r="HDP31" s="71"/>
      <c r="HDQ31" s="71"/>
      <c r="HDR31" s="71"/>
      <c r="HDS31" s="71"/>
      <c r="HDT31" s="71"/>
      <c r="HDU31" s="71"/>
      <c r="HDV31" s="71"/>
      <c r="HDW31" s="71"/>
      <c r="HDX31" s="71"/>
      <c r="HDY31" s="71"/>
      <c r="HDZ31" s="71"/>
      <c r="HEA31" s="71"/>
      <c r="HEB31" s="71"/>
      <c r="HEC31" s="71"/>
      <c r="HED31" s="71"/>
      <c r="HEE31" s="71"/>
      <c r="HEF31" s="71"/>
      <c r="HEG31" s="71"/>
      <c r="HEH31" s="71"/>
      <c r="HEI31" s="71"/>
      <c r="HEJ31" s="71"/>
      <c r="HEK31" s="71"/>
      <c r="HEL31" s="71"/>
      <c r="HEM31" s="71"/>
      <c r="HEN31" s="71"/>
      <c r="HEO31" s="71"/>
      <c r="HEP31" s="71"/>
      <c r="HEQ31" s="71"/>
      <c r="HER31" s="71"/>
      <c r="HES31" s="71"/>
      <c r="HET31" s="71"/>
      <c r="HEU31" s="71"/>
      <c r="HEV31" s="71"/>
      <c r="HEW31" s="71"/>
      <c r="HEX31" s="71"/>
      <c r="HEY31" s="71"/>
      <c r="HEZ31" s="71"/>
      <c r="HFA31" s="71"/>
      <c r="HFB31" s="71"/>
      <c r="HFC31" s="71"/>
      <c r="HFD31" s="71"/>
      <c r="HFE31" s="71"/>
      <c r="HFF31" s="71"/>
      <c r="HFG31" s="71"/>
      <c r="HFH31" s="71"/>
      <c r="HFI31" s="71"/>
      <c r="HFJ31" s="71"/>
      <c r="HFK31" s="71"/>
      <c r="HFL31" s="71"/>
      <c r="HFM31" s="71"/>
      <c r="HFN31" s="71"/>
      <c r="HFO31" s="71"/>
      <c r="HFP31" s="71"/>
      <c r="HFQ31" s="71"/>
      <c r="HFR31" s="71"/>
      <c r="HFS31" s="71"/>
      <c r="HFT31" s="71"/>
      <c r="HFU31" s="71"/>
      <c r="HFV31" s="71"/>
      <c r="HFW31" s="71"/>
      <c r="HFX31" s="71"/>
      <c r="HFY31" s="71"/>
      <c r="HFZ31" s="71"/>
      <c r="HGA31" s="71"/>
      <c r="HGB31" s="71"/>
      <c r="HGC31" s="71"/>
      <c r="HGD31" s="71"/>
      <c r="HGE31" s="71"/>
      <c r="HGF31" s="71"/>
      <c r="HGG31" s="71"/>
      <c r="HGH31" s="71"/>
      <c r="HGI31" s="71"/>
      <c r="HGJ31" s="71"/>
      <c r="HGK31" s="71"/>
      <c r="HGL31" s="71"/>
      <c r="HGM31" s="71"/>
      <c r="HGN31" s="71"/>
      <c r="HGO31" s="71"/>
      <c r="HGP31" s="71"/>
      <c r="HGQ31" s="71"/>
      <c r="HGR31" s="71"/>
      <c r="HGS31" s="71"/>
      <c r="HGT31" s="71"/>
      <c r="HGU31" s="71"/>
      <c r="HGV31" s="71"/>
      <c r="HGW31" s="71"/>
      <c r="HGX31" s="71"/>
      <c r="HGY31" s="71"/>
      <c r="HGZ31" s="71"/>
      <c r="HHA31" s="71"/>
      <c r="HHB31" s="71"/>
      <c r="HHC31" s="71"/>
      <c r="HHD31" s="71"/>
      <c r="HHE31" s="71"/>
      <c r="HHF31" s="71"/>
      <c r="HHG31" s="71"/>
      <c r="HHH31" s="71"/>
      <c r="HHI31" s="71"/>
      <c r="HHJ31" s="71"/>
      <c r="HHK31" s="71"/>
      <c r="HHL31" s="71"/>
      <c r="HHM31" s="71"/>
      <c r="HHN31" s="71"/>
      <c r="HHO31" s="71"/>
      <c r="HHP31" s="71"/>
      <c r="HHQ31" s="71"/>
      <c r="HHR31" s="71"/>
      <c r="HHS31" s="71"/>
      <c r="HHT31" s="71"/>
      <c r="HHU31" s="71"/>
      <c r="HHV31" s="71"/>
      <c r="HHW31" s="71"/>
      <c r="HHX31" s="71"/>
      <c r="HHY31" s="71"/>
      <c r="HHZ31" s="71"/>
      <c r="HIA31" s="71"/>
      <c r="HIB31" s="71"/>
      <c r="HIC31" s="71"/>
      <c r="HID31" s="71"/>
      <c r="HIE31" s="71"/>
      <c r="HIF31" s="71"/>
      <c r="HIG31" s="71"/>
      <c r="HIH31" s="71"/>
      <c r="HII31" s="71"/>
      <c r="HIJ31" s="71"/>
      <c r="HIK31" s="71"/>
      <c r="HIL31" s="71"/>
      <c r="HIM31" s="71"/>
      <c r="HIN31" s="71"/>
      <c r="HIO31" s="71"/>
      <c r="HIP31" s="71"/>
      <c r="HIQ31" s="71"/>
      <c r="HIR31" s="71"/>
      <c r="HIS31" s="71"/>
      <c r="HIT31" s="71"/>
      <c r="HIU31" s="71"/>
      <c r="HIV31" s="71"/>
      <c r="HIW31" s="71"/>
      <c r="HIX31" s="71"/>
      <c r="HIY31" s="71"/>
      <c r="HIZ31" s="71"/>
      <c r="HJA31" s="71"/>
      <c r="HJB31" s="71"/>
      <c r="HJC31" s="71"/>
      <c r="HJD31" s="71"/>
      <c r="HJE31" s="71"/>
      <c r="HJF31" s="71"/>
      <c r="HJG31" s="71"/>
      <c r="HJH31" s="71"/>
      <c r="HJI31" s="71"/>
      <c r="HJJ31" s="71"/>
      <c r="HJK31" s="71"/>
      <c r="HJL31" s="71"/>
      <c r="HJM31" s="71"/>
      <c r="HJN31" s="71"/>
      <c r="HJO31" s="71"/>
      <c r="HJP31" s="71"/>
      <c r="HJQ31" s="71"/>
      <c r="HJR31" s="71"/>
      <c r="HJS31" s="71"/>
      <c r="HJT31" s="71"/>
      <c r="HJU31" s="71"/>
      <c r="HJV31" s="71"/>
      <c r="HJW31" s="71"/>
      <c r="HJX31" s="71"/>
      <c r="HJY31" s="71"/>
      <c r="HJZ31" s="71"/>
      <c r="HKA31" s="71"/>
      <c r="HKB31" s="71"/>
      <c r="HKC31" s="71"/>
      <c r="HKD31" s="71"/>
      <c r="HKE31" s="71"/>
      <c r="HKF31" s="71"/>
      <c r="HKG31" s="71"/>
      <c r="HKH31" s="71"/>
      <c r="HKI31" s="71"/>
      <c r="HKJ31" s="71"/>
      <c r="HKK31" s="71"/>
      <c r="HKL31" s="71"/>
      <c r="HKM31" s="71"/>
      <c r="HKN31" s="71"/>
      <c r="HKO31" s="71"/>
      <c r="HKP31" s="71"/>
      <c r="HKQ31" s="71"/>
      <c r="HKR31" s="71"/>
      <c r="HKS31" s="71"/>
      <c r="HKT31" s="71"/>
      <c r="HKU31" s="71"/>
      <c r="HKV31" s="71"/>
      <c r="HKW31" s="71"/>
      <c r="HKX31" s="71"/>
      <c r="HKY31" s="71"/>
      <c r="HKZ31" s="71"/>
      <c r="HLA31" s="71"/>
      <c r="HLB31" s="71"/>
      <c r="HLC31" s="71"/>
      <c r="HLD31" s="71"/>
      <c r="HLE31" s="71"/>
      <c r="HLF31" s="71"/>
      <c r="HLG31" s="71"/>
      <c r="HLH31" s="71"/>
      <c r="HLI31" s="71"/>
      <c r="HLJ31" s="71"/>
      <c r="HLK31" s="71"/>
      <c r="HLL31" s="71"/>
      <c r="HLM31" s="71"/>
      <c r="HLN31" s="71"/>
      <c r="HLO31" s="71"/>
      <c r="HLP31" s="71"/>
      <c r="HLQ31" s="71"/>
      <c r="HLR31" s="71"/>
      <c r="HLS31" s="71"/>
      <c r="HLT31" s="71"/>
      <c r="HLU31" s="71"/>
      <c r="HLV31" s="71"/>
      <c r="HLW31" s="71"/>
      <c r="HLX31" s="71"/>
      <c r="HLY31" s="71"/>
      <c r="HLZ31" s="71"/>
      <c r="HMA31" s="71"/>
      <c r="HMB31" s="71"/>
      <c r="HMC31" s="71"/>
      <c r="HMD31" s="71"/>
      <c r="HME31" s="71"/>
      <c r="HMF31" s="71"/>
      <c r="HMG31" s="71"/>
      <c r="HMH31" s="71"/>
      <c r="HMI31" s="71"/>
      <c r="HMJ31" s="71"/>
      <c r="HMK31" s="71"/>
      <c r="HML31" s="71"/>
      <c r="HMM31" s="71"/>
      <c r="HMN31" s="71"/>
      <c r="HMO31" s="71"/>
      <c r="HMP31" s="71"/>
      <c r="HMQ31" s="71"/>
      <c r="HMR31" s="71"/>
      <c r="HMS31" s="71"/>
      <c r="HMT31" s="71"/>
      <c r="HMU31" s="71"/>
      <c r="HMV31" s="71"/>
      <c r="HMW31" s="71"/>
      <c r="HMX31" s="71"/>
      <c r="HMY31" s="71"/>
      <c r="HMZ31" s="71"/>
      <c r="HNA31" s="71"/>
      <c r="HNB31" s="71"/>
      <c r="HNC31" s="71"/>
      <c r="HND31" s="71"/>
      <c r="HNE31" s="71"/>
      <c r="HNF31" s="71"/>
      <c r="HNG31" s="71"/>
      <c r="HNH31" s="71"/>
      <c r="HNI31" s="71"/>
      <c r="HNJ31" s="71"/>
      <c r="HNK31" s="71"/>
      <c r="HNL31" s="71"/>
      <c r="HNM31" s="71"/>
      <c r="HNN31" s="71"/>
      <c r="HNO31" s="71"/>
      <c r="HNP31" s="71"/>
      <c r="HNQ31" s="71"/>
      <c r="HNR31" s="71"/>
      <c r="HNS31" s="71"/>
      <c r="HNT31" s="71"/>
      <c r="HNU31" s="71"/>
      <c r="HNV31" s="71"/>
      <c r="HNW31" s="71"/>
      <c r="HNX31" s="71"/>
      <c r="HNY31" s="71"/>
      <c r="HNZ31" s="71"/>
      <c r="HOA31" s="71"/>
      <c r="HOB31" s="71"/>
      <c r="HOC31" s="71"/>
      <c r="HOD31" s="71"/>
      <c r="HOE31" s="71"/>
      <c r="HOF31" s="71"/>
      <c r="HOG31" s="71"/>
      <c r="HOH31" s="71"/>
      <c r="HOI31" s="71"/>
      <c r="HOJ31" s="71"/>
      <c r="HOK31" s="71"/>
      <c r="HOL31" s="71"/>
      <c r="HOM31" s="71"/>
      <c r="HON31" s="71"/>
      <c r="HOO31" s="71"/>
      <c r="HOP31" s="71"/>
      <c r="HOQ31" s="71"/>
      <c r="HOR31" s="71"/>
      <c r="HOS31" s="71"/>
      <c r="HOT31" s="71"/>
      <c r="HOU31" s="71"/>
      <c r="HOV31" s="71"/>
      <c r="HOW31" s="71"/>
      <c r="HOX31" s="71"/>
      <c r="HOY31" s="71"/>
      <c r="HOZ31" s="71"/>
      <c r="HPA31" s="71"/>
      <c r="HPB31" s="71"/>
      <c r="HPC31" s="71"/>
      <c r="HPD31" s="71"/>
      <c r="HPE31" s="71"/>
      <c r="HPF31" s="71"/>
      <c r="HPG31" s="71"/>
      <c r="HPH31" s="71"/>
      <c r="HPI31" s="71"/>
      <c r="HPJ31" s="71"/>
      <c r="HPK31" s="71"/>
      <c r="HPL31" s="71"/>
      <c r="HPM31" s="71"/>
      <c r="HPN31" s="71"/>
      <c r="HPO31" s="71"/>
      <c r="HPP31" s="71"/>
      <c r="HPQ31" s="71"/>
      <c r="HPR31" s="71"/>
      <c r="HPS31" s="71"/>
      <c r="HPT31" s="71"/>
      <c r="HPU31" s="71"/>
      <c r="HPV31" s="71"/>
      <c r="HPW31" s="71"/>
      <c r="HPX31" s="71"/>
      <c r="HPY31" s="71"/>
      <c r="HPZ31" s="71"/>
      <c r="HQA31" s="71"/>
      <c r="HQB31" s="71"/>
      <c r="HQC31" s="71"/>
      <c r="HQD31" s="71"/>
      <c r="HQE31" s="71"/>
      <c r="HQF31" s="71"/>
      <c r="HQG31" s="71"/>
      <c r="HQH31" s="71"/>
      <c r="HQI31" s="71"/>
      <c r="HQJ31" s="71"/>
      <c r="HQK31" s="71"/>
      <c r="HQL31" s="71"/>
      <c r="HQM31" s="71"/>
      <c r="HQN31" s="71"/>
      <c r="HQO31" s="71"/>
      <c r="HQP31" s="71"/>
      <c r="HQQ31" s="71"/>
      <c r="HQR31" s="71"/>
      <c r="HQS31" s="71"/>
      <c r="HQT31" s="71"/>
      <c r="HQU31" s="71"/>
      <c r="HQV31" s="71"/>
      <c r="HQW31" s="71"/>
      <c r="HQX31" s="71"/>
      <c r="HQY31" s="71"/>
      <c r="HQZ31" s="71"/>
      <c r="HRA31" s="71"/>
      <c r="HRB31" s="71"/>
      <c r="HRC31" s="71"/>
      <c r="HRD31" s="71"/>
      <c r="HRE31" s="71"/>
      <c r="HRF31" s="71"/>
      <c r="HRG31" s="71"/>
      <c r="HRH31" s="71"/>
      <c r="HRI31" s="71"/>
      <c r="HRJ31" s="71"/>
      <c r="HRK31" s="71"/>
      <c r="HRL31" s="71"/>
      <c r="HRM31" s="71"/>
      <c r="HRN31" s="71"/>
      <c r="HRO31" s="71"/>
      <c r="HRP31" s="71"/>
      <c r="HRQ31" s="71"/>
      <c r="HRR31" s="71"/>
      <c r="HRS31" s="71"/>
      <c r="HRT31" s="71"/>
      <c r="HRU31" s="71"/>
      <c r="HRV31" s="71"/>
      <c r="HRW31" s="71"/>
      <c r="HRX31" s="71"/>
      <c r="HRY31" s="71"/>
      <c r="HRZ31" s="71"/>
      <c r="HSA31" s="71"/>
      <c r="HSB31" s="71"/>
      <c r="HSC31" s="71"/>
      <c r="HSD31" s="71"/>
      <c r="HSE31" s="71"/>
      <c r="HSF31" s="71"/>
      <c r="HSG31" s="71"/>
      <c r="HSH31" s="71"/>
      <c r="HSI31" s="71"/>
      <c r="HSJ31" s="71"/>
      <c r="HSK31" s="71"/>
      <c r="HSL31" s="71"/>
      <c r="HSM31" s="71"/>
      <c r="HSN31" s="71"/>
      <c r="HSO31" s="71"/>
      <c r="HSP31" s="71"/>
      <c r="HSQ31" s="71"/>
      <c r="HSR31" s="71"/>
      <c r="HSS31" s="71"/>
      <c r="HST31" s="71"/>
      <c r="HSU31" s="71"/>
      <c r="HSV31" s="71"/>
      <c r="HSW31" s="71"/>
      <c r="HSX31" s="71"/>
      <c r="HSY31" s="71"/>
      <c r="HSZ31" s="71"/>
      <c r="HTA31" s="71"/>
      <c r="HTB31" s="71"/>
      <c r="HTC31" s="71"/>
      <c r="HTD31" s="71"/>
      <c r="HTE31" s="71"/>
      <c r="HTF31" s="71"/>
      <c r="HTG31" s="71"/>
      <c r="HTH31" s="71"/>
      <c r="HTI31" s="71"/>
      <c r="HTJ31" s="71"/>
      <c r="HTK31" s="71"/>
      <c r="HTL31" s="71"/>
      <c r="HTM31" s="71"/>
      <c r="HTN31" s="71"/>
      <c r="HTO31" s="71"/>
      <c r="HTP31" s="71"/>
      <c r="HTQ31" s="71"/>
      <c r="HTR31" s="71"/>
      <c r="HTS31" s="71"/>
      <c r="HTT31" s="71"/>
      <c r="HTU31" s="71"/>
      <c r="HTV31" s="71"/>
      <c r="HTW31" s="71"/>
      <c r="HTX31" s="71"/>
      <c r="HTY31" s="71"/>
      <c r="HTZ31" s="71"/>
      <c r="HUA31" s="71"/>
      <c r="HUB31" s="71"/>
      <c r="HUC31" s="71"/>
      <c r="HUD31" s="71"/>
      <c r="HUE31" s="71"/>
      <c r="HUF31" s="71"/>
      <c r="HUG31" s="71"/>
      <c r="HUH31" s="71"/>
      <c r="HUI31" s="71"/>
      <c r="HUJ31" s="71"/>
      <c r="HUK31" s="71"/>
      <c r="HUL31" s="71"/>
      <c r="HUM31" s="71"/>
      <c r="HUN31" s="71"/>
      <c r="HUO31" s="71"/>
      <c r="HUP31" s="71"/>
      <c r="HUQ31" s="71"/>
      <c r="HUR31" s="71"/>
      <c r="HUS31" s="71"/>
      <c r="HUT31" s="71"/>
      <c r="HUU31" s="71"/>
      <c r="HUV31" s="71"/>
      <c r="HUW31" s="71"/>
      <c r="HUX31" s="71"/>
      <c r="HUY31" s="71"/>
      <c r="HUZ31" s="71"/>
      <c r="HVA31" s="71"/>
      <c r="HVB31" s="71"/>
      <c r="HVC31" s="71"/>
      <c r="HVD31" s="71"/>
      <c r="HVE31" s="71"/>
      <c r="HVF31" s="71"/>
      <c r="HVG31" s="71"/>
      <c r="HVH31" s="71"/>
      <c r="HVI31" s="71"/>
      <c r="HVJ31" s="71"/>
      <c r="HVK31" s="71"/>
      <c r="HVL31" s="71"/>
      <c r="HVM31" s="71"/>
      <c r="HVN31" s="71"/>
      <c r="HVO31" s="71"/>
      <c r="HVP31" s="71"/>
      <c r="HVQ31" s="71"/>
      <c r="HVR31" s="71"/>
      <c r="HVS31" s="71"/>
      <c r="HVT31" s="71"/>
      <c r="HVU31" s="71"/>
      <c r="HVV31" s="71"/>
      <c r="HVW31" s="71"/>
      <c r="HVX31" s="71"/>
      <c r="HVY31" s="71"/>
      <c r="HVZ31" s="71"/>
      <c r="HWA31" s="71"/>
      <c r="HWB31" s="71"/>
      <c r="HWC31" s="71"/>
      <c r="HWD31" s="71"/>
      <c r="HWE31" s="71"/>
      <c r="HWF31" s="71"/>
      <c r="HWG31" s="71"/>
      <c r="HWH31" s="71"/>
      <c r="HWI31" s="71"/>
      <c r="HWJ31" s="71"/>
      <c r="HWK31" s="71"/>
      <c r="HWL31" s="71"/>
      <c r="HWM31" s="71"/>
      <c r="HWN31" s="71"/>
      <c r="HWO31" s="71"/>
      <c r="HWP31" s="71"/>
      <c r="HWQ31" s="71"/>
      <c r="HWR31" s="71"/>
      <c r="HWS31" s="71"/>
      <c r="HWT31" s="71"/>
      <c r="HWU31" s="71"/>
      <c r="HWV31" s="71"/>
      <c r="HWW31" s="71"/>
      <c r="HWX31" s="71"/>
      <c r="HWY31" s="71"/>
      <c r="HWZ31" s="71"/>
      <c r="HXA31" s="71"/>
      <c r="HXB31" s="71"/>
      <c r="HXC31" s="71"/>
      <c r="HXD31" s="71"/>
      <c r="HXE31" s="71"/>
      <c r="HXF31" s="71"/>
      <c r="HXG31" s="71"/>
      <c r="HXH31" s="71"/>
      <c r="HXI31" s="71"/>
      <c r="HXJ31" s="71"/>
      <c r="HXK31" s="71"/>
      <c r="HXL31" s="71"/>
      <c r="HXM31" s="71"/>
      <c r="HXN31" s="71"/>
      <c r="HXO31" s="71"/>
      <c r="HXP31" s="71"/>
      <c r="HXQ31" s="71"/>
      <c r="HXR31" s="71"/>
      <c r="HXS31" s="71"/>
      <c r="HXT31" s="71"/>
      <c r="HXU31" s="71"/>
      <c r="HXV31" s="71"/>
      <c r="HXW31" s="71"/>
      <c r="HXX31" s="71"/>
      <c r="HXY31" s="71"/>
      <c r="HXZ31" s="71"/>
      <c r="HYA31" s="71"/>
      <c r="HYB31" s="71"/>
      <c r="HYC31" s="71"/>
      <c r="HYD31" s="71"/>
      <c r="HYE31" s="71"/>
      <c r="HYF31" s="71"/>
      <c r="HYG31" s="71"/>
      <c r="HYH31" s="71"/>
      <c r="HYI31" s="71"/>
      <c r="HYJ31" s="71"/>
      <c r="HYK31" s="71"/>
      <c r="HYL31" s="71"/>
      <c r="HYM31" s="71"/>
      <c r="HYN31" s="71"/>
      <c r="HYO31" s="71"/>
      <c r="HYP31" s="71"/>
      <c r="HYQ31" s="71"/>
      <c r="HYR31" s="71"/>
      <c r="HYS31" s="71"/>
      <c r="HYT31" s="71"/>
      <c r="HYU31" s="71"/>
      <c r="HYV31" s="71"/>
      <c r="HYW31" s="71"/>
      <c r="HYX31" s="71"/>
      <c r="HYY31" s="71"/>
      <c r="HYZ31" s="71"/>
      <c r="HZA31" s="71"/>
      <c r="HZB31" s="71"/>
      <c r="HZC31" s="71"/>
      <c r="HZD31" s="71"/>
      <c r="HZE31" s="71"/>
      <c r="HZF31" s="71"/>
      <c r="HZG31" s="71"/>
      <c r="HZH31" s="71"/>
      <c r="HZI31" s="71"/>
      <c r="HZJ31" s="71"/>
      <c r="HZK31" s="71"/>
      <c r="HZL31" s="71"/>
      <c r="HZM31" s="71"/>
      <c r="HZN31" s="71"/>
      <c r="HZO31" s="71"/>
      <c r="HZP31" s="71"/>
      <c r="HZQ31" s="71"/>
      <c r="HZR31" s="71"/>
      <c r="HZS31" s="71"/>
      <c r="HZT31" s="71"/>
      <c r="HZU31" s="71"/>
      <c r="HZV31" s="71"/>
      <c r="HZW31" s="71"/>
      <c r="HZX31" s="71"/>
      <c r="HZY31" s="71"/>
      <c r="HZZ31" s="71"/>
      <c r="IAA31" s="71"/>
      <c r="IAB31" s="71"/>
      <c r="IAC31" s="71"/>
      <c r="IAD31" s="71"/>
      <c r="IAE31" s="71"/>
      <c r="IAF31" s="71"/>
      <c r="IAG31" s="71"/>
      <c r="IAH31" s="71"/>
      <c r="IAI31" s="71"/>
      <c r="IAJ31" s="71"/>
      <c r="IAK31" s="71"/>
      <c r="IAL31" s="71"/>
      <c r="IAM31" s="71"/>
      <c r="IAN31" s="71"/>
      <c r="IAO31" s="71"/>
      <c r="IAP31" s="71"/>
      <c r="IAQ31" s="71"/>
      <c r="IAR31" s="71"/>
      <c r="IAS31" s="71"/>
      <c r="IAT31" s="71"/>
      <c r="IAU31" s="71"/>
      <c r="IAV31" s="71"/>
      <c r="IAW31" s="71"/>
      <c r="IAX31" s="71"/>
      <c r="IAY31" s="71"/>
      <c r="IAZ31" s="71"/>
      <c r="IBA31" s="71"/>
      <c r="IBB31" s="71"/>
      <c r="IBC31" s="71"/>
      <c r="IBD31" s="71"/>
      <c r="IBE31" s="71"/>
      <c r="IBF31" s="71"/>
      <c r="IBG31" s="71"/>
      <c r="IBH31" s="71"/>
      <c r="IBI31" s="71"/>
      <c r="IBJ31" s="71"/>
      <c r="IBK31" s="71"/>
      <c r="IBL31" s="71"/>
      <c r="IBM31" s="71"/>
      <c r="IBN31" s="71"/>
      <c r="IBO31" s="71"/>
      <c r="IBP31" s="71"/>
      <c r="IBQ31" s="71"/>
      <c r="IBR31" s="71"/>
      <c r="IBS31" s="71"/>
      <c r="IBT31" s="71"/>
      <c r="IBU31" s="71"/>
      <c r="IBV31" s="71"/>
      <c r="IBW31" s="71"/>
      <c r="IBX31" s="71"/>
      <c r="IBY31" s="71"/>
      <c r="IBZ31" s="71"/>
      <c r="ICA31" s="71"/>
      <c r="ICB31" s="71"/>
      <c r="ICC31" s="71"/>
      <c r="ICD31" s="71"/>
      <c r="ICE31" s="71"/>
      <c r="ICF31" s="71"/>
      <c r="ICG31" s="71"/>
      <c r="ICH31" s="71"/>
      <c r="ICI31" s="71"/>
      <c r="ICJ31" s="71"/>
      <c r="ICK31" s="71"/>
      <c r="ICL31" s="71"/>
      <c r="ICM31" s="71"/>
      <c r="ICN31" s="71"/>
      <c r="ICO31" s="71"/>
      <c r="ICP31" s="71"/>
      <c r="ICQ31" s="71"/>
      <c r="ICR31" s="71"/>
      <c r="ICS31" s="71"/>
      <c r="ICT31" s="71"/>
      <c r="ICU31" s="71"/>
      <c r="ICV31" s="71"/>
      <c r="ICW31" s="71"/>
      <c r="ICX31" s="71"/>
      <c r="ICY31" s="71"/>
      <c r="ICZ31" s="71"/>
      <c r="IDA31" s="71"/>
      <c r="IDB31" s="71"/>
      <c r="IDC31" s="71"/>
      <c r="IDD31" s="71"/>
      <c r="IDE31" s="71"/>
      <c r="IDF31" s="71"/>
      <c r="IDG31" s="71"/>
      <c r="IDH31" s="71"/>
      <c r="IDI31" s="71"/>
      <c r="IDJ31" s="71"/>
      <c r="IDK31" s="71"/>
      <c r="IDL31" s="71"/>
      <c r="IDM31" s="71"/>
      <c r="IDN31" s="71"/>
      <c r="IDO31" s="71"/>
      <c r="IDP31" s="71"/>
      <c r="IDQ31" s="71"/>
      <c r="IDR31" s="71"/>
      <c r="IDS31" s="71"/>
      <c r="IDT31" s="71"/>
      <c r="IDU31" s="71"/>
      <c r="IDV31" s="71"/>
      <c r="IDW31" s="71"/>
      <c r="IDX31" s="71"/>
      <c r="IDY31" s="71"/>
      <c r="IDZ31" s="71"/>
      <c r="IEA31" s="71"/>
      <c r="IEB31" s="71"/>
      <c r="IEC31" s="71"/>
      <c r="IED31" s="71"/>
      <c r="IEE31" s="71"/>
      <c r="IEF31" s="71"/>
      <c r="IEG31" s="71"/>
      <c r="IEH31" s="71"/>
      <c r="IEI31" s="71"/>
      <c r="IEJ31" s="71"/>
      <c r="IEK31" s="71"/>
      <c r="IEL31" s="71"/>
      <c r="IEM31" s="71"/>
      <c r="IEN31" s="71"/>
      <c r="IEO31" s="71"/>
      <c r="IEP31" s="71"/>
      <c r="IEQ31" s="71"/>
      <c r="IER31" s="71"/>
      <c r="IES31" s="71"/>
      <c r="IET31" s="71"/>
      <c r="IEU31" s="71"/>
      <c r="IEV31" s="71"/>
      <c r="IEW31" s="71"/>
      <c r="IEX31" s="71"/>
      <c r="IEY31" s="71"/>
      <c r="IEZ31" s="71"/>
      <c r="IFA31" s="71"/>
      <c r="IFB31" s="71"/>
      <c r="IFC31" s="71"/>
      <c r="IFD31" s="71"/>
      <c r="IFE31" s="71"/>
      <c r="IFF31" s="71"/>
      <c r="IFG31" s="71"/>
      <c r="IFH31" s="71"/>
      <c r="IFI31" s="71"/>
      <c r="IFJ31" s="71"/>
      <c r="IFK31" s="71"/>
      <c r="IFL31" s="71"/>
      <c r="IFM31" s="71"/>
      <c r="IFN31" s="71"/>
      <c r="IFO31" s="71"/>
      <c r="IFP31" s="71"/>
      <c r="IFQ31" s="71"/>
      <c r="IFR31" s="71"/>
      <c r="IFS31" s="71"/>
      <c r="IFT31" s="71"/>
      <c r="IFU31" s="71"/>
      <c r="IFV31" s="71"/>
      <c r="IFW31" s="71"/>
      <c r="IFX31" s="71"/>
      <c r="IFY31" s="71"/>
      <c r="IFZ31" s="71"/>
      <c r="IGA31" s="71"/>
      <c r="IGB31" s="71"/>
      <c r="IGC31" s="71"/>
      <c r="IGD31" s="71"/>
      <c r="IGE31" s="71"/>
      <c r="IGF31" s="71"/>
      <c r="IGG31" s="71"/>
      <c r="IGH31" s="71"/>
      <c r="IGI31" s="71"/>
      <c r="IGJ31" s="71"/>
      <c r="IGK31" s="71"/>
      <c r="IGL31" s="71"/>
      <c r="IGM31" s="71"/>
      <c r="IGN31" s="71"/>
      <c r="IGO31" s="71"/>
      <c r="IGP31" s="71"/>
      <c r="IGQ31" s="71"/>
      <c r="IGR31" s="71"/>
      <c r="IGS31" s="71"/>
      <c r="IGT31" s="71"/>
      <c r="IGU31" s="71"/>
      <c r="IGV31" s="71"/>
      <c r="IGW31" s="71"/>
      <c r="IGX31" s="71"/>
      <c r="IGY31" s="71"/>
      <c r="IGZ31" s="71"/>
      <c r="IHA31" s="71"/>
      <c r="IHB31" s="71"/>
      <c r="IHC31" s="71"/>
      <c r="IHD31" s="71"/>
      <c r="IHE31" s="71"/>
      <c r="IHF31" s="71"/>
      <c r="IHG31" s="71"/>
      <c r="IHH31" s="71"/>
      <c r="IHI31" s="71"/>
      <c r="IHJ31" s="71"/>
      <c r="IHK31" s="71"/>
      <c r="IHL31" s="71"/>
      <c r="IHM31" s="71"/>
      <c r="IHN31" s="71"/>
      <c r="IHO31" s="71"/>
      <c r="IHP31" s="71"/>
      <c r="IHQ31" s="71"/>
      <c r="IHR31" s="71"/>
      <c r="IHS31" s="71"/>
      <c r="IHT31" s="71"/>
      <c r="IHU31" s="71"/>
      <c r="IHV31" s="71"/>
      <c r="IHW31" s="71"/>
      <c r="IHX31" s="71"/>
      <c r="IHY31" s="71"/>
      <c r="IHZ31" s="71"/>
      <c r="IIA31" s="71"/>
      <c r="IIB31" s="71"/>
      <c r="IIC31" s="71"/>
      <c r="IID31" s="71"/>
      <c r="IIE31" s="71"/>
      <c r="IIF31" s="71"/>
      <c r="IIG31" s="71"/>
      <c r="IIH31" s="71"/>
      <c r="III31" s="71"/>
      <c r="IIJ31" s="71"/>
      <c r="IIK31" s="71"/>
      <c r="IIL31" s="71"/>
      <c r="IIM31" s="71"/>
      <c r="IIN31" s="71"/>
      <c r="IIO31" s="71"/>
      <c r="IIP31" s="71"/>
      <c r="IIQ31" s="71"/>
      <c r="IIR31" s="71"/>
      <c r="IIS31" s="71"/>
      <c r="IIT31" s="71"/>
      <c r="IIU31" s="71"/>
      <c r="IIV31" s="71"/>
      <c r="IIW31" s="71"/>
      <c r="IIX31" s="71"/>
      <c r="IIY31" s="71"/>
      <c r="IIZ31" s="71"/>
      <c r="IJA31" s="71"/>
      <c r="IJB31" s="71"/>
      <c r="IJC31" s="71"/>
      <c r="IJD31" s="71"/>
      <c r="IJE31" s="71"/>
      <c r="IJF31" s="71"/>
      <c r="IJG31" s="71"/>
      <c r="IJH31" s="71"/>
      <c r="IJI31" s="71"/>
      <c r="IJJ31" s="71"/>
      <c r="IJK31" s="71"/>
      <c r="IJL31" s="71"/>
      <c r="IJM31" s="71"/>
      <c r="IJN31" s="71"/>
      <c r="IJO31" s="71"/>
      <c r="IJP31" s="71"/>
      <c r="IJQ31" s="71"/>
      <c r="IJR31" s="71"/>
      <c r="IJS31" s="71"/>
      <c r="IJT31" s="71"/>
      <c r="IJU31" s="71"/>
      <c r="IJV31" s="71"/>
      <c r="IJW31" s="71"/>
      <c r="IJX31" s="71"/>
      <c r="IJY31" s="71"/>
      <c r="IJZ31" s="71"/>
      <c r="IKA31" s="71"/>
      <c r="IKB31" s="71"/>
      <c r="IKC31" s="71"/>
      <c r="IKD31" s="71"/>
      <c r="IKE31" s="71"/>
      <c r="IKF31" s="71"/>
      <c r="IKG31" s="71"/>
      <c r="IKH31" s="71"/>
      <c r="IKI31" s="71"/>
      <c r="IKJ31" s="71"/>
      <c r="IKK31" s="71"/>
      <c r="IKL31" s="71"/>
      <c r="IKM31" s="71"/>
      <c r="IKN31" s="71"/>
      <c r="IKO31" s="71"/>
      <c r="IKP31" s="71"/>
      <c r="IKQ31" s="71"/>
      <c r="IKR31" s="71"/>
      <c r="IKS31" s="71"/>
      <c r="IKT31" s="71"/>
      <c r="IKU31" s="71"/>
      <c r="IKV31" s="71"/>
      <c r="IKW31" s="71"/>
      <c r="IKX31" s="71"/>
      <c r="IKY31" s="71"/>
      <c r="IKZ31" s="71"/>
      <c r="ILA31" s="71"/>
      <c r="ILB31" s="71"/>
      <c r="ILC31" s="71"/>
      <c r="ILD31" s="71"/>
      <c r="ILE31" s="71"/>
      <c r="ILF31" s="71"/>
      <c r="ILG31" s="71"/>
      <c r="ILH31" s="71"/>
      <c r="ILI31" s="71"/>
      <c r="ILJ31" s="71"/>
      <c r="ILK31" s="71"/>
      <c r="ILL31" s="71"/>
      <c r="ILM31" s="71"/>
      <c r="ILN31" s="71"/>
      <c r="ILO31" s="71"/>
      <c r="ILP31" s="71"/>
      <c r="ILQ31" s="71"/>
      <c r="ILR31" s="71"/>
      <c r="ILS31" s="71"/>
      <c r="ILT31" s="71"/>
      <c r="ILU31" s="71"/>
      <c r="ILV31" s="71"/>
      <c r="ILW31" s="71"/>
      <c r="ILX31" s="71"/>
      <c r="ILY31" s="71"/>
      <c r="ILZ31" s="71"/>
      <c r="IMA31" s="71"/>
      <c r="IMB31" s="71"/>
      <c r="IMC31" s="71"/>
      <c r="IMD31" s="71"/>
      <c r="IME31" s="71"/>
      <c r="IMF31" s="71"/>
      <c r="IMG31" s="71"/>
      <c r="IMH31" s="71"/>
      <c r="IMI31" s="71"/>
      <c r="IMJ31" s="71"/>
      <c r="IMK31" s="71"/>
      <c r="IML31" s="71"/>
      <c r="IMM31" s="71"/>
      <c r="IMN31" s="71"/>
      <c r="IMO31" s="71"/>
      <c r="IMP31" s="71"/>
      <c r="IMQ31" s="71"/>
      <c r="IMR31" s="71"/>
      <c r="IMS31" s="71"/>
      <c r="IMT31" s="71"/>
      <c r="IMU31" s="71"/>
      <c r="IMV31" s="71"/>
      <c r="IMW31" s="71"/>
      <c r="IMX31" s="71"/>
      <c r="IMY31" s="71"/>
      <c r="IMZ31" s="71"/>
      <c r="INA31" s="71"/>
      <c r="INB31" s="71"/>
      <c r="INC31" s="71"/>
      <c r="IND31" s="71"/>
      <c r="INE31" s="71"/>
      <c r="INF31" s="71"/>
      <c r="ING31" s="71"/>
      <c r="INH31" s="71"/>
      <c r="INI31" s="71"/>
      <c r="INJ31" s="71"/>
      <c r="INK31" s="71"/>
      <c r="INL31" s="71"/>
      <c r="INM31" s="71"/>
      <c r="INN31" s="71"/>
      <c r="INO31" s="71"/>
      <c r="INP31" s="71"/>
      <c r="INQ31" s="71"/>
      <c r="INR31" s="71"/>
      <c r="INS31" s="71"/>
      <c r="INT31" s="71"/>
      <c r="INU31" s="71"/>
      <c r="INV31" s="71"/>
      <c r="INW31" s="71"/>
      <c r="INX31" s="71"/>
      <c r="INY31" s="71"/>
      <c r="INZ31" s="71"/>
      <c r="IOA31" s="71"/>
      <c r="IOB31" s="71"/>
      <c r="IOC31" s="71"/>
      <c r="IOD31" s="71"/>
      <c r="IOE31" s="71"/>
      <c r="IOF31" s="71"/>
      <c r="IOG31" s="71"/>
      <c r="IOH31" s="71"/>
      <c r="IOI31" s="71"/>
      <c r="IOJ31" s="71"/>
      <c r="IOK31" s="71"/>
      <c r="IOL31" s="71"/>
      <c r="IOM31" s="71"/>
      <c r="ION31" s="71"/>
      <c r="IOO31" s="71"/>
      <c r="IOP31" s="71"/>
      <c r="IOQ31" s="71"/>
      <c r="IOR31" s="71"/>
      <c r="IOS31" s="71"/>
      <c r="IOT31" s="71"/>
      <c r="IOU31" s="71"/>
      <c r="IOV31" s="71"/>
      <c r="IOW31" s="71"/>
      <c r="IOX31" s="71"/>
      <c r="IOY31" s="71"/>
      <c r="IOZ31" s="71"/>
      <c r="IPA31" s="71"/>
      <c r="IPB31" s="71"/>
      <c r="IPC31" s="71"/>
      <c r="IPD31" s="71"/>
      <c r="IPE31" s="71"/>
      <c r="IPF31" s="71"/>
      <c r="IPG31" s="71"/>
      <c r="IPH31" s="71"/>
      <c r="IPI31" s="71"/>
      <c r="IPJ31" s="71"/>
      <c r="IPK31" s="71"/>
      <c r="IPL31" s="71"/>
      <c r="IPM31" s="71"/>
      <c r="IPN31" s="71"/>
      <c r="IPO31" s="71"/>
      <c r="IPP31" s="71"/>
      <c r="IPQ31" s="71"/>
      <c r="IPR31" s="71"/>
      <c r="IPS31" s="71"/>
      <c r="IPT31" s="71"/>
      <c r="IPU31" s="71"/>
      <c r="IPV31" s="71"/>
      <c r="IPW31" s="71"/>
      <c r="IPX31" s="71"/>
      <c r="IPY31" s="71"/>
      <c r="IPZ31" s="71"/>
      <c r="IQA31" s="71"/>
      <c r="IQB31" s="71"/>
      <c r="IQC31" s="71"/>
      <c r="IQD31" s="71"/>
      <c r="IQE31" s="71"/>
      <c r="IQF31" s="71"/>
      <c r="IQG31" s="71"/>
      <c r="IQH31" s="71"/>
      <c r="IQI31" s="71"/>
      <c r="IQJ31" s="71"/>
      <c r="IQK31" s="71"/>
      <c r="IQL31" s="71"/>
      <c r="IQM31" s="71"/>
      <c r="IQN31" s="71"/>
      <c r="IQO31" s="71"/>
      <c r="IQP31" s="71"/>
      <c r="IQQ31" s="71"/>
      <c r="IQR31" s="71"/>
      <c r="IQS31" s="71"/>
      <c r="IQT31" s="71"/>
      <c r="IQU31" s="71"/>
      <c r="IQV31" s="71"/>
      <c r="IQW31" s="71"/>
      <c r="IQX31" s="71"/>
      <c r="IQY31" s="71"/>
      <c r="IQZ31" s="71"/>
      <c r="IRA31" s="71"/>
      <c r="IRB31" s="71"/>
      <c r="IRC31" s="71"/>
      <c r="IRD31" s="71"/>
      <c r="IRE31" s="71"/>
      <c r="IRF31" s="71"/>
      <c r="IRG31" s="71"/>
      <c r="IRH31" s="71"/>
      <c r="IRI31" s="71"/>
      <c r="IRJ31" s="71"/>
      <c r="IRK31" s="71"/>
      <c r="IRL31" s="71"/>
      <c r="IRM31" s="71"/>
      <c r="IRN31" s="71"/>
      <c r="IRO31" s="71"/>
      <c r="IRP31" s="71"/>
      <c r="IRQ31" s="71"/>
      <c r="IRR31" s="71"/>
      <c r="IRS31" s="71"/>
      <c r="IRT31" s="71"/>
      <c r="IRU31" s="71"/>
      <c r="IRV31" s="71"/>
      <c r="IRW31" s="71"/>
      <c r="IRX31" s="71"/>
      <c r="IRY31" s="71"/>
      <c r="IRZ31" s="71"/>
      <c r="ISA31" s="71"/>
      <c r="ISB31" s="71"/>
      <c r="ISC31" s="71"/>
      <c r="ISD31" s="71"/>
      <c r="ISE31" s="71"/>
      <c r="ISF31" s="71"/>
      <c r="ISG31" s="71"/>
      <c r="ISH31" s="71"/>
      <c r="ISI31" s="71"/>
      <c r="ISJ31" s="71"/>
      <c r="ISK31" s="71"/>
      <c r="ISL31" s="71"/>
      <c r="ISM31" s="71"/>
      <c r="ISN31" s="71"/>
      <c r="ISO31" s="71"/>
      <c r="ISP31" s="71"/>
      <c r="ISQ31" s="71"/>
      <c r="ISR31" s="71"/>
      <c r="ISS31" s="71"/>
      <c r="IST31" s="71"/>
      <c r="ISU31" s="71"/>
      <c r="ISV31" s="71"/>
      <c r="ISW31" s="71"/>
      <c r="ISX31" s="71"/>
      <c r="ISY31" s="71"/>
      <c r="ISZ31" s="71"/>
      <c r="ITA31" s="71"/>
      <c r="ITB31" s="71"/>
      <c r="ITC31" s="71"/>
      <c r="ITD31" s="71"/>
      <c r="ITE31" s="71"/>
      <c r="ITF31" s="71"/>
      <c r="ITG31" s="71"/>
      <c r="ITH31" s="71"/>
      <c r="ITI31" s="71"/>
      <c r="ITJ31" s="71"/>
      <c r="ITK31" s="71"/>
      <c r="ITL31" s="71"/>
      <c r="ITM31" s="71"/>
      <c r="ITN31" s="71"/>
      <c r="ITO31" s="71"/>
      <c r="ITP31" s="71"/>
      <c r="ITQ31" s="71"/>
      <c r="ITR31" s="71"/>
      <c r="ITS31" s="71"/>
      <c r="ITT31" s="71"/>
      <c r="ITU31" s="71"/>
      <c r="ITV31" s="71"/>
      <c r="ITW31" s="71"/>
      <c r="ITX31" s="71"/>
      <c r="ITY31" s="71"/>
      <c r="ITZ31" s="71"/>
      <c r="IUA31" s="71"/>
      <c r="IUB31" s="71"/>
      <c r="IUC31" s="71"/>
      <c r="IUD31" s="71"/>
      <c r="IUE31" s="71"/>
      <c r="IUF31" s="71"/>
      <c r="IUG31" s="71"/>
      <c r="IUH31" s="71"/>
      <c r="IUI31" s="71"/>
      <c r="IUJ31" s="71"/>
      <c r="IUK31" s="71"/>
      <c r="IUL31" s="71"/>
      <c r="IUM31" s="71"/>
      <c r="IUN31" s="71"/>
      <c r="IUO31" s="71"/>
      <c r="IUP31" s="71"/>
      <c r="IUQ31" s="71"/>
      <c r="IUR31" s="71"/>
      <c r="IUS31" s="71"/>
      <c r="IUT31" s="71"/>
      <c r="IUU31" s="71"/>
      <c r="IUV31" s="71"/>
      <c r="IUW31" s="71"/>
      <c r="IUX31" s="71"/>
      <c r="IUY31" s="71"/>
      <c r="IUZ31" s="71"/>
      <c r="IVA31" s="71"/>
      <c r="IVB31" s="71"/>
      <c r="IVC31" s="71"/>
      <c r="IVD31" s="71"/>
      <c r="IVE31" s="71"/>
      <c r="IVF31" s="71"/>
      <c r="IVG31" s="71"/>
      <c r="IVH31" s="71"/>
      <c r="IVI31" s="71"/>
      <c r="IVJ31" s="71"/>
      <c r="IVK31" s="71"/>
      <c r="IVL31" s="71"/>
      <c r="IVM31" s="71"/>
      <c r="IVN31" s="71"/>
      <c r="IVO31" s="71"/>
      <c r="IVP31" s="71"/>
      <c r="IVQ31" s="71"/>
      <c r="IVR31" s="71"/>
      <c r="IVS31" s="71"/>
      <c r="IVT31" s="71"/>
      <c r="IVU31" s="71"/>
      <c r="IVV31" s="71"/>
      <c r="IVW31" s="71"/>
      <c r="IVX31" s="71"/>
      <c r="IVY31" s="71"/>
      <c r="IVZ31" s="71"/>
      <c r="IWA31" s="71"/>
      <c r="IWB31" s="71"/>
      <c r="IWC31" s="71"/>
      <c r="IWD31" s="71"/>
      <c r="IWE31" s="71"/>
      <c r="IWF31" s="71"/>
      <c r="IWG31" s="71"/>
      <c r="IWH31" s="71"/>
      <c r="IWI31" s="71"/>
      <c r="IWJ31" s="71"/>
      <c r="IWK31" s="71"/>
      <c r="IWL31" s="71"/>
      <c r="IWM31" s="71"/>
      <c r="IWN31" s="71"/>
      <c r="IWO31" s="71"/>
      <c r="IWP31" s="71"/>
      <c r="IWQ31" s="71"/>
      <c r="IWR31" s="71"/>
      <c r="IWS31" s="71"/>
      <c r="IWT31" s="71"/>
      <c r="IWU31" s="71"/>
      <c r="IWV31" s="71"/>
      <c r="IWW31" s="71"/>
      <c r="IWX31" s="71"/>
      <c r="IWY31" s="71"/>
      <c r="IWZ31" s="71"/>
      <c r="IXA31" s="71"/>
      <c r="IXB31" s="71"/>
      <c r="IXC31" s="71"/>
      <c r="IXD31" s="71"/>
      <c r="IXE31" s="71"/>
      <c r="IXF31" s="71"/>
      <c r="IXG31" s="71"/>
      <c r="IXH31" s="71"/>
      <c r="IXI31" s="71"/>
      <c r="IXJ31" s="71"/>
      <c r="IXK31" s="71"/>
      <c r="IXL31" s="71"/>
      <c r="IXM31" s="71"/>
      <c r="IXN31" s="71"/>
      <c r="IXO31" s="71"/>
      <c r="IXP31" s="71"/>
      <c r="IXQ31" s="71"/>
      <c r="IXR31" s="71"/>
      <c r="IXS31" s="71"/>
      <c r="IXT31" s="71"/>
      <c r="IXU31" s="71"/>
      <c r="IXV31" s="71"/>
      <c r="IXW31" s="71"/>
      <c r="IXX31" s="71"/>
      <c r="IXY31" s="71"/>
      <c r="IXZ31" s="71"/>
      <c r="IYA31" s="71"/>
      <c r="IYB31" s="71"/>
      <c r="IYC31" s="71"/>
      <c r="IYD31" s="71"/>
      <c r="IYE31" s="71"/>
      <c r="IYF31" s="71"/>
      <c r="IYG31" s="71"/>
      <c r="IYH31" s="71"/>
      <c r="IYI31" s="71"/>
      <c r="IYJ31" s="71"/>
      <c r="IYK31" s="71"/>
      <c r="IYL31" s="71"/>
      <c r="IYM31" s="71"/>
      <c r="IYN31" s="71"/>
      <c r="IYO31" s="71"/>
      <c r="IYP31" s="71"/>
      <c r="IYQ31" s="71"/>
      <c r="IYR31" s="71"/>
      <c r="IYS31" s="71"/>
      <c r="IYT31" s="71"/>
      <c r="IYU31" s="71"/>
      <c r="IYV31" s="71"/>
      <c r="IYW31" s="71"/>
      <c r="IYX31" s="71"/>
      <c r="IYY31" s="71"/>
      <c r="IYZ31" s="71"/>
      <c r="IZA31" s="71"/>
      <c r="IZB31" s="71"/>
      <c r="IZC31" s="71"/>
      <c r="IZD31" s="71"/>
      <c r="IZE31" s="71"/>
      <c r="IZF31" s="71"/>
      <c r="IZG31" s="71"/>
      <c r="IZH31" s="71"/>
      <c r="IZI31" s="71"/>
      <c r="IZJ31" s="71"/>
      <c r="IZK31" s="71"/>
      <c r="IZL31" s="71"/>
      <c r="IZM31" s="71"/>
      <c r="IZN31" s="71"/>
      <c r="IZO31" s="71"/>
      <c r="IZP31" s="71"/>
      <c r="IZQ31" s="71"/>
      <c r="IZR31" s="71"/>
      <c r="IZS31" s="71"/>
      <c r="IZT31" s="71"/>
      <c r="IZU31" s="71"/>
      <c r="IZV31" s="71"/>
      <c r="IZW31" s="71"/>
      <c r="IZX31" s="71"/>
      <c r="IZY31" s="71"/>
      <c r="IZZ31" s="71"/>
      <c r="JAA31" s="71"/>
      <c r="JAB31" s="71"/>
      <c r="JAC31" s="71"/>
      <c r="JAD31" s="71"/>
      <c r="JAE31" s="71"/>
      <c r="JAF31" s="71"/>
      <c r="JAG31" s="71"/>
      <c r="JAH31" s="71"/>
      <c r="JAI31" s="71"/>
      <c r="JAJ31" s="71"/>
      <c r="JAK31" s="71"/>
      <c r="JAL31" s="71"/>
      <c r="JAM31" s="71"/>
      <c r="JAN31" s="71"/>
      <c r="JAO31" s="71"/>
      <c r="JAP31" s="71"/>
      <c r="JAQ31" s="71"/>
      <c r="JAR31" s="71"/>
      <c r="JAS31" s="71"/>
      <c r="JAT31" s="71"/>
      <c r="JAU31" s="71"/>
      <c r="JAV31" s="71"/>
      <c r="JAW31" s="71"/>
      <c r="JAX31" s="71"/>
      <c r="JAY31" s="71"/>
      <c r="JAZ31" s="71"/>
      <c r="JBA31" s="71"/>
      <c r="JBB31" s="71"/>
      <c r="JBC31" s="71"/>
      <c r="JBD31" s="71"/>
      <c r="JBE31" s="71"/>
      <c r="JBF31" s="71"/>
      <c r="JBG31" s="71"/>
      <c r="JBH31" s="71"/>
      <c r="JBI31" s="71"/>
      <c r="JBJ31" s="71"/>
      <c r="JBK31" s="71"/>
      <c r="JBL31" s="71"/>
      <c r="JBM31" s="71"/>
      <c r="JBN31" s="71"/>
      <c r="JBO31" s="71"/>
      <c r="JBP31" s="71"/>
      <c r="JBQ31" s="71"/>
      <c r="JBR31" s="71"/>
      <c r="JBS31" s="71"/>
      <c r="JBT31" s="71"/>
      <c r="JBU31" s="71"/>
      <c r="JBV31" s="71"/>
      <c r="JBW31" s="71"/>
      <c r="JBX31" s="71"/>
      <c r="JBY31" s="71"/>
      <c r="JBZ31" s="71"/>
      <c r="JCA31" s="71"/>
      <c r="JCB31" s="71"/>
      <c r="JCC31" s="71"/>
      <c r="JCD31" s="71"/>
      <c r="JCE31" s="71"/>
      <c r="JCF31" s="71"/>
      <c r="JCG31" s="71"/>
      <c r="JCH31" s="71"/>
      <c r="JCI31" s="71"/>
      <c r="JCJ31" s="71"/>
      <c r="JCK31" s="71"/>
      <c r="JCL31" s="71"/>
      <c r="JCM31" s="71"/>
      <c r="JCN31" s="71"/>
      <c r="JCO31" s="71"/>
      <c r="JCP31" s="71"/>
      <c r="JCQ31" s="71"/>
      <c r="JCR31" s="71"/>
      <c r="JCS31" s="71"/>
      <c r="JCT31" s="71"/>
      <c r="JCU31" s="71"/>
      <c r="JCV31" s="71"/>
      <c r="JCW31" s="71"/>
      <c r="JCX31" s="71"/>
      <c r="JCY31" s="71"/>
      <c r="JCZ31" s="71"/>
      <c r="JDA31" s="71"/>
      <c r="JDB31" s="71"/>
      <c r="JDC31" s="71"/>
      <c r="JDD31" s="71"/>
      <c r="JDE31" s="71"/>
      <c r="JDF31" s="71"/>
      <c r="JDG31" s="71"/>
      <c r="JDH31" s="71"/>
      <c r="JDI31" s="71"/>
      <c r="JDJ31" s="71"/>
      <c r="JDK31" s="71"/>
      <c r="JDL31" s="71"/>
      <c r="JDM31" s="71"/>
      <c r="JDN31" s="71"/>
      <c r="JDO31" s="71"/>
      <c r="JDP31" s="71"/>
      <c r="JDQ31" s="71"/>
      <c r="JDR31" s="71"/>
      <c r="JDS31" s="71"/>
      <c r="JDT31" s="71"/>
      <c r="JDU31" s="71"/>
      <c r="JDV31" s="71"/>
      <c r="JDW31" s="71"/>
      <c r="JDX31" s="71"/>
      <c r="JDY31" s="71"/>
      <c r="JDZ31" s="71"/>
      <c r="JEA31" s="71"/>
      <c r="JEB31" s="71"/>
      <c r="JEC31" s="71"/>
      <c r="JED31" s="71"/>
      <c r="JEE31" s="71"/>
      <c r="JEF31" s="71"/>
      <c r="JEG31" s="71"/>
      <c r="JEH31" s="71"/>
      <c r="JEI31" s="71"/>
      <c r="JEJ31" s="71"/>
      <c r="JEK31" s="71"/>
      <c r="JEL31" s="71"/>
      <c r="JEM31" s="71"/>
      <c r="JEN31" s="71"/>
      <c r="JEO31" s="71"/>
      <c r="JEP31" s="71"/>
      <c r="JEQ31" s="71"/>
      <c r="JER31" s="71"/>
      <c r="JES31" s="71"/>
      <c r="JET31" s="71"/>
      <c r="JEU31" s="71"/>
      <c r="JEV31" s="71"/>
      <c r="JEW31" s="71"/>
      <c r="JEX31" s="71"/>
      <c r="JEY31" s="71"/>
      <c r="JEZ31" s="71"/>
      <c r="JFA31" s="71"/>
      <c r="JFB31" s="71"/>
      <c r="JFC31" s="71"/>
      <c r="JFD31" s="71"/>
      <c r="JFE31" s="71"/>
      <c r="JFF31" s="71"/>
      <c r="JFG31" s="71"/>
      <c r="JFH31" s="71"/>
      <c r="JFI31" s="71"/>
      <c r="JFJ31" s="71"/>
      <c r="JFK31" s="71"/>
      <c r="JFL31" s="71"/>
      <c r="JFM31" s="71"/>
      <c r="JFN31" s="71"/>
      <c r="JFO31" s="71"/>
      <c r="JFP31" s="71"/>
      <c r="JFQ31" s="71"/>
      <c r="JFR31" s="71"/>
      <c r="JFS31" s="71"/>
      <c r="JFT31" s="71"/>
      <c r="JFU31" s="71"/>
      <c r="JFV31" s="71"/>
      <c r="JFW31" s="71"/>
      <c r="JFX31" s="71"/>
      <c r="JFY31" s="71"/>
      <c r="JFZ31" s="71"/>
      <c r="JGA31" s="71"/>
      <c r="JGB31" s="71"/>
      <c r="JGC31" s="71"/>
      <c r="JGD31" s="71"/>
      <c r="JGE31" s="71"/>
      <c r="JGF31" s="71"/>
      <c r="JGG31" s="71"/>
      <c r="JGH31" s="71"/>
      <c r="JGI31" s="71"/>
      <c r="JGJ31" s="71"/>
      <c r="JGK31" s="71"/>
      <c r="JGL31" s="71"/>
      <c r="JGM31" s="71"/>
      <c r="JGN31" s="71"/>
      <c r="JGO31" s="71"/>
      <c r="JGP31" s="71"/>
      <c r="JGQ31" s="71"/>
      <c r="JGR31" s="71"/>
      <c r="JGS31" s="71"/>
      <c r="JGT31" s="71"/>
      <c r="JGU31" s="71"/>
      <c r="JGV31" s="71"/>
      <c r="JGW31" s="71"/>
      <c r="JGX31" s="71"/>
      <c r="JGY31" s="71"/>
      <c r="JGZ31" s="71"/>
      <c r="JHA31" s="71"/>
      <c r="JHB31" s="71"/>
      <c r="JHC31" s="71"/>
      <c r="JHD31" s="71"/>
      <c r="JHE31" s="71"/>
      <c r="JHF31" s="71"/>
      <c r="JHG31" s="71"/>
      <c r="JHH31" s="71"/>
      <c r="JHI31" s="71"/>
      <c r="JHJ31" s="71"/>
      <c r="JHK31" s="71"/>
      <c r="JHL31" s="71"/>
      <c r="JHM31" s="71"/>
      <c r="JHN31" s="71"/>
      <c r="JHO31" s="71"/>
      <c r="JHP31" s="71"/>
      <c r="JHQ31" s="71"/>
      <c r="JHR31" s="71"/>
      <c r="JHS31" s="71"/>
      <c r="JHT31" s="71"/>
      <c r="JHU31" s="71"/>
      <c r="JHV31" s="71"/>
      <c r="JHW31" s="71"/>
      <c r="JHX31" s="71"/>
      <c r="JHY31" s="71"/>
      <c r="JHZ31" s="71"/>
      <c r="JIA31" s="71"/>
      <c r="JIB31" s="71"/>
      <c r="JIC31" s="71"/>
      <c r="JID31" s="71"/>
      <c r="JIE31" s="71"/>
      <c r="JIF31" s="71"/>
      <c r="JIG31" s="71"/>
      <c r="JIH31" s="71"/>
      <c r="JII31" s="71"/>
      <c r="JIJ31" s="71"/>
      <c r="JIK31" s="71"/>
      <c r="JIL31" s="71"/>
      <c r="JIM31" s="71"/>
      <c r="JIN31" s="71"/>
      <c r="JIO31" s="71"/>
      <c r="JIP31" s="71"/>
      <c r="JIQ31" s="71"/>
      <c r="JIR31" s="71"/>
      <c r="JIS31" s="71"/>
      <c r="JIT31" s="71"/>
      <c r="JIU31" s="71"/>
      <c r="JIV31" s="71"/>
      <c r="JIW31" s="71"/>
      <c r="JIX31" s="71"/>
      <c r="JIY31" s="71"/>
      <c r="JIZ31" s="71"/>
      <c r="JJA31" s="71"/>
      <c r="JJB31" s="71"/>
      <c r="JJC31" s="71"/>
      <c r="JJD31" s="71"/>
      <c r="JJE31" s="71"/>
      <c r="JJF31" s="71"/>
      <c r="JJG31" s="71"/>
      <c r="JJH31" s="71"/>
      <c r="JJI31" s="71"/>
      <c r="JJJ31" s="71"/>
      <c r="JJK31" s="71"/>
      <c r="JJL31" s="71"/>
      <c r="JJM31" s="71"/>
      <c r="JJN31" s="71"/>
      <c r="JJO31" s="71"/>
      <c r="JJP31" s="71"/>
      <c r="JJQ31" s="71"/>
      <c r="JJR31" s="71"/>
      <c r="JJS31" s="71"/>
      <c r="JJT31" s="71"/>
      <c r="JJU31" s="71"/>
      <c r="JJV31" s="71"/>
      <c r="JJW31" s="71"/>
      <c r="JJX31" s="71"/>
      <c r="JJY31" s="71"/>
      <c r="JJZ31" s="71"/>
      <c r="JKA31" s="71"/>
      <c r="JKB31" s="71"/>
      <c r="JKC31" s="71"/>
      <c r="JKD31" s="71"/>
      <c r="JKE31" s="71"/>
      <c r="JKF31" s="71"/>
      <c r="JKG31" s="71"/>
      <c r="JKH31" s="71"/>
      <c r="JKI31" s="71"/>
      <c r="JKJ31" s="71"/>
      <c r="JKK31" s="71"/>
      <c r="JKL31" s="71"/>
      <c r="JKM31" s="71"/>
      <c r="JKN31" s="71"/>
      <c r="JKO31" s="71"/>
      <c r="JKP31" s="71"/>
      <c r="JKQ31" s="71"/>
      <c r="JKR31" s="71"/>
      <c r="JKS31" s="71"/>
      <c r="JKT31" s="71"/>
      <c r="JKU31" s="71"/>
      <c r="JKV31" s="71"/>
      <c r="JKW31" s="71"/>
      <c r="JKX31" s="71"/>
      <c r="JKY31" s="71"/>
      <c r="JKZ31" s="71"/>
      <c r="JLA31" s="71"/>
      <c r="JLB31" s="71"/>
      <c r="JLC31" s="71"/>
      <c r="JLD31" s="71"/>
      <c r="JLE31" s="71"/>
      <c r="JLF31" s="71"/>
      <c r="JLG31" s="71"/>
      <c r="JLH31" s="71"/>
      <c r="JLI31" s="71"/>
      <c r="JLJ31" s="71"/>
      <c r="JLK31" s="71"/>
      <c r="JLL31" s="71"/>
      <c r="JLM31" s="71"/>
      <c r="JLN31" s="71"/>
      <c r="JLO31" s="71"/>
      <c r="JLP31" s="71"/>
      <c r="JLQ31" s="71"/>
      <c r="JLR31" s="71"/>
      <c r="JLS31" s="71"/>
      <c r="JLT31" s="71"/>
      <c r="JLU31" s="71"/>
      <c r="JLV31" s="71"/>
      <c r="JLW31" s="71"/>
      <c r="JLX31" s="71"/>
      <c r="JLY31" s="71"/>
      <c r="JLZ31" s="71"/>
      <c r="JMA31" s="71"/>
      <c r="JMB31" s="71"/>
      <c r="JMC31" s="71"/>
      <c r="JMD31" s="71"/>
      <c r="JME31" s="71"/>
      <c r="JMF31" s="71"/>
      <c r="JMG31" s="71"/>
      <c r="JMH31" s="71"/>
      <c r="JMI31" s="71"/>
      <c r="JMJ31" s="71"/>
      <c r="JMK31" s="71"/>
      <c r="JML31" s="71"/>
      <c r="JMM31" s="71"/>
      <c r="JMN31" s="71"/>
      <c r="JMO31" s="71"/>
      <c r="JMP31" s="71"/>
      <c r="JMQ31" s="71"/>
      <c r="JMR31" s="71"/>
      <c r="JMS31" s="71"/>
      <c r="JMT31" s="71"/>
      <c r="JMU31" s="71"/>
      <c r="JMV31" s="71"/>
      <c r="JMW31" s="71"/>
      <c r="JMX31" s="71"/>
      <c r="JMY31" s="71"/>
      <c r="JMZ31" s="71"/>
      <c r="JNA31" s="71"/>
      <c r="JNB31" s="71"/>
      <c r="JNC31" s="71"/>
      <c r="JND31" s="71"/>
      <c r="JNE31" s="71"/>
      <c r="JNF31" s="71"/>
      <c r="JNG31" s="71"/>
      <c r="JNH31" s="71"/>
      <c r="JNI31" s="71"/>
      <c r="JNJ31" s="71"/>
      <c r="JNK31" s="71"/>
      <c r="JNL31" s="71"/>
      <c r="JNM31" s="71"/>
      <c r="JNN31" s="71"/>
      <c r="JNO31" s="71"/>
      <c r="JNP31" s="71"/>
      <c r="JNQ31" s="71"/>
      <c r="JNR31" s="71"/>
      <c r="JNS31" s="71"/>
      <c r="JNT31" s="71"/>
      <c r="JNU31" s="71"/>
      <c r="JNV31" s="71"/>
      <c r="JNW31" s="71"/>
      <c r="JNX31" s="71"/>
      <c r="JNY31" s="71"/>
      <c r="JNZ31" s="71"/>
      <c r="JOA31" s="71"/>
      <c r="JOB31" s="71"/>
      <c r="JOC31" s="71"/>
      <c r="JOD31" s="71"/>
      <c r="JOE31" s="71"/>
      <c r="JOF31" s="71"/>
      <c r="JOG31" s="71"/>
      <c r="JOH31" s="71"/>
      <c r="JOI31" s="71"/>
      <c r="JOJ31" s="71"/>
      <c r="JOK31" s="71"/>
      <c r="JOL31" s="71"/>
      <c r="JOM31" s="71"/>
      <c r="JON31" s="71"/>
      <c r="JOO31" s="71"/>
      <c r="JOP31" s="71"/>
      <c r="JOQ31" s="71"/>
      <c r="JOR31" s="71"/>
      <c r="JOS31" s="71"/>
      <c r="JOT31" s="71"/>
      <c r="JOU31" s="71"/>
      <c r="JOV31" s="71"/>
      <c r="JOW31" s="71"/>
      <c r="JOX31" s="71"/>
      <c r="JOY31" s="71"/>
      <c r="JOZ31" s="71"/>
      <c r="JPA31" s="71"/>
      <c r="JPB31" s="71"/>
      <c r="JPC31" s="71"/>
      <c r="JPD31" s="71"/>
      <c r="JPE31" s="71"/>
      <c r="JPF31" s="71"/>
      <c r="JPG31" s="71"/>
      <c r="JPH31" s="71"/>
      <c r="JPI31" s="71"/>
      <c r="JPJ31" s="71"/>
      <c r="JPK31" s="71"/>
      <c r="JPL31" s="71"/>
      <c r="JPM31" s="71"/>
      <c r="JPN31" s="71"/>
      <c r="JPO31" s="71"/>
      <c r="JPP31" s="71"/>
      <c r="JPQ31" s="71"/>
      <c r="JPR31" s="71"/>
      <c r="JPS31" s="71"/>
      <c r="JPT31" s="71"/>
      <c r="JPU31" s="71"/>
      <c r="JPV31" s="71"/>
      <c r="JPW31" s="71"/>
      <c r="JPX31" s="71"/>
      <c r="JPY31" s="71"/>
      <c r="JPZ31" s="71"/>
      <c r="JQA31" s="71"/>
      <c r="JQB31" s="71"/>
      <c r="JQC31" s="71"/>
      <c r="JQD31" s="71"/>
      <c r="JQE31" s="71"/>
      <c r="JQF31" s="71"/>
      <c r="JQG31" s="71"/>
      <c r="JQH31" s="71"/>
      <c r="JQI31" s="71"/>
      <c r="JQJ31" s="71"/>
      <c r="JQK31" s="71"/>
      <c r="JQL31" s="71"/>
      <c r="JQM31" s="71"/>
      <c r="JQN31" s="71"/>
      <c r="JQO31" s="71"/>
      <c r="JQP31" s="71"/>
      <c r="JQQ31" s="71"/>
      <c r="JQR31" s="71"/>
      <c r="JQS31" s="71"/>
      <c r="JQT31" s="71"/>
      <c r="JQU31" s="71"/>
      <c r="JQV31" s="71"/>
      <c r="JQW31" s="71"/>
      <c r="JQX31" s="71"/>
      <c r="JQY31" s="71"/>
      <c r="JQZ31" s="71"/>
      <c r="JRA31" s="71"/>
      <c r="JRB31" s="71"/>
      <c r="JRC31" s="71"/>
      <c r="JRD31" s="71"/>
      <c r="JRE31" s="71"/>
      <c r="JRF31" s="71"/>
      <c r="JRG31" s="71"/>
      <c r="JRH31" s="71"/>
      <c r="JRI31" s="71"/>
      <c r="JRJ31" s="71"/>
      <c r="JRK31" s="71"/>
      <c r="JRL31" s="71"/>
      <c r="JRM31" s="71"/>
      <c r="JRN31" s="71"/>
      <c r="JRO31" s="71"/>
      <c r="JRP31" s="71"/>
      <c r="JRQ31" s="71"/>
      <c r="JRR31" s="71"/>
      <c r="JRS31" s="71"/>
      <c r="JRT31" s="71"/>
      <c r="JRU31" s="71"/>
      <c r="JRV31" s="71"/>
      <c r="JRW31" s="71"/>
      <c r="JRX31" s="71"/>
      <c r="JRY31" s="71"/>
      <c r="JRZ31" s="71"/>
      <c r="JSA31" s="71"/>
      <c r="JSB31" s="71"/>
      <c r="JSC31" s="71"/>
      <c r="JSD31" s="71"/>
      <c r="JSE31" s="71"/>
      <c r="JSF31" s="71"/>
      <c r="JSG31" s="71"/>
      <c r="JSH31" s="71"/>
      <c r="JSI31" s="71"/>
      <c r="JSJ31" s="71"/>
      <c r="JSK31" s="71"/>
      <c r="JSL31" s="71"/>
      <c r="JSM31" s="71"/>
      <c r="JSN31" s="71"/>
      <c r="JSO31" s="71"/>
      <c r="JSP31" s="71"/>
      <c r="JSQ31" s="71"/>
      <c r="JSR31" s="71"/>
      <c r="JSS31" s="71"/>
      <c r="JST31" s="71"/>
      <c r="JSU31" s="71"/>
      <c r="JSV31" s="71"/>
      <c r="JSW31" s="71"/>
      <c r="JSX31" s="71"/>
      <c r="JSY31" s="71"/>
      <c r="JSZ31" s="71"/>
      <c r="JTA31" s="71"/>
      <c r="JTB31" s="71"/>
      <c r="JTC31" s="71"/>
      <c r="JTD31" s="71"/>
      <c r="JTE31" s="71"/>
      <c r="JTF31" s="71"/>
      <c r="JTG31" s="71"/>
      <c r="JTH31" s="71"/>
      <c r="JTI31" s="71"/>
      <c r="JTJ31" s="71"/>
      <c r="JTK31" s="71"/>
      <c r="JTL31" s="71"/>
      <c r="JTM31" s="71"/>
      <c r="JTN31" s="71"/>
      <c r="JTO31" s="71"/>
      <c r="JTP31" s="71"/>
      <c r="JTQ31" s="71"/>
      <c r="JTR31" s="71"/>
      <c r="JTS31" s="71"/>
      <c r="JTT31" s="71"/>
      <c r="JTU31" s="71"/>
      <c r="JTV31" s="71"/>
      <c r="JTW31" s="71"/>
      <c r="JTX31" s="71"/>
      <c r="JTY31" s="71"/>
      <c r="JTZ31" s="71"/>
      <c r="JUA31" s="71"/>
      <c r="JUB31" s="71"/>
      <c r="JUC31" s="71"/>
      <c r="JUD31" s="71"/>
      <c r="JUE31" s="71"/>
      <c r="JUF31" s="71"/>
      <c r="JUG31" s="71"/>
      <c r="JUH31" s="71"/>
      <c r="JUI31" s="71"/>
      <c r="JUJ31" s="71"/>
      <c r="JUK31" s="71"/>
      <c r="JUL31" s="71"/>
      <c r="JUM31" s="71"/>
      <c r="JUN31" s="71"/>
      <c r="JUO31" s="71"/>
      <c r="JUP31" s="71"/>
      <c r="JUQ31" s="71"/>
      <c r="JUR31" s="71"/>
      <c r="JUS31" s="71"/>
      <c r="JUT31" s="71"/>
      <c r="JUU31" s="71"/>
      <c r="JUV31" s="71"/>
      <c r="JUW31" s="71"/>
      <c r="JUX31" s="71"/>
      <c r="JUY31" s="71"/>
      <c r="JUZ31" s="71"/>
      <c r="JVA31" s="71"/>
      <c r="JVB31" s="71"/>
      <c r="JVC31" s="71"/>
      <c r="JVD31" s="71"/>
      <c r="JVE31" s="71"/>
      <c r="JVF31" s="71"/>
      <c r="JVG31" s="71"/>
      <c r="JVH31" s="71"/>
      <c r="JVI31" s="71"/>
      <c r="JVJ31" s="71"/>
      <c r="JVK31" s="71"/>
      <c r="JVL31" s="71"/>
      <c r="JVM31" s="71"/>
      <c r="JVN31" s="71"/>
      <c r="JVO31" s="71"/>
      <c r="JVP31" s="71"/>
      <c r="JVQ31" s="71"/>
      <c r="JVR31" s="71"/>
      <c r="JVS31" s="71"/>
      <c r="JVT31" s="71"/>
      <c r="JVU31" s="71"/>
      <c r="JVV31" s="71"/>
      <c r="JVW31" s="71"/>
      <c r="JVX31" s="71"/>
      <c r="JVY31" s="71"/>
      <c r="JVZ31" s="71"/>
      <c r="JWA31" s="71"/>
      <c r="JWB31" s="71"/>
      <c r="JWC31" s="71"/>
      <c r="JWD31" s="71"/>
      <c r="JWE31" s="71"/>
      <c r="JWF31" s="71"/>
      <c r="JWG31" s="71"/>
      <c r="JWH31" s="71"/>
      <c r="JWI31" s="71"/>
      <c r="JWJ31" s="71"/>
      <c r="JWK31" s="71"/>
      <c r="JWL31" s="71"/>
      <c r="JWM31" s="71"/>
      <c r="JWN31" s="71"/>
      <c r="JWO31" s="71"/>
      <c r="JWP31" s="71"/>
      <c r="JWQ31" s="71"/>
      <c r="JWR31" s="71"/>
      <c r="JWS31" s="71"/>
      <c r="JWT31" s="71"/>
      <c r="JWU31" s="71"/>
      <c r="JWV31" s="71"/>
      <c r="JWW31" s="71"/>
      <c r="JWX31" s="71"/>
      <c r="JWY31" s="71"/>
      <c r="JWZ31" s="71"/>
      <c r="JXA31" s="71"/>
      <c r="JXB31" s="71"/>
      <c r="JXC31" s="71"/>
      <c r="JXD31" s="71"/>
      <c r="JXE31" s="71"/>
      <c r="JXF31" s="71"/>
      <c r="JXG31" s="71"/>
      <c r="JXH31" s="71"/>
      <c r="JXI31" s="71"/>
      <c r="JXJ31" s="71"/>
      <c r="JXK31" s="71"/>
      <c r="JXL31" s="71"/>
      <c r="JXM31" s="71"/>
      <c r="JXN31" s="71"/>
      <c r="JXO31" s="71"/>
      <c r="JXP31" s="71"/>
      <c r="JXQ31" s="71"/>
      <c r="JXR31" s="71"/>
      <c r="JXS31" s="71"/>
      <c r="JXT31" s="71"/>
      <c r="JXU31" s="71"/>
      <c r="JXV31" s="71"/>
      <c r="JXW31" s="71"/>
      <c r="JXX31" s="71"/>
      <c r="JXY31" s="71"/>
      <c r="JXZ31" s="71"/>
      <c r="JYA31" s="71"/>
      <c r="JYB31" s="71"/>
      <c r="JYC31" s="71"/>
      <c r="JYD31" s="71"/>
      <c r="JYE31" s="71"/>
      <c r="JYF31" s="71"/>
      <c r="JYG31" s="71"/>
      <c r="JYH31" s="71"/>
      <c r="JYI31" s="71"/>
      <c r="JYJ31" s="71"/>
      <c r="JYK31" s="71"/>
      <c r="JYL31" s="71"/>
      <c r="JYM31" s="71"/>
      <c r="JYN31" s="71"/>
      <c r="JYO31" s="71"/>
      <c r="JYP31" s="71"/>
      <c r="JYQ31" s="71"/>
      <c r="JYR31" s="71"/>
      <c r="JYS31" s="71"/>
      <c r="JYT31" s="71"/>
      <c r="JYU31" s="71"/>
      <c r="JYV31" s="71"/>
      <c r="JYW31" s="71"/>
      <c r="JYX31" s="71"/>
      <c r="JYY31" s="71"/>
      <c r="JYZ31" s="71"/>
      <c r="JZA31" s="71"/>
      <c r="JZB31" s="71"/>
      <c r="JZC31" s="71"/>
      <c r="JZD31" s="71"/>
      <c r="JZE31" s="71"/>
      <c r="JZF31" s="71"/>
      <c r="JZG31" s="71"/>
      <c r="JZH31" s="71"/>
      <c r="JZI31" s="71"/>
      <c r="JZJ31" s="71"/>
      <c r="JZK31" s="71"/>
      <c r="JZL31" s="71"/>
      <c r="JZM31" s="71"/>
      <c r="JZN31" s="71"/>
      <c r="JZO31" s="71"/>
      <c r="JZP31" s="71"/>
      <c r="JZQ31" s="71"/>
      <c r="JZR31" s="71"/>
      <c r="JZS31" s="71"/>
      <c r="JZT31" s="71"/>
      <c r="JZU31" s="71"/>
      <c r="JZV31" s="71"/>
      <c r="JZW31" s="71"/>
      <c r="JZX31" s="71"/>
      <c r="JZY31" s="71"/>
      <c r="JZZ31" s="71"/>
      <c r="KAA31" s="71"/>
      <c r="KAB31" s="71"/>
      <c r="KAC31" s="71"/>
      <c r="KAD31" s="71"/>
      <c r="KAE31" s="71"/>
      <c r="KAF31" s="71"/>
      <c r="KAG31" s="71"/>
      <c r="KAH31" s="71"/>
      <c r="KAI31" s="71"/>
      <c r="KAJ31" s="71"/>
      <c r="KAK31" s="71"/>
      <c r="KAL31" s="71"/>
      <c r="KAM31" s="71"/>
      <c r="KAN31" s="71"/>
      <c r="KAO31" s="71"/>
      <c r="KAP31" s="71"/>
      <c r="KAQ31" s="71"/>
      <c r="KAR31" s="71"/>
      <c r="KAS31" s="71"/>
      <c r="KAT31" s="71"/>
      <c r="KAU31" s="71"/>
      <c r="KAV31" s="71"/>
      <c r="KAW31" s="71"/>
      <c r="KAX31" s="71"/>
      <c r="KAY31" s="71"/>
      <c r="KAZ31" s="71"/>
      <c r="KBA31" s="71"/>
      <c r="KBB31" s="71"/>
      <c r="KBC31" s="71"/>
      <c r="KBD31" s="71"/>
      <c r="KBE31" s="71"/>
      <c r="KBF31" s="71"/>
      <c r="KBG31" s="71"/>
      <c r="KBH31" s="71"/>
      <c r="KBI31" s="71"/>
      <c r="KBJ31" s="71"/>
      <c r="KBK31" s="71"/>
      <c r="KBL31" s="71"/>
      <c r="KBM31" s="71"/>
      <c r="KBN31" s="71"/>
      <c r="KBO31" s="71"/>
      <c r="KBP31" s="71"/>
      <c r="KBQ31" s="71"/>
      <c r="KBR31" s="71"/>
      <c r="KBS31" s="71"/>
      <c r="KBT31" s="71"/>
      <c r="KBU31" s="71"/>
      <c r="KBV31" s="71"/>
      <c r="KBW31" s="71"/>
      <c r="KBX31" s="71"/>
      <c r="KBY31" s="71"/>
      <c r="KBZ31" s="71"/>
      <c r="KCA31" s="71"/>
      <c r="KCB31" s="71"/>
      <c r="KCC31" s="71"/>
      <c r="KCD31" s="71"/>
      <c r="KCE31" s="71"/>
      <c r="KCF31" s="71"/>
      <c r="KCG31" s="71"/>
      <c r="KCH31" s="71"/>
      <c r="KCI31" s="71"/>
      <c r="KCJ31" s="71"/>
      <c r="KCK31" s="71"/>
      <c r="KCL31" s="71"/>
      <c r="KCM31" s="71"/>
      <c r="KCN31" s="71"/>
      <c r="KCO31" s="71"/>
      <c r="KCP31" s="71"/>
      <c r="KCQ31" s="71"/>
      <c r="KCR31" s="71"/>
      <c r="KCS31" s="71"/>
      <c r="KCT31" s="71"/>
      <c r="KCU31" s="71"/>
      <c r="KCV31" s="71"/>
      <c r="KCW31" s="71"/>
      <c r="KCX31" s="71"/>
      <c r="KCY31" s="71"/>
      <c r="KCZ31" s="71"/>
      <c r="KDA31" s="71"/>
      <c r="KDB31" s="71"/>
      <c r="KDC31" s="71"/>
      <c r="KDD31" s="71"/>
      <c r="KDE31" s="71"/>
      <c r="KDF31" s="71"/>
      <c r="KDG31" s="71"/>
      <c r="KDH31" s="71"/>
      <c r="KDI31" s="71"/>
      <c r="KDJ31" s="71"/>
      <c r="KDK31" s="71"/>
      <c r="KDL31" s="71"/>
      <c r="KDM31" s="71"/>
      <c r="KDN31" s="71"/>
      <c r="KDO31" s="71"/>
      <c r="KDP31" s="71"/>
      <c r="KDQ31" s="71"/>
      <c r="KDR31" s="71"/>
      <c r="KDS31" s="71"/>
      <c r="KDT31" s="71"/>
      <c r="KDU31" s="71"/>
      <c r="KDV31" s="71"/>
      <c r="KDW31" s="71"/>
      <c r="KDX31" s="71"/>
      <c r="KDY31" s="71"/>
      <c r="KDZ31" s="71"/>
      <c r="KEA31" s="71"/>
      <c r="KEB31" s="71"/>
      <c r="KEC31" s="71"/>
      <c r="KED31" s="71"/>
      <c r="KEE31" s="71"/>
      <c r="KEF31" s="71"/>
      <c r="KEG31" s="71"/>
      <c r="KEH31" s="71"/>
      <c r="KEI31" s="71"/>
      <c r="KEJ31" s="71"/>
      <c r="KEK31" s="71"/>
      <c r="KEL31" s="71"/>
      <c r="KEM31" s="71"/>
      <c r="KEN31" s="71"/>
      <c r="KEO31" s="71"/>
      <c r="KEP31" s="71"/>
      <c r="KEQ31" s="71"/>
      <c r="KER31" s="71"/>
      <c r="KES31" s="71"/>
      <c r="KET31" s="71"/>
      <c r="KEU31" s="71"/>
      <c r="KEV31" s="71"/>
      <c r="KEW31" s="71"/>
      <c r="KEX31" s="71"/>
      <c r="KEY31" s="71"/>
      <c r="KEZ31" s="71"/>
      <c r="KFA31" s="71"/>
      <c r="KFB31" s="71"/>
      <c r="KFC31" s="71"/>
      <c r="KFD31" s="71"/>
      <c r="KFE31" s="71"/>
      <c r="KFF31" s="71"/>
      <c r="KFG31" s="71"/>
      <c r="KFH31" s="71"/>
      <c r="KFI31" s="71"/>
      <c r="KFJ31" s="71"/>
      <c r="KFK31" s="71"/>
      <c r="KFL31" s="71"/>
      <c r="KFM31" s="71"/>
      <c r="KFN31" s="71"/>
      <c r="KFO31" s="71"/>
      <c r="KFP31" s="71"/>
      <c r="KFQ31" s="71"/>
      <c r="KFR31" s="71"/>
      <c r="KFS31" s="71"/>
      <c r="KFT31" s="71"/>
      <c r="KFU31" s="71"/>
      <c r="KFV31" s="71"/>
      <c r="KFW31" s="71"/>
      <c r="KFX31" s="71"/>
      <c r="KFY31" s="71"/>
      <c r="KFZ31" s="71"/>
      <c r="KGA31" s="71"/>
      <c r="KGB31" s="71"/>
      <c r="KGC31" s="71"/>
      <c r="KGD31" s="71"/>
      <c r="KGE31" s="71"/>
      <c r="KGF31" s="71"/>
      <c r="KGG31" s="71"/>
      <c r="KGH31" s="71"/>
      <c r="KGI31" s="71"/>
      <c r="KGJ31" s="71"/>
      <c r="KGK31" s="71"/>
      <c r="KGL31" s="71"/>
      <c r="KGM31" s="71"/>
      <c r="KGN31" s="71"/>
      <c r="KGO31" s="71"/>
      <c r="KGP31" s="71"/>
      <c r="KGQ31" s="71"/>
      <c r="KGR31" s="71"/>
      <c r="KGS31" s="71"/>
      <c r="KGT31" s="71"/>
      <c r="KGU31" s="71"/>
      <c r="KGV31" s="71"/>
      <c r="KGW31" s="71"/>
      <c r="KGX31" s="71"/>
      <c r="KGY31" s="71"/>
      <c r="KGZ31" s="71"/>
      <c r="KHA31" s="71"/>
      <c r="KHB31" s="71"/>
      <c r="KHC31" s="71"/>
      <c r="KHD31" s="71"/>
      <c r="KHE31" s="71"/>
      <c r="KHF31" s="71"/>
      <c r="KHG31" s="71"/>
      <c r="KHH31" s="71"/>
      <c r="KHI31" s="71"/>
      <c r="KHJ31" s="71"/>
      <c r="KHK31" s="71"/>
      <c r="KHL31" s="71"/>
      <c r="KHM31" s="71"/>
      <c r="KHN31" s="71"/>
      <c r="KHO31" s="71"/>
      <c r="KHP31" s="71"/>
      <c r="KHQ31" s="71"/>
      <c r="KHR31" s="71"/>
      <c r="KHS31" s="71"/>
      <c r="KHT31" s="71"/>
      <c r="KHU31" s="71"/>
      <c r="KHV31" s="71"/>
      <c r="KHW31" s="71"/>
      <c r="KHX31" s="71"/>
      <c r="KHY31" s="71"/>
      <c r="KHZ31" s="71"/>
      <c r="KIA31" s="71"/>
      <c r="KIB31" s="71"/>
      <c r="KIC31" s="71"/>
      <c r="KID31" s="71"/>
      <c r="KIE31" s="71"/>
      <c r="KIF31" s="71"/>
      <c r="KIG31" s="71"/>
      <c r="KIH31" s="71"/>
      <c r="KII31" s="71"/>
      <c r="KIJ31" s="71"/>
      <c r="KIK31" s="71"/>
      <c r="KIL31" s="71"/>
      <c r="KIM31" s="71"/>
      <c r="KIN31" s="71"/>
      <c r="KIO31" s="71"/>
      <c r="KIP31" s="71"/>
      <c r="KIQ31" s="71"/>
      <c r="KIR31" s="71"/>
      <c r="KIS31" s="71"/>
      <c r="KIT31" s="71"/>
      <c r="KIU31" s="71"/>
      <c r="KIV31" s="71"/>
      <c r="KIW31" s="71"/>
      <c r="KIX31" s="71"/>
      <c r="KIY31" s="71"/>
      <c r="KIZ31" s="71"/>
      <c r="KJA31" s="71"/>
      <c r="KJB31" s="71"/>
      <c r="KJC31" s="71"/>
      <c r="KJD31" s="71"/>
      <c r="KJE31" s="71"/>
      <c r="KJF31" s="71"/>
      <c r="KJG31" s="71"/>
      <c r="KJH31" s="71"/>
      <c r="KJI31" s="71"/>
      <c r="KJJ31" s="71"/>
      <c r="KJK31" s="71"/>
      <c r="KJL31" s="71"/>
      <c r="KJM31" s="71"/>
      <c r="KJN31" s="71"/>
      <c r="KJO31" s="71"/>
      <c r="KJP31" s="71"/>
      <c r="KJQ31" s="71"/>
      <c r="KJR31" s="71"/>
      <c r="KJS31" s="71"/>
      <c r="KJT31" s="71"/>
      <c r="KJU31" s="71"/>
      <c r="KJV31" s="71"/>
      <c r="KJW31" s="71"/>
      <c r="KJX31" s="71"/>
      <c r="KJY31" s="71"/>
      <c r="KJZ31" s="71"/>
      <c r="KKA31" s="71"/>
      <c r="KKB31" s="71"/>
      <c r="KKC31" s="71"/>
      <c r="KKD31" s="71"/>
      <c r="KKE31" s="71"/>
      <c r="KKF31" s="71"/>
      <c r="KKG31" s="71"/>
      <c r="KKH31" s="71"/>
      <c r="KKI31" s="71"/>
      <c r="KKJ31" s="71"/>
      <c r="KKK31" s="71"/>
      <c r="KKL31" s="71"/>
      <c r="KKM31" s="71"/>
      <c r="KKN31" s="71"/>
      <c r="KKO31" s="71"/>
      <c r="KKP31" s="71"/>
      <c r="KKQ31" s="71"/>
      <c r="KKR31" s="71"/>
      <c r="KKS31" s="71"/>
      <c r="KKT31" s="71"/>
      <c r="KKU31" s="71"/>
      <c r="KKV31" s="71"/>
      <c r="KKW31" s="71"/>
      <c r="KKX31" s="71"/>
      <c r="KKY31" s="71"/>
      <c r="KKZ31" s="71"/>
      <c r="KLA31" s="71"/>
      <c r="KLB31" s="71"/>
      <c r="KLC31" s="71"/>
      <c r="KLD31" s="71"/>
      <c r="KLE31" s="71"/>
      <c r="KLF31" s="71"/>
      <c r="KLG31" s="71"/>
      <c r="KLH31" s="71"/>
      <c r="KLI31" s="71"/>
      <c r="KLJ31" s="71"/>
      <c r="KLK31" s="71"/>
      <c r="KLL31" s="71"/>
      <c r="KLM31" s="71"/>
      <c r="KLN31" s="71"/>
      <c r="KLO31" s="71"/>
      <c r="KLP31" s="71"/>
      <c r="KLQ31" s="71"/>
      <c r="KLR31" s="71"/>
      <c r="KLS31" s="71"/>
      <c r="KLT31" s="71"/>
      <c r="KLU31" s="71"/>
      <c r="KLV31" s="71"/>
      <c r="KLW31" s="71"/>
      <c r="KLX31" s="71"/>
      <c r="KLY31" s="71"/>
      <c r="KLZ31" s="71"/>
      <c r="KMA31" s="71"/>
      <c r="KMB31" s="71"/>
      <c r="KMC31" s="71"/>
      <c r="KMD31" s="71"/>
      <c r="KME31" s="71"/>
      <c r="KMF31" s="71"/>
      <c r="KMG31" s="71"/>
      <c r="KMH31" s="71"/>
      <c r="KMI31" s="71"/>
      <c r="KMJ31" s="71"/>
      <c r="KMK31" s="71"/>
      <c r="KML31" s="71"/>
      <c r="KMM31" s="71"/>
      <c r="KMN31" s="71"/>
      <c r="KMO31" s="71"/>
      <c r="KMP31" s="71"/>
      <c r="KMQ31" s="71"/>
      <c r="KMR31" s="71"/>
      <c r="KMS31" s="71"/>
      <c r="KMT31" s="71"/>
      <c r="KMU31" s="71"/>
      <c r="KMV31" s="71"/>
      <c r="KMW31" s="71"/>
      <c r="KMX31" s="71"/>
      <c r="KMY31" s="71"/>
      <c r="KMZ31" s="71"/>
      <c r="KNA31" s="71"/>
      <c r="KNB31" s="71"/>
      <c r="KNC31" s="71"/>
      <c r="KND31" s="71"/>
      <c r="KNE31" s="71"/>
      <c r="KNF31" s="71"/>
      <c r="KNG31" s="71"/>
      <c r="KNH31" s="71"/>
      <c r="KNI31" s="71"/>
      <c r="KNJ31" s="71"/>
      <c r="KNK31" s="71"/>
      <c r="KNL31" s="71"/>
      <c r="KNM31" s="71"/>
      <c r="KNN31" s="71"/>
      <c r="KNO31" s="71"/>
      <c r="KNP31" s="71"/>
      <c r="KNQ31" s="71"/>
      <c r="KNR31" s="71"/>
      <c r="KNS31" s="71"/>
      <c r="KNT31" s="71"/>
      <c r="KNU31" s="71"/>
      <c r="KNV31" s="71"/>
      <c r="KNW31" s="71"/>
      <c r="KNX31" s="71"/>
      <c r="KNY31" s="71"/>
      <c r="KNZ31" s="71"/>
      <c r="KOA31" s="71"/>
      <c r="KOB31" s="71"/>
      <c r="KOC31" s="71"/>
      <c r="KOD31" s="71"/>
      <c r="KOE31" s="71"/>
      <c r="KOF31" s="71"/>
      <c r="KOG31" s="71"/>
      <c r="KOH31" s="71"/>
      <c r="KOI31" s="71"/>
      <c r="KOJ31" s="71"/>
      <c r="KOK31" s="71"/>
      <c r="KOL31" s="71"/>
      <c r="KOM31" s="71"/>
      <c r="KON31" s="71"/>
      <c r="KOO31" s="71"/>
      <c r="KOP31" s="71"/>
      <c r="KOQ31" s="71"/>
      <c r="KOR31" s="71"/>
      <c r="KOS31" s="71"/>
      <c r="KOT31" s="71"/>
      <c r="KOU31" s="71"/>
      <c r="KOV31" s="71"/>
      <c r="KOW31" s="71"/>
      <c r="KOX31" s="71"/>
      <c r="KOY31" s="71"/>
      <c r="KOZ31" s="71"/>
      <c r="KPA31" s="71"/>
      <c r="KPB31" s="71"/>
      <c r="KPC31" s="71"/>
      <c r="KPD31" s="71"/>
      <c r="KPE31" s="71"/>
      <c r="KPF31" s="71"/>
      <c r="KPG31" s="71"/>
      <c r="KPH31" s="71"/>
      <c r="KPI31" s="71"/>
      <c r="KPJ31" s="71"/>
      <c r="KPK31" s="71"/>
      <c r="KPL31" s="71"/>
      <c r="KPM31" s="71"/>
      <c r="KPN31" s="71"/>
      <c r="KPO31" s="71"/>
      <c r="KPP31" s="71"/>
      <c r="KPQ31" s="71"/>
      <c r="KPR31" s="71"/>
      <c r="KPS31" s="71"/>
      <c r="KPT31" s="71"/>
      <c r="KPU31" s="71"/>
      <c r="KPV31" s="71"/>
      <c r="KPW31" s="71"/>
      <c r="KPX31" s="71"/>
      <c r="KPY31" s="71"/>
      <c r="KPZ31" s="71"/>
      <c r="KQA31" s="71"/>
      <c r="KQB31" s="71"/>
      <c r="KQC31" s="71"/>
      <c r="KQD31" s="71"/>
      <c r="KQE31" s="71"/>
      <c r="KQF31" s="71"/>
      <c r="KQG31" s="71"/>
      <c r="KQH31" s="71"/>
      <c r="KQI31" s="71"/>
      <c r="KQJ31" s="71"/>
      <c r="KQK31" s="71"/>
      <c r="KQL31" s="71"/>
      <c r="KQM31" s="71"/>
      <c r="KQN31" s="71"/>
      <c r="KQO31" s="71"/>
      <c r="KQP31" s="71"/>
      <c r="KQQ31" s="71"/>
      <c r="KQR31" s="71"/>
      <c r="KQS31" s="71"/>
      <c r="KQT31" s="71"/>
      <c r="KQU31" s="71"/>
      <c r="KQV31" s="71"/>
      <c r="KQW31" s="71"/>
      <c r="KQX31" s="71"/>
      <c r="KQY31" s="71"/>
      <c r="KQZ31" s="71"/>
      <c r="KRA31" s="71"/>
      <c r="KRB31" s="71"/>
      <c r="KRC31" s="71"/>
      <c r="KRD31" s="71"/>
      <c r="KRE31" s="71"/>
      <c r="KRF31" s="71"/>
      <c r="KRG31" s="71"/>
      <c r="KRH31" s="71"/>
      <c r="KRI31" s="71"/>
      <c r="KRJ31" s="71"/>
      <c r="KRK31" s="71"/>
      <c r="KRL31" s="71"/>
      <c r="KRM31" s="71"/>
      <c r="KRN31" s="71"/>
      <c r="KRO31" s="71"/>
      <c r="KRP31" s="71"/>
      <c r="KRQ31" s="71"/>
      <c r="KRR31" s="71"/>
      <c r="KRS31" s="71"/>
      <c r="KRT31" s="71"/>
      <c r="KRU31" s="71"/>
      <c r="KRV31" s="71"/>
      <c r="KRW31" s="71"/>
      <c r="KRX31" s="71"/>
      <c r="KRY31" s="71"/>
      <c r="KRZ31" s="71"/>
      <c r="KSA31" s="71"/>
      <c r="KSB31" s="71"/>
      <c r="KSC31" s="71"/>
      <c r="KSD31" s="71"/>
      <c r="KSE31" s="71"/>
      <c r="KSF31" s="71"/>
      <c r="KSG31" s="71"/>
      <c r="KSH31" s="71"/>
      <c r="KSI31" s="71"/>
      <c r="KSJ31" s="71"/>
      <c r="KSK31" s="71"/>
      <c r="KSL31" s="71"/>
      <c r="KSM31" s="71"/>
      <c r="KSN31" s="71"/>
      <c r="KSO31" s="71"/>
      <c r="KSP31" s="71"/>
      <c r="KSQ31" s="71"/>
      <c r="KSR31" s="71"/>
      <c r="KSS31" s="71"/>
      <c r="KST31" s="71"/>
      <c r="KSU31" s="71"/>
      <c r="KSV31" s="71"/>
      <c r="KSW31" s="71"/>
      <c r="KSX31" s="71"/>
      <c r="KSY31" s="71"/>
      <c r="KSZ31" s="71"/>
      <c r="KTA31" s="71"/>
      <c r="KTB31" s="71"/>
      <c r="KTC31" s="71"/>
      <c r="KTD31" s="71"/>
      <c r="KTE31" s="71"/>
      <c r="KTF31" s="71"/>
      <c r="KTG31" s="71"/>
      <c r="KTH31" s="71"/>
      <c r="KTI31" s="71"/>
      <c r="KTJ31" s="71"/>
      <c r="KTK31" s="71"/>
      <c r="KTL31" s="71"/>
      <c r="KTM31" s="71"/>
      <c r="KTN31" s="71"/>
      <c r="KTO31" s="71"/>
      <c r="KTP31" s="71"/>
      <c r="KTQ31" s="71"/>
      <c r="KTR31" s="71"/>
      <c r="KTS31" s="71"/>
      <c r="KTT31" s="71"/>
      <c r="KTU31" s="71"/>
      <c r="KTV31" s="71"/>
      <c r="KTW31" s="71"/>
      <c r="KTX31" s="71"/>
      <c r="KTY31" s="71"/>
      <c r="KTZ31" s="71"/>
      <c r="KUA31" s="71"/>
      <c r="KUB31" s="71"/>
      <c r="KUC31" s="71"/>
      <c r="KUD31" s="71"/>
      <c r="KUE31" s="71"/>
      <c r="KUF31" s="71"/>
      <c r="KUG31" s="71"/>
      <c r="KUH31" s="71"/>
      <c r="KUI31" s="71"/>
      <c r="KUJ31" s="71"/>
      <c r="KUK31" s="71"/>
      <c r="KUL31" s="71"/>
      <c r="KUM31" s="71"/>
      <c r="KUN31" s="71"/>
      <c r="KUO31" s="71"/>
      <c r="KUP31" s="71"/>
      <c r="KUQ31" s="71"/>
      <c r="KUR31" s="71"/>
      <c r="KUS31" s="71"/>
      <c r="KUT31" s="71"/>
      <c r="KUU31" s="71"/>
      <c r="KUV31" s="71"/>
      <c r="KUW31" s="71"/>
      <c r="KUX31" s="71"/>
      <c r="KUY31" s="71"/>
      <c r="KUZ31" s="71"/>
      <c r="KVA31" s="71"/>
      <c r="KVB31" s="71"/>
      <c r="KVC31" s="71"/>
      <c r="KVD31" s="71"/>
      <c r="KVE31" s="71"/>
      <c r="KVF31" s="71"/>
      <c r="KVG31" s="71"/>
      <c r="KVH31" s="71"/>
      <c r="KVI31" s="71"/>
      <c r="KVJ31" s="71"/>
      <c r="KVK31" s="71"/>
      <c r="KVL31" s="71"/>
      <c r="KVM31" s="71"/>
      <c r="KVN31" s="71"/>
      <c r="KVO31" s="71"/>
      <c r="KVP31" s="71"/>
      <c r="KVQ31" s="71"/>
      <c r="KVR31" s="71"/>
      <c r="KVS31" s="71"/>
      <c r="KVT31" s="71"/>
      <c r="KVU31" s="71"/>
      <c r="KVV31" s="71"/>
      <c r="KVW31" s="71"/>
      <c r="KVX31" s="71"/>
      <c r="KVY31" s="71"/>
      <c r="KVZ31" s="71"/>
      <c r="KWA31" s="71"/>
      <c r="KWB31" s="71"/>
      <c r="KWC31" s="71"/>
      <c r="KWD31" s="71"/>
      <c r="KWE31" s="71"/>
      <c r="KWF31" s="71"/>
      <c r="KWG31" s="71"/>
      <c r="KWH31" s="71"/>
      <c r="KWI31" s="71"/>
      <c r="KWJ31" s="71"/>
      <c r="KWK31" s="71"/>
      <c r="KWL31" s="71"/>
      <c r="KWM31" s="71"/>
      <c r="KWN31" s="71"/>
      <c r="KWO31" s="71"/>
      <c r="KWP31" s="71"/>
      <c r="KWQ31" s="71"/>
      <c r="KWR31" s="71"/>
      <c r="KWS31" s="71"/>
      <c r="KWT31" s="71"/>
      <c r="KWU31" s="71"/>
      <c r="KWV31" s="71"/>
      <c r="KWW31" s="71"/>
      <c r="KWX31" s="71"/>
      <c r="KWY31" s="71"/>
      <c r="KWZ31" s="71"/>
      <c r="KXA31" s="71"/>
      <c r="KXB31" s="71"/>
      <c r="KXC31" s="71"/>
      <c r="KXD31" s="71"/>
      <c r="KXE31" s="71"/>
      <c r="KXF31" s="71"/>
      <c r="KXG31" s="71"/>
      <c r="KXH31" s="71"/>
      <c r="KXI31" s="71"/>
      <c r="KXJ31" s="71"/>
      <c r="KXK31" s="71"/>
      <c r="KXL31" s="71"/>
      <c r="KXM31" s="71"/>
      <c r="KXN31" s="71"/>
      <c r="KXO31" s="71"/>
      <c r="KXP31" s="71"/>
      <c r="KXQ31" s="71"/>
      <c r="KXR31" s="71"/>
      <c r="KXS31" s="71"/>
      <c r="KXT31" s="71"/>
      <c r="KXU31" s="71"/>
      <c r="KXV31" s="71"/>
      <c r="KXW31" s="71"/>
      <c r="KXX31" s="71"/>
      <c r="KXY31" s="71"/>
      <c r="KXZ31" s="71"/>
      <c r="KYA31" s="71"/>
      <c r="KYB31" s="71"/>
      <c r="KYC31" s="71"/>
      <c r="KYD31" s="71"/>
      <c r="KYE31" s="71"/>
      <c r="KYF31" s="71"/>
      <c r="KYG31" s="71"/>
      <c r="KYH31" s="71"/>
      <c r="KYI31" s="71"/>
      <c r="KYJ31" s="71"/>
      <c r="KYK31" s="71"/>
      <c r="KYL31" s="71"/>
      <c r="KYM31" s="71"/>
      <c r="KYN31" s="71"/>
      <c r="KYO31" s="71"/>
      <c r="KYP31" s="71"/>
      <c r="KYQ31" s="71"/>
      <c r="KYR31" s="71"/>
      <c r="KYS31" s="71"/>
      <c r="KYT31" s="71"/>
      <c r="KYU31" s="71"/>
      <c r="KYV31" s="71"/>
      <c r="KYW31" s="71"/>
      <c r="KYX31" s="71"/>
      <c r="KYY31" s="71"/>
      <c r="KYZ31" s="71"/>
      <c r="KZA31" s="71"/>
      <c r="KZB31" s="71"/>
      <c r="KZC31" s="71"/>
      <c r="KZD31" s="71"/>
      <c r="KZE31" s="71"/>
      <c r="KZF31" s="71"/>
      <c r="KZG31" s="71"/>
      <c r="KZH31" s="71"/>
      <c r="KZI31" s="71"/>
      <c r="KZJ31" s="71"/>
      <c r="KZK31" s="71"/>
      <c r="KZL31" s="71"/>
      <c r="KZM31" s="71"/>
      <c r="KZN31" s="71"/>
      <c r="KZO31" s="71"/>
      <c r="KZP31" s="71"/>
      <c r="KZQ31" s="71"/>
      <c r="KZR31" s="71"/>
      <c r="KZS31" s="71"/>
      <c r="KZT31" s="71"/>
      <c r="KZU31" s="71"/>
      <c r="KZV31" s="71"/>
      <c r="KZW31" s="71"/>
      <c r="KZX31" s="71"/>
      <c r="KZY31" s="71"/>
      <c r="KZZ31" s="71"/>
      <c r="LAA31" s="71"/>
      <c r="LAB31" s="71"/>
      <c r="LAC31" s="71"/>
      <c r="LAD31" s="71"/>
      <c r="LAE31" s="71"/>
      <c r="LAF31" s="71"/>
      <c r="LAG31" s="71"/>
      <c r="LAH31" s="71"/>
      <c r="LAI31" s="71"/>
      <c r="LAJ31" s="71"/>
      <c r="LAK31" s="71"/>
      <c r="LAL31" s="71"/>
      <c r="LAM31" s="71"/>
      <c r="LAN31" s="71"/>
      <c r="LAO31" s="71"/>
      <c r="LAP31" s="71"/>
      <c r="LAQ31" s="71"/>
      <c r="LAR31" s="71"/>
      <c r="LAS31" s="71"/>
      <c r="LAT31" s="71"/>
      <c r="LAU31" s="71"/>
      <c r="LAV31" s="71"/>
      <c r="LAW31" s="71"/>
      <c r="LAX31" s="71"/>
      <c r="LAY31" s="71"/>
      <c r="LAZ31" s="71"/>
      <c r="LBA31" s="71"/>
      <c r="LBB31" s="71"/>
      <c r="LBC31" s="71"/>
      <c r="LBD31" s="71"/>
      <c r="LBE31" s="71"/>
      <c r="LBF31" s="71"/>
      <c r="LBG31" s="71"/>
      <c r="LBH31" s="71"/>
      <c r="LBI31" s="71"/>
      <c r="LBJ31" s="71"/>
      <c r="LBK31" s="71"/>
      <c r="LBL31" s="71"/>
      <c r="LBM31" s="71"/>
      <c r="LBN31" s="71"/>
      <c r="LBO31" s="71"/>
      <c r="LBP31" s="71"/>
      <c r="LBQ31" s="71"/>
      <c r="LBR31" s="71"/>
      <c r="LBS31" s="71"/>
      <c r="LBT31" s="71"/>
      <c r="LBU31" s="71"/>
      <c r="LBV31" s="71"/>
      <c r="LBW31" s="71"/>
      <c r="LBX31" s="71"/>
      <c r="LBY31" s="71"/>
      <c r="LBZ31" s="71"/>
      <c r="LCA31" s="71"/>
      <c r="LCB31" s="71"/>
      <c r="LCC31" s="71"/>
      <c r="LCD31" s="71"/>
      <c r="LCE31" s="71"/>
      <c r="LCF31" s="71"/>
      <c r="LCG31" s="71"/>
      <c r="LCH31" s="71"/>
      <c r="LCI31" s="71"/>
      <c r="LCJ31" s="71"/>
      <c r="LCK31" s="71"/>
      <c r="LCL31" s="71"/>
      <c r="LCM31" s="71"/>
      <c r="LCN31" s="71"/>
      <c r="LCO31" s="71"/>
      <c r="LCP31" s="71"/>
      <c r="LCQ31" s="71"/>
      <c r="LCR31" s="71"/>
      <c r="LCS31" s="71"/>
      <c r="LCT31" s="71"/>
      <c r="LCU31" s="71"/>
      <c r="LCV31" s="71"/>
      <c r="LCW31" s="71"/>
      <c r="LCX31" s="71"/>
      <c r="LCY31" s="71"/>
      <c r="LCZ31" s="71"/>
      <c r="LDA31" s="71"/>
      <c r="LDB31" s="71"/>
      <c r="LDC31" s="71"/>
      <c r="LDD31" s="71"/>
      <c r="LDE31" s="71"/>
      <c r="LDF31" s="71"/>
      <c r="LDG31" s="71"/>
      <c r="LDH31" s="71"/>
      <c r="LDI31" s="71"/>
      <c r="LDJ31" s="71"/>
      <c r="LDK31" s="71"/>
      <c r="LDL31" s="71"/>
      <c r="LDM31" s="71"/>
      <c r="LDN31" s="71"/>
      <c r="LDO31" s="71"/>
      <c r="LDP31" s="71"/>
      <c r="LDQ31" s="71"/>
      <c r="LDR31" s="71"/>
      <c r="LDS31" s="71"/>
      <c r="LDT31" s="71"/>
      <c r="LDU31" s="71"/>
      <c r="LDV31" s="71"/>
      <c r="LDW31" s="71"/>
      <c r="LDX31" s="71"/>
      <c r="LDY31" s="71"/>
      <c r="LDZ31" s="71"/>
      <c r="LEA31" s="71"/>
      <c r="LEB31" s="71"/>
      <c r="LEC31" s="71"/>
      <c r="LED31" s="71"/>
      <c r="LEE31" s="71"/>
      <c r="LEF31" s="71"/>
      <c r="LEG31" s="71"/>
      <c r="LEH31" s="71"/>
      <c r="LEI31" s="71"/>
      <c r="LEJ31" s="71"/>
      <c r="LEK31" s="71"/>
      <c r="LEL31" s="71"/>
      <c r="LEM31" s="71"/>
      <c r="LEN31" s="71"/>
      <c r="LEO31" s="71"/>
      <c r="LEP31" s="71"/>
      <c r="LEQ31" s="71"/>
      <c r="LER31" s="71"/>
      <c r="LES31" s="71"/>
      <c r="LET31" s="71"/>
      <c r="LEU31" s="71"/>
      <c r="LEV31" s="71"/>
      <c r="LEW31" s="71"/>
      <c r="LEX31" s="71"/>
      <c r="LEY31" s="71"/>
      <c r="LEZ31" s="71"/>
      <c r="LFA31" s="71"/>
      <c r="LFB31" s="71"/>
      <c r="LFC31" s="71"/>
      <c r="LFD31" s="71"/>
      <c r="LFE31" s="71"/>
      <c r="LFF31" s="71"/>
      <c r="LFG31" s="71"/>
      <c r="LFH31" s="71"/>
      <c r="LFI31" s="71"/>
      <c r="LFJ31" s="71"/>
      <c r="LFK31" s="71"/>
      <c r="LFL31" s="71"/>
      <c r="LFM31" s="71"/>
      <c r="LFN31" s="71"/>
      <c r="LFO31" s="71"/>
      <c r="LFP31" s="71"/>
      <c r="LFQ31" s="71"/>
      <c r="LFR31" s="71"/>
      <c r="LFS31" s="71"/>
      <c r="LFT31" s="71"/>
      <c r="LFU31" s="71"/>
      <c r="LFV31" s="71"/>
      <c r="LFW31" s="71"/>
      <c r="LFX31" s="71"/>
      <c r="LFY31" s="71"/>
      <c r="LFZ31" s="71"/>
      <c r="LGA31" s="71"/>
      <c r="LGB31" s="71"/>
      <c r="LGC31" s="71"/>
      <c r="LGD31" s="71"/>
      <c r="LGE31" s="71"/>
      <c r="LGF31" s="71"/>
      <c r="LGG31" s="71"/>
      <c r="LGH31" s="71"/>
      <c r="LGI31" s="71"/>
      <c r="LGJ31" s="71"/>
      <c r="LGK31" s="71"/>
      <c r="LGL31" s="71"/>
      <c r="LGM31" s="71"/>
      <c r="LGN31" s="71"/>
      <c r="LGO31" s="71"/>
      <c r="LGP31" s="71"/>
      <c r="LGQ31" s="71"/>
      <c r="LGR31" s="71"/>
      <c r="LGS31" s="71"/>
      <c r="LGT31" s="71"/>
      <c r="LGU31" s="71"/>
      <c r="LGV31" s="71"/>
      <c r="LGW31" s="71"/>
      <c r="LGX31" s="71"/>
      <c r="LGY31" s="71"/>
      <c r="LGZ31" s="71"/>
      <c r="LHA31" s="71"/>
      <c r="LHB31" s="71"/>
      <c r="LHC31" s="71"/>
      <c r="LHD31" s="71"/>
      <c r="LHE31" s="71"/>
      <c r="LHF31" s="71"/>
      <c r="LHG31" s="71"/>
      <c r="LHH31" s="71"/>
      <c r="LHI31" s="71"/>
      <c r="LHJ31" s="71"/>
      <c r="LHK31" s="71"/>
      <c r="LHL31" s="71"/>
      <c r="LHM31" s="71"/>
      <c r="LHN31" s="71"/>
      <c r="LHO31" s="71"/>
      <c r="LHP31" s="71"/>
      <c r="LHQ31" s="71"/>
      <c r="LHR31" s="71"/>
      <c r="LHS31" s="71"/>
      <c r="LHT31" s="71"/>
      <c r="LHU31" s="71"/>
      <c r="LHV31" s="71"/>
      <c r="LHW31" s="71"/>
      <c r="LHX31" s="71"/>
      <c r="LHY31" s="71"/>
      <c r="LHZ31" s="71"/>
      <c r="LIA31" s="71"/>
      <c r="LIB31" s="71"/>
      <c r="LIC31" s="71"/>
      <c r="LID31" s="71"/>
      <c r="LIE31" s="71"/>
      <c r="LIF31" s="71"/>
      <c r="LIG31" s="71"/>
      <c r="LIH31" s="71"/>
      <c r="LII31" s="71"/>
      <c r="LIJ31" s="71"/>
      <c r="LIK31" s="71"/>
      <c r="LIL31" s="71"/>
      <c r="LIM31" s="71"/>
      <c r="LIN31" s="71"/>
      <c r="LIO31" s="71"/>
      <c r="LIP31" s="71"/>
      <c r="LIQ31" s="71"/>
      <c r="LIR31" s="71"/>
      <c r="LIS31" s="71"/>
      <c r="LIT31" s="71"/>
      <c r="LIU31" s="71"/>
      <c r="LIV31" s="71"/>
      <c r="LIW31" s="71"/>
      <c r="LIX31" s="71"/>
      <c r="LIY31" s="71"/>
      <c r="LIZ31" s="71"/>
      <c r="LJA31" s="71"/>
      <c r="LJB31" s="71"/>
      <c r="LJC31" s="71"/>
      <c r="LJD31" s="71"/>
      <c r="LJE31" s="71"/>
      <c r="LJF31" s="71"/>
      <c r="LJG31" s="71"/>
      <c r="LJH31" s="71"/>
      <c r="LJI31" s="71"/>
      <c r="LJJ31" s="71"/>
      <c r="LJK31" s="71"/>
      <c r="LJL31" s="71"/>
      <c r="LJM31" s="71"/>
      <c r="LJN31" s="71"/>
      <c r="LJO31" s="71"/>
      <c r="LJP31" s="71"/>
      <c r="LJQ31" s="71"/>
      <c r="LJR31" s="71"/>
      <c r="LJS31" s="71"/>
      <c r="LJT31" s="71"/>
      <c r="LJU31" s="71"/>
      <c r="LJV31" s="71"/>
      <c r="LJW31" s="71"/>
      <c r="LJX31" s="71"/>
      <c r="LJY31" s="71"/>
      <c r="LJZ31" s="71"/>
      <c r="LKA31" s="71"/>
      <c r="LKB31" s="71"/>
      <c r="LKC31" s="71"/>
      <c r="LKD31" s="71"/>
      <c r="LKE31" s="71"/>
      <c r="LKF31" s="71"/>
      <c r="LKG31" s="71"/>
      <c r="LKH31" s="71"/>
      <c r="LKI31" s="71"/>
      <c r="LKJ31" s="71"/>
      <c r="LKK31" s="71"/>
      <c r="LKL31" s="71"/>
      <c r="LKM31" s="71"/>
      <c r="LKN31" s="71"/>
      <c r="LKO31" s="71"/>
      <c r="LKP31" s="71"/>
      <c r="LKQ31" s="71"/>
      <c r="LKR31" s="71"/>
      <c r="LKS31" s="71"/>
      <c r="LKT31" s="71"/>
      <c r="LKU31" s="71"/>
      <c r="LKV31" s="71"/>
      <c r="LKW31" s="71"/>
      <c r="LKX31" s="71"/>
      <c r="LKY31" s="71"/>
      <c r="LKZ31" s="71"/>
      <c r="LLA31" s="71"/>
      <c r="LLB31" s="71"/>
      <c r="LLC31" s="71"/>
      <c r="LLD31" s="71"/>
      <c r="LLE31" s="71"/>
      <c r="LLF31" s="71"/>
      <c r="LLG31" s="71"/>
      <c r="LLH31" s="71"/>
      <c r="LLI31" s="71"/>
      <c r="LLJ31" s="71"/>
      <c r="LLK31" s="71"/>
      <c r="LLL31" s="71"/>
      <c r="LLM31" s="71"/>
      <c r="LLN31" s="71"/>
      <c r="LLO31" s="71"/>
      <c r="LLP31" s="71"/>
      <c r="LLQ31" s="71"/>
      <c r="LLR31" s="71"/>
      <c r="LLS31" s="71"/>
      <c r="LLT31" s="71"/>
      <c r="LLU31" s="71"/>
      <c r="LLV31" s="71"/>
      <c r="LLW31" s="71"/>
      <c r="LLX31" s="71"/>
      <c r="LLY31" s="71"/>
      <c r="LLZ31" s="71"/>
      <c r="LMA31" s="71"/>
      <c r="LMB31" s="71"/>
      <c r="LMC31" s="71"/>
      <c r="LMD31" s="71"/>
      <c r="LME31" s="71"/>
      <c r="LMF31" s="71"/>
      <c r="LMG31" s="71"/>
      <c r="LMH31" s="71"/>
      <c r="LMI31" s="71"/>
      <c r="LMJ31" s="71"/>
      <c r="LMK31" s="71"/>
      <c r="LML31" s="71"/>
      <c r="LMM31" s="71"/>
      <c r="LMN31" s="71"/>
      <c r="LMO31" s="71"/>
      <c r="LMP31" s="71"/>
      <c r="LMQ31" s="71"/>
      <c r="LMR31" s="71"/>
      <c r="LMS31" s="71"/>
      <c r="LMT31" s="71"/>
      <c r="LMU31" s="71"/>
      <c r="LMV31" s="71"/>
      <c r="LMW31" s="71"/>
      <c r="LMX31" s="71"/>
      <c r="LMY31" s="71"/>
      <c r="LMZ31" s="71"/>
      <c r="LNA31" s="71"/>
      <c r="LNB31" s="71"/>
      <c r="LNC31" s="71"/>
      <c r="LND31" s="71"/>
      <c r="LNE31" s="71"/>
      <c r="LNF31" s="71"/>
      <c r="LNG31" s="71"/>
      <c r="LNH31" s="71"/>
      <c r="LNI31" s="71"/>
      <c r="LNJ31" s="71"/>
      <c r="LNK31" s="71"/>
      <c r="LNL31" s="71"/>
      <c r="LNM31" s="71"/>
      <c r="LNN31" s="71"/>
      <c r="LNO31" s="71"/>
      <c r="LNP31" s="71"/>
      <c r="LNQ31" s="71"/>
      <c r="LNR31" s="71"/>
      <c r="LNS31" s="71"/>
      <c r="LNT31" s="71"/>
      <c r="LNU31" s="71"/>
      <c r="LNV31" s="71"/>
      <c r="LNW31" s="71"/>
      <c r="LNX31" s="71"/>
      <c r="LNY31" s="71"/>
      <c r="LNZ31" s="71"/>
      <c r="LOA31" s="71"/>
      <c r="LOB31" s="71"/>
      <c r="LOC31" s="71"/>
      <c r="LOD31" s="71"/>
      <c r="LOE31" s="71"/>
      <c r="LOF31" s="71"/>
      <c r="LOG31" s="71"/>
      <c r="LOH31" s="71"/>
      <c r="LOI31" s="71"/>
      <c r="LOJ31" s="71"/>
      <c r="LOK31" s="71"/>
      <c r="LOL31" s="71"/>
      <c r="LOM31" s="71"/>
      <c r="LON31" s="71"/>
      <c r="LOO31" s="71"/>
      <c r="LOP31" s="71"/>
      <c r="LOQ31" s="71"/>
      <c r="LOR31" s="71"/>
      <c r="LOS31" s="71"/>
      <c r="LOT31" s="71"/>
      <c r="LOU31" s="71"/>
      <c r="LOV31" s="71"/>
      <c r="LOW31" s="71"/>
      <c r="LOX31" s="71"/>
      <c r="LOY31" s="71"/>
      <c r="LOZ31" s="71"/>
      <c r="LPA31" s="71"/>
      <c r="LPB31" s="71"/>
      <c r="LPC31" s="71"/>
      <c r="LPD31" s="71"/>
      <c r="LPE31" s="71"/>
      <c r="LPF31" s="71"/>
      <c r="LPG31" s="71"/>
      <c r="LPH31" s="71"/>
      <c r="LPI31" s="71"/>
      <c r="LPJ31" s="71"/>
      <c r="LPK31" s="71"/>
      <c r="LPL31" s="71"/>
      <c r="LPM31" s="71"/>
      <c r="LPN31" s="71"/>
      <c r="LPO31" s="71"/>
      <c r="LPP31" s="71"/>
      <c r="LPQ31" s="71"/>
      <c r="LPR31" s="71"/>
      <c r="LPS31" s="71"/>
      <c r="LPT31" s="71"/>
      <c r="LPU31" s="71"/>
      <c r="LPV31" s="71"/>
      <c r="LPW31" s="71"/>
      <c r="LPX31" s="71"/>
      <c r="LPY31" s="71"/>
      <c r="LPZ31" s="71"/>
      <c r="LQA31" s="71"/>
      <c r="LQB31" s="71"/>
      <c r="LQC31" s="71"/>
      <c r="LQD31" s="71"/>
      <c r="LQE31" s="71"/>
      <c r="LQF31" s="71"/>
      <c r="LQG31" s="71"/>
      <c r="LQH31" s="71"/>
      <c r="LQI31" s="71"/>
      <c r="LQJ31" s="71"/>
      <c r="LQK31" s="71"/>
      <c r="LQL31" s="71"/>
      <c r="LQM31" s="71"/>
      <c r="LQN31" s="71"/>
      <c r="LQO31" s="71"/>
      <c r="LQP31" s="71"/>
      <c r="LQQ31" s="71"/>
      <c r="LQR31" s="71"/>
      <c r="LQS31" s="71"/>
      <c r="LQT31" s="71"/>
      <c r="LQU31" s="71"/>
      <c r="LQV31" s="71"/>
      <c r="LQW31" s="71"/>
      <c r="LQX31" s="71"/>
      <c r="LQY31" s="71"/>
      <c r="LQZ31" s="71"/>
      <c r="LRA31" s="71"/>
      <c r="LRB31" s="71"/>
      <c r="LRC31" s="71"/>
      <c r="LRD31" s="71"/>
      <c r="LRE31" s="71"/>
      <c r="LRF31" s="71"/>
      <c r="LRG31" s="71"/>
      <c r="LRH31" s="71"/>
      <c r="LRI31" s="71"/>
      <c r="LRJ31" s="71"/>
      <c r="LRK31" s="71"/>
      <c r="LRL31" s="71"/>
      <c r="LRM31" s="71"/>
      <c r="LRN31" s="71"/>
      <c r="LRO31" s="71"/>
      <c r="LRP31" s="71"/>
      <c r="LRQ31" s="71"/>
      <c r="LRR31" s="71"/>
      <c r="LRS31" s="71"/>
      <c r="LRT31" s="71"/>
      <c r="LRU31" s="71"/>
      <c r="LRV31" s="71"/>
      <c r="LRW31" s="71"/>
      <c r="LRX31" s="71"/>
      <c r="LRY31" s="71"/>
      <c r="LRZ31" s="71"/>
      <c r="LSA31" s="71"/>
      <c r="LSB31" s="71"/>
      <c r="LSC31" s="71"/>
      <c r="LSD31" s="71"/>
      <c r="LSE31" s="71"/>
      <c r="LSF31" s="71"/>
      <c r="LSG31" s="71"/>
      <c r="LSH31" s="71"/>
      <c r="LSI31" s="71"/>
      <c r="LSJ31" s="71"/>
      <c r="LSK31" s="71"/>
      <c r="LSL31" s="71"/>
      <c r="LSM31" s="71"/>
      <c r="LSN31" s="71"/>
      <c r="LSO31" s="71"/>
      <c r="LSP31" s="71"/>
      <c r="LSQ31" s="71"/>
      <c r="LSR31" s="71"/>
      <c r="LSS31" s="71"/>
      <c r="LST31" s="71"/>
      <c r="LSU31" s="71"/>
      <c r="LSV31" s="71"/>
      <c r="LSW31" s="71"/>
      <c r="LSX31" s="71"/>
      <c r="LSY31" s="71"/>
      <c r="LSZ31" s="71"/>
      <c r="LTA31" s="71"/>
      <c r="LTB31" s="71"/>
      <c r="LTC31" s="71"/>
      <c r="LTD31" s="71"/>
      <c r="LTE31" s="71"/>
      <c r="LTF31" s="71"/>
      <c r="LTG31" s="71"/>
      <c r="LTH31" s="71"/>
      <c r="LTI31" s="71"/>
      <c r="LTJ31" s="71"/>
      <c r="LTK31" s="71"/>
      <c r="LTL31" s="71"/>
      <c r="LTM31" s="71"/>
      <c r="LTN31" s="71"/>
      <c r="LTO31" s="71"/>
      <c r="LTP31" s="71"/>
      <c r="LTQ31" s="71"/>
      <c r="LTR31" s="71"/>
      <c r="LTS31" s="71"/>
      <c r="LTT31" s="71"/>
      <c r="LTU31" s="71"/>
      <c r="LTV31" s="71"/>
      <c r="LTW31" s="71"/>
      <c r="LTX31" s="71"/>
      <c r="LTY31" s="71"/>
      <c r="LTZ31" s="71"/>
      <c r="LUA31" s="71"/>
      <c r="LUB31" s="71"/>
      <c r="LUC31" s="71"/>
      <c r="LUD31" s="71"/>
      <c r="LUE31" s="71"/>
      <c r="LUF31" s="71"/>
      <c r="LUG31" s="71"/>
      <c r="LUH31" s="71"/>
      <c r="LUI31" s="71"/>
      <c r="LUJ31" s="71"/>
      <c r="LUK31" s="71"/>
      <c r="LUL31" s="71"/>
      <c r="LUM31" s="71"/>
      <c r="LUN31" s="71"/>
      <c r="LUO31" s="71"/>
      <c r="LUP31" s="71"/>
      <c r="LUQ31" s="71"/>
      <c r="LUR31" s="71"/>
      <c r="LUS31" s="71"/>
      <c r="LUT31" s="71"/>
      <c r="LUU31" s="71"/>
      <c r="LUV31" s="71"/>
      <c r="LUW31" s="71"/>
      <c r="LUX31" s="71"/>
      <c r="LUY31" s="71"/>
      <c r="LUZ31" s="71"/>
      <c r="LVA31" s="71"/>
      <c r="LVB31" s="71"/>
      <c r="LVC31" s="71"/>
      <c r="LVD31" s="71"/>
      <c r="LVE31" s="71"/>
      <c r="LVF31" s="71"/>
      <c r="LVG31" s="71"/>
      <c r="LVH31" s="71"/>
      <c r="LVI31" s="71"/>
      <c r="LVJ31" s="71"/>
      <c r="LVK31" s="71"/>
      <c r="LVL31" s="71"/>
      <c r="LVM31" s="71"/>
      <c r="LVN31" s="71"/>
      <c r="LVO31" s="71"/>
      <c r="LVP31" s="71"/>
      <c r="LVQ31" s="71"/>
      <c r="LVR31" s="71"/>
      <c r="LVS31" s="71"/>
      <c r="LVT31" s="71"/>
      <c r="LVU31" s="71"/>
      <c r="LVV31" s="71"/>
      <c r="LVW31" s="71"/>
      <c r="LVX31" s="71"/>
      <c r="LVY31" s="71"/>
      <c r="LVZ31" s="71"/>
      <c r="LWA31" s="71"/>
      <c r="LWB31" s="71"/>
      <c r="LWC31" s="71"/>
      <c r="LWD31" s="71"/>
      <c r="LWE31" s="71"/>
      <c r="LWF31" s="71"/>
      <c r="LWG31" s="71"/>
      <c r="LWH31" s="71"/>
      <c r="LWI31" s="71"/>
      <c r="LWJ31" s="71"/>
      <c r="LWK31" s="71"/>
      <c r="LWL31" s="71"/>
      <c r="LWM31" s="71"/>
      <c r="LWN31" s="71"/>
      <c r="LWO31" s="71"/>
      <c r="LWP31" s="71"/>
      <c r="LWQ31" s="71"/>
      <c r="LWR31" s="71"/>
      <c r="LWS31" s="71"/>
      <c r="LWT31" s="71"/>
      <c r="LWU31" s="71"/>
      <c r="LWV31" s="71"/>
      <c r="LWW31" s="71"/>
      <c r="LWX31" s="71"/>
      <c r="LWY31" s="71"/>
      <c r="LWZ31" s="71"/>
      <c r="LXA31" s="71"/>
      <c r="LXB31" s="71"/>
      <c r="LXC31" s="71"/>
      <c r="LXD31" s="71"/>
      <c r="LXE31" s="71"/>
      <c r="LXF31" s="71"/>
      <c r="LXG31" s="71"/>
      <c r="LXH31" s="71"/>
      <c r="LXI31" s="71"/>
      <c r="LXJ31" s="71"/>
      <c r="LXK31" s="71"/>
      <c r="LXL31" s="71"/>
      <c r="LXM31" s="71"/>
      <c r="LXN31" s="71"/>
      <c r="LXO31" s="71"/>
      <c r="LXP31" s="71"/>
      <c r="LXQ31" s="71"/>
      <c r="LXR31" s="71"/>
      <c r="LXS31" s="71"/>
      <c r="LXT31" s="71"/>
      <c r="LXU31" s="71"/>
      <c r="LXV31" s="71"/>
      <c r="LXW31" s="71"/>
      <c r="LXX31" s="71"/>
      <c r="LXY31" s="71"/>
      <c r="LXZ31" s="71"/>
      <c r="LYA31" s="71"/>
      <c r="LYB31" s="71"/>
      <c r="LYC31" s="71"/>
      <c r="LYD31" s="71"/>
      <c r="LYE31" s="71"/>
      <c r="LYF31" s="71"/>
      <c r="LYG31" s="71"/>
      <c r="LYH31" s="71"/>
      <c r="LYI31" s="71"/>
      <c r="LYJ31" s="71"/>
      <c r="LYK31" s="71"/>
      <c r="LYL31" s="71"/>
      <c r="LYM31" s="71"/>
      <c r="LYN31" s="71"/>
      <c r="LYO31" s="71"/>
      <c r="LYP31" s="71"/>
      <c r="LYQ31" s="71"/>
      <c r="LYR31" s="71"/>
      <c r="LYS31" s="71"/>
      <c r="LYT31" s="71"/>
      <c r="LYU31" s="71"/>
      <c r="LYV31" s="71"/>
      <c r="LYW31" s="71"/>
      <c r="LYX31" s="71"/>
      <c r="LYY31" s="71"/>
      <c r="LYZ31" s="71"/>
      <c r="LZA31" s="71"/>
      <c r="LZB31" s="71"/>
      <c r="LZC31" s="71"/>
      <c r="LZD31" s="71"/>
      <c r="LZE31" s="71"/>
      <c r="LZF31" s="71"/>
      <c r="LZG31" s="71"/>
      <c r="LZH31" s="71"/>
      <c r="LZI31" s="71"/>
      <c r="LZJ31" s="71"/>
      <c r="LZK31" s="71"/>
      <c r="LZL31" s="71"/>
      <c r="LZM31" s="71"/>
      <c r="LZN31" s="71"/>
      <c r="LZO31" s="71"/>
      <c r="LZP31" s="71"/>
      <c r="LZQ31" s="71"/>
      <c r="LZR31" s="71"/>
      <c r="LZS31" s="71"/>
      <c r="LZT31" s="71"/>
      <c r="LZU31" s="71"/>
      <c r="LZV31" s="71"/>
      <c r="LZW31" s="71"/>
      <c r="LZX31" s="71"/>
      <c r="LZY31" s="71"/>
      <c r="LZZ31" s="71"/>
      <c r="MAA31" s="71"/>
      <c r="MAB31" s="71"/>
      <c r="MAC31" s="71"/>
      <c r="MAD31" s="71"/>
      <c r="MAE31" s="71"/>
      <c r="MAF31" s="71"/>
      <c r="MAG31" s="71"/>
      <c r="MAH31" s="71"/>
      <c r="MAI31" s="71"/>
      <c r="MAJ31" s="71"/>
      <c r="MAK31" s="71"/>
      <c r="MAL31" s="71"/>
      <c r="MAM31" s="71"/>
      <c r="MAN31" s="71"/>
      <c r="MAO31" s="71"/>
      <c r="MAP31" s="71"/>
      <c r="MAQ31" s="71"/>
      <c r="MAR31" s="71"/>
      <c r="MAS31" s="71"/>
      <c r="MAT31" s="71"/>
      <c r="MAU31" s="71"/>
      <c r="MAV31" s="71"/>
      <c r="MAW31" s="71"/>
      <c r="MAX31" s="71"/>
      <c r="MAY31" s="71"/>
      <c r="MAZ31" s="71"/>
      <c r="MBA31" s="71"/>
      <c r="MBB31" s="71"/>
      <c r="MBC31" s="71"/>
      <c r="MBD31" s="71"/>
      <c r="MBE31" s="71"/>
      <c r="MBF31" s="71"/>
      <c r="MBG31" s="71"/>
      <c r="MBH31" s="71"/>
      <c r="MBI31" s="71"/>
      <c r="MBJ31" s="71"/>
      <c r="MBK31" s="71"/>
      <c r="MBL31" s="71"/>
      <c r="MBM31" s="71"/>
      <c r="MBN31" s="71"/>
      <c r="MBO31" s="71"/>
      <c r="MBP31" s="71"/>
      <c r="MBQ31" s="71"/>
      <c r="MBR31" s="71"/>
      <c r="MBS31" s="71"/>
      <c r="MBT31" s="71"/>
      <c r="MBU31" s="71"/>
      <c r="MBV31" s="71"/>
      <c r="MBW31" s="71"/>
      <c r="MBX31" s="71"/>
      <c r="MBY31" s="71"/>
      <c r="MBZ31" s="71"/>
      <c r="MCA31" s="71"/>
      <c r="MCB31" s="71"/>
      <c r="MCC31" s="71"/>
      <c r="MCD31" s="71"/>
      <c r="MCE31" s="71"/>
      <c r="MCF31" s="71"/>
      <c r="MCG31" s="71"/>
      <c r="MCH31" s="71"/>
      <c r="MCI31" s="71"/>
      <c r="MCJ31" s="71"/>
      <c r="MCK31" s="71"/>
      <c r="MCL31" s="71"/>
      <c r="MCM31" s="71"/>
      <c r="MCN31" s="71"/>
      <c r="MCO31" s="71"/>
      <c r="MCP31" s="71"/>
      <c r="MCQ31" s="71"/>
      <c r="MCR31" s="71"/>
      <c r="MCS31" s="71"/>
      <c r="MCT31" s="71"/>
      <c r="MCU31" s="71"/>
      <c r="MCV31" s="71"/>
      <c r="MCW31" s="71"/>
      <c r="MCX31" s="71"/>
      <c r="MCY31" s="71"/>
      <c r="MCZ31" s="71"/>
      <c r="MDA31" s="71"/>
      <c r="MDB31" s="71"/>
      <c r="MDC31" s="71"/>
      <c r="MDD31" s="71"/>
      <c r="MDE31" s="71"/>
      <c r="MDF31" s="71"/>
      <c r="MDG31" s="71"/>
      <c r="MDH31" s="71"/>
      <c r="MDI31" s="71"/>
      <c r="MDJ31" s="71"/>
      <c r="MDK31" s="71"/>
      <c r="MDL31" s="71"/>
      <c r="MDM31" s="71"/>
      <c r="MDN31" s="71"/>
      <c r="MDO31" s="71"/>
      <c r="MDP31" s="71"/>
      <c r="MDQ31" s="71"/>
      <c r="MDR31" s="71"/>
      <c r="MDS31" s="71"/>
      <c r="MDT31" s="71"/>
      <c r="MDU31" s="71"/>
      <c r="MDV31" s="71"/>
      <c r="MDW31" s="71"/>
      <c r="MDX31" s="71"/>
      <c r="MDY31" s="71"/>
      <c r="MDZ31" s="71"/>
      <c r="MEA31" s="71"/>
      <c r="MEB31" s="71"/>
      <c r="MEC31" s="71"/>
      <c r="MED31" s="71"/>
      <c r="MEE31" s="71"/>
      <c r="MEF31" s="71"/>
      <c r="MEG31" s="71"/>
      <c r="MEH31" s="71"/>
      <c r="MEI31" s="71"/>
      <c r="MEJ31" s="71"/>
      <c r="MEK31" s="71"/>
      <c r="MEL31" s="71"/>
      <c r="MEM31" s="71"/>
      <c r="MEN31" s="71"/>
      <c r="MEO31" s="71"/>
      <c r="MEP31" s="71"/>
      <c r="MEQ31" s="71"/>
      <c r="MER31" s="71"/>
      <c r="MES31" s="71"/>
      <c r="MET31" s="71"/>
      <c r="MEU31" s="71"/>
      <c r="MEV31" s="71"/>
      <c r="MEW31" s="71"/>
      <c r="MEX31" s="71"/>
      <c r="MEY31" s="71"/>
      <c r="MEZ31" s="71"/>
      <c r="MFA31" s="71"/>
      <c r="MFB31" s="71"/>
      <c r="MFC31" s="71"/>
      <c r="MFD31" s="71"/>
      <c r="MFE31" s="71"/>
      <c r="MFF31" s="71"/>
      <c r="MFG31" s="71"/>
      <c r="MFH31" s="71"/>
      <c r="MFI31" s="71"/>
      <c r="MFJ31" s="71"/>
      <c r="MFK31" s="71"/>
      <c r="MFL31" s="71"/>
      <c r="MFM31" s="71"/>
      <c r="MFN31" s="71"/>
      <c r="MFO31" s="71"/>
      <c r="MFP31" s="71"/>
      <c r="MFQ31" s="71"/>
      <c r="MFR31" s="71"/>
      <c r="MFS31" s="71"/>
      <c r="MFT31" s="71"/>
      <c r="MFU31" s="71"/>
      <c r="MFV31" s="71"/>
      <c r="MFW31" s="71"/>
      <c r="MFX31" s="71"/>
      <c r="MFY31" s="71"/>
      <c r="MFZ31" s="71"/>
      <c r="MGA31" s="71"/>
      <c r="MGB31" s="71"/>
      <c r="MGC31" s="71"/>
      <c r="MGD31" s="71"/>
      <c r="MGE31" s="71"/>
      <c r="MGF31" s="71"/>
      <c r="MGG31" s="71"/>
      <c r="MGH31" s="71"/>
      <c r="MGI31" s="71"/>
      <c r="MGJ31" s="71"/>
      <c r="MGK31" s="71"/>
      <c r="MGL31" s="71"/>
      <c r="MGM31" s="71"/>
      <c r="MGN31" s="71"/>
      <c r="MGO31" s="71"/>
      <c r="MGP31" s="71"/>
      <c r="MGQ31" s="71"/>
      <c r="MGR31" s="71"/>
      <c r="MGS31" s="71"/>
      <c r="MGT31" s="71"/>
      <c r="MGU31" s="71"/>
      <c r="MGV31" s="71"/>
      <c r="MGW31" s="71"/>
      <c r="MGX31" s="71"/>
      <c r="MGY31" s="71"/>
      <c r="MGZ31" s="71"/>
      <c r="MHA31" s="71"/>
      <c r="MHB31" s="71"/>
      <c r="MHC31" s="71"/>
      <c r="MHD31" s="71"/>
      <c r="MHE31" s="71"/>
      <c r="MHF31" s="71"/>
      <c r="MHG31" s="71"/>
      <c r="MHH31" s="71"/>
      <c r="MHI31" s="71"/>
      <c r="MHJ31" s="71"/>
      <c r="MHK31" s="71"/>
      <c r="MHL31" s="71"/>
      <c r="MHM31" s="71"/>
      <c r="MHN31" s="71"/>
      <c r="MHO31" s="71"/>
      <c r="MHP31" s="71"/>
      <c r="MHQ31" s="71"/>
      <c r="MHR31" s="71"/>
      <c r="MHS31" s="71"/>
      <c r="MHT31" s="71"/>
      <c r="MHU31" s="71"/>
      <c r="MHV31" s="71"/>
      <c r="MHW31" s="71"/>
      <c r="MHX31" s="71"/>
      <c r="MHY31" s="71"/>
      <c r="MHZ31" s="71"/>
      <c r="MIA31" s="71"/>
      <c r="MIB31" s="71"/>
      <c r="MIC31" s="71"/>
      <c r="MID31" s="71"/>
      <c r="MIE31" s="71"/>
      <c r="MIF31" s="71"/>
      <c r="MIG31" s="71"/>
      <c r="MIH31" s="71"/>
      <c r="MII31" s="71"/>
      <c r="MIJ31" s="71"/>
      <c r="MIK31" s="71"/>
      <c r="MIL31" s="71"/>
      <c r="MIM31" s="71"/>
      <c r="MIN31" s="71"/>
      <c r="MIO31" s="71"/>
      <c r="MIP31" s="71"/>
      <c r="MIQ31" s="71"/>
      <c r="MIR31" s="71"/>
      <c r="MIS31" s="71"/>
      <c r="MIT31" s="71"/>
      <c r="MIU31" s="71"/>
      <c r="MIV31" s="71"/>
      <c r="MIW31" s="71"/>
      <c r="MIX31" s="71"/>
      <c r="MIY31" s="71"/>
      <c r="MIZ31" s="71"/>
      <c r="MJA31" s="71"/>
      <c r="MJB31" s="71"/>
      <c r="MJC31" s="71"/>
      <c r="MJD31" s="71"/>
      <c r="MJE31" s="71"/>
      <c r="MJF31" s="71"/>
      <c r="MJG31" s="71"/>
      <c r="MJH31" s="71"/>
      <c r="MJI31" s="71"/>
      <c r="MJJ31" s="71"/>
      <c r="MJK31" s="71"/>
      <c r="MJL31" s="71"/>
      <c r="MJM31" s="71"/>
      <c r="MJN31" s="71"/>
      <c r="MJO31" s="71"/>
      <c r="MJP31" s="71"/>
      <c r="MJQ31" s="71"/>
      <c r="MJR31" s="71"/>
      <c r="MJS31" s="71"/>
      <c r="MJT31" s="71"/>
      <c r="MJU31" s="71"/>
      <c r="MJV31" s="71"/>
      <c r="MJW31" s="71"/>
      <c r="MJX31" s="71"/>
      <c r="MJY31" s="71"/>
      <c r="MJZ31" s="71"/>
      <c r="MKA31" s="71"/>
      <c r="MKB31" s="71"/>
      <c r="MKC31" s="71"/>
      <c r="MKD31" s="71"/>
      <c r="MKE31" s="71"/>
      <c r="MKF31" s="71"/>
      <c r="MKG31" s="71"/>
      <c r="MKH31" s="71"/>
      <c r="MKI31" s="71"/>
      <c r="MKJ31" s="71"/>
      <c r="MKK31" s="71"/>
      <c r="MKL31" s="71"/>
      <c r="MKM31" s="71"/>
      <c r="MKN31" s="71"/>
      <c r="MKO31" s="71"/>
      <c r="MKP31" s="71"/>
      <c r="MKQ31" s="71"/>
      <c r="MKR31" s="71"/>
      <c r="MKS31" s="71"/>
      <c r="MKT31" s="71"/>
      <c r="MKU31" s="71"/>
      <c r="MKV31" s="71"/>
      <c r="MKW31" s="71"/>
      <c r="MKX31" s="71"/>
      <c r="MKY31" s="71"/>
      <c r="MKZ31" s="71"/>
      <c r="MLA31" s="71"/>
      <c r="MLB31" s="71"/>
      <c r="MLC31" s="71"/>
      <c r="MLD31" s="71"/>
      <c r="MLE31" s="71"/>
      <c r="MLF31" s="71"/>
      <c r="MLG31" s="71"/>
      <c r="MLH31" s="71"/>
      <c r="MLI31" s="71"/>
      <c r="MLJ31" s="71"/>
      <c r="MLK31" s="71"/>
      <c r="MLL31" s="71"/>
      <c r="MLM31" s="71"/>
      <c r="MLN31" s="71"/>
      <c r="MLO31" s="71"/>
      <c r="MLP31" s="71"/>
      <c r="MLQ31" s="71"/>
      <c r="MLR31" s="71"/>
      <c r="MLS31" s="71"/>
      <c r="MLT31" s="71"/>
      <c r="MLU31" s="71"/>
      <c r="MLV31" s="71"/>
      <c r="MLW31" s="71"/>
      <c r="MLX31" s="71"/>
      <c r="MLY31" s="71"/>
      <c r="MLZ31" s="71"/>
      <c r="MMA31" s="71"/>
      <c r="MMB31" s="71"/>
      <c r="MMC31" s="71"/>
      <c r="MMD31" s="71"/>
      <c r="MME31" s="71"/>
      <c r="MMF31" s="71"/>
      <c r="MMG31" s="71"/>
      <c r="MMH31" s="71"/>
      <c r="MMI31" s="71"/>
      <c r="MMJ31" s="71"/>
      <c r="MMK31" s="71"/>
      <c r="MML31" s="71"/>
      <c r="MMM31" s="71"/>
      <c r="MMN31" s="71"/>
      <c r="MMO31" s="71"/>
      <c r="MMP31" s="71"/>
      <c r="MMQ31" s="71"/>
      <c r="MMR31" s="71"/>
      <c r="MMS31" s="71"/>
      <c r="MMT31" s="71"/>
      <c r="MMU31" s="71"/>
      <c r="MMV31" s="71"/>
      <c r="MMW31" s="71"/>
      <c r="MMX31" s="71"/>
      <c r="MMY31" s="71"/>
      <c r="MMZ31" s="71"/>
      <c r="MNA31" s="71"/>
      <c r="MNB31" s="71"/>
      <c r="MNC31" s="71"/>
      <c r="MND31" s="71"/>
      <c r="MNE31" s="71"/>
      <c r="MNF31" s="71"/>
      <c r="MNG31" s="71"/>
      <c r="MNH31" s="71"/>
      <c r="MNI31" s="71"/>
      <c r="MNJ31" s="71"/>
      <c r="MNK31" s="71"/>
      <c r="MNL31" s="71"/>
      <c r="MNM31" s="71"/>
      <c r="MNN31" s="71"/>
      <c r="MNO31" s="71"/>
      <c r="MNP31" s="71"/>
      <c r="MNQ31" s="71"/>
      <c r="MNR31" s="71"/>
      <c r="MNS31" s="71"/>
      <c r="MNT31" s="71"/>
      <c r="MNU31" s="71"/>
      <c r="MNV31" s="71"/>
      <c r="MNW31" s="71"/>
      <c r="MNX31" s="71"/>
      <c r="MNY31" s="71"/>
      <c r="MNZ31" s="71"/>
      <c r="MOA31" s="71"/>
      <c r="MOB31" s="71"/>
      <c r="MOC31" s="71"/>
      <c r="MOD31" s="71"/>
      <c r="MOE31" s="71"/>
      <c r="MOF31" s="71"/>
      <c r="MOG31" s="71"/>
      <c r="MOH31" s="71"/>
      <c r="MOI31" s="71"/>
      <c r="MOJ31" s="71"/>
      <c r="MOK31" s="71"/>
      <c r="MOL31" s="71"/>
      <c r="MOM31" s="71"/>
      <c r="MON31" s="71"/>
      <c r="MOO31" s="71"/>
      <c r="MOP31" s="71"/>
      <c r="MOQ31" s="71"/>
      <c r="MOR31" s="71"/>
      <c r="MOS31" s="71"/>
      <c r="MOT31" s="71"/>
      <c r="MOU31" s="71"/>
      <c r="MOV31" s="71"/>
      <c r="MOW31" s="71"/>
      <c r="MOX31" s="71"/>
      <c r="MOY31" s="71"/>
      <c r="MOZ31" s="71"/>
      <c r="MPA31" s="71"/>
      <c r="MPB31" s="71"/>
      <c r="MPC31" s="71"/>
      <c r="MPD31" s="71"/>
      <c r="MPE31" s="71"/>
      <c r="MPF31" s="71"/>
      <c r="MPG31" s="71"/>
      <c r="MPH31" s="71"/>
      <c r="MPI31" s="71"/>
      <c r="MPJ31" s="71"/>
      <c r="MPK31" s="71"/>
      <c r="MPL31" s="71"/>
      <c r="MPM31" s="71"/>
      <c r="MPN31" s="71"/>
      <c r="MPO31" s="71"/>
      <c r="MPP31" s="71"/>
      <c r="MPQ31" s="71"/>
      <c r="MPR31" s="71"/>
      <c r="MPS31" s="71"/>
      <c r="MPT31" s="71"/>
      <c r="MPU31" s="71"/>
      <c r="MPV31" s="71"/>
      <c r="MPW31" s="71"/>
      <c r="MPX31" s="71"/>
      <c r="MPY31" s="71"/>
      <c r="MPZ31" s="71"/>
      <c r="MQA31" s="71"/>
      <c r="MQB31" s="71"/>
      <c r="MQC31" s="71"/>
      <c r="MQD31" s="71"/>
      <c r="MQE31" s="71"/>
      <c r="MQF31" s="71"/>
      <c r="MQG31" s="71"/>
      <c r="MQH31" s="71"/>
      <c r="MQI31" s="71"/>
      <c r="MQJ31" s="71"/>
      <c r="MQK31" s="71"/>
      <c r="MQL31" s="71"/>
      <c r="MQM31" s="71"/>
      <c r="MQN31" s="71"/>
      <c r="MQO31" s="71"/>
      <c r="MQP31" s="71"/>
      <c r="MQQ31" s="71"/>
      <c r="MQR31" s="71"/>
      <c r="MQS31" s="71"/>
      <c r="MQT31" s="71"/>
      <c r="MQU31" s="71"/>
      <c r="MQV31" s="71"/>
      <c r="MQW31" s="71"/>
      <c r="MQX31" s="71"/>
      <c r="MQY31" s="71"/>
      <c r="MQZ31" s="71"/>
      <c r="MRA31" s="71"/>
      <c r="MRB31" s="71"/>
      <c r="MRC31" s="71"/>
      <c r="MRD31" s="71"/>
      <c r="MRE31" s="71"/>
      <c r="MRF31" s="71"/>
      <c r="MRG31" s="71"/>
      <c r="MRH31" s="71"/>
      <c r="MRI31" s="71"/>
      <c r="MRJ31" s="71"/>
      <c r="MRK31" s="71"/>
      <c r="MRL31" s="71"/>
      <c r="MRM31" s="71"/>
      <c r="MRN31" s="71"/>
      <c r="MRO31" s="71"/>
      <c r="MRP31" s="71"/>
      <c r="MRQ31" s="71"/>
      <c r="MRR31" s="71"/>
      <c r="MRS31" s="71"/>
      <c r="MRT31" s="71"/>
      <c r="MRU31" s="71"/>
      <c r="MRV31" s="71"/>
      <c r="MRW31" s="71"/>
      <c r="MRX31" s="71"/>
      <c r="MRY31" s="71"/>
      <c r="MRZ31" s="71"/>
      <c r="MSA31" s="71"/>
      <c r="MSB31" s="71"/>
      <c r="MSC31" s="71"/>
      <c r="MSD31" s="71"/>
      <c r="MSE31" s="71"/>
      <c r="MSF31" s="71"/>
      <c r="MSG31" s="71"/>
      <c r="MSH31" s="71"/>
      <c r="MSI31" s="71"/>
      <c r="MSJ31" s="71"/>
      <c r="MSK31" s="71"/>
      <c r="MSL31" s="71"/>
      <c r="MSM31" s="71"/>
      <c r="MSN31" s="71"/>
      <c r="MSO31" s="71"/>
      <c r="MSP31" s="71"/>
      <c r="MSQ31" s="71"/>
      <c r="MSR31" s="71"/>
      <c r="MSS31" s="71"/>
      <c r="MST31" s="71"/>
      <c r="MSU31" s="71"/>
      <c r="MSV31" s="71"/>
      <c r="MSW31" s="71"/>
      <c r="MSX31" s="71"/>
      <c r="MSY31" s="71"/>
      <c r="MSZ31" s="71"/>
      <c r="MTA31" s="71"/>
      <c r="MTB31" s="71"/>
      <c r="MTC31" s="71"/>
      <c r="MTD31" s="71"/>
      <c r="MTE31" s="71"/>
      <c r="MTF31" s="71"/>
      <c r="MTG31" s="71"/>
      <c r="MTH31" s="71"/>
      <c r="MTI31" s="71"/>
      <c r="MTJ31" s="71"/>
      <c r="MTK31" s="71"/>
      <c r="MTL31" s="71"/>
      <c r="MTM31" s="71"/>
      <c r="MTN31" s="71"/>
      <c r="MTO31" s="71"/>
      <c r="MTP31" s="71"/>
      <c r="MTQ31" s="71"/>
      <c r="MTR31" s="71"/>
      <c r="MTS31" s="71"/>
      <c r="MTT31" s="71"/>
      <c r="MTU31" s="71"/>
      <c r="MTV31" s="71"/>
      <c r="MTW31" s="71"/>
      <c r="MTX31" s="71"/>
      <c r="MTY31" s="71"/>
      <c r="MTZ31" s="71"/>
      <c r="MUA31" s="71"/>
      <c r="MUB31" s="71"/>
      <c r="MUC31" s="71"/>
      <c r="MUD31" s="71"/>
      <c r="MUE31" s="71"/>
      <c r="MUF31" s="71"/>
      <c r="MUG31" s="71"/>
      <c r="MUH31" s="71"/>
      <c r="MUI31" s="71"/>
      <c r="MUJ31" s="71"/>
      <c r="MUK31" s="71"/>
      <c r="MUL31" s="71"/>
      <c r="MUM31" s="71"/>
      <c r="MUN31" s="71"/>
      <c r="MUO31" s="71"/>
      <c r="MUP31" s="71"/>
      <c r="MUQ31" s="71"/>
      <c r="MUR31" s="71"/>
      <c r="MUS31" s="71"/>
      <c r="MUT31" s="71"/>
      <c r="MUU31" s="71"/>
      <c r="MUV31" s="71"/>
      <c r="MUW31" s="71"/>
      <c r="MUX31" s="71"/>
      <c r="MUY31" s="71"/>
      <c r="MUZ31" s="71"/>
      <c r="MVA31" s="71"/>
      <c r="MVB31" s="71"/>
      <c r="MVC31" s="71"/>
      <c r="MVD31" s="71"/>
      <c r="MVE31" s="71"/>
      <c r="MVF31" s="71"/>
      <c r="MVG31" s="71"/>
      <c r="MVH31" s="71"/>
      <c r="MVI31" s="71"/>
      <c r="MVJ31" s="71"/>
      <c r="MVK31" s="71"/>
      <c r="MVL31" s="71"/>
      <c r="MVM31" s="71"/>
      <c r="MVN31" s="71"/>
      <c r="MVO31" s="71"/>
      <c r="MVP31" s="71"/>
      <c r="MVQ31" s="71"/>
      <c r="MVR31" s="71"/>
      <c r="MVS31" s="71"/>
      <c r="MVT31" s="71"/>
      <c r="MVU31" s="71"/>
      <c r="MVV31" s="71"/>
      <c r="MVW31" s="71"/>
      <c r="MVX31" s="71"/>
      <c r="MVY31" s="71"/>
      <c r="MVZ31" s="71"/>
      <c r="MWA31" s="71"/>
      <c r="MWB31" s="71"/>
      <c r="MWC31" s="71"/>
      <c r="MWD31" s="71"/>
      <c r="MWE31" s="71"/>
      <c r="MWF31" s="71"/>
      <c r="MWG31" s="71"/>
      <c r="MWH31" s="71"/>
      <c r="MWI31" s="71"/>
      <c r="MWJ31" s="71"/>
      <c r="MWK31" s="71"/>
      <c r="MWL31" s="71"/>
      <c r="MWM31" s="71"/>
      <c r="MWN31" s="71"/>
      <c r="MWO31" s="71"/>
      <c r="MWP31" s="71"/>
      <c r="MWQ31" s="71"/>
      <c r="MWR31" s="71"/>
      <c r="MWS31" s="71"/>
      <c r="MWT31" s="71"/>
      <c r="MWU31" s="71"/>
      <c r="MWV31" s="71"/>
      <c r="MWW31" s="71"/>
      <c r="MWX31" s="71"/>
      <c r="MWY31" s="71"/>
      <c r="MWZ31" s="71"/>
      <c r="MXA31" s="71"/>
      <c r="MXB31" s="71"/>
      <c r="MXC31" s="71"/>
      <c r="MXD31" s="71"/>
      <c r="MXE31" s="71"/>
      <c r="MXF31" s="71"/>
      <c r="MXG31" s="71"/>
      <c r="MXH31" s="71"/>
      <c r="MXI31" s="71"/>
      <c r="MXJ31" s="71"/>
      <c r="MXK31" s="71"/>
      <c r="MXL31" s="71"/>
      <c r="MXM31" s="71"/>
      <c r="MXN31" s="71"/>
      <c r="MXO31" s="71"/>
      <c r="MXP31" s="71"/>
      <c r="MXQ31" s="71"/>
      <c r="MXR31" s="71"/>
      <c r="MXS31" s="71"/>
      <c r="MXT31" s="71"/>
      <c r="MXU31" s="71"/>
      <c r="MXV31" s="71"/>
      <c r="MXW31" s="71"/>
      <c r="MXX31" s="71"/>
      <c r="MXY31" s="71"/>
      <c r="MXZ31" s="71"/>
      <c r="MYA31" s="71"/>
      <c r="MYB31" s="71"/>
      <c r="MYC31" s="71"/>
      <c r="MYD31" s="71"/>
      <c r="MYE31" s="71"/>
      <c r="MYF31" s="71"/>
      <c r="MYG31" s="71"/>
      <c r="MYH31" s="71"/>
      <c r="MYI31" s="71"/>
      <c r="MYJ31" s="71"/>
      <c r="MYK31" s="71"/>
      <c r="MYL31" s="71"/>
      <c r="MYM31" s="71"/>
      <c r="MYN31" s="71"/>
      <c r="MYO31" s="71"/>
      <c r="MYP31" s="71"/>
      <c r="MYQ31" s="71"/>
      <c r="MYR31" s="71"/>
      <c r="MYS31" s="71"/>
      <c r="MYT31" s="71"/>
      <c r="MYU31" s="71"/>
      <c r="MYV31" s="71"/>
      <c r="MYW31" s="71"/>
      <c r="MYX31" s="71"/>
      <c r="MYY31" s="71"/>
      <c r="MYZ31" s="71"/>
      <c r="MZA31" s="71"/>
      <c r="MZB31" s="71"/>
      <c r="MZC31" s="71"/>
      <c r="MZD31" s="71"/>
      <c r="MZE31" s="71"/>
      <c r="MZF31" s="71"/>
      <c r="MZG31" s="71"/>
      <c r="MZH31" s="71"/>
      <c r="MZI31" s="71"/>
      <c r="MZJ31" s="71"/>
      <c r="MZK31" s="71"/>
      <c r="MZL31" s="71"/>
      <c r="MZM31" s="71"/>
      <c r="MZN31" s="71"/>
      <c r="MZO31" s="71"/>
      <c r="MZP31" s="71"/>
      <c r="MZQ31" s="71"/>
      <c r="MZR31" s="71"/>
      <c r="MZS31" s="71"/>
      <c r="MZT31" s="71"/>
      <c r="MZU31" s="71"/>
      <c r="MZV31" s="71"/>
      <c r="MZW31" s="71"/>
      <c r="MZX31" s="71"/>
      <c r="MZY31" s="71"/>
      <c r="MZZ31" s="71"/>
      <c r="NAA31" s="71"/>
      <c r="NAB31" s="71"/>
      <c r="NAC31" s="71"/>
      <c r="NAD31" s="71"/>
      <c r="NAE31" s="71"/>
      <c r="NAF31" s="71"/>
      <c r="NAG31" s="71"/>
      <c r="NAH31" s="71"/>
      <c r="NAI31" s="71"/>
      <c r="NAJ31" s="71"/>
      <c r="NAK31" s="71"/>
      <c r="NAL31" s="71"/>
      <c r="NAM31" s="71"/>
      <c r="NAN31" s="71"/>
      <c r="NAO31" s="71"/>
      <c r="NAP31" s="71"/>
      <c r="NAQ31" s="71"/>
      <c r="NAR31" s="71"/>
      <c r="NAS31" s="71"/>
      <c r="NAT31" s="71"/>
      <c r="NAU31" s="71"/>
      <c r="NAV31" s="71"/>
      <c r="NAW31" s="71"/>
      <c r="NAX31" s="71"/>
      <c r="NAY31" s="71"/>
      <c r="NAZ31" s="71"/>
      <c r="NBA31" s="71"/>
      <c r="NBB31" s="71"/>
      <c r="NBC31" s="71"/>
      <c r="NBD31" s="71"/>
      <c r="NBE31" s="71"/>
      <c r="NBF31" s="71"/>
      <c r="NBG31" s="71"/>
      <c r="NBH31" s="71"/>
      <c r="NBI31" s="71"/>
      <c r="NBJ31" s="71"/>
      <c r="NBK31" s="71"/>
      <c r="NBL31" s="71"/>
      <c r="NBM31" s="71"/>
      <c r="NBN31" s="71"/>
      <c r="NBO31" s="71"/>
      <c r="NBP31" s="71"/>
      <c r="NBQ31" s="71"/>
      <c r="NBR31" s="71"/>
      <c r="NBS31" s="71"/>
      <c r="NBT31" s="71"/>
      <c r="NBU31" s="71"/>
      <c r="NBV31" s="71"/>
      <c r="NBW31" s="71"/>
      <c r="NBX31" s="71"/>
      <c r="NBY31" s="71"/>
      <c r="NBZ31" s="71"/>
      <c r="NCA31" s="71"/>
      <c r="NCB31" s="71"/>
      <c r="NCC31" s="71"/>
      <c r="NCD31" s="71"/>
      <c r="NCE31" s="71"/>
      <c r="NCF31" s="71"/>
      <c r="NCG31" s="71"/>
      <c r="NCH31" s="71"/>
      <c r="NCI31" s="71"/>
      <c r="NCJ31" s="71"/>
      <c r="NCK31" s="71"/>
      <c r="NCL31" s="71"/>
      <c r="NCM31" s="71"/>
      <c r="NCN31" s="71"/>
      <c r="NCO31" s="71"/>
      <c r="NCP31" s="71"/>
      <c r="NCQ31" s="71"/>
      <c r="NCR31" s="71"/>
      <c r="NCS31" s="71"/>
      <c r="NCT31" s="71"/>
      <c r="NCU31" s="71"/>
      <c r="NCV31" s="71"/>
      <c r="NCW31" s="71"/>
      <c r="NCX31" s="71"/>
      <c r="NCY31" s="71"/>
      <c r="NCZ31" s="71"/>
      <c r="NDA31" s="71"/>
      <c r="NDB31" s="71"/>
      <c r="NDC31" s="71"/>
      <c r="NDD31" s="71"/>
      <c r="NDE31" s="71"/>
      <c r="NDF31" s="71"/>
      <c r="NDG31" s="71"/>
      <c r="NDH31" s="71"/>
      <c r="NDI31" s="71"/>
      <c r="NDJ31" s="71"/>
      <c r="NDK31" s="71"/>
      <c r="NDL31" s="71"/>
      <c r="NDM31" s="71"/>
      <c r="NDN31" s="71"/>
      <c r="NDO31" s="71"/>
      <c r="NDP31" s="71"/>
      <c r="NDQ31" s="71"/>
      <c r="NDR31" s="71"/>
      <c r="NDS31" s="71"/>
      <c r="NDT31" s="71"/>
      <c r="NDU31" s="71"/>
      <c r="NDV31" s="71"/>
      <c r="NDW31" s="71"/>
      <c r="NDX31" s="71"/>
      <c r="NDY31" s="71"/>
      <c r="NDZ31" s="71"/>
      <c r="NEA31" s="71"/>
      <c r="NEB31" s="71"/>
      <c r="NEC31" s="71"/>
      <c r="NED31" s="71"/>
      <c r="NEE31" s="71"/>
      <c r="NEF31" s="71"/>
      <c r="NEG31" s="71"/>
      <c r="NEH31" s="71"/>
      <c r="NEI31" s="71"/>
      <c r="NEJ31" s="71"/>
      <c r="NEK31" s="71"/>
      <c r="NEL31" s="71"/>
      <c r="NEM31" s="71"/>
      <c r="NEN31" s="71"/>
      <c r="NEO31" s="71"/>
      <c r="NEP31" s="71"/>
      <c r="NEQ31" s="71"/>
      <c r="NER31" s="71"/>
      <c r="NES31" s="71"/>
      <c r="NET31" s="71"/>
      <c r="NEU31" s="71"/>
      <c r="NEV31" s="71"/>
      <c r="NEW31" s="71"/>
      <c r="NEX31" s="71"/>
      <c r="NEY31" s="71"/>
      <c r="NEZ31" s="71"/>
      <c r="NFA31" s="71"/>
      <c r="NFB31" s="71"/>
      <c r="NFC31" s="71"/>
      <c r="NFD31" s="71"/>
      <c r="NFE31" s="71"/>
      <c r="NFF31" s="71"/>
      <c r="NFG31" s="71"/>
      <c r="NFH31" s="71"/>
      <c r="NFI31" s="71"/>
      <c r="NFJ31" s="71"/>
      <c r="NFK31" s="71"/>
      <c r="NFL31" s="71"/>
      <c r="NFM31" s="71"/>
      <c r="NFN31" s="71"/>
      <c r="NFO31" s="71"/>
      <c r="NFP31" s="71"/>
      <c r="NFQ31" s="71"/>
      <c r="NFR31" s="71"/>
      <c r="NFS31" s="71"/>
      <c r="NFT31" s="71"/>
      <c r="NFU31" s="71"/>
      <c r="NFV31" s="71"/>
      <c r="NFW31" s="71"/>
      <c r="NFX31" s="71"/>
      <c r="NFY31" s="71"/>
      <c r="NFZ31" s="71"/>
      <c r="NGA31" s="71"/>
      <c r="NGB31" s="71"/>
      <c r="NGC31" s="71"/>
      <c r="NGD31" s="71"/>
      <c r="NGE31" s="71"/>
      <c r="NGF31" s="71"/>
      <c r="NGG31" s="71"/>
      <c r="NGH31" s="71"/>
      <c r="NGI31" s="71"/>
      <c r="NGJ31" s="71"/>
      <c r="NGK31" s="71"/>
      <c r="NGL31" s="71"/>
      <c r="NGM31" s="71"/>
      <c r="NGN31" s="71"/>
      <c r="NGO31" s="71"/>
      <c r="NGP31" s="71"/>
      <c r="NGQ31" s="71"/>
      <c r="NGR31" s="71"/>
      <c r="NGS31" s="71"/>
      <c r="NGT31" s="71"/>
      <c r="NGU31" s="71"/>
      <c r="NGV31" s="71"/>
      <c r="NGW31" s="71"/>
      <c r="NGX31" s="71"/>
      <c r="NGY31" s="71"/>
      <c r="NGZ31" s="71"/>
      <c r="NHA31" s="71"/>
      <c r="NHB31" s="71"/>
      <c r="NHC31" s="71"/>
      <c r="NHD31" s="71"/>
      <c r="NHE31" s="71"/>
      <c r="NHF31" s="71"/>
      <c r="NHG31" s="71"/>
      <c r="NHH31" s="71"/>
      <c r="NHI31" s="71"/>
      <c r="NHJ31" s="71"/>
      <c r="NHK31" s="71"/>
      <c r="NHL31" s="71"/>
      <c r="NHM31" s="71"/>
      <c r="NHN31" s="71"/>
      <c r="NHO31" s="71"/>
      <c r="NHP31" s="71"/>
      <c r="NHQ31" s="71"/>
      <c r="NHR31" s="71"/>
      <c r="NHS31" s="71"/>
      <c r="NHT31" s="71"/>
      <c r="NHU31" s="71"/>
      <c r="NHV31" s="71"/>
      <c r="NHW31" s="71"/>
      <c r="NHX31" s="71"/>
      <c r="NHY31" s="71"/>
      <c r="NHZ31" s="71"/>
      <c r="NIA31" s="71"/>
      <c r="NIB31" s="71"/>
      <c r="NIC31" s="71"/>
      <c r="NID31" s="71"/>
      <c r="NIE31" s="71"/>
      <c r="NIF31" s="71"/>
      <c r="NIG31" s="71"/>
      <c r="NIH31" s="71"/>
      <c r="NII31" s="71"/>
      <c r="NIJ31" s="71"/>
      <c r="NIK31" s="71"/>
      <c r="NIL31" s="71"/>
      <c r="NIM31" s="71"/>
      <c r="NIN31" s="71"/>
      <c r="NIO31" s="71"/>
      <c r="NIP31" s="71"/>
      <c r="NIQ31" s="71"/>
      <c r="NIR31" s="71"/>
      <c r="NIS31" s="71"/>
      <c r="NIT31" s="71"/>
      <c r="NIU31" s="71"/>
      <c r="NIV31" s="71"/>
      <c r="NIW31" s="71"/>
      <c r="NIX31" s="71"/>
      <c r="NIY31" s="71"/>
      <c r="NIZ31" s="71"/>
      <c r="NJA31" s="71"/>
      <c r="NJB31" s="71"/>
      <c r="NJC31" s="71"/>
      <c r="NJD31" s="71"/>
      <c r="NJE31" s="71"/>
      <c r="NJF31" s="71"/>
      <c r="NJG31" s="71"/>
      <c r="NJH31" s="71"/>
      <c r="NJI31" s="71"/>
      <c r="NJJ31" s="71"/>
      <c r="NJK31" s="71"/>
      <c r="NJL31" s="71"/>
      <c r="NJM31" s="71"/>
      <c r="NJN31" s="71"/>
      <c r="NJO31" s="71"/>
      <c r="NJP31" s="71"/>
      <c r="NJQ31" s="71"/>
      <c r="NJR31" s="71"/>
      <c r="NJS31" s="71"/>
      <c r="NJT31" s="71"/>
      <c r="NJU31" s="71"/>
      <c r="NJV31" s="71"/>
      <c r="NJW31" s="71"/>
      <c r="NJX31" s="71"/>
      <c r="NJY31" s="71"/>
      <c r="NJZ31" s="71"/>
      <c r="NKA31" s="71"/>
      <c r="NKB31" s="71"/>
      <c r="NKC31" s="71"/>
      <c r="NKD31" s="71"/>
      <c r="NKE31" s="71"/>
      <c r="NKF31" s="71"/>
      <c r="NKG31" s="71"/>
      <c r="NKH31" s="71"/>
      <c r="NKI31" s="71"/>
      <c r="NKJ31" s="71"/>
      <c r="NKK31" s="71"/>
      <c r="NKL31" s="71"/>
      <c r="NKM31" s="71"/>
      <c r="NKN31" s="71"/>
      <c r="NKO31" s="71"/>
      <c r="NKP31" s="71"/>
      <c r="NKQ31" s="71"/>
      <c r="NKR31" s="71"/>
      <c r="NKS31" s="71"/>
      <c r="NKT31" s="71"/>
      <c r="NKU31" s="71"/>
      <c r="NKV31" s="71"/>
      <c r="NKW31" s="71"/>
      <c r="NKX31" s="71"/>
      <c r="NKY31" s="71"/>
      <c r="NKZ31" s="71"/>
      <c r="NLA31" s="71"/>
      <c r="NLB31" s="71"/>
      <c r="NLC31" s="71"/>
      <c r="NLD31" s="71"/>
      <c r="NLE31" s="71"/>
      <c r="NLF31" s="71"/>
      <c r="NLG31" s="71"/>
      <c r="NLH31" s="71"/>
      <c r="NLI31" s="71"/>
      <c r="NLJ31" s="71"/>
      <c r="NLK31" s="71"/>
      <c r="NLL31" s="71"/>
      <c r="NLM31" s="71"/>
      <c r="NLN31" s="71"/>
      <c r="NLO31" s="71"/>
      <c r="NLP31" s="71"/>
      <c r="NLQ31" s="71"/>
      <c r="NLR31" s="71"/>
      <c r="NLS31" s="71"/>
      <c r="NLT31" s="71"/>
      <c r="NLU31" s="71"/>
      <c r="NLV31" s="71"/>
      <c r="NLW31" s="71"/>
      <c r="NLX31" s="71"/>
      <c r="NLY31" s="71"/>
      <c r="NLZ31" s="71"/>
      <c r="NMA31" s="71"/>
      <c r="NMB31" s="71"/>
      <c r="NMC31" s="71"/>
      <c r="NMD31" s="71"/>
      <c r="NME31" s="71"/>
      <c r="NMF31" s="71"/>
      <c r="NMG31" s="71"/>
      <c r="NMH31" s="71"/>
      <c r="NMI31" s="71"/>
      <c r="NMJ31" s="71"/>
      <c r="NMK31" s="71"/>
      <c r="NML31" s="71"/>
      <c r="NMM31" s="71"/>
      <c r="NMN31" s="71"/>
      <c r="NMO31" s="71"/>
      <c r="NMP31" s="71"/>
      <c r="NMQ31" s="71"/>
      <c r="NMR31" s="71"/>
      <c r="NMS31" s="71"/>
      <c r="NMT31" s="71"/>
      <c r="NMU31" s="71"/>
      <c r="NMV31" s="71"/>
      <c r="NMW31" s="71"/>
      <c r="NMX31" s="71"/>
      <c r="NMY31" s="71"/>
      <c r="NMZ31" s="71"/>
      <c r="NNA31" s="71"/>
      <c r="NNB31" s="71"/>
      <c r="NNC31" s="71"/>
      <c r="NND31" s="71"/>
      <c r="NNE31" s="71"/>
      <c r="NNF31" s="71"/>
      <c r="NNG31" s="71"/>
      <c r="NNH31" s="71"/>
      <c r="NNI31" s="71"/>
      <c r="NNJ31" s="71"/>
      <c r="NNK31" s="71"/>
      <c r="NNL31" s="71"/>
      <c r="NNM31" s="71"/>
      <c r="NNN31" s="71"/>
      <c r="NNO31" s="71"/>
      <c r="NNP31" s="71"/>
      <c r="NNQ31" s="71"/>
      <c r="NNR31" s="71"/>
      <c r="NNS31" s="71"/>
      <c r="NNT31" s="71"/>
      <c r="NNU31" s="71"/>
      <c r="NNV31" s="71"/>
      <c r="NNW31" s="71"/>
      <c r="NNX31" s="71"/>
      <c r="NNY31" s="71"/>
      <c r="NNZ31" s="71"/>
      <c r="NOA31" s="71"/>
      <c r="NOB31" s="71"/>
      <c r="NOC31" s="71"/>
      <c r="NOD31" s="71"/>
      <c r="NOE31" s="71"/>
      <c r="NOF31" s="71"/>
      <c r="NOG31" s="71"/>
      <c r="NOH31" s="71"/>
      <c r="NOI31" s="71"/>
      <c r="NOJ31" s="71"/>
      <c r="NOK31" s="71"/>
      <c r="NOL31" s="71"/>
      <c r="NOM31" s="71"/>
      <c r="NON31" s="71"/>
      <c r="NOO31" s="71"/>
      <c r="NOP31" s="71"/>
      <c r="NOQ31" s="71"/>
      <c r="NOR31" s="71"/>
      <c r="NOS31" s="71"/>
      <c r="NOT31" s="71"/>
      <c r="NOU31" s="71"/>
      <c r="NOV31" s="71"/>
      <c r="NOW31" s="71"/>
      <c r="NOX31" s="71"/>
      <c r="NOY31" s="71"/>
      <c r="NOZ31" s="71"/>
      <c r="NPA31" s="71"/>
      <c r="NPB31" s="71"/>
      <c r="NPC31" s="71"/>
      <c r="NPD31" s="71"/>
      <c r="NPE31" s="71"/>
      <c r="NPF31" s="71"/>
      <c r="NPG31" s="71"/>
      <c r="NPH31" s="71"/>
      <c r="NPI31" s="71"/>
      <c r="NPJ31" s="71"/>
      <c r="NPK31" s="71"/>
      <c r="NPL31" s="71"/>
      <c r="NPM31" s="71"/>
      <c r="NPN31" s="71"/>
      <c r="NPO31" s="71"/>
      <c r="NPP31" s="71"/>
      <c r="NPQ31" s="71"/>
      <c r="NPR31" s="71"/>
      <c r="NPS31" s="71"/>
      <c r="NPT31" s="71"/>
      <c r="NPU31" s="71"/>
      <c r="NPV31" s="71"/>
      <c r="NPW31" s="71"/>
      <c r="NPX31" s="71"/>
      <c r="NPY31" s="71"/>
      <c r="NPZ31" s="71"/>
      <c r="NQA31" s="71"/>
      <c r="NQB31" s="71"/>
      <c r="NQC31" s="71"/>
      <c r="NQD31" s="71"/>
      <c r="NQE31" s="71"/>
      <c r="NQF31" s="71"/>
      <c r="NQG31" s="71"/>
      <c r="NQH31" s="71"/>
      <c r="NQI31" s="71"/>
      <c r="NQJ31" s="71"/>
      <c r="NQK31" s="71"/>
      <c r="NQL31" s="71"/>
      <c r="NQM31" s="71"/>
      <c r="NQN31" s="71"/>
      <c r="NQO31" s="71"/>
      <c r="NQP31" s="71"/>
      <c r="NQQ31" s="71"/>
      <c r="NQR31" s="71"/>
      <c r="NQS31" s="71"/>
      <c r="NQT31" s="71"/>
      <c r="NQU31" s="71"/>
      <c r="NQV31" s="71"/>
      <c r="NQW31" s="71"/>
      <c r="NQX31" s="71"/>
      <c r="NQY31" s="71"/>
      <c r="NQZ31" s="71"/>
      <c r="NRA31" s="71"/>
      <c r="NRB31" s="71"/>
      <c r="NRC31" s="71"/>
      <c r="NRD31" s="71"/>
      <c r="NRE31" s="71"/>
      <c r="NRF31" s="71"/>
      <c r="NRG31" s="71"/>
      <c r="NRH31" s="71"/>
      <c r="NRI31" s="71"/>
      <c r="NRJ31" s="71"/>
      <c r="NRK31" s="71"/>
      <c r="NRL31" s="71"/>
      <c r="NRM31" s="71"/>
      <c r="NRN31" s="71"/>
      <c r="NRO31" s="71"/>
      <c r="NRP31" s="71"/>
      <c r="NRQ31" s="71"/>
      <c r="NRR31" s="71"/>
      <c r="NRS31" s="71"/>
      <c r="NRT31" s="71"/>
      <c r="NRU31" s="71"/>
      <c r="NRV31" s="71"/>
      <c r="NRW31" s="71"/>
      <c r="NRX31" s="71"/>
      <c r="NRY31" s="71"/>
      <c r="NRZ31" s="71"/>
      <c r="NSA31" s="71"/>
      <c r="NSB31" s="71"/>
      <c r="NSC31" s="71"/>
      <c r="NSD31" s="71"/>
      <c r="NSE31" s="71"/>
      <c r="NSF31" s="71"/>
      <c r="NSG31" s="71"/>
      <c r="NSH31" s="71"/>
      <c r="NSI31" s="71"/>
      <c r="NSJ31" s="71"/>
      <c r="NSK31" s="71"/>
      <c r="NSL31" s="71"/>
      <c r="NSM31" s="71"/>
      <c r="NSN31" s="71"/>
      <c r="NSO31" s="71"/>
      <c r="NSP31" s="71"/>
      <c r="NSQ31" s="71"/>
      <c r="NSR31" s="71"/>
      <c r="NSS31" s="71"/>
      <c r="NST31" s="71"/>
      <c r="NSU31" s="71"/>
      <c r="NSV31" s="71"/>
      <c r="NSW31" s="71"/>
      <c r="NSX31" s="71"/>
      <c r="NSY31" s="71"/>
      <c r="NSZ31" s="71"/>
      <c r="NTA31" s="71"/>
      <c r="NTB31" s="71"/>
      <c r="NTC31" s="71"/>
      <c r="NTD31" s="71"/>
      <c r="NTE31" s="71"/>
      <c r="NTF31" s="71"/>
      <c r="NTG31" s="71"/>
      <c r="NTH31" s="71"/>
      <c r="NTI31" s="71"/>
      <c r="NTJ31" s="71"/>
      <c r="NTK31" s="71"/>
      <c r="NTL31" s="71"/>
      <c r="NTM31" s="71"/>
      <c r="NTN31" s="71"/>
      <c r="NTO31" s="71"/>
      <c r="NTP31" s="71"/>
      <c r="NTQ31" s="71"/>
      <c r="NTR31" s="71"/>
      <c r="NTS31" s="71"/>
      <c r="NTT31" s="71"/>
      <c r="NTU31" s="71"/>
      <c r="NTV31" s="71"/>
      <c r="NTW31" s="71"/>
      <c r="NTX31" s="71"/>
      <c r="NTY31" s="71"/>
      <c r="NTZ31" s="71"/>
      <c r="NUA31" s="71"/>
      <c r="NUB31" s="71"/>
      <c r="NUC31" s="71"/>
      <c r="NUD31" s="71"/>
      <c r="NUE31" s="71"/>
      <c r="NUF31" s="71"/>
      <c r="NUG31" s="71"/>
      <c r="NUH31" s="71"/>
      <c r="NUI31" s="71"/>
      <c r="NUJ31" s="71"/>
      <c r="NUK31" s="71"/>
      <c r="NUL31" s="71"/>
      <c r="NUM31" s="71"/>
      <c r="NUN31" s="71"/>
      <c r="NUO31" s="71"/>
      <c r="NUP31" s="71"/>
      <c r="NUQ31" s="71"/>
      <c r="NUR31" s="71"/>
      <c r="NUS31" s="71"/>
      <c r="NUT31" s="71"/>
      <c r="NUU31" s="71"/>
      <c r="NUV31" s="71"/>
      <c r="NUW31" s="71"/>
      <c r="NUX31" s="71"/>
      <c r="NUY31" s="71"/>
      <c r="NUZ31" s="71"/>
      <c r="NVA31" s="71"/>
      <c r="NVB31" s="71"/>
      <c r="NVC31" s="71"/>
      <c r="NVD31" s="71"/>
      <c r="NVE31" s="71"/>
      <c r="NVF31" s="71"/>
      <c r="NVG31" s="71"/>
      <c r="NVH31" s="71"/>
      <c r="NVI31" s="71"/>
      <c r="NVJ31" s="71"/>
      <c r="NVK31" s="71"/>
      <c r="NVL31" s="71"/>
      <c r="NVM31" s="71"/>
      <c r="NVN31" s="71"/>
      <c r="NVO31" s="71"/>
      <c r="NVP31" s="71"/>
      <c r="NVQ31" s="71"/>
      <c r="NVR31" s="71"/>
      <c r="NVS31" s="71"/>
      <c r="NVT31" s="71"/>
      <c r="NVU31" s="71"/>
      <c r="NVV31" s="71"/>
      <c r="NVW31" s="71"/>
      <c r="NVX31" s="71"/>
      <c r="NVY31" s="71"/>
      <c r="NVZ31" s="71"/>
      <c r="NWA31" s="71"/>
      <c r="NWB31" s="71"/>
      <c r="NWC31" s="71"/>
      <c r="NWD31" s="71"/>
      <c r="NWE31" s="71"/>
      <c r="NWF31" s="71"/>
      <c r="NWG31" s="71"/>
      <c r="NWH31" s="71"/>
      <c r="NWI31" s="71"/>
      <c r="NWJ31" s="71"/>
      <c r="NWK31" s="71"/>
      <c r="NWL31" s="71"/>
      <c r="NWM31" s="71"/>
      <c r="NWN31" s="71"/>
      <c r="NWO31" s="71"/>
      <c r="NWP31" s="71"/>
      <c r="NWQ31" s="71"/>
      <c r="NWR31" s="71"/>
      <c r="NWS31" s="71"/>
      <c r="NWT31" s="71"/>
      <c r="NWU31" s="71"/>
      <c r="NWV31" s="71"/>
      <c r="NWW31" s="71"/>
      <c r="NWX31" s="71"/>
      <c r="NWY31" s="71"/>
      <c r="NWZ31" s="71"/>
      <c r="NXA31" s="71"/>
      <c r="NXB31" s="71"/>
      <c r="NXC31" s="71"/>
      <c r="NXD31" s="71"/>
      <c r="NXE31" s="71"/>
      <c r="NXF31" s="71"/>
      <c r="NXG31" s="71"/>
      <c r="NXH31" s="71"/>
      <c r="NXI31" s="71"/>
      <c r="NXJ31" s="71"/>
      <c r="NXK31" s="71"/>
      <c r="NXL31" s="71"/>
      <c r="NXM31" s="71"/>
      <c r="NXN31" s="71"/>
      <c r="NXO31" s="71"/>
      <c r="NXP31" s="71"/>
      <c r="NXQ31" s="71"/>
      <c r="NXR31" s="71"/>
      <c r="NXS31" s="71"/>
      <c r="NXT31" s="71"/>
      <c r="NXU31" s="71"/>
      <c r="NXV31" s="71"/>
      <c r="NXW31" s="71"/>
      <c r="NXX31" s="71"/>
      <c r="NXY31" s="71"/>
      <c r="NXZ31" s="71"/>
      <c r="NYA31" s="71"/>
      <c r="NYB31" s="71"/>
      <c r="NYC31" s="71"/>
      <c r="NYD31" s="71"/>
      <c r="NYE31" s="71"/>
      <c r="NYF31" s="71"/>
      <c r="NYG31" s="71"/>
      <c r="NYH31" s="71"/>
      <c r="NYI31" s="71"/>
      <c r="NYJ31" s="71"/>
      <c r="NYK31" s="71"/>
      <c r="NYL31" s="71"/>
      <c r="NYM31" s="71"/>
      <c r="NYN31" s="71"/>
      <c r="NYO31" s="71"/>
      <c r="NYP31" s="71"/>
      <c r="NYQ31" s="71"/>
      <c r="NYR31" s="71"/>
      <c r="NYS31" s="71"/>
      <c r="NYT31" s="71"/>
      <c r="NYU31" s="71"/>
      <c r="NYV31" s="71"/>
      <c r="NYW31" s="71"/>
      <c r="NYX31" s="71"/>
      <c r="NYY31" s="71"/>
      <c r="NYZ31" s="71"/>
      <c r="NZA31" s="71"/>
      <c r="NZB31" s="71"/>
      <c r="NZC31" s="71"/>
      <c r="NZD31" s="71"/>
      <c r="NZE31" s="71"/>
      <c r="NZF31" s="71"/>
      <c r="NZG31" s="71"/>
      <c r="NZH31" s="71"/>
      <c r="NZI31" s="71"/>
      <c r="NZJ31" s="71"/>
      <c r="NZK31" s="71"/>
      <c r="NZL31" s="71"/>
      <c r="NZM31" s="71"/>
      <c r="NZN31" s="71"/>
      <c r="NZO31" s="71"/>
      <c r="NZP31" s="71"/>
      <c r="NZQ31" s="71"/>
      <c r="NZR31" s="71"/>
      <c r="NZS31" s="71"/>
      <c r="NZT31" s="71"/>
      <c r="NZU31" s="71"/>
      <c r="NZV31" s="71"/>
      <c r="NZW31" s="71"/>
      <c r="NZX31" s="71"/>
      <c r="NZY31" s="71"/>
      <c r="NZZ31" s="71"/>
      <c r="OAA31" s="71"/>
      <c r="OAB31" s="71"/>
      <c r="OAC31" s="71"/>
      <c r="OAD31" s="71"/>
      <c r="OAE31" s="71"/>
      <c r="OAF31" s="71"/>
      <c r="OAG31" s="71"/>
      <c r="OAH31" s="71"/>
      <c r="OAI31" s="71"/>
      <c r="OAJ31" s="71"/>
      <c r="OAK31" s="71"/>
      <c r="OAL31" s="71"/>
      <c r="OAM31" s="71"/>
      <c r="OAN31" s="71"/>
      <c r="OAO31" s="71"/>
      <c r="OAP31" s="71"/>
      <c r="OAQ31" s="71"/>
      <c r="OAR31" s="71"/>
      <c r="OAS31" s="71"/>
      <c r="OAT31" s="71"/>
      <c r="OAU31" s="71"/>
      <c r="OAV31" s="71"/>
      <c r="OAW31" s="71"/>
      <c r="OAX31" s="71"/>
      <c r="OAY31" s="71"/>
      <c r="OAZ31" s="71"/>
      <c r="OBA31" s="71"/>
      <c r="OBB31" s="71"/>
      <c r="OBC31" s="71"/>
      <c r="OBD31" s="71"/>
      <c r="OBE31" s="71"/>
      <c r="OBF31" s="71"/>
      <c r="OBG31" s="71"/>
      <c r="OBH31" s="71"/>
      <c r="OBI31" s="71"/>
      <c r="OBJ31" s="71"/>
      <c r="OBK31" s="71"/>
      <c r="OBL31" s="71"/>
      <c r="OBM31" s="71"/>
      <c r="OBN31" s="71"/>
      <c r="OBO31" s="71"/>
      <c r="OBP31" s="71"/>
      <c r="OBQ31" s="71"/>
      <c r="OBR31" s="71"/>
      <c r="OBS31" s="71"/>
      <c r="OBT31" s="71"/>
      <c r="OBU31" s="71"/>
      <c r="OBV31" s="71"/>
      <c r="OBW31" s="71"/>
      <c r="OBX31" s="71"/>
      <c r="OBY31" s="71"/>
      <c r="OBZ31" s="71"/>
      <c r="OCA31" s="71"/>
      <c r="OCB31" s="71"/>
      <c r="OCC31" s="71"/>
      <c r="OCD31" s="71"/>
      <c r="OCE31" s="71"/>
      <c r="OCF31" s="71"/>
      <c r="OCG31" s="71"/>
      <c r="OCH31" s="71"/>
      <c r="OCI31" s="71"/>
      <c r="OCJ31" s="71"/>
      <c r="OCK31" s="71"/>
      <c r="OCL31" s="71"/>
      <c r="OCM31" s="71"/>
      <c r="OCN31" s="71"/>
      <c r="OCO31" s="71"/>
      <c r="OCP31" s="71"/>
      <c r="OCQ31" s="71"/>
      <c r="OCR31" s="71"/>
      <c r="OCS31" s="71"/>
      <c r="OCT31" s="71"/>
      <c r="OCU31" s="71"/>
      <c r="OCV31" s="71"/>
      <c r="OCW31" s="71"/>
      <c r="OCX31" s="71"/>
      <c r="OCY31" s="71"/>
      <c r="OCZ31" s="71"/>
      <c r="ODA31" s="71"/>
      <c r="ODB31" s="71"/>
      <c r="ODC31" s="71"/>
      <c r="ODD31" s="71"/>
      <c r="ODE31" s="71"/>
      <c r="ODF31" s="71"/>
      <c r="ODG31" s="71"/>
      <c r="ODH31" s="71"/>
      <c r="ODI31" s="71"/>
      <c r="ODJ31" s="71"/>
      <c r="ODK31" s="71"/>
      <c r="ODL31" s="71"/>
      <c r="ODM31" s="71"/>
      <c r="ODN31" s="71"/>
      <c r="ODO31" s="71"/>
      <c r="ODP31" s="71"/>
      <c r="ODQ31" s="71"/>
      <c r="ODR31" s="71"/>
      <c r="ODS31" s="71"/>
      <c r="ODT31" s="71"/>
      <c r="ODU31" s="71"/>
      <c r="ODV31" s="71"/>
      <c r="ODW31" s="71"/>
      <c r="ODX31" s="71"/>
      <c r="ODY31" s="71"/>
      <c r="ODZ31" s="71"/>
      <c r="OEA31" s="71"/>
      <c r="OEB31" s="71"/>
      <c r="OEC31" s="71"/>
      <c r="OED31" s="71"/>
      <c r="OEE31" s="71"/>
      <c r="OEF31" s="71"/>
      <c r="OEG31" s="71"/>
      <c r="OEH31" s="71"/>
      <c r="OEI31" s="71"/>
      <c r="OEJ31" s="71"/>
      <c r="OEK31" s="71"/>
      <c r="OEL31" s="71"/>
      <c r="OEM31" s="71"/>
      <c r="OEN31" s="71"/>
      <c r="OEO31" s="71"/>
      <c r="OEP31" s="71"/>
      <c r="OEQ31" s="71"/>
      <c r="OER31" s="71"/>
      <c r="OES31" s="71"/>
      <c r="OET31" s="71"/>
      <c r="OEU31" s="71"/>
      <c r="OEV31" s="71"/>
      <c r="OEW31" s="71"/>
      <c r="OEX31" s="71"/>
      <c r="OEY31" s="71"/>
      <c r="OEZ31" s="71"/>
      <c r="OFA31" s="71"/>
      <c r="OFB31" s="71"/>
      <c r="OFC31" s="71"/>
      <c r="OFD31" s="71"/>
      <c r="OFE31" s="71"/>
      <c r="OFF31" s="71"/>
      <c r="OFG31" s="71"/>
      <c r="OFH31" s="71"/>
      <c r="OFI31" s="71"/>
      <c r="OFJ31" s="71"/>
      <c r="OFK31" s="71"/>
      <c r="OFL31" s="71"/>
      <c r="OFM31" s="71"/>
      <c r="OFN31" s="71"/>
      <c r="OFO31" s="71"/>
      <c r="OFP31" s="71"/>
      <c r="OFQ31" s="71"/>
      <c r="OFR31" s="71"/>
      <c r="OFS31" s="71"/>
      <c r="OFT31" s="71"/>
      <c r="OFU31" s="71"/>
      <c r="OFV31" s="71"/>
      <c r="OFW31" s="71"/>
      <c r="OFX31" s="71"/>
      <c r="OFY31" s="71"/>
      <c r="OFZ31" s="71"/>
      <c r="OGA31" s="71"/>
      <c r="OGB31" s="71"/>
      <c r="OGC31" s="71"/>
      <c r="OGD31" s="71"/>
      <c r="OGE31" s="71"/>
      <c r="OGF31" s="71"/>
      <c r="OGG31" s="71"/>
      <c r="OGH31" s="71"/>
      <c r="OGI31" s="71"/>
      <c r="OGJ31" s="71"/>
      <c r="OGK31" s="71"/>
      <c r="OGL31" s="71"/>
      <c r="OGM31" s="71"/>
      <c r="OGN31" s="71"/>
      <c r="OGO31" s="71"/>
      <c r="OGP31" s="71"/>
      <c r="OGQ31" s="71"/>
      <c r="OGR31" s="71"/>
      <c r="OGS31" s="71"/>
      <c r="OGT31" s="71"/>
      <c r="OGU31" s="71"/>
      <c r="OGV31" s="71"/>
      <c r="OGW31" s="71"/>
      <c r="OGX31" s="71"/>
      <c r="OGY31" s="71"/>
      <c r="OGZ31" s="71"/>
      <c r="OHA31" s="71"/>
      <c r="OHB31" s="71"/>
      <c r="OHC31" s="71"/>
      <c r="OHD31" s="71"/>
      <c r="OHE31" s="71"/>
      <c r="OHF31" s="71"/>
      <c r="OHG31" s="71"/>
      <c r="OHH31" s="71"/>
      <c r="OHI31" s="71"/>
      <c r="OHJ31" s="71"/>
      <c r="OHK31" s="71"/>
      <c r="OHL31" s="71"/>
      <c r="OHM31" s="71"/>
      <c r="OHN31" s="71"/>
      <c r="OHO31" s="71"/>
      <c r="OHP31" s="71"/>
      <c r="OHQ31" s="71"/>
      <c r="OHR31" s="71"/>
      <c r="OHS31" s="71"/>
      <c r="OHT31" s="71"/>
      <c r="OHU31" s="71"/>
      <c r="OHV31" s="71"/>
      <c r="OHW31" s="71"/>
      <c r="OHX31" s="71"/>
      <c r="OHY31" s="71"/>
      <c r="OHZ31" s="71"/>
      <c r="OIA31" s="71"/>
      <c r="OIB31" s="71"/>
      <c r="OIC31" s="71"/>
      <c r="OID31" s="71"/>
      <c r="OIE31" s="71"/>
      <c r="OIF31" s="71"/>
      <c r="OIG31" s="71"/>
      <c r="OIH31" s="71"/>
      <c r="OII31" s="71"/>
      <c r="OIJ31" s="71"/>
      <c r="OIK31" s="71"/>
      <c r="OIL31" s="71"/>
      <c r="OIM31" s="71"/>
      <c r="OIN31" s="71"/>
      <c r="OIO31" s="71"/>
      <c r="OIP31" s="71"/>
      <c r="OIQ31" s="71"/>
      <c r="OIR31" s="71"/>
      <c r="OIS31" s="71"/>
      <c r="OIT31" s="71"/>
      <c r="OIU31" s="71"/>
      <c r="OIV31" s="71"/>
      <c r="OIW31" s="71"/>
      <c r="OIX31" s="71"/>
      <c r="OIY31" s="71"/>
      <c r="OIZ31" s="71"/>
      <c r="OJA31" s="71"/>
      <c r="OJB31" s="71"/>
      <c r="OJC31" s="71"/>
      <c r="OJD31" s="71"/>
      <c r="OJE31" s="71"/>
      <c r="OJF31" s="71"/>
      <c r="OJG31" s="71"/>
      <c r="OJH31" s="71"/>
      <c r="OJI31" s="71"/>
      <c r="OJJ31" s="71"/>
      <c r="OJK31" s="71"/>
      <c r="OJL31" s="71"/>
      <c r="OJM31" s="71"/>
      <c r="OJN31" s="71"/>
      <c r="OJO31" s="71"/>
      <c r="OJP31" s="71"/>
      <c r="OJQ31" s="71"/>
      <c r="OJR31" s="71"/>
      <c r="OJS31" s="71"/>
      <c r="OJT31" s="71"/>
      <c r="OJU31" s="71"/>
      <c r="OJV31" s="71"/>
      <c r="OJW31" s="71"/>
      <c r="OJX31" s="71"/>
      <c r="OJY31" s="71"/>
      <c r="OJZ31" s="71"/>
      <c r="OKA31" s="71"/>
      <c r="OKB31" s="71"/>
      <c r="OKC31" s="71"/>
      <c r="OKD31" s="71"/>
      <c r="OKE31" s="71"/>
      <c r="OKF31" s="71"/>
      <c r="OKG31" s="71"/>
      <c r="OKH31" s="71"/>
      <c r="OKI31" s="71"/>
      <c r="OKJ31" s="71"/>
      <c r="OKK31" s="71"/>
      <c r="OKL31" s="71"/>
      <c r="OKM31" s="71"/>
      <c r="OKN31" s="71"/>
      <c r="OKO31" s="71"/>
      <c r="OKP31" s="71"/>
      <c r="OKQ31" s="71"/>
      <c r="OKR31" s="71"/>
      <c r="OKS31" s="71"/>
      <c r="OKT31" s="71"/>
      <c r="OKU31" s="71"/>
      <c r="OKV31" s="71"/>
      <c r="OKW31" s="71"/>
      <c r="OKX31" s="71"/>
      <c r="OKY31" s="71"/>
      <c r="OKZ31" s="71"/>
      <c r="OLA31" s="71"/>
      <c r="OLB31" s="71"/>
      <c r="OLC31" s="71"/>
      <c r="OLD31" s="71"/>
      <c r="OLE31" s="71"/>
      <c r="OLF31" s="71"/>
      <c r="OLG31" s="71"/>
      <c r="OLH31" s="71"/>
      <c r="OLI31" s="71"/>
      <c r="OLJ31" s="71"/>
      <c r="OLK31" s="71"/>
      <c r="OLL31" s="71"/>
      <c r="OLM31" s="71"/>
      <c r="OLN31" s="71"/>
      <c r="OLO31" s="71"/>
      <c r="OLP31" s="71"/>
      <c r="OLQ31" s="71"/>
      <c r="OLR31" s="71"/>
      <c r="OLS31" s="71"/>
      <c r="OLT31" s="71"/>
      <c r="OLU31" s="71"/>
      <c r="OLV31" s="71"/>
      <c r="OLW31" s="71"/>
      <c r="OLX31" s="71"/>
      <c r="OLY31" s="71"/>
      <c r="OLZ31" s="71"/>
      <c r="OMA31" s="71"/>
      <c r="OMB31" s="71"/>
      <c r="OMC31" s="71"/>
      <c r="OMD31" s="71"/>
      <c r="OME31" s="71"/>
      <c r="OMF31" s="71"/>
      <c r="OMG31" s="71"/>
      <c r="OMH31" s="71"/>
      <c r="OMI31" s="71"/>
      <c r="OMJ31" s="71"/>
      <c r="OMK31" s="71"/>
      <c r="OML31" s="71"/>
      <c r="OMM31" s="71"/>
      <c r="OMN31" s="71"/>
      <c r="OMO31" s="71"/>
      <c r="OMP31" s="71"/>
      <c r="OMQ31" s="71"/>
      <c r="OMR31" s="71"/>
      <c r="OMS31" s="71"/>
      <c r="OMT31" s="71"/>
      <c r="OMU31" s="71"/>
      <c r="OMV31" s="71"/>
      <c r="OMW31" s="71"/>
      <c r="OMX31" s="71"/>
      <c r="OMY31" s="71"/>
      <c r="OMZ31" s="71"/>
      <c r="ONA31" s="71"/>
      <c r="ONB31" s="71"/>
      <c r="ONC31" s="71"/>
      <c r="OND31" s="71"/>
      <c r="ONE31" s="71"/>
      <c r="ONF31" s="71"/>
      <c r="ONG31" s="71"/>
      <c r="ONH31" s="71"/>
      <c r="ONI31" s="71"/>
      <c r="ONJ31" s="71"/>
      <c r="ONK31" s="71"/>
      <c r="ONL31" s="71"/>
      <c r="ONM31" s="71"/>
      <c r="ONN31" s="71"/>
      <c r="ONO31" s="71"/>
      <c r="ONP31" s="71"/>
      <c r="ONQ31" s="71"/>
      <c r="ONR31" s="71"/>
      <c r="ONS31" s="71"/>
      <c r="ONT31" s="71"/>
      <c r="ONU31" s="71"/>
      <c r="ONV31" s="71"/>
      <c r="ONW31" s="71"/>
      <c r="ONX31" s="71"/>
      <c r="ONY31" s="71"/>
      <c r="ONZ31" s="71"/>
      <c r="OOA31" s="71"/>
      <c r="OOB31" s="71"/>
      <c r="OOC31" s="71"/>
      <c r="OOD31" s="71"/>
      <c r="OOE31" s="71"/>
      <c r="OOF31" s="71"/>
      <c r="OOG31" s="71"/>
      <c r="OOH31" s="71"/>
      <c r="OOI31" s="71"/>
      <c r="OOJ31" s="71"/>
      <c r="OOK31" s="71"/>
      <c r="OOL31" s="71"/>
      <c r="OOM31" s="71"/>
      <c r="OON31" s="71"/>
      <c r="OOO31" s="71"/>
      <c r="OOP31" s="71"/>
      <c r="OOQ31" s="71"/>
      <c r="OOR31" s="71"/>
      <c r="OOS31" s="71"/>
      <c r="OOT31" s="71"/>
      <c r="OOU31" s="71"/>
      <c r="OOV31" s="71"/>
      <c r="OOW31" s="71"/>
      <c r="OOX31" s="71"/>
      <c r="OOY31" s="71"/>
      <c r="OOZ31" s="71"/>
      <c r="OPA31" s="71"/>
      <c r="OPB31" s="71"/>
      <c r="OPC31" s="71"/>
      <c r="OPD31" s="71"/>
      <c r="OPE31" s="71"/>
      <c r="OPF31" s="71"/>
      <c r="OPG31" s="71"/>
      <c r="OPH31" s="71"/>
      <c r="OPI31" s="71"/>
      <c r="OPJ31" s="71"/>
      <c r="OPK31" s="71"/>
      <c r="OPL31" s="71"/>
      <c r="OPM31" s="71"/>
      <c r="OPN31" s="71"/>
      <c r="OPO31" s="71"/>
      <c r="OPP31" s="71"/>
      <c r="OPQ31" s="71"/>
      <c r="OPR31" s="71"/>
      <c r="OPS31" s="71"/>
      <c r="OPT31" s="71"/>
      <c r="OPU31" s="71"/>
      <c r="OPV31" s="71"/>
      <c r="OPW31" s="71"/>
      <c r="OPX31" s="71"/>
      <c r="OPY31" s="71"/>
      <c r="OPZ31" s="71"/>
      <c r="OQA31" s="71"/>
      <c r="OQB31" s="71"/>
      <c r="OQC31" s="71"/>
      <c r="OQD31" s="71"/>
      <c r="OQE31" s="71"/>
      <c r="OQF31" s="71"/>
      <c r="OQG31" s="71"/>
      <c r="OQH31" s="71"/>
      <c r="OQI31" s="71"/>
      <c r="OQJ31" s="71"/>
      <c r="OQK31" s="71"/>
      <c r="OQL31" s="71"/>
      <c r="OQM31" s="71"/>
      <c r="OQN31" s="71"/>
      <c r="OQO31" s="71"/>
      <c r="OQP31" s="71"/>
      <c r="OQQ31" s="71"/>
      <c r="OQR31" s="71"/>
      <c r="OQS31" s="71"/>
      <c r="OQT31" s="71"/>
      <c r="OQU31" s="71"/>
      <c r="OQV31" s="71"/>
      <c r="OQW31" s="71"/>
      <c r="OQX31" s="71"/>
      <c r="OQY31" s="71"/>
      <c r="OQZ31" s="71"/>
      <c r="ORA31" s="71"/>
      <c r="ORB31" s="71"/>
      <c r="ORC31" s="71"/>
      <c r="ORD31" s="71"/>
      <c r="ORE31" s="71"/>
      <c r="ORF31" s="71"/>
      <c r="ORG31" s="71"/>
      <c r="ORH31" s="71"/>
      <c r="ORI31" s="71"/>
      <c r="ORJ31" s="71"/>
      <c r="ORK31" s="71"/>
      <c r="ORL31" s="71"/>
      <c r="ORM31" s="71"/>
      <c r="ORN31" s="71"/>
      <c r="ORO31" s="71"/>
      <c r="ORP31" s="71"/>
      <c r="ORQ31" s="71"/>
      <c r="ORR31" s="71"/>
      <c r="ORS31" s="71"/>
      <c r="ORT31" s="71"/>
      <c r="ORU31" s="71"/>
      <c r="ORV31" s="71"/>
      <c r="ORW31" s="71"/>
      <c r="ORX31" s="71"/>
      <c r="ORY31" s="71"/>
      <c r="ORZ31" s="71"/>
      <c r="OSA31" s="71"/>
      <c r="OSB31" s="71"/>
      <c r="OSC31" s="71"/>
      <c r="OSD31" s="71"/>
      <c r="OSE31" s="71"/>
      <c r="OSF31" s="71"/>
      <c r="OSG31" s="71"/>
      <c r="OSH31" s="71"/>
      <c r="OSI31" s="71"/>
      <c r="OSJ31" s="71"/>
      <c r="OSK31" s="71"/>
      <c r="OSL31" s="71"/>
      <c r="OSM31" s="71"/>
      <c r="OSN31" s="71"/>
      <c r="OSO31" s="71"/>
      <c r="OSP31" s="71"/>
      <c r="OSQ31" s="71"/>
      <c r="OSR31" s="71"/>
      <c r="OSS31" s="71"/>
      <c r="OST31" s="71"/>
      <c r="OSU31" s="71"/>
      <c r="OSV31" s="71"/>
      <c r="OSW31" s="71"/>
      <c r="OSX31" s="71"/>
      <c r="OSY31" s="71"/>
      <c r="OSZ31" s="71"/>
      <c r="OTA31" s="71"/>
      <c r="OTB31" s="71"/>
      <c r="OTC31" s="71"/>
      <c r="OTD31" s="71"/>
      <c r="OTE31" s="71"/>
      <c r="OTF31" s="71"/>
      <c r="OTG31" s="71"/>
      <c r="OTH31" s="71"/>
      <c r="OTI31" s="71"/>
      <c r="OTJ31" s="71"/>
      <c r="OTK31" s="71"/>
      <c r="OTL31" s="71"/>
      <c r="OTM31" s="71"/>
      <c r="OTN31" s="71"/>
      <c r="OTO31" s="71"/>
      <c r="OTP31" s="71"/>
      <c r="OTQ31" s="71"/>
      <c r="OTR31" s="71"/>
      <c r="OTS31" s="71"/>
      <c r="OTT31" s="71"/>
      <c r="OTU31" s="71"/>
      <c r="OTV31" s="71"/>
      <c r="OTW31" s="71"/>
      <c r="OTX31" s="71"/>
      <c r="OTY31" s="71"/>
      <c r="OTZ31" s="71"/>
      <c r="OUA31" s="71"/>
      <c r="OUB31" s="71"/>
      <c r="OUC31" s="71"/>
      <c r="OUD31" s="71"/>
      <c r="OUE31" s="71"/>
      <c r="OUF31" s="71"/>
      <c r="OUG31" s="71"/>
      <c r="OUH31" s="71"/>
      <c r="OUI31" s="71"/>
      <c r="OUJ31" s="71"/>
      <c r="OUK31" s="71"/>
      <c r="OUL31" s="71"/>
      <c r="OUM31" s="71"/>
      <c r="OUN31" s="71"/>
      <c r="OUO31" s="71"/>
      <c r="OUP31" s="71"/>
      <c r="OUQ31" s="71"/>
      <c r="OUR31" s="71"/>
      <c r="OUS31" s="71"/>
      <c r="OUT31" s="71"/>
      <c r="OUU31" s="71"/>
      <c r="OUV31" s="71"/>
      <c r="OUW31" s="71"/>
      <c r="OUX31" s="71"/>
      <c r="OUY31" s="71"/>
      <c r="OUZ31" s="71"/>
      <c r="OVA31" s="71"/>
      <c r="OVB31" s="71"/>
      <c r="OVC31" s="71"/>
      <c r="OVD31" s="71"/>
      <c r="OVE31" s="71"/>
      <c r="OVF31" s="71"/>
      <c r="OVG31" s="71"/>
      <c r="OVH31" s="71"/>
      <c r="OVI31" s="71"/>
      <c r="OVJ31" s="71"/>
      <c r="OVK31" s="71"/>
      <c r="OVL31" s="71"/>
      <c r="OVM31" s="71"/>
      <c r="OVN31" s="71"/>
      <c r="OVO31" s="71"/>
      <c r="OVP31" s="71"/>
      <c r="OVQ31" s="71"/>
      <c r="OVR31" s="71"/>
      <c r="OVS31" s="71"/>
      <c r="OVT31" s="71"/>
      <c r="OVU31" s="71"/>
      <c r="OVV31" s="71"/>
      <c r="OVW31" s="71"/>
      <c r="OVX31" s="71"/>
      <c r="OVY31" s="71"/>
      <c r="OVZ31" s="71"/>
      <c r="OWA31" s="71"/>
      <c r="OWB31" s="71"/>
      <c r="OWC31" s="71"/>
      <c r="OWD31" s="71"/>
      <c r="OWE31" s="71"/>
      <c r="OWF31" s="71"/>
      <c r="OWG31" s="71"/>
      <c r="OWH31" s="71"/>
      <c r="OWI31" s="71"/>
      <c r="OWJ31" s="71"/>
      <c r="OWK31" s="71"/>
      <c r="OWL31" s="71"/>
      <c r="OWM31" s="71"/>
      <c r="OWN31" s="71"/>
      <c r="OWO31" s="71"/>
      <c r="OWP31" s="71"/>
      <c r="OWQ31" s="71"/>
      <c r="OWR31" s="71"/>
      <c r="OWS31" s="71"/>
      <c r="OWT31" s="71"/>
      <c r="OWU31" s="71"/>
      <c r="OWV31" s="71"/>
      <c r="OWW31" s="71"/>
      <c r="OWX31" s="71"/>
      <c r="OWY31" s="71"/>
      <c r="OWZ31" s="71"/>
      <c r="OXA31" s="71"/>
      <c r="OXB31" s="71"/>
      <c r="OXC31" s="71"/>
      <c r="OXD31" s="71"/>
      <c r="OXE31" s="71"/>
      <c r="OXF31" s="71"/>
      <c r="OXG31" s="71"/>
      <c r="OXH31" s="71"/>
      <c r="OXI31" s="71"/>
      <c r="OXJ31" s="71"/>
      <c r="OXK31" s="71"/>
      <c r="OXL31" s="71"/>
      <c r="OXM31" s="71"/>
      <c r="OXN31" s="71"/>
      <c r="OXO31" s="71"/>
      <c r="OXP31" s="71"/>
      <c r="OXQ31" s="71"/>
      <c r="OXR31" s="71"/>
      <c r="OXS31" s="71"/>
      <c r="OXT31" s="71"/>
      <c r="OXU31" s="71"/>
      <c r="OXV31" s="71"/>
      <c r="OXW31" s="71"/>
      <c r="OXX31" s="71"/>
      <c r="OXY31" s="71"/>
      <c r="OXZ31" s="71"/>
      <c r="OYA31" s="71"/>
      <c r="OYB31" s="71"/>
      <c r="OYC31" s="71"/>
      <c r="OYD31" s="71"/>
      <c r="OYE31" s="71"/>
      <c r="OYF31" s="71"/>
      <c r="OYG31" s="71"/>
      <c r="OYH31" s="71"/>
      <c r="OYI31" s="71"/>
      <c r="OYJ31" s="71"/>
      <c r="OYK31" s="71"/>
      <c r="OYL31" s="71"/>
      <c r="OYM31" s="71"/>
      <c r="OYN31" s="71"/>
      <c r="OYO31" s="71"/>
      <c r="OYP31" s="71"/>
      <c r="OYQ31" s="71"/>
      <c r="OYR31" s="71"/>
      <c r="OYS31" s="71"/>
      <c r="OYT31" s="71"/>
      <c r="OYU31" s="71"/>
      <c r="OYV31" s="71"/>
      <c r="OYW31" s="71"/>
      <c r="OYX31" s="71"/>
      <c r="OYY31" s="71"/>
      <c r="OYZ31" s="71"/>
      <c r="OZA31" s="71"/>
      <c r="OZB31" s="71"/>
      <c r="OZC31" s="71"/>
      <c r="OZD31" s="71"/>
      <c r="OZE31" s="71"/>
      <c r="OZF31" s="71"/>
      <c r="OZG31" s="71"/>
      <c r="OZH31" s="71"/>
      <c r="OZI31" s="71"/>
      <c r="OZJ31" s="71"/>
      <c r="OZK31" s="71"/>
      <c r="OZL31" s="71"/>
      <c r="OZM31" s="71"/>
      <c r="OZN31" s="71"/>
      <c r="OZO31" s="71"/>
      <c r="OZP31" s="71"/>
      <c r="OZQ31" s="71"/>
      <c r="OZR31" s="71"/>
      <c r="OZS31" s="71"/>
      <c r="OZT31" s="71"/>
      <c r="OZU31" s="71"/>
      <c r="OZV31" s="71"/>
      <c r="OZW31" s="71"/>
      <c r="OZX31" s="71"/>
      <c r="OZY31" s="71"/>
      <c r="OZZ31" s="71"/>
      <c r="PAA31" s="71"/>
      <c r="PAB31" s="71"/>
      <c r="PAC31" s="71"/>
      <c r="PAD31" s="71"/>
      <c r="PAE31" s="71"/>
      <c r="PAF31" s="71"/>
      <c r="PAG31" s="71"/>
      <c r="PAH31" s="71"/>
      <c r="PAI31" s="71"/>
      <c r="PAJ31" s="71"/>
      <c r="PAK31" s="71"/>
      <c r="PAL31" s="71"/>
      <c r="PAM31" s="71"/>
      <c r="PAN31" s="71"/>
      <c r="PAO31" s="71"/>
      <c r="PAP31" s="71"/>
      <c r="PAQ31" s="71"/>
      <c r="PAR31" s="71"/>
      <c r="PAS31" s="71"/>
      <c r="PAT31" s="71"/>
      <c r="PAU31" s="71"/>
      <c r="PAV31" s="71"/>
      <c r="PAW31" s="71"/>
      <c r="PAX31" s="71"/>
      <c r="PAY31" s="71"/>
      <c r="PAZ31" s="71"/>
      <c r="PBA31" s="71"/>
      <c r="PBB31" s="71"/>
      <c r="PBC31" s="71"/>
      <c r="PBD31" s="71"/>
      <c r="PBE31" s="71"/>
      <c r="PBF31" s="71"/>
      <c r="PBG31" s="71"/>
      <c r="PBH31" s="71"/>
      <c r="PBI31" s="71"/>
      <c r="PBJ31" s="71"/>
      <c r="PBK31" s="71"/>
      <c r="PBL31" s="71"/>
      <c r="PBM31" s="71"/>
      <c r="PBN31" s="71"/>
      <c r="PBO31" s="71"/>
      <c r="PBP31" s="71"/>
      <c r="PBQ31" s="71"/>
      <c r="PBR31" s="71"/>
      <c r="PBS31" s="71"/>
      <c r="PBT31" s="71"/>
      <c r="PBU31" s="71"/>
      <c r="PBV31" s="71"/>
      <c r="PBW31" s="71"/>
      <c r="PBX31" s="71"/>
      <c r="PBY31" s="71"/>
      <c r="PBZ31" s="71"/>
      <c r="PCA31" s="71"/>
      <c r="PCB31" s="71"/>
      <c r="PCC31" s="71"/>
      <c r="PCD31" s="71"/>
      <c r="PCE31" s="71"/>
      <c r="PCF31" s="71"/>
      <c r="PCG31" s="71"/>
      <c r="PCH31" s="71"/>
      <c r="PCI31" s="71"/>
      <c r="PCJ31" s="71"/>
      <c r="PCK31" s="71"/>
      <c r="PCL31" s="71"/>
      <c r="PCM31" s="71"/>
      <c r="PCN31" s="71"/>
      <c r="PCO31" s="71"/>
      <c r="PCP31" s="71"/>
      <c r="PCQ31" s="71"/>
      <c r="PCR31" s="71"/>
      <c r="PCS31" s="71"/>
      <c r="PCT31" s="71"/>
      <c r="PCU31" s="71"/>
      <c r="PCV31" s="71"/>
      <c r="PCW31" s="71"/>
      <c r="PCX31" s="71"/>
      <c r="PCY31" s="71"/>
      <c r="PCZ31" s="71"/>
      <c r="PDA31" s="71"/>
      <c r="PDB31" s="71"/>
      <c r="PDC31" s="71"/>
      <c r="PDD31" s="71"/>
      <c r="PDE31" s="71"/>
      <c r="PDF31" s="71"/>
      <c r="PDG31" s="71"/>
      <c r="PDH31" s="71"/>
      <c r="PDI31" s="71"/>
      <c r="PDJ31" s="71"/>
      <c r="PDK31" s="71"/>
      <c r="PDL31" s="71"/>
      <c r="PDM31" s="71"/>
      <c r="PDN31" s="71"/>
      <c r="PDO31" s="71"/>
      <c r="PDP31" s="71"/>
      <c r="PDQ31" s="71"/>
      <c r="PDR31" s="71"/>
      <c r="PDS31" s="71"/>
      <c r="PDT31" s="71"/>
      <c r="PDU31" s="71"/>
      <c r="PDV31" s="71"/>
      <c r="PDW31" s="71"/>
      <c r="PDX31" s="71"/>
      <c r="PDY31" s="71"/>
      <c r="PDZ31" s="71"/>
      <c r="PEA31" s="71"/>
      <c r="PEB31" s="71"/>
      <c r="PEC31" s="71"/>
      <c r="PED31" s="71"/>
      <c r="PEE31" s="71"/>
      <c r="PEF31" s="71"/>
      <c r="PEG31" s="71"/>
      <c r="PEH31" s="71"/>
      <c r="PEI31" s="71"/>
      <c r="PEJ31" s="71"/>
      <c r="PEK31" s="71"/>
      <c r="PEL31" s="71"/>
      <c r="PEM31" s="71"/>
      <c r="PEN31" s="71"/>
      <c r="PEO31" s="71"/>
      <c r="PEP31" s="71"/>
      <c r="PEQ31" s="71"/>
      <c r="PER31" s="71"/>
      <c r="PES31" s="71"/>
      <c r="PET31" s="71"/>
      <c r="PEU31" s="71"/>
      <c r="PEV31" s="71"/>
      <c r="PEW31" s="71"/>
      <c r="PEX31" s="71"/>
      <c r="PEY31" s="71"/>
      <c r="PEZ31" s="71"/>
      <c r="PFA31" s="71"/>
      <c r="PFB31" s="71"/>
      <c r="PFC31" s="71"/>
      <c r="PFD31" s="71"/>
      <c r="PFE31" s="71"/>
      <c r="PFF31" s="71"/>
      <c r="PFG31" s="71"/>
      <c r="PFH31" s="71"/>
      <c r="PFI31" s="71"/>
      <c r="PFJ31" s="71"/>
      <c r="PFK31" s="71"/>
      <c r="PFL31" s="71"/>
      <c r="PFM31" s="71"/>
      <c r="PFN31" s="71"/>
      <c r="PFO31" s="71"/>
      <c r="PFP31" s="71"/>
      <c r="PFQ31" s="71"/>
      <c r="PFR31" s="71"/>
      <c r="PFS31" s="71"/>
      <c r="PFT31" s="71"/>
      <c r="PFU31" s="71"/>
      <c r="PFV31" s="71"/>
      <c r="PFW31" s="71"/>
      <c r="PFX31" s="71"/>
      <c r="PFY31" s="71"/>
      <c r="PFZ31" s="71"/>
      <c r="PGA31" s="71"/>
      <c r="PGB31" s="71"/>
      <c r="PGC31" s="71"/>
      <c r="PGD31" s="71"/>
      <c r="PGE31" s="71"/>
      <c r="PGF31" s="71"/>
      <c r="PGG31" s="71"/>
      <c r="PGH31" s="71"/>
      <c r="PGI31" s="71"/>
      <c r="PGJ31" s="71"/>
      <c r="PGK31" s="71"/>
      <c r="PGL31" s="71"/>
      <c r="PGM31" s="71"/>
      <c r="PGN31" s="71"/>
      <c r="PGO31" s="71"/>
      <c r="PGP31" s="71"/>
      <c r="PGQ31" s="71"/>
      <c r="PGR31" s="71"/>
      <c r="PGS31" s="71"/>
      <c r="PGT31" s="71"/>
      <c r="PGU31" s="71"/>
      <c r="PGV31" s="71"/>
      <c r="PGW31" s="71"/>
      <c r="PGX31" s="71"/>
      <c r="PGY31" s="71"/>
      <c r="PGZ31" s="71"/>
      <c r="PHA31" s="71"/>
      <c r="PHB31" s="71"/>
      <c r="PHC31" s="71"/>
      <c r="PHD31" s="71"/>
      <c r="PHE31" s="71"/>
      <c r="PHF31" s="71"/>
      <c r="PHG31" s="71"/>
      <c r="PHH31" s="71"/>
      <c r="PHI31" s="71"/>
      <c r="PHJ31" s="71"/>
      <c r="PHK31" s="71"/>
      <c r="PHL31" s="71"/>
      <c r="PHM31" s="71"/>
      <c r="PHN31" s="71"/>
      <c r="PHO31" s="71"/>
      <c r="PHP31" s="71"/>
      <c r="PHQ31" s="71"/>
      <c r="PHR31" s="71"/>
      <c r="PHS31" s="71"/>
      <c r="PHT31" s="71"/>
      <c r="PHU31" s="71"/>
      <c r="PHV31" s="71"/>
      <c r="PHW31" s="71"/>
      <c r="PHX31" s="71"/>
      <c r="PHY31" s="71"/>
      <c r="PHZ31" s="71"/>
      <c r="PIA31" s="71"/>
      <c r="PIB31" s="71"/>
      <c r="PIC31" s="71"/>
      <c r="PID31" s="71"/>
      <c r="PIE31" s="71"/>
      <c r="PIF31" s="71"/>
      <c r="PIG31" s="71"/>
      <c r="PIH31" s="71"/>
      <c r="PII31" s="71"/>
      <c r="PIJ31" s="71"/>
      <c r="PIK31" s="71"/>
      <c r="PIL31" s="71"/>
      <c r="PIM31" s="71"/>
      <c r="PIN31" s="71"/>
      <c r="PIO31" s="71"/>
      <c r="PIP31" s="71"/>
      <c r="PIQ31" s="71"/>
      <c r="PIR31" s="71"/>
      <c r="PIS31" s="71"/>
      <c r="PIT31" s="71"/>
      <c r="PIU31" s="71"/>
      <c r="PIV31" s="71"/>
      <c r="PIW31" s="71"/>
      <c r="PIX31" s="71"/>
      <c r="PIY31" s="71"/>
      <c r="PIZ31" s="71"/>
      <c r="PJA31" s="71"/>
      <c r="PJB31" s="71"/>
      <c r="PJC31" s="71"/>
      <c r="PJD31" s="71"/>
      <c r="PJE31" s="71"/>
      <c r="PJF31" s="71"/>
      <c r="PJG31" s="71"/>
      <c r="PJH31" s="71"/>
      <c r="PJI31" s="71"/>
      <c r="PJJ31" s="71"/>
      <c r="PJK31" s="71"/>
      <c r="PJL31" s="71"/>
      <c r="PJM31" s="71"/>
      <c r="PJN31" s="71"/>
      <c r="PJO31" s="71"/>
      <c r="PJP31" s="71"/>
      <c r="PJQ31" s="71"/>
      <c r="PJR31" s="71"/>
      <c r="PJS31" s="71"/>
      <c r="PJT31" s="71"/>
      <c r="PJU31" s="71"/>
      <c r="PJV31" s="71"/>
      <c r="PJW31" s="71"/>
      <c r="PJX31" s="71"/>
      <c r="PJY31" s="71"/>
      <c r="PJZ31" s="71"/>
      <c r="PKA31" s="71"/>
      <c r="PKB31" s="71"/>
      <c r="PKC31" s="71"/>
      <c r="PKD31" s="71"/>
      <c r="PKE31" s="71"/>
      <c r="PKF31" s="71"/>
      <c r="PKG31" s="71"/>
      <c r="PKH31" s="71"/>
      <c r="PKI31" s="71"/>
      <c r="PKJ31" s="71"/>
      <c r="PKK31" s="71"/>
      <c r="PKL31" s="71"/>
      <c r="PKM31" s="71"/>
      <c r="PKN31" s="71"/>
      <c r="PKO31" s="71"/>
      <c r="PKP31" s="71"/>
      <c r="PKQ31" s="71"/>
      <c r="PKR31" s="71"/>
      <c r="PKS31" s="71"/>
      <c r="PKT31" s="71"/>
      <c r="PKU31" s="71"/>
      <c r="PKV31" s="71"/>
      <c r="PKW31" s="71"/>
      <c r="PKX31" s="71"/>
      <c r="PKY31" s="71"/>
      <c r="PKZ31" s="71"/>
      <c r="PLA31" s="71"/>
      <c r="PLB31" s="71"/>
      <c r="PLC31" s="71"/>
      <c r="PLD31" s="71"/>
      <c r="PLE31" s="71"/>
      <c r="PLF31" s="71"/>
      <c r="PLG31" s="71"/>
      <c r="PLH31" s="71"/>
      <c r="PLI31" s="71"/>
      <c r="PLJ31" s="71"/>
      <c r="PLK31" s="71"/>
      <c r="PLL31" s="71"/>
      <c r="PLM31" s="71"/>
      <c r="PLN31" s="71"/>
      <c r="PLO31" s="71"/>
      <c r="PLP31" s="71"/>
      <c r="PLQ31" s="71"/>
      <c r="PLR31" s="71"/>
      <c r="PLS31" s="71"/>
      <c r="PLT31" s="71"/>
      <c r="PLU31" s="71"/>
      <c r="PLV31" s="71"/>
      <c r="PLW31" s="71"/>
      <c r="PLX31" s="71"/>
      <c r="PLY31" s="71"/>
      <c r="PLZ31" s="71"/>
      <c r="PMA31" s="71"/>
      <c r="PMB31" s="71"/>
      <c r="PMC31" s="71"/>
      <c r="PMD31" s="71"/>
      <c r="PME31" s="71"/>
      <c r="PMF31" s="71"/>
      <c r="PMG31" s="71"/>
      <c r="PMH31" s="71"/>
      <c r="PMI31" s="71"/>
      <c r="PMJ31" s="71"/>
      <c r="PMK31" s="71"/>
      <c r="PML31" s="71"/>
      <c r="PMM31" s="71"/>
      <c r="PMN31" s="71"/>
      <c r="PMO31" s="71"/>
      <c r="PMP31" s="71"/>
      <c r="PMQ31" s="71"/>
      <c r="PMR31" s="71"/>
      <c r="PMS31" s="71"/>
      <c r="PMT31" s="71"/>
      <c r="PMU31" s="71"/>
      <c r="PMV31" s="71"/>
      <c r="PMW31" s="71"/>
      <c r="PMX31" s="71"/>
      <c r="PMY31" s="71"/>
      <c r="PMZ31" s="71"/>
      <c r="PNA31" s="71"/>
      <c r="PNB31" s="71"/>
      <c r="PNC31" s="71"/>
      <c r="PND31" s="71"/>
      <c r="PNE31" s="71"/>
      <c r="PNF31" s="71"/>
      <c r="PNG31" s="71"/>
      <c r="PNH31" s="71"/>
      <c r="PNI31" s="71"/>
      <c r="PNJ31" s="71"/>
      <c r="PNK31" s="71"/>
      <c r="PNL31" s="71"/>
      <c r="PNM31" s="71"/>
      <c r="PNN31" s="71"/>
      <c r="PNO31" s="71"/>
      <c r="PNP31" s="71"/>
      <c r="PNQ31" s="71"/>
      <c r="PNR31" s="71"/>
      <c r="PNS31" s="71"/>
      <c r="PNT31" s="71"/>
      <c r="PNU31" s="71"/>
      <c r="PNV31" s="71"/>
      <c r="PNW31" s="71"/>
      <c r="PNX31" s="71"/>
      <c r="PNY31" s="71"/>
      <c r="PNZ31" s="71"/>
      <c r="POA31" s="71"/>
      <c r="POB31" s="71"/>
      <c r="POC31" s="71"/>
      <c r="POD31" s="71"/>
      <c r="POE31" s="71"/>
      <c r="POF31" s="71"/>
      <c r="POG31" s="71"/>
      <c r="POH31" s="71"/>
      <c r="POI31" s="71"/>
      <c r="POJ31" s="71"/>
      <c r="POK31" s="71"/>
      <c r="POL31" s="71"/>
      <c r="POM31" s="71"/>
      <c r="PON31" s="71"/>
      <c r="POO31" s="71"/>
      <c r="POP31" s="71"/>
      <c r="POQ31" s="71"/>
      <c r="POR31" s="71"/>
      <c r="POS31" s="71"/>
      <c r="POT31" s="71"/>
      <c r="POU31" s="71"/>
      <c r="POV31" s="71"/>
      <c r="POW31" s="71"/>
      <c r="POX31" s="71"/>
      <c r="POY31" s="71"/>
      <c r="POZ31" s="71"/>
      <c r="PPA31" s="71"/>
      <c r="PPB31" s="71"/>
      <c r="PPC31" s="71"/>
      <c r="PPD31" s="71"/>
      <c r="PPE31" s="71"/>
      <c r="PPF31" s="71"/>
      <c r="PPG31" s="71"/>
      <c r="PPH31" s="71"/>
      <c r="PPI31" s="71"/>
      <c r="PPJ31" s="71"/>
      <c r="PPK31" s="71"/>
      <c r="PPL31" s="71"/>
      <c r="PPM31" s="71"/>
      <c r="PPN31" s="71"/>
      <c r="PPO31" s="71"/>
      <c r="PPP31" s="71"/>
      <c r="PPQ31" s="71"/>
      <c r="PPR31" s="71"/>
      <c r="PPS31" s="71"/>
      <c r="PPT31" s="71"/>
      <c r="PPU31" s="71"/>
      <c r="PPV31" s="71"/>
      <c r="PPW31" s="71"/>
      <c r="PPX31" s="71"/>
      <c r="PPY31" s="71"/>
      <c r="PPZ31" s="71"/>
      <c r="PQA31" s="71"/>
      <c r="PQB31" s="71"/>
      <c r="PQC31" s="71"/>
      <c r="PQD31" s="71"/>
      <c r="PQE31" s="71"/>
      <c r="PQF31" s="71"/>
      <c r="PQG31" s="71"/>
      <c r="PQH31" s="71"/>
      <c r="PQI31" s="71"/>
      <c r="PQJ31" s="71"/>
      <c r="PQK31" s="71"/>
      <c r="PQL31" s="71"/>
      <c r="PQM31" s="71"/>
      <c r="PQN31" s="71"/>
      <c r="PQO31" s="71"/>
      <c r="PQP31" s="71"/>
      <c r="PQQ31" s="71"/>
      <c r="PQR31" s="71"/>
      <c r="PQS31" s="71"/>
      <c r="PQT31" s="71"/>
      <c r="PQU31" s="71"/>
      <c r="PQV31" s="71"/>
      <c r="PQW31" s="71"/>
      <c r="PQX31" s="71"/>
      <c r="PQY31" s="71"/>
      <c r="PQZ31" s="71"/>
      <c r="PRA31" s="71"/>
      <c r="PRB31" s="71"/>
      <c r="PRC31" s="71"/>
      <c r="PRD31" s="71"/>
      <c r="PRE31" s="71"/>
      <c r="PRF31" s="71"/>
      <c r="PRG31" s="71"/>
      <c r="PRH31" s="71"/>
      <c r="PRI31" s="71"/>
      <c r="PRJ31" s="71"/>
      <c r="PRK31" s="71"/>
      <c r="PRL31" s="71"/>
      <c r="PRM31" s="71"/>
      <c r="PRN31" s="71"/>
      <c r="PRO31" s="71"/>
      <c r="PRP31" s="71"/>
      <c r="PRQ31" s="71"/>
      <c r="PRR31" s="71"/>
      <c r="PRS31" s="71"/>
      <c r="PRT31" s="71"/>
      <c r="PRU31" s="71"/>
      <c r="PRV31" s="71"/>
      <c r="PRW31" s="71"/>
      <c r="PRX31" s="71"/>
      <c r="PRY31" s="71"/>
      <c r="PRZ31" s="71"/>
      <c r="PSA31" s="71"/>
      <c r="PSB31" s="71"/>
      <c r="PSC31" s="71"/>
      <c r="PSD31" s="71"/>
      <c r="PSE31" s="71"/>
      <c r="PSF31" s="71"/>
      <c r="PSG31" s="71"/>
      <c r="PSH31" s="71"/>
      <c r="PSI31" s="71"/>
      <c r="PSJ31" s="71"/>
      <c r="PSK31" s="71"/>
      <c r="PSL31" s="71"/>
      <c r="PSM31" s="71"/>
      <c r="PSN31" s="71"/>
      <c r="PSO31" s="71"/>
      <c r="PSP31" s="71"/>
      <c r="PSQ31" s="71"/>
      <c r="PSR31" s="71"/>
      <c r="PSS31" s="71"/>
      <c r="PST31" s="71"/>
      <c r="PSU31" s="71"/>
      <c r="PSV31" s="71"/>
      <c r="PSW31" s="71"/>
      <c r="PSX31" s="71"/>
      <c r="PSY31" s="71"/>
      <c r="PSZ31" s="71"/>
      <c r="PTA31" s="71"/>
      <c r="PTB31" s="71"/>
      <c r="PTC31" s="71"/>
      <c r="PTD31" s="71"/>
      <c r="PTE31" s="71"/>
      <c r="PTF31" s="71"/>
      <c r="PTG31" s="71"/>
      <c r="PTH31" s="71"/>
      <c r="PTI31" s="71"/>
      <c r="PTJ31" s="71"/>
      <c r="PTK31" s="71"/>
      <c r="PTL31" s="71"/>
      <c r="PTM31" s="71"/>
      <c r="PTN31" s="71"/>
      <c r="PTO31" s="71"/>
      <c r="PTP31" s="71"/>
      <c r="PTQ31" s="71"/>
      <c r="PTR31" s="71"/>
      <c r="PTS31" s="71"/>
      <c r="PTT31" s="71"/>
      <c r="PTU31" s="71"/>
      <c r="PTV31" s="71"/>
      <c r="PTW31" s="71"/>
      <c r="PTX31" s="71"/>
      <c r="PTY31" s="71"/>
      <c r="PTZ31" s="71"/>
      <c r="PUA31" s="71"/>
      <c r="PUB31" s="71"/>
      <c r="PUC31" s="71"/>
      <c r="PUD31" s="71"/>
      <c r="PUE31" s="71"/>
      <c r="PUF31" s="71"/>
      <c r="PUG31" s="71"/>
      <c r="PUH31" s="71"/>
      <c r="PUI31" s="71"/>
      <c r="PUJ31" s="71"/>
      <c r="PUK31" s="71"/>
      <c r="PUL31" s="71"/>
      <c r="PUM31" s="71"/>
      <c r="PUN31" s="71"/>
      <c r="PUO31" s="71"/>
      <c r="PUP31" s="71"/>
      <c r="PUQ31" s="71"/>
      <c r="PUR31" s="71"/>
      <c r="PUS31" s="71"/>
      <c r="PUT31" s="71"/>
      <c r="PUU31" s="71"/>
      <c r="PUV31" s="71"/>
      <c r="PUW31" s="71"/>
      <c r="PUX31" s="71"/>
      <c r="PUY31" s="71"/>
      <c r="PUZ31" s="71"/>
      <c r="PVA31" s="71"/>
      <c r="PVB31" s="71"/>
      <c r="PVC31" s="71"/>
      <c r="PVD31" s="71"/>
      <c r="PVE31" s="71"/>
      <c r="PVF31" s="71"/>
      <c r="PVG31" s="71"/>
      <c r="PVH31" s="71"/>
      <c r="PVI31" s="71"/>
      <c r="PVJ31" s="71"/>
      <c r="PVK31" s="71"/>
      <c r="PVL31" s="71"/>
      <c r="PVM31" s="71"/>
      <c r="PVN31" s="71"/>
      <c r="PVO31" s="71"/>
      <c r="PVP31" s="71"/>
      <c r="PVQ31" s="71"/>
      <c r="PVR31" s="71"/>
      <c r="PVS31" s="71"/>
      <c r="PVT31" s="71"/>
      <c r="PVU31" s="71"/>
      <c r="PVV31" s="71"/>
      <c r="PVW31" s="71"/>
      <c r="PVX31" s="71"/>
      <c r="PVY31" s="71"/>
      <c r="PVZ31" s="71"/>
      <c r="PWA31" s="71"/>
      <c r="PWB31" s="71"/>
      <c r="PWC31" s="71"/>
      <c r="PWD31" s="71"/>
      <c r="PWE31" s="71"/>
      <c r="PWF31" s="71"/>
      <c r="PWG31" s="71"/>
      <c r="PWH31" s="71"/>
      <c r="PWI31" s="71"/>
      <c r="PWJ31" s="71"/>
      <c r="PWK31" s="71"/>
      <c r="PWL31" s="71"/>
      <c r="PWM31" s="71"/>
      <c r="PWN31" s="71"/>
      <c r="PWO31" s="71"/>
      <c r="PWP31" s="71"/>
      <c r="PWQ31" s="71"/>
      <c r="PWR31" s="71"/>
      <c r="PWS31" s="71"/>
      <c r="PWT31" s="71"/>
      <c r="PWU31" s="71"/>
      <c r="PWV31" s="71"/>
      <c r="PWW31" s="71"/>
      <c r="PWX31" s="71"/>
      <c r="PWY31" s="71"/>
      <c r="PWZ31" s="71"/>
      <c r="PXA31" s="71"/>
      <c r="PXB31" s="71"/>
      <c r="PXC31" s="71"/>
      <c r="PXD31" s="71"/>
      <c r="PXE31" s="71"/>
      <c r="PXF31" s="71"/>
      <c r="PXG31" s="71"/>
      <c r="PXH31" s="71"/>
      <c r="PXI31" s="71"/>
      <c r="PXJ31" s="71"/>
      <c r="PXK31" s="71"/>
      <c r="PXL31" s="71"/>
      <c r="PXM31" s="71"/>
      <c r="PXN31" s="71"/>
      <c r="PXO31" s="71"/>
      <c r="PXP31" s="71"/>
      <c r="PXQ31" s="71"/>
      <c r="PXR31" s="71"/>
      <c r="PXS31" s="71"/>
      <c r="PXT31" s="71"/>
      <c r="PXU31" s="71"/>
      <c r="PXV31" s="71"/>
      <c r="PXW31" s="71"/>
      <c r="PXX31" s="71"/>
      <c r="PXY31" s="71"/>
      <c r="PXZ31" s="71"/>
      <c r="PYA31" s="71"/>
      <c r="PYB31" s="71"/>
      <c r="PYC31" s="71"/>
      <c r="PYD31" s="71"/>
      <c r="PYE31" s="71"/>
      <c r="PYF31" s="71"/>
      <c r="PYG31" s="71"/>
      <c r="PYH31" s="71"/>
      <c r="PYI31" s="71"/>
      <c r="PYJ31" s="71"/>
      <c r="PYK31" s="71"/>
      <c r="PYL31" s="71"/>
      <c r="PYM31" s="71"/>
      <c r="PYN31" s="71"/>
      <c r="PYO31" s="71"/>
      <c r="PYP31" s="71"/>
      <c r="PYQ31" s="71"/>
      <c r="PYR31" s="71"/>
      <c r="PYS31" s="71"/>
      <c r="PYT31" s="71"/>
      <c r="PYU31" s="71"/>
      <c r="PYV31" s="71"/>
      <c r="PYW31" s="71"/>
      <c r="PYX31" s="71"/>
      <c r="PYY31" s="71"/>
      <c r="PYZ31" s="71"/>
      <c r="PZA31" s="71"/>
      <c r="PZB31" s="71"/>
      <c r="PZC31" s="71"/>
      <c r="PZD31" s="71"/>
      <c r="PZE31" s="71"/>
      <c r="PZF31" s="71"/>
      <c r="PZG31" s="71"/>
      <c r="PZH31" s="71"/>
      <c r="PZI31" s="71"/>
      <c r="PZJ31" s="71"/>
      <c r="PZK31" s="71"/>
      <c r="PZL31" s="71"/>
      <c r="PZM31" s="71"/>
      <c r="PZN31" s="71"/>
      <c r="PZO31" s="71"/>
      <c r="PZP31" s="71"/>
      <c r="PZQ31" s="71"/>
      <c r="PZR31" s="71"/>
      <c r="PZS31" s="71"/>
      <c r="PZT31" s="71"/>
      <c r="PZU31" s="71"/>
      <c r="PZV31" s="71"/>
      <c r="PZW31" s="71"/>
      <c r="PZX31" s="71"/>
      <c r="PZY31" s="71"/>
      <c r="PZZ31" s="71"/>
      <c r="QAA31" s="71"/>
      <c r="QAB31" s="71"/>
      <c r="QAC31" s="71"/>
      <c r="QAD31" s="71"/>
      <c r="QAE31" s="71"/>
      <c r="QAF31" s="71"/>
      <c r="QAG31" s="71"/>
      <c r="QAH31" s="71"/>
      <c r="QAI31" s="71"/>
      <c r="QAJ31" s="71"/>
      <c r="QAK31" s="71"/>
      <c r="QAL31" s="71"/>
      <c r="QAM31" s="71"/>
      <c r="QAN31" s="71"/>
      <c r="QAO31" s="71"/>
      <c r="QAP31" s="71"/>
      <c r="QAQ31" s="71"/>
      <c r="QAR31" s="71"/>
      <c r="QAS31" s="71"/>
      <c r="QAT31" s="71"/>
      <c r="QAU31" s="71"/>
      <c r="QAV31" s="71"/>
      <c r="QAW31" s="71"/>
      <c r="QAX31" s="71"/>
      <c r="QAY31" s="71"/>
      <c r="QAZ31" s="71"/>
      <c r="QBA31" s="71"/>
      <c r="QBB31" s="71"/>
      <c r="QBC31" s="71"/>
      <c r="QBD31" s="71"/>
      <c r="QBE31" s="71"/>
      <c r="QBF31" s="71"/>
      <c r="QBG31" s="71"/>
      <c r="QBH31" s="71"/>
      <c r="QBI31" s="71"/>
      <c r="QBJ31" s="71"/>
      <c r="QBK31" s="71"/>
      <c r="QBL31" s="71"/>
      <c r="QBM31" s="71"/>
      <c r="QBN31" s="71"/>
      <c r="QBO31" s="71"/>
      <c r="QBP31" s="71"/>
      <c r="QBQ31" s="71"/>
      <c r="QBR31" s="71"/>
      <c r="QBS31" s="71"/>
      <c r="QBT31" s="71"/>
      <c r="QBU31" s="71"/>
      <c r="QBV31" s="71"/>
      <c r="QBW31" s="71"/>
      <c r="QBX31" s="71"/>
      <c r="QBY31" s="71"/>
      <c r="QBZ31" s="71"/>
      <c r="QCA31" s="71"/>
      <c r="QCB31" s="71"/>
      <c r="QCC31" s="71"/>
      <c r="QCD31" s="71"/>
      <c r="QCE31" s="71"/>
      <c r="QCF31" s="71"/>
      <c r="QCG31" s="71"/>
      <c r="QCH31" s="71"/>
      <c r="QCI31" s="71"/>
      <c r="QCJ31" s="71"/>
      <c r="QCK31" s="71"/>
      <c r="QCL31" s="71"/>
      <c r="QCM31" s="71"/>
      <c r="QCN31" s="71"/>
      <c r="QCO31" s="71"/>
      <c r="QCP31" s="71"/>
      <c r="QCQ31" s="71"/>
      <c r="QCR31" s="71"/>
      <c r="QCS31" s="71"/>
      <c r="QCT31" s="71"/>
      <c r="QCU31" s="71"/>
      <c r="QCV31" s="71"/>
      <c r="QCW31" s="71"/>
      <c r="QCX31" s="71"/>
      <c r="QCY31" s="71"/>
      <c r="QCZ31" s="71"/>
      <c r="QDA31" s="71"/>
      <c r="QDB31" s="71"/>
      <c r="QDC31" s="71"/>
      <c r="QDD31" s="71"/>
      <c r="QDE31" s="71"/>
      <c r="QDF31" s="71"/>
      <c r="QDG31" s="71"/>
      <c r="QDH31" s="71"/>
      <c r="QDI31" s="71"/>
      <c r="QDJ31" s="71"/>
      <c r="QDK31" s="71"/>
      <c r="QDL31" s="71"/>
      <c r="QDM31" s="71"/>
      <c r="QDN31" s="71"/>
      <c r="QDO31" s="71"/>
      <c r="QDP31" s="71"/>
      <c r="QDQ31" s="71"/>
      <c r="QDR31" s="71"/>
      <c r="QDS31" s="71"/>
      <c r="QDT31" s="71"/>
      <c r="QDU31" s="71"/>
      <c r="QDV31" s="71"/>
      <c r="QDW31" s="71"/>
      <c r="QDX31" s="71"/>
      <c r="QDY31" s="71"/>
      <c r="QDZ31" s="71"/>
      <c r="QEA31" s="71"/>
      <c r="QEB31" s="71"/>
      <c r="QEC31" s="71"/>
      <c r="QED31" s="71"/>
      <c r="QEE31" s="71"/>
      <c r="QEF31" s="71"/>
      <c r="QEG31" s="71"/>
      <c r="QEH31" s="71"/>
      <c r="QEI31" s="71"/>
      <c r="QEJ31" s="71"/>
      <c r="QEK31" s="71"/>
      <c r="QEL31" s="71"/>
      <c r="QEM31" s="71"/>
      <c r="QEN31" s="71"/>
      <c r="QEO31" s="71"/>
      <c r="QEP31" s="71"/>
      <c r="QEQ31" s="71"/>
      <c r="QER31" s="71"/>
      <c r="QES31" s="71"/>
      <c r="QET31" s="71"/>
      <c r="QEU31" s="71"/>
      <c r="QEV31" s="71"/>
      <c r="QEW31" s="71"/>
      <c r="QEX31" s="71"/>
      <c r="QEY31" s="71"/>
      <c r="QEZ31" s="71"/>
      <c r="QFA31" s="71"/>
      <c r="QFB31" s="71"/>
      <c r="QFC31" s="71"/>
      <c r="QFD31" s="71"/>
      <c r="QFE31" s="71"/>
      <c r="QFF31" s="71"/>
      <c r="QFG31" s="71"/>
      <c r="QFH31" s="71"/>
      <c r="QFI31" s="71"/>
      <c r="QFJ31" s="71"/>
      <c r="QFK31" s="71"/>
      <c r="QFL31" s="71"/>
      <c r="QFM31" s="71"/>
      <c r="QFN31" s="71"/>
      <c r="QFO31" s="71"/>
      <c r="QFP31" s="71"/>
      <c r="QFQ31" s="71"/>
      <c r="QFR31" s="71"/>
      <c r="QFS31" s="71"/>
      <c r="QFT31" s="71"/>
      <c r="QFU31" s="71"/>
      <c r="QFV31" s="71"/>
      <c r="QFW31" s="71"/>
      <c r="QFX31" s="71"/>
      <c r="QFY31" s="71"/>
      <c r="QFZ31" s="71"/>
      <c r="QGA31" s="71"/>
      <c r="QGB31" s="71"/>
      <c r="QGC31" s="71"/>
      <c r="QGD31" s="71"/>
      <c r="QGE31" s="71"/>
      <c r="QGF31" s="71"/>
      <c r="QGG31" s="71"/>
      <c r="QGH31" s="71"/>
      <c r="QGI31" s="71"/>
      <c r="QGJ31" s="71"/>
      <c r="QGK31" s="71"/>
      <c r="QGL31" s="71"/>
      <c r="QGM31" s="71"/>
      <c r="QGN31" s="71"/>
      <c r="QGO31" s="71"/>
      <c r="QGP31" s="71"/>
      <c r="QGQ31" s="71"/>
      <c r="QGR31" s="71"/>
      <c r="QGS31" s="71"/>
      <c r="QGT31" s="71"/>
      <c r="QGU31" s="71"/>
      <c r="QGV31" s="71"/>
      <c r="QGW31" s="71"/>
      <c r="QGX31" s="71"/>
      <c r="QGY31" s="71"/>
      <c r="QGZ31" s="71"/>
      <c r="QHA31" s="71"/>
      <c r="QHB31" s="71"/>
      <c r="QHC31" s="71"/>
      <c r="QHD31" s="71"/>
      <c r="QHE31" s="71"/>
      <c r="QHF31" s="71"/>
      <c r="QHG31" s="71"/>
      <c r="QHH31" s="71"/>
      <c r="QHI31" s="71"/>
      <c r="QHJ31" s="71"/>
      <c r="QHK31" s="71"/>
      <c r="QHL31" s="71"/>
      <c r="QHM31" s="71"/>
      <c r="QHN31" s="71"/>
      <c r="QHO31" s="71"/>
      <c r="QHP31" s="71"/>
      <c r="QHQ31" s="71"/>
      <c r="QHR31" s="71"/>
      <c r="QHS31" s="71"/>
      <c r="QHT31" s="71"/>
      <c r="QHU31" s="71"/>
      <c r="QHV31" s="71"/>
      <c r="QHW31" s="71"/>
      <c r="QHX31" s="71"/>
      <c r="QHY31" s="71"/>
      <c r="QHZ31" s="71"/>
      <c r="QIA31" s="71"/>
      <c r="QIB31" s="71"/>
      <c r="QIC31" s="71"/>
      <c r="QID31" s="71"/>
      <c r="QIE31" s="71"/>
      <c r="QIF31" s="71"/>
      <c r="QIG31" s="71"/>
      <c r="QIH31" s="71"/>
      <c r="QII31" s="71"/>
      <c r="QIJ31" s="71"/>
      <c r="QIK31" s="71"/>
      <c r="QIL31" s="71"/>
      <c r="QIM31" s="71"/>
      <c r="QIN31" s="71"/>
      <c r="QIO31" s="71"/>
      <c r="QIP31" s="71"/>
      <c r="QIQ31" s="71"/>
      <c r="QIR31" s="71"/>
      <c r="QIS31" s="71"/>
      <c r="QIT31" s="71"/>
      <c r="QIU31" s="71"/>
      <c r="QIV31" s="71"/>
      <c r="QIW31" s="71"/>
      <c r="QIX31" s="71"/>
      <c r="QIY31" s="71"/>
      <c r="QIZ31" s="71"/>
      <c r="QJA31" s="71"/>
      <c r="QJB31" s="71"/>
      <c r="QJC31" s="71"/>
      <c r="QJD31" s="71"/>
      <c r="QJE31" s="71"/>
      <c r="QJF31" s="71"/>
      <c r="QJG31" s="71"/>
      <c r="QJH31" s="71"/>
      <c r="QJI31" s="71"/>
      <c r="QJJ31" s="71"/>
      <c r="QJK31" s="71"/>
      <c r="QJL31" s="71"/>
      <c r="QJM31" s="71"/>
      <c r="QJN31" s="71"/>
      <c r="QJO31" s="71"/>
      <c r="QJP31" s="71"/>
      <c r="QJQ31" s="71"/>
      <c r="QJR31" s="71"/>
      <c r="QJS31" s="71"/>
      <c r="QJT31" s="71"/>
      <c r="QJU31" s="71"/>
      <c r="QJV31" s="71"/>
      <c r="QJW31" s="71"/>
      <c r="QJX31" s="71"/>
      <c r="QJY31" s="71"/>
      <c r="QJZ31" s="71"/>
      <c r="QKA31" s="71"/>
      <c r="QKB31" s="71"/>
      <c r="QKC31" s="71"/>
      <c r="QKD31" s="71"/>
      <c r="QKE31" s="71"/>
      <c r="QKF31" s="71"/>
      <c r="QKG31" s="71"/>
      <c r="QKH31" s="71"/>
      <c r="QKI31" s="71"/>
      <c r="QKJ31" s="71"/>
      <c r="QKK31" s="71"/>
      <c r="QKL31" s="71"/>
      <c r="QKM31" s="71"/>
      <c r="QKN31" s="71"/>
      <c r="QKO31" s="71"/>
      <c r="QKP31" s="71"/>
      <c r="QKQ31" s="71"/>
      <c r="QKR31" s="71"/>
      <c r="QKS31" s="71"/>
      <c r="QKT31" s="71"/>
      <c r="QKU31" s="71"/>
      <c r="QKV31" s="71"/>
      <c r="QKW31" s="71"/>
      <c r="QKX31" s="71"/>
      <c r="QKY31" s="71"/>
      <c r="QKZ31" s="71"/>
      <c r="QLA31" s="71"/>
      <c r="QLB31" s="71"/>
      <c r="QLC31" s="71"/>
      <c r="QLD31" s="71"/>
      <c r="QLE31" s="71"/>
      <c r="QLF31" s="71"/>
      <c r="QLG31" s="71"/>
      <c r="QLH31" s="71"/>
      <c r="QLI31" s="71"/>
      <c r="QLJ31" s="71"/>
      <c r="QLK31" s="71"/>
      <c r="QLL31" s="71"/>
      <c r="QLM31" s="71"/>
      <c r="QLN31" s="71"/>
      <c r="QLO31" s="71"/>
      <c r="QLP31" s="71"/>
      <c r="QLQ31" s="71"/>
      <c r="QLR31" s="71"/>
      <c r="QLS31" s="71"/>
      <c r="QLT31" s="71"/>
      <c r="QLU31" s="71"/>
      <c r="QLV31" s="71"/>
      <c r="QLW31" s="71"/>
      <c r="QLX31" s="71"/>
      <c r="QLY31" s="71"/>
      <c r="QLZ31" s="71"/>
      <c r="QMA31" s="71"/>
      <c r="QMB31" s="71"/>
      <c r="QMC31" s="71"/>
      <c r="QMD31" s="71"/>
      <c r="QME31" s="71"/>
      <c r="QMF31" s="71"/>
      <c r="QMG31" s="71"/>
      <c r="QMH31" s="71"/>
      <c r="QMI31" s="71"/>
      <c r="QMJ31" s="71"/>
      <c r="QMK31" s="71"/>
      <c r="QML31" s="71"/>
      <c r="QMM31" s="71"/>
      <c r="QMN31" s="71"/>
      <c r="QMO31" s="71"/>
      <c r="QMP31" s="71"/>
      <c r="QMQ31" s="71"/>
      <c r="QMR31" s="71"/>
      <c r="QMS31" s="71"/>
      <c r="QMT31" s="71"/>
      <c r="QMU31" s="71"/>
      <c r="QMV31" s="71"/>
      <c r="QMW31" s="71"/>
      <c r="QMX31" s="71"/>
      <c r="QMY31" s="71"/>
      <c r="QMZ31" s="71"/>
      <c r="QNA31" s="71"/>
      <c r="QNB31" s="71"/>
      <c r="QNC31" s="71"/>
      <c r="QND31" s="71"/>
      <c r="QNE31" s="71"/>
      <c r="QNF31" s="71"/>
      <c r="QNG31" s="71"/>
      <c r="QNH31" s="71"/>
      <c r="QNI31" s="71"/>
      <c r="QNJ31" s="71"/>
      <c r="QNK31" s="71"/>
      <c r="QNL31" s="71"/>
      <c r="QNM31" s="71"/>
      <c r="QNN31" s="71"/>
      <c r="QNO31" s="71"/>
      <c r="QNP31" s="71"/>
      <c r="QNQ31" s="71"/>
      <c r="QNR31" s="71"/>
      <c r="QNS31" s="71"/>
      <c r="QNT31" s="71"/>
      <c r="QNU31" s="71"/>
      <c r="QNV31" s="71"/>
      <c r="QNW31" s="71"/>
      <c r="QNX31" s="71"/>
      <c r="QNY31" s="71"/>
      <c r="QNZ31" s="71"/>
      <c r="QOA31" s="71"/>
      <c r="QOB31" s="71"/>
      <c r="QOC31" s="71"/>
      <c r="QOD31" s="71"/>
      <c r="QOE31" s="71"/>
      <c r="QOF31" s="71"/>
      <c r="QOG31" s="71"/>
      <c r="QOH31" s="71"/>
      <c r="QOI31" s="71"/>
      <c r="QOJ31" s="71"/>
      <c r="QOK31" s="71"/>
      <c r="QOL31" s="71"/>
      <c r="QOM31" s="71"/>
      <c r="QON31" s="71"/>
      <c r="QOO31" s="71"/>
      <c r="QOP31" s="71"/>
      <c r="QOQ31" s="71"/>
      <c r="QOR31" s="71"/>
      <c r="QOS31" s="71"/>
      <c r="QOT31" s="71"/>
      <c r="QOU31" s="71"/>
      <c r="QOV31" s="71"/>
      <c r="QOW31" s="71"/>
      <c r="QOX31" s="71"/>
      <c r="QOY31" s="71"/>
      <c r="QOZ31" s="71"/>
      <c r="QPA31" s="71"/>
      <c r="QPB31" s="71"/>
      <c r="QPC31" s="71"/>
      <c r="QPD31" s="71"/>
      <c r="QPE31" s="71"/>
      <c r="QPF31" s="71"/>
      <c r="QPG31" s="71"/>
      <c r="QPH31" s="71"/>
      <c r="QPI31" s="71"/>
      <c r="QPJ31" s="71"/>
      <c r="QPK31" s="71"/>
      <c r="QPL31" s="71"/>
      <c r="QPM31" s="71"/>
      <c r="QPN31" s="71"/>
      <c r="QPO31" s="71"/>
      <c r="QPP31" s="71"/>
      <c r="QPQ31" s="71"/>
      <c r="QPR31" s="71"/>
      <c r="QPS31" s="71"/>
      <c r="QPT31" s="71"/>
      <c r="QPU31" s="71"/>
      <c r="QPV31" s="71"/>
      <c r="QPW31" s="71"/>
      <c r="QPX31" s="71"/>
      <c r="QPY31" s="71"/>
      <c r="QPZ31" s="71"/>
      <c r="QQA31" s="71"/>
      <c r="QQB31" s="71"/>
      <c r="QQC31" s="71"/>
      <c r="QQD31" s="71"/>
      <c r="QQE31" s="71"/>
      <c r="QQF31" s="71"/>
      <c r="QQG31" s="71"/>
      <c r="QQH31" s="71"/>
      <c r="QQI31" s="71"/>
      <c r="QQJ31" s="71"/>
      <c r="QQK31" s="71"/>
      <c r="QQL31" s="71"/>
      <c r="QQM31" s="71"/>
      <c r="QQN31" s="71"/>
      <c r="QQO31" s="71"/>
      <c r="QQP31" s="71"/>
      <c r="QQQ31" s="71"/>
      <c r="QQR31" s="71"/>
      <c r="QQS31" s="71"/>
      <c r="QQT31" s="71"/>
      <c r="QQU31" s="71"/>
      <c r="QQV31" s="71"/>
      <c r="QQW31" s="71"/>
      <c r="QQX31" s="71"/>
      <c r="QQY31" s="71"/>
      <c r="QQZ31" s="71"/>
      <c r="QRA31" s="71"/>
      <c r="QRB31" s="71"/>
      <c r="QRC31" s="71"/>
      <c r="QRD31" s="71"/>
      <c r="QRE31" s="71"/>
      <c r="QRF31" s="71"/>
      <c r="QRG31" s="71"/>
      <c r="QRH31" s="71"/>
      <c r="QRI31" s="71"/>
      <c r="QRJ31" s="71"/>
      <c r="QRK31" s="71"/>
      <c r="QRL31" s="71"/>
      <c r="QRM31" s="71"/>
      <c r="QRN31" s="71"/>
      <c r="QRO31" s="71"/>
      <c r="QRP31" s="71"/>
      <c r="QRQ31" s="71"/>
      <c r="QRR31" s="71"/>
      <c r="QRS31" s="71"/>
      <c r="QRT31" s="71"/>
      <c r="QRU31" s="71"/>
      <c r="QRV31" s="71"/>
      <c r="QRW31" s="71"/>
      <c r="QRX31" s="71"/>
      <c r="QRY31" s="71"/>
      <c r="QRZ31" s="71"/>
      <c r="QSA31" s="71"/>
      <c r="QSB31" s="71"/>
      <c r="QSC31" s="71"/>
      <c r="QSD31" s="71"/>
      <c r="QSE31" s="71"/>
      <c r="QSF31" s="71"/>
      <c r="QSG31" s="71"/>
      <c r="QSH31" s="71"/>
      <c r="QSI31" s="71"/>
      <c r="QSJ31" s="71"/>
      <c r="QSK31" s="71"/>
      <c r="QSL31" s="71"/>
      <c r="QSM31" s="71"/>
      <c r="QSN31" s="71"/>
      <c r="QSO31" s="71"/>
      <c r="QSP31" s="71"/>
      <c r="QSQ31" s="71"/>
      <c r="QSR31" s="71"/>
      <c r="QSS31" s="71"/>
      <c r="QST31" s="71"/>
      <c r="QSU31" s="71"/>
      <c r="QSV31" s="71"/>
      <c r="QSW31" s="71"/>
      <c r="QSX31" s="71"/>
      <c r="QSY31" s="71"/>
      <c r="QSZ31" s="71"/>
      <c r="QTA31" s="71"/>
      <c r="QTB31" s="71"/>
      <c r="QTC31" s="71"/>
      <c r="QTD31" s="71"/>
      <c r="QTE31" s="71"/>
      <c r="QTF31" s="71"/>
      <c r="QTG31" s="71"/>
      <c r="QTH31" s="71"/>
      <c r="QTI31" s="71"/>
      <c r="QTJ31" s="71"/>
      <c r="QTK31" s="71"/>
      <c r="QTL31" s="71"/>
      <c r="QTM31" s="71"/>
      <c r="QTN31" s="71"/>
      <c r="QTO31" s="71"/>
      <c r="QTP31" s="71"/>
      <c r="QTQ31" s="71"/>
      <c r="QTR31" s="71"/>
      <c r="QTS31" s="71"/>
      <c r="QTT31" s="71"/>
      <c r="QTU31" s="71"/>
      <c r="QTV31" s="71"/>
      <c r="QTW31" s="71"/>
      <c r="QTX31" s="71"/>
      <c r="QTY31" s="71"/>
      <c r="QTZ31" s="71"/>
      <c r="QUA31" s="71"/>
      <c r="QUB31" s="71"/>
      <c r="QUC31" s="71"/>
      <c r="QUD31" s="71"/>
      <c r="QUE31" s="71"/>
      <c r="QUF31" s="71"/>
      <c r="QUG31" s="71"/>
      <c r="QUH31" s="71"/>
      <c r="QUI31" s="71"/>
      <c r="QUJ31" s="71"/>
      <c r="QUK31" s="71"/>
      <c r="QUL31" s="71"/>
      <c r="QUM31" s="71"/>
      <c r="QUN31" s="71"/>
      <c r="QUO31" s="71"/>
      <c r="QUP31" s="71"/>
      <c r="QUQ31" s="71"/>
      <c r="QUR31" s="71"/>
      <c r="QUS31" s="71"/>
      <c r="QUT31" s="71"/>
      <c r="QUU31" s="71"/>
      <c r="QUV31" s="71"/>
      <c r="QUW31" s="71"/>
      <c r="QUX31" s="71"/>
      <c r="QUY31" s="71"/>
      <c r="QUZ31" s="71"/>
      <c r="QVA31" s="71"/>
      <c r="QVB31" s="71"/>
      <c r="QVC31" s="71"/>
      <c r="QVD31" s="71"/>
      <c r="QVE31" s="71"/>
      <c r="QVF31" s="71"/>
      <c r="QVG31" s="71"/>
      <c r="QVH31" s="71"/>
      <c r="QVI31" s="71"/>
      <c r="QVJ31" s="71"/>
      <c r="QVK31" s="71"/>
      <c r="QVL31" s="71"/>
      <c r="QVM31" s="71"/>
      <c r="QVN31" s="71"/>
      <c r="QVO31" s="71"/>
      <c r="QVP31" s="71"/>
      <c r="QVQ31" s="71"/>
      <c r="QVR31" s="71"/>
      <c r="QVS31" s="71"/>
      <c r="QVT31" s="71"/>
      <c r="QVU31" s="71"/>
      <c r="QVV31" s="71"/>
      <c r="QVW31" s="71"/>
      <c r="QVX31" s="71"/>
      <c r="QVY31" s="71"/>
      <c r="QVZ31" s="71"/>
      <c r="QWA31" s="71"/>
      <c r="QWB31" s="71"/>
      <c r="QWC31" s="71"/>
      <c r="QWD31" s="71"/>
      <c r="QWE31" s="71"/>
      <c r="QWF31" s="71"/>
      <c r="QWG31" s="71"/>
      <c r="QWH31" s="71"/>
      <c r="QWI31" s="71"/>
      <c r="QWJ31" s="71"/>
      <c r="QWK31" s="71"/>
      <c r="QWL31" s="71"/>
      <c r="QWM31" s="71"/>
      <c r="QWN31" s="71"/>
      <c r="QWO31" s="71"/>
      <c r="QWP31" s="71"/>
      <c r="QWQ31" s="71"/>
      <c r="QWR31" s="71"/>
      <c r="QWS31" s="71"/>
      <c r="QWT31" s="71"/>
      <c r="QWU31" s="71"/>
      <c r="QWV31" s="71"/>
      <c r="QWW31" s="71"/>
      <c r="QWX31" s="71"/>
      <c r="QWY31" s="71"/>
      <c r="QWZ31" s="71"/>
      <c r="QXA31" s="71"/>
      <c r="QXB31" s="71"/>
      <c r="QXC31" s="71"/>
      <c r="QXD31" s="71"/>
      <c r="QXE31" s="71"/>
      <c r="QXF31" s="71"/>
      <c r="QXG31" s="71"/>
      <c r="QXH31" s="71"/>
      <c r="QXI31" s="71"/>
      <c r="QXJ31" s="71"/>
      <c r="QXK31" s="71"/>
      <c r="QXL31" s="71"/>
      <c r="QXM31" s="71"/>
      <c r="QXN31" s="71"/>
      <c r="QXO31" s="71"/>
      <c r="QXP31" s="71"/>
      <c r="QXQ31" s="71"/>
      <c r="QXR31" s="71"/>
      <c r="QXS31" s="71"/>
      <c r="QXT31" s="71"/>
      <c r="QXU31" s="71"/>
      <c r="QXV31" s="71"/>
      <c r="QXW31" s="71"/>
      <c r="QXX31" s="71"/>
      <c r="QXY31" s="71"/>
      <c r="QXZ31" s="71"/>
      <c r="QYA31" s="71"/>
      <c r="QYB31" s="71"/>
      <c r="QYC31" s="71"/>
      <c r="QYD31" s="71"/>
      <c r="QYE31" s="71"/>
      <c r="QYF31" s="71"/>
      <c r="QYG31" s="71"/>
      <c r="QYH31" s="71"/>
      <c r="QYI31" s="71"/>
      <c r="QYJ31" s="71"/>
      <c r="QYK31" s="71"/>
      <c r="QYL31" s="71"/>
      <c r="QYM31" s="71"/>
      <c r="QYN31" s="71"/>
      <c r="QYO31" s="71"/>
      <c r="QYP31" s="71"/>
      <c r="QYQ31" s="71"/>
      <c r="QYR31" s="71"/>
      <c r="QYS31" s="71"/>
      <c r="QYT31" s="71"/>
      <c r="QYU31" s="71"/>
      <c r="QYV31" s="71"/>
      <c r="QYW31" s="71"/>
      <c r="QYX31" s="71"/>
      <c r="QYY31" s="71"/>
      <c r="QYZ31" s="71"/>
      <c r="QZA31" s="71"/>
      <c r="QZB31" s="71"/>
      <c r="QZC31" s="71"/>
      <c r="QZD31" s="71"/>
      <c r="QZE31" s="71"/>
      <c r="QZF31" s="71"/>
      <c r="QZG31" s="71"/>
      <c r="QZH31" s="71"/>
      <c r="QZI31" s="71"/>
      <c r="QZJ31" s="71"/>
      <c r="QZK31" s="71"/>
      <c r="QZL31" s="71"/>
      <c r="QZM31" s="71"/>
      <c r="QZN31" s="71"/>
      <c r="QZO31" s="71"/>
      <c r="QZP31" s="71"/>
      <c r="QZQ31" s="71"/>
      <c r="QZR31" s="71"/>
      <c r="QZS31" s="71"/>
      <c r="QZT31" s="71"/>
      <c r="QZU31" s="71"/>
      <c r="QZV31" s="71"/>
      <c r="QZW31" s="71"/>
      <c r="QZX31" s="71"/>
      <c r="QZY31" s="71"/>
      <c r="QZZ31" s="71"/>
      <c r="RAA31" s="71"/>
      <c r="RAB31" s="71"/>
      <c r="RAC31" s="71"/>
      <c r="RAD31" s="71"/>
      <c r="RAE31" s="71"/>
      <c r="RAF31" s="71"/>
      <c r="RAG31" s="71"/>
      <c r="RAH31" s="71"/>
      <c r="RAI31" s="71"/>
      <c r="RAJ31" s="71"/>
      <c r="RAK31" s="71"/>
      <c r="RAL31" s="71"/>
      <c r="RAM31" s="71"/>
      <c r="RAN31" s="71"/>
      <c r="RAO31" s="71"/>
      <c r="RAP31" s="71"/>
      <c r="RAQ31" s="71"/>
      <c r="RAR31" s="71"/>
      <c r="RAS31" s="71"/>
      <c r="RAT31" s="71"/>
      <c r="RAU31" s="71"/>
      <c r="RAV31" s="71"/>
      <c r="RAW31" s="71"/>
      <c r="RAX31" s="71"/>
      <c r="RAY31" s="71"/>
      <c r="RAZ31" s="71"/>
      <c r="RBA31" s="71"/>
      <c r="RBB31" s="71"/>
      <c r="RBC31" s="71"/>
      <c r="RBD31" s="71"/>
      <c r="RBE31" s="71"/>
      <c r="RBF31" s="71"/>
      <c r="RBG31" s="71"/>
      <c r="RBH31" s="71"/>
      <c r="RBI31" s="71"/>
      <c r="RBJ31" s="71"/>
      <c r="RBK31" s="71"/>
      <c r="RBL31" s="71"/>
      <c r="RBM31" s="71"/>
      <c r="RBN31" s="71"/>
      <c r="RBO31" s="71"/>
      <c r="RBP31" s="71"/>
      <c r="RBQ31" s="71"/>
      <c r="RBR31" s="71"/>
      <c r="RBS31" s="71"/>
      <c r="RBT31" s="71"/>
      <c r="RBU31" s="71"/>
      <c r="RBV31" s="71"/>
      <c r="RBW31" s="71"/>
      <c r="RBX31" s="71"/>
      <c r="RBY31" s="71"/>
      <c r="RBZ31" s="71"/>
      <c r="RCA31" s="71"/>
      <c r="RCB31" s="71"/>
      <c r="RCC31" s="71"/>
      <c r="RCD31" s="71"/>
      <c r="RCE31" s="71"/>
      <c r="RCF31" s="71"/>
      <c r="RCG31" s="71"/>
      <c r="RCH31" s="71"/>
      <c r="RCI31" s="71"/>
      <c r="RCJ31" s="71"/>
      <c r="RCK31" s="71"/>
      <c r="RCL31" s="71"/>
      <c r="RCM31" s="71"/>
      <c r="RCN31" s="71"/>
      <c r="RCO31" s="71"/>
      <c r="RCP31" s="71"/>
      <c r="RCQ31" s="71"/>
      <c r="RCR31" s="71"/>
      <c r="RCS31" s="71"/>
      <c r="RCT31" s="71"/>
      <c r="RCU31" s="71"/>
      <c r="RCV31" s="71"/>
      <c r="RCW31" s="71"/>
      <c r="RCX31" s="71"/>
      <c r="RCY31" s="71"/>
      <c r="RCZ31" s="71"/>
      <c r="RDA31" s="71"/>
      <c r="RDB31" s="71"/>
      <c r="RDC31" s="71"/>
      <c r="RDD31" s="71"/>
      <c r="RDE31" s="71"/>
      <c r="RDF31" s="71"/>
      <c r="RDG31" s="71"/>
      <c r="RDH31" s="71"/>
      <c r="RDI31" s="71"/>
      <c r="RDJ31" s="71"/>
      <c r="RDK31" s="71"/>
      <c r="RDL31" s="71"/>
      <c r="RDM31" s="71"/>
      <c r="RDN31" s="71"/>
      <c r="RDO31" s="71"/>
      <c r="RDP31" s="71"/>
      <c r="RDQ31" s="71"/>
      <c r="RDR31" s="71"/>
      <c r="RDS31" s="71"/>
      <c r="RDT31" s="71"/>
      <c r="RDU31" s="71"/>
      <c r="RDV31" s="71"/>
      <c r="RDW31" s="71"/>
      <c r="RDX31" s="71"/>
      <c r="RDY31" s="71"/>
      <c r="RDZ31" s="71"/>
      <c r="REA31" s="71"/>
      <c r="REB31" s="71"/>
      <c r="REC31" s="71"/>
      <c r="RED31" s="71"/>
      <c r="REE31" s="71"/>
      <c r="REF31" s="71"/>
      <c r="REG31" s="71"/>
      <c r="REH31" s="71"/>
      <c r="REI31" s="71"/>
      <c r="REJ31" s="71"/>
      <c r="REK31" s="71"/>
      <c r="REL31" s="71"/>
      <c r="REM31" s="71"/>
      <c r="REN31" s="71"/>
      <c r="REO31" s="71"/>
      <c r="REP31" s="71"/>
      <c r="REQ31" s="71"/>
      <c r="RER31" s="71"/>
      <c r="RES31" s="71"/>
      <c r="RET31" s="71"/>
      <c r="REU31" s="71"/>
      <c r="REV31" s="71"/>
      <c r="REW31" s="71"/>
      <c r="REX31" s="71"/>
      <c r="REY31" s="71"/>
      <c r="REZ31" s="71"/>
      <c r="RFA31" s="71"/>
      <c r="RFB31" s="71"/>
      <c r="RFC31" s="71"/>
      <c r="RFD31" s="71"/>
      <c r="RFE31" s="71"/>
      <c r="RFF31" s="71"/>
      <c r="RFG31" s="71"/>
      <c r="RFH31" s="71"/>
      <c r="RFI31" s="71"/>
      <c r="RFJ31" s="71"/>
      <c r="RFK31" s="71"/>
      <c r="RFL31" s="71"/>
      <c r="RFM31" s="71"/>
      <c r="RFN31" s="71"/>
      <c r="RFO31" s="71"/>
      <c r="RFP31" s="71"/>
      <c r="RFQ31" s="71"/>
      <c r="RFR31" s="71"/>
      <c r="RFS31" s="71"/>
      <c r="RFT31" s="71"/>
      <c r="RFU31" s="71"/>
      <c r="RFV31" s="71"/>
      <c r="RFW31" s="71"/>
      <c r="RFX31" s="71"/>
      <c r="RFY31" s="71"/>
      <c r="RFZ31" s="71"/>
      <c r="RGA31" s="71"/>
      <c r="RGB31" s="71"/>
      <c r="RGC31" s="71"/>
      <c r="RGD31" s="71"/>
      <c r="RGE31" s="71"/>
      <c r="RGF31" s="71"/>
      <c r="RGG31" s="71"/>
      <c r="RGH31" s="71"/>
      <c r="RGI31" s="71"/>
      <c r="RGJ31" s="71"/>
      <c r="RGK31" s="71"/>
      <c r="RGL31" s="71"/>
      <c r="RGM31" s="71"/>
      <c r="RGN31" s="71"/>
      <c r="RGO31" s="71"/>
      <c r="RGP31" s="71"/>
      <c r="RGQ31" s="71"/>
      <c r="RGR31" s="71"/>
      <c r="RGS31" s="71"/>
      <c r="RGT31" s="71"/>
      <c r="RGU31" s="71"/>
      <c r="RGV31" s="71"/>
      <c r="RGW31" s="71"/>
      <c r="RGX31" s="71"/>
      <c r="RGY31" s="71"/>
      <c r="RGZ31" s="71"/>
      <c r="RHA31" s="71"/>
      <c r="RHB31" s="71"/>
      <c r="RHC31" s="71"/>
      <c r="RHD31" s="71"/>
      <c r="RHE31" s="71"/>
      <c r="RHF31" s="71"/>
      <c r="RHG31" s="71"/>
      <c r="RHH31" s="71"/>
      <c r="RHI31" s="71"/>
      <c r="RHJ31" s="71"/>
      <c r="RHK31" s="71"/>
      <c r="RHL31" s="71"/>
      <c r="RHM31" s="71"/>
      <c r="RHN31" s="71"/>
      <c r="RHO31" s="71"/>
      <c r="RHP31" s="71"/>
      <c r="RHQ31" s="71"/>
      <c r="RHR31" s="71"/>
      <c r="RHS31" s="71"/>
      <c r="RHT31" s="71"/>
      <c r="RHU31" s="71"/>
      <c r="RHV31" s="71"/>
      <c r="RHW31" s="71"/>
      <c r="RHX31" s="71"/>
      <c r="RHY31" s="71"/>
      <c r="RHZ31" s="71"/>
      <c r="RIA31" s="71"/>
      <c r="RIB31" s="71"/>
      <c r="RIC31" s="71"/>
      <c r="RID31" s="71"/>
      <c r="RIE31" s="71"/>
      <c r="RIF31" s="71"/>
      <c r="RIG31" s="71"/>
      <c r="RIH31" s="71"/>
      <c r="RII31" s="71"/>
      <c r="RIJ31" s="71"/>
      <c r="RIK31" s="71"/>
      <c r="RIL31" s="71"/>
      <c r="RIM31" s="71"/>
      <c r="RIN31" s="71"/>
      <c r="RIO31" s="71"/>
      <c r="RIP31" s="71"/>
      <c r="RIQ31" s="71"/>
      <c r="RIR31" s="71"/>
      <c r="RIS31" s="71"/>
      <c r="RIT31" s="71"/>
      <c r="RIU31" s="71"/>
      <c r="RIV31" s="71"/>
      <c r="RIW31" s="71"/>
      <c r="RIX31" s="71"/>
      <c r="RIY31" s="71"/>
      <c r="RIZ31" s="71"/>
      <c r="RJA31" s="71"/>
      <c r="RJB31" s="71"/>
      <c r="RJC31" s="71"/>
      <c r="RJD31" s="71"/>
      <c r="RJE31" s="71"/>
      <c r="RJF31" s="71"/>
      <c r="RJG31" s="71"/>
      <c r="RJH31" s="71"/>
      <c r="RJI31" s="71"/>
      <c r="RJJ31" s="71"/>
      <c r="RJK31" s="71"/>
      <c r="RJL31" s="71"/>
      <c r="RJM31" s="71"/>
      <c r="RJN31" s="71"/>
      <c r="RJO31" s="71"/>
      <c r="RJP31" s="71"/>
      <c r="RJQ31" s="71"/>
      <c r="RJR31" s="71"/>
      <c r="RJS31" s="71"/>
      <c r="RJT31" s="71"/>
      <c r="RJU31" s="71"/>
      <c r="RJV31" s="71"/>
      <c r="RJW31" s="71"/>
      <c r="RJX31" s="71"/>
      <c r="RJY31" s="71"/>
      <c r="RJZ31" s="71"/>
      <c r="RKA31" s="71"/>
      <c r="RKB31" s="71"/>
      <c r="RKC31" s="71"/>
      <c r="RKD31" s="71"/>
      <c r="RKE31" s="71"/>
      <c r="RKF31" s="71"/>
      <c r="RKG31" s="71"/>
      <c r="RKH31" s="71"/>
      <c r="RKI31" s="71"/>
      <c r="RKJ31" s="71"/>
      <c r="RKK31" s="71"/>
      <c r="RKL31" s="71"/>
      <c r="RKM31" s="71"/>
      <c r="RKN31" s="71"/>
      <c r="RKO31" s="71"/>
      <c r="RKP31" s="71"/>
      <c r="RKQ31" s="71"/>
      <c r="RKR31" s="71"/>
      <c r="RKS31" s="71"/>
      <c r="RKT31" s="71"/>
      <c r="RKU31" s="71"/>
      <c r="RKV31" s="71"/>
      <c r="RKW31" s="71"/>
      <c r="RKX31" s="71"/>
      <c r="RKY31" s="71"/>
      <c r="RKZ31" s="71"/>
      <c r="RLA31" s="71"/>
      <c r="RLB31" s="71"/>
      <c r="RLC31" s="71"/>
      <c r="RLD31" s="71"/>
      <c r="RLE31" s="71"/>
      <c r="RLF31" s="71"/>
      <c r="RLG31" s="71"/>
      <c r="RLH31" s="71"/>
      <c r="RLI31" s="71"/>
      <c r="RLJ31" s="71"/>
      <c r="RLK31" s="71"/>
      <c r="RLL31" s="71"/>
      <c r="RLM31" s="71"/>
      <c r="RLN31" s="71"/>
      <c r="RLO31" s="71"/>
      <c r="RLP31" s="71"/>
      <c r="RLQ31" s="71"/>
      <c r="RLR31" s="71"/>
      <c r="RLS31" s="71"/>
      <c r="RLT31" s="71"/>
      <c r="RLU31" s="71"/>
      <c r="RLV31" s="71"/>
      <c r="RLW31" s="71"/>
      <c r="RLX31" s="71"/>
      <c r="RLY31" s="71"/>
      <c r="RLZ31" s="71"/>
      <c r="RMA31" s="71"/>
      <c r="RMB31" s="71"/>
      <c r="RMC31" s="71"/>
      <c r="RMD31" s="71"/>
      <c r="RME31" s="71"/>
      <c r="RMF31" s="71"/>
      <c r="RMG31" s="71"/>
      <c r="RMH31" s="71"/>
      <c r="RMI31" s="71"/>
      <c r="RMJ31" s="71"/>
      <c r="RMK31" s="71"/>
      <c r="RML31" s="71"/>
      <c r="RMM31" s="71"/>
      <c r="RMN31" s="71"/>
      <c r="RMO31" s="71"/>
      <c r="RMP31" s="71"/>
      <c r="RMQ31" s="71"/>
      <c r="RMR31" s="71"/>
      <c r="RMS31" s="71"/>
      <c r="RMT31" s="71"/>
      <c r="RMU31" s="71"/>
      <c r="RMV31" s="71"/>
      <c r="RMW31" s="71"/>
      <c r="RMX31" s="71"/>
      <c r="RMY31" s="71"/>
      <c r="RMZ31" s="71"/>
      <c r="RNA31" s="71"/>
      <c r="RNB31" s="71"/>
      <c r="RNC31" s="71"/>
      <c r="RND31" s="71"/>
      <c r="RNE31" s="71"/>
      <c r="RNF31" s="71"/>
      <c r="RNG31" s="71"/>
      <c r="RNH31" s="71"/>
      <c r="RNI31" s="71"/>
      <c r="RNJ31" s="71"/>
      <c r="RNK31" s="71"/>
      <c r="RNL31" s="71"/>
      <c r="RNM31" s="71"/>
      <c r="RNN31" s="71"/>
      <c r="RNO31" s="71"/>
      <c r="RNP31" s="71"/>
      <c r="RNQ31" s="71"/>
      <c r="RNR31" s="71"/>
      <c r="RNS31" s="71"/>
      <c r="RNT31" s="71"/>
      <c r="RNU31" s="71"/>
      <c r="RNV31" s="71"/>
      <c r="RNW31" s="71"/>
      <c r="RNX31" s="71"/>
      <c r="RNY31" s="71"/>
      <c r="RNZ31" s="71"/>
      <c r="ROA31" s="71"/>
      <c r="ROB31" s="71"/>
      <c r="ROC31" s="71"/>
      <c r="ROD31" s="71"/>
      <c r="ROE31" s="71"/>
      <c r="ROF31" s="71"/>
      <c r="ROG31" s="71"/>
      <c r="ROH31" s="71"/>
      <c r="ROI31" s="71"/>
      <c r="ROJ31" s="71"/>
      <c r="ROK31" s="71"/>
      <c r="ROL31" s="71"/>
      <c r="ROM31" s="71"/>
      <c r="RON31" s="71"/>
      <c r="ROO31" s="71"/>
      <c r="ROP31" s="71"/>
      <c r="ROQ31" s="71"/>
      <c r="ROR31" s="71"/>
      <c r="ROS31" s="71"/>
      <c r="ROT31" s="71"/>
      <c r="ROU31" s="71"/>
      <c r="ROV31" s="71"/>
      <c r="ROW31" s="71"/>
      <c r="ROX31" s="71"/>
      <c r="ROY31" s="71"/>
      <c r="ROZ31" s="71"/>
      <c r="RPA31" s="71"/>
      <c r="RPB31" s="71"/>
      <c r="RPC31" s="71"/>
      <c r="RPD31" s="71"/>
      <c r="RPE31" s="71"/>
      <c r="RPF31" s="71"/>
      <c r="RPG31" s="71"/>
      <c r="RPH31" s="71"/>
      <c r="RPI31" s="71"/>
      <c r="RPJ31" s="71"/>
      <c r="RPK31" s="71"/>
      <c r="RPL31" s="71"/>
      <c r="RPM31" s="71"/>
      <c r="RPN31" s="71"/>
      <c r="RPO31" s="71"/>
      <c r="RPP31" s="71"/>
      <c r="RPQ31" s="71"/>
      <c r="RPR31" s="71"/>
      <c r="RPS31" s="71"/>
      <c r="RPT31" s="71"/>
      <c r="RPU31" s="71"/>
      <c r="RPV31" s="71"/>
      <c r="RPW31" s="71"/>
      <c r="RPX31" s="71"/>
      <c r="RPY31" s="71"/>
      <c r="RPZ31" s="71"/>
      <c r="RQA31" s="71"/>
      <c r="RQB31" s="71"/>
      <c r="RQC31" s="71"/>
      <c r="RQD31" s="71"/>
      <c r="RQE31" s="71"/>
      <c r="RQF31" s="71"/>
      <c r="RQG31" s="71"/>
      <c r="RQH31" s="71"/>
      <c r="RQI31" s="71"/>
      <c r="RQJ31" s="71"/>
      <c r="RQK31" s="71"/>
      <c r="RQL31" s="71"/>
      <c r="RQM31" s="71"/>
      <c r="RQN31" s="71"/>
      <c r="RQO31" s="71"/>
      <c r="RQP31" s="71"/>
      <c r="RQQ31" s="71"/>
      <c r="RQR31" s="71"/>
      <c r="RQS31" s="71"/>
      <c r="RQT31" s="71"/>
      <c r="RQU31" s="71"/>
      <c r="RQV31" s="71"/>
      <c r="RQW31" s="71"/>
      <c r="RQX31" s="71"/>
      <c r="RQY31" s="71"/>
      <c r="RQZ31" s="71"/>
      <c r="RRA31" s="71"/>
      <c r="RRB31" s="71"/>
      <c r="RRC31" s="71"/>
      <c r="RRD31" s="71"/>
      <c r="RRE31" s="71"/>
      <c r="RRF31" s="71"/>
      <c r="RRG31" s="71"/>
      <c r="RRH31" s="71"/>
      <c r="RRI31" s="71"/>
      <c r="RRJ31" s="71"/>
      <c r="RRK31" s="71"/>
      <c r="RRL31" s="71"/>
      <c r="RRM31" s="71"/>
      <c r="RRN31" s="71"/>
      <c r="RRO31" s="71"/>
      <c r="RRP31" s="71"/>
      <c r="RRQ31" s="71"/>
      <c r="RRR31" s="71"/>
      <c r="RRS31" s="71"/>
      <c r="RRT31" s="71"/>
      <c r="RRU31" s="71"/>
      <c r="RRV31" s="71"/>
      <c r="RRW31" s="71"/>
      <c r="RRX31" s="71"/>
      <c r="RRY31" s="71"/>
      <c r="RRZ31" s="71"/>
      <c r="RSA31" s="71"/>
      <c r="RSB31" s="71"/>
      <c r="RSC31" s="71"/>
      <c r="RSD31" s="71"/>
      <c r="RSE31" s="71"/>
      <c r="RSF31" s="71"/>
      <c r="RSG31" s="71"/>
      <c r="RSH31" s="71"/>
      <c r="RSI31" s="71"/>
      <c r="RSJ31" s="71"/>
      <c r="RSK31" s="71"/>
      <c r="RSL31" s="71"/>
      <c r="RSM31" s="71"/>
      <c r="RSN31" s="71"/>
      <c r="RSO31" s="71"/>
      <c r="RSP31" s="71"/>
      <c r="RSQ31" s="71"/>
      <c r="RSR31" s="71"/>
      <c r="RSS31" s="71"/>
      <c r="RST31" s="71"/>
      <c r="RSU31" s="71"/>
      <c r="RSV31" s="71"/>
      <c r="RSW31" s="71"/>
      <c r="RSX31" s="71"/>
      <c r="RSY31" s="71"/>
      <c r="RSZ31" s="71"/>
      <c r="RTA31" s="71"/>
      <c r="RTB31" s="71"/>
      <c r="RTC31" s="71"/>
      <c r="RTD31" s="71"/>
      <c r="RTE31" s="71"/>
      <c r="RTF31" s="71"/>
      <c r="RTG31" s="71"/>
      <c r="RTH31" s="71"/>
      <c r="RTI31" s="71"/>
      <c r="RTJ31" s="71"/>
      <c r="RTK31" s="71"/>
      <c r="RTL31" s="71"/>
      <c r="RTM31" s="71"/>
      <c r="RTN31" s="71"/>
      <c r="RTO31" s="71"/>
      <c r="RTP31" s="71"/>
      <c r="RTQ31" s="71"/>
      <c r="RTR31" s="71"/>
      <c r="RTS31" s="71"/>
      <c r="RTT31" s="71"/>
      <c r="RTU31" s="71"/>
      <c r="RTV31" s="71"/>
      <c r="RTW31" s="71"/>
      <c r="RTX31" s="71"/>
      <c r="RTY31" s="71"/>
      <c r="RTZ31" s="71"/>
      <c r="RUA31" s="71"/>
      <c r="RUB31" s="71"/>
      <c r="RUC31" s="71"/>
      <c r="RUD31" s="71"/>
      <c r="RUE31" s="71"/>
      <c r="RUF31" s="71"/>
      <c r="RUG31" s="71"/>
      <c r="RUH31" s="71"/>
      <c r="RUI31" s="71"/>
      <c r="RUJ31" s="71"/>
      <c r="RUK31" s="71"/>
      <c r="RUL31" s="71"/>
      <c r="RUM31" s="71"/>
      <c r="RUN31" s="71"/>
      <c r="RUO31" s="71"/>
      <c r="RUP31" s="71"/>
      <c r="RUQ31" s="71"/>
      <c r="RUR31" s="71"/>
      <c r="RUS31" s="71"/>
      <c r="RUT31" s="71"/>
      <c r="RUU31" s="71"/>
      <c r="RUV31" s="71"/>
      <c r="RUW31" s="71"/>
      <c r="RUX31" s="71"/>
      <c r="RUY31" s="71"/>
      <c r="RUZ31" s="71"/>
      <c r="RVA31" s="71"/>
      <c r="RVB31" s="71"/>
      <c r="RVC31" s="71"/>
      <c r="RVD31" s="71"/>
      <c r="RVE31" s="71"/>
      <c r="RVF31" s="71"/>
      <c r="RVG31" s="71"/>
      <c r="RVH31" s="71"/>
      <c r="RVI31" s="71"/>
      <c r="RVJ31" s="71"/>
      <c r="RVK31" s="71"/>
      <c r="RVL31" s="71"/>
      <c r="RVM31" s="71"/>
      <c r="RVN31" s="71"/>
      <c r="RVO31" s="71"/>
      <c r="RVP31" s="71"/>
      <c r="RVQ31" s="71"/>
      <c r="RVR31" s="71"/>
      <c r="RVS31" s="71"/>
      <c r="RVT31" s="71"/>
      <c r="RVU31" s="71"/>
      <c r="RVV31" s="71"/>
      <c r="RVW31" s="71"/>
      <c r="RVX31" s="71"/>
      <c r="RVY31" s="71"/>
      <c r="RVZ31" s="71"/>
      <c r="RWA31" s="71"/>
      <c r="RWB31" s="71"/>
      <c r="RWC31" s="71"/>
      <c r="RWD31" s="71"/>
      <c r="RWE31" s="71"/>
      <c r="RWF31" s="71"/>
      <c r="RWG31" s="71"/>
      <c r="RWH31" s="71"/>
      <c r="RWI31" s="71"/>
      <c r="RWJ31" s="71"/>
      <c r="RWK31" s="71"/>
      <c r="RWL31" s="71"/>
      <c r="RWM31" s="71"/>
      <c r="RWN31" s="71"/>
      <c r="RWO31" s="71"/>
      <c r="RWP31" s="71"/>
      <c r="RWQ31" s="71"/>
      <c r="RWR31" s="71"/>
      <c r="RWS31" s="71"/>
      <c r="RWT31" s="71"/>
      <c r="RWU31" s="71"/>
      <c r="RWV31" s="71"/>
      <c r="RWW31" s="71"/>
      <c r="RWX31" s="71"/>
      <c r="RWY31" s="71"/>
      <c r="RWZ31" s="71"/>
      <c r="RXA31" s="71"/>
      <c r="RXB31" s="71"/>
      <c r="RXC31" s="71"/>
      <c r="RXD31" s="71"/>
      <c r="RXE31" s="71"/>
      <c r="RXF31" s="71"/>
      <c r="RXG31" s="71"/>
      <c r="RXH31" s="71"/>
      <c r="RXI31" s="71"/>
      <c r="RXJ31" s="71"/>
      <c r="RXK31" s="71"/>
      <c r="RXL31" s="71"/>
      <c r="RXM31" s="71"/>
      <c r="RXN31" s="71"/>
      <c r="RXO31" s="71"/>
      <c r="RXP31" s="71"/>
      <c r="RXQ31" s="71"/>
      <c r="RXR31" s="71"/>
      <c r="RXS31" s="71"/>
      <c r="RXT31" s="71"/>
      <c r="RXU31" s="71"/>
      <c r="RXV31" s="71"/>
      <c r="RXW31" s="71"/>
      <c r="RXX31" s="71"/>
      <c r="RXY31" s="71"/>
      <c r="RXZ31" s="71"/>
      <c r="RYA31" s="71"/>
      <c r="RYB31" s="71"/>
      <c r="RYC31" s="71"/>
      <c r="RYD31" s="71"/>
      <c r="RYE31" s="71"/>
      <c r="RYF31" s="71"/>
      <c r="RYG31" s="71"/>
      <c r="RYH31" s="71"/>
      <c r="RYI31" s="71"/>
      <c r="RYJ31" s="71"/>
      <c r="RYK31" s="71"/>
      <c r="RYL31" s="71"/>
      <c r="RYM31" s="71"/>
      <c r="RYN31" s="71"/>
      <c r="RYO31" s="71"/>
      <c r="RYP31" s="71"/>
      <c r="RYQ31" s="71"/>
      <c r="RYR31" s="71"/>
      <c r="RYS31" s="71"/>
      <c r="RYT31" s="71"/>
      <c r="RYU31" s="71"/>
      <c r="RYV31" s="71"/>
      <c r="RYW31" s="71"/>
      <c r="RYX31" s="71"/>
      <c r="RYY31" s="71"/>
      <c r="RYZ31" s="71"/>
      <c r="RZA31" s="71"/>
      <c r="RZB31" s="71"/>
      <c r="RZC31" s="71"/>
      <c r="RZD31" s="71"/>
      <c r="RZE31" s="71"/>
      <c r="RZF31" s="71"/>
      <c r="RZG31" s="71"/>
      <c r="RZH31" s="71"/>
      <c r="RZI31" s="71"/>
      <c r="RZJ31" s="71"/>
      <c r="RZK31" s="71"/>
      <c r="RZL31" s="71"/>
      <c r="RZM31" s="71"/>
      <c r="RZN31" s="71"/>
      <c r="RZO31" s="71"/>
      <c r="RZP31" s="71"/>
      <c r="RZQ31" s="71"/>
      <c r="RZR31" s="71"/>
      <c r="RZS31" s="71"/>
      <c r="RZT31" s="71"/>
      <c r="RZU31" s="71"/>
      <c r="RZV31" s="71"/>
      <c r="RZW31" s="71"/>
      <c r="RZX31" s="71"/>
      <c r="RZY31" s="71"/>
      <c r="RZZ31" s="71"/>
      <c r="SAA31" s="71"/>
      <c r="SAB31" s="71"/>
      <c r="SAC31" s="71"/>
      <c r="SAD31" s="71"/>
      <c r="SAE31" s="71"/>
      <c r="SAF31" s="71"/>
      <c r="SAG31" s="71"/>
      <c r="SAH31" s="71"/>
      <c r="SAI31" s="71"/>
      <c r="SAJ31" s="71"/>
      <c r="SAK31" s="71"/>
      <c r="SAL31" s="71"/>
      <c r="SAM31" s="71"/>
      <c r="SAN31" s="71"/>
      <c r="SAO31" s="71"/>
      <c r="SAP31" s="71"/>
      <c r="SAQ31" s="71"/>
      <c r="SAR31" s="71"/>
      <c r="SAS31" s="71"/>
      <c r="SAT31" s="71"/>
      <c r="SAU31" s="71"/>
      <c r="SAV31" s="71"/>
      <c r="SAW31" s="71"/>
      <c r="SAX31" s="71"/>
      <c r="SAY31" s="71"/>
      <c r="SAZ31" s="71"/>
      <c r="SBA31" s="71"/>
      <c r="SBB31" s="71"/>
      <c r="SBC31" s="71"/>
      <c r="SBD31" s="71"/>
      <c r="SBE31" s="71"/>
      <c r="SBF31" s="71"/>
      <c r="SBG31" s="71"/>
      <c r="SBH31" s="71"/>
      <c r="SBI31" s="71"/>
      <c r="SBJ31" s="71"/>
      <c r="SBK31" s="71"/>
      <c r="SBL31" s="71"/>
      <c r="SBM31" s="71"/>
      <c r="SBN31" s="71"/>
      <c r="SBO31" s="71"/>
      <c r="SBP31" s="71"/>
      <c r="SBQ31" s="71"/>
      <c r="SBR31" s="71"/>
      <c r="SBS31" s="71"/>
      <c r="SBT31" s="71"/>
      <c r="SBU31" s="71"/>
      <c r="SBV31" s="71"/>
      <c r="SBW31" s="71"/>
      <c r="SBX31" s="71"/>
      <c r="SBY31" s="71"/>
      <c r="SBZ31" s="71"/>
      <c r="SCA31" s="71"/>
      <c r="SCB31" s="71"/>
      <c r="SCC31" s="71"/>
      <c r="SCD31" s="71"/>
      <c r="SCE31" s="71"/>
      <c r="SCF31" s="71"/>
      <c r="SCG31" s="71"/>
      <c r="SCH31" s="71"/>
      <c r="SCI31" s="71"/>
      <c r="SCJ31" s="71"/>
      <c r="SCK31" s="71"/>
      <c r="SCL31" s="71"/>
      <c r="SCM31" s="71"/>
      <c r="SCN31" s="71"/>
      <c r="SCO31" s="71"/>
      <c r="SCP31" s="71"/>
      <c r="SCQ31" s="71"/>
      <c r="SCR31" s="71"/>
      <c r="SCS31" s="71"/>
      <c r="SCT31" s="71"/>
      <c r="SCU31" s="71"/>
      <c r="SCV31" s="71"/>
      <c r="SCW31" s="71"/>
      <c r="SCX31" s="71"/>
      <c r="SCY31" s="71"/>
      <c r="SCZ31" s="71"/>
      <c r="SDA31" s="71"/>
      <c r="SDB31" s="71"/>
      <c r="SDC31" s="71"/>
      <c r="SDD31" s="71"/>
      <c r="SDE31" s="71"/>
      <c r="SDF31" s="71"/>
      <c r="SDG31" s="71"/>
      <c r="SDH31" s="71"/>
      <c r="SDI31" s="71"/>
      <c r="SDJ31" s="71"/>
      <c r="SDK31" s="71"/>
      <c r="SDL31" s="71"/>
      <c r="SDM31" s="71"/>
      <c r="SDN31" s="71"/>
      <c r="SDO31" s="71"/>
      <c r="SDP31" s="71"/>
      <c r="SDQ31" s="71"/>
      <c r="SDR31" s="71"/>
      <c r="SDS31" s="71"/>
      <c r="SDT31" s="71"/>
      <c r="SDU31" s="71"/>
      <c r="SDV31" s="71"/>
      <c r="SDW31" s="71"/>
      <c r="SDX31" s="71"/>
      <c r="SDY31" s="71"/>
      <c r="SDZ31" s="71"/>
      <c r="SEA31" s="71"/>
      <c r="SEB31" s="71"/>
      <c r="SEC31" s="71"/>
      <c r="SED31" s="71"/>
      <c r="SEE31" s="71"/>
      <c r="SEF31" s="71"/>
      <c r="SEG31" s="71"/>
      <c r="SEH31" s="71"/>
      <c r="SEI31" s="71"/>
      <c r="SEJ31" s="71"/>
      <c r="SEK31" s="71"/>
      <c r="SEL31" s="71"/>
      <c r="SEM31" s="71"/>
      <c r="SEN31" s="71"/>
      <c r="SEO31" s="71"/>
      <c r="SEP31" s="71"/>
      <c r="SEQ31" s="71"/>
      <c r="SER31" s="71"/>
      <c r="SES31" s="71"/>
      <c r="SET31" s="71"/>
      <c r="SEU31" s="71"/>
      <c r="SEV31" s="71"/>
      <c r="SEW31" s="71"/>
      <c r="SEX31" s="71"/>
      <c r="SEY31" s="71"/>
      <c r="SEZ31" s="71"/>
      <c r="SFA31" s="71"/>
      <c r="SFB31" s="71"/>
      <c r="SFC31" s="71"/>
      <c r="SFD31" s="71"/>
      <c r="SFE31" s="71"/>
      <c r="SFF31" s="71"/>
      <c r="SFG31" s="71"/>
      <c r="SFH31" s="71"/>
      <c r="SFI31" s="71"/>
      <c r="SFJ31" s="71"/>
      <c r="SFK31" s="71"/>
      <c r="SFL31" s="71"/>
      <c r="SFM31" s="71"/>
      <c r="SFN31" s="71"/>
      <c r="SFO31" s="71"/>
      <c r="SFP31" s="71"/>
      <c r="SFQ31" s="71"/>
      <c r="SFR31" s="71"/>
      <c r="SFS31" s="71"/>
      <c r="SFT31" s="71"/>
      <c r="SFU31" s="71"/>
      <c r="SFV31" s="71"/>
      <c r="SFW31" s="71"/>
      <c r="SFX31" s="71"/>
      <c r="SFY31" s="71"/>
      <c r="SFZ31" s="71"/>
      <c r="SGA31" s="71"/>
      <c r="SGB31" s="71"/>
      <c r="SGC31" s="71"/>
      <c r="SGD31" s="71"/>
      <c r="SGE31" s="71"/>
      <c r="SGF31" s="71"/>
      <c r="SGG31" s="71"/>
      <c r="SGH31" s="71"/>
      <c r="SGI31" s="71"/>
      <c r="SGJ31" s="71"/>
      <c r="SGK31" s="71"/>
      <c r="SGL31" s="71"/>
      <c r="SGM31" s="71"/>
      <c r="SGN31" s="71"/>
      <c r="SGO31" s="71"/>
      <c r="SGP31" s="71"/>
      <c r="SGQ31" s="71"/>
      <c r="SGR31" s="71"/>
      <c r="SGS31" s="71"/>
      <c r="SGT31" s="71"/>
      <c r="SGU31" s="71"/>
      <c r="SGV31" s="71"/>
      <c r="SGW31" s="71"/>
      <c r="SGX31" s="71"/>
      <c r="SGY31" s="71"/>
      <c r="SGZ31" s="71"/>
      <c r="SHA31" s="71"/>
      <c r="SHB31" s="71"/>
      <c r="SHC31" s="71"/>
      <c r="SHD31" s="71"/>
      <c r="SHE31" s="71"/>
      <c r="SHF31" s="71"/>
      <c r="SHG31" s="71"/>
      <c r="SHH31" s="71"/>
      <c r="SHI31" s="71"/>
      <c r="SHJ31" s="71"/>
      <c r="SHK31" s="71"/>
      <c r="SHL31" s="71"/>
      <c r="SHM31" s="71"/>
      <c r="SHN31" s="71"/>
      <c r="SHO31" s="71"/>
      <c r="SHP31" s="71"/>
      <c r="SHQ31" s="71"/>
      <c r="SHR31" s="71"/>
      <c r="SHS31" s="71"/>
      <c r="SHT31" s="71"/>
      <c r="SHU31" s="71"/>
      <c r="SHV31" s="71"/>
      <c r="SHW31" s="71"/>
      <c r="SHX31" s="71"/>
      <c r="SHY31" s="71"/>
      <c r="SHZ31" s="71"/>
      <c r="SIA31" s="71"/>
      <c r="SIB31" s="71"/>
      <c r="SIC31" s="71"/>
      <c r="SID31" s="71"/>
      <c r="SIE31" s="71"/>
      <c r="SIF31" s="71"/>
      <c r="SIG31" s="71"/>
      <c r="SIH31" s="71"/>
      <c r="SII31" s="71"/>
      <c r="SIJ31" s="71"/>
      <c r="SIK31" s="71"/>
      <c r="SIL31" s="71"/>
      <c r="SIM31" s="71"/>
      <c r="SIN31" s="71"/>
      <c r="SIO31" s="71"/>
      <c r="SIP31" s="71"/>
      <c r="SIQ31" s="71"/>
      <c r="SIR31" s="71"/>
      <c r="SIS31" s="71"/>
      <c r="SIT31" s="71"/>
      <c r="SIU31" s="71"/>
      <c r="SIV31" s="71"/>
      <c r="SIW31" s="71"/>
      <c r="SIX31" s="71"/>
      <c r="SIY31" s="71"/>
      <c r="SIZ31" s="71"/>
      <c r="SJA31" s="71"/>
      <c r="SJB31" s="71"/>
      <c r="SJC31" s="71"/>
      <c r="SJD31" s="71"/>
      <c r="SJE31" s="71"/>
      <c r="SJF31" s="71"/>
      <c r="SJG31" s="71"/>
      <c r="SJH31" s="71"/>
      <c r="SJI31" s="71"/>
      <c r="SJJ31" s="71"/>
      <c r="SJK31" s="71"/>
      <c r="SJL31" s="71"/>
      <c r="SJM31" s="71"/>
      <c r="SJN31" s="71"/>
      <c r="SJO31" s="71"/>
      <c r="SJP31" s="71"/>
      <c r="SJQ31" s="71"/>
      <c r="SJR31" s="71"/>
      <c r="SJS31" s="71"/>
      <c r="SJT31" s="71"/>
      <c r="SJU31" s="71"/>
      <c r="SJV31" s="71"/>
      <c r="SJW31" s="71"/>
      <c r="SJX31" s="71"/>
      <c r="SJY31" s="71"/>
      <c r="SJZ31" s="71"/>
      <c r="SKA31" s="71"/>
      <c r="SKB31" s="71"/>
      <c r="SKC31" s="71"/>
      <c r="SKD31" s="71"/>
      <c r="SKE31" s="71"/>
      <c r="SKF31" s="71"/>
      <c r="SKG31" s="71"/>
      <c r="SKH31" s="71"/>
      <c r="SKI31" s="71"/>
      <c r="SKJ31" s="71"/>
      <c r="SKK31" s="71"/>
      <c r="SKL31" s="71"/>
      <c r="SKM31" s="71"/>
      <c r="SKN31" s="71"/>
      <c r="SKO31" s="71"/>
      <c r="SKP31" s="71"/>
      <c r="SKQ31" s="71"/>
      <c r="SKR31" s="71"/>
      <c r="SKS31" s="71"/>
      <c r="SKT31" s="71"/>
      <c r="SKU31" s="71"/>
      <c r="SKV31" s="71"/>
      <c r="SKW31" s="71"/>
      <c r="SKX31" s="71"/>
      <c r="SKY31" s="71"/>
      <c r="SKZ31" s="71"/>
      <c r="SLA31" s="71"/>
      <c r="SLB31" s="71"/>
      <c r="SLC31" s="71"/>
      <c r="SLD31" s="71"/>
      <c r="SLE31" s="71"/>
      <c r="SLF31" s="71"/>
      <c r="SLG31" s="71"/>
      <c r="SLH31" s="71"/>
      <c r="SLI31" s="71"/>
      <c r="SLJ31" s="71"/>
      <c r="SLK31" s="71"/>
      <c r="SLL31" s="71"/>
      <c r="SLM31" s="71"/>
      <c r="SLN31" s="71"/>
      <c r="SLO31" s="71"/>
      <c r="SLP31" s="71"/>
      <c r="SLQ31" s="71"/>
      <c r="SLR31" s="71"/>
      <c r="SLS31" s="71"/>
      <c r="SLT31" s="71"/>
      <c r="SLU31" s="71"/>
      <c r="SLV31" s="71"/>
      <c r="SLW31" s="71"/>
      <c r="SLX31" s="71"/>
      <c r="SLY31" s="71"/>
      <c r="SLZ31" s="71"/>
      <c r="SMA31" s="71"/>
      <c r="SMB31" s="71"/>
      <c r="SMC31" s="71"/>
      <c r="SMD31" s="71"/>
      <c r="SME31" s="71"/>
      <c r="SMF31" s="71"/>
      <c r="SMG31" s="71"/>
      <c r="SMH31" s="71"/>
      <c r="SMI31" s="71"/>
      <c r="SMJ31" s="71"/>
      <c r="SMK31" s="71"/>
      <c r="SML31" s="71"/>
      <c r="SMM31" s="71"/>
      <c r="SMN31" s="71"/>
      <c r="SMO31" s="71"/>
      <c r="SMP31" s="71"/>
      <c r="SMQ31" s="71"/>
      <c r="SMR31" s="71"/>
      <c r="SMS31" s="71"/>
      <c r="SMT31" s="71"/>
      <c r="SMU31" s="71"/>
      <c r="SMV31" s="71"/>
      <c r="SMW31" s="71"/>
      <c r="SMX31" s="71"/>
      <c r="SMY31" s="71"/>
      <c r="SMZ31" s="71"/>
      <c r="SNA31" s="71"/>
      <c r="SNB31" s="71"/>
      <c r="SNC31" s="71"/>
      <c r="SND31" s="71"/>
      <c r="SNE31" s="71"/>
      <c r="SNF31" s="71"/>
      <c r="SNG31" s="71"/>
      <c r="SNH31" s="71"/>
      <c r="SNI31" s="71"/>
      <c r="SNJ31" s="71"/>
      <c r="SNK31" s="71"/>
      <c r="SNL31" s="71"/>
      <c r="SNM31" s="71"/>
      <c r="SNN31" s="71"/>
      <c r="SNO31" s="71"/>
      <c r="SNP31" s="71"/>
      <c r="SNQ31" s="71"/>
      <c r="SNR31" s="71"/>
      <c r="SNS31" s="71"/>
      <c r="SNT31" s="71"/>
      <c r="SNU31" s="71"/>
      <c r="SNV31" s="71"/>
      <c r="SNW31" s="71"/>
      <c r="SNX31" s="71"/>
      <c r="SNY31" s="71"/>
      <c r="SNZ31" s="71"/>
      <c r="SOA31" s="71"/>
      <c r="SOB31" s="71"/>
      <c r="SOC31" s="71"/>
      <c r="SOD31" s="71"/>
      <c r="SOE31" s="71"/>
      <c r="SOF31" s="71"/>
      <c r="SOG31" s="71"/>
      <c r="SOH31" s="71"/>
      <c r="SOI31" s="71"/>
      <c r="SOJ31" s="71"/>
      <c r="SOK31" s="71"/>
      <c r="SOL31" s="71"/>
      <c r="SOM31" s="71"/>
      <c r="SON31" s="71"/>
      <c r="SOO31" s="71"/>
      <c r="SOP31" s="71"/>
      <c r="SOQ31" s="71"/>
      <c r="SOR31" s="71"/>
      <c r="SOS31" s="71"/>
      <c r="SOT31" s="71"/>
      <c r="SOU31" s="71"/>
      <c r="SOV31" s="71"/>
      <c r="SOW31" s="71"/>
      <c r="SOX31" s="71"/>
      <c r="SOY31" s="71"/>
      <c r="SOZ31" s="71"/>
      <c r="SPA31" s="71"/>
      <c r="SPB31" s="71"/>
      <c r="SPC31" s="71"/>
      <c r="SPD31" s="71"/>
      <c r="SPE31" s="71"/>
      <c r="SPF31" s="71"/>
      <c r="SPG31" s="71"/>
      <c r="SPH31" s="71"/>
      <c r="SPI31" s="71"/>
      <c r="SPJ31" s="71"/>
      <c r="SPK31" s="71"/>
      <c r="SPL31" s="71"/>
      <c r="SPM31" s="71"/>
      <c r="SPN31" s="71"/>
      <c r="SPO31" s="71"/>
      <c r="SPP31" s="71"/>
      <c r="SPQ31" s="71"/>
      <c r="SPR31" s="71"/>
      <c r="SPS31" s="71"/>
      <c r="SPT31" s="71"/>
      <c r="SPU31" s="71"/>
      <c r="SPV31" s="71"/>
      <c r="SPW31" s="71"/>
      <c r="SPX31" s="71"/>
      <c r="SPY31" s="71"/>
      <c r="SPZ31" s="71"/>
      <c r="SQA31" s="71"/>
      <c r="SQB31" s="71"/>
      <c r="SQC31" s="71"/>
      <c r="SQD31" s="71"/>
      <c r="SQE31" s="71"/>
      <c r="SQF31" s="71"/>
      <c r="SQG31" s="71"/>
      <c r="SQH31" s="71"/>
      <c r="SQI31" s="71"/>
      <c r="SQJ31" s="71"/>
      <c r="SQK31" s="71"/>
      <c r="SQL31" s="71"/>
      <c r="SQM31" s="71"/>
      <c r="SQN31" s="71"/>
      <c r="SQO31" s="71"/>
      <c r="SQP31" s="71"/>
      <c r="SQQ31" s="71"/>
      <c r="SQR31" s="71"/>
      <c r="SQS31" s="71"/>
      <c r="SQT31" s="71"/>
      <c r="SQU31" s="71"/>
      <c r="SQV31" s="71"/>
      <c r="SQW31" s="71"/>
      <c r="SQX31" s="71"/>
      <c r="SQY31" s="71"/>
      <c r="SQZ31" s="71"/>
      <c r="SRA31" s="71"/>
      <c r="SRB31" s="71"/>
      <c r="SRC31" s="71"/>
      <c r="SRD31" s="71"/>
      <c r="SRE31" s="71"/>
      <c r="SRF31" s="71"/>
      <c r="SRG31" s="71"/>
      <c r="SRH31" s="71"/>
      <c r="SRI31" s="71"/>
      <c r="SRJ31" s="71"/>
      <c r="SRK31" s="71"/>
      <c r="SRL31" s="71"/>
      <c r="SRM31" s="71"/>
      <c r="SRN31" s="71"/>
      <c r="SRO31" s="71"/>
      <c r="SRP31" s="71"/>
      <c r="SRQ31" s="71"/>
      <c r="SRR31" s="71"/>
      <c r="SRS31" s="71"/>
      <c r="SRT31" s="71"/>
      <c r="SRU31" s="71"/>
      <c r="SRV31" s="71"/>
      <c r="SRW31" s="71"/>
      <c r="SRX31" s="71"/>
      <c r="SRY31" s="71"/>
      <c r="SRZ31" s="71"/>
      <c r="SSA31" s="71"/>
      <c r="SSB31" s="71"/>
      <c r="SSC31" s="71"/>
      <c r="SSD31" s="71"/>
      <c r="SSE31" s="71"/>
      <c r="SSF31" s="71"/>
      <c r="SSG31" s="71"/>
      <c r="SSH31" s="71"/>
      <c r="SSI31" s="71"/>
      <c r="SSJ31" s="71"/>
      <c r="SSK31" s="71"/>
      <c r="SSL31" s="71"/>
      <c r="SSM31" s="71"/>
      <c r="SSN31" s="71"/>
      <c r="SSO31" s="71"/>
      <c r="SSP31" s="71"/>
      <c r="SSQ31" s="71"/>
      <c r="SSR31" s="71"/>
      <c r="SSS31" s="71"/>
      <c r="SST31" s="71"/>
      <c r="SSU31" s="71"/>
      <c r="SSV31" s="71"/>
      <c r="SSW31" s="71"/>
      <c r="SSX31" s="71"/>
      <c r="SSY31" s="71"/>
      <c r="SSZ31" s="71"/>
      <c r="STA31" s="71"/>
      <c r="STB31" s="71"/>
      <c r="STC31" s="71"/>
      <c r="STD31" s="71"/>
      <c r="STE31" s="71"/>
      <c r="STF31" s="71"/>
      <c r="STG31" s="71"/>
      <c r="STH31" s="71"/>
      <c r="STI31" s="71"/>
      <c r="STJ31" s="71"/>
      <c r="STK31" s="71"/>
      <c r="STL31" s="71"/>
      <c r="STM31" s="71"/>
      <c r="STN31" s="71"/>
      <c r="STO31" s="71"/>
      <c r="STP31" s="71"/>
      <c r="STQ31" s="71"/>
      <c r="STR31" s="71"/>
      <c r="STS31" s="71"/>
      <c r="STT31" s="71"/>
      <c r="STU31" s="71"/>
      <c r="STV31" s="71"/>
      <c r="STW31" s="71"/>
      <c r="STX31" s="71"/>
      <c r="STY31" s="71"/>
      <c r="STZ31" s="71"/>
      <c r="SUA31" s="71"/>
      <c r="SUB31" s="71"/>
      <c r="SUC31" s="71"/>
      <c r="SUD31" s="71"/>
      <c r="SUE31" s="71"/>
      <c r="SUF31" s="71"/>
      <c r="SUG31" s="71"/>
      <c r="SUH31" s="71"/>
      <c r="SUI31" s="71"/>
      <c r="SUJ31" s="71"/>
      <c r="SUK31" s="71"/>
      <c r="SUL31" s="71"/>
      <c r="SUM31" s="71"/>
      <c r="SUN31" s="71"/>
      <c r="SUO31" s="71"/>
      <c r="SUP31" s="71"/>
      <c r="SUQ31" s="71"/>
      <c r="SUR31" s="71"/>
      <c r="SUS31" s="71"/>
      <c r="SUT31" s="71"/>
      <c r="SUU31" s="71"/>
      <c r="SUV31" s="71"/>
      <c r="SUW31" s="71"/>
      <c r="SUX31" s="71"/>
      <c r="SUY31" s="71"/>
      <c r="SUZ31" s="71"/>
      <c r="SVA31" s="71"/>
      <c r="SVB31" s="71"/>
      <c r="SVC31" s="71"/>
      <c r="SVD31" s="71"/>
      <c r="SVE31" s="71"/>
      <c r="SVF31" s="71"/>
      <c r="SVG31" s="71"/>
      <c r="SVH31" s="71"/>
      <c r="SVI31" s="71"/>
      <c r="SVJ31" s="71"/>
      <c r="SVK31" s="71"/>
      <c r="SVL31" s="71"/>
      <c r="SVM31" s="71"/>
      <c r="SVN31" s="71"/>
      <c r="SVO31" s="71"/>
      <c r="SVP31" s="71"/>
      <c r="SVQ31" s="71"/>
      <c r="SVR31" s="71"/>
      <c r="SVS31" s="71"/>
      <c r="SVT31" s="71"/>
      <c r="SVU31" s="71"/>
      <c r="SVV31" s="71"/>
      <c r="SVW31" s="71"/>
      <c r="SVX31" s="71"/>
      <c r="SVY31" s="71"/>
      <c r="SVZ31" s="71"/>
      <c r="SWA31" s="71"/>
      <c r="SWB31" s="71"/>
      <c r="SWC31" s="71"/>
      <c r="SWD31" s="71"/>
      <c r="SWE31" s="71"/>
      <c r="SWF31" s="71"/>
      <c r="SWG31" s="71"/>
      <c r="SWH31" s="71"/>
      <c r="SWI31" s="71"/>
      <c r="SWJ31" s="71"/>
      <c r="SWK31" s="71"/>
      <c r="SWL31" s="71"/>
      <c r="SWM31" s="71"/>
      <c r="SWN31" s="71"/>
      <c r="SWO31" s="71"/>
      <c r="SWP31" s="71"/>
      <c r="SWQ31" s="71"/>
      <c r="SWR31" s="71"/>
      <c r="SWS31" s="71"/>
      <c r="SWT31" s="71"/>
      <c r="SWU31" s="71"/>
      <c r="SWV31" s="71"/>
      <c r="SWW31" s="71"/>
      <c r="SWX31" s="71"/>
      <c r="SWY31" s="71"/>
      <c r="SWZ31" s="71"/>
      <c r="SXA31" s="71"/>
      <c r="SXB31" s="71"/>
      <c r="SXC31" s="71"/>
      <c r="SXD31" s="71"/>
      <c r="SXE31" s="71"/>
      <c r="SXF31" s="71"/>
      <c r="SXG31" s="71"/>
      <c r="SXH31" s="71"/>
      <c r="SXI31" s="71"/>
      <c r="SXJ31" s="71"/>
      <c r="SXK31" s="71"/>
      <c r="SXL31" s="71"/>
      <c r="SXM31" s="71"/>
      <c r="SXN31" s="71"/>
      <c r="SXO31" s="71"/>
      <c r="SXP31" s="71"/>
      <c r="SXQ31" s="71"/>
      <c r="SXR31" s="71"/>
      <c r="SXS31" s="71"/>
      <c r="SXT31" s="71"/>
      <c r="SXU31" s="71"/>
      <c r="SXV31" s="71"/>
      <c r="SXW31" s="71"/>
      <c r="SXX31" s="71"/>
      <c r="SXY31" s="71"/>
      <c r="SXZ31" s="71"/>
      <c r="SYA31" s="71"/>
      <c r="SYB31" s="71"/>
      <c r="SYC31" s="71"/>
      <c r="SYD31" s="71"/>
      <c r="SYE31" s="71"/>
      <c r="SYF31" s="71"/>
      <c r="SYG31" s="71"/>
      <c r="SYH31" s="71"/>
      <c r="SYI31" s="71"/>
      <c r="SYJ31" s="71"/>
      <c r="SYK31" s="71"/>
      <c r="SYL31" s="71"/>
      <c r="SYM31" s="71"/>
      <c r="SYN31" s="71"/>
      <c r="SYO31" s="71"/>
      <c r="SYP31" s="71"/>
      <c r="SYQ31" s="71"/>
      <c r="SYR31" s="71"/>
      <c r="SYS31" s="71"/>
      <c r="SYT31" s="71"/>
      <c r="SYU31" s="71"/>
      <c r="SYV31" s="71"/>
      <c r="SYW31" s="71"/>
      <c r="SYX31" s="71"/>
      <c r="SYY31" s="71"/>
      <c r="SYZ31" s="71"/>
      <c r="SZA31" s="71"/>
      <c r="SZB31" s="71"/>
      <c r="SZC31" s="71"/>
      <c r="SZD31" s="71"/>
      <c r="SZE31" s="71"/>
      <c r="SZF31" s="71"/>
      <c r="SZG31" s="71"/>
      <c r="SZH31" s="71"/>
      <c r="SZI31" s="71"/>
      <c r="SZJ31" s="71"/>
      <c r="SZK31" s="71"/>
      <c r="SZL31" s="71"/>
      <c r="SZM31" s="71"/>
      <c r="SZN31" s="71"/>
      <c r="SZO31" s="71"/>
      <c r="SZP31" s="71"/>
      <c r="SZQ31" s="71"/>
      <c r="SZR31" s="71"/>
      <c r="SZS31" s="71"/>
      <c r="SZT31" s="71"/>
      <c r="SZU31" s="71"/>
      <c r="SZV31" s="71"/>
      <c r="SZW31" s="71"/>
      <c r="SZX31" s="71"/>
      <c r="SZY31" s="71"/>
      <c r="SZZ31" s="71"/>
      <c r="TAA31" s="71"/>
      <c r="TAB31" s="71"/>
      <c r="TAC31" s="71"/>
      <c r="TAD31" s="71"/>
      <c r="TAE31" s="71"/>
      <c r="TAF31" s="71"/>
      <c r="TAG31" s="71"/>
      <c r="TAH31" s="71"/>
      <c r="TAI31" s="71"/>
      <c r="TAJ31" s="71"/>
      <c r="TAK31" s="71"/>
      <c r="TAL31" s="71"/>
      <c r="TAM31" s="71"/>
      <c r="TAN31" s="71"/>
      <c r="TAO31" s="71"/>
      <c r="TAP31" s="71"/>
      <c r="TAQ31" s="71"/>
      <c r="TAR31" s="71"/>
      <c r="TAS31" s="71"/>
      <c r="TAT31" s="71"/>
      <c r="TAU31" s="71"/>
      <c r="TAV31" s="71"/>
      <c r="TAW31" s="71"/>
      <c r="TAX31" s="71"/>
      <c r="TAY31" s="71"/>
      <c r="TAZ31" s="71"/>
      <c r="TBA31" s="71"/>
      <c r="TBB31" s="71"/>
      <c r="TBC31" s="71"/>
      <c r="TBD31" s="71"/>
      <c r="TBE31" s="71"/>
      <c r="TBF31" s="71"/>
      <c r="TBG31" s="71"/>
      <c r="TBH31" s="71"/>
      <c r="TBI31" s="71"/>
      <c r="TBJ31" s="71"/>
      <c r="TBK31" s="71"/>
      <c r="TBL31" s="71"/>
      <c r="TBM31" s="71"/>
      <c r="TBN31" s="71"/>
      <c r="TBO31" s="71"/>
      <c r="TBP31" s="71"/>
      <c r="TBQ31" s="71"/>
      <c r="TBR31" s="71"/>
      <c r="TBS31" s="71"/>
      <c r="TBT31" s="71"/>
      <c r="TBU31" s="71"/>
      <c r="TBV31" s="71"/>
      <c r="TBW31" s="71"/>
      <c r="TBX31" s="71"/>
      <c r="TBY31" s="71"/>
      <c r="TBZ31" s="71"/>
      <c r="TCA31" s="71"/>
      <c r="TCB31" s="71"/>
      <c r="TCC31" s="71"/>
      <c r="TCD31" s="71"/>
      <c r="TCE31" s="71"/>
      <c r="TCF31" s="71"/>
      <c r="TCG31" s="71"/>
      <c r="TCH31" s="71"/>
      <c r="TCI31" s="71"/>
      <c r="TCJ31" s="71"/>
      <c r="TCK31" s="71"/>
      <c r="TCL31" s="71"/>
      <c r="TCM31" s="71"/>
      <c r="TCN31" s="71"/>
      <c r="TCO31" s="71"/>
      <c r="TCP31" s="71"/>
      <c r="TCQ31" s="71"/>
      <c r="TCR31" s="71"/>
      <c r="TCS31" s="71"/>
      <c r="TCT31" s="71"/>
      <c r="TCU31" s="71"/>
      <c r="TCV31" s="71"/>
      <c r="TCW31" s="71"/>
      <c r="TCX31" s="71"/>
      <c r="TCY31" s="71"/>
      <c r="TCZ31" s="71"/>
      <c r="TDA31" s="71"/>
      <c r="TDB31" s="71"/>
      <c r="TDC31" s="71"/>
      <c r="TDD31" s="71"/>
      <c r="TDE31" s="71"/>
      <c r="TDF31" s="71"/>
      <c r="TDG31" s="71"/>
      <c r="TDH31" s="71"/>
      <c r="TDI31" s="71"/>
      <c r="TDJ31" s="71"/>
      <c r="TDK31" s="71"/>
      <c r="TDL31" s="71"/>
      <c r="TDM31" s="71"/>
      <c r="TDN31" s="71"/>
      <c r="TDO31" s="71"/>
      <c r="TDP31" s="71"/>
      <c r="TDQ31" s="71"/>
      <c r="TDR31" s="71"/>
      <c r="TDS31" s="71"/>
      <c r="TDT31" s="71"/>
      <c r="TDU31" s="71"/>
      <c r="TDV31" s="71"/>
      <c r="TDW31" s="71"/>
      <c r="TDX31" s="71"/>
      <c r="TDY31" s="71"/>
      <c r="TDZ31" s="71"/>
      <c r="TEA31" s="71"/>
      <c r="TEB31" s="71"/>
      <c r="TEC31" s="71"/>
      <c r="TED31" s="71"/>
      <c r="TEE31" s="71"/>
      <c r="TEF31" s="71"/>
      <c r="TEG31" s="71"/>
      <c r="TEH31" s="71"/>
      <c r="TEI31" s="71"/>
      <c r="TEJ31" s="71"/>
      <c r="TEK31" s="71"/>
      <c r="TEL31" s="71"/>
      <c r="TEM31" s="71"/>
      <c r="TEN31" s="71"/>
      <c r="TEO31" s="71"/>
      <c r="TEP31" s="71"/>
      <c r="TEQ31" s="71"/>
      <c r="TER31" s="71"/>
      <c r="TES31" s="71"/>
      <c r="TET31" s="71"/>
      <c r="TEU31" s="71"/>
      <c r="TEV31" s="71"/>
      <c r="TEW31" s="71"/>
      <c r="TEX31" s="71"/>
      <c r="TEY31" s="71"/>
      <c r="TEZ31" s="71"/>
      <c r="TFA31" s="71"/>
      <c r="TFB31" s="71"/>
      <c r="TFC31" s="71"/>
      <c r="TFD31" s="71"/>
      <c r="TFE31" s="71"/>
      <c r="TFF31" s="71"/>
      <c r="TFG31" s="71"/>
      <c r="TFH31" s="71"/>
      <c r="TFI31" s="71"/>
      <c r="TFJ31" s="71"/>
      <c r="TFK31" s="71"/>
      <c r="TFL31" s="71"/>
      <c r="TFM31" s="71"/>
      <c r="TFN31" s="71"/>
      <c r="TFO31" s="71"/>
      <c r="TFP31" s="71"/>
      <c r="TFQ31" s="71"/>
      <c r="TFR31" s="71"/>
      <c r="TFS31" s="71"/>
      <c r="TFT31" s="71"/>
      <c r="TFU31" s="71"/>
      <c r="TFV31" s="71"/>
      <c r="TFW31" s="71"/>
      <c r="TFX31" s="71"/>
      <c r="TFY31" s="71"/>
      <c r="TFZ31" s="71"/>
      <c r="TGA31" s="71"/>
      <c r="TGB31" s="71"/>
      <c r="TGC31" s="71"/>
      <c r="TGD31" s="71"/>
      <c r="TGE31" s="71"/>
      <c r="TGF31" s="71"/>
      <c r="TGG31" s="71"/>
      <c r="TGH31" s="71"/>
      <c r="TGI31" s="71"/>
      <c r="TGJ31" s="71"/>
      <c r="TGK31" s="71"/>
      <c r="TGL31" s="71"/>
      <c r="TGM31" s="71"/>
      <c r="TGN31" s="71"/>
      <c r="TGO31" s="71"/>
      <c r="TGP31" s="71"/>
      <c r="TGQ31" s="71"/>
      <c r="TGR31" s="71"/>
      <c r="TGS31" s="71"/>
      <c r="TGT31" s="71"/>
      <c r="TGU31" s="71"/>
      <c r="TGV31" s="71"/>
      <c r="TGW31" s="71"/>
      <c r="TGX31" s="71"/>
      <c r="TGY31" s="71"/>
      <c r="TGZ31" s="71"/>
      <c r="THA31" s="71"/>
      <c r="THB31" s="71"/>
      <c r="THC31" s="71"/>
      <c r="THD31" s="71"/>
      <c r="THE31" s="71"/>
      <c r="THF31" s="71"/>
      <c r="THG31" s="71"/>
      <c r="THH31" s="71"/>
      <c r="THI31" s="71"/>
      <c r="THJ31" s="71"/>
      <c r="THK31" s="71"/>
      <c r="THL31" s="71"/>
      <c r="THM31" s="71"/>
      <c r="THN31" s="71"/>
      <c r="THO31" s="71"/>
      <c r="THP31" s="71"/>
      <c r="THQ31" s="71"/>
      <c r="THR31" s="71"/>
      <c r="THS31" s="71"/>
      <c r="THT31" s="71"/>
      <c r="THU31" s="71"/>
      <c r="THV31" s="71"/>
      <c r="THW31" s="71"/>
      <c r="THX31" s="71"/>
      <c r="THY31" s="71"/>
      <c r="THZ31" s="71"/>
      <c r="TIA31" s="71"/>
      <c r="TIB31" s="71"/>
      <c r="TIC31" s="71"/>
      <c r="TID31" s="71"/>
      <c r="TIE31" s="71"/>
      <c r="TIF31" s="71"/>
      <c r="TIG31" s="71"/>
      <c r="TIH31" s="71"/>
      <c r="TII31" s="71"/>
      <c r="TIJ31" s="71"/>
      <c r="TIK31" s="71"/>
      <c r="TIL31" s="71"/>
      <c r="TIM31" s="71"/>
      <c r="TIN31" s="71"/>
      <c r="TIO31" s="71"/>
      <c r="TIP31" s="71"/>
      <c r="TIQ31" s="71"/>
      <c r="TIR31" s="71"/>
      <c r="TIS31" s="71"/>
      <c r="TIT31" s="71"/>
      <c r="TIU31" s="71"/>
      <c r="TIV31" s="71"/>
      <c r="TIW31" s="71"/>
      <c r="TIX31" s="71"/>
      <c r="TIY31" s="71"/>
      <c r="TIZ31" s="71"/>
      <c r="TJA31" s="71"/>
      <c r="TJB31" s="71"/>
      <c r="TJC31" s="71"/>
      <c r="TJD31" s="71"/>
      <c r="TJE31" s="71"/>
      <c r="TJF31" s="71"/>
      <c r="TJG31" s="71"/>
      <c r="TJH31" s="71"/>
      <c r="TJI31" s="71"/>
      <c r="TJJ31" s="71"/>
      <c r="TJK31" s="71"/>
      <c r="TJL31" s="71"/>
      <c r="TJM31" s="71"/>
      <c r="TJN31" s="71"/>
      <c r="TJO31" s="71"/>
      <c r="TJP31" s="71"/>
      <c r="TJQ31" s="71"/>
      <c r="TJR31" s="71"/>
      <c r="TJS31" s="71"/>
      <c r="TJT31" s="71"/>
      <c r="TJU31" s="71"/>
      <c r="TJV31" s="71"/>
      <c r="TJW31" s="71"/>
      <c r="TJX31" s="71"/>
      <c r="TJY31" s="71"/>
      <c r="TJZ31" s="71"/>
      <c r="TKA31" s="71"/>
      <c r="TKB31" s="71"/>
      <c r="TKC31" s="71"/>
      <c r="TKD31" s="71"/>
      <c r="TKE31" s="71"/>
      <c r="TKF31" s="71"/>
      <c r="TKG31" s="71"/>
      <c r="TKH31" s="71"/>
      <c r="TKI31" s="71"/>
      <c r="TKJ31" s="71"/>
      <c r="TKK31" s="71"/>
      <c r="TKL31" s="71"/>
      <c r="TKM31" s="71"/>
      <c r="TKN31" s="71"/>
      <c r="TKO31" s="71"/>
      <c r="TKP31" s="71"/>
      <c r="TKQ31" s="71"/>
      <c r="TKR31" s="71"/>
      <c r="TKS31" s="71"/>
      <c r="TKT31" s="71"/>
      <c r="TKU31" s="71"/>
      <c r="TKV31" s="71"/>
      <c r="TKW31" s="71"/>
      <c r="TKX31" s="71"/>
      <c r="TKY31" s="71"/>
      <c r="TKZ31" s="71"/>
      <c r="TLA31" s="71"/>
      <c r="TLB31" s="71"/>
      <c r="TLC31" s="71"/>
      <c r="TLD31" s="71"/>
      <c r="TLE31" s="71"/>
      <c r="TLF31" s="71"/>
      <c r="TLG31" s="71"/>
      <c r="TLH31" s="71"/>
      <c r="TLI31" s="71"/>
      <c r="TLJ31" s="71"/>
      <c r="TLK31" s="71"/>
      <c r="TLL31" s="71"/>
      <c r="TLM31" s="71"/>
      <c r="TLN31" s="71"/>
      <c r="TLO31" s="71"/>
      <c r="TLP31" s="71"/>
      <c r="TLQ31" s="71"/>
      <c r="TLR31" s="71"/>
      <c r="TLS31" s="71"/>
      <c r="TLT31" s="71"/>
      <c r="TLU31" s="71"/>
      <c r="TLV31" s="71"/>
      <c r="TLW31" s="71"/>
      <c r="TLX31" s="71"/>
      <c r="TLY31" s="71"/>
      <c r="TLZ31" s="71"/>
      <c r="TMA31" s="71"/>
      <c r="TMB31" s="71"/>
      <c r="TMC31" s="71"/>
      <c r="TMD31" s="71"/>
      <c r="TME31" s="71"/>
      <c r="TMF31" s="71"/>
      <c r="TMG31" s="71"/>
      <c r="TMH31" s="71"/>
      <c r="TMI31" s="71"/>
      <c r="TMJ31" s="71"/>
      <c r="TMK31" s="71"/>
      <c r="TML31" s="71"/>
      <c r="TMM31" s="71"/>
      <c r="TMN31" s="71"/>
      <c r="TMO31" s="71"/>
      <c r="TMP31" s="71"/>
      <c r="TMQ31" s="71"/>
      <c r="TMR31" s="71"/>
      <c r="TMS31" s="71"/>
      <c r="TMT31" s="71"/>
      <c r="TMU31" s="71"/>
      <c r="TMV31" s="71"/>
      <c r="TMW31" s="71"/>
      <c r="TMX31" s="71"/>
      <c r="TMY31" s="71"/>
      <c r="TMZ31" s="71"/>
      <c r="TNA31" s="71"/>
      <c r="TNB31" s="71"/>
      <c r="TNC31" s="71"/>
      <c r="TND31" s="71"/>
      <c r="TNE31" s="71"/>
      <c r="TNF31" s="71"/>
      <c r="TNG31" s="71"/>
      <c r="TNH31" s="71"/>
      <c r="TNI31" s="71"/>
      <c r="TNJ31" s="71"/>
      <c r="TNK31" s="71"/>
      <c r="TNL31" s="71"/>
      <c r="TNM31" s="71"/>
      <c r="TNN31" s="71"/>
      <c r="TNO31" s="71"/>
      <c r="TNP31" s="71"/>
      <c r="TNQ31" s="71"/>
      <c r="TNR31" s="71"/>
      <c r="TNS31" s="71"/>
      <c r="TNT31" s="71"/>
      <c r="TNU31" s="71"/>
      <c r="TNV31" s="71"/>
      <c r="TNW31" s="71"/>
      <c r="TNX31" s="71"/>
      <c r="TNY31" s="71"/>
      <c r="TNZ31" s="71"/>
      <c r="TOA31" s="71"/>
      <c r="TOB31" s="71"/>
      <c r="TOC31" s="71"/>
      <c r="TOD31" s="71"/>
      <c r="TOE31" s="71"/>
      <c r="TOF31" s="71"/>
      <c r="TOG31" s="71"/>
      <c r="TOH31" s="71"/>
      <c r="TOI31" s="71"/>
      <c r="TOJ31" s="71"/>
      <c r="TOK31" s="71"/>
      <c r="TOL31" s="71"/>
      <c r="TOM31" s="71"/>
      <c r="TON31" s="71"/>
      <c r="TOO31" s="71"/>
      <c r="TOP31" s="71"/>
      <c r="TOQ31" s="71"/>
      <c r="TOR31" s="71"/>
      <c r="TOS31" s="71"/>
      <c r="TOT31" s="71"/>
      <c r="TOU31" s="71"/>
      <c r="TOV31" s="71"/>
      <c r="TOW31" s="71"/>
      <c r="TOX31" s="71"/>
      <c r="TOY31" s="71"/>
      <c r="TOZ31" s="71"/>
      <c r="TPA31" s="71"/>
      <c r="TPB31" s="71"/>
      <c r="TPC31" s="71"/>
      <c r="TPD31" s="71"/>
      <c r="TPE31" s="71"/>
      <c r="TPF31" s="71"/>
      <c r="TPG31" s="71"/>
      <c r="TPH31" s="71"/>
      <c r="TPI31" s="71"/>
      <c r="TPJ31" s="71"/>
      <c r="TPK31" s="71"/>
      <c r="TPL31" s="71"/>
      <c r="TPM31" s="71"/>
      <c r="TPN31" s="71"/>
      <c r="TPO31" s="71"/>
      <c r="TPP31" s="71"/>
      <c r="TPQ31" s="71"/>
      <c r="TPR31" s="71"/>
      <c r="TPS31" s="71"/>
      <c r="TPT31" s="71"/>
      <c r="TPU31" s="71"/>
      <c r="TPV31" s="71"/>
      <c r="TPW31" s="71"/>
      <c r="TPX31" s="71"/>
      <c r="TPY31" s="71"/>
      <c r="TPZ31" s="71"/>
      <c r="TQA31" s="71"/>
      <c r="TQB31" s="71"/>
      <c r="TQC31" s="71"/>
      <c r="TQD31" s="71"/>
      <c r="TQE31" s="71"/>
      <c r="TQF31" s="71"/>
      <c r="TQG31" s="71"/>
      <c r="TQH31" s="71"/>
      <c r="TQI31" s="71"/>
      <c r="TQJ31" s="71"/>
      <c r="TQK31" s="71"/>
      <c r="TQL31" s="71"/>
      <c r="TQM31" s="71"/>
      <c r="TQN31" s="71"/>
      <c r="TQO31" s="71"/>
      <c r="TQP31" s="71"/>
      <c r="TQQ31" s="71"/>
      <c r="TQR31" s="71"/>
      <c r="TQS31" s="71"/>
      <c r="TQT31" s="71"/>
      <c r="TQU31" s="71"/>
      <c r="TQV31" s="71"/>
      <c r="TQW31" s="71"/>
      <c r="TQX31" s="71"/>
      <c r="TQY31" s="71"/>
      <c r="TQZ31" s="71"/>
      <c r="TRA31" s="71"/>
      <c r="TRB31" s="71"/>
      <c r="TRC31" s="71"/>
      <c r="TRD31" s="71"/>
      <c r="TRE31" s="71"/>
      <c r="TRF31" s="71"/>
      <c r="TRG31" s="71"/>
      <c r="TRH31" s="71"/>
      <c r="TRI31" s="71"/>
      <c r="TRJ31" s="71"/>
      <c r="TRK31" s="71"/>
      <c r="TRL31" s="71"/>
      <c r="TRM31" s="71"/>
      <c r="TRN31" s="71"/>
      <c r="TRO31" s="71"/>
      <c r="TRP31" s="71"/>
      <c r="TRQ31" s="71"/>
      <c r="TRR31" s="71"/>
      <c r="TRS31" s="71"/>
      <c r="TRT31" s="71"/>
      <c r="TRU31" s="71"/>
      <c r="TRV31" s="71"/>
      <c r="TRW31" s="71"/>
      <c r="TRX31" s="71"/>
      <c r="TRY31" s="71"/>
      <c r="TRZ31" s="71"/>
      <c r="TSA31" s="71"/>
      <c r="TSB31" s="71"/>
      <c r="TSC31" s="71"/>
      <c r="TSD31" s="71"/>
      <c r="TSE31" s="71"/>
      <c r="TSF31" s="71"/>
      <c r="TSG31" s="71"/>
      <c r="TSH31" s="71"/>
      <c r="TSI31" s="71"/>
      <c r="TSJ31" s="71"/>
      <c r="TSK31" s="71"/>
      <c r="TSL31" s="71"/>
      <c r="TSM31" s="71"/>
      <c r="TSN31" s="71"/>
      <c r="TSO31" s="71"/>
      <c r="TSP31" s="71"/>
      <c r="TSQ31" s="71"/>
      <c r="TSR31" s="71"/>
      <c r="TSS31" s="71"/>
      <c r="TST31" s="71"/>
      <c r="TSU31" s="71"/>
      <c r="TSV31" s="71"/>
      <c r="TSW31" s="71"/>
      <c r="TSX31" s="71"/>
      <c r="TSY31" s="71"/>
      <c r="TSZ31" s="71"/>
      <c r="TTA31" s="71"/>
      <c r="TTB31" s="71"/>
      <c r="TTC31" s="71"/>
      <c r="TTD31" s="71"/>
      <c r="TTE31" s="71"/>
      <c r="TTF31" s="71"/>
      <c r="TTG31" s="71"/>
      <c r="TTH31" s="71"/>
      <c r="TTI31" s="71"/>
      <c r="TTJ31" s="71"/>
      <c r="TTK31" s="71"/>
      <c r="TTL31" s="71"/>
      <c r="TTM31" s="71"/>
      <c r="TTN31" s="71"/>
      <c r="TTO31" s="71"/>
      <c r="TTP31" s="71"/>
      <c r="TTQ31" s="71"/>
      <c r="TTR31" s="71"/>
      <c r="TTS31" s="71"/>
      <c r="TTT31" s="71"/>
      <c r="TTU31" s="71"/>
      <c r="TTV31" s="71"/>
      <c r="TTW31" s="71"/>
      <c r="TTX31" s="71"/>
      <c r="TTY31" s="71"/>
      <c r="TTZ31" s="71"/>
      <c r="TUA31" s="71"/>
      <c r="TUB31" s="71"/>
      <c r="TUC31" s="71"/>
      <c r="TUD31" s="71"/>
      <c r="TUE31" s="71"/>
      <c r="TUF31" s="71"/>
      <c r="TUG31" s="71"/>
      <c r="TUH31" s="71"/>
      <c r="TUI31" s="71"/>
      <c r="TUJ31" s="71"/>
      <c r="TUK31" s="71"/>
      <c r="TUL31" s="71"/>
      <c r="TUM31" s="71"/>
      <c r="TUN31" s="71"/>
      <c r="TUO31" s="71"/>
      <c r="TUP31" s="71"/>
      <c r="TUQ31" s="71"/>
      <c r="TUR31" s="71"/>
      <c r="TUS31" s="71"/>
      <c r="TUT31" s="71"/>
      <c r="TUU31" s="71"/>
      <c r="TUV31" s="71"/>
      <c r="TUW31" s="71"/>
      <c r="TUX31" s="71"/>
      <c r="TUY31" s="71"/>
      <c r="TUZ31" s="71"/>
      <c r="TVA31" s="71"/>
      <c r="TVB31" s="71"/>
      <c r="TVC31" s="71"/>
      <c r="TVD31" s="71"/>
      <c r="TVE31" s="71"/>
      <c r="TVF31" s="71"/>
      <c r="TVG31" s="71"/>
      <c r="TVH31" s="71"/>
      <c r="TVI31" s="71"/>
      <c r="TVJ31" s="71"/>
      <c r="TVK31" s="71"/>
      <c r="TVL31" s="71"/>
      <c r="TVM31" s="71"/>
      <c r="TVN31" s="71"/>
      <c r="TVO31" s="71"/>
      <c r="TVP31" s="71"/>
      <c r="TVQ31" s="71"/>
      <c r="TVR31" s="71"/>
      <c r="TVS31" s="71"/>
      <c r="TVT31" s="71"/>
      <c r="TVU31" s="71"/>
      <c r="TVV31" s="71"/>
      <c r="TVW31" s="71"/>
      <c r="TVX31" s="71"/>
      <c r="TVY31" s="71"/>
      <c r="TVZ31" s="71"/>
      <c r="TWA31" s="71"/>
      <c r="TWB31" s="71"/>
      <c r="TWC31" s="71"/>
      <c r="TWD31" s="71"/>
      <c r="TWE31" s="71"/>
      <c r="TWF31" s="71"/>
      <c r="TWG31" s="71"/>
      <c r="TWH31" s="71"/>
      <c r="TWI31" s="71"/>
      <c r="TWJ31" s="71"/>
      <c r="TWK31" s="71"/>
      <c r="TWL31" s="71"/>
      <c r="TWM31" s="71"/>
      <c r="TWN31" s="71"/>
      <c r="TWO31" s="71"/>
      <c r="TWP31" s="71"/>
      <c r="TWQ31" s="71"/>
      <c r="TWR31" s="71"/>
      <c r="TWS31" s="71"/>
      <c r="TWT31" s="71"/>
      <c r="TWU31" s="71"/>
      <c r="TWV31" s="71"/>
      <c r="TWW31" s="71"/>
      <c r="TWX31" s="71"/>
      <c r="TWY31" s="71"/>
      <c r="TWZ31" s="71"/>
      <c r="TXA31" s="71"/>
      <c r="TXB31" s="71"/>
      <c r="TXC31" s="71"/>
      <c r="TXD31" s="71"/>
      <c r="TXE31" s="71"/>
      <c r="TXF31" s="71"/>
      <c r="TXG31" s="71"/>
      <c r="TXH31" s="71"/>
      <c r="TXI31" s="71"/>
      <c r="TXJ31" s="71"/>
      <c r="TXK31" s="71"/>
      <c r="TXL31" s="71"/>
      <c r="TXM31" s="71"/>
      <c r="TXN31" s="71"/>
      <c r="TXO31" s="71"/>
      <c r="TXP31" s="71"/>
      <c r="TXQ31" s="71"/>
      <c r="TXR31" s="71"/>
      <c r="TXS31" s="71"/>
      <c r="TXT31" s="71"/>
      <c r="TXU31" s="71"/>
      <c r="TXV31" s="71"/>
      <c r="TXW31" s="71"/>
      <c r="TXX31" s="71"/>
      <c r="TXY31" s="71"/>
      <c r="TXZ31" s="71"/>
      <c r="TYA31" s="71"/>
      <c r="TYB31" s="71"/>
      <c r="TYC31" s="71"/>
      <c r="TYD31" s="71"/>
      <c r="TYE31" s="71"/>
      <c r="TYF31" s="71"/>
      <c r="TYG31" s="71"/>
      <c r="TYH31" s="71"/>
      <c r="TYI31" s="71"/>
      <c r="TYJ31" s="71"/>
      <c r="TYK31" s="71"/>
      <c r="TYL31" s="71"/>
      <c r="TYM31" s="71"/>
      <c r="TYN31" s="71"/>
      <c r="TYO31" s="71"/>
      <c r="TYP31" s="71"/>
      <c r="TYQ31" s="71"/>
      <c r="TYR31" s="71"/>
      <c r="TYS31" s="71"/>
      <c r="TYT31" s="71"/>
      <c r="TYU31" s="71"/>
      <c r="TYV31" s="71"/>
      <c r="TYW31" s="71"/>
      <c r="TYX31" s="71"/>
      <c r="TYY31" s="71"/>
      <c r="TYZ31" s="71"/>
      <c r="TZA31" s="71"/>
      <c r="TZB31" s="71"/>
      <c r="TZC31" s="71"/>
      <c r="TZD31" s="71"/>
      <c r="TZE31" s="71"/>
      <c r="TZF31" s="71"/>
      <c r="TZG31" s="71"/>
      <c r="TZH31" s="71"/>
      <c r="TZI31" s="71"/>
      <c r="TZJ31" s="71"/>
      <c r="TZK31" s="71"/>
      <c r="TZL31" s="71"/>
      <c r="TZM31" s="71"/>
      <c r="TZN31" s="71"/>
      <c r="TZO31" s="71"/>
      <c r="TZP31" s="71"/>
      <c r="TZQ31" s="71"/>
      <c r="TZR31" s="71"/>
      <c r="TZS31" s="71"/>
      <c r="TZT31" s="71"/>
      <c r="TZU31" s="71"/>
      <c r="TZV31" s="71"/>
      <c r="TZW31" s="71"/>
      <c r="TZX31" s="71"/>
      <c r="TZY31" s="71"/>
      <c r="TZZ31" s="71"/>
      <c r="UAA31" s="71"/>
      <c r="UAB31" s="71"/>
      <c r="UAC31" s="71"/>
      <c r="UAD31" s="71"/>
      <c r="UAE31" s="71"/>
      <c r="UAF31" s="71"/>
      <c r="UAG31" s="71"/>
      <c r="UAH31" s="71"/>
      <c r="UAI31" s="71"/>
      <c r="UAJ31" s="71"/>
      <c r="UAK31" s="71"/>
      <c r="UAL31" s="71"/>
      <c r="UAM31" s="71"/>
      <c r="UAN31" s="71"/>
      <c r="UAO31" s="71"/>
      <c r="UAP31" s="71"/>
      <c r="UAQ31" s="71"/>
      <c r="UAR31" s="71"/>
      <c r="UAS31" s="71"/>
      <c r="UAT31" s="71"/>
      <c r="UAU31" s="71"/>
      <c r="UAV31" s="71"/>
      <c r="UAW31" s="71"/>
      <c r="UAX31" s="71"/>
      <c r="UAY31" s="71"/>
      <c r="UAZ31" s="71"/>
      <c r="UBA31" s="71"/>
      <c r="UBB31" s="71"/>
      <c r="UBC31" s="71"/>
      <c r="UBD31" s="71"/>
      <c r="UBE31" s="71"/>
      <c r="UBF31" s="71"/>
      <c r="UBG31" s="71"/>
      <c r="UBH31" s="71"/>
      <c r="UBI31" s="71"/>
      <c r="UBJ31" s="71"/>
      <c r="UBK31" s="71"/>
      <c r="UBL31" s="71"/>
      <c r="UBM31" s="71"/>
      <c r="UBN31" s="71"/>
      <c r="UBO31" s="71"/>
      <c r="UBP31" s="71"/>
      <c r="UBQ31" s="71"/>
      <c r="UBR31" s="71"/>
      <c r="UBS31" s="71"/>
      <c r="UBT31" s="71"/>
      <c r="UBU31" s="71"/>
      <c r="UBV31" s="71"/>
      <c r="UBW31" s="71"/>
      <c r="UBX31" s="71"/>
      <c r="UBY31" s="71"/>
      <c r="UBZ31" s="71"/>
      <c r="UCA31" s="71"/>
      <c r="UCB31" s="71"/>
      <c r="UCC31" s="71"/>
      <c r="UCD31" s="71"/>
      <c r="UCE31" s="71"/>
      <c r="UCF31" s="71"/>
      <c r="UCG31" s="71"/>
      <c r="UCH31" s="71"/>
      <c r="UCI31" s="71"/>
      <c r="UCJ31" s="71"/>
      <c r="UCK31" s="71"/>
      <c r="UCL31" s="71"/>
      <c r="UCM31" s="71"/>
      <c r="UCN31" s="71"/>
      <c r="UCO31" s="71"/>
      <c r="UCP31" s="71"/>
      <c r="UCQ31" s="71"/>
      <c r="UCR31" s="71"/>
      <c r="UCS31" s="71"/>
      <c r="UCT31" s="71"/>
      <c r="UCU31" s="71"/>
      <c r="UCV31" s="71"/>
      <c r="UCW31" s="71"/>
      <c r="UCX31" s="71"/>
      <c r="UCY31" s="71"/>
      <c r="UCZ31" s="71"/>
      <c r="UDA31" s="71"/>
      <c r="UDB31" s="71"/>
      <c r="UDC31" s="71"/>
      <c r="UDD31" s="71"/>
      <c r="UDE31" s="71"/>
      <c r="UDF31" s="71"/>
      <c r="UDG31" s="71"/>
      <c r="UDH31" s="71"/>
      <c r="UDI31" s="71"/>
      <c r="UDJ31" s="71"/>
      <c r="UDK31" s="71"/>
      <c r="UDL31" s="71"/>
      <c r="UDM31" s="71"/>
      <c r="UDN31" s="71"/>
      <c r="UDO31" s="71"/>
      <c r="UDP31" s="71"/>
      <c r="UDQ31" s="71"/>
      <c r="UDR31" s="71"/>
      <c r="UDS31" s="71"/>
      <c r="UDT31" s="71"/>
      <c r="UDU31" s="71"/>
      <c r="UDV31" s="71"/>
      <c r="UDW31" s="71"/>
      <c r="UDX31" s="71"/>
      <c r="UDY31" s="71"/>
      <c r="UDZ31" s="71"/>
      <c r="UEA31" s="71"/>
      <c r="UEB31" s="71"/>
      <c r="UEC31" s="71"/>
      <c r="UED31" s="71"/>
      <c r="UEE31" s="71"/>
      <c r="UEF31" s="71"/>
      <c r="UEG31" s="71"/>
      <c r="UEH31" s="71"/>
      <c r="UEI31" s="71"/>
      <c r="UEJ31" s="71"/>
      <c r="UEK31" s="71"/>
      <c r="UEL31" s="71"/>
      <c r="UEM31" s="71"/>
      <c r="UEN31" s="71"/>
      <c r="UEO31" s="71"/>
      <c r="UEP31" s="71"/>
      <c r="UEQ31" s="71"/>
      <c r="UER31" s="71"/>
      <c r="UES31" s="71"/>
      <c r="UET31" s="71"/>
      <c r="UEU31" s="71"/>
      <c r="UEV31" s="71"/>
      <c r="UEW31" s="71"/>
      <c r="UEX31" s="71"/>
      <c r="UEY31" s="71"/>
      <c r="UEZ31" s="71"/>
      <c r="UFA31" s="71"/>
      <c r="UFB31" s="71"/>
      <c r="UFC31" s="71"/>
      <c r="UFD31" s="71"/>
      <c r="UFE31" s="71"/>
      <c r="UFF31" s="71"/>
      <c r="UFG31" s="71"/>
      <c r="UFH31" s="71"/>
      <c r="UFI31" s="71"/>
      <c r="UFJ31" s="71"/>
      <c r="UFK31" s="71"/>
      <c r="UFL31" s="71"/>
      <c r="UFM31" s="71"/>
      <c r="UFN31" s="71"/>
      <c r="UFO31" s="71"/>
      <c r="UFP31" s="71"/>
      <c r="UFQ31" s="71"/>
      <c r="UFR31" s="71"/>
      <c r="UFS31" s="71"/>
      <c r="UFT31" s="71"/>
      <c r="UFU31" s="71"/>
      <c r="UFV31" s="71"/>
      <c r="UFW31" s="71"/>
      <c r="UFX31" s="71"/>
      <c r="UFY31" s="71"/>
      <c r="UFZ31" s="71"/>
      <c r="UGA31" s="71"/>
      <c r="UGB31" s="71"/>
      <c r="UGC31" s="71"/>
      <c r="UGD31" s="71"/>
      <c r="UGE31" s="71"/>
      <c r="UGF31" s="71"/>
      <c r="UGG31" s="71"/>
      <c r="UGH31" s="71"/>
      <c r="UGI31" s="71"/>
      <c r="UGJ31" s="71"/>
      <c r="UGK31" s="71"/>
      <c r="UGL31" s="71"/>
      <c r="UGM31" s="71"/>
      <c r="UGN31" s="71"/>
      <c r="UGO31" s="71"/>
      <c r="UGP31" s="71"/>
      <c r="UGQ31" s="71"/>
      <c r="UGR31" s="71"/>
      <c r="UGS31" s="71"/>
      <c r="UGT31" s="71"/>
      <c r="UGU31" s="71"/>
      <c r="UGV31" s="71"/>
      <c r="UGW31" s="71"/>
      <c r="UGX31" s="71"/>
      <c r="UGY31" s="71"/>
      <c r="UGZ31" s="71"/>
      <c r="UHA31" s="71"/>
      <c r="UHB31" s="71"/>
      <c r="UHC31" s="71"/>
      <c r="UHD31" s="71"/>
      <c r="UHE31" s="71"/>
      <c r="UHF31" s="71"/>
      <c r="UHG31" s="71"/>
      <c r="UHH31" s="71"/>
      <c r="UHI31" s="71"/>
      <c r="UHJ31" s="71"/>
      <c r="UHK31" s="71"/>
      <c r="UHL31" s="71"/>
      <c r="UHM31" s="71"/>
      <c r="UHN31" s="71"/>
      <c r="UHO31" s="71"/>
      <c r="UHP31" s="71"/>
      <c r="UHQ31" s="71"/>
      <c r="UHR31" s="71"/>
      <c r="UHS31" s="71"/>
      <c r="UHT31" s="71"/>
      <c r="UHU31" s="71"/>
      <c r="UHV31" s="71"/>
      <c r="UHW31" s="71"/>
      <c r="UHX31" s="71"/>
      <c r="UHY31" s="71"/>
      <c r="UHZ31" s="71"/>
      <c r="UIA31" s="71"/>
      <c r="UIB31" s="71"/>
      <c r="UIC31" s="71"/>
      <c r="UID31" s="71"/>
      <c r="UIE31" s="71"/>
      <c r="UIF31" s="71"/>
      <c r="UIG31" s="71"/>
      <c r="UIH31" s="71"/>
      <c r="UII31" s="71"/>
      <c r="UIJ31" s="71"/>
      <c r="UIK31" s="71"/>
      <c r="UIL31" s="71"/>
      <c r="UIM31" s="71"/>
      <c r="UIN31" s="71"/>
      <c r="UIO31" s="71"/>
      <c r="UIP31" s="71"/>
      <c r="UIQ31" s="71"/>
      <c r="UIR31" s="71"/>
      <c r="UIS31" s="71"/>
      <c r="UIT31" s="71"/>
      <c r="UIU31" s="71"/>
      <c r="UIV31" s="71"/>
      <c r="UIW31" s="71"/>
      <c r="UIX31" s="71"/>
      <c r="UIY31" s="71"/>
      <c r="UIZ31" s="71"/>
      <c r="UJA31" s="71"/>
      <c r="UJB31" s="71"/>
      <c r="UJC31" s="71"/>
      <c r="UJD31" s="71"/>
      <c r="UJE31" s="71"/>
      <c r="UJF31" s="71"/>
      <c r="UJG31" s="71"/>
      <c r="UJH31" s="71"/>
      <c r="UJI31" s="71"/>
      <c r="UJJ31" s="71"/>
      <c r="UJK31" s="71"/>
      <c r="UJL31" s="71"/>
      <c r="UJM31" s="71"/>
      <c r="UJN31" s="71"/>
      <c r="UJO31" s="71"/>
      <c r="UJP31" s="71"/>
      <c r="UJQ31" s="71"/>
      <c r="UJR31" s="71"/>
      <c r="UJS31" s="71"/>
      <c r="UJT31" s="71"/>
      <c r="UJU31" s="71"/>
      <c r="UJV31" s="71"/>
      <c r="UJW31" s="71"/>
      <c r="UJX31" s="71"/>
      <c r="UJY31" s="71"/>
      <c r="UJZ31" s="71"/>
      <c r="UKA31" s="71"/>
      <c r="UKB31" s="71"/>
      <c r="UKC31" s="71"/>
      <c r="UKD31" s="71"/>
      <c r="UKE31" s="71"/>
      <c r="UKF31" s="71"/>
      <c r="UKG31" s="71"/>
      <c r="UKH31" s="71"/>
      <c r="UKI31" s="71"/>
      <c r="UKJ31" s="71"/>
      <c r="UKK31" s="71"/>
      <c r="UKL31" s="71"/>
      <c r="UKM31" s="71"/>
      <c r="UKN31" s="71"/>
      <c r="UKO31" s="71"/>
      <c r="UKP31" s="71"/>
      <c r="UKQ31" s="71"/>
      <c r="UKR31" s="71"/>
      <c r="UKS31" s="71"/>
      <c r="UKT31" s="71"/>
      <c r="UKU31" s="71"/>
      <c r="UKV31" s="71"/>
      <c r="UKW31" s="71"/>
      <c r="UKX31" s="71"/>
      <c r="UKY31" s="71"/>
      <c r="UKZ31" s="71"/>
      <c r="ULA31" s="71"/>
      <c r="ULB31" s="71"/>
      <c r="ULC31" s="71"/>
      <c r="ULD31" s="71"/>
      <c r="ULE31" s="71"/>
      <c r="ULF31" s="71"/>
      <c r="ULG31" s="71"/>
      <c r="ULH31" s="71"/>
      <c r="ULI31" s="71"/>
      <c r="ULJ31" s="71"/>
      <c r="ULK31" s="71"/>
      <c r="ULL31" s="71"/>
      <c r="ULM31" s="71"/>
      <c r="ULN31" s="71"/>
      <c r="ULO31" s="71"/>
      <c r="ULP31" s="71"/>
      <c r="ULQ31" s="71"/>
      <c r="ULR31" s="71"/>
      <c r="ULS31" s="71"/>
      <c r="ULT31" s="71"/>
      <c r="ULU31" s="71"/>
      <c r="ULV31" s="71"/>
      <c r="ULW31" s="71"/>
      <c r="ULX31" s="71"/>
      <c r="ULY31" s="71"/>
      <c r="ULZ31" s="71"/>
      <c r="UMA31" s="71"/>
      <c r="UMB31" s="71"/>
      <c r="UMC31" s="71"/>
      <c r="UMD31" s="71"/>
      <c r="UME31" s="71"/>
      <c r="UMF31" s="71"/>
      <c r="UMG31" s="71"/>
      <c r="UMH31" s="71"/>
      <c r="UMI31" s="71"/>
      <c r="UMJ31" s="71"/>
      <c r="UMK31" s="71"/>
      <c r="UML31" s="71"/>
      <c r="UMM31" s="71"/>
      <c r="UMN31" s="71"/>
      <c r="UMO31" s="71"/>
      <c r="UMP31" s="71"/>
      <c r="UMQ31" s="71"/>
      <c r="UMR31" s="71"/>
      <c r="UMS31" s="71"/>
      <c r="UMT31" s="71"/>
      <c r="UMU31" s="71"/>
      <c r="UMV31" s="71"/>
      <c r="UMW31" s="71"/>
      <c r="UMX31" s="71"/>
      <c r="UMY31" s="71"/>
      <c r="UMZ31" s="71"/>
      <c r="UNA31" s="71"/>
      <c r="UNB31" s="71"/>
      <c r="UNC31" s="71"/>
      <c r="UND31" s="71"/>
      <c r="UNE31" s="71"/>
      <c r="UNF31" s="71"/>
      <c r="UNG31" s="71"/>
      <c r="UNH31" s="71"/>
      <c r="UNI31" s="71"/>
      <c r="UNJ31" s="71"/>
      <c r="UNK31" s="71"/>
      <c r="UNL31" s="71"/>
      <c r="UNM31" s="71"/>
      <c r="UNN31" s="71"/>
      <c r="UNO31" s="71"/>
      <c r="UNP31" s="71"/>
      <c r="UNQ31" s="71"/>
      <c r="UNR31" s="71"/>
      <c r="UNS31" s="71"/>
      <c r="UNT31" s="71"/>
      <c r="UNU31" s="71"/>
      <c r="UNV31" s="71"/>
      <c r="UNW31" s="71"/>
      <c r="UNX31" s="71"/>
      <c r="UNY31" s="71"/>
      <c r="UNZ31" s="71"/>
      <c r="UOA31" s="71"/>
      <c r="UOB31" s="71"/>
      <c r="UOC31" s="71"/>
      <c r="UOD31" s="71"/>
      <c r="UOE31" s="71"/>
      <c r="UOF31" s="71"/>
      <c r="UOG31" s="71"/>
      <c r="UOH31" s="71"/>
      <c r="UOI31" s="71"/>
      <c r="UOJ31" s="71"/>
      <c r="UOK31" s="71"/>
      <c r="UOL31" s="71"/>
      <c r="UOM31" s="71"/>
      <c r="UON31" s="71"/>
      <c r="UOO31" s="71"/>
      <c r="UOP31" s="71"/>
      <c r="UOQ31" s="71"/>
      <c r="UOR31" s="71"/>
      <c r="UOS31" s="71"/>
      <c r="UOT31" s="71"/>
      <c r="UOU31" s="71"/>
      <c r="UOV31" s="71"/>
      <c r="UOW31" s="71"/>
      <c r="UOX31" s="71"/>
      <c r="UOY31" s="71"/>
      <c r="UOZ31" s="71"/>
      <c r="UPA31" s="71"/>
      <c r="UPB31" s="71"/>
      <c r="UPC31" s="71"/>
      <c r="UPD31" s="71"/>
      <c r="UPE31" s="71"/>
      <c r="UPF31" s="71"/>
      <c r="UPG31" s="71"/>
      <c r="UPH31" s="71"/>
      <c r="UPI31" s="71"/>
      <c r="UPJ31" s="71"/>
      <c r="UPK31" s="71"/>
      <c r="UPL31" s="71"/>
      <c r="UPM31" s="71"/>
      <c r="UPN31" s="71"/>
      <c r="UPO31" s="71"/>
      <c r="UPP31" s="71"/>
      <c r="UPQ31" s="71"/>
      <c r="UPR31" s="71"/>
      <c r="UPS31" s="71"/>
      <c r="UPT31" s="71"/>
      <c r="UPU31" s="71"/>
      <c r="UPV31" s="71"/>
      <c r="UPW31" s="71"/>
      <c r="UPX31" s="71"/>
      <c r="UPY31" s="71"/>
      <c r="UPZ31" s="71"/>
      <c r="UQA31" s="71"/>
      <c r="UQB31" s="71"/>
      <c r="UQC31" s="71"/>
      <c r="UQD31" s="71"/>
      <c r="UQE31" s="71"/>
      <c r="UQF31" s="71"/>
      <c r="UQG31" s="71"/>
      <c r="UQH31" s="71"/>
      <c r="UQI31" s="71"/>
      <c r="UQJ31" s="71"/>
      <c r="UQK31" s="71"/>
      <c r="UQL31" s="71"/>
      <c r="UQM31" s="71"/>
      <c r="UQN31" s="71"/>
      <c r="UQO31" s="71"/>
      <c r="UQP31" s="71"/>
      <c r="UQQ31" s="71"/>
      <c r="UQR31" s="71"/>
      <c r="UQS31" s="71"/>
      <c r="UQT31" s="71"/>
      <c r="UQU31" s="71"/>
      <c r="UQV31" s="71"/>
      <c r="UQW31" s="71"/>
      <c r="UQX31" s="71"/>
      <c r="UQY31" s="71"/>
      <c r="UQZ31" s="71"/>
      <c r="URA31" s="71"/>
      <c r="URB31" s="71"/>
      <c r="URC31" s="71"/>
      <c r="URD31" s="71"/>
      <c r="URE31" s="71"/>
      <c r="URF31" s="71"/>
      <c r="URG31" s="71"/>
      <c r="URH31" s="71"/>
      <c r="URI31" s="71"/>
      <c r="URJ31" s="71"/>
      <c r="URK31" s="71"/>
      <c r="URL31" s="71"/>
      <c r="URM31" s="71"/>
      <c r="URN31" s="71"/>
      <c r="URO31" s="71"/>
      <c r="URP31" s="71"/>
      <c r="URQ31" s="71"/>
      <c r="URR31" s="71"/>
      <c r="URS31" s="71"/>
      <c r="URT31" s="71"/>
      <c r="URU31" s="71"/>
      <c r="URV31" s="71"/>
      <c r="URW31" s="71"/>
      <c r="URX31" s="71"/>
      <c r="URY31" s="71"/>
      <c r="URZ31" s="71"/>
      <c r="USA31" s="71"/>
      <c r="USB31" s="71"/>
      <c r="USC31" s="71"/>
      <c r="USD31" s="71"/>
      <c r="USE31" s="71"/>
      <c r="USF31" s="71"/>
      <c r="USG31" s="71"/>
      <c r="USH31" s="71"/>
      <c r="USI31" s="71"/>
      <c r="USJ31" s="71"/>
      <c r="USK31" s="71"/>
      <c r="USL31" s="71"/>
      <c r="USM31" s="71"/>
      <c r="USN31" s="71"/>
      <c r="USO31" s="71"/>
      <c r="USP31" s="71"/>
      <c r="USQ31" s="71"/>
      <c r="USR31" s="71"/>
      <c r="USS31" s="71"/>
      <c r="UST31" s="71"/>
      <c r="USU31" s="71"/>
      <c r="USV31" s="71"/>
      <c r="USW31" s="71"/>
      <c r="USX31" s="71"/>
      <c r="USY31" s="71"/>
      <c r="USZ31" s="71"/>
      <c r="UTA31" s="71"/>
      <c r="UTB31" s="71"/>
      <c r="UTC31" s="71"/>
      <c r="UTD31" s="71"/>
      <c r="UTE31" s="71"/>
      <c r="UTF31" s="71"/>
      <c r="UTG31" s="71"/>
      <c r="UTH31" s="71"/>
      <c r="UTI31" s="71"/>
      <c r="UTJ31" s="71"/>
      <c r="UTK31" s="71"/>
      <c r="UTL31" s="71"/>
      <c r="UTM31" s="71"/>
      <c r="UTN31" s="71"/>
      <c r="UTO31" s="71"/>
      <c r="UTP31" s="71"/>
      <c r="UTQ31" s="71"/>
      <c r="UTR31" s="71"/>
      <c r="UTS31" s="71"/>
      <c r="UTT31" s="71"/>
      <c r="UTU31" s="71"/>
      <c r="UTV31" s="71"/>
      <c r="UTW31" s="71"/>
      <c r="UTX31" s="71"/>
      <c r="UTY31" s="71"/>
      <c r="UTZ31" s="71"/>
      <c r="UUA31" s="71"/>
      <c r="UUB31" s="71"/>
      <c r="UUC31" s="71"/>
      <c r="UUD31" s="71"/>
      <c r="UUE31" s="71"/>
      <c r="UUF31" s="71"/>
      <c r="UUG31" s="71"/>
      <c r="UUH31" s="71"/>
      <c r="UUI31" s="71"/>
      <c r="UUJ31" s="71"/>
      <c r="UUK31" s="71"/>
      <c r="UUL31" s="71"/>
      <c r="UUM31" s="71"/>
      <c r="UUN31" s="71"/>
      <c r="UUO31" s="71"/>
      <c r="UUP31" s="71"/>
      <c r="UUQ31" s="71"/>
      <c r="UUR31" s="71"/>
      <c r="UUS31" s="71"/>
      <c r="UUT31" s="71"/>
      <c r="UUU31" s="71"/>
      <c r="UUV31" s="71"/>
      <c r="UUW31" s="71"/>
      <c r="UUX31" s="71"/>
      <c r="UUY31" s="71"/>
      <c r="UUZ31" s="71"/>
      <c r="UVA31" s="71"/>
      <c r="UVB31" s="71"/>
      <c r="UVC31" s="71"/>
      <c r="UVD31" s="71"/>
      <c r="UVE31" s="71"/>
      <c r="UVF31" s="71"/>
      <c r="UVG31" s="71"/>
      <c r="UVH31" s="71"/>
      <c r="UVI31" s="71"/>
      <c r="UVJ31" s="71"/>
      <c r="UVK31" s="71"/>
      <c r="UVL31" s="71"/>
      <c r="UVM31" s="71"/>
      <c r="UVN31" s="71"/>
      <c r="UVO31" s="71"/>
      <c r="UVP31" s="71"/>
      <c r="UVQ31" s="71"/>
      <c r="UVR31" s="71"/>
      <c r="UVS31" s="71"/>
      <c r="UVT31" s="71"/>
      <c r="UVU31" s="71"/>
      <c r="UVV31" s="71"/>
      <c r="UVW31" s="71"/>
      <c r="UVX31" s="71"/>
      <c r="UVY31" s="71"/>
      <c r="UVZ31" s="71"/>
      <c r="UWA31" s="71"/>
      <c r="UWB31" s="71"/>
      <c r="UWC31" s="71"/>
      <c r="UWD31" s="71"/>
      <c r="UWE31" s="71"/>
      <c r="UWF31" s="71"/>
      <c r="UWG31" s="71"/>
      <c r="UWH31" s="71"/>
      <c r="UWI31" s="71"/>
      <c r="UWJ31" s="71"/>
      <c r="UWK31" s="71"/>
      <c r="UWL31" s="71"/>
      <c r="UWM31" s="71"/>
      <c r="UWN31" s="71"/>
      <c r="UWO31" s="71"/>
      <c r="UWP31" s="71"/>
      <c r="UWQ31" s="71"/>
      <c r="UWR31" s="71"/>
      <c r="UWS31" s="71"/>
      <c r="UWT31" s="71"/>
      <c r="UWU31" s="71"/>
      <c r="UWV31" s="71"/>
      <c r="UWW31" s="71"/>
      <c r="UWX31" s="71"/>
      <c r="UWY31" s="71"/>
      <c r="UWZ31" s="71"/>
      <c r="UXA31" s="71"/>
      <c r="UXB31" s="71"/>
      <c r="UXC31" s="71"/>
      <c r="UXD31" s="71"/>
      <c r="UXE31" s="71"/>
      <c r="UXF31" s="71"/>
      <c r="UXG31" s="71"/>
      <c r="UXH31" s="71"/>
      <c r="UXI31" s="71"/>
      <c r="UXJ31" s="71"/>
      <c r="UXK31" s="71"/>
      <c r="UXL31" s="71"/>
      <c r="UXM31" s="71"/>
      <c r="UXN31" s="71"/>
      <c r="UXO31" s="71"/>
      <c r="UXP31" s="71"/>
      <c r="UXQ31" s="71"/>
      <c r="UXR31" s="71"/>
      <c r="UXS31" s="71"/>
      <c r="UXT31" s="71"/>
      <c r="UXU31" s="71"/>
      <c r="UXV31" s="71"/>
      <c r="UXW31" s="71"/>
      <c r="UXX31" s="71"/>
      <c r="UXY31" s="71"/>
      <c r="UXZ31" s="71"/>
      <c r="UYA31" s="71"/>
      <c r="UYB31" s="71"/>
      <c r="UYC31" s="71"/>
      <c r="UYD31" s="71"/>
      <c r="UYE31" s="71"/>
      <c r="UYF31" s="71"/>
      <c r="UYG31" s="71"/>
      <c r="UYH31" s="71"/>
      <c r="UYI31" s="71"/>
      <c r="UYJ31" s="71"/>
      <c r="UYK31" s="71"/>
      <c r="UYL31" s="71"/>
      <c r="UYM31" s="71"/>
      <c r="UYN31" s="71"/>
      <c r="UYO31" s="71"/>
      <c r="UYP31" s="71"/>
      <c r="UYQ31" s="71"/>
      <c r="UYR31" s="71"/>
      <c r="UYS31" s="71"/>
      <c r="UYT31" s="71"/>
      <c r="UYU31" s="71"/>
      <c r="UYV31" s="71"/>
      <c r="UYW31" s="71"/>
      <c r="UYX31" s="71"/>
      <c r="UYY31" s="71"/>
      <c r="UYZ31" s="71"/>
      <c r="UZA31" s="71"/>
      <c r="UZB31" s="71"/>
      <c r="UZC31" s="71"/>
      <c r="UZD31" s="71"/>
      <c r="UZE31" s="71"/>
      <c r="UZF31" s="71"/>
      <c r="UZG31" s="71"/>
      <c r="UZH31" s="71"/>
      <c r="UZI31" s="71"/>
      <c r="UZJ31" s="71"/>
      <c r="UZK31" s="71"/>
      <c r="UZL31" s="71"/>
      <c r="UZM31" s="71"/>
      <c r="UZN31" s="71"/>
      <c r="UZO31" s="71"/>
      <c r="UZP31" s="71"/>
      <c r="UZQ31" s="71"/>
      <c r="UZR31" s="71"/>
      <c r="UZS31" s="71"/>
      <c r="UZT31" s="71"/>
      <c r="UZU31" s="71"/>
      <c r="UZV31" s="71"/>
      <c r="UZW31" s="71"/>
      <c r="UZX31" s="71"/>
      <c r="UZY31" s="71"/>
      <c r="UZZ31" s="71"/>
      <c r="VAA31" s="71"/>
      <c r="VAB31" s="71"/>
      <c r="VAC31" s="71"/>
      <c r="VAD31" s="71"/>
      <c r="VAE31" s="71"/>
      <c r="VAF31" s="71"/>
      <c r="VAG31" s="71"/>
      <c r="VAH31" s="71"/>
      <c r="VAI31" s="71"/>
      <c r="VAJ31" s="71"/>
      <c r="VAK31" s="71"/>
      <c r="VAL31" s="71"/>
      <c r="VAM31" s="71"/>
      <c r="VAN31" s="71"/>
      <c r="VAO31" s="71"/>
      <c r="VAP31" s="71"/>
      <c r="VAQ31" s="71"/>
      <c r="VAR31" s="71"/>
      <c r="VAS31" s="71"/>
      <c r="VAT31" s="71"/>
      <c r="VAU31" s="71"/>
      <c r="VAV31" s="71"/>
      <c r="VAW31" s="71"/>
      <c r="VAX31" s="71"/>
      <c r="VAY31" s="71"/>
      <c r="VAZ31" s="71"/>
      <c r="VBA31" s="71"/>
      <c r="VBB31" s="71"/>
      <c r="VBC31" s="71"/>
      <c r="VBD31" s="71"/>
      <c r="VBE31" s="71"/>
      <c r="VBF31" s="71"/>
      <c r="VBG31" s="71"/>
      <c r="VBH31" s="71"/>
      <c r="VBI31" s="71"/>
      <c r="VBJ31" s="71"/>
      <c r="VBK31" s="71"/>
      <c r="VBL31" s="71"/>
      <c r="VBM31" s="71"/>
      <c r="VBN31" s="71"/>
      <c r="VBO31" s="71"/>
      <c r="VBP31" s="71"/>
      <c r="VBQ31" s="71"/>
      <c r="VBR31" s="71"/>
      <c r="VBS31" s="71"/>
      <c r="VBT31" s="71"/>
      <c r="VBU31" s="71"/>
      <c r="VBV31" s="71"/>
      <c r="VBW31" s="71"/>
      <c r="VBX31" s="71"/>
      <c r="VBY31" s="71"/>
      <c r="VBZ31" s="71"/>
      <c r="VCA31" s="71"/>
      <c r="VCB31" s="71"/>
      <c r="VCC31" s="71"/>
      <c r="VCD31" s="71"/>
      <c r="VCE31" s="71"/>
      <c r="VCF31" s="71"/>
      <c r="VCG31" s="71"/>
      <c r="VCH31" s="71"/>
      <c r="VCI31" s="71"/>
      <c r="VCJ31" s="71"/>
      <c r="VCK31" s="71"/>
      <c r="VCL31" s="71"/>
      <c r="VCM31" s="71"/>
      <c r="VCN31" s="71"/>
      <c r="VCO31" s="71"/>
      <c r="VCP31" s="71"/>
      <c r="VCQ31" s="71"/>
      <c r="VCR31" s="71"/>
      <c r="VCS31" s="71"/>
      <c r="VCT31" s="71"/>
      <c r="VCU31" s="71"/>
      <c r="VCV31" s="71"/>
      <c r="VCW31" s="71"/>
      <c r="VCX31" s="71"/>
      <c r="VCY31" s="71"/>
      <c r="VCZ31" s="71"/>
      <c r="VDA31" s="71"/>
      <c r="VDB31" s="71"/>
      <c r="VDC31" s="71"/>
      <c r="VDD31" s="71"/>
      <c r="VDE31" s="71"/>
      <c r="VDF31" s="71"/>
      <c r="VDG31" s="71"/>
      <c r="VDH31" s="71"/>
      <c r="VDI31" s="71"/>
      <c r="VDJ31" s="71"/>
      <c r="VDK31" s="71"/>
      <c r="VDL31" s="71"/>
      <c r="VDM31" s="71"/>
      <c r="VDN31" s="71"/>
      <c r="VDO31" s="71"/>
      <c r="VDP31" s="71"/>
      <c r="VDQ31" s="71"/>
      <c r="VDR31" s="71"/>
      <c r="VDS31" s="71"/>
      <c r="VDT31" s="71"/>
      <c r="VDU31" s="71"/>
      <c r="VDV31" s="71"/>
      <c r="VDW31" s="71"/>
      <c r="VDX31" s="71"/>
      <c r="VDY31" s="71"/>
      <c r="VDZ31" s="71"/>
      <c r="VEA31" s="71"/>
      <c r="VEB31" s="71"/>
      <c r="VEC31" s="71"/>
      <c r="VED31" s="71"/>
      <c r="VEE31" s="71"/>
      <c r="VEF31" s="71"/>
      <c r="VEG31" s="71"/>
      <c r="VEH31" s="71"/>
      <c r="VEI31" s="71"/>
      <c r="VEJ31" s="71"/>
      <c r="VEK31" s="71"/>
      <c r="VEL31" s="71"/>
      <c r="VEM31" s="71"/>
      <c r="VEN31" s="71"/>
      <c r="VEO31" s="71"/>
      <c r="VEP31" s="71"/>
      <c r="VEQ31" s="71"/>
      <c r="VER31" s="71"/>
      <c r="VES31" s="71"/>
      <c r="VET31" s="71"/>
      <c r="VEU31" s="71"/>
      <c r="VEV31" s="71"/>
      <c r="VEW31" s="71"/>
      <c r="VEX31" s="71"/>
      <c r="VEY31" s="71"/>
      <c r="VEZ31" s="71"/>
      <c r="VFA31" s="71"/>
      <c r="VFB31" s="71"/>
      <c r="VFC31" s="71"/>
      <c r="VFD31" s="71"/>
      <c r="VFE31" s="71"/>
      <c r="VFF31" s="71"/>
      <c r="VFG31" s="71"/>
      <c r="VFH31" s="71"/>
      <c r="VFI31" s="71"/>
      <c r="VFJ31" s="71"/>
      <c r="VFK31" s="71"/>
      <c r="VFL31" s="71"/>
      <c r="VFM31" s="71"/>
      <c r="VFN31" s="71"/>
      <c r="VFO31" s="71"/>
      <c r="VFP31" s="71"/>
      <c r="VFQ31" s="71"/>
      <c r="VFR31" s="71"/>
      <c r="VFS31" s="71"/>
      <c r="VFT31" s="71"/>
      <c r="VFU31" s="71"/>
      <c r="VFV31" s="71"/>
      <c r="VFW31" s="71"/>
      <c r="VFX31" s="71"/>
      <c r="VFY31" s="71"/>
      <c r="VFZ31" s="71"/>
      <c r="VGA31" s="71"/>
      <c r="VGB31" s="71"/>
      <c r="VGC31" s="71"/>
      <c r="VGD31" s="71"/>
      <c r="VGE31" s="71"/>
      <c r="VGF31" s="71"/>
      <c r="VGG31" s="71"/>
      <c r="VGH31" s="71"/>
      <c r="VGI31" s="71"/>
      <c r="VGJ31" s="71"/>
      <c r="VGK31" s="71"/>
    </row>
    <row r="32" spans="1:15113" x14ac:dyDescent="0.25">
      <c r="B32" s="15"/>
      <c r="C32" s="14" t="s">
        <v>75</v>
      </c>
      <c r="D32" s="241">
        <f>D33+D34</f>
        <v>21429000</v>
      </c>
      <c r="E32" s="20" t="s">
        <v>14</v>
      </c>
      <c r="F32" s="33">
        <f>F33+F34</f>
        <v>636794</v>
      </c>
      <c r="G32" s="33">
        <f t="shared" ref="G32:I32" si="13">G33+G34</f>
        <v>705632</v>
      </c>
      <c r="H32" s="33">
        <f t="shared" si="13"/>
        <v>727663</v>
      </c>
      <c r="I32" s="33">
        <f t="shared" si="13"/>
        <v>1053776</v>
      </c>
      <c r="J32" s="33">
        <f t="shared" ref="J32:AJ32" si="14">J33+J34</f>
        <v>585552</v>
      </c>
      <c r="K32" s="33">
        <f t="shared" si="14"/>
        <v>632355</v>
      </c>
      <c r="L32" s="33">
        <f t="shared" si="14"/>
        <v>315146</v>
      </c>
      <c r="M32" s="33">
        <f t="shared" si="14"/>
        <v>0</v>
      </c>
      <c r="N32" s="33">
        <f t="shared" si="14"/>
        <v>392076</v>
      </c>
      <c r="O32" s="33">
        <f t="shared" si="14"/>
        <v>0</v>
      </c>
      <c r="P32" s="33">
        <f t="shared" si="14"/>
        <v>648324</v>
      </c>
      <c r="Q32" s="33">
        <f t="shared" si="14"/>
        <v>320475</v>
      </c>
      <c r="R32" s="33">
        <f t="shared" si="14"/>
        <v>328980</v>
      </c>
      <c r="S32" s="33">
        <f t="shared" si="14"/>
        <v>619503</v>
      </c>
      <c r="T32" s="33">
        <f t="shared" si="14"/>
        <v>349683</v>
      </c>
      <c r="U32" s="33">
        <f t="shared" si="14"/>
        <v>0</v>
      </c>
      <c r="V32" s="33">
        <f t="shared" si="14"/>
        <v>0</v>
      </c>
      <c r="W32" s="33">
        <f t="shared" si="14"/>
        <v>0</v>
      </c>
      <c r="X32" s="33">
        <f t="shared" si="14"/>
        <v>0</v>
      </c>
      <c r="Y32" s="33">
        <f t="shared" si="14"/>
        <v>0</v>
      </c>
      <c r="Z32" s="33">
        <f t="shared" si="14"/>
        <v>0</v>
      </c>
      <c r="AA32" s="33">
        <f t="shared" si="14"/>
        <v>0</v>
      </c>
      <c r="AB32" s="33">
        <f t="shared" si="14"/>
        <v>0</v>
      </c>
      <c r="AC32" s="33">
        <f t="shared" si="14"/>
        <v>0</v>
      </c>
      <c r="AD32" s="33">
        <f t="shared" si="14"/>
        <v>0</v>
      </c>
      <c r="AE32" s="33">
        <f t="shared" si="14"/>
        <v>0</v>
      </c>
      <c r="AF32" s="33">
        <f t="shared" si="14"/>
        <v>0</v>
      </c>
      <c r="AG32" s="33">
        <f t="shared" si="14"/>
        <v>0</v>
      </c>
      <c r="AH32" s="33">
        <f t="shared" si="14"/>
        <v>0</v>
      </c>
      <c r="AI32" s="33">
        <f t="shared" si="14"/>
        <v>0</v>
      </c>
      <c r="AJ32" s="33">
        <f t="shared" si="14"/>
        <v>0</v>
      </c>
      <c r="AL32" s="63">
        <f>SUM(F32:AI32)</f>
        <v>7315959</v>
      </c>
      <c r="AR32" s="323"/>
    </row>
    <row r="33" spans="1:15065" x14ac:dyDescent="0.25">
      <c r="B33" s="15"/>
      <c r="C33" s="73" t="s">
        <v>113</v>
      </c>
      <c r="D33" s="76">
        <v>15000000</v>
      </c>
      <c r="E33" s="74" t="s">
        <v>14</v>
      </c>
      <c r="F33" s="284">
        <f>'[19]01 '!$P$21</f>
        <v>437978</v>
      </c>
      <c r="G33" s="284">
        <f>'[19]02'!$P$21</f>
        <v>502403</v>
      </c>
      <c r="H33" s="284">
        <f>'[19]03'!$P$21</f>
        <v>540182</v>
      </c>
      <c r="I33" s="284">
        <f>'[19]04'!$P$21</f>
        <v>762960</v>
      </c>
      <c r="J33" s="284">
        <f>'[19]05'!$P$21</f>
        <v>360256</v>
      </c>
      <c r="K33" s="284">
        <f>'[19]06'!$P$21</f>
        <v>449507</v>
      </c>
      <c r="L33" s="284">
        <f>'[19]07'!$P$21</f>
        <v>208841</v>
      </c>
      <c r="M33" s="284">
        <v>0</v>
      </c>
      <c r="N33" s="284">
        <f>'[19]09'!$P$21</f>
        <v>295995</v>
      </c>
      <c r="O33" s="284">
        <v>0</v>
      </c>
      <c r="P33" s="284">
        <f>'[21]11'!$P$21</f>
        <v>478550</v>
      </c>
      <c r="Q33" s="284">
        <f>'[22]12'!$P$21</f>
        <v>209348</v>
      </c>
      <c r="R33" s="284">
        <f>'[22]13'!$P$21</f>
        <v>245921</v>
      </c>
      <c r="S33" s="284">
        <f>'[22]14'!$P$21</f>
        <v>428023</v>
      </c>
      <c r="T33" s="284">
        <f>'[23]15'!$P$21</f>
        <v>212137</v>
      </c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L33" s="66">
        <f>SUM(F33:AI33)</f>
        <v>5132101</v>
      </c>
    </row>
    <row r="34" spans="1:15065" x14ac:dyDescent="0.25">
      <c r="B34" s="15"/>
      <c r="C34" s="73" t="s">
        <v>73</v>
      </c>
      <c r="D34" s="76">
        <v>6429000</v>
      </c>
      <c r="E34" s="74" t="s">
        <v>14</v>
      </c>
      <c r="F34" s="284">
        <f>'[19]01 '!$P$29</f>
        <v>198816</v>
      </c>
      <c r="G34" s="284">
        <f>'[19]02'!$P$29</f>
        <v>203229</v>
      </c>
      <c r="H34" s="284">
        <f>'[19]03'!$P$28</f>
        <v>187481</v>
      </c>
      <c r="I34" s="284">
        <f>'[19]04'!$P$30</f>
        <v>290816</v>
      </c>
      <c r="J34" s="284">
        <f>'[19]05'!$P$28</f>
        <v>225296</v>
      </c>
      <c r="K34" s="284">
        <f>'[19]06'!$P$28</f>
        <v>182848</v>
      </c>
      <c r="L34" s="284">
        <f>'[19]07'!$P$28</f>
        <v>106305</v>
      </c>
      <c r="M34" s="284">
        <v>0</v>
      </c>
      <c r="N34" s="284">
        <f>'[19]09'!$P$28</f>
        <v>96081</v>
      </c>
      <c r="O34" s="284">
        <v>0</v>
      </c>
      <c r="P34" s="284">
        <f>'[21]11'!$P$28</f>
        <v>169774</v>
      </c>
      <c r="Q34" s="284">
        <f>'[22]12'!$P$28</f>
        <v>111127</v>
      </c>
      <c r="R34" s="284">
        <f>'[22]13'!$P$30</f>
        <v>83059</v>
      </c>
      <c r="S34" s="284">
        <f>'[22]14'!$P$30</f>
        <v>191480</v>
      </c>
      <c r="T34" s="284">
        <f>'[23]15'!$P$29</f>
        <v>137546</v>
      </c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L34" s="66">
        <f>SUM(F34:AI34)</f>
        <v>2183858</v>
      </c>
    </row>
    <row r="35" spans="1:15065" x14ac:dyDescent="0.25">
      <c r="B35" s="15"/>
      <c r="C35" s="242" t="s">
        <v>72</v>
      </c>
      <c r="D35" s="245"/>
      <c r="E35" s="244"/>
      <c r="F35" s="103"/>
      <c r="G35" s="103"/>
      <c r="H35" s="103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287"/>
      <c r="AG35" s="287"/>
      <c r="AH35" s="287"/>
      <c r="AI35" s="287"/>
      <c r="AJ35" s="287"/>
      <c r="AL35" s="75" t="s">
        <v>61</v>
      </c>
    </row>
    <row r="36" spans="1:15065" s="82" customFormat="1" x14ac:dyDescent="0.2">
      <c r="A36" s="16"/>
      <c r="B36" s="17"/>
      <c r="C36" s="11" t="s">
        <v>71</v>
      </c>
      <c r="D36" s="268"/>
      <c r="E36" s="12" t="s">
        <v>14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16"/>
      <c r="AL36" s="63">
        <f t="shared" ref="AL36:AL40" si="15">SUM(F36:O36)</f>
        <v>0</v>
      </c>
      <c r="AM36" s="154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49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54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  <c r="VGD36" s="16"/>
      <c r="VGE36" s="16"/>
      <c r="VGF36" s="16"/>
      <c r="VGG36" s="16"/>
      <c r="VGH36" s="16"/>
      <c r="VGI36" s="16"/>
      <c r="VGJ36" s="16"/>
      <c r="VGK36" s="16"/>
    </row>
    <row r="37" spans="1:15065" s="1" customFormat="1" x14ac:dyDescent="0.25">
      <c r="B37" s="15"/>
      <c r="C37" s="14" t="s">
        <v>70</v>
      </c>
      <c r="D37" s="267"/>
      <c r="E37" s="20" t="s">
        <v>14</v>
      </c>
      <c r="F37" s="33">
        <f>F39+F40</f>
        <v>0</v>
      </c>
      <c r="G37" s="33">
        <f t="shared" ref="G37:I37" si="16">G39+G40</f>
        <v>0</v>
      </c>
      <c r="H37" s="33">
        <f t="shared" si="16"/>
        <v>0</v>
      </c>
      <c r="I37" s="33">
        <f t="shared" si="16"/>
        <v>0</v>
      </c>
      <c r="J37" s="33">
        <f t="shared" ref="J37:AJ37" si="17">J39+J40</f>
        <v>0</v>
      </c>
      <c r="K37" s="33">
        <f t="shared" si="17"/>
        <v>0</v>
      </c>
      <c r="L37" s="33">
        <f t="shared" si="17"/>
        <v>0</v>
      </c>
      <c r="M37" s="33">
        <f t="shared" si="17"/>
        <v>0</v>
      </c>
      <c r="N37" s="33">
        <f t="shared" si="17"/>
        <v>0</v>
      </c>
      <c r="O37" s="33">
        <f t="shared" si="17"/>
        <v>0</v>
      </c>
      <c r="P37" s="33">
        <f t="shared" si="17"/>
        <v>0</v>
      </c>
      <c r="Q37" s="33">
        <f t="shared" si="17"/>
        <v>0</v>
      </c>
      <c r="R37" s="33">
        <f t="shared" si="17"/>
        <v>0</v>
      </c>
      <c r="S37" s="33">
        <f t="shared" si="17"/>
        <v>0</v>
      </c>
      <c r="T37" s="33">
        <f t="shared" si="17"/>
        <v>0</v>
      </c>
      <c r="U37" s="33">
        <f t="shared" si="17"/>
        <v>0</v>
      </c>
      <c r="V37" s="33">
        <f t="shared" si="17"/>
        <v>0</v>
      </c>
      <c r="W37" s="33">
        <f t="shared" si="17"/>
        <v>0</v>
      </c>
      <c r="X37" s="33">
        <f t="shared" si="17"/>
        <v>0</v>
      </c>
      <c r="Y37" s="33">
        <f t="shared" si="17"/>
        <v>0</v>
      </c>
      <c r="Z37" s="33">
        <f t="shared" si="17"/>
        <v>0</v>
      </c>
      <c r="AA37" s="33">
        <f t="shared" si="17"/>
        <v>0</v>
      </c>
      <c r="AB37" s="33">
        <f t="shared" si="17"/>
        <v>0</v>
      </c>
      <c r="AC37" s="33">
        <f t="shared" si="17"/>
        <v>0</v>
      </c>
      <c r="AD37" s="33">
        <f t="shared" si="17"/>
        <v>0</v>
      </c>
      <c r="AE37" s="33">
        <f t="shared" si="17"/>
        <v>0</v>
      </c>
      <c r="AF37" s="33">
        <f t="shared" si="17"/>
        <v>0</v>
      </c>
      <c r="AG37" s="33">
        <f t="shared" si="17"/>
        <v>0</v>
      </c>
      <c r="AH37" s="33">
        <f t="shared" si="17"/>
        <v>0</v>
      </c>
      <c r="AI37" s="33">
        <f t="shared" si="17"/>
        <v>0</v>
      </c>
      <c r="AJ37" s="33">
        <f t="shared" si="17"/>
        <v>0</v>
      </c>
      <c r="AL37" s="63">
        <f t="shared" si="15"/>
        <v>0</v>
      </c>
      <c r="AM37" s="154"/>
      <c r="BO37" s="155"/>
      <c r="CV37" s="152"/>
    </row>
    <row r="38" spans="1:15065" s="1" customFormat="1" x14ac:dyDescent="0.25">
      <c r="B38" s="15"/>
      <c r="C38" s="73" t="s">
        <v>69</v>
      </c>
      <c r="D38" s="267"/>
      <c r="E38" s="74" t="s">
        <v>14</v>
      </c>
      <c r="F38" s="284">
        <v>0</v>
      </c>
      <c r="G38" s="284">
        <v>0</v>
      </c>
      <c r="H38" s="284">
        <v>0</v>
      </c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L38" s="66">
        <f t="shared" si="15"/>
        <v>0</v>
      </c>
      <c r="AM38" s="152"/>
      <c r="CV38" s="152"/>
    </row>
    <row r="39" spans="1:15065" s="1" customFormat="1" x14ac:dyDescent="0.25">
      <c r="B39" s="15"/>
      <c r="C39" s="73" t="s">
        <v>68</v>
      </c>
      <c r="D39" s="267"/>
      <c r="E39" s="74" t="s">
        <v>14</v>
      </c>
      <c r="F39" s="284">
        <v>0</v>
      </c>
      <c r="G39" s="284">
        <v>0</v>
      </c>
      <c r="H39" s="284">
        <v>0</v>
      </c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L39" s="66">
        <f t="shared" si="15"/>
        <v>0</v>
      </c>
      <c r="AM39" s="156"/>
      <c r="BO39" s="152"/>
      <c r="CV39" s="152"/>
    </row>
    <row r="40" spans="1:15065" s="1" customFormat="1" x14ac:dyDescent="0.25">
      <c r="B40" s="15"/>
      <c r="C40" s="73" t="s">
        <v>67</v>
      </c>
      <c r="D40" s="267"/>
      <c r="E40" s="74" t="s">
        <v>14</v>
      </c>
      <c r="F40" s="284">
        <v>0</v>
      </c>
      <c r="G40" s="284">
        <v>0</v>
      </c>
      <c r="H40" s="284">
        <v>0</v>
      </c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  <c r="AL40" s="66">
        <f t="shared" si="15"/>
        <v>0</v>
      </c>
      <c r="CV40" s="152"/>
    </row>
    <row r="41" spans="1:15065" s="1" customFormat="1" x14ac:dyDescent="0.25">
      <c r="B41" s="15"/>
      <c r="C41" s="83" t="s">
        <v>114</v>
      </c>
      <c r="D41" s="267"/>
      <c r="E41" s="13" t="s">
        <v>25</v>
      </c>
      <c r="F41" s="288">
        <v>0</v>
      </c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71"/>
      <c r="AL41" s="66">
        <f>AVERAGE(F41:O41)</f>
        <v>0</v>
      </c>
      <c r="CV41" s="152"/>
    </row>
    <row r="42" spans="1:15065" x14ac:dyDescent="0.25">
      <c r="B42" s="8"/>
      <c r="C42" s="84" t="s">
        <v>66</v>
      </c>
      <c r="D42" s="85"/>
      <c r="E42" s="86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L42" s="87" t="s">
        <v>129</v>
      </c>
    </row>
    <row r="43" spans="1:15065" x14ac:dyDescent="0.25">
      <c r="B43" s="15"/>
      <c r="C43" s="83" t="s">
        <v>65</v>
      </c>
      <c r="D43" s="136">
        <v>94.2</v>
      </c>
      <c r="E43" s="78" t="s">
        <v>25</v>
      </c>
      <c r="F43" s="289">
        <f>(F16/(F9))*100</f>
        <v>89.579608121096925</v>
      </c>
      <c r="G43" s="289">
        <f t="shared" ref="G43:I43" si="18">(G16/(G9))*100</f>
        <v>93.417494206771224</v>
      </c>
      <c r="H43" s="289">
        <f t="shared" si="18"/>
        <v>77.64906741953483</v>
      </c>
      <c r="I43" s="289">
        <f t="shared" si="18"/>
        <v>68.172379242945723</v>
      </c>
      <c r="J43" s="289">
        <f t="shared" ref="J43:AJ43" si="19">(J16/(J9))*100</f>
        <v>0</v>
      </c>
      <c r="K43" s="289">
        <f t="shared" si="19"/>
        <v>151.12474806106769</v>
      </c>
      <c r="L43" s="289">
        <f t="shared" si="19"/>
        <v>159.06123717749458</v>
      </c>
      <c r="M43" s="289">
        <f t="shared" si="19"/>
        <v>40.72879853528061</v>
      </c>
      <c r="N43" s="289">
        <f t="shared" si="19"/>
        <v>45.777191860051829</v>
      </c>
      <c r="O43" s="289">
        <f>(O16/(O9))*100</f>
        <v>95.222053381761711</v>
      </c>
      <c r="P43" s="289">
        <f t="shared" si="19"/>
        <v>86.004978869279753</v>
      </c>
      <c r="Q43" s="289">
        <f t="shared" si="19"/>
        <v>99.849906723409092</v>
      </c>
      <c r="R43" s="289">
        <f t="shared" si="19"/>
        <v>93.761678378768309</v>
      </c>
      <c r="S43" s="289">
        <f t="shared" si="19"/>
        <v>96.370091192941501</v>
      </c>
      <c r="T43" s="289" t="e">
        <f t="shared" si="19"/>
        <v>#DIV/0!</v>
      </c>
      <c r="U43" s="289" t="e">
        <f t="shared" si="19"/>
        <v>#DIV/0!</v>
      </c>
      <c r="V43" s="289" t="e">
        <f t="shared" si="19"/>
        <v>#DIV/0!</v>
      </c>
      <c r="W43" s="289" t="e">
        <f t="shared" si="19"/>
        <v>#DIV/0!</v>
      </c>
      <c r="X43" s="289" t="e">
        <f t="shared" si="19"/>
        <v>#DIV/0!</v>
      </c>
      <c r="Y43" s="289" t="e">
        <f t="shared" si="19"/>
        <v>#DIV/0!</v>
      </c>
      <c r="Z43" s="289" t="e">
        <f t="shared" si="19"/>
        <v>#DIV/0!</v>
      </c>
      <c r="AA43" s="289" t="e">
        <f t="shared" si="19"/>
        <v>#DIV/0!</v>
      </c>
      <c r="AB43" s="289" t="e">
        <f t="shared" si="19"/>
        <v>#DIV/0!</v>
      </c>
      <c r="AC43" s="289" t="e">
        <f t="shared" si="19"/>
        <v>#DIV/0!</v>
      </c>
      <c r="AD43" s="289" t="e">
        <f t="shared" si="19"/>
        <v>#DIV/0!</v>
      </c>
      <c r="AE43" s="289" t="e">
        <f t="shared" si="19"/>
        <v>#DIV/0!</v>
      </c>
      <c r="AF43" s="289" t="e">
        <f t="shared" si="19"/>
        <v>#DIV/0!</v>
      </c>
      <c r="AG43" s="289" t="e">
        <f t="shared" si="19"/>
        <v>#DIV/0!</v>
      </c>
      <c r="AH43" s="289" t="e">
        <f t="shared" si="19"/>
        <v>#DIV/0!</v>
      </c>
      <c r="AI43" s="289" t="e">
        <f t="shared" si="19"/>
        <v>#DIV/0!</v>
      </c>
      <c r="AJ43" s="289" t="e">
        <f t="shared" si="19"/>
        <v>#DIV/0!</v>
      </c>
      <c r="AK43" s="71"/>
      <c r="AL43" s="318">
        <f>(AL16/(AL9))*100</f>
        <v>86.045339926024212</v>
      </c>
    </row>
    <row r="44" spans="1:15065" x14ac:dyDescent="0.25">
      <c r="B44" s="15"/>
      <c r="C44" s="83" t="s">
        <v>64</v>
      </c>
      <c r="D44" s="136">
        <v>5</v>
      </c>
      <c r="E44" s="78" t="s">
        <v>25</v>
      </c>
      <c r="F44" s="289">
        <f>(F17/(F9))*100</f>
        <v>3.444512460331524</v>
      </c>
      <c r="G44" s="289">
        <f t="shared" ref="G44:I44" si="20">(G17/(G9))*100</f>
        <v>2.5250950304581354</v>
      </c>
      <c r="H44" s="289">
        <f t="shared" si="20"/>
        <v>4.4769585143571131</v>
      </c>
      <c r="I44" s="289">
        <f t="shared" si="20"/>
        <v>4.3654541850216315</v>
      </c>
      <c r="J44" s="289">
        <f t="shared" ref="J44:AJ44" si="21">(J17/(J9))*100</f>
        <v>0</v>
      </c>
      <c r="K44" s="289">
        <f t="shared" si="21"/>
        <v>8.3094157590858888</v>
      </c>
      <c r="L44" s="289">
        <f t="shared" si="21"/>
        <v>0</v>
      </c>
      <c r="M44" s="289">
        <f t="shared" si="21"/>
        <v>10.173683823444026</v>
      </c>
      <c r="N44" s="289">
        <f t="shared" si="21"/>
        <v>4.1559230465998462</v>
      </c>
      <c r="O44" s="289">
        <f t="shared" si="21"/>
        <v>3.9844181278735658</v>
      </c>
      <c r="P44" s="289">
        <f t="shared" si="21"/>
        <v>5.2770119529138624</v>
      </c>
      <c r="Q44" s="289">
        <f t="shared" si="21"/>
        <v>5.6016593307986948</v>
      </c>
      <c r="R44" s="289">
        <f t="shared" si="21"/>
        <v>4.5399202615253067</v>
      </c>
      <c r="S44" s="289">
        <f t="shared" si="21"/>
        <v>4.9948025249856265</v>
      </c>
      <c r="T44" s="289" t="e">
        <f t="shared" si="21"/>
        <v>#DIV/0!</v>
      </c>
      <c r="U44" s="289" t="e">
        <f t="shared" si="21"/>
        <v>#DIV/0!</v>
      </c>
      <c r="V44" s="289" t="e">
        <f t="shared" si="21"/>
        <v>#DIV/0!</v>
      </c>
      <c r="W44" s="289" t="e">
        <f t="shared" si="21"/>
        <v>#DIV/0!</v>
      </c>
      <c r="X44" s="289" t="e">
        <f t="shared" si="21"/>
        <v>#DIV/0!</v>
      </c>
      <c r="Y44" s="289" t="e">
        <f t="shared" si="21"/>
        <v>#DIV/0!</v>
      </c>
      <c r="Z44" s="289" t="e">
        <f t="shared" si="21"/>
        <v>#DIV/0!</v>
      </c>
      <c r="AA44" s="289" t="e">
        <f t="shared" si="21"/>
        <v>#DIV/0!</v>
      </c>
      <c r="AB44" s="289" t="e">
        <f t="shared" si="21"/>
        <v>#DIV/0!</v>
      </c>
      <c r="AC44" s="289" t="e">
        <f t="shared" si="21"/>
        <v>#DIV/0!</v>
      </c>
      <c r="AD44" s="289" t="e">
        <f t="shared" si="21"/>
        <v>#DIV/0!</v>
      </c>
      <c r="AE44" s="289" t="e">
        <f t="shared" si="21"/>
        <v>#DIV/0!</v>
      </c>
      <c r="AF44" s="289" t="e">
        <f t="shared" si="21"/>
        <v>#DIV/0!</v>
      </c>
      <c r="AG44" s="289" t="e">
        <f t="shared" si="21"/>
        <v>#DIV/0!</v>
      </c>
      <c r="AH44" s="289" t="e">
        <f t="shared" si="21"/>
        <v>#DIV/0!</v>
      </c>
      <c r="AI44" s="289" t="e">
        <f t="shared" si="21"/>
        <v>#DIV/0!</v>
      </c>
      <c r="AJ44" s="289" t="e">
        <f t="shared" si="21"/>
        <v>#DIV/0!</v>
      </c>
      <c r="AK44" s="71"/>
      <c r="AL44" s="318">
        <f>(AL17/(AL9))*100</f>
        <v>4.589202914490115</v>
      </c>
      <c r="BK44" s="3"/>
    </row>
    <row r="45" spans="1:15065" x14ac:dyDescent="0.25">
      <c r="B45" s="15"/>
      <c r="C45" s="83" t="s">
        <v>63</v>
      </c>
      <c r="D45" s="136">
        <v>82</v>
      </c>
      <c r="E45" s="78" t="s">
        <v>25</v>
      </c>
      <c r="F45" s="289" t="e">
        <f>(F20/F19)*100</f>
        <v>#DIV/0!</v>
      </c>
      <c r="G45" s="289" t="e">
        <f t="shared" ref="G45:I45" si="22">(G20/G19)*100</f>
        <v>#DIV/0!</v>
      </c>
      <c r="H45" s="289" t="e">
        <f t="shared" si="22"/>
        <v>#DIV/0!</v>
      </c>
      <c r="I45" s="289" t="e">
        <f t="shared" si="22"/>
        <v>#DIV/0!</v>
      </c>
      <c r="J45" s="289" t="e">
        <f t="shared" ref="J45:AJ45" si="23">(J20/J19)*100</f>
        <v>#DIV/0!</v>
      </c>
      <c r="K45" s="289" t="e">
        <f t="shared" si="23"/>
        <v>#DIV/0!</v>
      </c>
      <c r="L45" s="289" t="e">
        <f t="shared" si="23"/>
        <v>#DIV/0!</v>
      </c>
      <c r="M45" s="289" t="e">
        <f t="shared" si="23"/>
        <v>#DIV/0!</v>
      </c>
      <c r="N45" s="289" t="e">
        <f t="shared" si="23"/>
        <v>#DIV/0!</v>
      </c>
      <c r="O45" s="289" t="e">
        <f t="shared" si="23"/>
        <v>#DIV/0!</v>
      </c>
      <c r="P45" s="289" t="e">
        <f t="shared" si="23"/>
        <v>#DIV/0!</v>
      </c>
      <c r="Q45" s="289" t="e">
        <f t="shared" si="23"/>
        <v>#DIV/0!</v>
      </c>
      <c r="R45" s="289" t="e">
        <f t="shared" si="23"/>
        <v>#DIV/0!</v>
      </c>
      <c r="S45" s="289" t="e">
        <f t="shared" si="23"/>
        <v>#DIV/0!</v>
      </c>
      <c r="T45" s="289" t="e">
        <f t="shared" si="23"/>
        <v>#DIV/0!</v>
      </c>
      <c r="U45" s="289" t="e">
        <f t="shared" si="23"/>
        <v>#DIV/0!</v>
      </c>
      <c r="V45" s="289" t="e">
        <f t="shared" si="23"/>
        <v>#DIV/0!</v>
      </c>
      <c r="W45" s="289" t="e">
        <f t="shared" si="23"/>
        <v>#DIV/0!</v>
      </c>
      <c r="X45" s="289" t="e">
        <f t="shared" si="23"/>
        <v>#DIV/0!</v>
      </c>
      <c r="Y45" s="289" t="e">
        <f t="shared" si="23"/>
        <v>#DIV/0!</v>
      </c>
      <c r="Z45" s="289" t="e">
        <f t="shared" si="23"/>
        <v>#DIV/0!</v>
      </c>
      <c r="AA45" s="289" t="e">
        <f t="shared" si="23"/>
        <v>#DIV/0!</v>
      </c>
      <c r="AB45" s="289" t="e">
        <f t="shared" si="23"/>
        <v>#DIV/0!</v>
      </c>
      <c r="AC45" s="289" t="e">
        <f t="shared" si="23"/>
        <v>#DIV/0!</v>
      </c>
      <c r="AD45" s="289" t="e">
        <f t="shared" si="23"/>
        <v>#DIV/0!</v>
      </c>
      <c r="AE45" s="289" t="e">
        <f t="shared" si="23"/>
        <v>#DIV/0!</v>
      </c>
      <c r="AF45" s="289" t="e">
        <f t="shared" si="23"/>
        <v>#DIV/0!</v>
      </c>
      <c r="AG45" s="289" t="e">
        <f t="shared" si="23"/>
        <v>#DIV/0!</v>
      </c>
      <c r="AH45" s="289" t="e">
        <f t="shared" si="23"/>
        <v>#DIV/0!</v>
      </c>
      <c r="AI45" s="289" t="e">
        <f t="shared" si="23"/>
        <v>#DIV/0!</v>
      </c>
      <c r="AJ45" s="289" t="e">
        <f t="shared" si="23"/>
        <v>#DIV/0!</v>
      </c>
      <c r="AK45" s="71"/>
      <c r="AL45" s="318" t="e">
        <f>AL20/AL19*100</f>
        <v>#DIV/0!</v>
      </c>
    </row>
    <row r="46" spans="1:15065" x14ac:dyDescent="0.25">
      <c r="B46" s="15"/>
      <c r="C46" s="83" t="s">
        <v>62</v>
      </c>
      <c r="D46" s="136">
        <v>18</v>
      </c>
      <c r="E46" s="78" t="s">
        <v>25</v>
      </c>
      <c r="F46" s="289" t="e">
        <f>(F21/F19)*100</f>
        <v>#DIV/0!</v>
      </c>
      <c r="G46" s="289" t="e">
        <f t="shared" ref="G46:I46" si="24">(G21/G19)*100</f>
        <v>#DIV/0!</v>
      </c>
      <c r="H46" s="289" t="e">
        <f t="shared" si="24"/>
        <v>#DIV/0!</v>
      </c>
      <c r="I46" s="289" t="e">
        <f t="shared" si="24"/>
        <v>#DIV/0!</v>
      </c>
      <c r="J46" s="289" t="e">
        <f t="shared" ref="J46:AJ46" si="25">(J21/J19)*100</f>
        <v>#DIV/0!</v>
      </c>
      <c r="K46" s="289" t="e">
        <f t="shared" si="25"/>
        <v>#DIV/0!</v>
      </c>
      <c r="L46" s="289" t="e">
        <f t="shared" si="25"/>
        <v>#DIV/0!</v>
      </c>
      <c r="M46" s="289" t="e">
        <f t="shared" si="25"/>
        <v>#DIV/0!</v>
      </c>
      <c r="N46" s="289" t="e">
        <f t="shared" si="25"/>
        <v>#DIV/0!</v>
      </c>
      <c r="O46" s="289" t="e">
        <f t="shared" si="25"/>
        <v>#DIV/0!</v>
      </c>
      <c r="P46" s="289" t="e">
        <f t="shared" si="25"/>
        <v>#DIV/0!</v>
      </c>
      <c r="Q46" s="289" t="e">
        <f t="shared" si="25"/>
        <v>#DIV/0!</v>
      </c>
      <c r="R46" s="289" t="e">
        <f t="shared" si="25"/>
        <v>#DIV/0!</v>
      </c>
      <c r="S46" s="289" t="e">
        <f t="shared" si="25"/>
        <v>#DIV/0!</v>
      </c>
      <c r="T46" s="289" t="e">
        <f t="shared" si="25"/>
        <v>#DIV/0!</v>
      </c>
      <c r="U46" s="289" t="e">
        <f t="shared" si="25"/>
        <v>#DIV/0!</v>
      </c>
      <c r="V46" s="289" t="e">
        <f t="shared" si="25"/>
        <v>#DIV/0!</v>
      </c>
      <c r="W46" s="289" t="e">
        <f t="shared" si="25"/>
        <v>#DIV/0!</v>
      </c>
      <c r="X46" s="289" t="e">
        <f t="shared" si="25"/>
        <v>#DIV/0!</v>
      </c>
      <c r="Y46" s="289" t="e">
        <f t="shared" si="25"/>
        <v>#DIV/0!</v>
      </c>
      <c r="Z46" s="289" t="e">
        <f t="shared" si="25"/>
        <v>#DIV/0!</v>
      </c>
      <c r="AA46" s="289" t="e">
        <f t="shared" si="25"/>
        <v>#DIV/0!</v>
      </c>
      <c r="AB46" s="289" t="e">
        <f t="shared" si="25"/>
        <v>#DIV/0!</v>
      </c>
      <c r="AC46" s="289" t="e">
        <f t="shared" si="25"/>
        <v>#DIV/0!</v>
      </c>
      <c r="AD46" s="289" t="e">
        <f t="shared" si="25"/>
        <v>#DIV/0!</v>
      </c>
      <c r="AE46" s="289" t="e">
        <f t="shared" si="25"/>
        <v>#DIV/0!</v>
      </c>
      <c r="AF46" s="289" t="e">
        <f t="shared" si="25"/>
        <v>#DIV/0!</v>
      </c>
      <c r="AG46" s="289" t="e">
        <f t="shared" si="25"/>
        <v>#DIV/0!</v>
      </c>
      <c r="AH46" s="289" t="e">
        <f t="shared" si="25"/>
        <v>#DIV/0!</v>
      </c>
      <c r="AI46" s="289" t="e">
        <f t="shared" si="25"/>
        <v>#DIV/0!</v>
      </c>
      <c r="AJ46" s="289" t="e">
        <f t="shared" si="25"/>
        <v>#DIV/0!</v>
      </c>
      <c r="AK46" s="71"/>
      <c r="AL46" s="318" t="e">
        <f>AL25/AL23*100</f>
        <v>#DIV/0!</v>
      </c>
    </row>
    <row r="47" spans="1:15065" x14ac:dyDescent="0.25">
      <c r="B47" s="15"/>
      <c r="C47" s="83" t="s">
        <v>107</v>
      </c>
      <c r="D47" s="136">
        <v>75</v>
      </c>
      <c r="E47" s="88"/>
      <c r="F47" s="289" t="e">
        <f>(F24/F23)*100</f>
        <v>#DIV/0!</v>
      </c>
      <c r="G47" s="289" t="e">
        <f t="shared" ref="G47:I47" si="26">(G24/G23)*100</f>
        <v>#DIV/0!</v>
      </c>
      <c r="H47" s="289" t="e">
        <f t="shared" si="26"/>
        <v>#DIV/0!</v>
      </c>
      <c r="I47" s="289" t="e">
        <f t="shared" si="26"/>
        <v>#DIV/0!</v>
      </c>
      <c r="J47" s="289" t="e">
        <f t="shared" ref="J47:AJ47" si="27">(J24/J23)*100</f>
        <v>#DIV/0!</v>
      </c>
      <c r="K47" s="289" t="e">
        <f t="shared" si="27"/>
        <v>#DIV/0!</v>
      </c>
      <c r="L47" s="289" t="e">
        <f t="shared" si="27"/>
        <v>#DIV/0!</v>
      </c>
      <c r="M47" s="289" t="e">
        <f t="shared" si="27"/>
        <v>#DIV/0!</v>
      </c>
      <c r="N47" s="289" t="e">
        <f t="shared" si="27"/>
        <v>#DIV/0!</v>
      </c>
      <c r="O47" s="289" t="e">
        <f t="shared" si="27"/>
        <v>#DIV/0!</v>
      </c>
      <c r="P47" s="289" t="e">
        <f t="shared" si="27"/>
        <v>#DIV/0!</v>
      </c>
      <c r="Q47" s="289" t="e">
        <f t="shared" si="27"/>
        <v>#DIV/0!</v>
      </c>
      <c r="R47" s="289" t="e">
        <f t="shared" si="27"/>
        <v>#DIV/0!</v>
      </c>
      <c r="S47" s="289" t="e">
        <f t="shared" si="27"/>
        <v>#DIV/0!</v>
      </c>
      <c r="T47" s="289" t="e">
        <f t="shared" si="27"/>
        <v>#DIV/0!</v>
      </c>
      <c r="U47" s="289" t="e">
        <f t="shared" si="27"/>
        <v>#DIV/0!</v>
      </c>
      <c r="V47" s="289" t="e">
        <f t="shared" si="27"/>
        <v>#DIV/0!</v>
      </c>
      <c r="W47" s="289" t="e">
        <f t="shared" si="27"/>
        <v>#DIV/0!</v>
      </c>
      <c r="X47" s="289" t="e">
        <f t="shared" si="27"/>
        <v>#DIV/0!</v>
      </c>
      <c r="Y47" s="289" t="e">
        <f t="shared" si="27"/>
        <v>#DIV/0!</v>
      </c>
      <c r="Z47" s="289" t="e">
        <f t="shared" si="27"/>
        <v>#DIV/0!</v>
      </c>
      <c r="AA47" s="289" t="e">
        <f t="shared" si="27"/>
        <v>#DIV/0!</v>
      </c>
      <c r="AB47" s="289" t="e">
        <f t="shared" si="27"/>
        <v>#DIV/0!</v>
      </c>
      <c r="AC47" s="289" t="e">
        <f t="shared" si="27"/>
        <v>#DIV/0!</v>
      </c>
      <c r="AD47" s="289" t="e">
        <f t="shared" si="27"/>
        <v>#DIV/0!</v>
      </c>
      <c r="AE47" s="289" t="e">
        <f t="shared" si="27"/>
        <v>#DIV/0!</v>
      </c>
      <c r="AF47" s="289" t="e">
        <f t="shared" si="27"/>
        <v>#DIV/0!</v>
      </c>
      <c r="AG47" s="289" t="e">
        <f t="shared" si="27"/>
        <v>#DIV/0!</v>
      </c>
      <c r="AH47" s="289" t="e">
        <f t="shared" si="27"/>
        <v>#DIV/0!</v>
      </c>
      <c r="AI47" s="289" t="e">
        <f t="shared" si="27"/>
        <v>#DIV/0!</v>
      </c>
      <c r="AJ47" s="289" t="e">
        <f t="shared" si="27"/>
        <v>#DIV/0!</v>
      </c>
      <c r="AK47" s="71"/>
      <c r="AL47" s="318" t="e">
        <f>(AL29/AL28)*100</f>
        <v>#DIV/0!</v>
      </c>
    </row>
    <row r="48" spans="1:15065" x14ac:dyDescent="0.25">
      <c r="B48" s="15"/>
      <c r="C48" s="83" t="s">
        <v>62</v>
      </c>
      <c r="D48" s="136">
        <v>25</v>
      </c>
      <c r="E48" s="88"/>
      <c r="F48" s="289" t="e">
        <f>(F25/F23)*100</f>
        <v>#DIV/0!</v>
      </c>
      <c r="G48" s="289" t="e">
        <f t="shared" ref="G48:I48" si="28">(G25/G23)*100</f>
        <v>#DIV/0!</v>
      </c>
      <c r="H48" s="289" t="e">
        <f t="shared" si="28"/>
        <v>#DIV/0!</v>
      </c>
      <c r="I48" s="289" t="e">
        <f t="shared" si="28"/>
        <v>#DIV/0!</v>
      </c>
      <c r="J48" s="289" t="e">
        <f t="shared" ref="J48:AJ48" si="29">(J25/J23)*100</f>
        <v>#DIV/0!</v>
      </c>
      <c r="K48" s="289" t="e">
        <f t="shared" si="29"/>
        <v>#DIV/0!</v>
      </c>
      <c r="L48" s="289" t="e">
        <f t="shared" si="29"/>
        <v>#DIV/0!</v>
      </c>
      <c r="M48" s="289" t="e">
        <f t="shared" si="29"/>
        <v>#DIV/0!</v>
      </c>
      <c r="N48" s="289" t="e">
        <f t="shared" si="29"/>
        <v>#DIV/0!</v>
      </c>
      <c r="O48" s="289" t="e">
        <f t="shared" si="29"/>
        <v>#DIV/0!</v>
      </c>
      <c r="P48" s="289" t="e">
        <f t="shared" si="29"/>
        <v>#DIV/0!</v>
      </c>
      <c r="Q48" s="289" t="e">
        <f t="shared" si="29"/>
        <v>#DIV/0!</v>
      </c>
      <c r="R48" s="289" t="e">
        <f t="shared" si="29"/>
        <v>#DIV/0!</v>
      </c>
      <c r="S48" s="289" t="e">
        <f t="shared" si="29"/>
        <v>#DIV/0!</v>
      </c>
      <c r="T48" s="289" t="e">
        <f t="shared" si="29"/>
        <v>#DIV/0!</v>
      </c>
      <c r="U48" s="289" t="e">
        <f t="shared" si="29"/>
        <v>#DIV/0!</v>
      </c>
      <c r="V48" s="289" t="e">
        <f t="shared" si="29"/>
        <v>#DIV/0!</v>
      </c>
      <c r="W48" s="289" t="e">
        <f t="shared" si="29"/>
        <v>#DIV/0!</v>
      </c>
      <c r="X48" s="289" t="e">
        <f t="shared" si="29"/>
        <v>#DIV/0!</v>
      </c>
      <c r="Y48" s="289" t="e">
        <f t="shared" si="29"/>
        <v>#DIV/0!</v>
      </c>
      <c r="Z48" s="289" t="e">
        <f t="shared" si="29"/>
        <v>#DIV/0!</v>
      </c>
      <c r="AA48" s="289" t="e">
        <f t="shared" si="29"/>
        <v>#DIV/0!</v>
      </c>
      <c r="AB48" s="289" t="e">
        <f t="shared" si="29"/>
        <v>#DIV/0!</v>
      </c>
      <c r="AC48" s="289" t="e">
        <f t="shared" si="29"/>
        <v>#DIV/0!</v>
      </c>
      <c r="AD48" s="289" t="e">
        <f t="shared" si="29"/>
        <v>#DIV/0!</v>
      </c>
      <c r="AE48" s="289" t="e">
        <f t="shared" si="29"/>
        <v>#DIV/0!</v>
      </c>
      <c r="AF48" s="289" t="e">
        <f t="shared" si="29"/>
        <v>#DIV/0!</v>
      </c>
      <c r="AG48" s="289" t="e">
        <f t="shared" si="29"/>
        <v>#DIV/0!</v>
      </c>
      <c r="AH48" s="289" t="e">
        <f t="shared" si="29"/>
        <v>#DIV/0!</v>
      </c>
      <c r="AI48" s="289" t="e">
        <f t="shared" si="29"/>
        <v>#DIV/0!</v>
      </c>
      <c r="AJ48" s="289" t="e">
        <f t="shared" si="29"/>
        <v>#DIV/0!</v>
      </c>
      <c r="AK48" s="71"/>
      <c r="AL48" s="318" t="e">
        <f>(AL30/AL28)*100</f>
        <v>#DIV/0!</v>
      </c>
    </row>
    <row r="49" spans="2:100 15066:15079" x14ac:dyDescent="0.25">
      <c r="B49" s="15"/>
      <c r="C49" s="83" t="s">
        <v>109</v>
      </c>
      <c r="D49" s="136">
        <v>75</v>
      </c>
      <c r="E49" s="78" t="s">
        <v>25</v>
      </c>
      <c r="F49" s="289" t="e">
        <f>F29/F28*100</f>
        <v>#DIV/0!</v>
      </c>
      <c r="G49" s="289" t="e">
        <f t="shared" ref="G49:I49" si="30">G29/G28*100</f>
        <v>#DIV/0!</v>
      </c>
      <c r="H49" s="289" t="e">
        <f t="shared" si="30"/>
        <v>#DIV/0!</v>
      </c>
      <c r="I49" s="289" t="e">
        <f t="shared" si="30"/>
        <v>#DIV/0!</v>
      </c>
      <c r="J49" s="289" t="e">
        <f t="shared" ref="J49:AJ49" si="31">J29/J28*100</f>
        <v>#DIV/0!</v>
      </c>
      <c r="K49" s="289" t="e">
        <f t="shared" si="31"/>
        <v>#DIV/0!</v>
      </c>
      <c r="L49" s="289" t="e">
        <f t="shared" si="31"/>
        <v>#DIV/0!</v>
      </c>
      <c r="M49" s="289" t="e">
        <f t="shared" si="31"/>
        <v>#DIV/0!</v>
      </c>
      <c r="N49" s="289" t="e">
        <f t="shared" si="31"/>
        <v>#DIV/0!</v>
      </c>
      <c r="O49" s="289" t="e">
        <f t="shared" si="31"/>
        <v>#DIV/0!</v>
      </c>
      <c r="P49" s="289" t="e">
        <f t="shared" si="31"/>
        <v>#DIV/0!</v>
      </c>
      <c r="Q49" s="289" t="e">
        <f t="shared" si="31"/>
        <v>#DIV/0!</v>
      </c>
      <c r="R49" s="289" t="e">
        <f t="shared" si="31"/>
        <v>#DIV/0!</v>
      </c>
      <c r="S49" s="289" t="e">
        <f t="shared" si="31"/>
        <v>#DIV/0!</v>
      </c>
      <c r="T49" s="289" t="e">
        <f t="shared" si="31"/>
        <v>#DIV/0!</v>
      </c>
      <c r="U49" s="289" t="e">
        <f t="shared" si="31"/>
        <v>#DIV/0!</v>
      </c>
      <c r="V49" s="289" t="e">
        <f t="shared" si="31"/>
        <v>#DIV/0!</v>
      </c>
      <c r="W49" s="289" t="e">
        <f t="shared" si="31"/>
        <v>#DIV/0!</v>
      </c>
      <c r="X49" s="289" t="e">
        <f t="shared" si="31"/>
        <v>#DIV/0!</v>
      </c>
      <c r="Y49" s="289" t="e">
        <f t="shared" si="31"/>
        <v>#DIV/0!</v>
      </c>
      <c r="Z49" s="289" t="e">
        <f t="shared" si="31"/>
        <v>#DIV/0!</v>
      </c>
      <c r="AA49" s="289" t="e">
        <f t="shared" si="31"/>
        <v>#DIV/0!</v>
      </c>
      <c r="AB49" s="289" t="e">
        <f t="shared" si="31"/>
        <v>#DIV/0!</v>
      </c>
      <c r="AC49" s="289" t="e">
        <f t="shared" si="31"/>
        <v>#DIV/0!</v>
      </c>
      <c r="AD49" s="289" t="e">
        <f t="shared" si="31"/>
        <v>#DIV/0!</v>
      </c>
      <c r="AE49" s="289" t="e">
        <f t="shared" si="31"/>
        <v>#DIV/0!</v>
      </c>
      <c r="AF49" s="289" t="e">
        <f t="shared" si="31"/>
        <v>#DIV/0!</v>
      </c>
      <c r="AG49" s="289" t="e">
        <f t="shared" si="31"/>
        <v>#DIV/0!</v>
      </c>
      <c r="AH49" s="289" t="e">
        <f t="shared" si="31"/>
        <v>#DIV/0!</v>
      </c>
      <c r="AI49" s="289" t="e">
        <f t="shared" si="31"/>
        <v>#DIV/0!</v>
      </c>
      <c r="AJ49" s="289" t="e">
        <f t="shared" si="31"/>
        <v>#DIV/0!</v>
      </c>
      <c r="AK49" s="71"/>
      <c r="AL49" s="318" t="e">
        <f>AL29/AL28*100</f>
        <v>#DIV/0!</v>
      </c>
      <c r="BK49" s="3"/>
    </row>
    <row r="50" spans="2:100 15066:15079" x14ac:dyDescent="0.25">
      <c r="B50" s="15"/>
      <c r="C50" s="83" t="s">
        <v>62</v>
      </c>
      <c r="D50" s="136">
        <v>25</v>
      </c>
      <c r="E50" s="78" t="s">
        <v>25</v>
      </c>
      <c r="F50" s="289" t="e">
        <f>F30/F28*100</f>
        <v>#DIV/0!</v>
      </c>
      <c r="G50" s="289" t="e">
        <f t="shared" ref="G50:I50" si="32">G30/G28*100</f>
        <v>#DIV/0!</v>
      </c>
      <c r="H50" s="289" t="e">
        <f t="shared" si="32"/>
        <v>#DIV/0!</v>
      </c>
      <c r="I50" s="289" t="e">
        <f t="shared" si="32"/>
        <v>#DIV/0!</v>
      </c>
      <c r="J50" s="289" t="e">
        <f t="shared" ref="J50:AJ50" si="33">J30/J28*100</f>
        <v>#DIV/0!</v>
      </c>
      <c r="K50" s="289" t="e">
        <f t="shared" si="33"/>
        <v>#DIV/0!</v>
      </c>
      <c r="L50" s="289" t="e">
        <f t="shared" si="33"/>
        <v>#DIV/0!</v>
      </c>
      <c r="M50" s="289" t="e">
        <f t="shared" si="33"/>
        <v>#DIV/0!</v>
      </c>
      <c r="N50" s="289" t="e">
        <f t="shared" si="33"/>
        <v>#DIV/0!</v>
      </c>
      <c r="O50" s="289" t="e">
        <f t="shared" si="33"/>
        <v>#DIV/0!</v>
      </c>
      <c r="P50" s="289" t="e">
        <f t="shared" si="33"/>
        <v>#DIV/0!</v>
      </c>
      <c r="Q50" s="289" t="e">
        <f t="shared" si="33"/>
        <v>#DIV/0!</v>
      </c>
      <c r="R50" s="289" t="e">
        <f t="shared" si="33"/>
        <v>#DIV/0!</v>
      </c>
      <c r="S50" s="289" t="e">
        <f t="shared" si="33"/>
        <v>#DIV/0!</v>
      </c>
      <c r="T50" s="289" t="e">
        <f t="shared" si="33"/>
        <v>#DIV/0!</v>
      </c>
      <c r="U50" s="289" t="e">
        <f t="shared" si="33"/>
        <v>#DIV/0!</v>
      </c>
      <c r="V50" s="289" t="e">
        <f t="shared" si="33"/>
        <v>#DIV/0!</v>
      </c>
      <c r="W50" s="289" t="e">
        <f t="shared" si="33"/>
        <v>#DIV/0!</v>
      </c>
      <c r="X50" s="289" t="e">
        <f t="shared" si="33"/>
        <v>#DIV/0!</v>
      </c>
      <c r="Y50" s="289" t="e">
        <f t="shared" si="33"/>
        <v>#DIV/0!</v>
      </c>
      <c r="Z50" s="289" t="e">
        <f t="shared" si="33"/>
        <v>#DIV/0!</v>
      </c>
      <c r="AA50" s="289" t="e">
        <f t="shared" si="33"/>
        <v>#DIV/0!</v>
      </c>
      <c r="AB50" s="289" t="e">
        <f t="shared" si="33"/>
        <v>#DIV/0!</v>
      </c>
      <c r="AC50" s="289" t="e">
        <f t="shared" si="33"/>
        <v>#DIV/0!</v>
      </c>
      <c r="AD50" s="289" t="e">
        <f t="shared" si="33"/>
        <v>#DIV/0!</v>
      </c>
      <c r="AE50" s="289" t="e">
        <f t="shared" si="33"/>
        <v>#DIV/0!</v>
      </c>
      <c r="AF50" s="289" t="e">
        <f t="shared" si="33"/>
        <v>#DIV/0!</v>
      </c>
      <c r="AG50" s="289" t="e">
        <f t="shared" si="33"/>
        <v>#DIV/0!</v>
      </c>
      <c r="AH50" s="289" t="e">
        <f t="shared" si="33"/>
        <v>#DIV/0!</v>
      </c>
      <c r="AI50" s="289" t="e">
        <f t="shared" si="33"/>
        <v>#DIV/0!</v>
      </c>
      <c r="AJ50" s="289" t="e">
        <f t="shared" si="33"/>
        <v>#DIV/0!</v>
      </c>
      <c r="AK50" s="18"/>
      <c r="AL50" s="318" t="e">
        <f>AL30/AL28*100</f>
        <v>#DIV/0!</v>
      </c>
    </row>
    <row r="51" spans="2:100 15066:15079" x14ac:dyDescent="0.25">
      <c r="B51" s="15"/>
      <c r="C51" s="83" t="s">
        <v>112</v>
      </c>
      <c r="D51" s="136">
        <v>70</v>
      </c>
      <c r="E51" s="78" t="s">
        <v>25</v>
      </c>
      <c r="F51" s="289">
        <f>F33/F32*100</f>
        <v>68.778600300882232</v>
      </c>
      <c r="G51" s="289">
        <f>G33/G32*100</f>
        <v>71.199010248968293</v>
      </c>
      <c r="H51" s="289">
        <f t="shared" ref="H51:I51" si="34">H33/H32*100</f>
        <v>74.235188541948688</v>
      </c>
      <c r="I51" s="289">
        <f t="shared" si="34"/>
        <v>72.402484019374143</v>
      </c>
      <c r="J51" s="289">
        <f t="shared" ref="J51:AJ51" si="35">J33/J32*100</f>
        <v>61.524168647703362</v>
      </c>
      <c r="K51" s="289">
        <f t="shared" si="35"/>
        <v>71.084596468755677</v>
      </c>
      <c r="L51" s="289">
        <f t="shared" si="35"/>
        <v>66.268015459501299</v>
      </c>
      <c r="M51" s="289" t="e">
        <f t="shared" si="35"/>
        <v>#DIV/0!</v>
      </c>
      <c r="N51" s="289">
        <f t="shared" si="35"/>
        <v>75.49429192299452</v>
      </c>
      <c r="O51" s="289" t="e">
        <f t="shared" si="35"/>
        <v>#DIV/0!</v>
      </c>
      <c r="P51" s="289">
        <f t="shared" si="35"/>
        <v>73.813401941004813</v>
      </c>
      <c r="Q51" s="289">
        <f t="shared" si="35"/>
        <v>65.324284265543326</v>
      </c>
      <c r="R51" s="289">
        <f t="shared" si="35"/>
        <v>74.752568545200319</v>
      </c>
      <c r="S51" s="289">
        <f t="shared" si="35"/>
        <v>69.09135226140954</v>
      </c>
      <c r="T51" s="289">
        <f t="shared" si="35"/>
        <v>60.665517054017492</v>
      </c>
      <c r="U51" s="289" t="e">
        <f t="shared" si="35"/>
        <v>#DIV/0!</v>
      </c>
      <c r="V51" s="289" t="e">
        <f t="shared" si="35"/>
        <v>#DIV/0!</v>
      </c>
      <c r="W51" s="289" t="e">
        <f t="shared" si="35"/>
        <v>#DIV/0!</v>
      </c>
      <c r="X51" s="289" t="e">
        <f t="shared" si="35"/>
        <v>#DIV/0!</v>
      </c>
      <c r="Y51" s="289" t="e">
        <f t="shared" si="35"/>
        <v>#DIV/0!</v>
      </c>
      <c r="Z51" s="289" t="e">
        <f t="shared" si="35"/>
        <v>#DIV/0!</v>
      </c>
      <c r="AA51" s="289" t="e">
        <f t="shared" si="35"/>
        <v>#DIV/0!</v>
      </c>
      <c r="AB51" s="289" t="e">
        <f t="shared" si="35"/>
        <v>#DIV/0!</v>
      </c>
      <c r="AC51" s="289" t="e">
        <f t="shared" si="35"/>
        <v>#DIV/0!</v>
      </c>
      <c r="AD51" s="289" t="e">
        <f t="shared" si="35"/>
        <v>#DIV/0!</v>
      </c>
      <c r="AE51" s="289" t="e">
        <f t="shared" si="35"/>
        <v>#DIV/0!</v>
      </c>
      <c r="AF51" s="289" t="e">
        <f t="shared" si="35"/>
        <v>#DIV/0!</v>
      </c>
      <c r="AG51" s="289" t="e">
        <f t="shared" si="35"/>
        <v>#DIV/0!</v>
      </c>
      <c r="AH51" s="289" t="e">
        <f t="shared" si="35"/>
        <v>#DIV/0!</v>
      </c>
      <c r="AI51" s="289" t="e">
        <f t="shared" si="35"/>
        <v>#DIV/0!</v>
      </c>
      <c r="AJ51" s="289" t="e">
        <f t="shared" si="35"/>
        <v>#DIV/0!</v>
      </c>
      <c r="AK51" s="18"/>
      <c r="AL51" s="318">
        <f>AL33/AL32*100</f>
        <v>70.149395315091297</v>
      </c>
    </row>
    <row r="52" spans="2:100 15066:15079" x14ac:dyDescent="0.25">
      <c r="B52" s="15"/>
      <c r="C52" s="83" t="s">
        <v>62</v>
      </c>
      <c r="D52" s="136">
        <v>30</v>
      </c>
      <c r="E52" s="78" t="s">
        <v>25</v>
      </c>
      <c r="F52" s="289">
        <f>F34/F32*100</f>
        <v>31.221399699117768</v>
      </c>
      <c r="G52" s="289">
        <f t="shared" ref="G52:I52" si="36">G34/G32*100</f>
        <v>28.800989751031697</v>
      </c>
      <c r="H52" s="289">
        <f t="shared" si="36"/>
        <v>25.764811458051323</v>
      </c>
      <c r="I52" s="289">
        <f t="shared" si="36"/>
        <v>27.597515980625865</v>
      </c>
      <c r="J52" s="289">
        <f t="shared" ref="J52:AJ52" si="37">J34/J32*100</f>
        <v>38.475831352296638</v>
      </c>
      <c r="K52" s="289">
        <f t="shared" si="37"/>
        <v>28.915403531244316</v>
      </c>
      <c r="L52" s="289">
        <f t="shared" si="37"/>
        <v>33.731984540498686</v>
      </c>
      <c r="M52" s="289" t="e">
        <f t="shared" si="37"/>
        <v>#DIV/0!</v>
      </c>
      <c r="N52" s="289">
        <f t="shared" si="37"/>
        <v>24.50570807700548</v>
      </c>
      <c r="O52" s="289" t="e">
        <f t="shared" si="37"/>
        <v>#DIV/0!</v>
      </c>
      <c r="P52" s="289">
        <f t="shared" si="37"/>
        <v>26.186598058995191</v>
      </c>
      <c r="Q52" s="289">
        <f t="shared" si="37"/>
        <v>34.675715734456666</v>
      </c>
      <c r="R52" s="289">
        <f t="shared" si="37"/>
        <v>25.247431454799685</v>
      </c>
      <c r="S52" s="289">
        <f t="shared" si="37"/>
        <v>30.908647738590449</v>
      </c>
      <c r="T52" s="289">
        <f t="shared" si="37"/>
        <v>39.334482945982501</v>
      </c>
      <c r="U52" s="289" t="e">
        <f t="shared" si="37"/>
        <v>#DIV/0!</v>
      </c>
      <c r="V52" s="289" t="e">
        <f t="shared" si="37"/>
        <v>#DIV/0!</v>
      </c>
      <c r="W52" s="289" t="e">
        <f t="shared" si="37"/>
        <v>#DIV/0!</v>
      </c>
      <c r="X52" s="289" t="e">
        <f t="shared" si="37"/>
        <v>#DIV/0!</v>
      </c>
      <c r="Y52" s="289" t="e">
        <f t="shared" si="37"/>
        <v>#DIV/0!</v>
      </c>
      <c r="Z52" s="289" t="e">
        <f t="shared" si="37"/>
        <v>#DIV/0!</v>
      </c>
      <c r="AA52" s="289" t="e">
        <f t="shared" si="37"/>
        <v>#DIV/0!</v>
      </c>
      <c r="AB52" s="289" t="e">
        <f t="shared" si="37"/>
        <v>#DIV/0!</v>
      </c>
      <c r="AC52" s="289" t="e">
        <f t="shared" si="37"/>
        <v>#DIV/0!</v>
      </c>
      <c r="AD52" s="289" t="e">
        <f t="shared" si="37"/>
        <v>#DIV/0!</v>
      </c>
      <c r="AE52" s="289" t="e">
        <f t="shared" si="37"/>
        <v>#DIV/0!</v>
      </c>
      <c r="AF52" s="289" t="e">
        <f t="shared" si="37"/>
        <v>#DIV/0!</v>
      </c>
      <c r="AG52" s="289" t="e">
        <f t="shared" si="37"/>
        <v>#DIV/0!</v>
      </c>
      <c r="AH52" s="289" t="e">
        <f t="shared" si="37"/>
        <v>#DIV/0!</v>
      </c>
      <c r="AI52" s="289" t="e">
        <f t="shared" si="37"/>
        <v>#DIV/0!</v>
      </c>
      <c r="AJ52" s="289" t="e">
        <f t="shared" si="37"/>
        <v>#DIV/0!</v>
      </c>
      <c r="AK52" s="18"/>
      <c r="AL52" s="318">
        <f>AL34/AL32*100</f>
        <v>29.850604684908706</v>
      </c>
    </row>
    <row r="53" spans="2:100 15066:15079" x14ac:dyDescent="0.25">
      <c r="B53" s="15"/>
      <c r="C53" s="83" t="s">
        <v>61</v>
      </c>
      <c r="D53" s="136">
        <v>60</v>
      </c>
      <c r="E53" s="78" t="s">
        <v>25</v>
      </c>
      <c r="F53" s="289" t="e">
        <f>F38/F37*100</f>
        <v>#DIV/0!</v>
      </c>
      <c r="G53" s="289" t="e">
        <f t="shared" ref="G53:I53" si="38">G38/G37*100</f>
        <v>#DIV/0!</v>
      </c>
      <c r="H53" s="289" t="e">
        <f t="shared" si="38"/>
        <v>#DIV/0!</v>
      </c>
      <c r="I53" s="289" t="e">
        <f t="shared" si="38"/>
        <v>#DIV/0!</v>
      </c>
      <c r="J53" s="289" t="e">
        <f t="shared" ref="J53:AJ53" si="39">J38/J37*100</f>
        <v>#DIV/0!</v>
      </c>
      <c r="K53" s="289" t="e">
        <f t="shared" si="39"/>
        <v>#DIV/0!</v>
      </c>
      <c r="L53" s="289" t="e">
        <f t="shared" si="39"/>
        <v>#DIV/0!</v>
      </c>
      <c r="M53" s="289" t="e">
        <f t="shared" si="39"/>
        <v>#DIV/0!</v>
      </c>
      <c r="N53" s="289" t="e">
        <f t="shared" si="39"/>
        <v>#DIV/0!</v>
      </c>
      <c r="O53" s="289" t="e">
        <f t="shared" si="39"/>
        <v>#DIV/0!</v>
      </c>
      <c r="P53" s="289" t="e">
        <f t="shared" si="39"/>
        <v>#DIV/0!</v>
      </c>
      <c r="Q53" s="289" t="e">
        <f t="shared" si="39"/>
        <v>#DIV/0!</v>
      </c>
      <c r="R53" s="289" t="e">
        <f t="shared" si="39"/>
        <v>#DIV/0!</v>
      </c>
      <c r="S53" s="289" t="e">
        <f t="shared" si="39"/>
        <v>#DIV/0!</v>
      </c>
      <c r="T53" s="289" t="e">
        <f t="shared" si="39"/>
        <v>#DIV/0!</v>
      </c>
      <c r="U53" s="289" t="e">
        <f t="shared" si="39"/>
        <v>#DIV/0!</v>
      </c>
      <c r="V53" s="289" t="e">
        <f t="shared" si="39"/>
        <v>#DIV/0!</v>
      </c>
      <c r="W53" s="289" t="e">
        <f t="shared" si="39"/>
        <v>#DIV/0!</v>
      </c>
      <c r="X53" s="289" t="e">
        <f t="shared" si="39"/>
        <v>#DIV/0!</v>
      </c>
      <c r="Y53" s="289" t="e">
        <f t="shared" si="39"/>
        <v>#DIV/0!</v>
      </c>
      <c r="Z53" s="289" t="e">
        <f t="shared" si="39"/>
        <v>#DIV/0!</v>
      </c>
      <c r="AA53" s="289" t="e">
        <f t="shared" si="39"/>
        <v>#DIV/0!</v>
      </c>
      <c r="AB53" s="289" t="e">
        <f t="shared" si="39"/>
        <v>#DIV/0!</v>
      </c>
      <c r="AC53" s="289" t="e">
        <f t="shared" si="39"/>
        <v>#DIV/0!</v>
      </c>
      <c r="AD53" s="289" t="e">
        <f t="shared" si="39"/>
        <v>#DIV/0!</v>
      </c>
      <c r="AE53" s="289" t="e">
        <f t="shared" si="39"/>
        <v>#DIV/0!</v>
      </c>
      <c r="AF53" s="289" t="e">
        <f t="shared" si="39"/>
        <v>#DIV/0!</v>
      </c>
      <c r="AG53" s="289" t="e">
        <f t="shared" si="39"/>
        <v>#DIV/0!</v>
      </c>
      <c r="AH53" s="289" t="e">
        <f t="shared" si="39"/>
        <v>#DIV/0!</v>
      </c>
      <c r="AI53" s="289" t="e">
        <f t="shared" si="39"/>
        <v>#DIV/0!</v>
      </c>
      <c r="AJ53" s="289" t="e">
        <f t="shared" si="39"/>
        <v>#DIV/0!</v>
      </c>
      <c r="AK53" s="71"/>
      <c r="AL53" s="318" t="e">
        <f>(AL39+AL38)/AL37*100</f>
        <v>#DIV/0!</v>
      </c>
    </row>
    <row r="54" spans="2:100 15066:15079" ht="15.75" thickBot="1" x14ac:dyDescent="0.3">
      <c r="B54" s="19"/>
      <c r="C54" s="83" t="s">
        <v>60</v>
      </c>
      <c r="D54" s="136">
        <v>40</v>
      </c>
      <c r="E54" s="78" t="s">
        <v>25</v>
      </c>
      <c r="F54" s="289" t="e">
        <f>F40/F37*100</f>
        <v>#DIV/0!</v>
      </c>
      <c r="G54" s="289" t="e">
        <f t="shared" ref="G54:I54" si="40">G40/G37*100</f>
        <v>#DIV/0!</v>
      </c>
      <c r="H54" s="289" t="e">
        <f t="shared" si="40"/>
        <v>#DIV/0!</v>
      </c>
      <c r="I54" s="289" t="e">
        <f t="shared" si="40"/>
        <v>#DIV/0!</v>
      </c>
      <c r="J54" s="289" t="e">
        <f t="shared" ref="J54:AJ54" si="41">J40/J37*100</f>
        <v>#DIV/0!</v>
      </c>
      <c r="K54" s="289" t="e">
        <f t="shared" si="41"/>
        <v>#DIV/0!</v>
      </c>
      <c r="L54" s="289" t="e">
        <f t="shared" si="41"/>
        <v>#DIV/0!</v>
      </c>
      <c r="M54" s="289" t="e">
        <f t="shared" si="41"/>
        <v>#DIV/0!</v>
      </c>
      <c r="N54" s="289" t="e">
        <f t="shared" si="41"/>
        <v>#DIV/0!</v>
      </c>
      <c r="O54" s="289" t="e">
        <f t="shared" si="41"/>
        <v>#DIV/0!</v>
      </c>
      <c r="P54" s="289" t="e">
        <f t="shared" si="41"/>
        <v>#DIV/0!</v>
      </c>
      <c r="Q54" s="289" t="e">
        <f t="shared" si="41"/>
        <v>#DIV/0!</v>
      </c>
      <c r="R54" s="289" t="e">
        <f t="shared" si="41"/>
        <v>#DIV/0!</v>
      </c>
      <c r="S54" s="289" t="e">
        <f t="shared" si="41"/>
        <v>#DIV/0!</v>
      </c>
      <c r="T54" s="289" t="e">
        <f t="shared" si="41"/>
        <v>#DIV/0!</v>
      </c>
      <c r="U54" s="289" t="e">
        <f t="shared" si="41"/>
        <v>#DIV/0!</v>
      </c>
      <c r="V54" s="289" t="e">
        <f t="shared" si="41"/>
        <v>#DIV/0!</v>
      </c>
      <c r="W54" s="289" t="e">
        <f t="shared" si="41"/>
        <v>#DIV/0!</v>
      </c>
      <c r="X54" s="289" t="e">
        <f t="shared" si="41"/>
        <v>#DIV/0!</v>
      </c>
      <c r="Y54" s="289" t="e">
        <f t="shared" si="41"/>
        <v>#DIV/0!</v>
      </c>
      <c r="Z54" s="289" t="e">
        <f t="shared" si="41"/>
        <v>#DIV/0!</v>
      </c>
      <c r="AA54" s="289" t="e">
        <f t="shared" si="41"/>
        <v>#DIV/0!</v>
      </c>
      <c r="AB54" s="289" t="e">
        <f t="shared" si="41"/>
        <v>#DIV/0!</v>
      </c>
      <c r="AC54" s="289" t="e">
        <f t="shared" si="41"/>
        <v>#DIV/0!</v>
      </c>
      <c r="AD54" s="289" t="e">
        <f t="shared" si="41"/>
        <v>#DIV/0!</v>
      </c>
      <c r="AE54" s="289" t="e">
        <f t="shared" si="41"/>
        <v>#DIV/0!</v>
      </c>
      <c r="AF54" s="289" t="e">
        <f t="shared" si="41"/>
        <v>#DIV/0!</v>
      </c>
      <c r="AG54" s="289" t="e">
        <f t="shared" si="41"/>
        <v>#DIV/0!</v>
      </c>
      <c r="AH54" s="289" t="e">
        <f t="shared" si="41"/>
        <v>#DIV/0!</v>
      </c>
      <c r="AI54" s="289" t="e">
        <f t="shared" si="41"/>
        <v>#DIV/0!</v>
      </c>
      <c r="AJ54" s="289" t="e">
        <f t="shared" si="41"/>
        <v>#DIV/0!</v>
      </c>
      <c r="AK54" s="18"/>
      <c r="AL54" s="318" t="e">
        <f>AL40/AL37*100</f>
        <v>#DIV/0!</v>
      </c>
    </row>
    <row r="55" spans="2:100 15066:15079" x14ac:dyDescent="0.25">
      <c r="B55" s="8">
        <v>2</v>
      </c>
      <c r="C55" s="89" t="s">
        <v>59</v>
      </c>
      <c r="D55" s="85"/>
      <c r="E55" s="86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L55" s="90" t="s">
        <v>130</v>
      </c>
    </row>
    <row r="56" spans="2:100 15066:15079" x14ac:dyDescent="0.25">
      <c r="B56" s="8"/>
      <c r="C56" s="247" t="s">
        <v>58</v>
      </c>
      <c r="D56" s="264">
        <v>8</v>
      </c>
      <c r="E56" s="248" t="s">
        <v>56</v>
      </c>
      <c r="F56" s="290">
        <v>7096</v>
      </c>
      <c r="G56" s="290">
        <v>10494</v>
      </c>
      <c r="H56" s="290">
        <v>9008</v>
      </c>
      <c r="I56" s="290">
        <v>9356</v>
      </c>
      <c r="J56" s="290">
        <v>280</v>
      </c>
      <c r="K56" s="290">
        <v>5099</v>
      </c>
      <c r="L56" s="290">
        <v>1205</v>
      </c>
      <c r="M56" s="290">
        <v>2788</v>
      </c>
      <c r="N56" s="290">
        <v>2079</v>
      </c>
      <c r="O56" s="290">
        <v>5395</v>
      </c>
      <c r="P56" s="290">
        <v>4274</v>
      </c>
      <c r="Q56" s="290">
        <v>7474</v>
      </c>
      <c r="R56" s="290">
        <v>8184</v>
      </c>
      <c r="S56" s="290">
        <v>6386</v>
      </c>
      <c r="T56" s="290">
        <v>0</v>
      </c>
      <c r="U56" s="290"/>
      <c r="V56" s="290"/>
      <c r="W56" s="290"/>
      <c r="X56" s="290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L56" s="91">
        <f>SUM(F56:AI56)</f>
        <v>79118</v>
      </c>
      <c r="AM56" s="3"/>
    </row>
    <row r="57" spans="2:100 15066:15079" x14ac:dyDescent="0.25">
      <c r="B57" s="15"/>
      <c r="C57" s="21"/>
      <c r="D57" s="266"/>
      <c r="E57" s="20" t="s">
        <v>25</v>
      </c>
      <c r="F57" s="291">
        <f>F56/(F10)*100</f>
        <v>0.95258039746336542</v>
      </c>
      <c r="G57" s="291">
        <f t="shared" ref="G57:I57" si="42">G56/(G10)*100</f>
        <v>1.410536955691881</v>
      </c>
      <c r="H57" s="291">
        <f t="shared" si="42"/>
        <v>0.85918535722290834</v>
      </c>
      <c r="I57" s="291">
        <f t="shared" si="42"/>
        <v>0.83923786868026351</v>
      </c>
      <c r="J57" s="291">
        <f t="shared" ref="J57:AJ57" si="43">J56/(J10)*100</f>
        <v>0.11284589281252268</v>
      </c>
      <c r="K57" s="291">
        <f t="shared" si="43"/>
        <v>1.312527832334158</v>
      </c>
      <c r="L57" s="291">
        <f t="shared" si="43"/>
        <v>2.0809587952889164</v>
      </c>
      <c r="M57" s="291">
        <f t="shared" si="43"/>
        <v>1.0791854240292944</v>
      </c>
      <c r="N57" s="291">
        <f t="shared" si="43"/>
        <v>1.3435179620402862</v>
      </c>
      <c r="O57" s="291">
        <f t="shared" si="43"/>
        <v>1.0523810731360956</v>
      </c>
      <c r="P57" s="291">
        <f t="shared" si="43"/>
        <v>0.96902036892605148</v>
      </c>
      <c r="Q57" s="291">
        <f t="shared" si="43"/>
        <v>1.513896287773981</v>
      </c>
      <c r="R57" s="291">
        <f t="shared" si="43"/>
        <v>1.4399375041787044</v>
      </c>
      <c r="S57" s="291">
        <f t="shared" si="43"/>
        <v>1.2361666831204983</v>
      </c>
      <c r="T57" s="291" t="e">
        <f t="shared" si="43"/>
        <v>#DIV/0!</v>
      </c>
      <c r="U57" s="291" t="e">
        <f t="shared" si="43"/>
        <v>#DIV/0!</v>
      </c>
      <c r="V57" s="291" t="e">
        <f t="shared" si="43"/>
        <v>#DIV/0!</v>
      </c>
      <c r="W57" s="291" t="e">
        <f t="shared" si="43"/>
        <v>#DIV/0!</v>
      </c>
      <c r="X57" s="291" t="e">
        <f t="shared" si="43"/>
        <v>#DIV/0!</v>
      </c>
      <c r="Y57" s="291" t="e">
        <f t="shared" si="43"/>
        <v>#DIV/0!</v>
      </c>
      <c r="Z57" s="291" t="e">
        <f t="shared" si="43"/>
        <v>#DIV/0!</v>
      </c>
      <c r="AA57" s="291" t="e">
        <f t="shared" si="43"/>
        <v>#DIV/0!</v>
      </c>
      <c r="AB57" s="291" t="e">
        <f t="shared" si="43"/>
        <v>#DIV/0!</v>
      </c>
      <c r="AC57" s="291" t="e">
        <f t="shared" si="43"/>
        <v>#DIV/0!</v>
      </c>
      <c r="AD57" s="291" t="e">
        <f t="shared" si="43"/>
        <v>#DIV/0!</v>
      </c>
      <c r="AE57" s="291" t="e">
        <f t="shared" si="43"/>
        <v>#DIV/0!</v>
      </c>
      <c r="AF57" s="291" t="e">
        <f t="shared" si="43"/>
        <v>#DIV/0!</v>
      </c>
      <c r="AG57" s="291" t="e">
        <f t="shared" si="43"/>
        <v>#DIV/0!</v>
      </c>
      <c r="AH57" s="291" t="e">
        <f t="shared" si="43"/>
        <v>#DIV/0!</v>
      </c>
      <c r="AI57" s="291" t="e">
        <f t="shared" si="43"/>
        <v>#DIV/0!</v>
      </c>
      <c r="AJ57" s="291" t="e">
        <f t="shared" si="43"/>
        <v>#DIV/0!</v>
      </c>
      <c r="AL57" s="319">
        <f>AL56/(AL10)*100</f>
        <v>1.0849799975754637</v>
      </c>
      <c r="AM57" s="150">
        <f>AL57*10</f>
        <v>10.849799975754637</v>
      </c>
      <c r="BJ57" s="150" t="e">
        <v>#DIV/0!</v>
      </c>
      <c r="BK57" s="150" t="e">
        <v>#DIV/0!</v>
      </c>
    </row>
    <row r="58" spans="2:100 15066:15079" s="1" customFormat="1" x14ac:dyDescent="0.25">
      <c r="B58" s="8"/>
      <c r="C58" s="249" t="s">
        <v>57</v>
      </c>
      <c r="D58" s="269">
        <v>18</v>
      </c>
      <c r="E58" s="250" t="s">
        <v>56</v>
      </c>
      <c r="F58" s="292">
        <v>0</v>
      </c>
      <c r="G58" s="292">
        <v>0</v>
      </c>
      <c r="H58" s="292">
        <v>0</v>
      </c>
      <c r="I58" s="292">
        <v>0</v>
      </c>
      <c r="J58" s="292">
        <v>0</v>
      </c>
      <c r="K58" s="292">
        <v>0</v>
      </c>
      <c r="L58" s="292">
        <v>0</v>
      </c>
      <c r="M58" s="292">
        <v>0</v>
      </c>
      <c r="N58" s="292">
        <v>0</v>
      </c>
      <c r="O58" s="292">
        <v>0</v>
      </c>
      <c r="P58" s="292">
        <v>0</v>
      </c>
      <c r="Q58" s="292">
        <v>0</v>
      </c>
      <c r="R58" s="292">
        <v>0</v>
      </c>
      <c r="S58" s="292">
        <v>0</v>
      </c>
      <c r="T58" s="292">
        <v>0</v>
      </c>
      <c r="U58" s="292"/>
      <c r="V58" s="292"/>
      <c r="W58" s="292"/>
      <c r="X58" s="292"/>
      <c r="Y58" s="292"/>
      <c r="Z58" s="292"/>
      <c r="AA58" s="292"/>
      <c r="AB58" s="292"/>
      <c r="AC58" s="292"/>
      <c r="AD58" s="292"/>
      <c r="AE58" s="292"/>
      <c r="AF58" s="292"/>
      <c r="AG58" s="292"/>
      <c r="AH58" s="292"/>
      <c r="AI58" s="292"/>
      <c r="AJ58" s="292"/>
      <c r="AL58" s="91">
        <f>SUM(F58:O58)</f>
        <v>0</v>
      </c>
      <c r="CV58" s="151"/>
      <c r="VGL58" s="50"/>
      <c r="VGM58" s="50"/>
      <c r="VGN58" s="50"/>
      <c r="VGO58" s="50"/>
      <c r="VGP58" s="50"/>
      <c r="VGQ58" s="50"/>
      <c r="VGR58" s="50"/>
      <c r="VGS58" s="50"/>
      <c r="VGT58" s="50"/>
      <c r="VGU58" s="50"/>
      <c r="VGV58" s="50"/>
      <c r="VGW58" s="50"/>
      <c r="VGX58" s="50"/>
      <c r="VGY58" s="50"/>
    </row>
    <row r="59" spans="2:100 15066:15079" s="1" customFormat="1" x14ac:dyDescent="0.25">
      <c r="B59" s="15"/>
      <c r="C59" s="22"/>
      <c r="D59" s="270"/>
      <c r="E59" s="23" t="s">
        <v>25</v>
      </c>
      <c r="F59" s="293" t="e">
        <f>F58/(F11)*100</f>
        <v>#DIV/0!</v>
      </c>
      <c r="G59" s="293" t="e">
        <f t="shared" ref="G59:AJ59" si="44">G58/(G11)*100</f>
        <v>#DIV/0!</v>
      </c>
      <c r="H59" s="293" t="e">
        <f t="shared" si="44"/>
        <v>#DIV/0!</v>
      </c>
      <c r="I59" s="293" t="e">
        <f t="shared" si="44"/>
        <v>#DIV/0!</v>
      </c>
      <c r="J59" s="293" t="e">
        <f t="shared" si="44"/>
        <v>#DIV/0!</v>
      </c>
      <c r="K59" s="293" t="e">
        <f t="shared" si="44"/>
        <v>#DIV/0!</v>
      </c>
      <c r="L59" s="293" t="e">
        <f t="shared" si="44"/>
        <v>#DIV/0!</v>
      </c>
      <c r="M59" s="293" t="e">
        <f t="shared" si="44"/>
        <v>#DIV/0!</v>
      </c>
      <c r="N59" s="293" t="e">
        <f t="shared" si="44"/>
        <v>#DIV/0!</v>
      </c>
      <c r="O59" s="293" t="e">
        <f t="shared" si="44"/>
        <v>#DIV/0!</v>
      </c>
      <c r="P59" s="293" t="e">
        <f t="shared" si="44"/>
        <v>#DIV/0!</v>
      </c>
      <c r="Q59" s="293" t="e">
        <f t="shared" si="44"/>
        <v>#DIV/0!</v>
      </c>
      <c r="R59" s="293" t="e">
        <f t="shared" si="44"/>
        <v>#DIV/0!</v>
      </c>
      <c r="S59" s="293" t="e">
        <f t="shared" si="44"/>
        <v>#DIV/0!</v>
      </c>
      <c r="T59" s="293" t="e">
        <f t="shared" si="44"/>
        <v>#DIV/0!</v>
      </c>
      <c r="U59" s="293" t="e">
        <f t="shared" si="44"/>
        <v>#DIV/0!</v>
      </c>
      <c r="V59" s="293" t="e">
        <f t="shared" si="44"/>
        <v>#DIV/0!</v>
      </c>
      <c r="W59" s="293" t="e">
        <f t="shared" si="44"/>
        <v>#DIV/0!</v>
      </c>
      <c r="X59" s="293" t="e">
        <f t="shared" si="44"/>
        <v>#DIV/0!</v>
      </c>
      <c r="Y59" s="293" t="e">
        <f t="shared" si="44"/>
        <v>#DIV/0!</v>
      </c>
      <c r="Z59" s="293" t="e">
        <f t="shared" si="44"/>
        <v>#DIV/0!</v>
      </c>
      <c r="AA59" s="293" t="e">
        <f t="shared" si="44"/>
        <v>#DIV/0!</v>
      </c>
      <c r="AB59" s="293" t="e">
        <f t="shared" si="44"/>
        <v>#DIV/0!</v>
      </c>
      <c r="AC59" s="293" t="e">
        <f t="shared" si="44"/>
        <v>#DIV/0!</v>
      </c>
      <c r="AD59" s="293" t="e">
        <f t="shared" si="44"/>
        <v>#DIV/0!</v>
      </c>
      <c r="AE59" s="293" t="e">
        <f t="shared" si="44"/>
        <v>#DIV/0!</v>
      </c>
      <c r="AF59" s="293" t="e">
        <f t="shared" si="44"/>
        <v>#DIV/0!</v>
      </c>
      <c r="AG59" s="293" t="e">
        <f t="shared" si="44"/>
        <v>#DIV/0!</v>
      </c>
      <c r="AH59" s="293" t="e">
        <f t="shared" si="44"/>
        <v>#DIV/0!</v>
      </c>
      <c r="AI59" s="293" t="e">
        <f t="shared" si="44"/>
        <v>#DIV/0!</v>
      </c>
      <c r="AJ59" s="293" t="e">
        <f t="shared" si="44"/>
        <v>#DIV/0!</v>
      </c>
      <c r="AL59" s="319" t="e">
        <f>AL58/(AL11)*100</f>
        <v>#DIV/0!</v>
      </c>
      <c r="CV59" s="151"/>
      <c r="VGL59" s="50"/>
      <c r="VGM59" s="50"/>
      <c r="VGN59" s="50"/>
      <c r="VGO59" s="50"/>
      <c r="VGP59" s="50"/>
      <c r="VGQ59" s="50"/>
      <c r="VGR59" s="50"/>
      <c r="VGS59" s="50"/>
      <c r="VGT59" s="50"/>
      <c r="VGU59" s="50"/>
      <c r="VGV59" s="50"/>
      <c r="VGW59" s="50"/>
      <c r="VGX59" s="50"/>
      <c r="VGY59" s="50"/>
    </row>
    <row r="60" spans="2:100 15066:15079" x14ac:dyDescent="0.25">
      <c r="B60" s="15"/>
      <c r="C60" s="247" t="s">
        <v>55</v>
      </c>
      <c r="D60" s="264">
        <v>0.6</v>
      </c>
      <c r="E60" s="248" t="s">
        <v>14</v>
      </c>
      <c r="F60" s="257">
        <v>315.98599999999999</v>
      </c>
      <c r="G60" s="257">
        <v>398.73200000000003</v>
      </c>
      <c r="H60" s="257">
        <v>486.214</v>
      </c>
      <c r="I60" s="257">
        <v>494.38400000000001</v>
      </c>
      <c r="J60" s="257">
        <v>17.489999999999998</v>
      </c>
      <c r="K60" s="257">
        <v>277.50799999999998</v>
      </c>
      <c r="L60" s="257">
        <v>61.798000000000002</v>
      </c>
      <c r="M60" s="257">
        <v>129.422</v>
      </c>
      <c r="N60" s="257">
        <v>80.45</v>
      </c>
      <c r="O60" s="257">
        <v>227.37</v>
      </c>
      <c r="P60" s="257">
        <v>186.56</v>
      </c>
      <c r="Q60" s="257">
        <v>286.83600000000001</v>
      </c>
      <c r="R60" s="257">
        <v>281.00599999999997</v>
      </c>
      <c r="S60" s="257">
        <v>228.536</v>
      </c>
      <c r="T60" s="257">
        <v>0</v>
      </c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324"/>
      <c r="AL60" s="325">
        <f>SUM(F60:AI60)</f>
        <v>3472.2919999999999</v>
      </c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24"/>
      <c r="BB60" s="324"/>
      <c r="BC60" s="324"/>
      <c r="BD60" s="324"/>
      <c r="BE60" s="324"/>
      <c r="BF60" s="324"/>
    </row>
    <row r="61" spans="2:100 15066:15079" ht="15.75" thickBot="1" x14ac:dyDescent="0.3">
      <c r="B61" s="19"/>
      <c r="C61" s="24"/>
      <c r="D61" s="266"/>
      <c r="E61" s="25" t="s">
        <v>25</v>
      </c>
      <c r="F61" s="294">
        <f>F60/(F9)*100</f>
        <v>4.241855544995194E-2</v>
      </c>
      <c r="G61" s="294">
        <f>G60/(G9)*100</f>
        <v>5.3595027769862309E-2</v>
      </c>
      <c r="H61" s="294">
        <f>H60/(H9)*100</f>
        <v>4.6375216393958613E-2</v>
      </c>
      <c r="I61" s="294">
        <f t="shared" ref="I61" si="45">I60/(I9)*100</f>
        <v>4.4346491499532216E-2</v>
      </c>
      <c r="J61" s="294">
        <f t="shared" ref="J61:AJ61" si="46">J60/(J9)*100</f>
        <v>7.0488380903250764E-3</v>
      </c>
      <c r="K61" s="294">
        <f t="shared" si="46"/>
        <v>7.143302092476711E-2</v>
      </c>
      <c r="L61" s="294">
        <f t="shared" si="46"/>
        <v>0.10672123786826927</v>
      </c>
      <c r="M61" s="294">
        <f t="shared" si="46"/>
        <v>5.0096964113600907E-2</v>
      </c>
      <c r="N61" s="294">
        <f t="shared" si="46"/>
        <v>5.1989427631621461E-2</v>
      </c>
      <c r="O61" s="294">
        <f t="shared" si="46"/>
        <v>4.4352156552169425E-2</v>
      </c>
      <c r="P61" s="294">
        <f>P60/(P9)*100</f>
        <v>4.2297716431175525E-2</v>
      </c>
      <c r="Q61" s="294">
        <f t="shared" si="46"/>
        <v>5.8100074337695692E-2</v>
      </c>
      <c r="R61" s="294">
        <f t="shared" si="46"/>
        <v>4.9441725109877925E-2</v>
      </c>
      <c r="S61" s="294">
        <f t="shared" si="46"/>
        <v>4.4238739288071746E-2</v>
      </c>
      <c r="T61" s="294" t="e">
        <f t="shared" si="46"/>
        <v>#DIV/0!</v>
      </c>
      <c r="U61" s="294" t="e">
        <f t="shared" si="46"/>
        <v>#DIV/0!</v>
      </c>
      <c r="V61" s="294" t="e">
        <f t="shared" si="46"/>
        <v>#DIV/0!</v>
      </c>
      <c r="W61" s="294" t="e">
        <f t="shared" si="46"/>
        <v>#DIV/0!</v>
      </c>
      <c r="X61" s="294" t="e">
        <f t="shared" si="46"/>
        <v>#DIV/0!</v>
      </c>
      <c r="Y61" s="294" t="e">
        <f t="shared" si="46"/>
        <v>#DIV/0!</v>
      </c>
      <c r="Z61" s="294" t="e">
        <f t="shared" si="46"/>
        <v>#DIV/0!</v>
      </c>
      <c r="AA61" s="294" t="e">
        <f t="shared" si="46"/>
        <v>#DIV/0!</v>
      </c>
      <c r="AB61" s="294" t="e">
        <f t="shared" si="46"/>
        <v>#DIV/0!</v>
      </c>
      <c r="AC61" s="294" t="e">
        <f t="shared" si="46"/>
        <v>#DIV/0!</v>
      </c>
      <c r="AD61" s="294" t="e">
        <f t="shared" si="46"/>
        <v>#DIV/0!</v>
      </c>
      <c r="AE61" s="294" t="e">
        <f t="shared" si="46"/>
        <v>#DIV/0!</v>
      </c>
      <c r="AF61" s="294" t="e">
        <f t="shared" si="46"/>
        <v>#DIV/0!</v>
      </c>
      <c r="AG61" s="294" t="e">
        <f t="shared" si="46"/>
        <v>#DIV/0!</v>
      </c>
      <c r="AH61" s="294" t="e">
        <f t="shared" si="46"/>
        <v>#DIV/0!</v>
      </c>
      <c r="AI61" s="294" t="e">
        <f t="shared" si="46"/>
        <v>#DIV/0!</v>
      </c>
      <c r="AJ61" s="294" t="e">
        <f t="shared" si="46"/>
        <v>#DIV/0!</v>
      </c>
      <c r="AL61" s="320">
        <f>AL60/(AL9)*100</f>
        <v>4.7617070271509666E-2</v>
      </c>
    </row>
    <row r="62" spans="2:100 15066:15079" s="147" customFormat="1" x14ac:dyDescent="0.25">
      <c r="B62" s="148">
        <v>3</v>
      </c>
      <c r="C62" s="251" t="s">
        <v>171</v>
      </c>
      <c r="D62" s="252">
        <v>0.8</v>
      </c>
      <c r="E62" s="253" t="s">
        <v>25</v>
      </c>
      <c r="F62" s="295">
        <f>((SUM(F16:F17))-(SUM(F9)))/(SUM(F9))*100</f>
        <v>-6.9758794185715596</v>
      </c>
      <c r="G62" s="295">
        <f t="shared" ref="G62:I62" si="47">((SUM(G16:G17))-(SUM(G9)))/(SUM(G9))*100</f>
        <v>-4.0574107627706422</v>
      </c>
      <c r="H62" s="295">
        <f t="shared" si="47"/>
        <v>-17.873974066108055</v>
      </c>
      <c r="I62" s="295">
        <f t="shared" si="47"/>
        <v>-27.462166572032643</v>
      </c>
      <c r="J62" s="295">
        <f t="shared" ref="J62:AJ62" si="48">((SUM(J16:J17))-(SUM(J9)))/(SUM(J9))*100</f>
        <v>-100</v>
      </c>
      <c r="K62" s="295">
        <f t="shared" si="48"/>
        <v>59.434163820153572</v>
      </c>
      <c r="L62" s="295">
        <f t="shared" si="48"/>
        <v>59.061237177494561</v>
      </c>
      <c r="M62" s="295">
        <f t="shared" si="48"/>
        <v>-49.09751764127536</v>
      </c>
      <c r="N62" s="295">
        <f t="shared" si="48"/>
        <v>-50.066885093348326</v>
      </c>
      <c r="O62" s="295">
        <f t="shared" si="48"/>
        <v>-0.79352849036471496</v>
      </c>
      <c r="P62" s="295">
        <f>((SUM(P16:P17))-(SUM(P9)))/(SUM(P9))*100</f>
        <v>-8.718009177806394</v>
      </c>
      <c r="Q62" s="295">
        <f t="shared" ref="Q62:S62" si="49">((SUM(Q16:Q17))-(SUM(Q9)))/(SUM(Q9))*100</f>
        <v>5.4515660542077775</v>
      </c>
      <c r="R62" s="295">
        <f t="shared" si="49"/>
        <v>-1.6984013597063821</v>
      </c>
      <c r="S62" s="295">
        <f t="shared" si="49"/>
        <v>1.364893717927127</v>
      </c>
      <c r="T62" s="295" t="e">
        <f t="shared" si="48"/>
        <v>#DIV/0!</v>
      </c>
      <c r="U62" s="295" t="e">
        <f t="shared" si="48"/>
        <v>#DIV/0!</v>
      </c>
      <c r="V62" s="295" t="e">
        <f t="shared" si="48"/>
        <v>#DIV/0!</v>
      </c>
      <c r="W62" s="295" t="e">
        <f t="shared" si="48"/>
        <v>#DIV/0!</v>
      </c>
      <c r="X62" s="295" t="e">
        <f t="shared" si="48"/>
        <v>#DIV/0!</v>
      </c>
      <c r="Y62" s="295" t="e">
        <f t="shared" si="48"/>
        <v>#DIV/0!</v>
      </c>
      <c r="Z62" s="295" t="e">
        <f t="shared" si="48"/>
        <v>#DIV/0!</v>
      </c>
      <c r="AA62" s="295" t="e">
        <f t="shared" si="48"/>
        <v>#DIV/0!</v>
      </c>
      <c r="AB62" s="295" t="e">
        <f t="shared" si="48"/>
        <v>#DIV/0!</v>
      </c>
      <c r="AC62" s="295" t="e">
        <f t="shared" si="48"/>
        <v>#DIV/0!</v>
      </c>
      <c r="AD62" s="295" t="e">
        <f t="shared" si="48"/>
        <v>#DIV/0!</v>
      </c>
      <c r="AE62" s="295" t="e">
        <f t="shared" si="48"/>
        <v>#DIV/0!</v>
      </c>
      <c r="AF62" s="295" t="e">
        <f t="shared" si="48"/>
        <v>#DIV/0!</v>
      </c>
      <c r="AG62" s="295" t="e">
        <f t="shared" si="48"/>
        <v>#DIV/0!</v>
      </c>
      <c r="AH62" s="295" t="e">
        <f t="shared" si="48"/>
        <v>#DIV/0!</v>
      </c>
      <c r="AI62" s="295" t="e">
        <f t="shared" si="48"/>
        <v>#DIV/0!</v>
      </c>
      <c r="AJ62" s="295" t="e">
        <f t="shared" si="48"/>
        <v>#DIV/0!</v>
      </c>
      <c r="AL62" s="321">
        <f>((SUM(AL16:AL17))-(SUM(AL9)))/(SUM(AL9))*100</f>
        <v>-9.3654571594856701</v>
      </c>
      <c r="CV62" s="157"/>
    </row>
    <row r="63" spans="2:100 15066:15079" s="147" customFormat="1" x14ac:dyDescent="0.25">
      <c r="B63" s="148"/>
      <c r="C63" s="329"/>
      <c r="D63" s="330"/>
      <c r="E63" s="331" t="s">
        <v>14</v>
      </c>
      <c r="F63" s="332">
        <f t="shared" ref="F63:O63" si="50">F62%*F9</f>
        <v>-51965</v>
      </c>
      <c r="G63" s="332">
        <f t="shared" si="50"/>
        <v>-30186</v>
      </c>
      <c r="H63" s="332">
        <f t="shared" si="50"/>
        <v>-187397</v>
      </c>
      <c r="I63" s="332">
        <f t="shared" si="50"/>
        <v>-306154</v>
      </c>
      <c r="J63" s="332">
        <f t="shared" si="50"/>
        <v>-248126</v>
      </c>
      <c r="K63" s="332">
        <f t="shared" si="50"/>
        <v>230894</v>
      </c>
      <c r="L63" s="332">
        <f t="shared" si="50"/>
        <v>34200</v>
      </c>
      <c r="M63" s="332">
        <f t="shared" si="50"/>
        <v>-126840.00000000001</v>
      </c>
      <c r="N63" s="332">
        <f t="shared" si="50"/>
        <v>-77475</v>
      </c>
      <c r="O63" s="332">
        <f t="shared" si="50"/>
        <v>-4068</v>
      </c>
      <c r="P63" s="332">
        <f>P62%*P9</f>
        <v>-38451.999999999993</v>
      </c>
      <c r="Q63" s="332">
        <f t="shared" ref="Q63:R63" si="51">Q62%*Q9</f>
        <v>26914</v>
      </c>
      <c r="R63" s="332">
        <f t="shared" si="51"/>
        <v>-9653</v>
      </c>
      <c r="S63" s="332">
        <f>S62%*S9</f>
        <v>7051</v>
      </c>
      <c r="T63" s="332"/>
      <c r="U63" s="332" t="e">
        <f t="shared" ref="U63:AI63" si="52">U62%*U9</f>
        <v>#DIV/0!</v>
      </c>
      <c r="V63" s="332" t="e">
        <f t="shared" si="52"/>
        <v>#DIV/0!</v>
      </c>
      <c r="W63" s="332" t="e">
        <f t="shared" si="52"/>
        <v>#DIV/0!</v>
      </c>
      <c r="X63" s="332" t="e">
        <f t="shared" si="52"/>
        <v>#DIV/0!</v>
      </c>
      <c r="Y63" s="332" t="e">
        <f t="shared" si="52"/>
        <v>#DIV/0!</v>
      </c>
      <c r="Z63" s="332" t="e">
        <f t="shared" si="52"/>
        <v>#DIV/0!</v>
      </c>
      <c r="AA63" s="332" t="e">
        <f t="shared" si="52"/>
        <v>#DIV/0!</v>
      </c>
      <c r="AB63" s="332" t="e">
        <f t="shared" si="52"/>
        <v>#DIV/0!</v>
      </c>
      <c r="AC63" s="332" t="e">
        <f t="shared" si="52"/>
        <v>#DIV/0!</v>
      </c>
      <c r="AD63" s="332" t="e">
        <f t="shared" si="52"/>
        <v>#DIV/0!</v>
      </c>
      <c r="AE63" s="332" t="e">
        <f t="shared" si="52"/>
        <v>#DIV/0!</v>
      </c>
      <c r="AF63" s="332" t="e">
        <f t="shared" si="52"/>
        <v>#DIV/0!</v>
      </c>
      <c r="AG63" s="332" t="e">
        <f t="shared" si="52"/>
        <v>#DIV/0!</v>
      </c>
      <c r="AH63" s="332" t="e">
        <f t="shared" si="52"/>
        <v>#DIV/0!</v>
      </c>
      <c r="AI63" s="332" t="e">
        <f t="shared" si="52"/>
        <v>#DIV/0!</v>
      </c>
      <c r="AJ63" s="328"/>
      <c r="AL63" s="333" t="e">
        <f>SUM(F63:AJ63)</f>
        <v>#DIV/0!</v>
      </c>
      <c r="CV63" s="157"/>
    </row>
    <row r="64" spans="2:100 15066:15079" s="71" customFormat="1" x14ac:dyDescent="0.25">
      <c r="B64" s="77"/>
      <c r="C64" s="247" t="s">
        <v>54</v>
      </c>
      <c r="D64" s="271">
        <v>22</v>
      </c>
      <c r="E64" s="248" t="s">
        <v>25</v>
      </c>
      <c r="F64" s="296">
        <v>21.85</v>
      </c>
      <c r="G64" s="257">
        <v>21.96</v>
      </c>
      <c r="H64" s="257">
        <v>21.92</v>
      </c>
      <c r="I64" s="257">
        <v>21.87</v>
      </c>
      <c r="J64" s="257">
        <v>21.9</v>
      </c>
      <c r="K64" s="257">
        <v>21.9</v>
      </c>
      <c r="L64" s="257">
        <v>21.9</v>
      </c>
      <c r="M64" s="257">
        <v>21.87</v>
      </c>
      <c r="N64" s="257">
        <v>22</v>
      </c>
      <c r="O64" s="257">
        <v>22.17</v>
      </c>
      <c r="P64" s="257">
        <v>22.21</v>
      </c>
      <c r="Q64" s="257">
        <v>21.99</v>
      </c>
      <c r="R64" s="257">
        <v>22.17</v>
      </c>
      <c r="S64" s="257">
        <v>22.03</v>
      </c>
      <c r="T64" s="257">
        <v>0</v>
      </c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  <c r="AG64" s="257"/>
      <c r="AH64" s="257"/>
      <c r="AI64" s="257"/>
      <c r="AJ64" s="257"/>
      <c r="AL64" s="93">
        <f>AVERAGE(F64:AI64)</f>
        <v>20.516000000000002</v>
      </c>
      <c r="CV64" s="153"/>
    </row>
    <row r="65" spans="2:100 15066:15458" s="71" customFormat="1" ht="15.75" thickBot="1" x14ac:dyDescent="0.3">
      <c r="B65" s="94"/>
      <c r="C65" s="95" t="s">
        <v>53</v>
      </c>
      <c r="D65" s="266"/>
      <c r="E65" s="96" t="s">
        <v>14</v>
      </c>
      <c r="F65" s="291">
        <f>SUM(F56,F58)+(F64%*SUM(F56,F58))</f>
        <v>8646.4760000000006</v>
      </c>
      <c r="G65" s="291">
        <f>SUM(G56,G58)+(G64%*SUM(G56,G58))</f>
        <v>12798.482400000001</v>
      </c>
      <c r="H65" s="291">
        <f t="shared" ref="H65:I65" si="53">SUM(H56,H58)+(H64%*SUM(H56,H58))</f>
        <v>10982.553599999999</v>
      </c>
      <c r="I65" s="291">
        <f t="shared" si="53"/>
        <v>11402.1572</v>
      </c>
      <c r="J65" s="291">
        <f t="shared" ref="J65:AJ65" si="54">SUM(J56,J58)+(J64%*SUM(J56,J58))</f>
        <v>341.32</v>
      </c>
      <c r="K65" s="291">
        <f t="shared" si="54"/>
        <v>6215.6809999999996</v>
      </c>
      <c r="L65" s="291">
        <f t="shared" si="54"/>
        <v>1468.895</v>
      </c>
      <c r="M65" s="291">
        <f t="shared" si="54"/>
        <v>3397.7356</v>
      </c>
      <c r="N65" s="291">
        <f t="shared" si="54"/>
        <v>2536.38</v>
      </c>
      <c r="O65" s="291">
        <f t="shared" si="54"/>
        <v>6591.0715</v>
      </c>
      <c r="P65" s="291">
        <f t="shared" si="54"/>
        <v>5223.2554</v>
      </c>
      <c r="Q65" s="291">
        <f t="shared" si="54"/>
        <v>9117.5326000000005</v>
      </c>
      <c r="R65" s="291">
        <f t="shared" si="54"/>
        <v>9998.3927999999996</v>
      </c>
      <c r="S65" s="291">
        <f t="shared" si="54"/>
        <v>7792.8357999999998</v>
      </c>
      <c r="T65" s="291">
        <f t="shared" si="54"/>
        <v>0</v>
      </c>
      <c r="U65" s="291">
        <f t="shared" si="54"/>
        <v>0</v>
      </c>
      <c r="V65" s="291">
        <f t="shared" si="54"/>
        <v>0</v>
      </c>
      <c r="W65" s="291">
        <f t="shared" si="54"/>
        <v>0</v>
      </c>
      <c r="X65" s="291">
        <f t="shared" si="54"/>
        <v>0</v>
      </c>
      <c r="Y65" s="291">
        <f t="shared" si="54"/>
        <v>0</v>
      </c>
      <c r="Z65" s="291">
        <f t="shared" si="54"/>
        <v>0</v>
      </c>
      <c r="AA65" s="291">
        <f t="shared" si="54"/>
        <v>0</v>
      </c>
      <c r="AB65" s="291">
        <f t="shared" si="54"/>
        <v>0</v>
      </c>
      <c r="AC65" s="291">
        <f t="shared" si="54"/>
        <v>0</v>
      </c>
      <c r="AD65" s="291">
        <f t="shared" si="54"/>
        <v>0</v>
      </c>
      <c r="AE65" s="291">
        <f t="shared" si="54"/>
        <v>0</v>
      </c>
      <c r="AF65" s="291">
        <f t="shared" si="54"/>
        <v>0</v>
      </c>
      <c r="AG65" s="291">
        <f t="shared" si="54"/>
        <v>0</v>
      </c>
      <c r="AH65" s="291">
        <f t="shared" si="54"/>
        <v>0</v>
      </c>
      <c r="AI65" s="291">
        <f t="shared" si="54"/>
        <v>0</v>
      </c>
      <c r="AJ65" s="291">
        <f t="shared" si="54"/>
        <v>0</v>
      </c>
      <c r="AL65" s="93">
        <f>SUM(AL56,AL58)+(AL64%*SUM(AL56,AL58))</f>
        <v>95349.848880000005</v>
      </c>
      <c r="CV65" s="153"/>
    </row>
    <row r="66" spans="2:100 15066:15458" hidden="1" x14ac:dyDescent="0.25">
      <c r="B66" s="8">
        <v>4</v>
      </c>
      <c r="C66" s="53" t="s">
        <v>52</v>
      </c>
      <c r="D66" s="54"/>
      <c r="E66" s="55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3"/>
      <c r="AL66" s="87" t="s">
        <v>131</v>
      </c>
    </row>
    <row r="67" spans="2:100 15066:15458" s="2" customFormat="1" hidden="1" x14ac:dyDescent="0.25">
      <c r="B67" s="8"/>
      <c r="C67" s="26" t="s">
        <v>51</v>
      </c>
      <c r="D67" s="97"/>
      <c r="E67" s="12" t="s">
        <v>14</v>
      </c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7"/>
      <c r="AL67" s="98">
        <v>0</v>
      </c>
      <c r="BB67" s="27"/>
      <c r="CV67" s="156"/>
    </row>
    <row r="68" spans="2:100 15066:15458" s="1" customFormat="1" hidden="1" x14ac:dyDescent="0.25">
      <c r="B68" s="15"/>
      <c r="C68" s="28" t="s">
        <v>46</v>
      </c>
      <c r="D68" s="99"/>
      <c r="E68" s="20" t="s">
        <v>14</v>
      </c>
      <c r="F68" s="298"/>
      <c r="G68" s="29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"/>
      <c r="AL68" s="98">
        <v>0</v>
      </c>
      <c r="CV68" s="152"/>
    </row>
    <row r="69" spans="2:100 15066:15458" s="1" customFormat="1" hidden="1" x14ac:dyDescent="0.25">
      <c r="B69" s="15"/>
      <c r="C69" s="30" t="s">
        <v>39</v>
      </c>
      <c r="D69" s="69"/>
      <c r="E69" s="20" t="s">
        <v>14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L69" s="67">
        <v>0</v>
      </c>
      <c r="CV69" s="152"/>
    </row>
    <row r="70" spans="2:100 15066:15458" s="1" customFormat="1" hidden="1" x14ac:dyDescent="0.25">
      <c r="B70" s="15"/>
      <c r="C70" s="30" t="s">
        <v>38</v>
      </c>
      <c r="D70" s="69"/>
      <c r="E70" s="20" t="s">
        <v>14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L70" s="67">
        <v>0</v>
      </c>
      <c r="CV70" s="152"/>
    </row>
    <row r="71" spans="2:100 15066:15458" s="1" customFormat="1" hidden="1" x14ac:dyDescent="0.25">
      <c r="B71" s="15"/>
      <c r="C71" s="30" t="s">
        <v>50</v>
      </c>
      <c r="D71" s="69"/>
      <c r="E71" s="13" t="s">
        <v>14</v>
      </c>
      <c r="F71" s="34">
        <v>0</v>
      </c>
      <c r="G71" s="34"/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  <c r="X71" s="34">
        <v>0</v>
      </c>
      <c r="Y71" s="34">
        <v>0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34">
        <v>0</v>
      </c>
      <c r="AL71" s="67">
        <v>0</v>
      </c>
      <c r="CV71" s="152"/>
    </row>
    <row r="72" spans="2:100 15066:15458" s="1" customFormat="1" hidden="1" x14ac:dyDescent="0.25">
      <c r="B72" s="15"/>
      <c r="C72" s="30" t="s">
        <v>29</v>
      </c>
      <c r="D72" s="69"/>
      <c r="E72" s="1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L72" s="72" t="s">
        <v>29</v>
      </c>
      <c r="CV72" s="152"/>
    </row>
    <row r="73" spans="2:100 15066:15458" s="16" customFormat="1" hidden="1" x14ac:dyDescent="0.2">
      <c r="B73" s="17"/>
      <c r="C73" s="31" t="s">
        <v>49</v>
      </c>
      <c r="D73" s="62"/>
      <c r="E73" s="32" t="s">
        <v>31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L73" s="63">
        <v>0</v>
      </c>
      <c r="CV73" s="158"/>
    </row>
    <row r="74" spans="2:100 15066:15458" s="16" customFormat="1" hidden="1" x14ac:dyDescent="0.2">
      <c r="B74" s="17"/>
      <c r="C74" s="31" t="s">
        <v>48</v>
      </c>
      <c r="D74" s="62"/>
      <c r="E74" s="32" t="s">
        <v>31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L74" s="63">
        <v>0</v>
      </c>
      <c r="CV74" s="158"/>
    </row>
    <row r="75" spans="2:100 15066:15458" s="1" customFormat="1" hidden="1" x14ac:dyDescent="0.25">
      <c r="B75" s="15"/>
      <c r="C75" s="30" t="s">
        <v>28</v>
      </c>
      <c r="D75" s="69"/>
      <c r="E75" s="1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L75" s="72" t="s">
        <v>28</v>
      </c>
      <c r="CV75" s="152"/>
    </row>
    <row r="76" spans="2:100 15066:15458" s="1" customFormat="1" hidden="1" x14ac:dyDescent="0.25">
      <c r="B76" s="15"/>
      <c r="C76" s="14" t="s">
        <v>49</v>
      </c>
      <c r="D76" s="69"/>
      <c r="E76" s="20" t="s">
        <v>28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0</v>
      </c>
      <c r="AF76" s="33">
        <v>0</v>
      </c>
      <c r="AG76" s="33">
        <v>0</v>
      </c>
      <c r="AH76" s="33">
        <v>0</v>
      </c>
      <c r="AI76" s="33">
        <v>0</v>
      </c>
      <c r="AJ76" s="33">
        <v>0</v>
      </c>
      <c r="AL76" s="63">
        <v>0</v>
      </c>
      <c r="CV76" s="152"/>
    </row>
    <row r="77" spans="2:100 15066:15458" s="1" customFormat="1" hidden="1" x14ac:dyDescent="0.25">
      <c r="B77" s="15"/>
      <c r="C77" s="14" t="s">
        <v>48</v>
      </c>
      <c r="D77" s="69"/>
      <c r="E77" s="20" t="s">
        <v>28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  <c r="AC77" s="33">
        <v>0</v>
      </c>
      <c r="AD77" s="33">
        <v>0</v>
      </c>
      <c r="AE77" s="33">
        <v>0</v>
      </c>
      <c r="AF77" s="33">
        <v>0</v>
      </c>
      <c r="AG77" s="33">
        <v>0</v>
      </c>
      <c r="AH77" s="33">
        <v>0</v>
      </c>
      <c r="AI77" s="33">
        <v>0</v>
      </c>
      <c r="AJ77" s="33">
        <v>0</v>
      </c>
      <c r="AL77" s="63">
        <v>0</v>
      </c>
      <c r="CV77" s="152"/>
    </row>
    <row r="78" spans="2:100 15066:15458" s="1" customFormat="1" hidden="1" x14ac:dyDescent="0.25">
      <c r="B78" s="15"/>
      <c r="C78" s="30" t="s">
        <v>36</v>
      </c>
      <c r="D78" s="69"/>
      <c r="E78" s="20" t="s">
        <v>35</v>
      </c>
      <c r="F78" s="300">
        <v>0</v>
      </c>
      <c r="G78" s="301">
        <v>0</v>
      </c>
      <c r="H78" s="301">
        <v>0</v>
      </c>
      <c r="I78" s="301">
        <v>0</v>
      </c>
      <c r="J78" s="301">
        <v>0</v>
      </c>
      <c r="K78" s="301">
        <v>0</v>
      </c>
      <c r="L78" s="301">
        <v>0</v>
      </c>
      <c r="M78" s="301">
        <v>0</v>
      </c>
      <c r="N78" s="301">
        <v>0</v>
      </c>
      <c r="O78" s="301">
        <v>0</v>
      </c>
      <c r="P78" s="301">
        <v>0</v>
      </c>
      <c r="Q78" s="301">
        <v>0</v>
      </c>
      <c r="R78" s="301">
        <v>0</v>
      </c>
      <c r="S78" s="301">
        <v>0</v>
      </c>
      <c r="T78" s="301">
        <v>0</v>
      </c>
      <c r="U78" s="301">
        <v>0</v>
      </c>
      <c r="V78" s="301">
        <v>0</v>
      </c>
      <c r="W78" s="301">
        <v>0</v>
      </c>
      <c r="X78" s="301">
        <v>0</v>
      </c>
      <c r="Y78" s="301">
        <v>0</v>
      </c>
      <c r="Z78" s="301">
        <v>0</v>
      </c>
      <c r="AA78" s="301">
        <v>0</v>
      </c>
      <c r="AB78" s="301">
        <v>0</v>
      </c>
      <c r="AC78" s="301">
        <v>0</v>
      </c>
      <c r="AD78" s="301">
        <v>0</v>
      </c>
      <c r="AE78" s="301">
        <v>0</v>
      </c>
      <c r="AF78" s="301">
        <v>0</v>
      </c>
      <c r="AG78" s="301">
        <v>0</v>
      </c>
      <c r="AH78" s="301">
        <v>0</v>
      </c>
      <c r="AI78" s="301">
        <v>0</v>
      </c>
      <c r="AJ78" s="301">
        <v>0</v>
      </c>
      <c r="AL78" s="63">
        <v>0</v>
      </c>
      <c r="CV78" s="152"/>
    </row>
    <row r="79" spans="2:100 15066:15458" s="1" customFormat="1" hidden="1" x14ac:dyDescent="0.25">
      <c r="B79" s="15"/>
      <c r="C79" s="30" t="s">
        <v>34</v>
      </c>
      <c r="D79" s="69"/>
      <c r="E79" s="20" t="s">
        <v>33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0</v>
      </c>
      <c r="AC79" s="33">
        <v>0</v>
      </c>
      <c r="AD79" s="33">
        <v>0</v>
      </c>
      <c r="AE79" s="33">
        <v>0</v>
      </c>
      <c r="AF79" s="33">
        <v>0</v>
      </c>
      <c r="AG79" s="33">
        <v>0</v>
      </c>
      <c r="AH79" s="33">
        <v>0</v>
      </c>
      <c r="AI79" s="33">
        <v>0</v>
      </c>
      <c r="AJ79" s="33">
        <v>0</v>
      </c>
      <c r="AL79" s="63">
        <v>0</v>
      </c>
      <c r="CV79" s="152"/>
    </row>
    <row r="80" spans="2:100 15066:15458" s="1" customFormat="1" hidden="1" x14ac:dyDescent="0.25">
      <c r="B80" s="8"/>
      <c r="C80" s="53" t="s">
        <v>32</v>
      </c>
      <c r="D80" s="54"/>
      <c r="E80" s="55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3"/>
      <c r="AL80" s="87" t="s">
        <v>132</v>
      </c>
      <c r="CV80" s="151"/>
      <c r="VGL80" s="50"/>
      <c r="VGM80" s="50"/>
      <c r="VGN80" s="50"/>
      <c r="VGO80" s="50"/>
      <c r="VGP80" s="50"/>
      <c r="VGQ80" s="50"/>
      <c r="VGR80" s="50"/>
      <c r="VGS80" s="50"/>
      <c r="VGT80" s="50"/>
      <c r="VGU80" s="50"/>
      <c r="VGV80" s="50"/>
      <c r="VGW80" s="50"/>
      <c r="VGX80" s="50"/>
      <c r="VGY80" s="50"/>
      <c r="VGZ80" s="50"/>
      <c r="VHA80" s="50"/>
      <c r="VHB80" s="50"/>
      <c r="VHC80" s="50"/>
      <c r="VHD80" s="50"/>
      <c r="VHE80" s="50"/>
      <c r="VHF80" s="50"/>
      <c r="VHG80" s="50"/>
      <c r="VHH80" s="50"/>
      <c r="VHI80" s="50"/>
      <c r="VHJ80" s="50"/>
      <c r="VHK80" s="50"/>
      <c r="VHL80" s="50"/>
      <c r="VHM80" s="50"/>
      <c r="VHN80" s="50"/>
      <c r="VHO80" s="50"/>
      <c r="VHP80" s="50"/>
      <c r="VHQ80" s="50"/>
      <c r="VHR80" s="50"/>
      <c r="VHS80" s="50"/>
      <c r="VHT80" s="50"/>
      <c r="VHU80" s="50"/>
      <c r="VHV80" s="50"/>
      <c r="VHW80" s="50"/>
      <c r="VHX80" s="50"/>
      <c r="VHY80" s="50"/>
      <c r="VHZ80" s="50"/>
      <c r="VIA80" s="50"/>
      <c r="VIB80" s="50"/>
      <c r="VIC80" s="50"/>
      <c r="VID80" s="50"/>
      <c r="VIE80" s="50"/>
      <c r="VIF80" s="50"/>
      <c r="VIG80" s="50"/>
      <c r="VIH80" s="50"/>
      <c r="VII80" s="50"/>
      <c r="VIJ80" s="50"/>
      <c r="VIK80" s="50"/>
      <c r="VIL80" s="50"/>
      <c r="VIM80" s="50"/>
      <c r="VIN80" s="50"/>
      <c r="VIO80" s="50"/>
      <c r="VIP80" s="50"/>
      <c r="VIQ80" s="50"/>
      <c r="VIR80" s="50"/>
      <c r="VIS80" s="50"/>
      <c r="VIT80" s="50"/>
      <c r="VIU80" s="50"/>
      <c r="VIV80" s="50"/>
      <c r="VIW80" s="50"/>
      <c r="VIX80" s="50"/>
      <c r="VIY80" s="50"/>
      <c r="VIZ80" s="50"/>
      <c r="VJA80" s="50"/>
      <c r="VJB80" s="50"/>
      <c r="VJC80" s="50"/>
      <c r="VJD80" s="50"/>
      <c r="VJE80" s="50"/>
      <c r="VJF80" s="50"/>
      <c r="VJG80" s="50"/>
      <c r="VJH80" s="50"/>
      <c r="VJI80" s="50"/>
      <c r="VJJ80" s="50"/>
      <c r="VJK80" s="50"/>
      <c r="VJL80" s="50"/>
      <c r="VJM80" s="50"/>
      <c r="VJN80" s="50"/>
      <c r="VJO80" s="50"/>
      <c r="VJP80" s="50"/>
      <c r="VJQ80" s="50"/>
      <c r="VJR80" s="50"/>
      <c r="VJS80" s="50"/>
      <c r="VJT80" s="50"/>
      <c r="VJU80" s="50"/>
      <c r="VJV80" s="50"/>
      <c r="VJW80" s="50"/>
      <c r="VJX80" s="50"/>
      <c r="VJY80" s="50"/>
      <c r="VJZ80" s="50"/>
      <c r="VKA80" s="50"/>
      <c r="VKB80" s="50"/>
      <c r="VKC80" s="50"/>
      <c r="VKD80" s="50"/>
      <c r="VKE80" s="50"/>
      <c r="VKF80" s="50"/>
      <c r="VKG80" s="50"/>
      <c r="VKH80" s="50"/>
      <c r="VKI80" s="50"/>
      <c r="VKJ80" s="50"/>
      <c r="VKK80" s="50"/>
      <c r="VKL80" s="50"/>
      <c r="VKM80" s="50"/>
      <c r="VKN80" s="50"/>
      <c r="VKO80" s="50"/>
      <c r="VKP80" s="50"/>
      <c r="VKQ80" s="50"/>
      <c r="VKR80" s="50"/>
      <c r="VKS80" s="50"/>
      <c r="VKT80" s="50"/>
      <c r="VKU80" s="50"/>
      <c r="VKV80" s="50"/>
      <c r="VKW80" s="50"/>
      <c r="VKX80" s="50"/>
      <c r="VKY80" s="50"/>
      <c r="VKZ80" s="50"/>
      <c r="VLA80" s="50"/>
      <c r="VLB80" s="50"/>
      <c r="VLC80" s="50"/>
      <c r="VLD80" s="50"/>
      <c r="VLE80" s="50"/>
      <c r="VLF80" s="50"/>
      <c r="VLG80" s="50"/>
      <c r="VLH80" s="50"/>
      <c r="VLI80" s="50"/>
      <c r="VLJ80" s="50"/>
      <c r="VLK80" s="50"/>
      <c r="VLL80" s="50"/>
      <c r="VLM80" s="50"/>
      <c r="VLN80" s="50"/>
      <c r="VLO80" s="50"/>
      <c r="VLP80" s="50"/>
      <c r="VLQ80" s="50"/>
      <c r="VLR80" s="50"/>
      <c r="VLS80" s="50"/>
      <c r="VLT80" s="50"/>
      <c r="VLU80" s="50"/>
      <c r="VLV80" s="50"/>
      <c r="VLW80" s="50"/>
      <c r="VLX80" s="50"/>
      <c r="VLY80" s="50"/>
      <c r="VLZ80" s="50"/>
      <c r="VMA80" s="50"/>
      <c r="VMB80" s="50"/>
      <c r="VMC80" s="50"/>
      <c r="VMD80" s="50"/>
      <c r="VME80" s="50"/>
      <c r="VMF80" s="50"/>
      <c r="VMG80" s="50"/>
      <c r="VMH80" s="50"/>
      <c r="VMI80" s="50"/>
      <c r="VMJ80" s="50"/>
      <c r="VMK80" s="50"/>
      <c r="VML80" s="50"/>
      <c r="VMM80" s="50"/>
      <c r="VMN80" s="50"/>
      <c r="VMO80" s="50"/>
      <c r="VMP80" s="50"/>
      <c r="VMQ80" s="50"/>
      <c r="VMR80" s="50"/>
      <c r="VMS80" s="50"/>
      <c r="VMT80" s="50"/>
      <c r="VMU80" s="50"/>
      <c r="VMV80" s="50"/>
      <c r="VMW80" s="50"/>
      <c r="VMX80" s="50"/>
      <c r="VMY80" s="50"/>
      <c r="VMZ80" s="50"/>
      <c r="VNA80" s="50"/>
      <c r="VNB80" s="50"/>
      <c r="VNC80" s="50"/>
      <c r="VND80" s="50"/>
      <c r="VNE80" s="50"/>
      <c r="VNF80" s="50"/>
      <c r="VNG80" s="50"/>
      <c r="VNH80" s="50"/>
      <c r="VNI80" s="50"/>
      <c r="VNJ80" s="50"/>
      <c r="VNK80" s="50"/>
      <c r="VNL80" s="50"/>
      <c r="VNM80" s="50"/>
      <c r="VNN80" s="50"/>
      <c r="VNO80" s="50"/>
      <c r="VNP80" s="50"/>
      <c r="VNQ80" s="50"/>
      <c r="VNR80" s="50"/>
      <c r="VNS80" s="50"/>
      <c r="VNT80" s="50"/>
      <c r="VNU80" s="50"/>
      <c r="VNV80" s="50"/>
      <c r="VNW80" s="50"/>
      <c r="VNX80" s="50"/>
      <c r="VNY80" s="50"/>
      <c r="VNZ80" s="50"/>
      <c r="VOA80" s="50"/>
      <c r="VOB80" s="50"/>
      <c r="VOC80" s="50"/>
      <c r="VOD80" s="50"/>
      <c r="VOE80" s="50"/>
      <c r="VOF80" s="50"/>
      <c r="VOG80" s="50"/>
      <c r="VOH80" s="50"/>
      <c r="VOI80" s="50"/>
      <c r="VOJ80" s="50"/>
      <c r="VOK80" s="50"/>
      <c r="VOL80" s="50"/>
      <c r="VOM80" s="50"/>
      <c r="VON80" s="50"/>
      <c r="VOO80" s="50"/>
      <c r="VOP80" s="50"/>
      <c r="VOQ80" s="50"/>
      <c r="VOR80" s="50"/>
      <c r="VOS80" s="50"/>
      <c r="VOT80" s="50"/>
      <c r="VOU80" s="50"/>
      <c r="VOV80" s="50"/>
      <c r="VOW80" s="50"/>
      <c r="VOX80" s="50"/>
      <c r="VOY80" s="50"/>
      <c r="VOZ80" s="50"/>
      <c r="VPA80" s="50"/>
      <c r="VPB80" s="50"/>
      <c r="VPC80" s="50"/>
      <c r="VPD80" s="50"/>
      <c r="VPE80" s="50"/>
      <c r="VPF80" s="50"/>
      <c r="VPG80" s="50"/>
      <c r="VPH80" s="50"/>
      <c r="VPI80" s="50"/>
      <c r="VPJ80" s="50"/>
      <c r="VPK80" s="50"/>
      <c r="VPL80" s="50"/>
      <c r="VPM80" s="50"/>
      <c r="VPN80" s="50"/>
      <c r="VPO80" s="50"/>
      <c r="VPP80" s="50"/>
      <c r="VPQ80" s="50"/>
      <c r="VPR80" s="50"/>
      <c r="VPS80" s="50"/>
      <c r="VPT80" s="50"/>
      <c r="VPU80" s="50"/>
      <c r="VPV80" s="50"/>
      <c r="VPW80" s="50"/>
      <c r="VPX80" s="50"/>
      <c r="VPY80" s="50"/>
      <c r="VPZ80" s="50"/>
      <c r="VQA80" s="50"/>
      <c r="VQB80" s="50"/>
      <c r="VQC80" s="50"/>
      <c r="VQD80" s="50"/>
      <c r="VQE80" s="50"/>
      <c r="VQF80" s="50"/>
      <c r="VQG80" s="50"/>
      <c r="VQH80" s="50"/>
      <c r="VQI80" s="50"/>
      <c r="VQJ80" s="50"/>
      <c r="VQK80" s="50"/>
      <c r="VQL80" s="50"/>
      <c r="VQM80" s="50"/>
      <c r="VQN80" s="50"/>
      <c r="VQO80" s="50"/>
      <c r="VQP80" s="50"/>
      <c r="VQQ80" s="50"/>
      <c r="VQR80" s="50"/>
      <c r="VQS80" s="50"/>
      <c r="VQT80" s="50"/>
      <c r="VQU80" s="50"/>
      <c r="VQV80" s="50"/>
      <c r="VQW80" s="50"/>
      <c r="VQX80" s="50"/>
      <c r="VQY80" s="50"/>
      <c r="VQZ80" s="50"/>
      <c r="VRA80" s="50"/>
      <c r="VRB80" s="50"/>
      <c r="VRC80" s="50"/>
      <c r="VRD80" s="50"/>
      <c r="VRE80" s="50"/>
      <c r="VRF80" s="50"/>
      <c r="VRG80" s="50"/>
      <c r="VRH80" s="50"/>
      <c r="VRI80" s="50"/>
      <c r="VRJ80" s="50"/>
      <c r="VRK80" s="50"/>
      <c r="VRL80" s="50"/>
      <c r="VRM80" s="50"/>
      <c r="VRN80" s="50"/>
      <c r="VRO80" s="50"/>
      <c r="VRP80" s="50"/>
      <c r="VRQ80" s="50"/>
      <c r="VRR80" s="50"/>
      <c r="VRS80" s="50"/>
      <c r="VRT80" s="50"/>
      <c r="VRU80" s="50"/>
      <c r="VRV80" s="50"/>
      <c r="VRW80" s="50"/>
      <c r="VRX80" s="50"/>
      <c r="VRY80" s="50"/>
      <c r="VRZ80" s="50"/>
      <c r="VSA80" s="50"/>
      <c r="VSB80" s="50"/>
      <c r="VSC80" s="50"/>
      <c r="VSD80" s="50"/>
      <c r="VSE80" s="50"/>
      <c r="VSF80" s="50"/>
      <c r="VSG80" s="50"/>
      <c r="VSH80" s="50"/>
      <c r="VSI80" s="50"/>
      <c r="VSJ80" s="50"/>
      <c r="VSK80" s="50"/>
      <c r="VSL80" s="50"/>
      <c r="VSM80" s="50"/>
      <c r="VSN80" s="50"/>
      <c r="VSO80" s="50"/>
      <c r="VSP80" s="50"/>
      <c r="VSQ80" s="50"/>
      <c r="VSR80" s="50"/>
      <c r="VSS80" s="50"/>
      <c r="VST80" s="50"/>
      <c r="VSU80" s="50"/>
      <c r="VSV80" s="50"/>
      <c r="VSW80" s="50"/>
      <c r="VSX80" s="50"/>
      <c r="VSY80" s="50"/>
      <c r="VSZ80" s="50"/>
      <c r="VTA80" s="50"/>
      <c r="VTB80" s="50"/>
      <c r="VTC80" s="50"/>
      <c r="VTD80" s="50"/>
      <c r="VTE80" s="50"/>
      <c r="VTF80" s="50"/>
      <c r="VTG80" s="50"/>
      <c r="VTH80" s="50"/>
      <c r="VTI80" s="50"/>
      <c r="VTJ80" s="50"/>
      <c r="VTK80" s="50"/>
      <c r="VTL80" s="50"/>
      <c r="VTM80" s="50"/>
      <c r="VTN80" s="50"/>
      <c r="VTO80" s="50"/>
      <c r="VTP80" s="50"/>
      <c r="VTQ80" s="50"/>
      <c r="VTR80" s="50"/>
      <c r="VTS80" s="50"/>
      <c r="VTT80" s="50"/>
      <c r="VTU80" s="50"/>
      <c r="VTV80" s="50"/>
      <c r="VTW80" s="50"/>
      <c r="VTX80" s="50"/>
      <c r="VTY80" s="50"/>
      <c r="VTZ80" s="50"/>
      <c r="VUA80" s="50"/>
      <c r="VUB80" s="50"/>
      <c r="VUC80" s="50"/>
      <c r="VUD80" s="50"/>
      <c r="VUE80" s="50"/>
      <c r="VUF80" s="50"/>
      <c r="VUG80" s="50"/>
      <c r="VUH80" s="50"/>
      <c r="VUI80" s="50"/>
      <c r="VUJ80" s="50"/>
      <c r="VUK80" s="50"/>
      <c r="VUL80" s="50"/>
      <c r="VUM80" s="50"/>
      <c r="VUN80" s="50"/>
      <c r="VUO80" s="50"/>
      <c r="VUP80" s="50"/>
      <c r="VUQ80" s="50"/>
      <c r="VUR80" s="50"/>
      <c r="VUS80" s="50"/>
      <c r="VUT80" s="50"/>
      <c r="VUU80" s="50"/>
      <c r="VUV80" s="50"/>
      <c r="VUW80" s="50"/>
      <c r="VUX80" s="50"/>
      <c r="VUY80" s="50"/>
      <c r="VUZ80" s="50"/>
      <c r="VVA80" s="50"/>
      <c r="VVB80" s="50"/>
      <c r="VVC80" s="50"/>
      <c r="VVD80" s="50"/>
      <c r="VVE80" s="50"/>
      <c r="VVF80" s="50"/>
      <c r="VVG80" s="50"/>
      <c r="VVH80" s="50"/>
      <c r="VVI80" s="50"/>
      <c r="VVJ80" s="50"/>
      <c r="VVK80" s="50"/>
      <c r="VVL80" s="50"/>
      <c r="VVM80" s="50"/>
      <c r="VVN80" s="50"/>
    </row>
    <row r="81" spans="2:100 15066:15458" s="1" customFormat="1" hidden="1" x14ac:dyDescent="0.25">
      <c r="B81" s="15"/>
      <c r="C81" s="30" t="s">
        <v>29</v>
      </c>
      <c r="D81" s="69"/>
      <c r="E81" s="1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L81" s="72" t="s">
        <v>29</v>
      </c>
      <c r="CV81" s="152"/>
    </row>
    <row r="82" spans="2:100 15066:15458" s="1" customFormat="1" hidden="1" x14ac:dyDescent="0.25">
      <c r="B82" s="15"/>
      <c r="C82" s="14" t="s">
        <v>49</v>
      </c>
      <c r="D82" s="69"/>
      <c r="E82" s="20" t="s">
        <v>31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L82" s="63">
        <v>0</v>
      </c>
      <c r="CV82" s="152"/>
    </row>
    <row r="83" spans="2:100 15066:15458" s="1" customFormat="1" hidden="1" x14ac:dyDescent="0.25">
      <c r="B83" s="15"/>
      <c r="C83" s="14" t="s">
        <v>48</v>
      </c>
      <c r="D83" s="69"/>
      <c r="E83" s="20" t="s">
        <v>31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L83" s="63">
        <v>0</v>
      </c>
      <c r="CV83" s="152"/>
    </row>
    <row r="84" spans="2:100 15066:15458" s="1" customFormat="1" hidden="1" x14ac:dyDescent="0.25">
      <c r="B84" s="15"/>
      <c r="C84" s="30" t="s">
        <v>28</v>
      </c>
      <c r="D84" s="69"/>
      <c r="E84" s="1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L84" s="72" t="s">
        <v>28</v>
      </c>
      <c r="CD84" s="152"/>
      <c r="CE84" s="152"/>
      <c r="CF84" s="152"/>
      <c r="CG84" s="152"/>
      <c r="CH84" s="152"/>
      <c r="CI84" s="152"/>
      <c r="CJ84" s="152"/>
      <c r="CK84" s="152"/>
      <c r="CL84" s="152"/>
      <c r="CM84" s="152"/>
      <c r="CV84" s="152"/>
    </row>
    <row r="85" spans="2:100 15066:15458" s="1" customFormat="1" hidden="1" x14ac:dyDescent="0.25">
      <c r="B85" s="15"/>
      <c r="C85" s="14" t="s">
        <v>49</v>
      </c>
      <c r="D85" s="69"/>
      <c r="E85" s="20" t="s">
        <v>28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>
        <v>0</v>
      </c>
      <c r="AJ85" s="33">
        <v>0</v>
      </c>
      <c r="AL85" s="63">
        <v>0</v>
      </c>
      <c r="CD85" s="156"/>
      <c r="CE85" s="152"/>
      <c r="CF85" s="152"/>
      <c r="CG85" s="152"/>
      <c r="CH85" s="159"/>
      <c r="CI85" s="152"/>
      <c r="CJ85" s="152"/>
      <c r="CK85" s="152"/>
      <c r="CL85" s="152"/>
      <c r="CM85" s="152"/>
      <c r="CV85" s="152"/>
    </row>
    <row r="86" spans="2:100 15066:15458" s="1" customFormat="1" hidden="1" x14ac:dyDescent="0.25">
      <c r="B86" s="15"/>
      <c r="C86" s="14" t="s">
        <v>48</v>
      </c>
      <c r="D86" s="69"/>
      <c r="E86" s="20" t="s">
        <v>28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>
        <v>0</v>
      </c>
      <c r="AJ86" s="33">
        <v>0</v>
      </c>
      <c r="AL86" s="63">
        <v>0</v>
      </c>
      <c r="CD86" s="151"/>
      <c r="CE86" s="152"/>
      <c r="CF86" s="152"/>
      <c r="CG86" s="152"/>
      <c r="CH86" s="152"/>
      <c r="CI86" s="152"/>
      <c r="CJ86" s="152"/>
      <c r="CK86" s="152"/>
      <c r="CL86" s="152"/>
      <c r="CM86" s="152"/>
      <c r="CV86" s="152"/>
    </row>
    <row r="87" spans="2:100 15066:15458" hidden="1" x14ac:dyDescent="0.25">
      <c r="B87" s="8"/>
      <c r="C87" s="53" t="s">
        <v>30</v>
      </c>
      <c r="D87" s="54"/>
      <c r="E87" s="55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3"/>
      <c r="AL87" s="87" t="s">
        <v>132</v>
      </c>
      <c r="CD87" s="151"/>
      <c r="CE87" s="151"/>
      <c r="CF87" s="151"/>
      <c r="CG87" s="151"/>
      <c r="CH87" s="151"/>
      <c r="CI87" s="151"/>
      <c r="CJ87" s="151"/>
      <c r="CK87" s="151"/>
      <c r="CL87" s="151"/>
      <c r="CM87" s="151"/>
    </row>
    <row r="88" spans="2:100 15066:15458" s="1" customFormat="1" hidden="1" x14ac:dyDescent="0.25">
      <c r="B88" s="15"/>
      <c r="C88" s="30" t="s">
        <v>29</v>
      </c>
      <c r="D88" s="69"/>
      <c r="E88" s="1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L88" s="72" t="s">
        <v>29</v>
      </c>
      <c r="CD88" s="152"/>
      <c r="CE88" s="152"/>
      <c r="CF88" s="152"/>
      <c r="CG88" s="152"/>
      <c r="CH88" s="152"/>
      <c r="CI88" s="152"/>
      <c r="CJ88" s="152"/>
      <c r="CK88" s="152"/>
      <c r="CL88" s="152"/>
      <c r="CM88" s="152"/>
      <c r="CV88" s="152"/>
    </row>
    <row r="89" spans="2:100 15066:15458" s="1" customFormat="1" hidden="1" x14ac:dyDescent="0.25">
      <c r="B89" s="15"/>
      <c r="C89" s="14" t="s">
        <v>49</v>
      </c>
      <c r="D89" s="136">
        <v>0.3</v>
      </c>
      <c r="E89" s="20" t="s">
        <v>25</v>
      </c>
      <c r="F89" s="34" t="e">
        <v>#DIV/0!</v>
      </c>
      <c r="G89" s="34" t="e">
        <v>#DIV/0!</v>
      </c>
      <c r="H89" s="34" t="e">
        <v>#DIV/0!</v>
      </c>
      <c r="I89" s="34" t="e">
        <v>#DIV/0!</v>
      </c>
      <c r="J89" s="34" t="e">
        <v>#DIV/0!</v>
      </c>
      <c r="K89" s="34" t="e">
        <v>#DIV/0!</v>
      </c>
      <c r="L89" s="34" t="e">
        <v>#DIV/0!</v>
      </c>
      <c r="M89" s="34" t="e">
        <v>#DIV/0!</v>
      </c>
      <c r="N89" s="34" t="e">
        <v>#DIV/0!</v>
      </c>
      <c r="O89" s="34" t="e">
        <v>#DIV/0!</v>
      </c>
      <c r="P89" s="34" t="e">
        <v>#DIV/0!</v>
      </c>
      <c r="Q89" s="34" t="e">
        <v>#DIV/0!</v>
      </c>
      <c r="R89" s="34" t="e">
        <v>#DIV/0!</v>
      </c>
      <c r="S89" s="34" t="e">
        <v>#DIV/0!</v>
      </c>
      <c r="T89" s="34" t="e">
        <v>#DIV/0!</v>
      </c>
      <c r="U89" s="34" t="e">
        <v>#DIV/0!</v>
      </c>
      <c r="V89" s="34" t="e">
        <v>#DIV/0!</v>
      </c>
      <c r="W89" s="34" t="e">
        <v>#DIV/0!</v>
      </c>
      <c r="X89" s="34" t="e">
        <v>#DIV/0!</v>
      </c>
      <c r="Y89" s="34" t="e">
        <v>#DIV/0!</v>
      </c>
      <c r="Z89" s="34" t="e">
        <v>#DIV/0!</v>
      </c>
      <c r="AA89" s="34" t="e">
        <v>#DIV/0!</v>
      </c>
      <c r="AB89" s="34" t="e">
        <v>#DIV/0!</v>
      </c>
      <c r="AC89" s="34" t="e">
        <v>#DIV/0!</v>
      </c>
      <c r="AD89" s="34" t="e">
        <v>#DIV/0!</v>
      </c>
      <c r="AE89" s="34" t="e">
        <v>#DIV/0!</v>
      </c>
      <c r="AF89" s="34" t="e">
        <v>#DIV/0!</v>
      </c>
      <c r="AG89" s="34" t="e">
        <v>#DIV/0!</v>
      </c>
      <c r="AH89" s="34" t="e">
        <v>#DIV/0!</v>
      </c>
      <c r="AI89" s="34" t="e">
        <v>#DIV/0!</v>
      </c>
      <c r="AJ89" s="34" t="e">
        <v>#DIV/0!</v>
      </c>
      <c r="AL89" s="67" t="e">
        <v>#DIV/0!</v>
      </c>
      <c r="CD89" s="152"/>
      <c r="CE89" s="152"/>
      <c r="CF89" s="152"/>
      <c r="CG89" s="152"/>
      <c r="CH89" s="152"/>
      <c r="CI89" s="152"/>
      <c r="CJ89" s="152"/>
      <c r="CK89" s="152"/>
      <c r="CL89" s="152"/>
      <c r="CM89" s="152"/>
      <c r="CV89" s="152"/>
    </row>
    <row r="90" spans="2:100 15066:15458" s="1" customFormat="1" hidden="1" x14ac:dyDescent="0.25">
      <c r="B90" s="15"/>
      <c r="C90" s="14" t="s">
        <v>48</v>
      </c>
      <c r="D90" s="136">
        <v>0.3</v>
      </c>
      <c r="E90" s="20" t="s">
        <v>25</v>
      </c>
      <c r="F90" s="34" t="e">
        <v>#DIV/0!</v>
      </c>
      <c r="G90" s="34" t="e">
        <v>#DIV/0!</v>
      </c>
      <c r="H90" s="34" t="e">
        <v>#DIV/0!</v>
      </c>
      <c r="I90" s="34" t="e">
        <v>#DIV/0!</v>
      </c>
      <c r="J90" s="34" t="e">
        <v>#DIV/0!</v>
      </c>
      <c r="K90" s="34" t="e">
        <v>#DIV/0!</v>
      </c>
      <c r="L90" s="34" t="e">
        <v>#DIV/0!</v>
      </c>
      <c r="M90" s="34" t="e">
        <v>#DIV/0!</v>
      </c>
      <c r="N90" s="34" t="e">
        <v>#DIV/0!</v>
      </c>
      <c r="O90" s="34" t="e">
        <v>#DIV/0!</v>
      </c>
      <c r="P90" s="34" t="e">
        <v>#DIV/0!</v>
      </c>
      <c r="Q90" s="34" t="e">
        <v>#DIV/0!</v>
      </c>
      <c r="R90" s="34" t="e">
        <v>#DIV/0!</v>
      </c>
      <c r="S90" s="34" t="e">
        <v>#DIV/0!</v>
      </c>
      <c r="T90" s="34" t="e">
        <v>#DIV/0!</v>
      </c>
      <c r="U90" s="34" t="e">
        <v>#DIV/0!</v>
      </c>
      <c r="V90" s="34" t="e">
        <v>#DIV/0!</v>
      </c>
      <c r="W90" s="34" t="e">
        <v>#DIV/0!</v>
      </c>
      <c r="X90" s="34" t="e">
        <v>#DIV/0!</v>
      </c>
      <c r="Y90" s="34" t="e">
        <v>#DIV/0!</v>
      </c>
      <c r="Z90" s="34" t="e">
        <v>#DIV/0!</v>
      </c>
      <c r="AA90" s="34" t="e">
        <v>#DIV/0!</v>
      </c>
      <c r="AB90" s="34" t="e">
        <v>#DIV/0!</v>
      </c>
      <c r="AC90" s="34" t="e">
        <v>#DIV/0!</v>
      </c>
      <c r="AD90" s="34" t="e">
        <v>#DIV/0!</v>
      </c>
      <c r="AE90" s="34" t="e">
        <v>#DIV/0!</v>
      </c>
      <c r="AF90" s="34" t="e">
        <v>#DIV/0!</v>
      </c>
      <c r="AG90" s="34" t="e">
        <v>#DIV/0!</v>
      </c>
      <c r="AH90" s="34" t="e">
        <v>#DIV/0!</v>
      </c>
      <c r="AI90" s="34" t="e">
        <v>#DIV/0!</v>
      </c>
      <c r="AJ90" s="34" t="e">
        <v>#DIV/0!</v>
      </c>
      <c r="AL90" s="67" t="e">
        <v>#DIV/0!</v>
      </c>
      <c r="CD90" s="152"/>
      <c r="CE90" s="152"/>
      <c r="CF90" s="152"/>
      <c r="CG90" s="152"/>
      <c r="CH90" s="152"/>
      <c r="CI90" s="152"/>
      <c r="CJ90" s="152"/>
      <c r="CK90" s="152"/>
      <c r="CL90" s="152"/>
      <c r="CM90" s="152"/>
      <c r="CV90" s="152"/>
    </row>
    <row r="91" spans="2:100 15066:15458" s="1" customFormat="1" hidden="1" x14ac:dyDescent="0.25">
      <c r="B91" s="15"/>
      <c r="C91" s="30" t="s">
        <v>28</v>
      </c>
      <c r="D91" s="136"/>
      <c r="E91" s="13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L91" s="72" t="s">
        <v>28</v>
      </c>
      <c r="CD91" s="152"/>
      <c r="CE91" s="152"/>
      <c r="CF91" s="152"/>
      <c r="CG91" s="152"/>
      <c r="CH91" s="152"/>
      <c r="CI91" s="152"/>
      <c r="CJ91" s="152"/>
      <c r="CK91" s="152"/>
      <c r="CL91" s="152"/>
      <c r="CM91" s="152"/>
      <c r="CV91" s="152"/>
    </row>
    <row r="92" spans="2:100 15066:15458" s="1" customFormat="1" hidden="1" x14ac:dyDescent="0.25">
      <c r="B92" s="15"/>
      <c r="C92" s="14" t="s">
        <v>49</v>
      </c>
      <c r="D92" s="136">
        <v>0.5</v>
      </c>
      <c r="E92" s="20" t="s">
        <v>25</v>
      </c>
      <c r="F92" s="34" t="e">
        <v>#DIV/0!</v>
      </c>
      <c r="G92" s="34" t="e">
        <v>#DIV/0!</v>
      </c>
      <c r="H92" s="34" t="e">
        <v>#DIV/0!</v>
      </c>
      <c r="I92" s="34" t="e">
        <v>#DIV/0!</v>
      </c>
      <c r="J92" s="34" t="e">
        <v>#DIV/0!</v>
      </c>
      <c r="K92" s="34" t="e">
        <v>#DIV/0!</v>
      </c>
      <c r="L92" s="34" t="e">
        <v>#DIV/0!</v>
      </c>
      <c r="M92" s="34" t="e">
        <v>#DIV/0!</v>
      </c>
      <c r="N92" s="34" t="e">
        <v>#DIV/0!</v>
      </c>
      <c r="O92" s="34" t="e">
        <v>#DIV/0!</v>
      </c>
      <c r="P92" s="34" t="e">
        <v>#DIV/0!</v>
      </c>
      <c r="Q92" s="34" t="e">
        <v>#DIV/0!</v>
      </c>
      <c r="R92" s="34" t="e">
        <v>#DIV/0!</v>
      </c>
      <c r="S92" s="34" t="e">
        <v>#DIV/0!</v>
      </c>
      <c r="T92" s="34" t="e">
        <v>#DIV/0!</v>
      </c>
      <c r="U92" s="34" t="e">
        <v>#DIV/0!</v>
      </c>
      <c r="V92" s="34" t="e">
        <v>#DIV/0!</v>
      </c>
      <c r="W92" s="34" t="e">
        <v>#DIV/0!</v>
      </c>
      <c r="X92" s="34" t="e">
        <v>#DIV/0!</v>
      </c>
      <c r="Y92" s="34" t="e">
        <v>#DIV/0!</v>
      </c>
      <c r="Z92" s="34" t="e">
        <v>#DIV/0!</v>
      </c>
      <c r="AA92" s="34" t="e">
        <v>#DIV/0!</v>
      </c>
      <c r="AB92" s="34" t="e">
        <v>#DIV/0!</v>
      </c>
      <c r="AC92" s="34" t="e">
        <v>#DIV/0!</v>
      </c>
      <c r="AD92" s="34" t="e">
        <v>#DIV/0!</v>
      </c>
      <c r="AE92" s="34" t="e">
        <v>#DIV/0!</v>
      </c>
      <c r="AF92" s="34" t="e">
        <v>#DIV/0!</v>
      </c>
      <c r="AG92" s="34" t="e">
        <v>#DIV/0!</v>
      </c>
      <c r="AH92" s="34" t="e">
        <v>#DIV/0!</v>
      </c>
      <c r="AI92" s="34" t="e">
        <v>#DIV/0!</v>
      </c>
      <c r="AJ92" s="34" t="e">
        <v>#DIV/0!</v>
      </c>
      <c r="AL92" s="67" t="e">
        <v>#DIV/0!</v>
      </c>
      <c r="CD92" s="152"/>
      <c r="CE92" s="152"/>
      <c r="CF92" s="152"/>
      <c r="CG92" s="152"/>
      <c r="CH92" s="152"/>
      <c r="CI92" s="152"/>
      <c r="CJ92" s="152"/>
      <c r="CK92" s="152"/>
      <c r="CL92" s="152"/>
      <c r="CM92" s="152"/>
      <c r="CV92" s="152"/>
    </row>
    <row r="93" spans="2:100 15066:15458" s="1" customFormat="1" ht="15.75" hidden="1" thickBot="1" x14ac:dyDescent="0.3">
      <c r="B93" s="19"/>
      <c r="C93" s="14" t="s">
        <v>48</v>
      </c>
      <c r="D93" s="136">
        <v>0.5</v>
      </c>
      <c r="E93" s="20" t="s">
        <v>25</v>
      </c>
      <c r="F93" s="34" t="e">
        <v>#DIV/0!</v>
      </c>
      <c r="G93" s="34" t="e">
        <v>#DIV/0!</v>
      </c>
      <c r="H93" s="34" t="e">
        <v>#DIV/0!</v>
      </c>
      <c r="I93" s="34" t="e">
        <v>#DIV/0!</v>
      </c>
      <c r="J93" s="34" t="e">
        <v>#DIV/0!</v>
      </c>
      <c r="K93" s="34" t="e">
        <v>#DIV/0!</v>
      </c>
      <c r="L93" s="34" t="e">
        <v>#DIV/0!</v>
      </c>
      <c r="M93" s="34" t="e">
        <v>#DIV/0!</v>
      </c>
      <c r="N93" s="34" t="e">
        <v>#DIV/0!</v>
      </c>
      <c r="O93" s="34" t="e">
        <v>#DIV/0!</v>
      </c>
      <c r="P93" s="34" t="e">
        <v>#DIV/0!</v>
      </c>
      <c r="Q93" s="34" t="e">
        <v>#DIV/0!</v>
      </c>
      <c r="R93" s="34" t="e">
        <v>#DIV/0!</v>
      </c>
      <c r="S93" s="34" t="e">
        <v>#DIV/0!</v>
      </c>
      <c r="T93" s="34" t="e">
        <v>#DIV/0!</v>
      </c>
      <c r="U93" s="34" t="e">
        <v>#DIV/0!</v>
      </c>
      <c r="V93" s="34" t="e">
        <v>#DIV/0!</v>
      </c>
      <c r="W93" s="34" t="e">
        <v>#DIV/0!</v>
      </c>
      <c r="X93" s="34" t="e">
        <v>#DIV/0!</v>
      </c>
      <c r="Y93" s="34" t="e">
        <v>#DIV/0!</v>
      </c>
      <c r="Z93" s="34" t="e">
        <v>#DIV/0!</v>
      </c>
      <c r="AA93" s="34" t="e">
        <v>#DIV/0!</v>
      </c>
      <c r="AB93" s="34" t="e">
        <v>#DIV/0!</v>
      </c>
      <c r="AC93" s="34" t="e">
        <v>#DIV/0!</v>
      </c>
      <c r="AD93" s="34" t="e">
        <v>#DIV/0!</v>
      </c>
      <c r="AE93" s="34" t="e">
        <v>#DIV/0!</v>
      </c>
      <c r="AF93" s="34" t="e">
        <v>#DIV/0!</v>
      </c>
      <c r="AG93" s="34" t="e">
        <v>#DIV/0!</v>
      </c>
      <c r="AH93" s="34" t="e">
        <v>#DIV/0!</v>
      </c>
      <c r="AI93" s="34" t="e">
        <v>#DIV/0!</v>
      </c>
      <c r="AJ93" s="34" t="e">
        <v>#DIV/0!</v>
      </c>
      <c r="AL93" s="67" t="e">
        <v>#DIV/0!</v>
      </c>
      <c r="CD93" s="152"/>
      <c r="CE93" s="152"/>
      <c r="CF93" s="152"/>
      <c r="CG93" s="152"/>
      <c r="CH93" s="152"/>
      <c r="CI93" s="152"/>
      <c r="CJ93" s="152"/>
      <c r="CK93" s="152"/>
      <c r="CL93" s="152"/>
      <c r="CM93" s="152"/>
      <c r="CV93" s="152"/>
    </row>
    <row r="94" spans="2:100 15066:15458" s="1" customFormat="1" hidden="1" x14ac:dyDescent="0.25">
      <c r="B94" s="8">
        <v>5</v>
      </c>
      <c r="C94" s="53" t="s">
        <v>47</v>
      </c>
      <c r="D94" s="54"/>
      <c r="E94" s="55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3"/>
      <c r="AL94" s="87" t="s">
        <v>131</v>
      </c>
      <c r="CD94" s="151"/>
      <c r="CE94" s="151"/>
      <c r="CF94" s="152"/>
      <c r="CG94" s="152"/>
      <c r="CH94" s="151"/>
      <c r="CI94" s="152"/>
      <c r="CJ94" s="151"/>
      <c r="CK94" s="151"/>
      <c r="CL94" s="151"/>
      <c r="CM94" s="151"/>
      <c r="CV94" s="151"/>
      <c r="VGL94" s="50"/>
      <c r="VGM94" s="50"/>
      <c r="VGN94" s="50"/>
      <c r="VGO94" s="50"/>
      <c r="VGP94" s="50"/>
      <c r="VGQ94" s="50"/>
      <c r="VGR94" s="50"/>
      <c r="VGS94" s="50"/>
      <c r="VGT94" s="50"/>
      <c r="VGU94" s="50"/>
      <c r="VGV94" s="50"/>
      <c r="VGW94" s="50"/>
      <c r="VGX94" s="50"/>
      <c r="VGY94" s="50"/>
      <c r="VGZ94" s="50"/>
      <c r="VHA94" s="50"/>
      <c r="VHB94" s="50"/>
      <c r="VHC94" s="50"/>
      <c r="VHD94" s="50"/>
      <c r="VHE94" s="50"/>
      <c r="VHF94" s="50"/>
      <c r="VHG94" s="50"/>
      <c r="VHH94" s="50"/>
      <c r="VHI94" s="50"/>
      <c r="VHJ94" s="50"/>
      <c r="VHK94" s="50"/>
      <c r="VHL94" s="50"/>
      <c r="VHM94" s="50"/>
      <c r="VHN94" s="50"/>
      <c r="VHO94" s="50"/>
      <c r="VHP94" s="50"/>
      <c r="VHQ94" s="50"/>
      <c r="VHR94" s="50"/>
      <c r="VHS94" s="50"/>
      <c r="VHT94" s="50"/>
      <c r="VHU94" s="50"/>
      <c r="VHV94" s="50"/>
      <c r="VHW94" s="50"/>
      <c r="VHX94" s="50"/>
      <c r="VHY94" s="50"/>
      <c r="VHZ94" s="50"/>
      <c r="VIA94" s="50"/>
      <c r="VIB94" s="50"/>
      <c r="VIC94" s="50"/>
      <c r="VID94" s="50"/>
      <c r="VIE94" s="50"/>
      <c r="VIF94" s="50"/>
      <c r="VIG94" s="50"/>
      <c r="VIH94" s="50"/>
      <c r="VII94" s="50"/>
      <c r="VIJ94" s="50"/>
      <c r="VIK94" s="50"/>
      <c r="VIL94" s="50"/>
      <c r="VIM94" s="50"/>
      <c r="VIN94" s="50"/>
      <c r="VIO94" s="50"/>
      <c r="VIP94" s="50"/>
      <c r="VIQ94" s="50"/>
      <c r="VIR94" s="50"/>
      <c r="VIS94" s="50"/>
      <c r="VIT94" s="50"/>
      <c r="VIU94" s="50"/>
      <c r="VIV94" s="50"/>
      <c r="VIW94" s="50"/>
      <c r="VIX94" s="50"/>
      <c r="VIY94" s="50"/>
      <c r="VIZ94" s="50"/>
      <c r="VJA94" s="50"/>
      <c r="VJB94" s="50"/>
      <c r="VJC94" s="50"/>
      <c r="VJD94" s="50"/>
      <c r="VJE94" s="50"/>
      <c r="VJF94" s="50"/>
      <c r="VJG94" s="50"/>
      <c r="VJH94" s="50"/>
      <c r="VJI94" s="50"/>
      <c r="VJJ94" s="50"/>
      <c r="VJK94" s="50"/>
      <c r="VJL94" s="50"/>
      <c r="VJM94" s="50"/>
      <c r="VJN94" s="50"/>
      <c r="VJO94" s="50"/>
      <c r="VJP94" s="50"/>
      <c r="VJQ94" s="50"/>
      <c r="VJR94" s="50"/>
      <c r="VJS94" s="50"/>
      <c r="VJT94" s="50"/>
      <c r="VJU94" s="50"/>
      <c r="VJV94" s="50"/>
      <c r="VJW94" s="50"/>
      <c r="VJX94" s="50"/>
      <c r="VJY94" s="50"/>
      <c r="VJZ94" s="50"/>
      <c r="VKA94" s="50"/>
      <c r="VKB94" s="50"/>
      <c r="VKC94" s="50"/>
      <c r="VKD94" s="50"/>
      <c r="VKE94" s="50"/>
      <c r="VKF94" s="50"/>
      <c r="VKG94" s="50"/>
      <c r="VKH94" s="50"/>
      <c r="VKI94" s="50"/>
      <c r="VKJ94" s="50"/>
      <c r="VKK94" s="50"/>
      <c r="VKL94" s="50"/>
      <c r="VKM94" s="50"/>
      <c r="VKN94" s="50"/>
      <c r="VKO94" s="50"/>
      <c r="VKP94" s="50"/>
      <c r="VKQ94" s="50"/>
      <c r="VKR94" s="50"/>
      <c r="VKS94" s="50"/>
      <c r="VKT94" s="50"/>
      <c r="VKU94" s="50"/>
      <c r="VKV94" s="50"/>
      <c r="VKW94" s="50"/>
      <c r="VKX94" s="50"/>
      <c r="VKY94" s="50"/>
      <c r="VKZ94" s="50"/>
      <c r="VLA94" s="50"/>
      <c r="VLB94" s="50"/>
      <c r="VLC94" s="50"/>
      <c r="VLD94" s="50"/>
      <c r="VLE94" s="50"/>
      <c r="VLF94" s="50"/>
      <c r="VLG94" s="50"/>
      <c r="VLH94" s="50"/>
      <c r="VLI94" s="50"/>
      <c r="VLJ94" s="50"/>
      <c r="VLK94" s="50"/>
      <c r="VLL94" s="50"/>
      <c r="VLM94" s="50"/>
      <c r="VLN94" s="50"/>
      <c r="VLO94" s="50"/>
      <c r="VLP94" s="50"/>
      <c r="VLQ94" s="50"/>
      <c r="VLR94" s="50"/>
      <c r="VLS94" s="50"/>
      <c r="VLT94" s="50"/>
      <c r="VLU94" s="50"/>
      <c r="VLV94" s="50"/>
      <c r="VLW94" s="50"/>
      <c r="VLX94" s="50"/>
      <c r="VLY94" s="50"/>
      <c r="VLZ94" s="50"/>
      <c r="VMA94" s="50"/>
      <c r="VMB94" s="50"/>
      <c r="VMC94" s="50"/>
      <c r="VMD94" s="50"/>
      <c r="VME94" s="50"/>
      <c r="VMF94" s="50"/>
      <c r="VMG94" s="50"/>
      <c r="VMH94" s="50"/>
      <c r="VMI94" s="50"/>
      <c r="VMJ94" s="50"/>
      <c r="VMK94" s="50"/>
      <c r="VML94" s="50"/>
      <c r="VMM94" s="50"/>
      <c r="VMN94" s="50"/>
      <c r="VMO94" s="50"/>
      <c r="VMP94" s="50"/>
      <c r="VMQ94" s="50"/>
      <c r="VMR94" s="50"/>
      <c r="VMS94" s="50"/>
      <c r="VMT94" s="50"/>
      <c r="VMU94" s="50"/>
      <c r="VMV94" s="50"/>
      <c r="VMW94" s="50"/>
      <c r="VMX94" s="50"/>
      <c r="VMY94" s="50"/>
      <c r="VMZ94" s="50"/>
      <c r="VNA94" s="50"/>
      <c r="VNB94" s="50"/>
      <c r="VNC94" s="50"/>
      <c r="VND94" s="50"/>
      <c r="VNE94" s="50"/>
      <c r="VNF94" s="50"/>
      <c r="VNG94" s="50"/>
      <c r="VNH94" s="50"/>
      <c r="VNI94" s="50"/>
      <c r="VNJ94" s="50"/>
      <c r="VNK94" s="50"/>
      <c r="VNL94" s="50"/>
      <c r="VNM94" s="50"/>
      <c r="VNN94" s="50"/>
      <c r="VNO94" s="50"/>
      <c r="VNP94" s="50"/>
      <c r="VNQ94" s="50"/>
      <c r="VNR94" s="50"/>
      <c r="VNS94" s="50"/>
      <c r="VNT94" s="50"/>
      <c r="VNU94" s="50"/>
      <c r="VNV94" s="50"/>
      <c r="VNW94" s="50"/>
      <c r="VNX94" s="50"/>
      <c r="VNY94" s="50"/>
      <c r="VNZ94" s="50"/>
      <c r="VOA94" s="50"/>
      <c r="VOB94" s="50"/>
      <c r="VOC94" s="50"/>
      <c r="VOD94" s="50"/>
      <c r="VOE94" s="50"/>
      <c r="VOF94" s="50"/>
      <c r="VOG94" s="50"/>
      <c r="VOH94" s="50"/>
      <c r="VOI94" s="50"/>
      <c r="VOJ94" s="50"/>
      <c r="VOK94" s="50"/>
      <c r="VOL94" s="50"/>
      <c r="VOM94" s="50"/>
      <c r="VON94" s="50"/>
      <c r="VOO94" s="50"/>
      <c r="VOP94" s="50"/>
      <c r="VOQ94" s="50"/>
      <c r="VOR94" s="50"/>
      <c r="VOS94" s="50"/>
      <c r="VOT94" s="50"/>
      <c r="VOU94" s="50"/>
      <c r="VOV94" s="50"/>
      <c r="VOW94" s="50"/>
      <c r="VOX94" s="50"/>
      <c r="VOY94" s="50"/>
      <c r="VOZ94" s="50"/>
      <c r="VPA94" s="50"/>
      <c r="VPB94" s="50"/>
      <c r="VPC94" s="50"/>
      <c r="VPD94" s="50"/>
      <c r="VPE94" s="50"/>
      <c r="VPF94" s="50"/>
      <c r="VPG94" s="50"/>
      <c r="VPH94" s="50"/>
      <c r="VPI94" s="50"/>
      <c r="VPJ94" s="50"/>
      <c r="VPK94" s="50"/>
      <c r="VPL94" s="50"/>
      <c r="VPM94" s="50"/>
      <c r="VPN94" s="50"/>
      <c r="VPO94" s="50"/>
      <c r="VPP94" s="50"/>
      <c r="VPQ94" s="50"/>
      <c r="VPR94" s="50"/>
      <c r="VPS94" s="50"/>
      <c r="VPT94" s="50"/>
      <c r="VPU94" s="50"/>
      <c r="VPV94" s="50"/>
      <c r="VPW94" s="50"/>
      <c r="VPX94" s="50"/>
      <c r="VPY94" s="50"/>
      <c r="VPZ94" s="50"/>
      <c r="VQA94" s="50"/>
      <c r="VQB94" s="50"/>
      <c r="VQC94" s="50"/>
      <c r="VQD94" s="50"/>
      <c r="VQE94" s="50"/>
      <c r="VQF94" s="50"/>
      <c r="VQG94" s="50"/>
      <c r="VQH94" s="50"/>
      <c r="VQI94" s="50"/>
      <c r="VQJ94" s="50"/>
      <c r="VQK94" s="50"/>
      <c r="VQL94" s="50"/>
      <c r="VQM94" s="50"/>
      <c r="VQN94" s="50"/>
      <c r="VQO94" s="50"/>
      <c r="VQP94" s="50"/>
      <c r="VQQ94" s="50"/>
      <c r="VQR94" s="50"/>
      <c r="VQS94" s="50"/>
      <c r="VQT94" s="50"/>
      <c r="VQU94" s="50"/>
      <c r="VQV94" s="50"/>
      <c r="VQW94" s="50"/>
      <c r="VQX94" s="50"/>
      <c r="VQY94" s="50"/>
      <c r="VQZ94" s="50"/>
      <c r="VRA94" s="50"/>
      <c r="VRB94" s="50"/>
      <c r="VRC94" s="50"/>
      <c r="VRD94" s="50"/>
      <c r="VRE94" s="50"/>
      <c r="VRF94" s="50"/>
      <c r="VRG94" s="50"/>
      <c r="VRH94" s="50"/>
      <c r="VRI94" s="50"/>
      <c r="VRJ94" s="50"/>
      <c r="VRK94" s="50"/>
      <c r="VRL94" s="50"/>
      <c r="VRM94" s="50"/>
      <c r="VRN94" s="50"/>
      <c r="VRO94" s="50"/>
      <c r="VRP94" s="50"/>
      <c r="VRQ94" s="50"/>
      <c r="VRR94" s="50"/>
      <c r="VRS94" s="50"/>
      <c r="VRT94" s="50"/>
      <c r="VRU94" s="50"/>
      <c r="VRV94" s="50"/>
      <c r="VRW94" s="50"/>
      <c r="VRX94" s="50"/>
      <c r="VRY94" s="50"/>
      <c r="VRZ94" s="50"/>
      <c r="VSA94" s="50"/>
      <c r="VSB94" s="50"/>
      <c r="VSC94" s="50"/>
      <c r="VSD94" s="50"/>
      <c r="VSE94" s="50"/>
      <c r="VSF94" s="50"/>
      <c r="VSG94" s="50"/>
      <c r="VSH94" s="50"/>
      <c r="VSI94" s="50"/>
      <c r="VSJ94" s="50"/>
      <c r="VSK94" s="50"/>
      <c r="VSL94" s="50"/>
      <c r="VSM94" s="50"/>
      <c r="VSN94" s="50"/>
      <c r="VSO94" s="50"/>
      <c r="VSP94" s="50"/>
      <c r="VSQ94" s="50"/>
      <c r="VSR94" s="50"/>
      <c r="VSS94" s="50"/>
      <c r="VST94" s="50"/>
      <c r="VSU94" s="50"/>
      <c r="VSV94" s="50"/>
      <c r="VSW94" s="50"/>
      <c r="VSX94" s="50"/>
      <c r="VSY94" s="50"/>
      <c r="VSZ94" s="50"/>
      <c r="VTA94" s="50"/>
      <c r="VTB94" s="50"/>
      <c r="VTC94" s="50"/>
      <c r="VTD94" s="50"/>
      <c r="VTE94" s="50"/>
      <c r="VTF94" s="50"/>
      <c r="VTG94" s="50"/>
      <c r="VTH94" s="50"/>
      <c r="VTI94" s="50"/>
      <c r="VTJ94" s="50"/>
      <c r="VTK94" s="50"/>
      <c r="VTL94" s="50"/>
      <c r="VTM94" s="50"/>
      <c r="VTN94" s="50"/>
      <c r="VTO94" s="50"/>
      <c r="VTP94" s="50"/>
      <c r="VTQ94" s="50"/>
      <c r="VTR94" s="50"/>
      <c r="VTS94" s="50"/>
      <c r="VTT94" s="50"/>
      <c r="VTU94" s="50"/>
      <c r="VTV94" s="50"/>
      <c r="VTW94" s="50"/>
      <c r="VTX94" s="50"/>
      <c r="VTY94" s="50"/>
      <c r="VTZ94" s="50"/>
      <c r="VUA94" s="50"/>
      <c r="VUB94" s="50"/>
      <c r="VUC94" s="50"/>
      <c r="VUD94" s="50"/>
      <c r="VUE94" s="50"/>
      <c r="VUF94" s="50"/>
      <c r="VUG94" s="50"/>
      <c r="VUH94" s="50"/>
      <c r="VUI94" s="50"/>
      <c r="VUJ94" s="50"/>
      <c r="VUK94" s="50"/>
      <c r="VUL94" s="50"/>
      <c r="VUM94" s="50"/>
      <c r="VUN94" s="50"/>
      <c r="VUO94" s="50"/>
      <c r="VUP94" s="50"/>
      <c r="VUQ94" s="50"/>
      <c r="VUR94" s="50"/>
      <c r="VUS94" s="50"/>
      <c r="VUT94" s="50"/>
      <c r="VUU94" s="50"/>
      <c r="VUV94" s="50"/>
      <c r="VUW94" s="50"/>
      <c r="VUX94" s="50"/>
      <c r="VUY94" s="50"/>
      <c r="VUZ94" s="50"/>
      <c r="VVA94" s="50"/>
      <c r="VVB94" s="50"/>
      <c r="VVC94" s="50"/>
      <c r="VVD94" s="50"/>
      <c r="VVE94" s="50"/>
      <c r="VVF94" s="50"/>
      <c r="VVG94" s="50"/>
      <c r="VVH94" s="50"/>
      <c r="VVI94" s="50"/>
      <c r="VVJ94" s="50"/>
      <c r="VVK94" s="50"/>
      <c r="VVL94" s="50"/>
      <c r="VVM94" s="50"/>
      <c r="VVN94" s="50"/>
    </row>
    <row r="95" spans="2:100 15066:15458" s="1" customFormat="1" hidden="1" x14ac:dyDescent="0.25">
      <c r="B95" s="15"/>
      <c r="C95" s="28" t="s">
        <v>46</v>
      </c>
      <c r="D95" s="99"/>
      <c r="E95" s="20" t="s">
        <v>14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2"/>
      <c r="AL95" s="98">
        <v>0</v>
      </c>
      <c r="CD95" s="151"/>
      <c r="CE95" s="152"/>
      <c r="CF95" s="152"/>
      <c r="CG95" s="152"/>
      <c r="CH95" s="151"/>
      <c r="CI95" s="152"/>
      <c r="CJ95" s="152"/>
      <c r="CK95" s="152"/>
      <c r="CL95" s="152"/>
      <c r="CM95" s="152"/>
      <c r="CV95" s="152"/>
    </row>
    <row r="96" spans="2:100 15066:15458" s="1" customFormat="1" hidden="1" x14ac:dyDescent="0.25">
      <c r="B96" s="15"/>
      <c r="C96" s="30" t="s">
        <v>39</v>
      </c>
      <c r="D96" s="69"/>
      <c r="E96" s="20" t="s">
        <v>14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L96" s="67">
        <v>0</v>
      </c>
      <c r="CD96" s="160"/>
      <c r="CE96" s="156"/>
      <c r="CF96" s="156"/>
      <c r="CG96" s="156"/>
      <c r="CH96" s="156"/>
      <c r="CI96" s="156"/>
      <c r="CJ96" s="152"/>
      <c r="CK96" s="152"/>
      <c r="CL96" s="152"/>
      <c r="CM96" s="152"/>
      <c r="CV96" s="152"/>
    </row>
    <row r="97" spans="2:100 15066:15458" s="1" customFormat="1" hidden="1" x14ac:dyDescent="0.25">
      <c r="B97" s="15"/>
      <c r="C97" s="30" t="s">
        <v>38</v>
      </c>
      <c r="D97" s="69"/>
      <c r="E97" s="20" t="s">
        <v>14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L97" s="67">
        <v>0</v>
      </c>
      <c r="CD97" s="152"/>
      <c r="CE97" s="152"/>
      <c r="CF97" s="152"/>
      <c r="CG97" s="152"/>
      <c r="CH97" s="152"/>
      <c r="CI97" s="152"/>
      <c r="CJ97" s="152"/>
      <c r="CK97" s="152"/>
      <c r="CL97" s="152"/>
      <c r="CM97" s="152"/>
      <c r="CV97" s="152"/>
    </row>
    <row r="98" spans="2:100 15066:15458" s="1" customFormat="1" hidden="1" x14ac:dyDescent="0.25">
      <c r="B98" s="15"/>
      <c r="C98" s="30" t="s">
        <v>50</v>
      </c>
      <c r="D98" s="69"/>
      <c r="E98" s="13" t="s">
        <v>14</v>
      </c>
      <c r="F98" s="34">
        <v>0</v>
      </c>
      <c r="G98" s="34"/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L98" s="67">
        <v>0</v>
      </c>
      <c r="CV98" s="152"/>
    </row>
    <row r="99" spans="2:100 15066:15458" s="1" customFormat="1" hidden="1" x14ac:dyDescent="0.25">
      <c r="B99" s="15"/>
      <c r="C99" s="30" t="s">
        <v>29</v>
      </c>
      <c r="D99" s="69"/>
      <c r="E99" s="1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L99" s="72" t="s">
        <v>29</v>
      </c>
      <c r="CD99" s="152"/>
      <c r="CE99" s="152"/>
      <c r="CF99" s="152"/>
      <c r="CG99" s="152"/>
      <c r="CH99" s="152"/>
      <c r="CI99" s="152"/>
      <c r="CJ99" s="152"/>
      <c r="CK99" s="152"/>
      <c r="CL99" s="152"/>
      <c r="CM99" s="152"/>
      <c r="CV99" s="152"/>
    </row>
    <row r="100" spans="2:100 15066:15458" s="16" customFormat="1" hidden="1" x14ac:dyDescent="0.25">
      <c r="B100" s="17"/>
      <c r="C100" s="11" t="s">
        <v>45</v>
      </c>
      <c r="D100" s="62"/>
      <c r="E100" s="32" t="s">
        <v>31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L100" s="100">
        <v>0</v>
      </c>
      <c r="CD100" s="158"/>
      <c r="CE100" s="158"/>
      <c r="CF100" s="158"/>
      <c r="CG100" s="158"/>
      <c r="CH100" s="158"/>
      <c r="CI100" s="158"/>
      <c r="CJ100" s="158"/>
      <c r="CK100" s="158"/>
      <c r="CL100" s="158"/>
      <c r="CM100" s="158"/>
      <c r="CV100" s="158"/>
    </row>
    <row r="101" spans="2:100 15066:15458" s="16" customFormat="1" hidden="1" x14ac:dyDescent="0.25">
      <c r="B101" s="17"/>
      <c r="C101" s="11" t="s">
        <v>44</v>
      </c>
      <c r="D101" s="62"/>
      <c r="E101" s="32" t="s">
        <v>31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L101" s="100">
        <v>0</v>
      </c>
      <c r="CD101" s="158"/>
      <c r="CE101" s="158"/>
      <c r="CF101" s="158"/>
      <c r="CG101" s="158"/>
      <c r="CH101" s="158"/>
      <c r="CI101" s="158"/>
      <c r="CJ101" s="158"/>
      <c r="CK101" s="158"/>
      <c r="CL101" s="158"/>
      <c r="CM101" s="158"/>
      <c r="CV101" s="158"/>
    </row>
    <row r="102" spans="2:100 15066:15458" s="1" customFormat="1" hidden="1" x14ac:dyDescent="0.25">
      <c r="B102" s="15"/>
      <c r="C102" s="30" t="s">
        <v>28</v>
      </c>
      <c r="D102" s="69"/>
      <c r="E102" s="1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L102" s="72" t="s">
        <v>28</v>
      </c>
      <c r="CD102" s="152"/>
      <c r="CE102" s="152"/>
      <c r="CF102" s="152"/>
      <c r="CG102" s="152"/>
      <c r="CH102" s="152"/>
      <c r="CI102" s="152"/>
      <c r="CJ102" s="152"/>
      <c r="CK102" s="152"/>
      <c r="CL102" s="152"/>
      <c r="CM102" s="152"/>
      <c r="CV102" s="152"/>
    </row>
    <row r="103" spans="2:100 15066:15458" s="1" customFormat="1" hidden="1" x14ac:dyDescent="0.25">
      <c r="B103" s="15"/>
      <c r="C103" s="11" t="s">
        <v>45</v>
      </c>
      <c r="D103" s="69"/>
      <c r="E103" s="20" t="s">
        <v>28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>
        <v>0</v>
      </c>
      <c r="AJ103" s="33">
        <v>0</v>
      </c>
      <c r="AL103" s="63">
        <v>0</v>
      </c>
      <c r="CD103" s="152"/>
      <c r="CE103" s="152"/>
      <c r="CF103" s="152"/>
      <c r="CG103" s="152"/>
      <c r="CH103" s="152"/>
      <c r="CI103" s="152"/>
      <c r="CJ103" s="152"/>
      <c r="CK103" s="152"/>
      <c r="CL103" s="152"/>
      <c r="CM103" s="152"/>
      <c r="CV103" s="152"/>
    </row>
    <row r="104" spans="2:100 15066:15458" s="1" customFormat="1" hidden="1" x14ac:dyDescent="0.25">
      <c r="B104" s="15"/>
      <c r="C104" s="11" t="s">
        <v>44</v>
      </c>
      <c r="D104" s="69"/>
      <c r="E104" s="20" t="s">
        <v>28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33">
        <v>0</v>
      </c>
      <c r="AG104" s="33">
        <v>0</v>
      </c>
      <c r="AH104" s="33">
        <v>0</v>
      </c>
      <c r="AI104" s="33">
        <v>0</v>
      </c>
      <c r="AJ104" s="33">
        <v>0</v>
      </c>
      <c r="AL104" s="63">
        <v>0</v>
      </c>
      <c r="CD104" s="152"/>
      <c r="CE104" s="152"/>
      <c r="CF104" s="152"/>
      <c r="CG104" s="152"/>
      <c r="CH104" s="152"/>
      <c r="CI104" s="152"/>
      <c r="CJ104" s="152"/>
      <c r="CK104" s="152"/>
      <c r="CL104" s="152"/>
      <c r="CM104" s="152"/>
      <c r="CV104" s="152"/>
    </row>
    <row r="105" spans="2:100 15066:15458" s="1" customFormat="1" hidden="1" x14ac:dyDescent="0.25">
      <c r="B105" s="15"/>
      <c r="C105" s="30" t="s">
        <v>36</v>
      </c>
      <c r="D105" s="69"/>
      <c r="E105" s="20" t="s">
        <v>35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  <c r="AJ105" s="33">
        <v>0</v>
      </c>
      <c r="AL105" s="63">
        <v>0</v>
      </c>
      <c r="CD105" s="152"/>
      <c r="CE105" s="152"/>
      <c r="CF105" s="152"/>
      <c r="CG105" s="152"/>
      <c r="CH105" s="152"/>
      <c r="CI105" s="152"/>
      <c r="CJ105" s="152"/>
      <c r="CK105" s="152"/>
      <c r="CL105" s="152"/>
      <c r="CM105" s="152"/>
      <c r="CV105" s="152"/>
    </row>
    <row r="106" spans="2:100 15066:15458" s="1" customFormat="1" hidden="1" x14ac:dyDescent="0.25">
      <c r="B106" s="15"/>
      <c r="C106" s="30" t="s">
        <v>34</v>
      </c>
      <c r="D106" s="69"/>
      <c r="E106" s="20" t="s">
        <v>33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>
        <v>0</v>
      </c>
      <c r="AI106" s="33">
        <v>0</v>
      </c>
      <c r="AJ106" s="33">
        <v>0</v>
      </c>
      <c r="AL106" s="63">
        <v>0</v>
      </c>
      <c r="CD106" s="152"/>
      <c r="CE106" s="152"/>
      <c r="CF106" s="152"/>
      <c r="CG106" s="152"/>
      <c r="CH106" s="152"/>
      <c r="CI106" s="152"/>
      <c r="CJ106" s="152"/>
      <c r="CK106" s="152"/>
      <c r="CL106" s="152"/>
      <c r="CM106" s="152"/>
      <c r="CV106" s="152"/>
    </row>
    <row r="107" spans="2:100 15066:15458" s="1" customFormat="1" hidden="1" x14ac:dyDescent="0.25">
      <c r="B107" s="8"/>
      <c r="C107" s="53" t="s">
        <v>32</v>
      </c>
      <c r="D107" s="54"/>
      <c r="E107" s="55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3"/>
      <c r="AL107" s="87" t="s">
        <v>132</v>
      </c>
      <c r="CD107" s="151"/>
      <c r="CE107" s="151"/>
      <c r="CF107" s="151"/>
      <c r="CG107" s="151"/>
      <c r="CH107" s="151"/>
      <c r="CI107" s="151"/>
      <c r="CJ107" s="151"/>
      <c r="CK107" s="151"/>
      <c r="CL107" s="151"/>
      <c r="CM107" s="151"/>
      <c r="CV107" s="151"/>
      <c r="VGL107" s="50"/>
      <c r="VGM107" s="50"/>
      <c r="VGN107" s="50"/>
      <c r="VGO107" s="50"/>
      <c r="VGP107" s="50"/>
      <c r="VGQ107" s="50"/>
      <c r="VGR107" s="50"/>
      <c r="VGS107" s="50"/>
      <c r="VGT107" s="50"/>
      <c r="VGU107" s="50"/>
      <c r="VGV107" s="50"/>
      <c r="VGW107" s="50"/>
      <c r="VGX107" s="50"/>
      <c r="VGY107" s="50"/>
      <c r="VGZ107" s="50"/>
      <c r="VHA107" s="50"/>
      <c r="VHB107" s="50"/>
      <c r="VHC107" s="50"/>
      <c r="VHD107" s="50"/>
      <c r="VHE107" s="50"/>
      <c r="VHF107" s="50"/>
      <c r="VHG107" s="50"/>
      <c r="VHH107" s="50"/>
      <c r="VHI107" s="50"/>
      <c r="VHJ107" s="50"/>
      <c r="VHK107" s="50"/>
      <c r="VHL107" s="50"/>
      <c r="VHM107" s="50"/>
      <c r="VHN107" s="50"/>
      <c r="VHO107" s="50"/>
      <c r="VHP107" s="50"/>
      <c r="VHQ107" s="50"/>
      <c r="VHR107" s="50"/>
      <c r="VHS107" s="50"/>
      <c r="VHT107" s="50"/>
      <c r="VHU107" s="50"/>
      <c r="VHV107" s="50"/>
      <c r="VHW107" s="50"/>
      <c r="VHX107" s="50"/>
      <c r="VHY107" s="50"/>
      <c r="VHZ107" s="50"/>
      <c r="VIA107" s="50"/>
      <c r="VIB107" s="50"/>
      <c r="VIC107" s="50"/>
      <c r="VID107" s="50"/>
      <c r="VIE107" s="50"/>
      <c r="VIF107" s="50"/>
      <c r="VIG107" s="50"/>
      <c r="VIH107" s="50"/>
      <c r="VII107" s="50"/>
      <c r="VIJ107" s="50"/>
      <c r="VIK107" s="50"/>
      <c r="VIL107" s="50"/>
      <c r="VIM107" s="50"/>
      <c r="VIN107" s="50"/>
      <c r="VIO107" s="50"/>
      <c r="VIP107" s="50"/>
      <c r="VIQ107" s="50"/>
      <c r="VIR107" s="50"/>
      <c r="VIS107" s="50"/>
      <c r="VIT107" s="50"/>
      <c r="VIU107" s="50"/>
      <c r="VIV107" s="50"/>
      <c r="VIW107" s="50"/>
      <c r="VIX107" s="50"/>
      <c r="VIY107" s="50"/>
      <c r="VIZ107" s="50"/>
      <c r="VJA107" s="50"/>
      <c r="VJB107" s="50"/>
      <c r="VJC107" s="50"/>
      <c r="VJD107" s="50"/>
      <c r="VJE107" s="50"/>
      <c r="VJF107" s="50"/>
      <c r="VJG107" s="50"/>
      <c r="VJH107" s="50"/>
      <c r="VJI107" s="50"/>
      <c r="VJJ107" s="50"/>
      <c r="VJK107" s="50"/>
      <c r="VJL107" s="50"/>
      <c r="VJM107" s="50"/>
      <c r="VJN107" s="50"/>
      <c r="VJO107" s="50"/>
      <c r="VJP107" s="50"/>
      <c r="VJQ107" s="50"/>
      <c r="VJR107" s="50"/>
      <c r="VJS107" s="50"/>
      <c r="VJT107" s="50"/>
      <c r="VJU107" s="50"/>
      <c r="VJV107" s="50"/>
      <c r="VJW107" s="50"/>
      <c r="VJX107" s="50"/>
      <c r="VJY107" s="50"/>
      <c r="VJZ107" s="50"/>
      <c r="VKA107" s="50"/>
      <c r="VKB107" s="50"/>
      <c r="VKC107" s="50"/>
      <c r="VKD107" s="50"/>
      <c r="VKE107" s="50"/>
      <c r="VKF107" s="50"/>
      <c r="VKG107" s="50"/>
      <c r="VKH107" s="50"/>
      <c r="VKI107" s="50"/>
      <c r="VKJ107" s="50"/>
      <c r="VKK107" s="50"/>
      <c r="VKL107" s="50"/>
      <c r="VKM107" s="50"/>
      <c r="VKN107" s="50"/>
      <c r="VKO107" s="50"/>
      <c r="VKP107" s="50"/>
      <c r="VKQ107" s="50"/>
      <c r="VKR107" s="50"/>
      <c r="VKS107" s="50"/>
      <c r="VKT107" s="50"/>
      <c r="VKU107" s="50"/>
      <c r="VKV107" s="50"/>
      <c r="VKW107" s="50"/>
      <c r="VKX107" s="50"/>
      <c r="VKY107" s="50"/>
      <c r="VKZ107" s="50"/>
      <c r="VLA107" s="50"/>
      <c r="VLB107" s="50"/>
      <c r="VLC107" s="50"/>
      <c r="VLD107" s="50"/>
      <c r="VLE107" s="50"/>
      <c r="VLF107" s="50"/>
      <c r="VLG107" s="50"/>
      <c r="VLH107" s="50"/>
      <c r="VLI107" s="50"/>
      <c r="VLJ107" s="50"/>
      <c r="VLK107" s="50"/>
      <c r="VLL107" s="50"/>
      <c r="VLM107" s="50"/>
      <c r="VLN107" s="50"/>
      <c r="VLO107" s="50"/>
      <c r="VLP107" s="50"/>
      <c r="VLQ107" s="50"/>
      <c r="VLR107" s="50"/>
      <c r="VLS107" s="50"/>
      <c r="VLT107" s="50"/>
      <c r="VLU107" s="50"/>
      <c r="VLV107" s="50"/>
      <c r="VLW107" s="50"/>
      <c r="VLX107" s="50"/>
      <c r="VLY107" s="50"/>
      <c r="VLZ107" s="50"/>
      <c r="VMA107" s="50"/>
      <c r="VMB107" s="50"/>
      <c r="VMC107" s="50"/>
      <c r="VMD107" s="50"/>
      <c r="VME107" s="50"/>
      <c r="VMF107" s="50"/>
      <c r="VMG107" s="50"/>
      <c r="VMH107" s="50"/>
      <c r="VMI107" s="50"/>
      <c r="VMJ107" s="50"/>
      <c r="VMK107" s="50"/>
      <c r="VML107" s="50"/>
      <c r="VMM107" s="50"/>
      <c r="VMN107" s="50"/>
      <c r="VMO107" s="50"/>
      <c r="VMP107" s="50"/>
      <c r="VMQ107" s="50"/>
      <c r="VMR107" s="50"/>
      <c r="VMS107" s="50"/>
      <c r="VMT107" s="50"/>
      <c r="VMU107" s="50"/>
      <c r="VMV107" s="50"/>
      <c r="VMW107" s="50"/>
      <c r="VMX107" s="50"/>
      <c r="VMY107" s="50"/>
      <c r="VMZ107" s="50"/>
      <c r="VNA107" s="50"/>
      <c r="VNB107" s="50"/>
      <c r="VNC107" s="50"/>
      <c r="VND107" s="50"/>
      <c r="VNE107" s="50"/>
      <c r="VNF107" s="50"/>
      <c r="VNG107" s="50"/>
      <c r="VNH107" s="50"/>
      <c r="VNI107" s="50"/>
      <c r="VNJ107" s="50"/>
      <c r="VNK107" s="50"/>
      <c r="VNL107" s="50"/>
      <c r="VNM107" s="50"/>
      <c r="VNN107" s="50"/>
      <c r="VNO107" s="50"/>
      <c r="VNP107" s="50"/>
      <c r="VNQ107" s="50"/>
      <c r="VNR107" s="50"/>
      <c r="VNS107" s="50"/>
      <c r="VNT107" s="50"/>
      <c r="VNU107" s="50"/>
      <c r="VNV107" s="50"/>
      <c r="VNW107" s="50"/>
      <c r="VNX107" s="50"/>
      <c r="VNY107" s="50"/>
      <c r="VNZ107" s="50"/>
      <c r="VOA107" s="50"/>
      <c r="VOB107" s="50"/>
      <c r="VOC107" s="50"/>
      <c r="VOD107" s="50"/>
      <c r="VOE107" s="50"/>
      <c r="VOF107" s="50"/>
      <c r="VOG107" s="50"/>
      <c r="VOH107" s="50"/>
      <c r="VOI107" s="50"/>
      <c r="VOJ107" s="50"/>
      <c r="VOK107" s="50"/>
      <c r="VOL107" s="50"/>
      <c r="VOM107" s="50"/>
      <c r="VON107" s="50"/>
      <c r="VOO107" s="50"/>
      <c r="VOP107" s="50"/>
      <c r="VOQ107" s="50"/>
      <c r="VOR107" s="50"/>
      <c r="VOS107" s="50"/>
      <c r="VOT107" s="50"/>
      <c r="VOU107" s="50"/>
      <c r="VOV107" s="50"/>
      <c r="VOW107" s="50"/>
      <c r="VOX107" s="50"/>
      <c r="VOY107" s="50"/>
      <c r="VOZ107" s="50"/>
      <c r="VPA107" s="50"/>
      <c r="VPB107" s="50"/>
      <c r="VPC107" s="50"/>
      <c r="VPD107" s="50"/>
      <c r="VPE107" s="50"/>
      <c r="VPF107" s="50"/>
      <c r="VPG107" s="50"/>
      <c r="VPH107" s="50"/>
      <c r="VPI107" s="50"/>
      <c r="VPJ107" s="50"/>
      <c r="VPK107" s="50"/>
      <c r="VPL107" s="50"/>
      <c r="VPM107" s="50"/>
      <c r="VPN107" s="50"/>
      <c r="VPO107" s="50"/>
      <c r="VPP107" s="50"/>
      <c r="VPQ107" s="50"/>
      <c r="VPR107" s="50"/>
      <c r="VPS107" s="50"/>
      <c r="VPT107" s="50"/>
      <c r="VPU107" s="50"/>
      <c r="VPV107" s="50"/>
      <c r="VPW107" s="50"/>
      <c r="VPX107" s="50"/>
      <c r="VPY107" s="50"/>
      <c r="VPZ107" s="50"/>
      <c r="VQA107" s="50"/>
      <c r="VQB107" s="50"/>
      <c r="VQC107" s="50"/>
      <c r="VQD107" s="50"/>
      <c r="VQE107" s="50"/>
      <c r="VQF107" s="50"/>
      <c r="VQG107" s="50"/>
      <c r="VQH107" s="50"/>
      <c r="VQI107" s="50"/>
      <c r="VQJ107" s="50"/>
      <c r="VQK107" s="50"/>
      <c r="VQL107" s="50"/>
      <c r="VQM107" s="50"/>
      <c r="VQN107" s="50"/>
      <c r="VQO107" s="50"/>
      <c r="VQP107" s="50"/>
      <c r="VQQ107" s="50"/>
      <c r="VQR107" s="50"/>
      <c r="VQS107" s="50"/>
      <c r="VQT107" s="50"/>
      <c r="VQU107" s="50"/>
      <c r="VQV107" s="50"/>
      <c r="VQW107" s="50"/>
      <c r="VQX107" s="50"/>
      <c r="VQY107" s="50"/>
      <c r="VQZ107" s="50"/>
      <c r="VRA107" s="50"/>
      <c r="VRB107" s="50"/>
      <c r="VRC107" s="50"/>
      <c r="VRD107" s="50"/>
      <c r="VRE107" s="50"/>
      <c r="VRF107" s="50"/>
      <c r="VRG107" s="50"/>
      <c r="VRH107" s="50"/>
      <c r="VRI107" s="50"/>
      <c r="VRJ107" s="50"/>
      <c r="VRK107" s="50"/>
      <c r="VRL107" s="50"/>
      <c r="VRM107" s="50"/>
      <c r="VRN107" s="50"/>
      <c r="VRO107" s="50"/>
      <c r="VRP107" s="50"/>
      <c r="VRQ107" s="50"/>
      <c r="VRR107" s="50"/>
      <c r="VRS107" s="50"/>
      <c r="VRT107" s="50"/>
      <c r="VRU107" s="50"/>
      <c r="VRV107" s="50"/>
      <c r="VRW107" s="50"/>
      <c r="VRX107" s="50"/>
      <c r="VRY107" s="50"/>
      <c r="VRZ107" s="50"/>
      <c r="VSA107" s="50"/>
      <c r="VSB107" s="50"/>
      <c r="VSC107" s="50"/>
      <c r="VSD107" s="50"/>
      <c r="VSE107" s="50"/>
      <c r="VSF107" s="50"/>
      <c r="VSG107" s="50"/>
      <c r="VSH107" s="50"/>
      <c r="VSI107" s="50"/>
      <c r="VSJ107" s="50"/>
      <c r="VSK107" s="50"/>
      <c r="VSL107" s="50"/>
      <c r="VSM107" s="50"/>
      <c r="VSN107" s="50"/>
      <c r="VSO107" s="50"/>
      <c r="VSP107" s="50"/>
      <c r="VSQ107" s="50"/>
      <c r="VSR107" s="50"/>
      <c r="VSS107" s="50"/>
      <c r="VST107" s="50"/>
      <c r="VSU107" s="50"/>
      <c r="VSV107" s="50"/>
      <c r="VSW107" s="50"/>
      <c r="VSX107" s="50"/>
      <c r="VSY107" s="50"/>
      <c r="VSZ107" s="50"/>
      <c r="VTA107" s="50"/>
      <c r="VTB107" s="50"/>
      <c r="VTC107" s="50"/>
      <c r="VTD107" s="50"/>
      <c r="VTE107" s="50"/>
      <c r="VTF107" s="50"/>
      <c r="VTG107" s="50"/>
      <c r="VTH107" s="50"/>
      <c r="VTI107" s="50"/>
      <c r="VTJ107" s="50"/>
      <c r="VTK107" s="50"/>
      <c r="VTL107" s="50"/>
      <c r="VTM107" s="50"/>
      <c r="VTN107" s="50"/>
      <c r="VTO107" s="50"/>
      <c r="VTP107" s="50"/>
      <c r="VTQ107" s="50"/>
      <c r="VTR107" s="50"/>
      <c r="VTS107" s="50"/>
      <c r="VTT107" s="50"/>
      <c r="VTU107" s="50"/>
      <c r="VTV107" s="50"/>
      <c r="VTW107" s="50"/>
      <c r="VTX107" s="50"/>
      <c r="VTY107" s="50"/>
      <c r="VTZ107" s="50"/>
      <c r="VUA107" s="50"/>
      <c r="VUB107" s="50"/>
      <c r="VUC107" s="50"/>
      <c r="VUD107" s="50"/>
      <c r="VUE107" s="50"/>
      <c r="VUF107" s="50"/>
      <c r="VUG107" s="50"/>
      <c r="VUH107" s="50"/>
      <c r="VUI107" s="50"/>
      <c r="VUJ107" s="50"/>
      <c r="VUK107" s="50"/>
      <c r="VUL107" s="50"/>
      <c r="VUM107" s="50"/>
      <c r="VUN107" s="50"/>
      <c r="VUO107" s="50"/>
      <c r="VUP107" s="50"/>
      <c r="VUQ107" s="50"/>
      <c r="VUR107" s="50"/>
      <c r="VUS107" s="50"/>
      <c r="VUT107" s="50"/>
      <c r="VUU107" s="50"/>
      <c r="VUV107" s="50"/>
      <c r="VUW107" s="50"/>
      <c r="VUX107" s="50"/>
      <c r="VUY107" s="50"/>
      <c r="VUZ107" s="50"/>
      <c r="VVA107" s="50"/>
      <c r="VVB107" s="50"/>
      <c r="VVC107" s="50"/>
      <c r="VVD107" s="50"/>
      <c r="VVE107" s="50"/>
      <c r="VVF107" s="50"/>
      <c r="VVG107" s="50"/>
      <c r="VVH107" s="50"/>
      <c r="VVI107" s="50"/>
      <c r="VVJ107" s="50"/>
      <c r="VVK107" s="50"/>
      <c r="VVL107" s="50"/>
      <c r="VVM107" s="50"/>
      <c r="VVN107" s="50"/>
    </row>
    <row r="108" spans="2:100 15066:15458" s="1" customFormat="1" hidden="1" x14ac:dyDescent="0.25">
      <c r="B108" s="15"/>
      <c r="C108" s="30" t="s">
        <v>29</v>
      </c>
      <c r="D108" s="69"/>
      <c r="E108" s="1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L108" s="72" t="s">
        <v>29</v>
      </c>
      <c r="CV108" s="152"/>
    </row>
    <row r="109" spans="2:100 15066:15458" s="1" customFormat="1" hidden="1" x14ac:dyDescent="0.25">
      <c r="B109" s="15"/>
      <c r="C109" s="11" t="s">
        <v>45</v>
      </c>
      <c r="D109" s="69"/>
      <c r="E109" s="20" t="s">
        <v>31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L109" s="63">
        <v>0</v>
      </c>
      <c r="CV109" s="152"/>
    </row>
    <row r="110" spans="2:100 15066:15458" s="1" customFormat="1" hidden="1" x14ac:dyDescent="0.25">
      <c r="B110" s="15"/>
      <c r="C110" s="11" t="s">
        <v>44</v>
      </c>
      <c r="D110" s="69"/>
      <c r="E110" s="20" t="s">
        <v>31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L110" s="63">
        <v>0</v>
      </c>
      <c r="CV110" s="152"/>
    </row>
    <row r="111" spans="2:100 15066:15458" s="1" customFormat="1" hidden="1" x14ac:dyDescent="0.25">
      <c r="B111" s="15"/>
      <c r="C111" s="30" t="s">
        <v>28</v>
      </c>
      <c r="D111" s="69"/>
      <c r="E111" s="1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L111" s="72" t="s">
        <v>28</v>
      </c>
      <c r="CV111" s="152"/>
    </row>
    <row r="112" spans="2:100 15066:15458" s="1" customFormat="1" hidden="1" x14ac:dyDescent="0.25">
      <c r="B112" s="15"/>
      <c r="C112" s="11" t="s">
        <v>45</v>
      </c>
      <c r="D112" s="69"/>
      <c r="E112" s="20" t="s">
        <v>28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>
        <v>0</v>
      </c>
      <c r="AJ112" s="33">
        <v>0</v>
      </c>
      <c r="AL112" s="63">
        <v>0</v>
      </c>
      <c r="CV112" s="152"/>
    </row>
    <row r="113" spans="2:100 15066:15458" s="1" customFormat="1" hidden="1" x14ac:dyDescent="0.25">
      <c r="B113" s="15"/>
      <c r="C113" s="11" t="s">
        <v>44</v>
      </c>
      <c r="D113" s="69"/>
      <c r="E113" s="20" t="s">
        <v>28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0</v>
      </c>
      <c r="AG113" s="33">
        <v>0</v>
      </c>
      <c r="AH113" s="33">
        <v>0</v>
      </c>
      <c r="AI113" s="33">
        <v>0</v>
      </c>
      <c r="AJ113" s="33">
        <v>0</v>
      </c>
      <c r="AL113" s="63">
        <v>0</v>
      </c>
      <c r="CV113" s="152"/>
    </row>
    <row r="114" spans="2:100 15066:15458" s="1" customFormat="1" hidden="1" x14ac:dyDescent="0.25">
      <c r="B114" s="8"/>
      <c r="C114" s="53" t="s">
        <v>30</v>
      </c>
      <c r="D114" s="54"/>
      <c r="E114" s="55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3"/>
      <c r="AL114" s="87" t="s">
        <v>132</v>
      </c>
      <c r="CV114" s="151"/>
      <c r="VGL114" s="50"/>
      <c r="VGM114" s="50"/>
      <c r="VGN114" s="50"/>
      <c r="VGO114" s="50"/>
      <c r="VGP114" s="50"/>
      <c r="VGQ114" s="50"/>
      <c r="VGR114" s="50"/>
      <c r="VGS114" s="50"/>
      <c r="VGT114" s="50"/>
      <c r="VGU114" s="50"/>
      <c r="VGV114" s="50"/>
      <c r="VGW114" s="50"/>
      <c r="VGX114" s="50"/>
      <c r="VGY114" s="50"/>
      <c r="VGZ114" s="50"/>
      <c r="VHA114" s="50"/>
      <c r="VHB114" s="50"/>
      <c r="VHC114" s="50"/>
      <c r="VHD114" s="50"/>
      <c r="VHE114" s="50"/>
      <c r="VHF114" s="50"/>
      <c r="VHG114" s="50"/>
      <c r="VHH114" s="50"/>
      <c r="VHI114" s="50"/>
      <c r="VHJ114" s="50"/>
      <c r="VHK114" s="50"/>
      <c r="VHL114" s="50"/>
      <c r="VHM114" s="50"/>
      <c r="VHN114" s="50"/>
      <c r="VHO114" s="50"/>
      <c r="VHP114" s="50"/>
      <c r="VHQ114" s="50"/>
      <c r="VHR114" s="50"/>
      <c r="VHS114" s="50"/>
      <c r="VHT114" s="50"/>
      <c r="VHU114" s="50"/>
      <c r="VHV114" s="50"/>
      <c r="VHW114" s="50"/>
      <c r="VHX114" s="50"/>
      <c r="VHY114" s="50"/>
      <c r="VHZ114" s="50"/>
      <c r="VIA114" s="50"/>
      <c r="VIB114" s="50"/>
      <c r="VIC114" s="50"/>
      <c r="VID114" s="50"/>
      <c r="VIE114" s="50"/>
      <c r="VIF114" s="50"/>
      <c r="VIG114" s="50"/>
      <c r="VIH114" s="50"/>
      <c r="VII114" s="50"/>
      <c r="VIJ114" s="50"/>
      <c r="VIK114" s="50"/>
      <c r="VIL114" s="50"/>
      <c r="VIM114" s="50"/>
      <c r="VIN114" s="50"/>
      <c r="VIO114" s="50"/>
      <c r="VIP114" s="50"/>
      <c r="VIQ114" s="50"/>
      <c r="VIR114" s="50"/>
      <c r="VIS114" s="50"/>
      <c r="VIT114" s="50"/>
      <c r="VIU114" s="50"/>
      <c r="VIV114" s="50"/>
      <c r="VIW114" s="50"/>
      <c r="VIX114" s="50"/>
      <c r="VIY114" s="50"/>
      <c r="VIZ114" s="50"/>
      <c r="VJA114" s="50"/>
      <c r="VJB114" s="50"/>
      <c r="VJC114" s="50"/>
      <c r="VJD114" s="50"/>
      <c r="VJE114" s="50"/>
      <c r="VJF114" s="50"/>
      <c r="VJG114" s="50"/>
      <c r="VJH114" s="50"/>
      <c r="VJI114" s="50"/>
      <c r="VJJ114" s="50"/>
      <c r="VJK114" s="50"/>
      <c r="VJL114" s="50"/>
      <c r="VJM114" s="50"/>
      <c r="VJN114" s="50"/>
      <c r="VJO114" s="50"/>
      <c r="VJP114" s="50"/>
      <c r="VJQ114" s="50"/>
      <c r="VJR114" s="50"/>
      <c r="VJS114" s="50"/>
      <c r="VJT114" s="50"/>
      <c r="VJU114" s="50"/>
      <c r="VJV114" s="50"/>
      <c r="VJW114" s="50"/>
      <c r="VJX114" s="50"/>
      <c r="VJY114" s="50"/>
      <c r="VJZ114" s="50"/>
      <c r="VKA114" s="50"/>
      <c r="VKB114" s="50"/>
      <c r="VKC114" s="50"/>
      <c r="VKD114" s="50"/>
      <c r="VKE114" s="50"/>
      <c r="VKF114" s="50"/>
      <c r="VKG114" s="50"/>
      <c r="VKH114" s="50"/>
      <c r="VKI114" s="50"/>
      <c r="VKJ114" s="50"/>
      <c r="VKK114" s="50"/>
      <c r="VKL114" s="50"/>
      <c r="VKM114" s="50"/>
      <c r="VKN114" s="50"/>
      <c r="VKO114" s="50"/>
      <c r="VKP114" s="50"/>
      <c r="VKQ114" s="50"/>
      <c r="VKR114" s="50"/>
      <c r="VKS114" s="50"/>
      <c r="VKT114" s="50"/>
      <c r="VKU114" s="50"/>
      <c r="VKV114" s="50"/>
      <c r="VKW114" s="50"/>
      <c r="VKX114" s="50"/>
      <c r="VKY114" s="50"/>
      <c r="VKZ114" s="50"/>
      <c r="VLA114" s="50"/>
      <c r="VLB114" s="50"/>
      <c r="VLC114" s="50"/>
      <c r="VLD114" s="50"/>
      <c r="VLE114" s="50"/>
      <c r="VLF114" s="50"/>
      <c r="VLG114" s="50"/>
      <c r="VLH114" s="50"/>
      <c r="VLI114" s="50"/>
      <c r="VLJ114" s="50"/>
      <c r="VLK114" s="50"/>
      <c r="VLL114" s="50"/>
      <c r="VLM114" s="50"/>
      <c r="VLN114" s="50"/>
      <c r="VLO114" s="50"/>
      <c r="VLP114" s="50"/>
      <c r="VLQ114" s="50"/>
      <c r="VLR114" s="50"/>
      <c r="VLS114" s="50"/>
      <c r="VLT114" s="50"/>
      <c r="VLU114" s="50"/>
      <c r="VLV114" s="50"/>
      <c r="VLW114" s="50"/>
      <c r="VLX114" s="50"/>
      <c r="VLY114" s="50"/>
      <c r="VLZ114" s="50"/>
      <c r="VMA114" s="50"/>
      <c r="VMB114" s="50"/>
      <c r="VMC114" s="50"/>
      <c r="VMD114" s="50"/>
      <c r="VME114" s="50"/>
      <c r="VMF114" s="50"/>
      <c r="VMG114" s="50"/>
      <c r="VMH114" s="50"/>
      <c r="VMI114" s="50"/>
      <c r="VMJ114" s="50"/>
      <c r="VMK114" s="50"/>
      <c r="VML114" s="50"/>
      <c r="VMM114" s="50"/>
      <c r="VMN114" s="50"/>
      <c r="VMO114" s="50"/>
      <c r="VMP114" s="50"/>
      <c r="VMQ114" s="50"/>
      <c r="VMR114" s="50"/>
      <c r="VMS114" s="50"/>
      <c r="VMT114" s="50"/>
      <c r="VMU114" s="50"/>
      <c r="VMV114" s="50"/>
      <c r="VMW114" s="50"/>
      <c r="VMX114" s="50"/>
      <c r="VMY114" s="50"/>
      <c r="VMZ114" s="50"/>
      <c r="VNA114" s="50"/>
      <c r="VNB114" s="50"/>
      <c r="VNC114" s="50"/>
      <c r="VND114" s="50"/>
      <c r="VNE114" s="50"/>
      <c r="VNF114" s="50"/>
      <c r="VNG114" s="50"/>
      <c r="VNH114" s="50"/>
      <c r="VNI114" s="50"/>
      <c r="VNJ114" s="50"/>
      <c r="VNK114" s="50"/>
      <c r="VNL114" s="50"/>
      <c r="VNM114" s="50"/>
      <c r="VNN114" s="50"/>
      <c r="VNO114" s="50"/>
      <c r="VNP114" s="50"/>
      <c r="VNQ114" s="50"/>
      <c r="VNR114" s="50"/>
      <c r="VNS114" s="50"/>
      <c r="VNT114" s="50"/>
      <c r="VNU114" s="50"/>
      <c r="VNV114" s="50"/>
      <c r="VNW114" s="50"/>
      <c r="VNX114" s="50"/>
      <c r="VNY114" s="50"/>
      <c r="VNZ114" s="50"/>
      <c r="VOA114" s="50"/>
      <c r="VOB114" s="50"/>
      <c r="VOC114" s="50"/>
      <c r="VOD114" s="50"/>
      <c r="VOE114" s="50"/>
      <c r="VOF114" s="50"/>
      <c r="VOG114" s="50"/>
      <c r="VOH114" s="50"/>
      <c r="VOI114" s="50"/>
      <c r="VOJ114" s="50"/>
      <c r="VOK114" s="50"/>
      <c r="VOL114" s="50"/>
      <c r="VOM114" s="50"/>
      <c r="VON114" s="50"/>
      <c r="VOO114" s="50"/>
      <c r="VOP114" s="50"/>
      <c r="VOQ114" s="50"/>
      <c r="VOR114" s="50"/>
      <c r="VOS114" s="50"/>
      <c r="VOT114" s="50"/>
      <c r="VOU114" s="50"/>
      <c r="VOV114" s="50"/>
      <c r="VOW114" s="50"/>
      <c r="VOX114" s="50"/>
      <c r="VOY114" s="50"/>
      <c r="VOZ114" s="50"/>
      <c r="VPA114" s="50"/>
      <c r="VPB114" s="50"/>
      <c r="VPC114" s="50"/>
      <c r="VPD114" s="50"/>
      <c r="VPE114" s="50"/>
      <c r="VPF114" s="50"/>
      <c r="VPG114" s="50"/>
      <c r="VPH114" s="50"/>
      <c r="VPI114" s="50"/>
      <c r="VPJ114" s="50"/>
      <c r="VPK114" s="50"/>
      <c r="VPL114" s="50"/>
      <c r="VPM114" s="50"/>
      <c r="VPN114" s="50"/>
      <c r="VPO114" s="50"/>
      <c r="VPP114" s="50"/>
      <c r="VPQ114" s="50"/>
      <c r="VPR114" s="50"/>
      <c r="VPS114" s="50"/>
      <c r="VPT114" s="50"/>
      <c r="VPU114" s="50"/>
      <c r="VPV114" s="50"/>
      <c r="VPW114" s="50"/>
      <c r="VPX114" s="50"/>
      <c r="VPY114" s="50"/>
      <c r="VPZ114" s="50"/>
      <c r="VQA114" s="50"/>
      <c r="VQB114" s="50"/>
      <c r="VQC114" s="50"/>
      <c r="VQD114" s="50"/>
      <c r="VQE114" s="50"/>
      <c r="VQF114" s="50"/>
      <c r="VQG114" s="50"/>
      <c r="VQH114" s="50"/>
      <c r="VQI114" s="50"/>
      <c r="VQJ114" s="50"/>
      <c r="VQK114" s="50"/>
      <c r="VQL114" s="50"/>
      <c r="VQM114" s="50"/>
      <c r="VQN114" s="50"/>
      <c r="VQO114" s="50"/>
      <c r="VQP114" s="50"/>
      <c r="VQQ114" s="50"/>
      <c r="VQR114" s="50"/>
      <c r="VQS114" s="50"/>
      <c r="VQT114" s="50"/>
      <c r="VQU114" s="50"/>
      <c r="VQV114" s="50"/>
      <c r="VQW114" s="50"/>
      <c r="VQX114" s="50"/>
      <c r="VQY114" s="50"/>
      <c r="VQZ114" s="50"/>
      <c r="VRA114" s="50"/>
      <c r="VRB114" s="50"/>
      <c r="VRC114" s="50"/>
      <c r="VRD114" s="50"/>
      <c r="VRE114" s="50"/>
      <c r="VRF114" s="50"/>
      <c r="VRG114" s="50"/>
      <c r="VRH114" s="50"/>
      <c r="VRI114" s="50"/>
      <c r="VRJ114" s="50"/>
      <c r="VRK114" s="50"/>
      <c r="VRL114" s="50"/>
      <c r="VRM114" s="50"/>
      <c r="VRN114" s="50"/>
      <c r="VRO114" s="50"/>
      <c r="VRP114" s="50"/>
      <c r="VRQ114" s="50"/>
      <c r="VRR114" s="50"/>
      <c r="VRS114" s="50"/>
      <c r="VRT114" s="50"/>
      <c r="VRU114" s="50"/>
      <c r="VRV114" s="50"/>
      <c r="VRW114" s="50"/>
      <c r="VRX114" s="50"/>
      <c r="VRY114" s="50"/>
      <c r="VRZ114" s="50"/>
      <c r="VSA114" s="50"/>
      <c r="VSB114" s="50"/>
      <c r="VSC114" s="50"/>
      <c r="VSD114" s="50"/>
      <c r="VSE114" s="50"/>
      <c r="VSF114" s="50"/>
      <c r="VSG114" s="50"/>
      <c r="VSH114" s="50"/>
      <c r="VSI114" s="50"/>
      <c r="VSJ114" s="50"/>
      <c r="VSK114" s="50"/>
      <c r="VSL114" s="50"/>
      <c r="VSM114" s="50"/>
      <c r="VSN114" s="50"/>
      <c r="VSO114" s="50"/>
      <c r="VSP114" s="50"/>
      <c r="VSQ114" s="50"/>
      <c r="VSR114" s="50"/>
      <c r="VSS114" s="50"/>
      <c r="VST114" s="50"/>
      <c r="VSU114" s="50"/>
      <c r="VSV114" s="50"/>
      <c r="VSW114" s="50"/>
      <c r="VSX114" s="50"/>
      <c r="VSY114" s="50"/>
      <c r="VSZ114" s="50"/>
      <c r="VTA114" s="50"/>
      <c r="VTB114" s="50"/>
      <c r="VTC114" s="50"/>
      <c r="VTD114" s="50"/>
      <c r="VTE114" s="50"/>
      <c r="VTF114" s="50"/>
      <c r="VTG114" s="50"/>
      <c r="VTH114" s="50"/>
      <c r="VTI114" s="50"/>
      <c r="VTJ114" s="50"/>
      <c r="VTK114" s="50"/>
      <c r="VTL114" s="50"/>
      <c r="VTM114" s="50"/>
      <c r="VTN114" s="50"/>
      <c r="VTO114" s="50"/>
      <c r="VTP114" s="50"/>
      <c r="VTQ114" s="50"/>
      <c r="VTR114" s="50"/>
      <c r="VTS114" s="50"/>
      <c r="VTT114" s="50"/>
      <c r="VTU114" s="50"/>
      <c r="VTV114" s="50"/>
      <c r="VTW114" s="50"/>
      <c r="VTX114" s="50"/>
      <c r="VTY114" s="50"/>
      <c r="VTZ114" s="50"/>
      <c r="VUA114" s="50"/>
      <c r="VUB114" s="50"/>
      <c r="VUC114" s="50"/>
      <c r="VUD114" s="50"/>
      <c r="VUE114" s="50"/>
      <c r="VUF114" s="50"/>
      <c r="VUG114" s="50"/>
      <c r="VUH114" s="50"/>
      <c r="VUI114" s="50"/>
      <c r="VUJ114" s="50"/>
      <c r="VUK114" s="50"/>
      <c r="VUL114" s="50"/>
      <c r="VUM114" s="50"/>
      <c r="VUN114" s="50"/>
      <c r="VUO114" s="50"/>
      <c r="VUP114" s="50"/>
      <c r="VUQ114" s="50"/>
      <c r="VUR114" s="50"/>
      <c r="VUS114" s="50"/>
      <c r="VUT114" s="50"/>
      <c r="VUU114" s="50"/>
      <c r="VUV114" s="50"/>
      <c r="VUW114" s="50"/>
      <c r="VUX114" s="50"/>
      <c r="VUY114" s="50"/>
      <c r="VUZ114" s="50"/>
      <c r="VVA114" s="50"/>
      <c r="VVB114" s="50"/>
      <c r="VVC114" s="50"/>
      <c r="VVD114" s="50"/>
      <c r="VVE114" s="50"/>
      <c r="VVF114" s="50"/>
      <c r="VVG114" s="50"/>
      <c r="VVH114" s="50"/>
      <c r="VVI114" s="50"/>
      <c r="VVJ114" s="50"/>
      <c r="VVK114" s="50"/>
      <c r="VVL114" s="50"/>
      <c r="VVM114" s="50"/>
      <c r="VVN114" s="50"/>
    </row>
    <row r="115" spans="2:100 15066:15458" s="1" customFormat="1" hidden="1" x14ac:dyDescent="0.25">
      <c r="B115" s="15"/>
      <c r="C115" s="30" t="s">
        <v>29</v>
      </c>
      <c r="D115" s="69"/>
      <c r="E115" s="1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L115" s="72" t="s">
        <v>29</v>
      </c>
      <c r="CV115" s="152"/>
    </row>
    <row r="116" spans="2:100 15066:15458" s="1" customFormat="1" hidden="1" x14ac:dyDescent="0.25">
      <c r="B116" s="15"/>
      <c r="C116" s="11" t="s">
        <v>45</v>
      </c>
      <c r="D116" s="136">
        <v>0.3</v>
      </c>
      <c r="E116" s="20" t="s">
        <v>25</v>
      </c>
      <c r="F116" s="34" t="e">
        <v>#DIV/0!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34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 t="e">
        <v>#DIV/0!</v>
      </c>
      <c r="AJ116" s="34" t="e">
        <v>#DIV/0!</v>
      </c>
      <c r="AL116" s="67" t="e">
        <v>#DIV/0!</v>
      </c>
      <c r="CV116" s="152"/>
    </row>
    <row r="117" spans="2:100 15066:15458" s="1" customFormat="1" hidden="1" x14ac:dyDescent="0.25">
      <c r="B117" s="15"/>
      <c r="C117" s="11" t="s">
        <v>44</v>
      </c>
      <c r="D117" s="136">
        <v>0.3</v>
      </c>
      <c r="E117" s="20" t="s">
        <v>25</v>
      </c>
      <c r="F117" s="34" t="e">
        <v>#DIV/0!</v>
      </c>
      <c r="G117" s="34" t="e">
        <v>#DIV/0!</v>
      </c>
      <c r="H117" s="34" t="e">
        <v>#DIV/0!</v>
      </c>
      <c r="I117" s="34" t="e">
        <v>#DIV/0!</v>
      </c>
      <c r="J117" s="34" t="e">
        <v>#DIV/0!</v>
      </c>
      <c r="K117" s="34" t="e">
        <v>#DIV/0!</v>
      </c>
      <c r="L117" s="34" t="e">
        <v>#DIV/0!</v>
      </c>
      <c r="M117" s="34" t="e">
        <v>#DIV/0!</v>
      </c>
      <c r="N117" s="34" t="e">
        <v>#DIV/0!</v>
      </c>
      <c r="O117" s="34" t="e">
        <v>#DIV/0!</v>
      </c>
      <c r="P117" s="34" t="e">
        <v>#DIV/0!</v>
      </c>
      <c r="Q117" s="34" t="e">
        <v>#DIV/0!</v>
      </c>
      <c r="R117" s="34" t="e">
        <v>#DIV/0!</v>
      </c>
      <c r="S117" s="34" t="e">
        <v>#DIV/0!</v>
      </c>
      <c r="T117" s="34" t="e">
        <v>#DIV/0!</v>
      </c>
      <c r="U117" s="34" t="e">
        <v>#DIV/0!</v>
      </c>
      <c r="V117" s="34" t="e">
        <v>#DIV/0!</v>
      </c>
      <c r="W117" s="34" t="e">
        <v>#DIV/0!</v>
      </c>
      <c r="X117" s="34" t="e">
        <v>#DIV/0!</v>
      </c>
      <c r="Y117" s="34" t="e">
        <v>#DIV/0!</v>
      </c>
      <c r="Z117" s="34" t="e">
        <v>#DIV/0!</v>
      </c>
      <c r="AA117" s="34" t="e">
        <v>#DIV/0!</v>
      </c>
      <c r="AB117" s="34" t="e">
        <v>#DIV/0!</v>
      </c>
      <c r="AC117" s="34" t="e">
        <v>#DIV/0!</v>
      </c>
      <c r="AD117" s="34" t="e">
        <v>#DIV/0!</v>
      </c>
      <c r="AE117" s="34" t="e">
        <v>#DIV/0!</v>
      </c>
      <c r="AF117" s="34" t="e">
        <v>#DIV/0!</v>
      </c>
      <c r="AG117" s="34" t="e">
        <v>#DIV/0!</v>
      </c>
      <c r="AH117" s="34" t="e">
        <v>#DIV/0!</v>
      </c>
      <c r="AI117" s="34" t="e">
        <v>#DIV/0!</v>
      </c>
      <c r="AJ117" s="34" t="e">
        <v>#DIV/0!</v>
      </c>
      <c r="AL117" s="67" t="e">
        <v>#DIV/0!</v>
      </c>
      <c r="CV117" s="152"/>
    </row>
    <row r="118" spans="2:100 15066:15458" s="1" customFormat="1" hidden="1" x14ac:dyDescent="0.25">
      <c r="B118" s="15"/>
      <c r="C118" s="30" t="s">
        <v>28</v>
      </c>
      <c r="D118" s="136"/>
      <c r="E118" s="13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L118" s="72" t="s">
        <v>28</v>
      </c>
      <c r="CV118" s="152"/>
    </row>
    <row r="119" spans="2:100 15066:15458" s="1" customFormat="1" hidden="1" x14ac:dyDescent="0.25">
      <c r="B119" s="15"/>
      <c r="C119" s="11" t="s">
        <v>45</v>
      </c>
      <c r="D119" s="136">
        <v>0.5</v>
      </c>
      <c r="E119" s="20" t="s">
        <v>25</v>
      </c>
      <c r="F119" s="34" t="e">
        <v>#DIV/0!</v>
      </c>
      <c r="G119" s="34" t="e">
        <v>#DIV/0!</v>
      </c>
      <c r="H119" s="34" t="e">
        <v>#DIV/0!</v>
      </c>
      <c r="I119" s="34" t="e">
        <v>#DIV/0!</v>
      </c>
      <c r="J119" s="34" t="e">
        <v>#DIV/0!</v>
      </c>
      <c r="K119" s="34" t="e">
        <v>#DIV/0!</v>
      </c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34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 t="e">
        <v>#DIV/0!</v>
      </c>
      <c r="AJ119" s="34" t="e">
        <v>#DIV/0!</v>
      </c>
      <c r="AL119" s="67" t="e">
        <v>#DIV/0!</v>
      </c>
      <c r="CV119" s="152"/>
    </row>
    <row r="120" spans="2:100 15066:15458" s="1" customFormat="1" hidden="1" x14ac:dyDescent="0.25">
      <c r="B120" s="15"/>
      <c r="C120" s="11" t="s">
        <v>44</v>
      </c>
      <c r="D120" s="136">
        <v>0.5</v>
      </c>
      <c r="E120" s="20" t="s">
        <v>25</v>
      </c>
      <c r="F120" s="34" t="e">
        <v>#DIV/0!</v>
      </c>
      <c r="G120" s="34" t="e">
        <v>#DIV/0!</v>
      </c>
      <c r="H120" s="34" t="e">
        <v>#DIV/0!</v>
      </c>
      <c r="I120" s="34" t="e">
        <v>#DIV/0!</v>
      </c>
      <c r="J120" s="34" t="e">
        <v>#DIV/0!</v>
      </c>
      <c r="K120" s="34" t="e">
        <v>#DIV/0!</v>
      </c>
      <c r="L120" s="34" t="e">
        <v>#DIV/0!</v>
      </c>
      <c r="M120" s="34" t="e">
        <v>#DIV/0!</v>
      </c>
      <c r="N120" s="34" t="e">
        <v>#DIV/0!</v>
      </c>
      <c r="O120" s="34" t="e">
        <v>#DIV/0!</v>
      </c>
      <c r="P120" s="34" t="e">
        <v>#DIV/0!</v>
      </c>
      <c r="Q120" s="34" t="e">
        <v>#DIV/0!</v>
      </c>
      <c r="R120" s="34" t="e">
        <v>#DIV/0!</v>
      </c>
      <c r="S120" s="34" t="e">
        <v>#DIV/0!</v>
      </c>
      <c r="T120" s="34" t="e">
        <v>#DIV/0!</v>
      </c>
      <c r="U120" s="34" t="e">
        <v>#DIV/0!</v>
      </c>
      <c r="V120" s="34" t="e">
        <v>#DIV/0!</v>
      </c>
      <c r="W120" s="34" t="e">
        <v>#DIV/0!</v>
      </c>
      <c r="X120" s="34" t="e">
        <v>#DIV/0!</v>
      </c>
      <c r="Y120" s="34" t="e">
        <v>#DIV/0!</v>
      </c>
      <c r="Z120" s="34" t="e">
        <v>#DIV/0!</v>
      </c>
      <c r="AA120" s="34" t="e">
        <v>#DIV/0!</v>
      </c>
      <c r="AB120" s="34" t="e">
        <v>#DIV/0!</v>
      </c>
      <c r="AC120" s="34" t="e">
        <v>#DIV/0!</v>
      </c>
      <c r="AD120" s="34" t="e">
        <v>#DIV/0!</v>
      </c>
      <c r="AE120" s="34" t="e">
        <v>#DIV/0!</v>
      </c>
      <c r="AF120" s="34" t="e">
        <v>#DIV/0!</v>
      </c>
      <c r="AG120" s="34" t="e">
        <v>#DIV/0!</v>
      </c>
      <c r="AH120" s="34" t="e">
        <v>#DIV/0!</v>
      </c>
      <c r="AI120" s="34" t="e">
        <v>#DIV/0!</v>
      </c>
      <c r="AJ120" s="34" t="e">
        <v>#DIV/0!</v>
      </c>
      <c r="AL120" s="67" t="e">
        <v>#DIV/0!</v>
      </c>
      <c r="CV120" s="152"/>
    </row>
    <row r="121" spans="2:100 15066:15458" s="1" customFormat="1" hidden="1" x14ac:dyDescent="0.25">
      <c r="B121" s="15"/>
      <c r="C121" s="53" t="s">
        <v>43</v>
      </c>
      <c r="D121" s="137"/>
      <c r="E121" s="101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5"/>
      <c r="AL121" s="87" t="s">
        <v>131</v>
      </c>
    </row>
    <row r="122" spans="2:100 15066:15458" s="1" customFormat="1" hidden="1" x14ac:dyDescent="0.25">
      <c r="B122" s="15"/>
      <c r="C122" s="28" t="s">
        <v>115</v>
      </c>
      <c r="D122" s="136"/>
      <c r="E122" s="20" t="s">
        <v>14</v>
      </c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36"/>
      <c r="AL122" s="98">
        <v>0</v>
      </c>
    </row>
    <row r="123" spans="2:100 15066:15458" s="1" customFormat="1" hidden="1" x14ac:dyDescent="0.25">
      <c r="B123" s="15"/>
      <c r="C123" s="28" t="s">
        <v>116</v>
      </c>
      <c r="D123" s="136"/>
      <c r="E123" s="20" t="s">
        <v>14</v>
      </c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7"/>
      <c r="AL123" s="102">
        <v>0</v>
      </c>
    </row>
    <row r="124" spans="2:100 15066:15458" s="1" customFormat="1" hidden="1" x14ac:dyDescent="0.25">
      <c r="B124" s="15"/>
      <c r="C124" s="30" t="s">
        <v>39</v>
      </c>
      <c r="D124" s="136"/>
      <c r="E124" s="20" t="s">
        <v>14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>
        <v>0</v>
      </c>
      <c r="AJ124" s="34">
        <v>0</v>
      </c>
      <c r="AK124" s="18"/>
      <c r="AL124" s="67">
        <v>0</v>
      </c>
    </row>
    <row r="125" spans="2:100 15066:15458" s="1" customFormat="1" hidden="1" x14ac:dyDescent="0.25">
      <c r="B125" s="15"/>
      <c r="C125" s="30" t="s">
        <v>38</v>
      </c>
      <c r="D125" s="136"/>
      <c r="E125" s="20" t="s">
        <v>14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>
        <v>0</v>
      </c>
      <c r="AA125" s="34">
        <v>0</v>
      </c>
      <c r="AB125" s="34">
        <v>0</v>
      </c>
      <c r="AC125" s="34">
        <v>0</v>
      </c>
      <c r="AD125" s="34">
        <v>0</v>
      </c>
      <c r="AE125" s="34">
        <v>0</v>
      </c>
      <c r="AF125" s="34">
        <v>0</v>
      </c>
      <c r="AG125" s="34">
        <v>0</v>
      </c>
      <c r="AH125" s="34">
        <v>0</v>
      </c>
      <c r="AI125" s="34">
        <v>0</v>
      </c>
      <c r="AJ125" s="34">
        <v>0</v>
      </c>
      <c r="AK125" s="18"/>
      <c r="AL125" s="67">
        <v>0</v>
      </c>
    </row>
    <row r="126" spans="2:100 15066:15458" s="1" customFormat="1" hidden="1" x14ac:dyDescent="0.25">
      <c r="B126" s="15"/>
      <c r="C126" s="30" t="s">
        <v>29</v>
      </c>
      <c r="D126" s="136"/>
      <c r="E126" s="1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6"/>
      <c r="AL126" s="72" t="s">
        <v>29</v>
      </c>
    </row>
    <row r="127" spans="2:100 15066:15458" s="1" customFormat="1" hidden="1" x14ac:dyDescent="0.2">
      <c r="B127" s="15"/>
      <c r="C127" s="11" t="s">
        <v>42</v>
      </c>
      <c r="D127" s="136"/>
      <c r="E127" s="32" t="s">
        <v>31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8"/>
      <c r="AL127" s="100">
        <v>0</v>
      </c>
    </row>
    <row r="128" spans="2:100 15066:15458" s="1" customFormat="1" hidden="1" x14ac:dyDescent="0.2">
      <c r="B128" s="15"/>
      <c r="C128" s="11" t="s">
        <v>41</v>
      </c>
      <c r="D128" s="136"/>
      <c r="E128" s="32" t="s">
        <v>31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8"/>
      <c r="AL128" s="100">
        <v>0</v>
      </c>
    </row>
    <row r="129" spans="2:38" s="1" customFormat="1" hidden="1" x14ac:dyDescent="0.25">
      <c r="B129" s="15"/>
      <c r="C129" s="30" t="s">
        <v>28</v>
      </c>
      <c r="D129" s="136"/>
      <c r="E129" s="1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6"/>
      <c r="AL129" s="72" t="s">
        <v>28</v>
      </c>
    </row>
    <row r="130" spans="2:38" s="1" customFormat="1" hidden="1" x14ac:dyDescent="0.25">
      <c r="B130" s="15"/>
      <c r="C130" s="11" t="s">
        <v>42</v>
      </c>
      <c r="D130" s="136"/>
      <c r="E130" s="20" t="s">
        <v>28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>
        <v>0</v>
      </c>
      <c r="AJ130" s="33">
        <v>0</v>
      </c>
      <c r="AK130" s="6"/>
      <c r="AL130" s="63">
        <v>0</v>
      </c>
    </row>
    <row r="131" spans="2:38" s="1" customFormat="1" hidden="1" x14ac:dyDescent="0.25">
      <c r="B131" s="15"/>
      <c r="C131" s="11" t="s">
        <v>41</v>
      </c>
      <c r="D131" s="136"/>
      <c r="E131" s="20" t="s">
        <v>28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>
        <v>0</v>
      </c>
      <c r="AJ131" s="33">
        <v>0</v>
      </c>
      <c r="AK131" s="6"/>
      <c r="AL131" s="63">
        <v>0</v>
      </c>
    </row>
    <row r="132" spans="2:38" s="1" customFormat="1" hidden="1" x14ac:dyDescent="0.25">
      <c r="B132" s="15"/>
      <c r="C132" s="30" t="s">
        <v>36</v>
      </c>
      <c r="D132" s="136"/>
      <c r="E132" s="20" t="s">
        <v>35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>
        <v>0</v>
      </c>
      <c r="AJ132" s="33">
        <v>0</v>
      </c>
      <c r="AK132" s="6"/>
      <c r="AL132" s="63">
        <v>0</v>
      </c>
    </row>
    <row r="133" spans="2:38" s="1" customFormat="1" hidden="1" x14ac:dyDescent="0.25">
      <c r="B133" s="15"/>
      <c r="C133" s="30" t="s">
        <v>34</v>
      </c>
      <c r="D133" s="136"/>
      <c r="E133" s="20" t="s">
        <v>33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  <c r="AC133" s="33">
        <v>0</v>
      </c>
      <c r="AD133" s="33">
        <v>0</v>
      </c>
      <c r="AE133" s="33">
        <v>0</v>
      </c>
      <c r="AF133" s="33">
        <v>0</v>
      </c>
      <c r="AG133" s="33">
        <v>0</v>
      </c>
      <c r="AH133" s="33">
        <v>0</v>
      </c>
      <c r="AI133" s="33">
        <v>0</v>
      </c>
      <c r="AJ133" s="33">
        <v>0</v>
      </c>
      <c r="AK133" s="6"/>
      <c r="AL133" s="63">
        <v>0</v>
      </c>
    </row>
    <row r="134" spans="2:38" s="1" customFormat="1" hidden="1" x14ac:dyDescent="0.25">
      <c r="B134" s="15"/>
      <c r="C134" s="53" t="s">
        <v>32</v>
      </c>
      <c r="D134" s="137"/>
      <c r="E134" s="55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35"/>
      <c r="AL134" s="87" t="s">
        <v>132</v>
      </c>
    </row>
    <row r="135" spans="2:38" s="1" customFormat="1" hidden="1" x14ac:dyDescent="0.25">
      <c r="B135" s="15"/>
      <c r="C135" s="30" t="s">
        <v>29</v>
      </c>
      <c r="D135" s="136"/>
      <c r="E135" s="1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18"/>
      <c r="AL135" s="72" t="s">
        <v>29</v>
      </c>
    </row>
    <row r="136" spans="2:38" s="1" customFormat="1" hidden="1" x14ac:dyDescent="0.25">
      <c r="B136" s="15"/>
      <c r="C136" s="11" t="s">
        <v>42</v>
      </c>
      <c r="D136" s="136"/>
      <c r="E136" s="20" t="s">
        <v>31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18"/>
      <c r="AL136" s="63">
        <v>0</v>
      </c>
    </row>
    <row r="137" spans="2:38" s="1" customFormat="1" hidden="1" x14ac:dyDescent="0.25">
      <c r="B137" s="15"/>
      <c r="C137" s="11" t="s">
        <v>41</v>
      </c>
      <c r="D137" s="136"/>
      <c r="E137" s="20" t="s">
        <v>31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18"/>
      <c r="AL137" s="63">
        <v>0</v>
      </c>
    </row>
    <row r="138" spans="2:38" s="1" customFormat="1" hidden="1" x14ac:dyDescent="0.25">
      <c r="B138" s="15"/>
      <c r="C138" s="30" t="s">
        <v>28</v>
      </c>
      <c r="D138" s="136"/>
      <c r="E138" s="1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18"/>
      <c r="AL138" s="72" t="s">
        <v>28</v>
      </c>
    </row>
    <row r="139" spans="2:38" s="1" customFormat="1" hidden="1" x14ac:dyDescent="0.25">
      <c r="B139" s="15"/>
      <c r="C139" s="11" t="s">
        <v>42</v>
      </c>
      <c r="D139" s="136"/>
      <c r="E139" s="20" t="s">
        <v>28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>
        <v>0</v>
      </c>
      <c r="AJ139" s="33">
        <v>0</v>
      </c>
      <c r="AK139" s="18"/>
      <c r="AL139" s="63">
        <v>0</v>
      </c>
    </row>
    <row r="140" spans="2:38" s="1" customFormat="1" hidden="1" x14ac:dyDescent="0.25">
      <c r="B140" s="15"/>
      <c r="C140" s="11" t="s">
        <v>41</v>
      </c>
      <c r="D140" s="136"/>
      <c r="E140" s="20" t="s">
        <v>28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33">
        <v>0</v>
      </c>
      <c r="AG140" s="33">
        <v>0</v>
      </c>
      <c r="AH140" s="33">
        <v>0</v>
      </c>
      <c r="AI140" s="33">
        <v>0</v>
      </c>
      <c r="AJ140" s="33">
        <v>0</v>
      </c>
      <c r="AK140" s="18"/>
      <c r="AL140" s="63">
        <v>0</v>
      </c>
    </row>
    <row r="141" spans="2:38" s="1" customFormat="1" hidden="1" x14ac:dyDescent="0.25">
      <c r="B141" s="15"/>
      <c r="C141" s="53" t="s">
        <v>30</v>
      </c>
      <c r="D141" s="137"/>
      <c r="E141" s="101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35"/>
      <c r="AL141" s="104"/>
    </row>
    <row r="142" spans="2:38" s="1" customFormat="1" hidden="1" x14ac:dyDescent="0.25">
      <c r="B142" s="15"/>
      <c r="C142" s="30" t="s">
        <v>29</v>
      </c>
      <c r="D142" s="136"/>
      <c r="E142" s="20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18"/>
      <c r="AL142" s="63"/>
    </row>
    <row r="143" spans="2:38" s="1" customFormat="1" hidden="1" x14ac:dyDescent="0.25">
      <c r="B143" s="15"/>
      <c r="C143" s="11" t="s">
        <v>42</v>
      </c>
      <c r="D143" s="136"/>
      <c r="E143" s="20" t="s">
        <v>25</v>
      </c>
      <c r="F143" s="33" t="e">
        <v>#DIV/0!</v>
      </c>
      <c r="G143" s="33" t="e">
        <v>#DIV/0!</v>
      </c>
      <c r="H143" s="33" t="e">
        <v>#DIV/0!</v>
      </c>
      <c r="I143" s="33" t="e">
        <v>#DIV/0!</v>
      </c>
      <c r="J143" s="33" t="e">
        <v>#DIV/0!</v>
      </c>
      <c r="K143" s="33" t="e">
        <v>#DIV/0!</v>
      </c>
      <c r="L143" s="33" t="e">
        <v>#DIV/0!</v>
      </c>
      <c r="M143" s="33" t="e">
        <v>#DIV/0!</v>
      </c>
      <c r="N143" s="33" t="e">
        <v>#DIV/0!</v>
      </c>
      <c r="O143" s="33" t="e">
        <v>#DIV/0!</v>
      </c>
      <c r="P143" s="33" t="e">
        <v>#DIV/0!</v>
      </c>
      <c r="Q143" s="33" t="e">
        <v>#DIV/0!</v>
      </c>
      <c r="R143" s="33" t="e">
        <v>#DIV/0!</v>
      </c>
      <c r="S143" s="33" t="e">
        <v>#DIV/0!</v>
      </c>
      <c r="T143" s="33" t="e">
        <v>#DIV/0!</v>
      </c>
      <c r="U143" s="33" t="e">
        <v>#DIV/0!</v>
      </c>
      <c r="V143" s="33" t="e">
        <v>#DIV/0!</v>
      </c>
      <c r="W143" s="33" t="e">
        <v>#DIV/0!</v>
      </c>
      <c r="X143" s="33" t="e">
        <v>#DIV/0!</v>
      </c>
      <c r="Y143" s="33" t="e">
        <v>#DIV/0!</v>
      </c>
      <c r="Z143" s="33" t="e">
        <v>#DIV/0!</v>
      </c>
      <c r="AA143" s="33" t="e">
        <v>#DIV/0!</v>
      </c>
      <c r="AB143" s="33" t="e">
        <v>#DIV/0!</v>
      </c>
      <c r="AC143" s="33" t="e">
        <v>#DIV/0!</v>
      </c>
      <c r="AD143" s="33" t="e">
        <v>#DIV/0!</v>
      </c>
      <c r="AE143" s="33" t="e">
        <v>#DIV/0!</v>
      </c>
      <c r="AF143" s="33" t="e">
        <v>#DIV/0!</v>
      </c>
      <c r="AG143" s="33" t="e">
        <v>#DIV/0!</v>
      </c>
      <c r="AH143" s="33" t="e">
        <v>#DIV/0!</v>
      </c>
      <c r="AI143" s="33" t="e">
        <v>#DIV/0!</v>
      </c>
      <c r="AJ143" s="33" t="e">
        <v>#DIV/0!</v>
      </c>
      <c r="AK143" s="38"/>
      <c r="AL143" s="63" t="e">
        <v>#DIV/0!</v>
      </c>
    </row>
    <row r="144" spans="2:38" s="1" customFormat="1" hidden="1" x14ac:dyDescent="0.25">
      <c r="B144" s="15"/>
      <c r="C144" s="11" t="s">
        <v>92</v>
      </c>
      <c r="D144" s="136"/>
      <c r="E144" s="20" t="s">
        <v>25</v>
      </c>
      <c r="F144" s="33" t="e">
        <v>#DIV/0!</v>
      </c>
      <c r="G144" s="33" t="e">
        <v>#DIV/0!</v>
      </c>
      <c r="H144" s="33" t="e">
        <v>#DIV/0!</v>
      </c>
      <c r="I144" s="33" t="e">
        <v>#DIV/0!</v>
      </c>
      <c r="J144" s="33" t="e">
        <v>#DIV/0!</v>
      </c>
      <c r="K144" s="33" t="e">
        <v>#DIV/0!</v>
      </c>
      <c r="L144" s="33" t="e">
        <v>#DIV/0!</v>
      </c>
      <c r="M144" s="33" t="e">
        <v>#DIV/0!</v>
      </c>
      <c r="N144" s="33" t="e">
        <v>#DIV/0!</v>
      </c>
      <c r="O144" s="33" t="e">
        <v>#DIV/0!</v>
      </c>
      <c r="P144" s="33" t="e">
        <v>#DIV/0!</v>
      </c>
      <c r="Q144" s="33" t="e">
        <v>#DIV/0!</v>
      </c>
      <c r="R144" s="33" t="e">
        <v>#DIV/0!</v>
      </c>
      <c r="S144" s="33" t="e">
        <v>#DIV/0!</v>
      </c>
      <c r="T144" s="33" t="e">
        <v>#DIV/0!</v>
      </c>
      <c r="U144" s="33" t="e">
        <v>#DIV/0!</v>
      </c>
      <c r="V144" s="33" t="e">
        <v>#DIV/0!</v>
      </c>
      <c r="W144" s="33" t="e">
        <v>#DIV/0!</v>
      </c>
      <c r="X144" s="33" t="e">
        <v>#DIV/0!</v>
      </c>
      <c r="Y144" s="33" t="e">
        <v>#DIV/0!</v>
      </c>
      <c r="Z144" s="33" t="e">
        <v>#DIV/0!</v>
      </c>
      <c r="AA144" s="33" t="e">
        <v>#DIV/0!</v>
      </c>
      <c r="AB144" s="33" t="e">
        <v>#DIV/0!</v>
      </c>
      <c r="AC144" s="33" t="e">
        <v>#DIV/0!</v>
      </c>
      <c r="AD144" s="33" t="e">
        <v>#DIV/0!</v>
      </c>
      <c r="AE144" s="33" t="e">
        <v>#DIV/0!</v>
      </c>
      <c r="AF144" s="33" t="e">
        <v>#DIV/0!</v>
      </c>
      <c r="AG144" s="33" t="e">
        <v>#DIV/0!</v>
      </c>
      <c r="AH144" s="33" t="e">
        <v>#DIV/0!</v>
      </c>
      <c r="AI144" s="33" t="e">
        <v>#DIV/0!</v>
      </c>
      <c r="AJ144" s="33" t="e">
        <v>#DIV/0!</v>
      </c>
      <c r="AK144" s="38"/>
      <c r="AL144" s="63" t="e">
        <v>#DIV/0!</v>
      </c>
    </row>
    <row r="145" spans="2:100 15066:15458" s="1" customFormat="1" hidden="1" x14ac:dyDescent="0.25">
      <c r="B145" s="15"/>
      <c r="C145" s="30" t="s">
        <v>28</v>
      </c>
      <c r="D145" s="136"/>
      <c r="E145" s="1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8"/>
      <c r="AL145" s="63"/>
    </row>
    <row r="146" spans="2:100 15066:15458" s="1" customFormat="1" hidden="1" x14ac:dyDescent="0.25">
      <c r="B146" s="15"/>
      <c r="C146" s="11" t="s">
        <v>42</v>
      </c>
      <c r="D146" s="136"/>
      <c r="E146" s="20" t="s">
        <v>25</v>
      </c>
      <c r="F146" s="33" t="e">
        <v>#DIV/0!</v>
      </c>
      <c r="G146" s="33" t="e">
        <v>#DIV/0!</v>
      </c>
      <c r="H146" s="33" t="e">
        <v>#DIV/0!</v>
      </c>
      <c r="I146" s="33" t="e">
        <v>#DIV/0!</v>
      </c>
      <c r="J146" s="33" t="e">
        <v>#DIV/0!</v>
      </c>
      <c r="K146" s="33" t="e">
        <v>#DIV/0!</v>
      </c>
      <c r="L146" s="33" t="e">
        <v>#DIV/0!</v>
      </c>
      <c r="M146" s="33" t="e">
        <v>#DIV/0!</v>
      </c>
      <c r="N146" s="33" t="e">
        <v>#DIV/0!</v>
      </c>
      <c r="O146" s="33" t="e">
        <v>#DIV/0!</v>
      </c>
      <c r="P146" s="33" t="e">
        <v>#DIV/0!</v>
      </c>
      <c r="Q146" s="33" t="e">
        <v>#DIV/0!</v>
      </c>
      <c r="R146" s="33" t="e">
        <v>#DIV/0!</v>
      </c>
      <c r="S146" s="33" t="e">
        <v>#DIV/0!</v>
      </c>
      <c r="T146" s="33" t="e">
        <v>#DIV/0!</v>
      </c>
      <c r="U146" s="33" t="e">
        <v>#DIV/0!</v>
      </c>
      <c r="V146" s="33" t="e">
        <v>#DIV/0!</v>
      </c>
      <c r="W146" s="33" t="e">
        <v>#DIV/0!</v>
      </c>
      <c r="X146" s="33" t="e">
        <v>#DIV/0!</v>
      </c>
      <c r="Y146" s="33" t="e">
        <v>#DIV/0!</v>
      </c>
      <c r="Z146" s="33" t="e">
        <v>#DIV/0!</v>
      </c>
      <c r="AA146" s="33" t="e">
        <v>#DIV/0!</v>
      </c>
      <c r="AB146" s="33" t="e">
        <v>#DIV/0!</v>
      </c>
      <c r="AC146" s="33" t="e">
        <v>#DIV/0!</v>
      </c>
      <c r="AD146" s="33" t="e">
        <v>#DIV/0!</v>
      </c>
      <c r="AE146" s="33" t="e">
        <v>#DIV/0!</v>
      </c>
      <c r="AF146" s="33" t="e">
        <v>#DIV/0!</v>
      </c>
      <c r="AG146" s="33" t="e">
        <v>#DIV/0!</v>
      </c>
      <c r="AH146" s="33" t="e">
        <v>#DIV/0!</v>
      </c>
      <c r="AI146" s="33" t="e">
        <v>#DIV/0!</v>
      </c>
      <c r="AJ146" s="33" t="e">
        <v>#DIV/0!</v>
      </c>
      <c r="AK146" s="38"/>
      <c r="AL146" s="63" t="e">
        <v>#DIV/0!</v>
      </c>
    </row>
    <row r="147" spans="2:100 15066:15458" s="1" customFormat="1" ht="15.75" hidden="1" thickBot="1" x14ac:dyDescent="0.3">
      <c r="B147" s="19"/>
      <c r="C147" s="11" t="s">
        <v>92</v>
      </c>
      <c r="D147" s="136"/>
      <c r="E147" s="20" t="s">
        <v>25</v>
      </c>
      <c r="F147" s="33" t="e">
        <v>#DIV/0!</v>
      </c>
      <c r="G147" s="33" t="e">
        <v>#DIV/0!</v>
      </c>
      <c r="H147" s="33" t="e">
        <v>#DIV/0!</v>
      </c>
      <c r="I147" s="33" t="e">
        <v>#DIV/0!</v>
      </c>
      <c r="J147" s="33" t="e">
        <v>#DIV/0!</v>
      </c>
      <c r="K147" s="33" t="e">
        <v>#DIV/0!</v>
      </c>
      <c r="L147" s="33" t="e">
        <v>#DIV/0!</v>
      </c>
      <c r="M147" s="33" t="e">
        <v>#DIV/0!</v>
      </c>
      <c r="N147" s="33" t="e">
        <v>#DIV/0!</v>
      </c>
      <c r="O147" s="33" t="e">
        <v>#DIV/0!</v>
      </c>
      <c r="P147" s="33" t="e">
        <v>#DIV/0!</v>
      </c>
      <c r="Q147" s="33" t="e">
        <v>#DIV/0!</v>
      </c>
      <c r="R147" s="33" t="e">
        <v>#DIV/0!</v>
      </c>
      <c r="S147" s="33" t="e">
        <v>#DIV/0!</v>
      </c>
      <c r="T147" s="33" t="e">
        <v>#DIV/0!</v>
      </c>
      <c r="U147" s="33" t="e">
        <v>#DIV/0!</v>
      </c>
      <c r="V147" s="33" t="e">
        <v>#DIV/0!</v>
      </c>
      <c r="W147" s="33" t="e">
        <v>#DIV/0!</v>
      </c>
      <c r="X147" s="33" t="e">
        <v>#DIV/0!</v>
      </c>
      <c r="Y147" s="33" t="e">
        <v>#DIV/0!</v>
      </c>
      <c r="Z147" s="33" t="e">
        <v>#DIV/0!</v>
      </c>
      <c r="AA147" s="33" t="e">
        <v>#DIV/0!</v>
      </c>
      <c r="AB147" s="33" t="e">
        <v>#DIV/0!</v>
      </c>
      <c r="AC147" s="33" t="e">
        <v>#DIV/0!</v>
      </c>
      <c r="AD147" s="33" t="e">
        <v>#DIV/0!</v>
      </c>
      <c r="AE147" s="33" t="e">
        <v>#DIV/0!</v>
      </c>
      <c r="AF147" s="33" t="e">
        <v>#DIV/0!</v>
      </c>
      <c r="AG147" s="33" t="e">
        <v>#DIV/0!</v>
      </c>
      <c r="AH147" s="33" t="e">
        <v>#DIV/0!</v>
      </c>
      <c r="AI147" s="33" t="e">
        <v>#DIV/0!</v>
      </c>
      <c r="AJ147" s="33" t="e">
        <v>#DIV/0!</v>
      </c>
      <c r="AK147" s="38"/>
      <c r="AL147" s="63" t="e">
        <v>#DIV/0!</v>
      </c>
    </row>
    <row r="148" spans="2:100 15066:15458" s="1" customFormat="1" hidden="1" x14ac:dyDescent="0.25">
      <c r="B148" s="8">
        <v>6</v>
      </c>
      <c r="C148" s="53" t="s">
        <v>40</v>
      </c>
      <c r="D148" s="54"/>
      <c r="E148" s="55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3"/>
      <c r="AL148" s="87" t="s">
        <v>131</v>
      </c>
      <c r="CV148" s="151"/>
      <c r="VGL148" s="50"/>
      <c r="VGM148" s="50"/>
      <c r="VGN148" s="50"/>
      <c r="VGO148" s="50"/>
      <c r="VGP148" s="50"/>
      <c r="VGQ148" s="50"/>
      <c r="VGR148" s="50"/>
      <c r="VGS148" s="50"/>
      <c r="VGT148" s="50"/>
      <c r="VGU148" s="50"/>
      <c r="VGV148" s="50"/>
      <c r="VGW148" s="50"/>
      <c r="VGX148" s="50"/>
      <c r="VGY148" s="50"/>
      <c r="VGZ148" s="50"/>
      <c r="VHA148" s="50"/>
      <c r="VHB148" s="50"/>
      <c r="VHC148" s="50"/>
      <c r="VHD148" s="50"/>
      <c r="VHE148" s="50"/>
      <c r="VHF148" s="50"/>
      <c r="VHG148" s="50"/>
      <c r="VHH148" s="50"/>
      <c r="VHI148" s="50"/>
      <c r="VHJ148" s="50"/>
      <c r="VHK148" s="50"/>
      <c r="VHL148" s="50"/>
      <c r="VHM148" s="50"/>
      <c r="VHN148" s="50"/>
      <c r="VHO148" s="50"/>
      <c r="VHP148" s="50"/>
      <c r="VHQ148" s="50"/>
      <c r="VHR148" s="50"/>
      <c r="VHS148" s="50"/>
      <c r="VHT148" s="50"/>
      <c r="VHU148" s="50"/>
      <c r="VHV148" s="50"/>
      <c r="VHW148" s="50"/>
      <c r="VHX148" s="50"/>
      <c r="VHY148" s="50"/>
      <c r="VHZ148" s="50"/>
      <c r="VIA148" s="50"/>
      <c r="VIB148" s="50"/>
      <c r="VIC148" s="50"/>
      <c r="VID148" s="50"/>
      <c r="VIE148" s="50"/>
      <c r="VIF148" s="50"/>
      <c r="VIG148" s="50"/>
      <c r="VIH148" s="50"/>
      <c r="VII148" s="50"/>
      <c r="VIJ148" s="50"/>
      <c r="VIK148" s="50"/>
      <c r="VIL148" s="50"/>
      <c r="VIM148" s="50"/>
      <c r="VIN148" s="50"/>
      <c r="VIO148" s="50"/>
      <c r="VIP148" s="50"/>
      <c r="VIQ148" s="50"/>
      <c r="VIR148" s="50"/>
      <c r="VIS148" s="50"/>
      <c r="VIT148" s="50"/>
      <c r="VIU148" s="50"/>
      <c r="VIV148" s="50"/>
      <c r="VIW148" s="50"/>
      <c r="VIX148" s="50"/>
      <c r="VIY148" s="50"/>
      <c r="VIZ148" s="50"/>
      <c r="VJA148" s="50"/>
      <c r="VJB148" s="50"/>
      <c r="VJC148" s="50"/>
      <c r="VJD148" s="50"/>
      <c r="VJE148" s="50"/>
      <c r="VJF148" s="50"/>
      <c r="VJG148" s="50"/>
      <c r="VJH148" s="50"/>
      <c r="VJI148" s="50"/>
      <c r="VJJ148" s="50"/>
      <c r="VJK148" s="50"/>
      <c r="VJL148" s="50"/>
      <c r="VJM148" s="50"/>
      <c r="VJN148" s="50"/>
      <c r="VJO148" s="50"/>
      <c r="VJP148" s="50"/>
      <c r="VJQ148" s="50"/>
      <c r="VJR148" s="50"/>
      <c r="VJS148" s="50"/>
      <c r="VJT148" s="50"/>
      <c r="VJU148" s="50"/>
      <c r="VJV148" s="50"/>
      <c r="VJW148" s="50"/>
      <c r="VJX148" s="50"/>
      <c r="VJY148" s="50"/>
      <c r="VJZ148" s="50"/>
      <c r="VKA148" s="50"/>
      <c r="VKB148" s="50"/>
      <c r="VKC148" s="50"/>
      <c r="VKD148" s="50"/>
      <c r="VKE148" s="50"/>
      <c r="VKF148" s="50"/>
      <c r="VKG148" s="50"/>
      <c r="VKH148" s="50"/>
      <c r="VKI148" s="50"/>
      <c r="VKJ148" s="50"/>
      <c r="VKK148" s="50"/>
      <c r="VKL148" s="50"/>
      <c r="VKM148" s="50"/>
      <c r="VKN148" s="50"/>
      <c r="VKO148" s="50"/>
      <c r="VKP148" s="50"/>
      <c r="VKQ148" s="50"/>
      <c r="VKR148" s="50"/>
      <c r="VKS148" s="50"/>
      <c r="VKT148" s="50"/>
      <c r="VKU148" s="50"/>
      <c r="VKV148" s="50"/>
      <c r="VKW148" s="50"/>
      <c r="VKX148" s="50"/>
      <c r="VKY148" s="50"/>
      <c r="VKZ148" s="50"/>
      <c r="VLA148" s="50"/>
      <c r="VLB148" s="50"/>
      <c r="VLC148" s="50"/>
      <c r="VLD148" s="50"/>
      <c r="VLE148" s="50"/>
      <c r="VLF148" s="50"/>
      <c r="VLG148" s="50"/>
      <c r="VLH148" s="50"/>
      <c r="VLI148" s="50"/>
      <c r="VLJ148" s="50"/>
      <c r="VLK148" s="50"/>
      <c r="VLL148" s="50"/>
      <c r="VLM148" s="50"/>
      <c r="VLN148" s="50"/>
      <c r="VLO148" s="50"/>
      <c r="VLP148" s="50"/>
      <c r="VLQ148" s="50"/>
      <c r="VLR148" s="50"/>
      <c r="VLS148" s="50"/>
      <c r="VLT148" s="50"/>
      <c r="VLU148" s="50"/>
      <c r="VLV148" s="50"/>
      <c r="VLW148" s="50"/>
      <c r="VLX148" s="50"/>
      <c r="VLY148" s="50"/>
      <c r="VLZ148" s="50"/>
      <c r="VMA148" s="50"/>
      <c r="VMB148" s="50"/>
      <c r="VMC148" s="50"/>
      <c r="VMD148" s="50"/>
      <c r="VME148" s="50"/>
      <c r="VMF148" s="50"/>
      <c r="VMG148" s="50"/>
      <c r="VMH148" s="50"/>
      <c r="VMI148" s="50"/>
      <c r="VMJ148" s="50"/>
      <c r="VMK148" s="50"/>
      <c r="VML148" s="50"/>
      <c r="VMM148" s="50"/>
      <c r="VMN148" s="50"/>
      <c r="VMO148" s="50"/>
      <c r="VMP148" s="50"/>
      <c r="VMQ148" s="50"/>
      <c r="VMR148" s="50"/>
      <c r="VMS148" s="50"/>
      <c r="VMT148" s="50"/>
      <c r="VMU148" s="50"/>
      <c r="VMV148" s="50"/>
      <c r="VMW148" s="50"/>
      <c r="VMX148" s="50"/>
      <c r="VMY148" s="50"/>
      <c r="VMZ148" s="50"/>
      <c r="VNA148" s="50"/>
      <c r="VNB148" s="50"/>
      <c r="VNC148" s="50"/>
      <c r="VND148" s="50"/>
      <c r="VNE148" s="50"/>
      <c r="VNF148" s="50"/>
      <c r="VNG148" s="50"/>
      <c r="VNH148" s="50"/>
      <c r="VNI148" s="50"/>
      <c r="VNJ148" s="50"/>
      <c r="VNK148" s="50"/>
      <c r="VNL148" s="50"/>
      <c r="VNM148" s="50"/>
      <c r="VNN148" s="50"/>
      <c r="VNO148" s="50"/>
      <c r="VNP148" s="50"/>
      <c r="VNQ148" s="50"/>
      <c r="VNR148" s="50"/>
      <c r="VNS148" s="50"/>
      <c r="VNT148" s="50"/>
      <c r="VNU148" s="50"/>
      <c r="VNV148" s="50"/>
      <c r="VNW148" s="50"/>
      <c r="VNX148" s="50"/>
      <c r="VNY148" s="50"/>
      <c r="VNZ148" s="50"/>
      <c r="VOA148" s="50"/>
      <c r="VOB148" s="50"/>
      <c r="VOC148" s="50"/>
      <c r="VOD148" s="50"/>
      <c r="VOE148" s="50"/>
      <c r="VOF148" s="50"/>
      <c r="VOG148" s="50"/>
      <c r="VOH148" s="50"/>
      <c r="VOI148" s="50"/>
      <c r="VOJ148" s="50"/>
      <c r="VOK148" s="50"/>
      <c r="VOL148" s="50"/>
      <c r="VOM148" s="50"/>
      <c r="VON148" s="50"/>
      <c r="VOO148" s="50"/>
      <c r="VOP148" s="50"/>
      <c r="VOQ148" s="50"/>
      <c r="VOR148" s="50"/>
      <c r="VOS148" s="50"/>
      <c r="VOT148" s="50"/>
      <c r="VOU148" s="50"/>
      <c r="VOV148" s="50"/>
      <c r="VOW148" s="50"/>
      <c r="VOX148" s="50"/>
      <c r="VOY148" s="50"/>
      <c r="VOZ148" s="50"/>
      <c r="VPA148" s="50"/>
      <c r="VPB148" s="50"/>
      <c r="VPC148" s="50"/>
      <c r="VPD148" s="50"/>
      <c r="VPE148" s="50"/>
      <c r="VPF148" s="50"/>
      <c r="VPG148" s="50"/>
      <c r="VPH148" s="50"/>
      <c r="VPI148" s="50"/>
      <c r="VPJ148" s="50"/>
      <c r="VPK148" s="50"/>
      <c r="VPL148" s="50"/>
      <c r="VPM148" s="50"/>
      <c r="VPN148" s="50"/>
      <c r="VPO148" s="50"/>
      <c r="VPP148" s="50"/>
      <c r="VPQ148" s="50"/>
      <c r="VPR148" s="50"/>
      <c r="VPS148" s="50"/>
      <c r="VPT148" s="50"/>
      <c r="VPU148" s="50"/>
      <c r="VPV148" s="50"/>
      <c r="VPW148" s="50"/>
      <c r="VPX148" s="50"/>
      <c r="VPY148" s="50"/>
      <c r="VPZ148" s="50"/>
      <c r="VQA148" s="50"/>
      <c r="VQB148" s="50"/>
      <c r="VQC148" s="50"/>
      <c r="VQD148" s="50"/>
      <c r="VQE148" s="50"/>
      <c r="VQF148" s="50"/>
      <c r="VQG148" s="50"/>
      <c r="VQH148" s="50"/>
      <c r="VQI148" s="50"/>
      <c r="VQJ148" s="50"/>
      <c r="VQK148" s="50"/>
      <c r="VQL148" s="50"/>
      <c r="VQM148" s="50"/>
      <c r="VQN148" s="50"/>
      <c r="VQO148" s="50"/>
      <c r="VQP148" s="50"/>
      <c r="VQQ148" s="50"/>
      <c r="VQR148" s="50"/>
      <c r="VQS148" s="50"/>
      <c r="VQT148" s="50"/>
      <c r="VQU148" s="50"/>
      <c r="VQV148" s="50"/>
      <c r="VQW148" s="50"/>
      <c r="VQX148" s="50"/>
      <c r="VQY148" s="50"/>
      <c r="VQZ148" s="50"/>
      <c r="VRA148" s="50"/>
      <c r="VRB148" s="50"/>
      <c r="VRC148" s="50"/>
      <c r="VRD148" s="50"/>
      <c r="VRE148" s="50"/>
      <c r="VRF148" s="50"/>
      <c r="VRG148" s="50"/>
      <c r="VRH148" s="50"/>
      <c r="VRI148" s="50"/>
      <c r="VRJ148" s="50"/>
      <c r="VRK148" s="50"/>
      <c r="VRL148" s="50"/>
      <c r="VRM148" s="50"/>
      <c r="VRN148" s="50"/>
      <c r="VRO148" s="50"/>
      <c r="VRP148" s="50"/>
      <c r="VRQ148" s="50"/>
      <c r="VRR148" s="50"/>
      <c r="VRS148" s="50"/>
      <c r="VRT148" s="50"/>
      <c r="VRU148" s="50"/>
      <c r="VRV148" s="50"/>
      <c r="VRW148" s="50"/>
      <c r="VRX148" s="50"/>
      <c r="VRY148" s="50"/>
      <c r="VRZ148" s="50"/>
      <c r="VSA148" s="50"/>
      <c r="VSB148" s="50"/>
      <c r="VSC148" s="50"/>
      <c r="VSD148" s="50"/>
      <c r="VSE148" s="50"/>
      <c r="VSF148" s="50"/>
      <c r="VSG148" s="50"/>
      <c r="VSH148" s="50"/>
      <c r="VSI148" s="50"/>
      <c r="VSJ148" s="50"/>
      <c r="VSK148" s="50"/>
      <c r="VSL148" s="50"/>
      <c r="VSM148" s="50"/>
      <c r="VSN148" s="50"/>
      <c r="VSO148" s="50"/>
      <c r="VSP148" s="50"/>
      <c r="VSQ148" s="50"/>
      <c r="VSR148" s="50"/>
      <c r="VSS148" s="50"/>
      <c r="VST148" s="50"/>
      <c r="VSU148" s="50"/>
      <c r="VSV148" s="50"/>
      <c r="VSW148" s="50"/>
      <c r="VSX148" s="50"/>
      <c r="VSY148" s="50"/>
      <c r="VSZ148" s="50"/>
      <c r="VTA148" s="50"/>
      <c r="VTB148" s="50"/>
      <c r="VTC148" s="50"/>
      <c r="VTD148" s="50"/>
      <c r="VTE148" s="50"/>
      <c r="VTF148" s="50"/>
      <c r="VTG148" s="50"/>
      <c r="VTH148" s="50"/>
      <c r="VTI148" s="50"/>
      <c r="VTJ148" s="50"/>
      <c r="VTK148" s="50"/>
      <c r="VTL148" s="50"/>
      <c r="VTM148" s="50"/>
      <c r="VTN148" s="50"/>
      <c r="VTO148" s="50"/>
      <c r="VTP148" s="50"/>
      <c r="VTQ148" s="50"/>
      <c r="VTR148" s="50"/>
      <c r="VTS148" s="50"/>
      <c r="VTT148" s="50"/>
      <c r="VTU148" s="50"/>
      <c r="VTV148" s="50"/>
      <c r="VTW148" s="50"/>
      <c r="VTX148" s="50"/>
      <c r="VTY148" s="50"/>
      <c r="VTZ148" s="50"/>
      <c r="VUA148" s="50"/>
      <c r="VUB148" s="50"/>
      <c r="VUC148" s="50"/>
      <c r="VUD148" s="50"/>
      <c r="VUE148" s="50"/>
      <c r="VUF148" s="50"/>
      <c r="VUG148" s="50"/>
      <c r="VUH148" s="50"/>
      <c r="VUI148" s="50"/>
      <c r="VUJ148" s="50"/>
      <c r="VUK148" s="50"/>
      <c r="VUL148" s="50"/>
      <c r="VUM148" s="50"/>
      <c r="VUN148" s="50"/>
      <c r="VUO148" s="50"/>
      <c r="VUP148" s="50"/>
      <c r="VUQ148" s="50"/>
      <c r="VUR148" s="50"/>
      <c r="VUS148" s="50"/>
      <c r="VUT148" s="50"/>
      <c r="VUU148" s="50"/>
      <c r="VUV148" s="50"/>
      <c r="VUW148" s="50"/>
      <c r="VUX148" s="50"/>
      <c r="VUY148" s="50"/>
      <c r="VUZ148" s="50"/>
      <c r="VVA148" s="50"/>
      <c r="VVB148" s="50"/>
      <c r="VVC148" s="50"/>
      <c r="VVD148" s="50"/>
      <c r="VVE148" s="50"/>
      <c r="VVF148" s="50"/>
      <c r="VVG148" s="50"/>
      <c r="VVH148" s="50"/>
      <c r="VVI148" s="50"/>
      <c r="VVJ148" s="50"/>
      <c r="VVK148" s="50"/>
      <c r="VVL148" s="50"/>
      <c r="VVM148" s="50"/>
      <c r="VVN148" s="50"/>
    </row>
    <row r="149" spans="2:100 15066:15458" s="1" customFormat="1" hidden="1" x14ac:dyDescent="0.25">
      <c r="B149" s="15"/>
      <c r="C149" s="28" t="s">
        <v>116</v>
      </c>
      <c r="D149" s="99"/>
      <c r="E149" s="20" t="s">
        <v>14</v>
      </c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2"/>
      <c r="AL149" s="98">
        <v>0</v>
      </c>
      <c r="CV149" s="152"/>
    </row>
    <row r="150" spans="2:100 15066:15458" s="1" customFormat="1" hidden="1" x14ac:dyDescent="0.25">
      <c r="B150" s="15"/>
      <c r="C150" s="30" t="s">
        <v>39</v>
      </c>
      <c r="D150" s="69"/>
      <c r="E150" s="20" t="s">
        <v>14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>
        <v>0</v>
      </c>
      <c r="AJ150" s="34">
        <v>0</v>
      </c>
      <c r="AL150" s="67">
        <v>0</v>
      </c>
      <c r="CV150" s="152"/>
    </row>
    <row r="151" spans="2:100 15066:15458" s="1" customFormat="1" hidden="1" x14ac:dyDescent="0.25">
      <c r="B151" s="15"/>
      <c r="C151" s="30" t="s">
        <v>38</v>
      </c>
      <c r="D151" s="69"/>
      <c r="E151" s="20" t="s">
        <v>14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>
        <v>0</v>
      </c>
      <c r="AJ151" s="34">
        <v>0</v>
      </c>
      <c r="AL151" s="67">
        <v>0</v>
      </c>
      <c r="CV151" s="152"/>
    </row>
    <row r="152" spans="2:100 15066:15458" s="1" customFormat="1" hidden="1" x14ac:dyDescent="0.25">
      <c r="B152" s="15"/>
      <c r="C152" s="30" t="s">
        <v>29</v>
      </c>
      <c r="D152" s="69"/>
      <c r="E152" s="1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L152" s="72" t="s">
        <v>29</v>
      </c>
      <c r="CV152" s="152"/>
    </row>
    <row r="153" spans="2:100 15066:15458" s="1" customFormat="1" hidden="1" x14ac:dyDescent="0.2">
      <c r="B153" s="15"/>
      <c r="C153" s="11" t="s">
        <v>117</v>
      </c>
      <c r="D153" s="69"/>
      <c r="E153" s="32" t="s">
        <v>31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L153" s="100">
        <v>0</v>
      </c>
      <c r="CV153" s="152"/>
    </row>
    <row r="154" spans="2:100 15066:15458" s="16" customFormat="1" hidden="1" x14ac:dyDescent="0.25">
      <c r="B154" s="17"/>
      <c r="C154" s="11" t="s">
        <v>27</v>
      </c>
      <c r="D154" s="62"/>
      <c r="E154" s="32" t="s">
        <v>31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L154" s="100">
        <v>0</v>
      </c>
      <c r="CV154" s="158"/>
    </row>
    <row r="155" spans="2:100 15066:15458" s="16" customFormat="1" hidden="1" x14ac:dyDescent="0.25">
      <c r="B155" s="17"/>
      <c r="C155" s="11" t="s">
        <v>26</v>
      </c>
      <c r="D155" s="62"/>
      <c r="E155" s="32" t="s">
        <v>31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L155" s="100">
        <v>0</v>
      </c>
      <c r="CV155" s="158"/>
    </row>
    <row r="156" spans="2:100 15066:15458" s="16" customFormat="1" hidden="1" x14ac:dyDescent="0.25">
      <c r="B156" s="17"/>
      <c r="C156" s="11" t="s">
        <v>37</v>
      </c>
      <c r="D156" s="62"/>
      <c r="E156" s="32" t="s">
        <v>31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L156" s="100">
        <v>0</v>
      </c>
      <c r="CV156" s="158"/>
    </row>
    <row r="157" spans="2:100 15066:15458" s="1" customFormat="1" hidden="1" x14ac:dyDescent="0.25">
      <c r="B157" s="15"/>
      <c r="C157" s="30" t="s">
        <v>28</v>
      </c>
      <c r="D157" s="69"/>
      <c r="E157" s="1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L157" s="72" t="s">
        <v>28</v>
      </c>
      <c r="CV157" s="152"/>
    </row>
    <row r="158" spans="2:100 15066:15458" s="1" customFormat="1" hidden="1" x14ac:dyDescent="0.25">
      <c r="B158" s="15"/>
      <c r="C158" s="11" t="s">
        <v>117</v>
      </c>
      <c r="D158" s="69"/>
      <c r="E158" s="20" t="s">
        <v>28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>
        <v>0</v>
      </c>
      <c r="AJ158" s="33">
        <v>0</v>
      </c>
      <c r="AL158" s="72"/>
      <c r="CV158" s="152"/>
    </row>
    <row r="159" spans="2:100 15066:15458" s="1" customFormat="1" hidden="1" x14ac:dyDescent="0.25">
      <c r="B159" s="15"/>
      <c r="C159" s="11" t="s">
        <v>27</v>
      </c>
      <c r="D159" s="69"/>
      <c r="E159" s="20" t="s">
        <v>28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>
        <v>0</v>
      </c>
      <c r="AJ159" s="33">
        <v>0</v>
      </c>
      <c r="AL159" s="63">
        <v>0</v>
      </c>
      <c r="CV159" s="152"/>
    </row>
    <row r="160" spans="2:100 15066:15458" s="1" customFormat="1" hidden="1" x14ac:dyDescent="0.25">
      <c r="B160" s="15"/>
      <c r="C160" s="11" t="s">
        <v>26</v>
      </c>
      <c r="D160" s="69"/>
      <c r="E160" s="20" t="s">
        <v>28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0</v>
      </c>
      <c r="AC160" s="33">
        <v>0</v>
      </c>
      <c r="AD160" s="33">
        <v>0</v>
      </c>
      <c r="AE160" s="33">
        <v>0</v>
      </c>
      <c r="AF160" s="33">
        <v>0</v>
      </c>
      <c r="AG160" s="33">
        <v>0</v>
      </c>
      <c r="AH160" s="33">
        <v>0</v>
      </c>
      <c r="AI160" s="33">
        <v>0</v>
      </c>
      <c r="AJ160" s="33">
        <v>0</v>
      </c>
      <c r="AL160" s="63">
        <v>0</v>
      </c>
      <c r="CV160" s="152"/>
    </row>
    <row r="161" spans="2:100 15066:15458" s="1" customFormat="1" hidden="1" x14ac:dyDescent="0.25">
      <c r="B161" s="15"/>
      <c r="C161" s="11" t="s">
        <v>37</v>
      </c>
      <c r="D161" s="69"/>
      <c r="E161" s="20" t="s">
        <v>28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>
        <v>0</v>
      </c>
      <c r="AJ161" s="33">
        <v>0</v>
      </c>
      <c r="AL161" s="63">
        <v>0</v>
      </c>
      <c r="CV161" s="152"/>
    </row>
    <row r="162" spans="2:100 15066:15458" s="1" customFormat="1" hidden="1" x14ac:dyDescent="0.25">
      <c r="B162" s="15"/>
      <c r="C162" s="30" t="s">
        <v>36</v>
      </c>
      <c r="D162" s="69"/>
      <c r="E162" s="20" t="s">
        <v>35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>
        <v>0</v>
      </c>
      <c r="AJ162" s="33">
        <v>0</v>
      </c>
      <c r="AL162" s="63">
        <v>0</v>
      </c>
      <c r="CV162" s="152"/>
    </row>
    <row r="163" spans="2:100 15066:15458" s="1" customFormat="1" hidden="1" x14ac:dyDescent="0.25">
      <c r="B163" s="15"/>
      <c r="C163" s="30" t="s">
        <v>34</v>
      </c>
      <c r="D163" s="69"/>
      <c r="E163" s="20" t="s">
        <v>33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0</v>
      </c>
      <c r="AC163" s="33">
        <v>0</v>
      </c>
      <c r="AD163" s="33">
        <v>0</v>
      </c>
      <c r="AE163" s="33">
        <v>0</v>
      </c>
      <c r="AF163" s="33">
        <v>0</v>
      </c>
      <c r="AG163" s="33">
        <v>0</v>
      </c>
      <c r="AH163" s="33">
        <v>0</v>
      </c>
      <c r="AI163" s="33">
        <v>0</v>
      </c>
      <c r="AJ163" s="33">
        <v>0</v>
      </c>
      <c r="AL163" s="63">
        <v>0</v>
      </c>
      <c r="CV163" s="152"/>
    </row>
    <row r="164" spans="2:100 15066:15458" s="1" customFormat="1" hidden="1" x14ac:dyDescent="0.25">
      <c r="B164" s="8"/>
      <c r="C164" s="53" t="s">
        <v>32</v>
      </c>
      <c r="D164" s="54"/>
      <c r="E164" s="55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3"/>
      <c r="AL164" s="87" t="s">
        <v>132</v>
      </c>
      <c r="CV164" s="151"/>
      <c r="VGL164" s="50"/>
      <c r="VGM164" s="50"/>
      <c r="VGN164" s="50"/>
      <c r="VGO164" s="50"/>
      <c r="VGP164" s="50"/>
      <c r="VGQ164" s="50"/>
      <c r="VGR164" s="50"/>
      <c r="VGS164" s="50"/>
      <c r="VGT164" s="50"/>
      <c r="VGU164" s="50"/>
      <c r="VGV164" s="50"/>
      <c r="VGW164" s="50"/>
      <c r="VGX164" s="50"/>
      <c r="VGY164" s="50"/>
      <c r="VGZ164" s="50"/>
      <c r="VHA164" s="50"/>
      <c r="VHB164" s="50"/>
      <c r="VHC164" s="50"/>
      <c r="VHD164" s="50"/>
      <c r="VHE164" s="50"/>
      <c r="VHF164" s="50"/>
      <c r="VHG164" s="50"/>
      <c r="VHH164" s="50"/>
      <c r="VHI164" s="50"/>
      <c r="VHJ164" s="50"/>
      <c r="VHK164" s="50"/>
      <c r="VHL164" s="50"/>
      <c r="VHM164" s="50"/>
      <c r="VHN164" s="50"/>
      <c r="VHO164" s="50"/>
      <c r="VHP164" s="50"/>
      <c r="VHQ164" s="50"/>
      <c r="VHR164" s="50"/>
      <c r="VHS164" s="50"/>
      <c r="VHT164" s="50"/>
      <c r="VHU164" s="50"/>
      <c r="VHV164" s="50"/>
      <c r="VHW164" s="50"/>
      <c r="VHX164" s="50"/>
      <c r="VHY164" s="50"/>
      <c r="VHZ164" s="50"/>
      <c r="VIA164" s="50"/>
      <c r="VIB164" s="50"/>
      <c r="VIC164" s="50"/>
      <c r="VID164" s="50"/>
      <c r="VIE164" s="50"/>
      <c r="VIF164" s="50"/>
      <c r="VIG164" s="50"/>
      <c r="VIH164" s="50"/>
      <c r="VII164" s="50"/>
      <c r="VIJ164" s="50"/>
      <c r="VIK164" s="50"/>
      <c r="VIL164" s="50"/>
      <c r="VIM164" s="50"/>
      <c r="VIN164" s="50"/>
      <c r="VIO164" s="50"/>
      <c r="VIP164" s="50"/>
      <c r="VIQ164" s="50"/>
      <c r="VIR164" s="50"/>
      <c r="VIS164" s="50"/>
      <c r="VIT164" s="50"/>
      <c r="VIU164" s="50"/>
      <c r="VIV164" s="50"/>
      <c r="VIW164" s="50"/>
      <c r="VIX164" s="50"/>
      <c r="VIY164" s="50"/>
      <c r="VIZ164" s="50"/>
      <c r="VJA164" s="50"/>
      <c r="VJB164" s="50"/>
      <c r="VJC164" s="50"/>
      <c r="VJD164" s="50"/>
      <c r="VJE164" s="50"/>
      <c r="VJF164" s="50"/>
      <c r="VJG164" s="50"/>
      <c r="VJH164" s="50"/>
      <c r="VJI164" s="50"/>
      <c r="VJJ164" s="50"/>
      <c r="VJK164" s="50"/>
      <c r="VJL164" s="50"/>
      <c r="VJM164" s="50"/>
      <c r="VJN164" s="50"/>
      <c r="VJO164" s="50"/>
      <c r="VJP164" s="50"/>
      <c r="VJQ164" s="50"/>
      <c r="VJR164" s="50"/>
      <c r="VJS164" s="50"/>
      <c r="VJT164" s="50"/>
      <c r="VJU164" s="50"/>
      <c r="VJV164" s="50"/>
      <c r="VJW164" s="50"/>
      <c r="VJX164" s="50"/>
      <c r="VJY164" s="50"/>
      <c r="VJZ164" s="50"/>
      <c r="VKA164" s="50"/>
      <c r="VKB164" s="50"/>
      <c r="VKC164" s="50"/>
      <c r="VKD164" s="50"/>
      <c r="VKE164" s="50"/>
      <c r="VKF164" s="50"/>
      <c r="VKG164" s="50"/>
      <c r="VKH164" s="50"/>
      <c r="VKI164" s="50"/>
      <c r="VKJ164" s="50"/>
      <c r="VKK164" s="50"/>
      <c r="VKL164" s="50"/>
      <c r="VKM164" s="50"/>
      <c r="VKN164" s="50"/>
      <c r="VKO164" s="50"/>
      <c r="VKP164" s="50"/>
      <c r="VKQ164" s="50"/>
      <c r="VKR164" s="50"/>
      <c r="VKS164" s="50"/>
      <c r="VKT164" s="50"/>
      <c r="VKU164" s="50"/>
      <c r="VKV164" s="50"/>
      <c r="VKW164" s="50"/>
      <c r="VKX164" s="50"/>
      <c r="VKY164" s="50"/>
      <c r="VKZ164" s="50"/>
      <c r="VLA164" s="50"/>
      <c r="VLB164" s="50"/>
      <c r="VLC164" s="50"/>
      <c r="VLD164" s="50"/>
      <c r="VLE164" s="50"/>
      <c r="VLF164" s="50"/>
      <c r="VLG164" s="50"/>
      <c r="VLH164" s="50"/>
      <c r="VLI164" s="50"/>
      <c r="VLJ164" s="50"/>
      <c r="VLK164" s="50"/>
      <c r="VLL164" s="50"/>
      <c r="VLM164" s="50"/>
      <c r="VLN164" s="50"/>
      <c r="VLO164" s="50"/>
      <c r="VLP164" s="50"/>
      <c r="VLQ164" s="50"/>
      <c r="VLR164" s="50"/>
      <c r="VLS164" s="50"/>
      <c r="VLT164" s="50"/>
      <c r="VLU164" s="50"/>
      <c r="VLV164" s="50"/>
      <c r="VLW164" s="50"/>
      <c r="VLX164" s="50"/>
      <c r="VLY164" s="50"/>
      <c r="VLZ164" s="50"/>
      <c r="VMA164" s="50"/>
      <c r="VMB164" s="50"/>
      <c r="VMC164" s="50"/>
      <c r="VMD164" s="50"/>
      <c r="VME164" s="50"/>
      <c r="VMF164" s="50"/>
      <c r="VMG164" s="50"/>
      <c r="VMH164" s="50"/>
      <c r="VMI164" s="50"/>
      <c r="VMJ164" s="50"/>
      <c r="VMK164" s="50"/>
      <c r="VML164" s="50"/>
      <c r="VMM164" s="50"/>
      <c r="VMN164" s="50"/>
      <c r="VMO164" s="50"/>
      <c r="VMP164" s="50"/>
      <c r="VMQ164" s="50"/>
      <c r="VMR164" s="50"/>
      <c r="VMS164" s="50"/>
      <c r="VMT164" s="50"/>
      <c r="VMU164" s="50"/>
      <c r="VMV164" s="50"/>
      <c r="VMW164" s="50"/>
      <c r="VMX164" s="50"/>
      <c r="VMY164" s="50"/>
      <c r="VMZ164" s="50"/>
      <c r="VNA164" s="50"/>
      <c r="VNB164" s="50"/>
      <c r="VNC164" s="50"/>
      <c r="VND164" s="50"/>
      <c r="VNE164" s="50"/>
      <c r="VNF164" s="50"/>
      <c r="VNG164" s="50"/>
      <c r="VNH164" s="50"/>
      <c r="VNI164" s="50"/>
      <c r="VNJ164" s="50"/>
      <c r="VNK164" s="50"/>
      <c r="VNL164" s="50"/>
      <c r="VNM164" s="50"/>
      <c r="VNN164" s="50"/>
      <c r="VNO164" s="50"/>
      <c r="VNP164" s="50"/>
      <c r="VNQ164" s="50"/>
      <c r="VNR164" s="50"/>
      <c r="VNS164" s="50"/>
      <c r="VNT164" s="50"/>
      <c r="VNU164" s="50"/>
      <c r="VNV164" s="50"/>
      <c r="VNW164" s="50"/>
      <c r="VNX164" s="50"/>
      <c r="VNY164" s="50"/>
      <c r="VNZ164" s="50"/>
      <c r="VOA164" s="50"/>
      <c r="VOB164" s="50"/>
      <c r="VOC164" s="50"/>
      <c r="VOD164" s="50"/>
      <c r="VOE164" s="50"/>
      <c r="VOF164" s="50"/>
      <c r="VOG164" s="50"/>
      <c r="VOH164" s="50"/>
      <c r="VOI164" s="50"/>
      <c r="VOJ164" s="50"/>
      <c r="VOK164" s="50"/>
      <c r="VOL164" s="50"/>
      <c r="VOM164" s="50"/>
      <c r="VON164" s="50"/>
      <c r="VOO164" s="50"/>
      <c r="VOP164" s="50"/>
      <c r="VOQ164" s="50"/>
      <c r="VOR164" s="50"/>
      <c r="VOS164" s="50"/>
      <c r="VOT164" s="50"/>
      <c r="VOU164" s="50"/>
      <c r="VOV164" s="50"/>
      <c r="VOW164" s="50"/>
      <c r="VOX164" s="50"/>
      <c r="VOY164" s="50"/>
      <c r="VOZ164" s="50"/>
      <c r="VPA164" s="50"/>
      <c r="VPB164" s="50"/>
      <c r="VPC164" s="50"/>
      <c r="VPD164" s="50"/>
      <c r="VPE164" s="50"/>
      <c r="VPF164" s="50"/>
      <c r="VPG164" s="50"/>
      <c r="VPH164" s="50"/>
      <c r="VPI164" s="50"/>
      <c r="VPJ164" s="50"/>
      <c r="VPK164" s="50"/>
      <c r="VPL164" s="50"/>
      <c r="VPM164" s="50"/>
      <c r="VPN164" s="50"/>
      <c r="VPO164" s="50"/>
      <c r="VPP164" s="50"/>
      <c r="VPQ164" s="50"/>
      <c r="VPR164" s="50"/>
      <c r="VPS164" s="50"/>
      <c r="VPT164" s="50"/>
      <c r="VPU164" s="50"/>
      <c r="VPV164" s="50"/>
      <c r="VPW164" s="50"/>
      <c r="VPX164" s="50"/>
      <c r="VPY164" s="50"/>
      <c r="VPZ164" s="50"/>
      <c r="VQA164" s="50"/>
      <c r="VQB164" s="50"/>
      <c r="VQC164" s="50"/>
      <c r="VQD164" s="50"/>
      <c r="VQE164" s="50"/>
      <c r="VQF164" s="50"/>
      <c r="VQG164" s="50"/>
      <c r="VQH164" s="50"/>
      <c r="VQI164" s="50"/>
      <c r="VQJ164" s="50"/>
      <c r="VQK164" s="50"/>
      <c r="VQL164" s="50"/>
      <c r="VQM164" s="50"/>
      <c r="VQN164" s="50"/>
      <c r="VQO164" s="50"/>
      <c r="VQP164" s="50"/>
      <c r="VQQ164" s="50"/>
      <c r="VQR164" s="50"/>
      <c r="VQS164" s="50"/>
      <c r="VQT164" s="50"/>
      <c r="VQU164" s="50"/>
      <c r="VQV164" s="50"/>
      <c r="VQW164" s="50"/>
      <c r="VQX164" s="50"/>
      <c r="VQY164" s="50"/>
      <c r="VQZ164" s="50"/>
      <c r="VRA164" s="50"/>
      <c r="VRB164" s="50"/>
      <c r="VRC164" s="50"/>
      <c r="VRD164" s="50"/>
      <c r="VRE164" s="50"/>
      <c r="VRF164" s="50"/>
      <c r="VRG164" s="50"/>
      <c r="VRH164" s="50"/>
      <c r="VRI164" s="50"/>
      <c r="VRJ164" s="50"/>
      <c r="VRK164" s="50"/>
      <c r="VRL164" s="50"/>
      <c r="VRM164" s="50"/>
      <c r="VRN164" s="50"/>
      <c r="VRO164" s="50"/>
      <c r="VRP164" s="50"/>
      <c r="VRQ164" s="50"/>
      <c r="VRR164" s="50"/>
      <c r="VRS164" s="50"/>
      <c r="VRT164" s="50"/>
      <c r="VRU164" s="50"/>
      <c r="VRV164" s="50"/>
      <c r="VRW164" s="50"/>
      <c r="VRX164" s="50"/>
      <c r="VRY164" s="50"/>
      <c r="VRZ164" s="50"/>
      <c r="VSA164" s="50"/>
      <c r="VSB164" s="50"/>
      <c r="VSC164" s="50"/>
      <c r="VSD164" s="50"/>
      <c r="VSE164" s="50"/>
      <c r="VSF164" s="50"/>
      <c r="VSG164" s="50"/>
      <c r="VSH164" s="50"/>
      <c r="VSI164" s="50"/>
      <c r="VSJ164" s="50"/>
      <c r="VSK164" s="50"/>
      <c r="VSL164" s="50"/>
      <c r="VSM164" s="50"/>
      <c r="VSN164" s="50"/>
      <c r="VSO164" s="50"/>
      <c r="VSP164" s="50"/>
      <c r="VSQ164" s="50"/>
      <c r="VSR164" s="50"/>
      <c r="VSS164" s="50"/>
      <c r="VST164" s="50"/>
      <c r="VSU164" s="50"/>
      <c r="VSV164" s="50"/>
      <c r="VSW164" s="50"/>
      <c r="VSX164" s="50"/>
      <c r="VSY164" s="50"/>
      <c r="VSZ164" s="50"/>
      <c r="VTA164" s="50"/>
      <c r="VTB164" s="50"/>
      <c r="VTC164" s="50"/>
      <c r="VTD164" s="50"/>
      <c r="VTE164" s="50"/>
      <c r="VTF164" s="50"/>
      <c r="VTG164" s="50"/>
      <c r="VTH164" s="50"/>
      <c r="VTI164" s="50"/>
      <c r="VTJ164" s="50"/>
      <c r="VTK164" s="50"/>
      <c r="VTL164" s="50"/>
      <c r="VTM164" s="50"/>
      <c r="VTN164" s="50"/>
      <c r="VTO164" s="50"/>
      <c r="VTP164" s="50"/>
      <c r="VTQ164" s="50"/>
      <c r="VTR164" s="50"/>
      <c r="VTS164" s="50"/>
      <c r="VTT164" s="50"/>
      <c r="VTU164" s="50"/>
      <c r="VTV164" s="50"/>
      <c r="VTW164" s="50"/>
      <c r="VTX164" s="50"/>
      <c r="VTY164" s="50"/>
      <c r="VTZ164" s="50"/>
      <c r="VUA164" s="50"/>
      <c r="VUB164" s="50"/>
      <c r="VUC164" s="50"/>
      <c r="VUD164" s="50"/>
      <c r="VUE164" s="50"/>
      <c r="VUF164" s="50"/>
      <c r="VUG164" s="50"/>
      <c r="VUH164" s="50"/>
      <c r="VUI164" s="50"/>
      <c r="VUJ164" s="50"/>
      <c r="VUK164" s="50"/>
      <c r="VUL164" s="50"/>
      <c r="VUM164" s="50"/>
      <c r="VUN164" s="50"/>
      <c r="VUO164" s="50"/>
      <c r="VUP164" s="50"/>
      <c r="VUQ164" s="50"/>
      <c r="VUR164" s="50"/>
      <c r="VUS164" s="50"/>
      <c r="VUT164" s="50"/>
      <c r="VUU164" s="50"/>
      <c r="VUV164" s="50"/>
      <c r="VUW164" s="50"/>
      <c r="VUX164" s="50"/>
      <c r="VUY164" s="50"/>
      <c r="VUZ164" s="50"/>
      <c r="VVA164" s="50"/>
      <c r="VVB164" s="50"/>
      <c r="VVC164" s="50"/>
      <c r="VVD164" s="50"/>
      <c r="VVE164" s="50"/>
      <c r="VVF164" s="50"/>
      <c r="VVG164" s="50"/>
      <c r="VVH164" s="50"/>
      <c r="VVI164" s="50"/>
      <c r="VVJ164" s="50"/>
      <c r="VVK164" s="50"/>
      <c r="VVL164" s="50"/>
      <c r="VVM164" s="50"/>
      <c r="VVN164" s="50"/>
    </row>
    <row r="165" spans="2:100 15066:15458" s="1" customFormat="1" hidden="1" x14ac:dyDescent="0.25">
      <c r="B165" s="15"/>
      <c r="C165" s="30" t="s">
        <v>29</v>
      </c>
      <c r="D165" s="69"/>
      <c r="E165" s="1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L165" s="72" t="s">
        <v>29</v>
      </c>
      <c r="CV165" s="152"/>
    </row>
    <row r="166" spans="2:100 15066:15458" s="1" customFormat="1" hidden="1" x14ac:dyDescent="0.25">
      <c r="B166" s="15"/>
      <c r="C166" s="11" t="s">
        <v>117</v>
      </c>
      <c r="D166" s="69"/>
      <c r="E166" s="20" t="s">
        <v>31</v>
      </c>
      <c r="F166" s="33">
        <v>0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L166" s="72"/>
      <c r="CV166" s="152"/>
    </row>
    <row r="167" spans="2:100 15066:15458" s="1" customFormat="1" hidden="1" x14ac:dyDescent="0.25">
      <c r="B167" s="15"/>
      <c r="C167" s="11" t="s">
        <v>27</v>
      </c>
      <c r="D167" s="69"/>
      <c r="E167" s="20" t="s">
        <v>31</v>
      </c>
      <c r="F167" s="33">
        <v>0</v>
      </c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L167" s="63">
        <v>0</v>
      </c>
      <c r="CV167" s="152"/>
    </row>
    <row r="168" spans="2:100 15066:15458" s="1" customFormat="1" hidden="1" x14ac:dyDescent="0.25">
      <c r="B168" s="15"/>
      <c r="C168" s="11" t="s">
        <v>26</v>
      </c>
      <c r="D168" s="69"/>
      <c r="E168" s="20" t="s">
        <v>31</v>
      </c>
      <c r="F168" s="33">
        <v>0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L168" s="63">
        <v>0</v>
      </c>
      <c r="CV168" s="152"/>
    </row>
    <row r="169" spans="2:100 15066:15458" s="1" customFormat="1" hidden="1" x14ac:dyDescent="0.25">
      <c r="B169" s="15"/>
      <c r="C169" s="30" t="s">
        <v>28</v>
      </c>
      <c r="D169" s="69"/>
      <c r="E169" s="1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L169" s="72" t="s">
        <v>28</v>
      </c>
      <c r="CV169" s="152"/>
    </row>
    <row r="170" spans="2:100 15066:15458" s="1" customFormat="1" hidden="1" x14ac:dyDescent="0.25">
      <c r="B170" s="15"/>
      <c r="C170" s="11" t="s">
        <v>117</v>
      </c>
      <c r="D170" s="69"/>
      <c r="E170" s="20" t="s">
        <v>28</v>
      </c>
      <c r="F170" s="33">
        <v>0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L170" s="72"/>
      <c r="CV170" s="152"/>
    </row>
    <row r="171" spans="2:100 15066:15458" s="1" customFormat="1" hidden="1" x14ac:dyDescent="0.25">
      <c r="B171" s="15"/>
      <c r="C171" s="11" t="s">
        <v>27</v>
      </c>
      <c r="D171" s="69"/>
      <c r="E171" s="20" t="s">
        <v>28</v>
      </c>
      <c r="F171" s="33">
        <v>0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L171" s="63">
        <v>0</v>
      </c>
      <c r="CV171" s="152"/>
    </row>
    <row r="172" spans="2:100 15066:15458" s="1" customFormat="1" hidden="1" x14ac:dyDescent="0.25">
      <c r="B172" s="15"/>
      <c r="C172" s="11" t="s">
        <v>26</v>
      </c>
      <c r="D172" s="69"/>
      <c r="E172" s="20" t="s">
        <v>28</v>
      </c>
      <c r="F172" s="33">
        <v>0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L172" s="63">
        <v>0</v>
      </c>
      <c r="CV172" s="152"/>
    </row>
    <row r="173" spans="2:100 15066:15458" s="1" customFormat="1" hidden="1" x14ac:dyDescent="0.25">
      <c r="B173" s="8"/>
      <c r="C173" s="53" t="s">
        <v>30</v>
      </c>
      <c r="D173" s="54"/>
      <c r="E173" s="55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3"/>
      <c r="AL173" s="87" t="s">
        <v>132</v>
      </c>
      <c r="CV173" s="151"/>
      <c r="VGL173" s="50"/>
      <c r="VGM173" s="50"/>
      <c r="VGN173" s="50"/>
      <c r="VGO173" s="50"/>
      <c r="VGP173" s="50"/>
      <c r="VGQ173" s="50"/>
      <c r="VGR173" s="50"/>
      <c r="VGS173" s="50"/>
      <c r="VGT173" s="50"/>
      <c r="VGU173" s="50"/>
      <c r="VGV173" s="50"/>
      <c r="VGW173" s="50"/>
      <c r="VGX173" s="50"/>
      <c r="VGY173" s="50"/>
      <c r="VGZ173" s="50"/>
      <c r="VHA173" s="50"/>
      <c r="VHB173" s="50"/>
      <c r="VHC173" s="50"/>
      <c r="VHD173" s="50"/>
      <c r="VHE173" s="50"/>
      <c r="VHF173" s="50"/>
      <c r="VHG173" s="50"/>
      <c r="VHH173" s="50"/>
      <c r="VHI173" s="50"/>
      <c r="VHJ173" s="50"/>
      <c r="VHK173" s="50"/>
      <c r="VHL173" s="50"/>
      <c r="VHM173" s="50"/>
      <c r="VHN173" s="50"/>
      <c r="VHO173" s="50"/>
      <c r="VHP173" s="50"/>
      <c r="VHQ173" s="50"/>
      <c r="VHR173" s="50"/>
      <c r="VHS173" s="50"/>
      <c r="VHT173" s="50"/>
      <c r="VHU173" s="50"/>
      <c r="VHV173" s="50"/>
      <c r="VHW173" s="50"/>
      <c r="VHX173" s="50"/>
      <c r="VHY173" s="50"/>
      <c r="VHZ173" s="50"/>
      <c r="VIA173" s="50"/>
      <c r="VIB173" s="50"/>
      <c r="VIC173" s="50"/>
      <c r="VID173" s="50"/>
      <c r="VIE173" s="50"/>
      <c r="VIF173" s="50"/>
      <c r="VIG173" s="50"/>
      <c r="VIH173" s="50"/>
      <c r="VII173" s="50"/>
      <c r="VIJ173" s="50"/>
      <c r="VIK173" s="50"/>
      <c r="VIL173" s="50"/>
      <c r="VIM173" s="50"/>
      <c r="VIN173" s="50"/>
      <c r="VIO173" s="50"/>
      <c r="VIP173" s="50"/>
      <c r="VIQ173" s="50"/>
      <c r="VIR173" s="50"/>
      <c r="VIS173" s="50"/>
      <c r="VIT173" s="50"/>
      <c r="VIU173" s="50"/>
      <c r="VIV173" s="50"/>
      <c r="VIW173" s="50"/>
      <c r="VIX173" s="50"/>
      <c r="VIY173" s="50"/>
      <c r="VIZ173" s="50"/>
      <c r="VJA173" s="50"/>
      <c r="VJB173" s="50"/>
      <c r="VJC173" s="50"/>
      <c r="VJD173" s="50"/>
      <c r="VJE173" s="50"/>
      <c r="VJF173" s="50"/>
      <c r="VJG173" s="50"/>
      <c r="VJH173" s="50"/>
      <c r="VJI173" s="50"/>
      <c r="VJJ173" s="50"/>
      <c r="VJK173" s="50"/>
      <c r="VJL173" s="50"/>
      <c r="VJM173" s="50"/>
      <c r="VJN173" s="50"/>
      <c r="VJO173" s="50"/>
      <c r="VJP173" s="50"/>
      <c r="VJQ173" s="50"/>
      <c r="VJR173" s="50"/>
      <c r="VJS173" s="50"/>
      <c r="VJT173" s="50"/>
      <c r="VJU173" s="50"/>
      <c r="VJV173" s="50"/>
      <c r="VJW173" s="50"/>
      <c r="VJX173" s="50"/>
      <c r="VJY173" s="50"/>
      <c r="VJZ173" s="50"/>
      <c r="VKA173" s="50"/>
      <c r="VKB173" s="50"/>
      <c r="VKC173" s="50"/>
      <c r="VKD173" s="50"/>
      <c r="VKE173" s="50"/>
      <c r="VKF173" s="50"/>
      <c r="VKG173" s="50"/>
      <c r="VKH173" s="50"/>
      <c r="VKI173" s="50"/>
      <c r="VKJ173" s="50"/>
      <c r="VKK173" s="50"/>
      <c r="VKL173" s="50"/>
      <c r="VKM173" s="50"/>
      <c r="VKN173" s="50"/>
      <c r="VKO173" s="50"/>
      <c r="VKP173" s="50"/>
      <c r="VKQ173" s="50"/>
      <c r="VKR173" s="50"/>
      <c r="VKS173" s="50"/>
      <c r="VKT173" s="50"/>
      <c r="VKU173" s="50"/>
      <c r="VKV173" s="50"/>
      <c r="VKW173" s="50"/>
      <c r="VKX173" s="50"/>
      <c r="VKY173" s="50"/>
      <c r="VKZ173" s="50"/>
      <c r="VLA173" s="50"/>
      <c r="VLB173" s="50"/>
      <c r="VLC173" s="50"/>
      <c r="VLD173" s="50"/>
      <c r="VLE173" s="50"/>
      <c r="VLF173" s="50"/>
      <c r="VLG173" s="50"/>
      <c r="VLH173" s="50"/>
      <c r="VLI173" s="50"/>
      <c r="VLJ173" s="50"/>
      <c r="VLK173" s="50"/>
      <c r="VLL173" s="50"/>
      <c r="VLM173" s="50"/>
      <c r="VLN173" s="50"/>
      <c r="VLO173" s="50"/>
      <c r="VLP173" s="50"/>
      <c r="VLQ173" s="50"/>
      <c r="VLR173" s="50"/>
      <c r="VLS173" s="50"/>
      <c r="VLT173" s="50"/>
      <c r="VLU173" s="50"/>
      <c r="VLV173" s="50"/>
      <c r="VLW173" s="50"/>
      <c r="VLX173" s="50"/>
      <c r="VLY173" s="50"/>
      <c r="VLZ173" s="50"/>
      <c r="VMA173" s="50"/>
      <c r="VMB173" s="50"/>
      <c r="VMC173" s="50"/>
      <c r="VMD173" s="50"/>
      <c r="VME173" s="50"/>
      <c r="VMF173" s="50"/>
      <c r="VMG173" s="50"/>
      <c r="VMH173" s="50"/>
      <c r="VMI173" s="50"/>
      <c r="VMJ173" s="50"/>
      <c r="VMK173" s="50"/>
      <c r="VML173" s="50"/>
      <c r="VMM173" s="50"/>
      <c r="VMN173" s="50"/>
      <c r="VMO173" s="50"/>
      <c r="VMP173" s="50"/>
      <c r="VMQ173" s="50"/>
      <c r="VMR173" s="50"/>
      <c r="VMS173" s="50"/>
      <c r="VMT173" s="50"/>
      <c r="VMU173" s="50"/>
      <c r="VMV173" s="50"/>
      <c r="VMW173" s="50"/>
      <c r="VMX173" s="50"/>
      <c r="VMY173" s="50"/>
      <c r="VMZ173" s="50"/>
      <c r="VNA173" s="50"/>
      <c r="VNB173" s="50"/>
      <c r="VNC173" s="50"/>
      <c r="VND173" s="50"/>
      <c r="VNE173" s="50"/>
      <c r="VNF173" s="50"/>
      <c r="VNG173" s="50"/>
      <c r="VNH173" s="50"/>
      <c r="VNI173" s="50"/>
      <c r="VNJ173" s="50"/>
      <c r="VNK173" s="50"/>
      <c r="VNL173" s="50"/>
      <c r="VNM173" s="50"/>
      <c r="VNN173" s="50"/>
      <c r="VNO173" s="50"/>
      <c r="VNP173" s="50"/>
      <c r="VNQ173" s="50"/>
      <c r="VNR173" s="50"/>
      <c r="VNS173" s="50"/>
      <c r="VNT173" s="50"/>
      <c r="VNU173" s="50"/>
      <c r="VNV173" s="50"/>
      <c r="VNW173" s="50"/>
      <c r="VNX173" s="50"/>
      <c r="VNY173" s="50"/>
      <c r="VNZ173" s="50"/>
      <c r="VOA173" s="50"/>
      <c r="VOB173" s="50"/>
      <c r="VOC173" s="50"/>
      <c r="VOD173" s="50"/>
      <c r="VOE173" s="50"/>
      <c r="VOF173" s="50"/>
      <c r="VOG173" s="50"/>
      <c r="VOH173" s="50"/>
      <c r="VOI173" s="50"/>
      <c r="VOJ173" s="50"/>
      <c r="VOK173" s="50"/>
      <c r="VOL173" s="50"/>
      <c r="VOM173" s="50"/>
      <c r="VON173" s="50"/>
      <c r="VOO173" s="50"/>
      <c r="VOP173" s="50"/>
      <c r="VOQ173" s="50"/>
      <c r="VOR173" s="50"/>
      <c r="VOS173" s="50"/>
      <c r="VOT173" s="50"/>
      <c r="VOU173" s="50"/>
      <c r="VOV173" s="50"/>
      <c r="VOW173" s="50"/>
      <c r="VOX173" s="50"/>
      <c r="VOY173" s="50"/>
      <c r="VOZ173" s="50"/>
      <c r="VPA173" s="50"/>
      <c r="VPB173" s="50"/>
      <c r="VPC173" s="50"/>
      <c r="VPD173" s="50"/>
      <c r="VPE173" s="50"/>
      <c r="VPF173" s="50"/>
      <c r="VPG173" s="50"/>
      <c r="VPH173" s="50"/>
      <c r="VPI173" s="50"/>
      <c r="VPJ173" s="50"/>
      <c r="VPK173" s="50"/>
      <c r="VPL173" s="50"/>
      <c r="VPM173" s="50"/>
      <c r="VPN173" s="50"/>
      <c r="VPO173" s="50"/>
      <c r="VPP173" s="50"/>
      <c r="VPQ173" s="50"/>
      <c r="VPR173" s="50"/>
      <c r="VPS173" s="50"/>
      <c r="VPT173" s="50"/>
      <c r="VPU173" s="50"/>
      <c r="VPV173" s="50"/>
      <c r="VPW173" s="50"/>
      <c r="VPX173" s="50"/>
      <c r="VPY173" s="50"/>
      <c r="VPZ173" s="50"/>
      <c r="VQA173" s="50"/>
      <c r="VQB173" s="50"/>
      <c r="VQC173" s="50"/>
      <c r="VQD173" s="50"/>
      <c r="VQE173" s="50"/>
      <c r="VQF173" s="50"/>
      <c r="VQG173" s="50"/>
      <c r="VQH173" s="50"/>
      <c r="VQI173" s="50"/>
      <c r="VQJ173" s="50"/>
      <c r="VQK173" s="50"/>
      <c r="VQL173" s="50"/>
      <c r="VQM173" s="50"/>
      <c r="VQN173" s="50"/>
      <c r="VQO173" s="50"/>
      <c r="VQP173" s="50"/>
      <c r="VQQ173" s="50"/>
      <c r="VQR173" s="50"/>
      <c r="VQS173" s="50"/>
      <c r="VQT173" s="50"/>
      <c r="VQU173" s="50"/>
      <c r="VQV173" s="50"/>
      <c r="VQW173" s="50"/>
      <c r="VQX173" s="50"/>
      <c r="VQY173" s="50"/>
      <c r="VQZ173" s="50"/>
      <c r="VRA173" s="50"/>
      <c r="VRB173" s="50"/>
      <c r="VRC173" s="50"/>
      <c r="VRD173" s="50"/>
      <c r="VRE173" s="50"/>
      <c r="VRF173" s="50"/>
      <c r="VRG173" s="50"/>
      <c r="VRH173" s="50"/>
      <c r="VRI173" s="50"/>
      <c r="VRJ173" s="50"/>
      <c r="VRK173" s="50"/>
      <c r="VRL173" s="50"/>
      <c r="VRM173" s="50"/>
      <c r="VRN173" s="50"/>
      <c r="VRO173" s="50"/>
      <c r="VRP173" s="50"/>
      <c r="VRQ173" s="50"/>
      <c r="VRR173" s="50"/>
      <c r="VRS173" s="50"/>
      <c r="VRT173" s="50"/>
      <c r="VRU173" s="50"/>
      <c r="VRV173" s="50"/>
      <c r="VRW173" s="50"/>
      <c r="VRX173" s="50"/>
      <c r="VRY173" s="50"/>
      <c r="VRZ173" s="50"/>
      <c r="VSA173" s="50"/>
      <c r="VSB173" s="50"/>
      <c r="VSC173" s="50"/>
      <c r="VSD173" s="50"/>
      <c r="VSE173" s="50"/>
      <c r="VSF173" s="50"/>
      <c r="VSG173" s="50"/>
      <c r="VSH173" s="50"/>
      <c r="VSI173" s="50"/>
      <c r="VSJ173" s="50"/>
      <c r="VSK173" s="50"/>
      <c r="VSL173" s="50"/>
      <c r="VSM173" s="50"/>
      <c r="VSN173" s="50"/>
      <c r="VSO173" s="50"/>
      <c r="VSP173" s="50"/>
      <c r="VSQ173" s="50"/>
      <c r="VSR173" s="50"/>
      <c r="VSS173" s="50"/>
      <c r="VST173" s="50"/>
      <c r="VSU173" s="50"/>
      <c r="VSV173" s="50"/>
      <c r="VSW173" s="50"/>
      <c r="VSX173" s="50"/>
      <c r="VSY173" s="50"/>
      <c r="VSZ173" s="50"/>
      <c r="VTA173" s="50"/>
      <c r="VTB173" s="50"/>
      <c r="VTC173" s="50"/>
      <c r="VTD173" s="50"/>
      <c r="VTE173" s="50"/>
      <c r="VTF173" s="50"/>
      <c r="VTG173" s="50"/>
      <c r="VTH173" s="50"/>
      <c r="VTI173" s="50"/>
      <c r="VTJ173" s="50"/>
      <c r="VTK173" s="50"/>
      <c r="VTL173" s="50"/>
      <c r="VTM173" s="50"/>
      <c r="VTN173" s="50"/>
      <c r="VTO173" s="50"/>
      <c r="VTP173" s="50"/>
      <c r="VTQ173" s="50"/>
      <c r="VTR173" s="50"/>
      <c r="VTS173" s="50"/>
      <c r="VTT173" s="50"/>
      <c r="VTU173" s="50"/>
      <c r="VTV173" s="50"/>
      <c r="VTW173" s="50"/>
      <c r="VTX173" s="50"/>
      <c r="VTY173" s="50"/>
      <c r="VTZ173" s="50"/>
      <c r="VUA173" s="50"/>
      <c r="VUB173" s="50"/>
      <c r="VUC173" s="50"/>
      <c r="VUD173" s="50"/>
      <c r="VUE173" s="50"/>
      <c r="VUF173" s="50"/>
      <c r="VUG173" s="50"/>
      <c r="VUH173" s="50"/>
      <c r="VUI173" s="50"/>
      <c r="VUJ173" s="50"/>
      <c r="VUK173" s="50"/>
      <c r="VUL173" s="50"/>
      <c r="VUM173" s="50"/>
      <c r="VUN173" s="50"/>
      <c r="VUO173" s="50"/>
      <c r="VUP173" s="50"/>
      <c r="VUQ173" s="50"/>
      <c r="VUR173" s="50"/>
      <c r="VUS173" s="50"/>
      <c r="VUT173" s="50"/>
      <c r="VUU173" s="50"/>
      <c r="VUV173" s="50"/>
      <c r="VUW173" s="50"/>
      <c r="VUX173" s="50"/>
      <c r="VUY173" s="50"/>
      <c r="VUZ173" s="50"/>
      <c r="VVA173" s="50"/>
      <c r="VVB173" s="50"/>
      <c r="VVC173" s="50"/>
      <c r="VVD173" s="50"/>
      <c r="VVE173" s="50"/>
      <c r="VVF173" s="50"/>
      <c r="VVG173" s="50"/>
      <c r="VVH173" s="50"/>
      <c r="VVI173" s="50"/>
      <c r="VVJ173" s="50"/>
      <c r="VVK173" s="50"/>
      <c r="VVL173" s="50"/>
      <c r="VVM173" s="50"/>
      <c r="VVN173" s="50"/>
    </row>
    <row r="174" spans="2:100 15066:15458" s="1" customFormat="1" hidden="1" x14ac:dyDescent="0.25">
      <c r="B174" s="15"/>
      <c r="C174" s="30" t="s">
        <v>29</v>
      </c>
      <c r="D174" s="69"/>
      <c r="E174" s="1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L174" s="72" t="s">
        <v>29</v>
      </c>
      <c r="CV174" s="152"/>
    </row>
    <row r="175" spans="2:100 15066:15458" s="1" customFormat="1" hidden="1" x14ac:dyDescent="0.25">
      <c r="B175" s="15"/>
      <c r="C175" s="11" t="s">
        <v>117</v>
      </c>
      <c r="D175" s="136">
        <v>0.3</v>
      </c>
      <c r="E175" s="20" t="s">
        <v>25</v>
      </c>
      <c r="F175" s="34" t="e">
        <v>#DIV/0!</v>
      </c>
      <c r="G175" s="34" t="e">
        <v>#DIV/0!</v>
      </c>
      <c r="H175" s="34" t="e">
        <v>#DIV/0!</v>
      </c>
      <c r="I175" s="34" t="e">
        <v>#DIV/0!</v>
      </c>
      <c r="J175" s="34" t="e">
        <v>#DIV/0!</v>
      </c>
      <c r="K175" s="34" t="e">
        <v>#DIV/0!</v>
      </c>
      <c r="L175" s="34" t="e">
        <v>#DIV/0!</v>
      </c>
      <c r="M175" s="34" t="e">
        <v>#DIV/0!</v>
      </c>
      <c r="N175" s="34" t="e">
        <v>#DIV/0!</v>
      </c>
      <c r="O175" s="34" t="e">
        <v>#DIV/0!</v>
      </c>
      <c r="P175" s="34" t="e">
        <v>#DIV/0!</v>
      </c>
      <c r="Q175" s="34" t="e">
        <v>#DIV/0!</v>
      </c>
      <c r="R175" s="34" t="e">
        <v>#DIV/0!</v>
      </c>
      <c r="S175" s="34" t="e">
        <v>#DIV/0!</v>
      </c>
      <c r="T175" s="34" t="e">
        <v>#DIV/0!</v>
      </c>
      <c r="U175" s="34" t="e">
        <v>#DIV/0!</v>
      </c>
      <c r="V175" s="34" t="e">
        <v>#DIV/0!</v>
      </c>
      <c r="W175" s="34" t="e">
        <v>#DIV/0!</v>
      </c>
      <c r="X175" s="34" t="e">
        <v>#DIV/0!</v>
      </c>
      <c r="Y175" s="34" t="e">
        <v>#DIV/0!</v>
      </c>
      <c r="Z175" s="34" t="e">
        <v>#DIV/0!</v>
      </c>
      <c r="AA175" s="34" t="e">
        <v>#DIV/0!</v>
      </c>
      <c r="AB175" s="34" t="e">
        <v>#DIV/0!</v>
      </c>
      <c r="AC175" s="34" t="e">
        <v>#DIV/0!</v>
      </c>
      <c r="AD175" s="34" t="e">
        <v>#DIV/0!</v>
      </c>
      <c r="AE175" s="34" t="e">
        <v>#DIV/0!</v>
      </c>
      <c r="AF175" s="34" t="e">
        <v>#DIV/0!</v>
      </c>
      <c r="AG175" s="34" t="e">
        <v>#DIV/0!</v>
      </c>
      <c r="AH175" s="34" t="e">
        <v>#DIV/0!</v>
      </c>
      <c r="AI175" s="34" t="e">
        <v>#DIV/0!</v>
      </c>
      <c r="AJ175" s="34" t="e">
        <v>#DIV/0!</v>
      </c>
      <c r="AL175" s="72"/>
      <c r="CV175" s="152"/>
    </row>
    <row r="176" spans="2:100 15066:15458" s="1" customFormat="1" hidden="1" x14ac:dyDescent="0.25">
      <c r="B176" s="15"/>
      <c r="C176" s="11" t="s">
        <v>27</v>
      </c>
      <c r="D176" s="136">
        <v>0.3</v>
      </c>
      <c r="E176" s="20" t="s">
        <v>25</v>
      </c>
      <c r="F176" s="34" t="e">
        <v>#DIV/0!</v>
      </c>
      <c r="G176" s="34" t="e">
        <v>#DIV/0!</v>
      </c>
      <c r="H176" s="34" t="e">
        <v>#DIV/0!</v>
      </c>
      <c r="I176" s="34" t="e">
        <v>#DIV/0!</v>
      </c>
      <c r="J176" s="34" t="e">
        <v>#DIV/0!</v>
      </c>
      <c r="K176" s="34" t="e">
        <v>#DIV/0!</v>
      </c>
      <c r="L176" s="34" t="e">
        <v>#DIV/0!</v>
      </c>
      <c r="M176" s="34" t="e">
        <v>#DIV/0!</v>
      </c>
      <c r="N176" s="34" t="e">
        <v>#DIV/0!</v>
      </c>
      <c r="O176" s="34" t="e">
        <v>#DIV/0!</v>
      </c>
      <c r="P176" s="34" t="e">
        <v>#DIV/0!</v>
      </c>
      <c r="Q176" s="34" t="e">
        <v>#DIV/0!</v>
      </c>
      <c r="R176" s="34" t="e">
        <v>#DIV/0!</v>
      </c>
      <c r="S176" s="34" t="e">
        <v>#DIV/0!</v>
      </c>
      <c r="T176" s="34" t="e">
        <v>#DIV/0!</v>
      </c>
      <c r="U176" s="34" t="e">
        <v>#DIV/0!</v>
      </c>
      <c r="V176" s="34" t="e">
        <v>#DIV/0!</v>
      </c>
      <c r="W176" s="34" t="e">
        <v>#DIV/0!</v>
      </c>
      <c r="X176" s="34" t="e">
        <v>#DIV/0!</v>
      </c>
      <c r="Y176" s="34" t="e">
        <v>#DIV/0!</v>
      </c>
      <c r="Z176" s="34" t="e">
        <v>#DIV/0!</v>
      </c>
      <c r="AA176" s="34" t="e">
        <v>#DIV/0!</v>
      </c>
      <c r="AB176" s="34" t="e">
        <v>#DIV/0!</v>
      </c>
      <c r="AC176" s="34" t="e">
        <v>#DIV/0!</v>
      </c>
      <c r="AD176" s="34" t="e">
        <v>#DIV/0!</v>
      </c>
      <c r="AE176" s="34" t="e">
        <v>#DIV/0!</v>
      </c>
      <c r="AF176" s="34" t="e">
        <v>#DIV/0!</v>
      </c>
      <c r="AG176" s="34" t="e">
        <v>#DIV/0!</v>
      </c>
      <c r="AH176" s="34" t="e">
        <v>#DIV/0!</v>
      </c>
      <c r="AI176" s="34" t="e">
        <v>#DIV/0!</v>
      </c>
      <c r="AJ176" s="34" t="e">
        <v>#DIV/0!</v>
      </c>
      <c r="AL176" s="67" t="e">
        <v>#DIV/0!</v>
      </c>
      <c r="CV176" s="152"/>
    </row>
    <row r="177" spans="2:100" s="1" customFormat="1" hidden="1" x14ac:dyDescent="0.25">
      <c r="B177" s="15"/>
      <c r="C177" s="11" t="s">
        <v>26</v>
      </c>
      <c r="D177" s="136">
        <v>0.3</v>
      </c>
      <c r="E177" s="20" t="s">
        <v>25</v>
      </c>
      <c r="F177" s="34" t="e">
        <v>#DIV/0!</v>
      </c>
      <c r="G177" s="34" t="e">
        <v>#DIV/0!</v>
      </c>
      <c r="H177" s="34" t="e">
        <v>#DIV/0!</v>
      </c>
      <c r="I177" s="34" t="e">
        <v>#DIV/0!</v>
      </c>
      <c r="J177" s="34" t="e">
        <v>#DIV/0!</v>
      </c>
      <c r="K177" s="34" t="e">
        <v>#DIV/0!</v>
      </c>
      <c r="L177" s="34" t="e">
        <v>#DIV/0!</v>
      </c>
      <c r="M177" s="34" t="e">
        <v>#DIV/0!</v>
      </c>
      <c r="N177" s="34" t="e">
        <v>#DIV/0!</v>
      </c>
      <c r="O177" s="34" t="e">
        <v>#DIV/0!</v>
      </c>
      <c r="P177" s="34" t="e">
        <v>#DIV/0!</v>
      </c>
      <c r="Q177" s="34" t="e">
        <v>#DIV/0!</v>
      </c>
      <c r="R177" s="34" t="e">
        <v>#DIV/0!</v>
      </c>
      <c r="S177" s="34" t="e">
        <v>#DIV/0!</v>
      </c>
      <c r="T177" s="34" t="e">
        <v>#DIV/0!</v>
      </c>
      <c r="U177" s="34" t="e">
        <v>#DIV/0!</v>
      </c>
      <c r="V177" s="34" t="e">
        <v>#DIV/0!</v>
      </c>
      <c r="W177" s="34" t="e">
        <v>#DIV/0!</v>
      </c>
      <c r="X177" s="34" t="e">
        <v>#DIV/0!</v>
      </c>
      <c r="Y177" s="34" t="e">
        <v>#DIV/0!</v>
      </c>
      <c r="Z177" s="34" t="e">
        <v>#DIV/0!</v>
      </c>
      <c r="AA177" s="34" t="e">
        <v>#DIV/0!</v>
      </c>
      <c r="AB177" s="34" t="e">
        <v>#DIV/0!</v>
      </c>
      <c r="AC177" s="34" t="e">
        <v>#DIV/0!</v>
      </c>
      <c r="AD177" s="34" t="e">
        <v>#DIV/0!</v>
      </c>
      <c r="AE177" s="34" t="e">
        <v>#DIV/0!</v>
      </c>
      <c r="AF177" s="34" t="e">
        <v>#DIV/0!</v>
      </c>
      <c r="AG177" s="34" t="e">
        <v>#DIV/0!</v>
      </c>
      <c r="AH177" s="34" t="e">
        <v>#DIV/0!</v>
      </c>
      <c r="AI177" s="34" t="e">
        <v>#DIV/0!</v>
      </c>
      <c r="AJ177" s="34" t="e">
        <v>#DIV/0!</v>
      </c>
      <c r="AL177" s="67" t="e">
        <v>#DIV/0!</v>
      </c>
      <c r="CV177" s="152"/>
    </row>
    <row r="178" spans="2:100" s="1" customFormat="1" hidden="1" x14ac:dyDescent="0.25">
      <c r="B178" s="15"/>
      <c r="C178" s="30" t="s">
        <v>28</v>
      </c>
      <c r="D178" s="136"/>
      <c r="E178" s="13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L178" s="72" t="s">
        <v>28</v>
      </c>
      <c r="CV178" s="152"/>
    </row>
    <row r="179" spans="2:100" s="1" customFormat="1" hidden="1" x14ac:dyDescent="0.25">
      <c r="B179" s="15"/>
      <c r="C179" s="11" t="s">
        <v>117</v>
      </c>
      <c r="D179" s="136">
        <v>0.5</v>
      </c>
      <c r="E179" s="20" t="s">
        <v>25</v>
      </c>
      <c r="F179" s="34" t="e">
        <v>#DIV/0!</v>
      </c>
      <c r="G179" s="34" t="e">
        <v>#DIV/0!</v>
      </c>
      <c r="H179" s="34" t="e">
        <v>#DIV/0!</v>
      </c>
      <c r="I179" s="34" t="e">
        <v>#DIV/0!</v>
      </c>
      <c r="J179" s="34" t="e">
        <v>#DIV/0!</v>
      </c>
      <c r="K179" s="34" t="e">
        <v>#DIV/0!</v>
      </c>
      <c r="L179" s="34" t="e">
        <v>#DIV/0!</v>
      </c>
      <c r="M179" s="34" t="e">
        <v>#DIV/0!</v>
      </c>
      <c r="N179" s="34" t="e">
        <v>#DIV/0!</v>
      </c>
      <c r="O179" s="34" t="e">
        <v>#DIV/0!</v>
      </c>
      <c r="P179" s="34" t="e">
        <v>#DIV/0!</v>
      </c>
      <c r="Q179" s="34" t="e">
        <v>#DIV/0!</v>
      </c>
      <c r="R179" s="34" t="e">
        <v>#DIV/0!</v>
      </c>
      <c r="S179" s="34" t="e">
        <v>#DIV/0!</v>
      </c>
      <c r="T179" s="34" t="e">
        <v>#DIV/0!</v>
      </c>
      <c r="U179" s="34" t="e">
        <v>#DIV/0!</v>
      </c>
      <c r="V179" s="34" t="e">
        <v>#DIV/0!</v>
      </c>
      <c r="W179" s="34" t="e">
        <v>#DIV/0!</v>
      </c>
      <c r="X179" s="34" t="e">
        <v>#DIV/0!</v>
      </c>
      <c r="Y179" s="34" t="e">
        <v>#DIV/0!</v>
      </c>
      <c r="Z179" s="34" t="e">
        <v>#DIV/0!</v>
      </c>
      <c r="AA179" s="34" t="e">
        <v>#DIV/0!</v>
      </c>
      <c r="AB179" s="34" t="e">
        <v>#DIV/0!</v>
      </c>
      <c r="AC179" s="34" t="e">
        <v>#DIV/0!</v>
      </c>
      <c r="AD179" s="34" t="e">
        <v>#DIV/0!</v>
      </c>
      <c r="AE179" s="34" t="e">
        <v>#DIV/0!</v>
      </c>
      <c r="AF179" s="34" t="e">
        <v>#DIV/0!</v>
      </c>
      <c r="AG179" s="34" t="e">
        <v>#DIV/0!</v>
      </c>
      <c r="AH179" s="34" t="e">
        <v>#DIV/0!</v>
      </c>
      <c r="AI179" s="34" t="e">
        <v>#DIV/0!</v>
      </c>
      <c r="AJ179" s="34" t="e">
        <v>#DIV/0!</v>
      </c>
      <c r="AL179" s="72"/>
      <c r="CV179" s="152"/>
    </row>
    <row r="180" spans="2:100" s="1" customFormat="1" hidden="1" x14ac:dyDescent="0.25">
      <c r="B180" s="15"/>
      <c r="C180" s="11" t="s">
        <v>27</v>
      </c>
      <c r="D180" s="136">
        <v>0.5</v>
      </c>
      <c r="E180" s="20" t="s">
        <v>25</v>
      </c>
      <c r="F180" s="34" t="e">
        <v>#DIV/0!</v>
      </c>
      <c r="G180" s="34" t="e">
        <v>#DIV/0!</v>
      </c>
      <c r="H180" s="34" t="e">
        <v>#DIV/0!</v>
      </c>
      <c r="I180" s="34" t="e">
        <v>#DIV/0!</v>
      </c>
      <c r="J180" s="34" t="e">
        <v>#DIV/0!</v>
      </c>
      <c r="K180" s="34" t="e">
        <v>#DIV/0!</v>
      </c>
      <c r="L180" s="34" t="e">
        <v>#DIV/0!</v>
      </c>
      <c r="M180" s="34" t="e">
        <v>#DIV/0!</v>
      </c>
      <c r="N180" s="34" t="e">
        <v>#DIV/0!</v>
      </c>
      <c r="O180" s="34" t="e">
        <v>#DIV/0!</v>
      </c>
      <c r="P180" s="34" t="e">
        <v>#DIV/0!</v>
      </c>
      <c r="Q180" s="34" t="e">
        <v>#DIV/0!</v>
      </c>
      <c r="R180" s="34" t="e">
        <v>#DIV/0!</v>
      </c>
      <c r="S180" s="34" t="e">
        <v>#DIV/0!</v>
      </c>
      <c r="T180" s="34" t="e">
        <v>#DIV/0!</v>
      </c>
      <c r="U180" s="34" t="e">
        <v>#DIV/0!</v>
      </c>
      <c r="V180" s="34" t="e">
        <v>#DIV/0!</v>
      </c>
      <c r="W180" s="34" t="e">
        <v>#DIV/0!</v>
      </c>
      <c r="X180" s="34" t="e">
        <v>#DIV/0!</v>
      </c>
      <c r="Y180" s="34" t="e">
        <v>#DIV/0!</v>
      </c>
      <c r="Z180" s="34" t="e">
        <v>#DIV/0!</v>
      </c>
      <c r="AA180" s="34" t="e">
        <v>#DIV/0!</v>
      </c>
      <c r="AB180" s="34" t="e">
        <v>#DIV/0!</v>
      </c>
      <c r="AC180" s="34" t="e">
        <v>#DIV/0!</v>
      </c>
      <c r="AD180" s="34" t="e">
        <v>#DIV/0!</v>
      </c>
      <c r="AE180" s="34" t="e">
        <v>#DIV/0!</v>
      </c>
      <c r="AF180" s="34" t="e">
        <v>#DIV/0!</v>
      </c>
      <c r="AG180" s="34" t="e">
        <v>#DIV/0!</v>
      </c>
      <c r="AH180" s="34" t="e">
        <v>#DIV/0!</v>
      </c>
      <c r="AI180" s="34" t="e">
        <v>#DIV/0!</v>
      </c>
      <c r="AJ180" s="34" t="e">
        <v>#DIV/0!</v>
      </c>
      <c r="AL180" s="67" t="e">
        <v>#DIV/0!</v>
      </c>
      <c r="CV180" s="152"/>
    </row>
    <row r="181" spans="2:100" s="1" customFormat="1" ht="15.75" hidden="1" thickBot="1" x14ac:dyDescent="0.3">
      <c r="B181" s="19"/>
      <c r="C181" s="11" t="s">
        <v>26</v>
      </c>
      <c r="D181" s="136">
        <v>0.5</v>
      </c>
      <c r="E181" s="20" t="s">
        <v>25</v>
      </c>
      <c r="F181" s="34" t="e">
        <v>#DIV/0!</v>
      </c>
      <c r="G181" s="34" t="e">
        <v>#DIV/0!</v>
      </c>
      <c r="H181" s="34" t="e">
        <v>#DIV/0!</v>
      </c>
      <c r="I181" s="34" t="e">
        <v>#DIV/0!</v>
      </c>
      <c r="J181" s="34" t="e">
        <v>#DIV/0!</v>
      </c>
      <c r="K181" s="34" t="e">
        <v>#DIV/0!</v>
      </c>
      <c r="L181" s="34" t="e">
        <v>#DIV/0!</v>
      </c>
      <c r="M181" s="34" t="e">
        <v>#DIV/0!</v>
      </c>
      <c r="N181" s="34" t="e">
        <v>#DIV/0!</v>
      </c>
      <c r="O181" s="34" t="e">
        <v>#DIV/0!</v>
      </c>
      <c r="P181" s="34" t="e">
        <v>#DIV/0!</v>
      </c>
      <c r="Q181" s="34" t="e">
        <v>#DIV/0!</v>
      </c>
      <c r="R181" s="34" t="e">
        <v>#DIV/0!</v>
      </c>
      <c r="S181" s="34" t="e">
        <v>#DIV/0!</v>
      </c>
      <c r="T181" s="34" t="e">
        <v>#DIV/0!</v>
      </c>
      <c r="U181" s="34" t="e">
        <v>#DIV/0!</v>
      </c>
      <c r="V181" s="34" t="e">
        <v>#DIV/0!</v>
      </c>
      <c r="W181" s="34" t="e">
        <v>#DIV/0!</v>
      </c>
      <c r="X181" s="34" t="e">
        <v>#DIV/0!</v>
      </c>
      <c r="Y181" s="34" t="e">
        <v>#DIV/0!</v>
      </c>
      <c r="Z181" s="34" t="e">
        <v>#DIV/0!</v>
      </c>
      <c r="AA181" s="34" t="e">
        <v>#DIV/0!</v>
      </c>
      <c r="AB181" s="34" t="e">
        <v>#DIV/0!</v>
      </c>
      <c r="AC181" s="34" t="e">
        <v>#DIV/0!</v>
      </c>
      <c r="AD181" s="34" t="e">
        <v>#DIV/0!</v>
      </c>
      <c r="AE181" s="34" t="e">
        <v>#DIV/0!</v>
      </c>
      <c r="AF181" s="34" t="e">
        <v>#DIV/0!</v>
      </c>
      <c r="AG181" s="34" t="e">
        <v>#DIV/0!</v>
      </c>
      <c r="AH181" s="34" t="e">
        <v>#DIV/0!</v>
      </c>
      <c r="AI181" s="34" t="e">
        <v>#DIV/0!</v>
      </c>
      <c r="AJ181" s="34" t="e">
        <v>#DIV/0!</v>
      </c>
      <c r="AL181" s="67" t="e">
        <v>#DIV/0!</v>
      </c>
      <c r="CV181" s="152"/>
    </row>
    <row r="182" spans="2:100" s="1" customFormat="1" hidden="1" x14ac:dyDescent="0.25">
      <c r="B182" s="8">
        <v>7</v>
      </c>
      <c r="C182" s="53" t="s">
        <v>88</v>
      </c>
      <c r="D182" s="137"/>
      <c r="E182" s="138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303"/>
      <c r="AA182" s="303"/>
      <c r="AB182" s="303"/>
      <c r="AC182" s="303"/>
      <c r="AD182" s="303"/>
      <c r="AE182" s="303"/>
      <c r="AF182" s="303"/>
      <c r="AG182" s="303"/>
      <c r="AH182" s="303"/>
      <c r="AI182" s="303"/>
      <c r="AJ182" s="303"/>
      <c r="AK182" s="139"/>
      <c r="AL182" s="87" t="s">
        <v>131</v>
      </c>
    </row>
    <row r="183" spans="2:100" s="1" customFormat="1" hidden="1" x14ac:dyDescent="0.25">
      <c r="B183" s="15"/>
      <c r="C183" s="26" t="s">
        <v>93</v>
      </c>
      <c r="D183" s="136"/>
      <c r="E183" s="20" t="s">
        <v>14</v>
      </c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18"/>
      <c r="AL183" s="98">
        <v>0</v>
      </c>
    </row>
    <row r="184" spans="2:100" s="1" customFormat="1" hidden="1" x14ac:dyDescent="0.25">
      <c r="B184" s="15"/>
      <c r="C184" s="11" t="s">
        <v>94</v>
      </c>
      <c r="D184" s="136"/>
      <c r="E184" s="20" t="s">
        <v>14</v>
      </c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18"/>
      <c r="AL184" s="98">
        <v>0</v>
      </c>
    </row>
    <row r="185" spans="2:100" s="1" customFormat="1" hidden="1" x14ac:dyDescent="0.25">
      <c r="B185" s="15"/>
      <c r="C185" s="11" t="s">
        <v>39</v>
      </c>
      <c r="D185" s="136"/>
      <c r="E185" s="20" t="s">
        <v>14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4">
        <v>0</v>
      </c>
      <c r="AH185" s="34">
        <v>0</v>
      </c>
      <c r="AI185" s="34">
        <v>0</v>
      </c>
      <c r="AJ185" s="34">
        <v>0</v>
      </c>
      <c r="AK185" s="18"/>
      <c r="AL185" s="98">
        <v>0</v>
      </c>
    </row>
    <row r="186" spans="2:100" s="1" customFormat="1" hidden="1" x14ac:dyDescent="0.25">
      <c r="B186" s="15"/>
      <c r="C186" s="11" t="s">
        <v>38</v>
      </c>
      <c r="D186" s="136"/>
      <c r="E186" s="20" t="s">
        <v>14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4">
        <v>0</v>
      </c>
      <c r="U186" s="34">
        <v>0</v>
      </c>
      <c r="V186" s="34">
        <v>0</v>
      </c>
      <c r="W186" s="34">
        <v>0</v>
      </c>
      <c r="X186" s="34">
        <v>0</v>
      </c>
      <c r="Y186" s="34">
        <v>0</v>
      </c>
      <c r="Z186" s="34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v>0</v>
      </c>
      <c r="AF186" s="34">
        <v>0</v>
      </c>
      <c r="AG186" s="34">
        <v>0</v>
      </c>
      <c r="AH186" s="34">
        <v>0</v>
      </c>
      <c r="AI186" s="34">
        <v>0</v>
      </c>
      <c r="AJ186" s="34">
        <v>0</v>
      </c>
      <c r="AK186" s="18"/>
      <c r="AL186" s="98">
        <v>0</v>
      </c>
    </row>
    <row r="187" spans="2:100" s="1" customFormat="1" hidden="1" x14ac:dyDescent="0.25">
      <c r="B187" s="15"/>
      <c r="C187" s="30" t="s">
        <v>50</v>
      </c>
      <c r="D187" s="136"/>
      <c r="E187" s="13" t="s">
        <v>14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v>0</v>
      </c>
      <c r="U187" s="34">
        <v>0</v>
      </c>
      <c r="V187" s="34">
        <v>0</v>
      </c>
      <c r="W187" s="34">
        <v>0</v>
      </c>
      <c r="X187" s="34">
        <v>0</v>
      </c>
      <c r="Y187" s="34">
        <v>0</v>
      </c>
      <c r="Z187" s="34">
        <v>0</v>
      </c>
      <c r="AA187" s="34">
        <v>0</v>
      </c>
      <c r="AB187" s="34">
        <v>0</v>
      </c>
      <c r="AC187" s="34">
        <v>0</v>
      </c>
      <c r="AD187" s="34">
        <v>0</v>
      </c>
      <c r="AE187" s="34">
        <v>0</v>
      </c>
      <c r="AF187" s="34">
        <v>0</v>
      </c>
      <c r="AG187" s="34">
        <v>0</v>
      </c>
      <c r="AH187" s="34">
        <v>0</v>
      </c>
      <c r="AI187" s="34">
        <v>0</v>
      </c>
      <c r="AJ187" s="34">
        <v>0</v>
      </c>
      <c r="AK187" s="18"/>
      <c r="AL187" s="67">
        <v>0</v>
      </c>
    </row>
    <row r="188" spans="2:100" s="1" customFormat="1" hidden="1" x14ac:dyDescent="0.25">
      <c r="B188" s="15"/>
      <c r="C188" s="11" t="s">
        <v>29</v>
      </c>
      <c r="D188" s="136"/>
      <c r="E188" s="20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18"/>
      <c r="AL188" s="67" t="s">
        <v>29</v>
      </c>
    </row>
    <row r="189" spans="2:100" s="1" customFormat="1" hidden="1" x14ac:dyDescent="0.25">
      <c r="B189" s="15"/>
      <c r="C189" s="11" t="s">
        <v>89</v>
      </c>
      <c r="D189" s="136"/>
      <c r="E189" s="20" t="s">
        <v>31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18"/>
      <c r="AL189" s="100">
        <v>0</v>
      </c>
    </row>
    <row r="190" spans="2:100" s="1" customFormat="1" hidden="1" x14ac:dyDescent="0.25">
      <c r="B190" s="15"/>
      <c r="C190" s="11" t="s">
        <v>118</v>
      </c>
      <c r="D190" s="136"/>
      <c r="E190" s="20" t="s">
        <v>31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18"/>
      <c r="AL190" s="100">
        <v>0</v>
      </c>
    </row>
    <row r="191" spans="2:100" s="1" customFormat="1" hidden="1" x14ac:dyDescent="0.25">
      <c r="B191" s="15"/>
      <c r="C191" s="39" t="s">
        <v>28</v>
      </c>
      <c r="D191" s="136"/>
      <c r="E191" s="20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18"/>
      <c r="AL191" s="67" t="s">
        <v>28</v>
      </c>
    </row>
    <row r="192" spans="2:100" s="1" customFormat="1" hidden="1" x14ac:dyDescent="0.25">
      <c r="B192" s="15"/>
      <c r="C192" s="11" t="s">
        <v>89</v>
      </c>
      <c r="D192" s="136"/>
      <c r="E192" s="20" t="s">
        <v>28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>
        <v>0</v>
      </c>
      <c r="AJ192" s="33">
        <v>0</v>
      </c>
      <c r="AK192" s="6"/>
      <c r="AL192" s="63">
        <v>0</v>
      </c>
    </row>
    <row r="193" spans="2:38" s="1" customFormat="1" hidden="1" x14ac:dyDescent="0.25">
      <c r="B193" s="15"/>
      <c r="C193" s="11" t="s">
        <v>118</v>
      </c>
      <c r="D193" s="136"/>
      <c r="E193" s="20" t="s">
        <v>28</v>
      </c>
      <c r="F193" s="33">
        <v>0</v>
      </c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6"/>
      <c r="AL193" s="63"/>
    </row>
    <row r="194" spans="2:38" s="1" customFormat="1" hidden="1" x14ac:dyDescent="0.25">
      <c r="B194" s="15"/>
      <c r="C194" s="11" t="s">
        <v>36</v>
      </c>
      <c r="D194" s="136"/>
      <c r="E194" s="20" t="s">
        <v>35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33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>
        <v>0</v>
      </c>
      <c r="AJ194" s="33">
        <v>0</v>
      </c>
      <c r="AK194" s="6"/>
      <c r="AL194" s="63">
        <v>0</v>
      </c>
    </row>
    <row r="195" spans="2:38" s="1" customFormat="1" hidden="1" x14ac:dyDescent="0.25">
      <c r="B195" s="15"/>
      <c r="C195" s="11" t="s">
        <v>34</v>
      </c>
      <c r="D195" s="136"/>
      <c r="E195" s="20" t="s">
        <v>33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33">
        <v>0</v>
      </c>
      <c r="T195" s="33">
        <v>0</v>
      </c>
      <c r="U195" s="33">
        <v>0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0</v>
      </c>
      <c r="AG195" s="33">
        <v>0</v>
      </c>
      <c r="AH195" s="33">
        <v>0</v>
      </c>
      <c r="AI195" s="33">
        <v>0</v>
      </c>
      <c r="AJ195" s="33">
        <v>0</v>
      </c>
      <c r="AK195" s="6"/>
      <c r="AL195" s="105">
        <v>0</v>
      </c>
    </row>
    <row r="196" spans="2:38" s="1" customFormat="1" hidden="1" x14ac:dyDescent="0.25">
      <c r="B196" s="15"/>
      <c r="C196" s="53" t="s">
        <v>32</v>
      </c>
      <c r="D196" s="137"/>
      <c r="E196" s="101"/>
      <c r="F196" s="304"/>
      <c r="G196" s="304"/>
      <c r="H196" s="304"/>
      <c r="I196" s="304"/>
      <c r="J196" s="304"/>
      <c r="K196" s="304"/>
      <c r="L196" s="304"/>
      <c r="M196" s="304"/>
      <c r="N196" s="304"/>
      <c r="O196" s="304"/>
      <c r="P196" s="304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  <c r="AB196" s="304"/>
      <c r="AC196" s="304"/>
      <c r="AD196" s="304"/>
      <c r="AE196" s="304"/>
      <c r="AF196" s="304"/>
      <c r="AG196" s="304"/>
      <c r="AH196" s="304"/>
      <c r="AI196" s="304"/>
      <c r="AJ196" s="304"/>
      <c r="AK196" s="106"/>
      <c r="AL196" s="107" t="s">
        <v>132</v>
      </c>
    </row>
    <row r="197" spans="2:38" s="1" customFormat="1" hidden="1" x14ac:dyDescent="0.25">
      <c r="B197" s="15"/>
      <c r="C197" s="11" t="s">
        <v>29</v>
      </c>
      <c r="D197" s="136"/>
      <c r="E197" s="20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18"/>
      <c r="AL197" s="67"/>
    </row>
    <row r="198" spans="2:38" s="1" customFormat="1" hidden="1" x14ac:dyDescent="0.25">
      <c r="B198" s="15"/>
      <c r="C198" s="11" t="s">
        <v>89</v>
      </c>
      <c r="D198" s="136"/>
      <c r="E198" s="20" t="s">
        <v>31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18"/>
      <c r="AL198" s="100">
        <v>0</v>
      </c>
    </row>
    <row r="199" spans="2:38" s="1" customFormat="1" hidden="1" x14ac:dyDescent="0.25">
      <c r="B199" s="15"/>
      <c r="C199" s="11" t="s">
        <v>118</v>
      </c>
      <c r="D199" s="136"/>
      <c r="E199" s="20" t="s">
        <v>31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18"/>
      <c r="AL199" s="100">
        <v>0</v>
      </c>
    </row>
    <row r="200" spans="2:38" s="1" customFormat="1" hidden="1" x14ac:dyDescent="0.25">
      <c r="B200" s="15"/>
      <c r="C200" s="11" t="s">
        <v>28</v>
      </c>
      <c r="D200" s="136"/>
      <c r="E200" s="20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18"/>
      <c r="AL200" s="67"/>
    </row>
    <row r="201" spans="2:38" s="1" customFormat="1" hidden="1" x14ac:dyDescent="0.25">
      <c r="B201" s="15"/>
      <c r="C201" s="11" t="s">
        <v>89</v>
      </c>
      <c r="D201" s="136"/>
      <c r="E201" s="20" t="s">
        <v>28</v>
      </c>
      <c r="F201" s="33">
        <v>0</v>
      </c>
      <c r="G201" s="33">
        <v>0</v>
      </c>
      <c r="H201" s="33">
        <v>0</v>
      </c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18"/>
      <c r="AL201" s="100">
        <v>0</v>
      </c>
    </row>
    <row r="202" spans="2:38" s="1" customFormat="1" hidden="1" x14ac:dyDescent="0.25">
      <c r="B202" s="15"/>
      <c r="C202" s="11" t="s">
        <v>118</v>
      </c>
      <c r="D202" s="136"/>
      <c r="E202" s="20" t="s">
        <v>28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0</v>
      </c>
      <c r="AA202" s="33">
        <v>0</v>
      </c>
      <c r="AB202" s="33">
        <v>0</v>
      </c>
      <c r="AC202" s="33">
        <v>0</v>
      </c>
      <c r="AD202" s="33">
        <v>0</v>
      </c>
      <c r="AE202" s="33">
        <v>0</v>
      </c>
      <c r="AF202" s="33">
        <v>0</v>
      </c>
      <c r="AG202" s="33">
        <v>0</v>
      </c>
      <c r="AH202" s="33">
        <v>0</v>
      </c>
      <c r="AI202" s="33">
        <v>0</v>
      </c>
      <c r="AJ202" s="33">
        <v>0</v>
      </c>
      <c r="AK202" s="18"/>
      <c r="AL202" s="100">
        <v>0</v>
      </c>
    </row>
    <row r="203" spans="2:38" s="1" customFormat="1" hidden="1" x14ac:dyDescent="0.25">
      <c r="B203" s="15"/>
      <c r="C203" s="53" t="s">
        <v>30</v>
      </c>
      <c r="D203" s="140"/>
      <c r="E203" s="108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  <c r="AK203" s="18"/>
      <c r="AL203" s="87" t="s">
        <v>132</v>
      </c>
    </row>
    <row r="204" spans="2:38" s="1" customFormat="1" hidden="1" x14ac:dyDescent="0.25">
      <c r="B204" s="15"/>
      <c r="C204" s="30" t="s">
        <v>29</v>
      </c>
      <c r="D204" s="136"/>
      <c r="E204" s="20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18"/>
      <c r="AL204" s="100"/>
    </row>
    <row r="205" spans="2:38" s="1" customFormat="1" hidden="1" x14ac:dyDescent="0.25">
      <c r="B205" s="15"/>
      <c r="C205" s="11" t="s">
        <v>89</v>
      </c>
      <c r="D205" s="136">
        <v>0.3</v>
      </c>
      <c r="E205" s="20" t="s">
        <v>25</v>
      </c>
      <c r="F205" s="33" t="e">
        <v>#DIV/0!</v>
      </c>
      <c r="G205" s="33" t="e">
        <v>#DIV/0!</v>
      </c>
      <c r="H205" s="33" t="e">
        <v>#DIV/0!</v>
      </c>
      <c r="I205" s="33" t="e">
        <v>#DIV/0!</v>
      </c>
      <c r="J205" s="33" t="e">
        <v>#DIV/0!</v>
      </c>
      <c r="K205" s="33" t="e">
        <v>#DIV/0!</v>
      </c>
      <c r="L205" s="33" t="e">
        <v>#DIV/0!</v>
      </c>
      <c r="M205" s="33" t="e">
        <v>#DIV/0!</v>
      </c>
      <c r="N205" s="33" t="e">
        <v>#DIV/0!</v>
      </c>
      <c r="O205" s="33" t="e">
        <v>#DIV/0!</v>
      </c>
      <c r="P205" s="33" t="e">
        <v>#DIV/0!</v>
      </c>
      <c r="Q205" s="33" t="e">
        <v>#DIV/0!</v>
      </c>
      <c r="R205" s="33" t="e">
        <v>#DIV/0!</v>
      </c>
      <c r="S205" s="33" t="e">
        <v>#DIV/0!</v>
      </c>
      <c r="T205" s="33" t="e">
        <v>#DIV/0!</v>
      </c>
      <c r="U205" s="33" t="e">
        <v>#DIV/0!</v>
      </c>
      <c r="V205" s="33" t="e">
        <v>#DIV/0!</v>
      </c>
      <c r="W205" s="33" t="e">
        <v>#DIV/0!</v>
      </c>
      <c r="X205" s="33" t="e">
        <v>#DIV/0!</v>
      </c>
      <c r="Y205" s="33" t="e">
        <v>#DIV/0!</v>
      </c>
      <c r="Z205" s="33" t="e">
        <v>#DIV/0!</v>
      </c>
      <c r="AA205" s="33" t="e">
        <v>#DIV/0!</v>
      </c>
      <c r="AB205" s="33" t="e">
        <v>#DIV/0!</v>
      </c>
      <c r="AC205" s="33" t="e">
        <v>#DIV/0!</v>
      </c>
      <c r="AD205" s="33" t="e">
        <v>#DIV/0!</v>
      </c>
      <c r="AE205" s="33" t="e">
        <v>#DIV/0!</v>
      </c>
      <c r="AF205" s="33" t="e">
        <v>#DIV/0!</v>
      </c>
      <c r="AG205" s="33" t="e">
        <v>#DIV/0!</v>
      </c>
      <c r="AH205" s="33" t="e">
        <v>#DIV/0!</v>
      </c>
      <c r="AI205" s="33" t="e">
        <v>#DIV/0!</v>
      </c>
      <c r="AJ205" s="33" t="e">
        <v>#DIV/0!</v>
      </c>
      <c r="AK205" s="18"/>
      <c r="AL205" s="109" t="e">
        <v>#DIV/0!</v>
      </c>
    </row>
    <row r="206" spans="2:38" s="1" customFormat="1" hidden="1" x14ac:dyDescent="0.25">
      <c r="B206" s="15"/>
      <c r="C206" s="11" t="s">
        <v>118</v>
      </c>
      <c r="D206" s="136">
        <v>0.3</v>
      </c>
      <c r="E206" s="20" t="s">
        <v>25</v>
      </c>
      <c r="F206" s="33" t="e">
        <v>#DIV/0!</v>
      </c>
      <c r="G206" s="33" t="e">
        <v>#DIV/0!</v>
      </c>
      <c r="H206" s="33" t="e">
        <v>#DIV/0!</v>
      </c>
      <c r="I206" s="33" t="e">
        <v>#DIV/0!</v>
      </c>
      <c r="J206" s="33" t="e">
        <v>#DIV/0!</v>
      </c>
      <c r="K206" s="33" t="e">
        <v>#DIV/0!</v>
      </c>
      <c r="L206" s="33" t="e">
        <v>#DIV/0!</v>
      </c>
      <c r="M206" s="33" t="e">
        <v>#DIV/0!</v>
      </c>
      <c r="N206" s="33" t="e">
        <v>#DIV/0!</v>
      </c>
      <c r="O206" s="33" t="e">
        <v>#DIV/0!</v>
      </c>
      <c r="P206" s="33" t="e">
        <v>#DIV/0!</v>
      </c>
      <c r="Q206" s="33" t="e">
        <v>#DIV/0!</v>
      </c>
      <c r="R206" s="33" t="e">
        <v>#DIV/0!</v>
      </c>
      <c r="S206" s="33" t="e">
        <v>#DIV/0!</v>
      </c>
      <c r="T206" s="33" t="e">
        <v>#DIV/0!</v>
      </c>
      <c r="U206" s="33" t="e">
        <v>#DIV/0!</v>
      </c>
      <c r="V206" s="33" t="e">
        <v>#DIV/0!</v>
      </c>
      <c r="W206" s="33" t="e">
        <v>#DIV/0!</v>
      </c>
      <c r="X206" s="33" t="e">
        <v>#DIV/0!</v>
      </c>
      <c r="Y206" s="33" t="e">
        <v>#DIV/0!</v>
      </c>
      <c r="Z206" s="33" t="e">
        <v>#DIV/0!</v>
      </c>
      <c r="AA206" s="33" t="e">
        <v>#DIV/0!</v>
      </c>
      <c r="AB206" s="33" t="e">
        <v>#DIV/0!</v>
      </c>
      <c r="AC206" s="33" t="e">
        <v>#DIV/0!</v>
      </c>
      <c r="AD206" s="33" t="e">
        <v>#DIV/0!</v>
      </c>
      <c r="AE206" s="33" t="e">
        <v>#DIV/0!</v>
      </c>
      <c r="AF206" s="33" t="e">
        <v>#DIV/0!</v>
      </c>
      <c r="AG206" s="33" t="e">
        <v>#DIV/0!</v>
      </c>
      <c r="AH206" s="33" t="e">
        <v>#DIV/0!</v>
      </c>
      <c r="AI206" s="33" t="e">
        <v>#DIV/0!</v>
      </c>
      <c r="AJ206" s="33" t="e">
        <v>#DIV/0!</v>
      </c>
      <c r="AK206" s="18"/>
      <c r="AL206" s="109" t="e">
        <v>#DIV/0!</v>
      </c>
    </row>
    <row r="207" spans="2:38" s="1" customFormat="1" hidden="1" x14ac:dyDescent="0.25">
      <c r="B207" s="15"/>
      <c r="C207" s="30" t="s">
        <v>28</v>
      </c>
      <c r="D207" s="136"/>
      <c r="E207" s="20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18"/>
      <c r="AL207" s="100"/>
    </row>
    <row r="208" spans="2:38" s="1" customFormat="1" hidden="1" x14ac:dyDescent="0.25">
      <c r="B208" s="15"/>
      <c r="C208" s="11" t="s">
        <v>89</v>
      </c>
      <c r="D208" s="136">
        <v>0.5</v>
      </c>
      <c r="E208" s="20" t="s">
        <v>25</v>
      </c>
      <c r="F208" s="33" t="e">
        <v>#DIV/0!</v>
      </c>
      <c r="G208" s="33" t="e">
        <v>#DIV/0!</v>
      </c>
      <c r="H208" s="33" t="e">
        <v>#DIV/0!</v>
      </c>
      <c r="I208" s="33" t="e">
        <v>#DIV/0!</v>
      </c>
      <c r="J208" s="33" t="e">
        <v>#DIV/0!</v>
      </c>
      <c r="K208" s="33" t="e">
        <v>#DIV/0!</v>
      </c>
      <c r="L208" s="33" t="e">
        <v>#DIV/0!</v>
      </c>
      <c r="M208" s="33" t="e">
        <v>#DIV/0!</v>
      </c>
      <c r="N208" s="33" t="e">
        <v>#DIV/0!</v>
      </c>
      <c r="O208" s="33" t="e">
        <v>#DIV/0!</v>
      </c>
      <c r="P208" s="33" t="e">
        <v>#DIV/0!</v>
      </c>
      <c r="Q208" s="33" t="e">
        <v>#DIV/0!</v>
      </c>
      <c r="R208" s="33" t="e">
        <v>#DIV/0!</v>
      </c>
      <c r="S208" s="33" t="e">
        <v>#DIV/0!</v>
      </c>
      <c r="T208" s="33" t="e">
        <v>#DIV/0!</v>
      </c>
      <c r="U208" s="33" t="e">
        <v>#DIV/0!</v>
      </c>
      <c r="V208" s="33" t="e">
        <v>#DIV/0!</v>
      </c>
      <c r="W208" s="33" t="e">
        <v>#DIV/0!</v>
      </c>
      <c r="X208" s="33" t="e">
        <v>#DIV/0!</v>
      </c>
      <c r="Y208" s="33" t="e">
        <v>#DIV/0!</v>
      </c>
      <c r="Z208" s="33" t="e">
        <v>#DIV/0!</v>
      </c>
      <c r="AA208" s="33" t="e">
        <v>#DIV/0!</v>
      </c>
      <c r="AB208" s="33" t="e">
        <v>#DIV/0!</v>
      </c>
      <c r="AC208" s="33" t="e">
        <v>#DIV/0!</v>
      </c>
      <c r="AD208" s="33" t="e">
        <v>#DIV/0!</v>
      </c>
      <c r="AE208" s="33" t="e">
        <v>#DIV/0!</v>
      </c>
      <c r="AF208" s="33" t="e">
        <v>#DIV/0!</v>
      </c>
      <c r="AG208" s="33" t="e">
        <v>#DIV/0!</v>
      </c>
      <c r="AH208" s="33" t="e">
        <v>#DIV/0!</v>
      </c>
      <c r="AI208" s="33" t="e">
        <v>#DIV/0!</v>
      </c>
      <c r="AJ208" s="33" t="e">
        <v>#DIV/0!</v>
      </c>
      <c r="AK208" s="18"/>
      <c r="AL208" s="67" t="e">
        <v>#DIV/0!</v>
      </c>
    </row>
    <row r="209" spans="2:100 15066:15458" s="1" customFormat="1" hidden="1" x14ac:dyDescent="0.25">
      <c r="B209" s="15"/>
      <c r="C209" s="11" t="s">
        <v>118</v>
      </c>
      <c r="D209" s="136">
        <v>0.5</v>
      </c>
      <c r="E209" s="20" t="s">
        <v>25</v>
      </c>
      <c r="F209" s="33" t="e">
        <v>#DIV/0!</v>
      </c>
      <c r="G209" s="33" t="e">
        <v>#DIV/0!</v>
      </c>
      <c r="H209" s="33" t="e">
        <v>#DIV/0!</v>
      </c>
      <c r="I209" s="33" t="e">
        <v>#DIV/0!</v>
      </c>
      <c r="J209" s="33" t="e">
        <v>#DIV/0!</v>
      </c>
      <c r="K209" s="33" t="e">
        <v>#DIV/0!</v>
      </c>
      <c r="L209" s="33" t="e">
        <v>#DIV/0!</v>
      </c>
      <c r="M209" s="33" t="e">
        <v>#DIV/0!</v>
      </c>
      <c r="N209" s="33" t="e">
        <v>#DIV/0!</v>
      </c>
      <c r="O209" s="33" t="e">
        <v>#DIV/0!</v>
      </c>
      <c r="P209" s="33" t="e">
        <v>#DIV/0!</v>
      </c>
      <c r="Q209" s="33" t="e">
        <v>#DIV/0!</v>
      </c>
      <c r="R209" s="33" t="e">
        <v>#DIV/0!</v>
      </c>
      <c r="S209" s="33" t="e">
        <v>#DIV/0!</v>
      </c>
      <c r="T209" s="33" t="e">
        <v>#DIV/0!</v>
      </c>
      <c r="U209" s="33" t="e">
        <v>#DIV/0!</v>
      </c>
      <c r="V209" s="33" t="e">
        <v>#DIV/0!</v>
      </c>
      <c r="W209" s="33" t="e">
        <v>#DIV/0!</v>
      </c>
      <c r="X209" s="33" t="e">
        <v>#DIV/0!</v>
      </c>
      <c r="Y209" s="33" t="e">
        <v>#DIV/0!</v>
      </c>
      <c r="Z209" s="33" t="e">
        <v>#DIV/0!</v>
      </c>
      <c r="AA209" s="33" t="e">
        <v>#DIV/0!</v>
      </c>
      <c r="AB209" s="33" t="e">
        <v>#DIV/0!</v>
      </c>
      <c r="AC209" s="33" t="e">
        <v>#DIV/0!</v>
      </c>
      <c r="AD209" s="33" t="e">
        <v>#DIV/0!</v>
      </c>
      <c r="AE209" s="33" t="e">
        <v>#DIV/0!</v>
      </c>
      <c r="AF209" s="33" t="e">
        <v>#DIV/0!</v>
      </c>
      <c r="AG209" s="33" t="e">
        <v>#DIV/0!</v>
      </c>
      <c r="AH209" s="33" t="e">
        <v>#DIV/0!</v>
      </c>
      <c r="AI209" s="33" t="e">
        <v>#DIV/0!</v>
      </c>
      <c r="AJ209" s="33" t="e">
        <v>#DIV/0!</v>
      </c>
      <c r="AK209" s="18"/>
      <c r="AL209" s="67" t="e">
        <v>#DIV/0!</v>
      </c>
    </row>
    <row r="210" spans="2:100 15066:15458" s="1" customFormat="1" hidden="1" x14ac:dyDescent="0.25">
      <c r="B210" s="15"/>
      <c r="C210" s="110" t="s">
        <v>95</v>
      </c>
      <c r="D210" s="141"/>
      <c r="E210" s="111" t="s">
        <v>14</v>
      </c>
      <c r="F210" s="305">
        <v>0</v>
      </c>
      <c r="G210" s="305">
        <v>0</v>
      </c>
      <c r="H210" s="305">
        <v>0</v>
      </c>
      <c r="I210" s="305">
        <v>0</v>
      </c>
      <c r="J210" s="305">
        <v>0</v>
      </c>
      <c r="K210" s="305">
        <v>0</v>
      </c>
      <c r="L210" s="305">
        <v>0</v>
      </c>
      <c r="M210" s="305">
        <v>0</v>
      </c>
      <c r="N210" s="305">
        <v>0</v>
      </c>
      <c r="O210" s="305">
        <v>0</v>
      </c>
      <c r="P210" s="305">
        <v>0</v>
      </c>
      <c r="Q210" s="305">
        <v>0</v>
      </c>
      <c r="R210" s="305">
        <v>0</v>
      </c>
      <c r="S210" s="305">
        <v>0</v>
      </c>
      <c r="T210" s="305">
        <v>0</v>
      </c>
      <c r="U210" s="305">
        <v>0</v>
      </c>
      <c r="V210" s="305">
        <v>0</v>
      </c>
      <c r="W210" s="305">
        <v>0</v>
      </c>
      <c r="X210" s="305">
        <v>0</v>
      </c>
      <c r="Y210" s="305">
        <v>0</v>
      </c>
      <c r="Z210" s="305">
        <v>0</v>
      </c>
      <c r="AA210" s="305">
        <v>0</v>
      </c>
      <c r="AB210" s="305">
        <v>0</v>
      </c>
      <c r="AC210" s="305">
        <v>0</v>
      </c>
      <c r="AD210" s="305">
        <v>0</v>
      </c>
      <c r="AE210" s="305">
        <v>0</v>
      </c>
      <c r="AF210" s="305">
        <v>0</v>
      </c>
      <c r="AG210" s="305">
        <v>0</v>
      </c>
      <c r="AH210" s="305">
        <v>0</v>
      </c>
      <c r="AI210" s="305">
        <v>0</v>
      </c>
      <c r="AJ210" s="305">
        <v>0</v>
      </c>
      <c r="AK210" s="142"/>
      <c r="AL210" s="112">
        <v>0</v>
      </c>
    </row>
    <row r="211" spans="2:100 15066:15458" s="1" customFormat="1" hidden="1" x14ac:dyDescent="0.25">
      <c r="B211" s="15"/>
      <c r="C211" s="80" t="s">
        <v>119</v>
      </c>
      <c r="D211" s="143"/>
      <c r="E211" s="74" t="s">
        <v>14</v>
      </c>
      <c r="F211" s="306">
        <v>0</v>
      </c>
      <c r="G211" s="306">
        <v>0</v>
      </c>
      <c r="H211" s="306">
        <v>0</v>
      </c>
      <c r="I211" s="306">
        <v>0</v>
      </c>
      <c r="J211" s="306">
        <v>0</v>
      </c>
      <c r="K211" s="306">
        <v>0</v>
      </c>
      <c r="L211" s="306">
        <v>0</v>
      </c>
      <c r="M211" s="306">
        <v>0</v>
      </c>
      <c r="N211" s="306">
        <v>0</v>
      </c>
      <c r="O211" s="306">
        <v>0</v>
      </c>
      <c r="P211" s="306">
        <v>0</v>
      </c>
      <c r="Q211" s="306">
        <v>0</v>
      </c>
      <c r="R211" s="306">
        <v>0</v>
      </c>
      <c r="S211" s="306">
        <v>0</v>
      </c>
      <c r="T211" s="306">
        <v>0</v>
      </c>
      <c r="U211" s="306">
        <v>0</v>
      </c>
      <c r="V211" s="306">
        <v>0</v>
      </c>
      <c r="W211" s="306">
        <v>0</v>
      </c>
      <c r="X211" s="306">
        <v>0</v>
      </c>
      <c r="Y211" s="306">
        <v>0</v>
      </c>
      <c r="Z211" s="306">
        <v>0</v>
      </c>
      <c r="AA211" s="306">
        <v>0</v>
      </c>
      <c r="AB211" s="306">
        <v>0</v>
      </c>
      <c r="AC211" s="306">
        <v>0</v>
      </c>
      <c r="AD211" s="306">
        <v>0</v>
      </c>
      <c r="AE211" s="306">
        <v>0</v>
      </c>
      <c r="AF211" s="306">
        <v>0</v>
      </c>
      <c r="AG211" s="306">
        <v>0</v>
      </c>
      <c r="AH211" s="306">
        <v>0</v>
      </c>
      <c r="AI211" s="306">
        <v>0</v>
      </c>
      <c r="AJ211" s="306">
        <v>0</v>
      </c>
      <c r="AK211" s="142"/>
      <c r="AL211" s="66">
        <v>0</v>
      </c>
    </row>
    <row r="212" spans="2:100 15066:15458" s="1" customFormat="1" hidden="1" x14ac:dyDescent="0.25">
      <c r="B212" s="15"/>
      <c r="C212" s="113" t="s">
        <v>90</v>
      </c>
      <c r="D212" s="144"/>
      <c r="E212" s="114" t="s">
        <v>14</v>
      </c>
      <c r="F212" s="307">
        <v>0</v>
      </c>
      <c r="G212" s="307">
        <v>0</v>
      </c>
      <c r="H212" s="307">
        <v>0</v>
      </c>
      <c r="I212" s="307">
        <v>0</v>
      </c>
      <c r="J212" s="307">
        <v>0</v>
      </c>
      <c r="K212" s="307">
        <v>0</v>
      </c>
      <c r="L212" s="307">
        <v>0</v>
      </c>
      <c r="M212" s="307">
        <v>0</v>
      </c>
      <c r="N212" s="307">
        <v>0</v>
      </c>
      <c r="O212" s="307">
        <v>0</v>
      </c>
      <c r="P212" s="307">
        <v>0</v>
      </c>
      <c r="Q212" s="307">
        <v>0</v>
      </c>
      <c r="R212" s="307">
        <v>0</v>
      </c>
      <c r="S212" s="307">
        <v>0</v>
      </c>
      <c r="T212" s="307">
        <v>0</v>
      </c>
      <c r="U212" s="307">
        <v>0</v>
      </c>
      <c r="V212" s="307">
        <v>0</v>
      </c>
      <c r="W212" s="307">
        <v>0</v>
      </c>
      <c r="X212" s="307">
        <v>0</v>
      </c>
      <c r="Y212" s="307">
        <v>0</v>
      </c>
      <c r="Z212" s="307">
        <v>0</v>
      </c>
      <c r="AA212" s="307">
        <v>0</v>
      </c>
      <c r="AB212" s="307">
        <v>0</v>
      </c>
      <c r="AC212" s="307">
        <v>0</v>
      </c>
      <c r="AD212" s="307">
        <v>0</v>
      </c>
      <c r="AE212" s="307">
        <v>0</v>
      </c>
      <c r="AF212" s="307">
        <v>0</v>
      </c>
      <c r="AG212" s="307">
        <v>0</v>
      </c>
      <c r="AH212" s="307">
        <v>0</v>
      </c>
      <c r="AI212" s="307">
        <v>0</v>
      </c>
      <c r="AJ212" s="307">
        <v>0</v>
      </c>
      <c r="AK212" s="142"/>
      <c r="AL212" s="115">
        <v>0</v>
      </c>
    </row>
    <row r="213" spans="2:100 15066:15458" s="1" customFormat="1" hidden="1" x14ac:dyDescent="0.25">
      <c r="B213" s="15"/>
      <c r="C213" s="116" t="s">
        <v>91</v>
      </c>
      <c r="D213" s="145"/>
      <c r="E213" s="117" t="s">
        <v>87</v>
      </c>
      <c r="F213" s="308">
        <v>0</v>
      </c>
      <c r="G213" s="308">
        <v>0</v>
      </c>
      <c r="H213" s="308">
        <v>0</v>
      </c>
      <c r="I213" s="308">
        <v>0</v>
      </c>
      <c r="J213" s="308">
        <v>0</v>
      </c>
      <c r="K213" s="308">
        <v>0</v>
      </c>
      <c r="L213" s="308">
        <v>0</v>
      </c>
      <c r="M213" s="308">
        <v>0</v>
      </c>
      <c r="N213" s="308">
        <v>0</v>
      </c>
      <c r="O213" s="308">
        <v>0</v>
      </c>
      <c r="P213" s="308">
        <v>0</v>
      </c>
      <c r="Q213" s="308">
        <v>0</v>
      </c>
      <c r="R213" s="308">
        <v>0</v>
      </c>
      <c r="S213" s="308">
        <v>0</v>
      </c>
      <c r="T213" s="308">
        <v>0</v>
      </c>
      <c r="U213" s="308">
        <v>0</v>
      </c>
      <c r="V213" s="308">
        <v>0</v>
      </c>
      <c r="W213" s="308">
        <v>0</v>
      </c>
      <c r="X213" s="308">
        <v>0</v>
      </c>
      <c r="Y213" s="308">
        <v>0</v>
      </c>
      <c r="Z213" s="308">
        <v>0</v>
      </c>
      <c r="AA213" s="308">
        <v>0</v>
      </c>
      <c r="AB213" s="308">
        <v>0</v>
      </c>
      <c r="AC213" s="308">
        <v>0</v>
      </c>
      <c r="AD213" s="308">
        <v>0</v>
      </c>
      <c r="AE213" s="308">
        <v>0</v>
      </c>
      <c r="AF213" s="308">
        <v>0</v>
      </c>
      <c r="AG213" s="308">
        <v>0</v>
      </c>
      <c r="AH213" s="308">
        <v>0</v>
      </c>
      <c r="AI213" s="308">
        <v>0</v>
      </c>
      <c r="AJ213" s="308">
        <v>0</v>
      </c>
      <c r="AK213" s="142"/>
      <c r="AL213" s="118">
        <v>0</v>
      </c>
    </row>
    <row r="214" spans="2:100 15066:15458" s="1" customFormat="1" hidden="1" x14ac:dyDescent="0.25">
      <c r="B214" s="15"/>
      <c r="C214" s="119" t="s">
        <v>96</v>
      </c>
      <c r="D214" s="145"/>
      <c r="E214" s="120" t="s">
        <v>14</v>
      </c>
      <c r="F214" s="309">
        <v>0</v>
      </c>
      <c r="G214" s="309">
        <v>0</v>
      </c>
      <c r="H214" s="309">
        <v>0</v>
      </c>
      <c r="I214" s="309">
        <v>0</v>
      </c>
      <c r="J214" s="309">
        <v>0</v>
      </c>
      <c r="K214" s="309">
        <v>0</v>
      </c>
      <c r="L214" s="309">
        <v>0</v>
      </c>
      <c r="M214" s="309">
        <v>0</v>
      </c>
      <c r="N214" s="309">
        <v>0</v>
      </c>
      <c r="O214" s="309">
        <v>0</v>
      </c>
      <c r="P214" s="309">
        <v>0</v>
      </c>
      <c r="Q214" s="309">
        <v>0</v>
      </c>
      <c r="R214" s="309">
        <v>0</v>
      </c>
      <c r="S214" s="309">
        <v>0</v>
      </c>
      <c r="T214" s="309">
        <v>0</v>
      </c>
      <c r="U214" s="309">
        <v>0</v>
      </c>
      <c r="V214" s="309">
        <v>0</v>
      </c>
      <c r="W214" s="309">
        <v>0</v>
      </c>
      <c r="X214" s="309">
        <v>0</v>
      </c>
      <c r="Y214" s="309">
        <v>0</v>
      </c>
      <c r="Z214" s="309">
        <v>0</v>
      </c>
      <c r="AA214" s="309">
        <v>0</v>
      </c>
      <c r="AB214" s="309">
        <v>0</v>
      </c>
      <c r="AC214" s="309">
        <v>0</v>
      </c>
      <c r="AD214" s="309">
        <v>0</v>
      </c>
      <c r="AE214" s="309">
        <v>0</v>
      </c>
      <c r="AF214" s="309">
        <v>0</v>
      </c>
      <c r="AG214" s="309">
        <v>0</v>
      </c>
      <c r="AH214" s="309">
        <v>0</v>
      </c>
      <c r="AI214" s="309">
        <v>0</v>
      </c>
      <c r="AJ214" s="309">
        <v>0</v>
      </c>
      <c r="AK214" s="122"/>
      <c r="AL214" s="123">
        <v>0</v>
      </c>
    </row>
    <row r="215" spans="2:100 15066:15458" s="1" customFormat="1" x14ac:dyDescent="0.25">
      <c r="B215" s="8">
        <v>4</v>
      </c>
      <c r="C215" s="84" t="s">
        <v>24</v>
      </c>
      <c r="D215" s="54"/>
      <c r="E215" s="86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L215" s="90" t="s">
        <v>133</v>
      </c>
      <c r="CV215" s="151"/>
      <c r="VGL215" s="50"/>
      <c r="VGM215" s="50"/>
      <c r="VGN215" s="50"/>
      <c r="VGO215" s="50"/>
      <c r="VGP215" s="50"/>
      <c r="VGQ215" s="50"/>
      <c r="VGR215" s="50"/>
      <c r="VGS215" s="50"/>
      <c r="VGT215" s="50"/>
      <c r="VGU215" s="50"/>
      <c r="VGV215" s="50"/>
      <c r="VGW215" s="50"/>
      <c r="VGX215" s="50"/>
      <c r="VGY215" s="50"/>
      <c r="VGZ215" s="50"/>
      <c r="VHA215" s="50"/>
      <c r="VHB215" s="50"/>
      <c r="VHC215" s="50"/>
      <c r="VHD215" s="50"/>
      <c r="VHE215" s="50"/>
      <c r="VHF215" s="50"/>
      <c r="VHG215" s="50"/>
      <c r="VHH215" s="50"/>
      <c r="VHI215" s="50"/>
      <c r="VHJ215" s="50"/>
      <c r="VHK215" s="50"/>
      <c r="VHL215" s="50"/>
      <c r="VHM215" s="50"/>
      <c r="VHN215" s="50"/>
      <c r="VHO215" s="50"/>
      <c r="VHP215" s="50"/>
      <c r="VHQ215" s="50"/>
      <c r="VHR215" s="50"/>
      <c r="VHS215" s="50"/>
      <c r="VHT215" s="50"/>
      <c r="VHU215" s="50"/>
      <c r="VHV215" s="50"/>
      <c r="VHW215" s="50"/>
      <c r="VHX215" s="50"/>
      <c r="VHY215" s="50"/>
      <c r="VHZ215" s="50"/>
      <c r="VIA215" s="50"/>
      <c r="VIB215" s="50"/>
      <c r="VIC215" s="50"/>
      <c r="VID215" s="50"/>
      <c r="VIE215" s="50"/>
      <c r="VIF215" s="50"/>
      <c r="VIG215" s="50"/>
      <c r="VIH215" s="50"/>
      <c r="VII215" s="50"/>
      <c r="VIJ215" s="50"/>
      <c r="VIK215" s="50"/>
      <c r="VIL215" s="50"/>
      <c r="VIM215" s="50"/>
      <c r="VIN215" s="50"/>
      <c r="VIO215" s="50"/>
      <c r="VIP215" s="50"/>
      <c r="VIQ215" s="50"/>
      <c r="VIR215" s="50"/>
      <c r="VIS215" s="50"/>
      <c r="VIT215" s="50"/>
      <c r="VIU215" s="50"/>
      <c r="VIV215" s="50"/>
      <c r="VIW215" s="50"/>
      <c r="VIX215" s="50"/>
      <c r="VIY215" s="50"/>
      <c r="VIZ215" s="50"/>
      <c r="VJA215" s="50"/>
      <c r="VJB215" s="50"/>
      <c r="VJC215" s="50"/>
      <c r="VJD215" s="50"/>
      <c r="VJE215" s="50"/>
      <c r="VJF215" s="50"/>
      <c r="VJG215" s="50"/>
      <c r="VJH215" s="50"/>
      <c r="VJI215" s="50"/>
      <c r="VJJ215" s="50"/>
      <c r="VJK215" s="50"/>
      <c r="VJL215" s="50"/>
      <c r="VJM215" s="50"/>
      <c r="VJN215" s="50"/>
      <c r="VJO215" s="50"/>
      <c r="VJP215" s="50"/>
      <c r="VJQ215" s="50"/>
      <c r="VJR215" s="50"/>
      <c r="VJS215" s="50"/>
      <c r="VJT215" s="50"/>
      <c r="VJU215" s="50"/>
      <c r="VJV215" s="50"/>
      <c r="VJW215" s="50"/>
      <c r="VJX215" s="50"/>
      <c r="VJY215" s="50"/>
      <c r="VJZ215" s="50"/>
      <c r="VKA215" s="50"/>
      <c r="VKB215" s="50"/>
      <c r="VKC215" s="50"/>
      <c r="VKD215" s="50"/>
      <c r="VKE215" s="50"/>
      <c r="VKF215" s="50"/>
      <c r="VKG215" s="50"/>
      <c r="VKH215" s="50"/>
      <c r="VKI215" s="50"/>
      <c r="VKJ215" s="50"/>
      <c r="VKK215" s="50"/>
      <c r="VKL215" s="50"/>
      <c r="VKM215" s="50"/>
      <c r="VKN215" s="50"/>
      <c r="VKO215" s="50"/>
      <c r="VKP215" s="50"/>
      <c r="VKQ215" s="50"/>
      <c r="VKR215" s="50"/>
      <c r="VKS215" s="50"/>
      <c r="VKT215" s="50"/>
      <c r="VKU215" s="50"/>
      <c r="VKV215" s="50"/>
      <c r="VKW215" s="50"/>
      <c r="VKX215" s="50"/>
      <c r="VKY215" s="50"/>
      <c r="VKZ215" s="50"/>
      <c r="VLA215" s="50"/>
      <c r="VLB215" s="50"/>
      <c r="VLC215" s="50"/>
      <c r="VLD215" s="50"/>
      <c r="VLE215" s="50"/>
      <c r="VLF215" s="50"/>
      <c r="VLG215" s="50"/>
      <c r="VLH215" s="50"/>
      <c r="VLI215" s="50"/>
      <c r="VLJ215" s="50"/>
      <c r="VLK215" s="50"/>
      <c r="VLL215" s="50"/>
      <c r="VLM215" s="50"/>
      <c r="VLN215" s="50"/>
      <c r="VLO215" s="50"/>
      <c r="VLP215" s="50"/>
      <c r="VLQ215" s="50"/>
      <c r="VLR215" s="50"/>
      <c r="VLS215" s="50"/>
      <c r="VLT215" s="50"/>
      <c r="VLU215" s="50"/>
      <c r="VLV215" s="50"/>
      <c r="VLW215" s="50"/>
      <c r="VLX215" s="50"/>
      <c r="VLY215" s="50"/>
      <c r="VLZ215" s="50"/>
      <c r="VMA215" s="50"/>
      <c r="VMB215" s="50"/>
      <c r="VMC215" s="50"/>
      <c r="VMD215" s="50"/>
      <c r="VME215" s="50"/>
      <c r="VMF215" s="50"/>
      <c r="VMG215" s="50"/>
      <c r="VMH215" s="50"/>
      <c r="VMI215" s="50"/>
      <c r="VMJ215" s="50"/>
      <c r="VMK215" s="50"/>
      <c r="VML215" s="50"/>
      <c r="VMM215" s="50"/>
      <c r="VMN215" s="50"/>
      <c r="VMO215" s="50"/>
      <c r="VMP215" s="50"/>
      <c r="VMQ215" s="50"/>
      <c r="VMR215" s="50"/>
      <c r="VMS215" s="50"/>
      <c r="VMT215" s="50"/>
      <c r="VMU215" s="50"/>
      <c r="VMV215" s="50"/>
      <c r="VMW215" s="50"/>
      <c r="VMX215" s="50"/>
      <c r="VMY215" s="50"/>
      <c r="VMZ215" s="50"/>
      <c r="VNA215" s="50"/>
      <c r="VNB215" s="50"/>
      <c r="VNC215" s="50"/>
      <c r="VND215" s="50"/>
      <c r="VNE215" s="50"/>
      <c r="VNF215" s="50"/>
      <c r="VNG215" s="50"/>
      <c r="VNH215" s="50"/>
      <c r="VNI215" s="50"/>
      <c r="VNJ215" s="50"/>
      <c r="VNK215" s="50"/>
      <c r="VNL215" s="50"/>
      <c r="VNM215" s="50"/>
      <c r="VNN215" s="50"/>
      <c r="VNO215" s="50"/>
      <c r="VNP215" s="50"/>
      <c r="VNQ215" s="50"/>
      <c r="VNR215" s="50"/>
      <c r="VNS215" s="50"/>
      <c r="VNT215" s="50"/>
      <c r="VNU215" s="50"/>
      <c r="VNV215" s="50"/>
      <c r="VNW215" s="50"/>
      <c r="VNX215" s="50"/>
      <c r="VNY215" s="50"/>
      <c r="VNZ215" s="50"/>
      <c r="VOA215" s="50"/>
      <c r="VOB215" s="50"/>
      <c r="VOC215" s="50"/>
      <c r="VOD215" s="50"/>
      <c r="VOE215" s="50"/>
      <c r="VOF215" s="50"/>
      <c r="VOG215" s="50"/>
      <c r="VOH215" s="50"/>
      <c r="VOI215" s="50"/>
      <c r="VOJ215" s="50"/>
      <c r="VOK215" s="50"/>
      <c r="VOL215" s="50"/>
      <c r="VOM215" s="50"/>
      <c r="VON215" s="50"/>
      <c r="VOO215" s="50"/>
      <c r="VOP215" s="50"/>
      <c r="VOQ215" s="50"/>
      <c r="VOR215" s="50"/>
      <c r="VOS215" s="50"/>
      <c r="VOT215" s="50"/>
      <c r="VOU215" s="50"/>
      <c r="VOV215" s="50"/>
      <c r="VOW215" s="50"/>
      <c r="VOX215" s="50"/>
      <c r="VOY215" s="50"/>
      <c r="VOZ215" s="50"/>
      <c r="VPA215" s="50"/>
      <c r="VPB215" s="50"/>
      <c r="VPC215" s="50"/>
      <c r="VPD215" s="50"/>
      <c r="VPE215" s="50"/>
      <c r="VPF215" s="50"/>
      <c r="VPG215" s="50"/>
      <c r="VPH215" s="50"/>
      <c r="VPI215" s="50"/>
      <c r="VPJ215" s="50"/>
      <c r="VPK215" s="50"/>
      <c r="VPL215" s="50"/>
      <c r="VPM215" s="50"/>
      <c r="VPN215" s="50"/>
      <c r="VPO215" s="50"/>
      <c r="VPP215" s="50"/>
      <c r="VPQ215" s="50"/>
      <c r="VPR215" s="50"/>
      <c r="VPS215" s="50"/>
      <c r="VPT215" s="50"/>
      <c r="VPU215" s="50"/>
      <c r="VPV215" s="50"/>
      <c r="VPW215" s="50"/>
      <c r="VPX215" s="50"/>
      <c r="VPY215" s="50"/>
      <c r="VPZ215" s="50"/>
      <c r="VQA215" s="50"/>
      <c r="VQB215" s="50"/>
      <c r="VQC215" s="50"/>
      <c r="VQD215" s="50"/>
      <c r="VQE215" s="50"/>
      <c r="VQF215" s="50"/>
      <c r="VQG215" s="50"/>
      <c r="VQH215" s="50"/>
      <c r="VQI215" s="50"/>
      <c r="VQJ215" s="50"/>
      <c r="VQK215" s="50"/>
      <c r="VQL215" s="50"/>
      <c r="VQM215" s="50"/>
      <c r="VQN215" s="50"/>
      <c r="VQO215" s="50"/>
      <c r="VQP215" s="50"/>
      <c r="VQQ215" s="50"/>
      <c r="VQR215" s="50"/>
      <c r="VQS215" s="50"/>
      <c r="VQT215" s="50"/>
      <c r="VQU215" s="50"/>
      <c r="VQV215" s="50"/>
      <c r="VQW215" s="50"/>
      <c r="VQX215" s="50"/>
      <c r="VQY215" s="50"/>
      <c r="VQZ215" s="50"/>
      <c r="VRA215" s="50"/>
      <c r="VRB215" s="50"/>
      <c r="VRC215" s="50"/>
      <c r="VRD215" s="50"/>
      <c r="VRE215" s="50"/>
      <c r="VRF215" s="50"/>
      <c r="VRG215" s="50"/>
      <c r="VRH215" s="50"/>
      <c r="VRI215" s="50"/>
      <c r="VRJ215" s="50"/>
      <c r="VRK215" s="50"/>
      <c r="VRL215" s="50"/>
      <c r="VRM215" s="50"/>
      <c r="VRN215" s="50"/>
      <c r="VRO215" s="50"/>
      <c r="VRP215" s="50"/>
      <c r="VRQ215" s="50"/>
      <c r="VRR215" s="50"/>
      <c r="VRS215" s="50"/>
      <c r="VRT215" s="50"/>
      <c r="VRU215" s="50"/>
      <c r="VRV215" s="50"/>
      <c r="VRW215" s="50"/>
      <c r="VRX215" s="50"/>
      <c r="VRY215" s="50"/>
      <c r="VRZ215" s="50"/>
      <c r="VSA215" s="50"/>
      <c r="VSB215" s="50"/>
      <c r="VSC215" s="50"/>
      <c r="VSD215" s="50"/>
      <c r="VSE215" s="50"/>
      <c r="VSF215" s="50"/>
      <c r="VSG215" s="50"/>
      <c r="VSH215" s="50"/>
      <c r="VSI215" s="50"/>
      <c r="VSJ215" s="50"/>
      <c r="VSK215" s="50"/>
      <c r="VSL215" s="50"/>
      <c r="VSM215" s="50"/>
      <c r="VSN215" s="50"/>
      <c r="VSO215" s="50"/>
      <c r="VSP215" s="50"/>
      <c r="VSQ215" s="50"/>
      <c r="VSR215" s="50"/>
      <c r="VSS215" s="50"/>
      <c r="VST215" s="50"/>
      <c r="VSU215" s="50"/>
      <c r="VSV215" s="50"/>
      <c r="VSW215" s="50"/>
      <c r="VSX215" s="50"/>
      <c r="VSY215" s="50"/>
      <c r="VSZ215" s="50"/>
      <c r="VTA215" s="50"/>
      <c r="VTB215" s="50"/>
      <c r="VTC215" s="50"/>
      <c r="VTD215" s="50"/>
      <c r="VTE215" s="50"/>
      <c r="VTF215" s="50"/>
      <c r="VTG215" s="50"/>
      <c r="VTH215" s="50"/>
      <c r="VTI215" s="50"/>
      <c r="VTJ215" s="50"/>
      <c r="VTK215" s="50"/>
      <c r="VTL215" s="50"/>
      <c r="VTM215" s="50"/>
      <c r="VTN215" s="50"/>
      <c r="VTO215" s="50"/>
      <c r="VTP215" s="50"/>
      <c r="VTQ215" s="50"/>
      <c r="VTR215" s="50"/>
      <c r="VTS215" s="50"/>
      <c r="VTT215" s="50"/>
      <c r="VTU215" s="50"/>
      <c r="VTV215" s="50"/>
      <c r="VTW215" s="50"/>
      <c r="VTX215" s="50"/>
      <c r="VTY215" s="50"/>
      <c r="VTZ215" s="50"/>
      <c r="VUA215" s="50"/>
      <c r="VUB215" s="50"/>
      <c r="VUC215" s="50"/>
      <c r="VUD215" s="50"/>
      <c r="VUE215" s="50"/>
      <c r="VUF215" s="50"/>
      <c r="VUG215" s="50"/>
      <c r="VUH215" s="50"/>
      <c r="VUI215" s="50"/>
      <c r="VUJ215" s="50"/>
      <c r="VUK215" s="50"/>
      <c r="VUL215" s="50"/>
      <c r="VUM215" s="50"/>
      <c r="VUN215" s="50"/>
      <c r="VUO215" s="50"/>
      <c r="VUP215" s="50"/>
      <c r="VUQ215" s="50"/>
      <c r="VUR215" s="50"/>
      <c r="VUS215" s="50"/>
      <c r="VUT215" s="50"/>
      <c r="VUU215" s="50"/>
      <c r="VUV215" s="50"/>
      <c r="VUW215" s="50"/>
      <c r="VUX215" s="50"/>
      <c r="VUY215" s="50"/>
      <c r="VUZ215" s="50"/>
      <c r="VVA215" s="50"/>
      <c r="VVB215" s="50"/>
      <c r="VVC215" s="50"/>
      <c r="VVD215" s="50"/>
      <c r="VVE215" s="50"/>
      <c r="VVF215" s="50"/>
      <c r="VVG215" s="50"/>
      <c r="VVH215" s="50"/>
      <c r="VVI215" s="50"/>
      <c r="VVJ215" s="50"/>
      <c r="VVK215" s="50"/>
      <c r="VVL215" s="50"/>
      <c r="VVM215" s="50"/>
      <c r="VVN215" s="50"/>
    </row>
    <row r="216" spans="2:100 15066:15458" s="1" customFormat="1" x14ac:dyDescent="0.25">
      <c r="B216" s="8"/>
      <c r="C216" s="247" t="s">
        <v>23</v>
      </c>
      <c r="D216" s="266"/>
      <c r="E216" s="248" t="s">
        <v>19</v>
      </c>
      <c r="F216" s="310">
        <v>1122.1947</v>
      </c>
      <c r="G216" s="311">
        <v>1181.6773000000001</v>
      </c>
      <c r="H216" s="311">
        <v>1184.3837000000001</v>
      </c>
      <c r="I216" s="311">
        <v>1224.4115999999999</v>
      </c>
      <c r="J216" s="311">
        <v>1225.4638</v>
      </c>
      <c r="K216" s="311">
        <v>1065.385</v>
      </c>
      <c r="L216" s="311">
        <v>1067.8931</v>
      </c>
      <c r="M216" s="311">
        <v>930.94100000000003</v>
      </c>
      <c r="N216" s="311">
        <v>750.2174</v>
      </c>
      <c r="O216" s="311">
        <v>997.33759999999995</v>
      </c>
      <c r="P216" s="311">
        <v>1119.5518999999999</v>
      </c>
      <c r="Q216" s="311">
        <v>1265.6714999999999</v>
      </c>
      <c r="R216" s="311">
        <v>1253.0001999999999</v>
      </c>
      <c r="S216" s="311">
        <v>1070.4197999999999</v>
      </c>
      <c r="T216" s="311">
        <v>1112.9860000000001</v>
      </c>
      <c r="U216" s="311"/>
      <c r="V216" s="311"/>
      <c r="W216" s="311"/>
      <c r="X216" s="311"/>
      <c r="Y216" s="311"/>
      <c r="Z216" s="311"/>
      <c r="AA216" s="311"/>
      <c r="AB216" s="311"/>
      <c r="AC216" s="311"/>
      <c r="AD216" s="311"/>
      <c r="AE216" s="311"/>
      <c r="AF216" s="311"/>
      <c r="AG216" s="311"/>
      <c r="AH216" s="311"/>
      <c r="AI216" s="311"/>
      <c r="AJ216" s="311"/>
      <c r="AL216" s="124">
        <f>SUM(F216:AI216)</f>
        <v>16571.534600000003</v>
      </c>
      <c r="CV216" s="152"/>
    </row>
    <row r="217" spans="2:100 15066:15458" s="71" customFormat="1" x14ac:dyDescent="0.25">
      <c r="B217" s="77"/>
      <c r="C217" s="247" t="s">
        <v>22</v>
      </c>
      <c r="D217" s="272">
        <v>1460.001</v>
      </c>
      <c r="E217" s="248" t="s">
        <v>19</v>
      </c>
      <c r="F217" s="310">
        <v>1178.1747</v>
      </c>
      <c r="G217" s="311">
        <v>1188.4665</v>
      </c>
      <c r="H217" s="311">
        <v>1229.8332</v>
      </c>
      <c r="I217" s="311">
        <v>1223.4115999999999</v>
      </c>
      <c r="J217" s="311">
        <v>1071.4751000000001</v>
      </c>
      <c r="K217" s="311">
        <v>1059.3031000000001</v>
      </c>
      <c r="L217" s="311">
        <v>942.33960000000002</v>
      </c>
      <c r="M217" s="311">
        <v>705.11959999999999</v>
      </c>
      <c r="N217" s="311">
        <v>988.36850000000004</v>
      </c>
      <c r="O217" s="311">
        <v>1078.7585999999999</v>
      </c>
      <c r="P217" s="311">
        <v>1239.0367000000001</v>
      </c>
      <c r="Q217" s="311">
        <v>1236.4422999999999</v>
      </c>
      <c r="R217" s="311">
        <v>1039.1655000000001</v>
      </c>
      <c r="S217" s="311">
        <v>1109.2681</v>
      </c>
      <c r="T217" s="311">
        <v>930.99080000000004</v>
      </c>
      <c r="U217" s="311"/>
      <c r="V217" s="311"/>
      <c r="W217" s="311"/>
      <c r="X217" s="311"/>
      <c r="Y217" s="311"/>
      <c r="Z217" s="311"/>
      <c r="AA217" s="311"/>
      <c r="AB217" s="311"/>
      <c r="AC217" s="311"/>
      <c r="AD217" s="311"/>
      <c r="AE217" s="311"/>
      <c r="AF217" s="311"/>
      <c r="AG217" s="311"/>
      <c r="AH217" s="311"/>
      <c r="AI217" s="311"/>
      <c r="AJ217" s="311"/>
      <c r="AL217" s="124">
        <f>SUM(F217:AI217)</f>
        <v>16220.153899999999</v>
      </c>
      <c r="AM217" s="183">
        <f>AL217/4</f>
        <v>4055.0384749999998</v>
      </c>
      <c r="AN217" s="71">
        <f>AM217/D217*100</f>
        <v>277.7421710670061</v>
      </c>
      <c r="CV217" s="153"/>
    </row>
    <row r="218" spans="2:100 15066:15458" s="1" customFormat="1" x14ac:dyDescent="0.25">
      <c r="B218" s="15"/>
      <c r="C218" s="28" t="s">
        <v>11</v>
      </c>
      <c r="D218" s="266"/>
      <c r="E218" s="13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312"/>
      <c r="AB218" s="312"/>
      <c r="AC218" s="312"/>
      <c r="AD218" s="312"/>
      <c r="AE218" s="312"/>
      <c r="AF218" s="312"/>
      <c r="AG218" s="312"/>
      <c r="AH218" s="312"/>
      <c r="AI218" s="312"/>
      <c r="AJ218" s="312"/>
      <c r="AL218" s="125" t="s">
        <v>11</v>
      </c>
      <c r="CV218" s="151"/>
      <c r="VGL218" s="50"/>
      <c r="VGM218" s="50"/>
      <c r="VGN218" s="50"/>
      <c r="VGO218" s="50"/>
      <c r="VGP218" s="50"/>
      <c r="VGQ218" s="50"/>
      <c r="VGR218" s="50"/>
      <c r="VGS218" s="50"/>
      <c r="VGT218" s="50"/>
      <c r="VGU218" s="50"/>
      <c r="VGV218" s="50"/>
      <c r="VGW218" s="50"/>
      <c r="VGX218" s="50"/>
      <c r="VGY218" s="50"/>
      <c r="VGZ218" s="50"/>
      <c r="VHA218" s="50"/>
      <c r="VHB218" s="50"/>
      <c r="VHC218" s="50"/>
      <c r="VHD218" s="50"/>
      <c r="VHE218" s="50"/>
      <c r="VHF218" s="50"/>
      <c r="VHG218" s="50"/>
      <c r="VHH218" s="50"/>
      <c r="VHI218" s="50"/>
      <c r="VHJ218" s="50"/>
      <c r="VHK218" s="50"/>
      <c r="VHL218" s="50"/>
      <c r="VHM218" s="50"/>
      <c r="VHN218" s="50"/>
      <c r="VHO218" s="50"/>
      <c r="VHP218" s="50"/>
      <c r="VHQ218" s="50"/>
      <c r="VHR218" s="50"/>
      <c r="VHS218" s="50"/>
      <c r="VHT218" s="50"/>
      <c r="VHU218" s="50"/>
      <c r="VHV218" s="50"/>
      <c r="VHW218" s="50"/>
      <c r="VHX218" s="50"/>
      <c r="VHY218" s="50"/>
      <c r="VHZ218" s="50"/>
      <c r="VIA218" s="50"/>
      <c r="VIB218" s="50"/>
      <c r="VIC218" s="50"/>
      <c r="VID218" s="50"/>
      <c r="VIE218" s="50"/>
      <c r="VIF218" s="50"/>
      <c r="VIG218" s="50"/>
      <c r="VIH218" s="50"/>
      <c r="VII218" s="50"/>
      <c r="VIJ218" s="50"/>
      <c r="VIK218" s="50"/>
      <c r="VIL218" s="50"/>
      <c r="VIM218" s="50"/>
      <c r="VIN218" s="50"/>
      <c r="VIO218" s="50"/>
      <c r="VIP218" s="50"/>
      <c r="VIQ218" s="50"/>
      <c r="VIR218" s="50"/>
      <c r="VIS218" s="50"/>
      <c r="VIT218" s="50"/>
      <c r="VIU218" s="50"/>
      <c r="VIV218" s="50"/>
      <c r="VIW218" s="50"/>
      <c r="VIX218" s="50"/>
      <c r="VIY218" s="50"/>
      <c r="VIZ218" s="50"/>
      <c r="VJA218" s="50"/>
      <c r="VJB218" s="50"/>
      <c r="VJC218" s="50"/>
      <c r="VJD218" s="50"/>
      <c r="VJE218" s="50"/>
      <c r="VJF218" s="50"/>
      <c r="VJG218" s="50"/>
      <c r="VJH218" s="50"/>
      <c r="VJI218" s="50"/>
      <c r="VJJ218" s="50"/>
      <c r="VJK218" s="50"/>
      <c r="VJL218" s="50"/>
      <c r="VJM218" s="50"/>
      <c r="VJN218" s="50"/>
      <c r="VJO218" s="50"/>
      <c r="VJP218" s="50"/>
      <c r="VJQ218" s="50"/>
      <c r="VJR218" s="50"/>
      <c r="VJS218" s="50"/>
      <c r="VJT218" s="50"/>
      <c r="VJU218" s="50"/>
      <c r="VJV218" s="50"/>
      <c r="VJW218" s="50"/>
      <c r="VJX218" s="50"/>
      <c r="VJY218" s="50"/>
      <c r="VJZ218" s="50"/>
      <c r="VKA218" s="50"/>
      <c r="VKB218" s="50"/>
      <c r="VKC218" s="50"/>
      <c r="VKD218" s="50"/>
      <c r="VKE218" s="50"/>
      <c r="VKF218" s="50"/>
      <c r="VKG218" s="50"/>
      <c r="VKH218" s="50"/>
      <c r="VKI218" s="50"/>
      <c r="VKJ218" s="50"/>
      <c r="VKK218" s="50"/>
      <c r="VKL218" s="50"/>
      <c r="VKM218" s="50"/>
      <c r="VKN218" s="50"/>
      <c r="VKO218" s="50"/>
      <c r="VKP218" s="50"/>
      <c r="VKQ218" s="50"/>
      <c r="VKR218" s="50"/>
      <c r="VKS218" s="50"/>
      <c r="VKT218" s="50"/>
      <c r="VKU218" s="50"/>
      <c r="VKV218" s="50"/>
      <c r="VKW218" s="50"/>
      <c r="VKX218" s="50"/>
      <c r="VKY218" s="50"/>
      <c r="VKZ218" s="50"/>
      <c r="VLA218" s="50"/>
      <c r="VLB218" s="50"/>
      <c r="VLC218" s="50"/>
      <c r="VLD218" s="50"/>
      <c r="VLE218" s="50"/>
      <c r="VLF218" s="50"/>
      <c r="VLG218" s="50"/>
      <c r="VLH218" s="50"/>
      <c r="VLI218" s="50"/>
      <c r="VLJ218" s="50"/>
      <c r="VLK218" s="50"/>
      <c r="VLL218" s="50"/>
      <c r="VLM218" s="50"/>
      <c r="VLN218" s="50"/>
      <c r="VLO218" s="50"/>
      <c r="VLP218" s="50"/>
      <c r="VLQ218" s="50"/>
      <c r="VLR218" s="50"/>
      <c r="VLS218" s="50"/>
      <c r="VLT218" s="50"/>
      <c r="VLU218" s="50"/>
      <c r="VLV218" s="50"/>
      <c r="VLW218" s="50"/>
      <c r="VLX218" s="50"/>
      <c r="VLY218" s="50"/>
      <c r="VLZ218" s="50"/>
      <c r="VMA218" s="50"/>
      <c r="VMB218" s="50"/>
      <c r="VMC218" s="50"/>
      <c r="VMD218" s="50"/>
      <c r="VME218" s="50"/>
      <c r="VMF218" s="50"/>
      <c r="VMG218" s="50"/>
      <c r="VMH218" s="50"/>
      <c r="VMI218" s="50"/>
      <c r="VMJ218" s="50"/>
      <c r="VMK218" s="50"/>
      <c r="VML218" s="50"/>
      <c r="VMM218" s="50"/>
      <c r="VMN218" s="50"/>
      <c r="VMO218" s="50"/>
      <c r="VMP218" s="50"/>
      <c r="VMQ218" s="50"/>
      <c r="VMR218" s="50"/>
      <c r="VMS218" s="50"/>
      <c r="VMT218" s="50"/>
      <c r="VMU218" s="50"/>
      <c r="VMV218" s="50"/>
      <c r="VMW218" s="50"/>
      <c r="VMX218" s="50"/>
      <c r="VMY218" s="50"/>
      <c r="VMZ218" s="50"/>
      <c r="VNA218" s="50"/>
      <c r="VNB218" s="50"/>
      <c r="VNC218" s="50"/>
      <c r="VND218" s="50"/>
      <c r="VNE218" s="50"/>
      <c r="VNF218" s="50"/>
      <c r="VNG218" s="50"/>
      <c r="VNH218" s="50"/>
      <c r="VNI218" s="50"/>
      <c r="VNJ218" s="50"/>
      <c r="VNK218" s="50"/>
      <c r="VNL218" s="50"/>
      <c r="VNM218" s="50"/>
      <c r="VNN218" s="50"/>
      <c r="VNO218" s="50"/>
      <c r="VNP218" s="50"/>
      <c r="VNQ218" s="50"/>
      <c r="VNR218" s="50"/>
      <c r="VNS218" s="50"/>
      <c r="VNT218" s="50"/>
      <c r="VNU218" s="50"/>
      <c r="VNV218" s="50"/>
      <c r="VNW218" s="50"/>
      <c r="VNX218" s="50"/>
      <c r="VNY218" s="50"/>
      <c r="VNZ218" s="50"/>
      <c r="VOA218" s="50"/>
      <c r="VOB218" s="50"/>
      <c r="VOC218" s="50"/>
      <c r="VOD218" s="50"/>
      <c r="VOE218" s="50"/>
      <c r="VOF218" s="50"/>
      <c r="VOG218" s="50"/>
      <c r="VOH218" s="50"/>
      <c r="VOI218" s="50"/>
      <c r="VOJ218" s="50"/>
      <c r="VOK218" s="50"/>
      <c r="VOL218" s="50"/>
      <c r="VOM218" s="50"/>
      <c r="VON218" s="50"/>
      <c r="VOO218" s="50"/>
      <c r="VOP218" s="50"/>
      <c r="VOQ218" s="50"/>
      <c r="VOR218" s="50"/>
      <c r="VOS218" s="50"/>
      <c r="VOT218" s="50"/>
      <c r="VOU218" s="50"/>
      <c r="VOV218" s="50"/>
      <c r="VOW218" s="50"/>
      <c r="VOX218" s="50"/>
      <c r="VOY218" s="50"/>
      <c r="VOZ218" s="50"/>
      <c r="VPA218" s="50"/>
      <c r="VPB218" s="50"/>
      <c r="VPC218" s="50"/>
      <c r="VPD218" s="50"/>
      <c r="VPE218" s="50"/>
      <c r="VPF218" s="50"/>
      <c r="VPG218" s="50"/>
      <c r="VPH218" s="50"/>
      <c r="VPI218" s="50"/>
      <c r="VPJ218" s="50"/>
      <c r="VPK218" s="50"/>
      <c r="VPL218" s="50"/>
      <c r="VPM218" s="50"/>
      <c r="VPN218" s="50"/>
      <c r="VPO218" s="50"/>
      <c r="VPP218" s="50"/>
      <c r="VPQ218" s="50"/>
      <c r="VPR218" s="50"/>
      <c r="VPS218" s="50"/>
      <c r="VPT218" s="50"/>
      <c r="VPU218" s="50"/>
      <c r="VPV218" s="50"/>
      <c r="VPW218" s="50"/>
      <c r="VPX218" s="50"/>
      <c r="VPY218" s="50"/>
      <c r="VPZ218" s="50"/>
      <c r="VQA218" s="50"/>
      <c r="VQB218" s="50"/>
      <c r="VQC218" s="50"/>
      <c r="VQD218" s="50"/>
      <c r="VQE218" s="50"/>
      <c r="VQF218" s="50"/>
      <c r="VQG218" s="50"/>
      <c r="VQH218" s="50"/>
      <c r="VQI218" s="50"/>
      <c r="VQJ218" s="50"/>
      <c r="VQK218" s="50"/>
      <c r="VQL218" s="50"/>
      <c r="VQM218" s="50"/>
      <c r="VQN218" s="50"/>
      <c r="VQO218" s="50"/>
      <c r="VQP218" s="50"/>
      <c r="VQQ218" s="50"/>
      <c r="VQR218" s="50"/>
      <c r="VQS218" s="50"/>
      <c r="VQT218" s="50"/>
      <c r="VQU218" s="50"/>
      <c r="VQV218" s="50"/>
      <c r="VQW218" s="50"/>
      <c r="VQX218" s="50"/>
      <c r="VQY218" s="50"/>
      <c r="VQZ218" s="50"/>
      <c r="VRA218" s="50"/>
      <c r="VRB218" s="50"/>
      <c r="VRC218" s="50"/>
      <c r="VRD218" s="50"/>
      <c r="VRE218" s="50"/>
      <c r="VRF218" s="50"/>
      <c r="VRG218" s="50"/>
      <c r="VRH218" s="50"/>
      <c r="VRI218" s="50"/>
      <c r="VRJ218" s="50"/>
      <c r="VRK218" s="50"/>
      <c r="VRL218" s="50"/>
      <c r="VRM218" s="50"/>
      <c r="VRN218" s="50"/>
      <c r="VRO218" s="50"/>
      <c r="VRP218" s="50"/>
      <c r="VRQ218" s="50"/>
      <c r="VRR218" s="50"/>
      <c r="VRS218" s="50"/>
      <c r="VRT218" s="50"/>
      <c r="VRU218" s="50"/>
      <c r="VRV218" s="50"/>
      <c r="VRW218" s="50"/>
      <c r="VRX218" s="50"/>
      <c r="VRY218" s="50"/>
      <c r="VRZ218" s="50"/>
      <c r="VSA218" s="50"/>
      <c r="VSB218" s="50"/>
      <c r="VSC218" s="50"/>
      <c r="VSD218" s="50"/>
      <c r="VSE218" s="50"/>
      <c r="VSF218" s="50"/>
      <c r="VSG218" s="50"/>
      <c r="VSH218" s="50"/>
      <c r="VSI218" s="50"/>
      <c r="VSJ218" s="50"/>
      <c r="VSK218" s="50"/>
      <c r="VSL218" s="50"/>
      <c r="VSM218" s="50"/>
      <c r="VSN218" s="50"/>
      <c r="VSO218" s="50"/>
      <c r="VSP218" s="50"/>
      <c r="VSQ218" s="50"/>
      <c r="VSR218" s="50"/>
      <c r="VSS218" s="50"/>
      <c r="VST218" s="50"/>
      <c r="VSU218" s="50"/>
      <c r="VSV218" s="50"/>
      <c r="VSW218" s="50"/>
      <c r="VSX218" s="50"/>
      <c r="VSY218" s="50"/>
      <c r="VSZ218" s="50"/>
      <c r="VTA218" s="50"/>
      <c r="VTB218" s="50"/>
      <c r="VTC218" s="50"/>
      <c r="VTD218" s="50"/>
      <c r="VTE218" s="50"/>
      <c r="VTF218" s="50"/>
      <c r="VTG218" s="50"/>
      <c r="VTH218" s="50"/>
      <c r="VTI218" s="50"/>
      <c r="VTJ218" s="50"/>
      <c r="VTK218" s="50"/>
      <c r="VTL218" s="50"/>
      <c r="VTM218" s="50"/>
      <c r="VTN218" s="50"/>
      <c r="VTO218" s="50"/>
      <c r="VTP218" s="50"/>
      <c r="VTQ218" s="50"/>
      <c r="VTR218" s="50"/>
      <c r="VTS218" s="50"/>
      <c r="VTT218" s="50"/>
      <c r="VTU218" s="50"/>
      <c r="VTV218" s="50"/>
      <c r="VTW218" s="50"/>
      <c r="VTX218" s="50"/>
      <c r="VTY218" s="50"/>
      <c r="VTZ218" s="50"/>
      <c r="VUA218" s="50"/>
      <c r="VUB218" s="50"/>
      <c r="VUC218" s="50"/>
      <c r="VUD218" s="50"/>
      <c r="VUE218" s="50"/>
      <c r="VUF218" s="50"/>
      <c r="VUG218" s="50"/>
      <c r="VUH218" s="50"/>
      <c r="VUI218" s="50"/>
      <c r="VUJ218" s="50"/>
      <c r="VUK218" s="50"/>
      <c r="VUL218" s="50"/>
      <c r="VUM218" s="50"/>
      <c r="VUN218" s="50"/>
      <c r="VUO218" s="50"/>
      <c r="VUP218" s="50"/>
      <c r="VUQ218" s="50"/>
      <c r="VUR218" s="50"/>
      <c r="VUS218" s="50"/>
      <c r="VUT218" s="50"/>
      <c r="VUU218" s="50"/>
      <c r="VUV218" s="50"/>
      <c r="VUW218" s="50"/>
      <c r="VUX218" s="50"/>
      <c r="VUY218" s="50"/>
      <c r="VUZ218" s="50"/>
      <c r="VVA218" s="50"/>
      <c r="VVB218" s="50"/>
      <c r="VVC218" s="50"/>
      <c r="VVD218" s="50"/>
      <c r="VVE218" s="50"/>
      <c r="VVF218" s="50"/>
      <c r="VVG218" s="50"/>
      <c r="VVH218" s="50"/>
      <c r="VVI218" s="50"/>
      <c r="VVJ218" s="50"/>
      <c r="VVK218" s="50"/>
      <c r="VVL218" s="50"/>
      <c r="VVM218" s="50"/>
      <c r="VVN218" s="50"/>
    </row>
    <row r="219" spans="2:100 15066:15458" s="1" customFormat="1" x14ac:dyDescent="0.25">
      <c r="B219" s="15"/>
      <c r="C219" s="247" t="s">
        <v>21</v>
      </c>
      <c r="D219" s="264">
        <v>292</v>
      </c>
      <c r="E219" s="248" t="s">
        <v>19</v>
      </c>
      <c r="F219" s="311">
        <v>152.59775089766936</v>
      </c>
      <c r="G219" s="311">
        <v>153.19365129933504</v>
      </c>
      <c r="H219" s="311">
        <v>154.86000104784401</v>
      </c>
      <c r="I219" s="311">
        <v>154.76296307302022</v>
      </c>
      <c r="J219" s="311">
        <v>92.739769273172143</v>
      </c>
      <c r="K219" s="311">
        <v>121.63012408789197</v>
      </c>
      <c r="L219" s="311">
        <v>45.186403421510867</v>
      </c>
      <c r="M219" s="311">
        <v>92.427139752047481</v>
      </c>
      <c r="N219" s="311">
        <v>66.70532907362832</v>
      </c>
      <c r="O219" s="311">
        <v>154.22106314884741</v>
      </c>
      <c r="P219" s="311">
        <f>'Convert Gas'!J18</f>
        <v>100.24841192556123</v>
      </c>
      <c r="Q219" s="311">
        <f>'Convert Gas'!J19</f>
        <v>94.909879022857169</v>
      </c>
      <c r="R219" s="311">
        <f>'Convert Gas'!J20</f>
        <v>249.80368224176661</v>
      </c>
      <c r="S219" s="311">
        <f>'Convert Gas'!J21</f>
        <v>222.29675491646282</v>
      </c>
      <c r="T219" s="311"/>
      <c r="U219" s="311"/>
      <c r="V219" s="311"/>
      <c r="W219" s="311"/>
      <c r="X219" s="311"/>
      <c r="Y219" s="311"/>
      <c r="Z219" s="311"/>
      <c r="AA219" s="311"/>
      <c r="AB219" s="311"/>
      <c r="AC219" s="311"/>
      <c r="AD219" s="311"/>
      <c r="AE219" s="311"/>
      <c r="AF219" s="311"/>
      <c r="AG219" s="311"/>
      <c r="AH219" s="311"/>
      <c r="AI219" s="311"/>
      <c r="AJ219" s="311"/>
      <c r="AL219" s="124">
        <f>SUM(F219:AI219)</f>
        <v>1855.5829231816144</v>
      </c>
      <c r="CU219" s="40"/>
      <c r="CV219" s="151"/>
      <c r="VGL219" s="50"/>
      <c r="VGM219" s="50"/>
      <c r="VGN219" s="50"/>
      <c r="VGO219" s="50"/>
      <c r="VGP219" s="50"/>
      <c r="VGQ219" s="50"/>
      <c r="VGR219" s="50"/>
      <c r="VGS219" s="50"/>
      <c r="VGT219" s="50"/>
      <c r="VGU219" s="50"/>
      <c r="VGV219" s="50"/>
      <c r="VGW219" s="50"/>
      <c r="VGX219" s="50"/>
      <c r="VGY219" s="50"/>
      <c r="VGZ219" s="50"/>
      <c r="VHA219" s="50"/>
      <c r="VHB219" s="50"/>
      <c r="VHC219" s="50"/>
      <c r="VHD219" s="50"/>
      <c r="VHE219" s="50"/>
      <c r="VHF219" s="50"/>
      <c r="VHG219" s="50"/>
      <c r="VHH219" s="50"/>
      <c r="VHI219" s="50"/>
      <c r="VHJ219" s="50"/>
      <c r="VHK219" s="50"/>
      <c r="VHL219" s="50"/>
      <c r="VHM219" s="50"/>
      <c r="VHN219" s="50"/>
      <c r="VHO219" s="50"/>
      <c r="VHP219" s="50"/>
      <c r="VHQ219" s="50"/>
      <c r="VHR219" s="50"/>
      <c r="VHS219" s="50"/>
      <c r="VHT219" s="50"/>
      <c r="VHU219" s="50"/>
      <c r="VHV219" s="50"/>
      <c r="VHW219" s="50"/>
      <c r="VHX219" s="50"/>
      <c r="VHY219" s="50"/>
      <c r="VHZ219" s="50"/>
      <c r="VIA219" s="50"/>
      <c r="VIB219" s="50"/>
      <c r="VIC219" s="50"/>
      <c r="VID219" s="50"/>
      <c r="VIE219" s="50"/>
      <c r="VIF219" s="50"/>
      <c r="VIG219" s="50"/>
      <c r="VIH219" s="50"/>
      <c r="VII219" s="50"/>
      <c r="VIJ219" s="50"/>
      <c r="VIK219" s="50"/>
      <c r="VIL219" s="50"/>
      <c r="VIM219" s="50"/>
      <c r="VIN219" s="50"/>
      <c r="VIO219" s="50"/>
      <c r="VIP219" s="50"/>
      <c r="VIQ219" s="50"/>
      <c r="VIR219" s="50"/>
      <c r="VIS219" s="50"/>
      <c r="VIT219" s="50"/>
      <c r="VIU219" s="50"/>
      <c r="VIV219" s="50"/>
      <c r="VIW219" s="50"/>
      <c r="VIX219" s="50"/>
      <c r="VIY219" s="50"/>
      <c r="VIZ219" s="50"/>
      <c r="VJA219" s="50"/>
      <c r="VJB219" s="50"/>
      <c r="VJC219" s="50"/>
      <c r="VJD219" s="50"/>
      <c r="VJE219" s="50"/>
      <c r="VJF219" s="50"/>
      <c r="VJG219" s="50"/>
      <c r="VJH219" s="50"/>
      <c r="VJI219" s="50"/>
      <c r="VJJ219" s="50"/>
      <c r="VJK219" s="50"/>
      <c r="VJL219" s="50"/>
      <c r="VJM219" s="50"/>
      <c r="VJN219" s="50"/>
      <c r="VJO219" s="50"/>
      <c r="VJP219" s="50"/>
      <c r="VJQ219" s="50"/>
      <c r="VJR219" s="50"/>
      <c r="VJS219" s="50"/>
      <c r="VJT219" s="50"/>
      <c r="VJU219" s="50"/>
      <c r="VJV219" s="50"/>
      <c r="VJW219" s="50"/>
      <c r="VJX219" s="50"/>
      <c r="VJY219" s="50"/>
      <c r="VJZ219" s="50"/>
      <c r="VKA219" s="50"/>
      <c r="VKB219" s="50"/>
      <c r="VKC219" s="50"/>
      <c r="VKD219" s="50"/>
      <c r="VKE219" s="50"/>
      <c r="VKF219" s="50"/>
      <c r="VKG219" s="50"/>
      <c r="VKH219" s="50"/>
      <c r="VKI219" s="50"/>
      <c r="VKJ219" s="50"/>
      <c r="VKK219" s="50"/>
      <c r="VKL219" s="50"/>
      <c r="VKM219" s="50"/>
      <c r="VKN219" s="50"/>
      <c r="VKO219" s="50"/>
      <c r="VKP219" s="50"/>
      <c r="VKQ219" s="50"/>
      <c r="VKR219" s="50"/>
      <c r="VKS219" s="50"/>
      <c r="VKT219" s="50"/>
      <c r="VKU219" s="50"/>
      <c r="VKV219" s="50"/>
      <c r="VKW219" s="50"/>
      <c r="VKX219" s="50"/>
      <c r="VKY219" s="50"/>
      <c r="VKZ219" s="50"/>
      <c r="VLA219" s="50"/>
      <c r="VLB219" s="50"/>
      <c r="VLC219" s="50"/>
      <c r="VLD219" s="50"/>
      <c r="VLE219" s="50"/>
      <c r="VLF219" s="50"/>
      <c r="VLG219" s="50"/>
      <c r="VLH219" s="50"/>
      <c r="VLI219" s="50"/>
      <c r="VLJ219" s="50"/>
      <c r="VLK219" s="50"/>
      <c r="VLL219" s="50"/>
      <c r="VLM219" s="50"/>
      <c r="VLN219" s="50"/>
      <c r="VLO219" s="50"/>
      <c r="VLP219" s="50"/>
      <c r="VLQ219" s="50"/>
      <c r="VLR219" s="50"/>
      <c r="VLS219" s="50"/>
      <c r="VLT219" s="50"/>
      <c r="VLU219" s="50"/>
      <c r="VLV219" s="50"/>
      <c r="VLW219" s="50"/>
      <c r="VLX219" s="50"/>
      <c r="VLY219" s="50"/>
      <c r="VLZ219" s="50"/>
      <c r="VMA219" s="50"/>
      <c r="VMB219" s="50"/>
      <c r="VMC219" s="50"/>
      <c r="VMD219" s="50"/>
      <c r="VME219" s="50"/>
      <c r="VMF219" s="50"/>
      <c r="VMG219" s="50"/>
      <c r="VMH219" s="50"/>
      <c r="VMI219" s="50"/>
      <c r="VMJ219" s="50"/>
      <c r="VMK219" s="50"/>
      <c r="VML219" s="50"/>
      <c r="VMM219" s="50"/>
      <c r="VMN219" s="50"/>
      <c r="VMO219" s="50"/>
      <c r="VMP219" s="50"/>
      <c r="VMQ219" s="50"/>
      <c r="VMR219" s="50"/>
      <c r="VMS219" s="50"/>
      <c r="VMT219" s="50"/>
      <c r="VMU219" s="50"/>
      <c r="VMV219" s="50"/>
      <c r="VMW219" s="50"/>
      <c r="VMX219" s="50"/>
      <c r="VMY219" s="50"/>
      <c r="VMZ219" s="50"/>
      <c r="VNA219" s="50"/>
      <c r="VNB219" s="50"/>
      <c r="VNC219" s="50"/>
      <c r="VND219" s="50"/>
      <c r="VNE219" s="50"/>
      <c r="VNF219" s="50"/>
      <c r="VNG219" s="50"/>
      <c r="VNH219" s="50"/>
      <c r="VNI219" s="50"/>
      <c r="VNJ219" s="50"/>
      <c r="VNK219" s="50"/>
      <c r="VNL219" s="50"/>
      <c r="VNM219" s="50"/>
      <c r="VNN219" s="50"/>
      <c r="VNO219" s="50"/>
      <c r="VNP219" s="50"/>
      <c r="VNQ219" s="50"/>
      <c r="VNR219" s="50"/>
      <c r="VNS219" s="50"/>
      <c r="VNT219" s="50"/>
      <c r="VNU219" s="50"/>
      <c r="VNV219" s="50"/>
      <c r="VNW219" s="50"/>
      <c r="VNX219" s="50"/>
      <c r="VNY219" s="50"/>
      <c r="VNZ219" s="50"/>
      <c r="VOA219" s="50"/>
      <c r="VOB219" s="50"/>
      <c r="VOC219" s="50"/>
      <c r="VOD219" s="50"/>
      <c r="VOE219" s="50"/>
      <c r="VOF219" s="50"/>
      <c r="VOG219" s="50"/>
      <c r="VOH219" s="50"/>
      <c r="VOI219" s="50"/>
      <c r="VOJ219" s="50"/>
      <c r="VOK219" s="50"/>
      <c r="VOL219" s="50"/>
      <c r="VOM219" s="50"/>
      <c r="VON219" s="50"/>
      <c r="VOO219" s="50"/>
      <c r="VOP219" s="50"/>
      <c r="VOQ219" s="50"/>
      <c r="VOR219" s="50"/>
      <c r="VOS219" s="50"/>
      <c r="VOT219" s="50"/>
      <c r="VOU219" s="50"/>
      <c r="VOV219" s="50"/>
      <c r="VOW219" s="50"/>
      <c r="VOX219" s="50"/>
      <c r="VOY219" s="50"/>
      <c r="VOZ219" s="50"/>
      <c r="VPA219" s="50"/>
      <c r="VPB219" s="50"/>
      <c r="VPC219" s="50"/>
      <c r="VPD219" s="50"/>
      <c r="VPE219" s="50"/>
      <c r="VPF219" s="50"/>
      <c r="VPG219" s="50"/>
      <c r="VPH219" s="50"/>
      <c r="VPI219" s="50"/>
      <c r="VPJ219" s="50"/>
      <c r="VPK219" s="50"/>
      <c r="VPL219" s="50"/>
      <c r="VPM219" s="50"/>
      <c r="VPN219" s="50"/>
      <c r="VPO219" s="50"/>
      <c r="VPP219" s="50"/>
      <c r="VPQ219" s="50"/>
      <c r="VPR219" s="50"/>
      <c r="VPS219" s="50"/>
      <c r="VPT219" s="50"/>
      <c r="VPU219" s="50"/>
      <c r="VPV219" s="50"/>
      <c r="VPW219" s="50"/>
      <c r="VPX219" s="50"/>
      <c r="VPY219" s="50"/>
      <c r="VPZ219" s="50"/>
      <c r="VQA219" s="50"/>
      <c r="VQB219" s="50"/>
      <c r="VQC219" s="50"/>
      <c r="VQD219" s="50"/>
      <c r="VQE219" s="50"/>
      <c r="VQF219" s="50"/>
      <c r="VQG219" s="50"/>
      <c r="VQH219" s="50"/>
      <c r="VQI219" s="50"/>
      <c r="VQJ219" s="50"/>
      <c r="VQK219" s="50"/>
      <c r="VQL219" s="50"/>
      <c r="VQM219" s="50"/>
      <c r="VQN219" s="50"/>
      <c r="VQO219" s="50"/>
      <c r="VQP219" s="50"/>
      <c r="VQQ219" s="50"/>
      <c r="VQR219" s="50"/>
      <c r="VQS219" s="50"/>
      <c r="VQT219" s="50"/>
      <c r="VQU219" s="50"/>
      <c r="VQV219" s="50"/>
      <c r="VQW219" s="50"/>
      <c r="VQX219" s="50"/>
      <c r="VQY219" s="50"/>
      <c r="VQZ219" s="50"/>
      <c r="VRA219" s="50"/>
      <c r="VRB219" s="50"/>
      <c r="VRC219" s="50"/>
      <c r="VRD219" s="50"/>
      <c r="VRE219" s="50"/>
      <c r="VRF219" s="50"/>
      <c r="VRG219" s="50"/>
      <c r="VRH219" s="50"/>
      <c r="VRI219" s="50"/>
      <c r="VRJ219" s="50"/>
      <c r="VRK219" s="50"/>
      <c r="VRL219" s="50"/>
      <c r="VRM219" s="50"/>
      <c r="VRN219" s="50"/>
      <c r="VRO219" s="50"/>
      <c r="VRP219" s="50"/>
      <c r="VRQ219" s="50"/>
      <c r="VRR219" s="50"/>
      <c r="VRS219" s="50"/>
      <c r="VRT219" s="50"/>
      <c r="VRU219" s="50"/>
      <c r="VRV219" s="50"/>
      <c r="VRW219" s="50"/>
      <c r="VRX219" s="50"/>
      <c r="VRY219" s="50"/>
      <c r="VRZ219" s="50"/>
      <c r="VSA219" s="50"/>
      <c r="VSB219" s="50"/>
      <c r="VSC219" s="50"/>
      <c r="VSD219" s="50"/>
      <c r="VSE219" s="50"/>
      <c r="VSF219" s="50"/>
      <c r="VSG219" s="50"/>
      <c r="VSH219" s="50"/>
      <c r="VSI219" s="50"/>
      <c r="VSJ219" s="50"/>
      <c r="VSK219" s="50"/>
      <c r="VSL219" s="50"/>
      <c r="VSM219" s="50"/>
      <c r="VSN219" s="50"/>
      <c r="VSO219" s="50"/>
      <c r="VSP219" s="50"/>
      <c r="VSQ219" s="50"/>
      <c r="VSR219" s="50"/>
      <c r="VSS219" s="50"/>
      <c r="VST219" s="50"/>
      <c r="VSU219" s="50"/>
      <c r="VSV219" s="50"/>
      <c r="VSW219" s="50"/>
      <c r="VSX219" s="50"/>
      <c r="VSY219" s="50"/>
      <c r="VSZ219" s="50"/>
      <c r="VTA219" s="50"/>
      <c r="VTB219" s="50"/>
      <c r="VTC219" s="50"/>
      <c r="VTD219" s="50"/>
      <c r="VTE219" s="50"/>
      <c r="VTF219" s="50"/>
      <c r="VTG219" s="50"/>
      <c r="VTH219" s="50"/>
      <c r="VTI219" s="50"/>
      <c r="VTJ219" s="50"/>
      <c r="VTK219" s="50"/>
      <c r="VTL219" s="50"/>
      <c r="VTM219" s="50"/>
      <c r="VTN219" s="50"/>
      <c r="VTO219" s="50"/>
      <c r="VTP219" s="50"/>
      <c r="VTQ219" s="50"/>
      <c r="VTR219" s="50"/>
      <c r="VTS219" s="50"/>
      <c r="VTT219" s="50"/>
      <c r="VTU219" s="50"/>
      <c r="VTV219" s="50"/>
      <c r="VTW219" s="50"/>
      <c r="VTX219" s="50"/>
      <c r="VTY219" s="50"/>
      <c r="VTZ219" s="50"/>
      <c r="VUA219" s="50"/>
      <c r="VUB219" s="50"/>
      <c r="VUC219" s="50"/>
      <c r="VUD219" s="50"/>
      <c r="VUE219" s="50"/>
      <c r="VUF219" s="50"/>
      <c r="VUG219" s="50"/>
      <c r="VUH219" s="50"/>
      <c r="VUI219" s="50"/>
      <c r="VUJ219" s="50"/>
      <c r="VUK219" s="50"/>
      <c r="VUL219" s="50"/>
      <c r="VUM219" s="50"/>
      <c r="VUN219" s="50"/>
      <c r="VUO219" s="50"/>
      <c r="VUP219" s="50"/>
      <c r="VUQ219" s="50"/>
      <c r="VUR219" s="50"/>
      <c r="VUS219" s="50"/>
      <c r="VUT219" s="50"/>
      <c r="VUU219" s="50"/>
      <c r="VUV219" s="50"/>
      <c r="VUW219" s="50"/>
      <c r="VUX219" s="50"/>
      <c r="VUY219" s="50"/>
      <c r="VUZ219" s="50"/>
      <c r="VVA219" s="50"/>
      <c r="VVB219" s="50"/>
      <c r="VVC219" s="50"/>
      <c r="VVD219" s="50"/>
      <c r="VVE219" s="50"/>
      <c r="VVF219" s="50"/>
      <c r="VVG219" s="50"/>
      <c r="VVH219" s="50"/>
      <c r="VVI219" s="50"/>
      <c r="VVJ219" s="50"/>
      <c r="VVK219" s="50"/>
      <c r="VVL219" s="50"/>
      <c r="VVM219" s="50"/>
      <c r="VVN219" s="50"/>
    </row>
    <row r="220" spans="2:100 15066:15458" s="1" customFormat="1" x14ac:dyDescent="0.25">
      <c r="B220" s="15"/>
      <c r="C220" s="14" t="s">
        <v>20</v>
      </c>
      <c r="D220" s="264">
        <v>1168.001</v>
      </c>
      <c r="E220" s="20" t="s">
        <v>19</v>
      </c>
      <c r="F220" s="312">
        <f>F217-F219</f>
        <v>1025.5769491023307</v>
      </c>
      <c r="G220" s="312">
        <f>G217-G219</f>
        <v>1035.272848700665</v>
      </c>
      <c r="H220" s="312">
        <f>H217-H219</f>
        <v>1074.9731989521561</v>
      </c>
      <c r="I220" s="312">
        <f>I217-I219</f>
        <v>1068.6486369269796</v>
      </c>
      <c r="J220" s="312">
        <f t="shared" ref="J220:AJ220" si="55">J217-J219</f>
        <v>978.73533072682801</v>
      </c>
      <c r="K220" s="312">
        <f t="shared" si="55"/>
        <v>937.67297591210809</v>
      </c>
      <c r="L220" s="312">
        <f t="shared" si="55"/>
        <v>897.1531965784892</v>
      </c>
      <c r="M220" s="312">
        <f t="shared" si="55"/>
        <v>612.69246024795257</v>
      </c>
      <c r="N220" s="312">
        <f t="shared" si="55"/>
        <v>921.66317092637178</v>
      </c>
      <c r="O220" s="312">
        <f t="shared" si="55"/>
        <v>924.53753685115248</v>
      </c>
      <c r="P220" s="312">
        <f>P217-P219</f>
        <v>1138.7882880744389</v>
      </c>
      <c r="Q220" s="312">
        <f t="shared" si="55"/>
        <v>1141.5324209771427</v>
      </c>
      <c r="R220" s="312">
        <f t="shared" si="55"/>
        <v>789.36181775823343</v>
      </c>
      <c r="S220" s="312">
        <f t="shared" si="55"/>
        <v>886.97134508353724</v>
      </c>
      <c r="T220" s="312">
        <f t="shared" si="55"/>
        <v>930.99080000000004</v>
      </c>
      <c r="U220" s="312">
        <f t="shared" si="55"/>
        <v>0</v>
      </c>
      <c r="V220" s="312">
        <f t="shared" si="55"/>
        <v>0</v>
      </c>
      <c r="W220" s="312">
        <f t="shared" si="55"/>
        <v>0</v>
      </c>
      <c r="X220" s="312">
        <f t="shared" si="55"/>
        <v>0</v>
      </c>
      <c r="Y220" s="312">
        <f t="shared" si="55"/>
        <v>0</v>
      </c>
      <c r="Z220" s="312">
        <f t="shared" si="55"/>
        <v>0</v>
      </c>
      <c r="AA220" s="312">
        <f t="shared" si="55"/>
        <v>0</v>
      </c>
      <c r="AB220" s="312">
        <f t="shared" si="55"/>
        <v>0</v>
      </c>
      <c r="AC220" s="312">
        <f t="shared" si="55"/>
        <v>0</v>
      </c>
      <c r="AD220" s="312">
        <f t="shared" si="55"/>
        <v>0</v>
      </c>
      <c r="AE220" s="312">
        <f t="shared" si="55"/>
        <v>0</v>
      </c>
      <c r="AF220" s="312">
        <f t="shared" si="55"/>
        <v>0</v>
      </c>
      <c r="AG220" s="312">
        <f t="shared" si="55"/>
        <v>0</v>
      </c>
      <c r="AH220" s="312">
        <f t="shared" si="55"/>
        <v>0</v>
      </c>
      <c r="AI220" s="312">
        <f t="shared" si="55"/>
        <v>0</v>
      </c>
      <c r="AJ220" s="312">
        <f t="shared" si="55"/>
        <v>0</v>
      </c>
      <c r="AL220" s="124">
        <f>SUM(F220:AI220)</f>
        <v>14364.570976818382</v>
      </c>
      <c r="CV220" s="151"/>
      <c r="VGL220" s="50"/>
      <c r="VGM220" s="50"/>
      <c r="VGN220" s="50"/>
      <c r="VGO220" s="50"/>
      <c r="VGP220" s="50"/>
      <c r="VGQ220" s="50"/>
      <c r="VGR220" s="50"/>
      <c r="VGS220" s="50"/>
      <c r="VGT220" s="50"/>
      <c r="VGU220" s="50"/>
      <c r="VGV220" s="50"/>
      <c r="VGW220" s="50"/>
      <c r="VGX220" s="50"/>
      <c r="VGY220" s="50"/>
      <c r="VGZ220" s="50"/>
      <c r="VHA220" s="50"/>
      <c r="VHB220" s="50"/>
      <c r="VHC220" s="50"/>
      <c r="VHD220" s="50"/>
      <c r="VHE220" s="50"/>
      <c r="VHF220" s="50"/>
      <c r="VHG220" s="50"/>
      <c r="VHH220" s="50"/>
      <c r="VHI220" s="50"/>
      <c r="VHJ220" s="50"/>
      <c r="VHK220" s="50"/>
      <c r="VHL220" s="50"/>
      <c r="VHM220" s="50"/>
      <c r="VHN220" s="50"/>
      <c r="VHO220" s="50"/>
      <c r="VHP220" s="50"/>
      <c r="VHQ220" s="50"/>
      <c r="VHR220" s="50"/>
      <c r="VHS220" s="50"/>
      <c r="VHT220" s="50"/>
      <c r="VHU220" s="50"/>
      <c r="VHV220" s="50"/>
      <c r="VHW220" s="50"/>
      <c r="VHX220" s="50"/>
      <c r="VHY220" s="50"/>
      <c r="VHZ220" s="50"/>
      <c r="VIA220" s="50"/>
      <c r="VIB220" s="50"/>
      <c r="VIC220" s="50"/>
      <c r="VID220" s="50"/>
      <c r="VIE220" s="50"/>
      <c r="VIF220" s="50"/>
      <c r="VIG220" s="50"/>
      <c r="VIH220" s="50"/>
      <c r="VII220" s="50"/>
      <c r="VIJ220" s="50"/>
      <c r="VIK220" s="50"/>
      <c r="VIL220" s="50"/>
      <c r="VIM220" s="50"/>
      <c r="VIN220" s="50"/>
      <c r="VIO220" s="50"/>
      <c r="VIP220" s="50"/>
      <c r="VIQ220" s="50"/>
      <c r="VIR220" s="50"/>
      <c r="VIS220" s="50"/>
      <c r="VIT220" s="50"/>
      <c r="VIU220" s="50"/>
      <c r="VIV220" s="50"/>
      <c r="VIW220" s="50"/>
      <c r="VIX220" s="50"/>
      <c r="VIY220" s="50"/>
      <c r="VIZ220" s="50"/>
      <c r="VJA220" s="50"/>
      <c r="VJB220" s="50"/>
      <c r="VJC220" s="50"/>
      <c r="VJD220" s="50"/>
      <c r="VJE220" s="50"/>
      <c r="VJF220" s="50"/>
      <c r="VJG220" s="50"/>
      <c r="VJH220" s="50"/>
      <c r="VJI220" s="50"/>
      <c r="VJJ220" s="50"/>
      <c r="VJK220" s="50"/>
      <c r="VJL220" s="50"/>
      <c r="VJM220" s="50"/>
      <c r="VJN220" s="50"/>
      <c r="VJO220" s="50"/>
      <c r="VJP220" s="50"/>
      <c r="VJQ220" s="50"/>
      <c r="VJR220" s="50"/>
      <c r="VJS220" s="50"/>
      <c r="VJT220" s="50"/>
      <c r="VJU220" s="50"/>
      <c r="VJV220" s="50"/>
      <c r="VJW220" s="50"/>
      <c r="VJX220" s="50"/>
      <c r="VJY220" s="50"/>
      <c r="VJZ220" s="50"/>
      <c r="VKA220" s="50"/>
      <c r="VKB220" s="50"/>
      <c r="VKC220" s="50"/>
      <c r="VKD220" s="50"/>
      <c r="VKE220" s="50"/>
      <c r="VKF220" s="50"/>
      <c r="VKG220" s="50"/>
      <c r="VKH220" s="50"/>
      <c r="VKI220" s="50"/>
      <c r="VKJ220" s="50"/>
      <c r="VKK220" s="50"/>
      <c r="VKL220" s="50"/>
      <c r="VKM220" s="50"/>
      <c r="VKN220" s="50"/>
      <c r="VKO220" s="50"/>
      <c r="VKP220" s="50"/>
      <c r="VKQ220" s="50"/>
      <c r="VKR220" s="50"/>
      <c r="VKS220" s="50"/>
      <c r="VKT220" s="50"/>
      <c r="VKU220" s="50"/>
      <c r="VKV220" s="50"/>
      <c r="VKW220" s="50"/>
      <c r="VKX220" s="50"/>
      <c r="VKY220" s="50"/>
      <c r="VKZ220" s="50"/>
      <c r="VLA220" s="50"/>
      <c r="VLB220" s="50"/>
      <c r="VLC220" s="50"/>
      <c r="VLD220" s="50"/>
      <c r="VLE220" s="50"/>
      <c r="VLF220" s="50"/>
      <c r="VLG220" s="50"/>
      <c r="VLH220" s="50"/>
      <c r="VLI220" s="50"/>
      <c r="VLJ220" s="50"/>
      <c r="VLK220" s="50"/>
      <c r="VLL220" s="50"/>
      <c r="VLM220" s="50"/>
      <c r="VLN220" s="50"/>
      <c r="VLO220" s="50"/>
      <c r="VLP220" s="50"/>
      <c r="VLQ220" s="50"/>
      <c r="VLR220" s="50"/>
      <c r="VLS220" s="50"/>
      <c r="VLT220" s="50"/>
      <c r="VLU220" s="50"/>
      <c r="VLV220" s="50"/>
      <c r="VLW220" s="50"/>
      <c r="VLX220" s="50"/>
      <c r="VLY220" s="50"/>
      <c r="VLZ220" s="50"/>
      <c r="VMA220" s="50"/>
      <c r="VMB220" s="50"/>
      <c r="VMC220" s="50"/>
      <c r="VMD220" s="50"/>
      <c r="VME220" s="50"/>
      <c r="VMF220" s="50"/>
      <c r="VMG220" s="50"/>
      <c r="VMH220" s="50"/>
      <c r="VMI220" s="50"/>
      <c r="VMJ220" s="50"/>
      <c r="VMK220" s="50"/>
      <c r="VML220" s="50"/>
      <c r="VMM220" s="50"/>
      <c r="VMN220" s="50"/>
      <c r="VMO220" s="50"/>
      <c r="VMP220" s="50"/>
      <c r="VMQ220" s="50"/>
      <c r="VMR220" s="50"/>
      <c r="VMS220" s="50"/>
      <c r="VMT220" s="50"/>
      <c r="VMU220" s="50"/>
      <c r="VMV220" s="50"/>
      <c r="VMW220" s="50"/>
      <c r="VMX220" s="50"/>
      <c r="VMY220" s="50"/>
      <c r="VMZ220" s="50"/>
      <c r="VNA220" s="50"/>
      <c r="VNB220" s="50"/>
      <c r="VNC220" s="50"/>
      <c r="VND220" s="50"/>
      <c r="VNE220" s="50"/>
      <c r="VNF220" s="50"/>
      <c r="VNG220" s="50"/>
      <c r="VNH220" s="50"/>
      <c r="VNI220" s="50"/>
      <c r="VNJ220" s="50"/>
      <c r="VNK220" s="50"/>
      <c r="VNL220" s="50"/>
      <c r="VNM220" s="50"/>
      <c r="VNN220" s="50"/>
      <c r="VNO220" s="50"/>
      <c r="VNP220" s="50"/>
      <c r="VNQ220" s="50"/>
      <c r="VNR220" s="50"/>
      <c r="VNS220" s="50"/>
      <c r="VNT220" s="50"/>
      <c r="VNU220" s="50"/>
      <c r="VNV220" s="50"/>
      <c r="VNW220" s="50"/>
      <c r="VNX220" s="50"/>
      <c r="VNY220" s="50"/>
      <c r="VNZ220" s="50"/>
      <c r="VOA220" s="50"/>
      <c r="VOB220" s="50"/>
      <c r="VOC220" s="50"/>
      <c r="VOD220" s="50"/>
      <c r="VOE220" s="50"/>
      <c r="VOF220" s="50"/>
      <c r="VOG220" s="50"/>
      <c r="VOH220" s="50"/>
      <c r="VOI220" s="50"/>
      <c r="VOJ220" s="50"/>
      <c r="VOK220" s="50"/>
      <c r="VOL220" s="50"/>
      <c r="VOM220" s="50"/>
      <c r="VON220" s="50"/>
      <c r="VOO220" s="50"/>
      <c r="VOP220" s="50"/>
      <c r="VOQ220" s="50"/>
      <c r="VOR220" s="50"/>
      <c r="VOS220" s="50"/>
      <c r="VOT220" s="50"/>
      <c r="VOU220" s="50"/>
      <c r="VOV220" s="50"/>
      <c r="VOW220" s="50"/>
      <c r="VOX220" s="50"/>
      <c r="VOY220" s="50"/>
      <c r="VOZ220" s="50"/>
      <c r="VPA220" s="50"/>
      <c r="VPB220" s="50"/>
      <c r="VPC220" s="50"/>
      <c r="VPD220" s="50"/>
      <c r="VPE220" s="50"/>
      <c r="VPF220" s="50"/>
      <c r="VPG220" s="50"/>
      <c r="VPH220" s="50"/>
      <c r="VPI220" s="50"/>
      <c r="VPJ220" s="50"/>
      <c r="VPK220" s="50"/>
      <c r="VPL220" s="50"/>
      <c r="VPM220" s="50"/>
      <c r="VPN220" s="50"/>
      <c r="VPO220" s="50"/>
      <c r="VPP220" s="50"/>
      <c r="VPQ220" s="50"/>
      <c r="VPR220" s="50"/>
      <c r="VPS220" s="50"/>
      <c r="VPT220" s="50"/>
      <c r="VPU220" s="50"/>
      <c r="VPV220" s="50"/>
      <c r="VPW220" s="50"/>
      <c r="VPX220" s="50"/>
      <c r="VPY220" s="50"/>
      <c r="VPZ220" s="50"/>
      <c r="VQA220" s="50"/>
      <c r="VQB220" s="50"/>
      <c r="VQC220" s="50"/>
      <c r="VQD220" s="50"/>
      <c r="VQE220" s="50"/>
      <c r="VQF220" s="50"/>
      <c r="VQG220" s="50"/>
      <c r="VQH220" s="50"/>
      <c r="VQI220" s="50"/>
      <c r="VQJ220" s="50"/>
      <c r="VQK220" s="50"/>
      <c r="VQL220" s="50"/>
      <c r="VQM220" s="50"/>
      <c r="VQN220" s="50"/>
      <c r="VQO220" s="50"/>
      <c r="VQP220" s="50"/>
      <c r="VQQ220" s="50"/>
      <c r="VQR220" s="50"/>
      <c r="VQS220" s="50"/>
      <c r="VQT220" s="50"/>
      <c r="VQU220" s="50"/>
      <c r="VQV220" s="50"/>
      <c r="VQW220" s="50"/>
      <c r="VQX220" s="50"/>
      <c r="VQY220" s="50"/>
      <c r="VQZ220" s="50"/>
      <c r="VRA220" s="50"/>
      <c r="VRB220" s="50"/>
      <c r="VRC220" s="50"/>
      <c r="VRD220" s="50"/>
      <c r="VRE220" s="50"/>
      <c r="VRF220" s="50"/>
      <c r="VRG220" s="50"/>
      <c r="VRH220" s="50"/>
      <c r="VRI220" s="50"/>
      <c r="VRJ220" s="50"/>
      <c r="VRK220" s="50"/>
      <c r="VRL220" s="50"/>
      <c r="VRM220" s="50"/>
      <c r="VRN220" s="50"/>
      <c r="VRO220" s="50"/>
      <c r="VRP220" s="50"/>
      <c r="VRQ220" s="50"/>
      <c r="VRR220" s="50"/>
      <c r="VRS220" s="50"/>
      <c r="VRT220" s="50"/>
      <c r="VRU220" s="50"/>
      <c r="VRV220" s="50"/>
      <c r="VRW220" s="50"/>
      <c r="VRX220" s="50"/>
      <c r="VRY220" s="50"/>
      <c r="VRZ220" s="50"/>
      <c r="VSA220" s="50"/>
      <c r="VSB220" s="50"/>
      <c r="VSC220" s="50"/>
      <c r="VSD220" s="50"/>
      <c r="VSE220" s="50"/>
      <c r="VSF220" s="50"/>
      <c r="VSG220" s="50"/>
      <c r="VSH220" s="50"/>
      <c r="VSI220" s="50"/>
      <c r="VSJ220" s="50"/>
      <c r="VSK220" s="50"/>
      <c r="VSL220" s="50"/>
      <c r="VSM220" s="50"/>
      <c r="VSN220" s="50"/>
      <c r="VSO220" s="50"/>
      <c r="VSP220" s="50"/>
      <c r="VSQ220" s="50"/>
      <c r="VSR220" s="50"/>
      <c r="VSS220" s="50"/>
      <c r="VST220" s="50"/>
      <c r="VSU220" s="50"/>
      <c r="VSV220" s="50"/>
      <c r="VSW220" s="50"/>
      <c r="VSX220" s="50"/>
      <c r="VSY220" s="50"/>
      <c r="VSZ220" s="50"/>
      <c r="VTA220" s="50"/>
      <c r="VTB220" s="50"/>
      <c r="VTC220" s="50"/>
      <c r="VTD220" s="50"/>
      <c r="VTE220" s="50"/>
      <c r="VTF220" s="50"/>
      <c r="VTG220" s="50"/>
      <c r="VTH220" s="50"/>
      <c r="VTI220" s="50"/>
      <c r="VTJ220" s="50"/>
      <c r="VTK220" s="50"/>
      <c r="VTL220" s="50"/>
      <c r="VTM220" s="50"/>
      <c r="VTN220" s="50"/>
      <c r="VTO220" s="50"/>
      <c r="VTP220" s="50"/>
      <c r="VTQ220" s="50"/>
      <c r="VTR220" s="50"/>
      <c r="VTS220" s="50"/>
      <c r="VTT220" s="50"/>
      <c r="VTU220" s="50"/>
      <c r="VTV220" s="50"/>
      <c r="VTW220" s="50"/>
      <c r="VTX220" s="50"/>
      <c r="VTY220" s="50"/>
      <c r="VTZ220" s="50"/>
      <c r="VUA220" s="50"/>
      <c r="VUB220" s="50"/>
      <c r="VUC220" s="50"/>
      <c r="VUD220" s="50"/>
      <c r="VUE220" s="50"/>
      <c r="VUF220" s="50"/>
      <c r="VUG220" s="50"/>
      <c r="VUH220" s="50"/>
      <c r="VUI220" s="50"/>
      <c r="VUJ220" s="50"/>
      <c r="VUK220" s="50"/>
      <c r="VUL220" s="50"/>
      <c r="VUM220" s="50"/>
      <c r="VUN220" s="50"/>
      <c r="VUO220" s="50"/>
      <c r="VUP220" s="50"/>
      <c r="VUQ220" s="50"/>
      <c r="VUR220" s="50"/>
      <c r="VUS220" s="50"/>
      <c r="VUT220" s="50"/>
      <c r="VUU220" s="50"/>
      <c r="VUV220" s="50"/>
      <c r="VUW220" s="50"/>
      <c r="VUX220" s="50"/>
      <c r="VUY220" s="50"/>
      <c r="VUZ220" s="50"/>
      <c r="VVA220" s="50"/>
      <c r="VVB220" s="50"/>
      <c r="VVC220" s="50"/>
      <c r="VVD220" s="50"/>
      <c r="VVE220" s="50"/>
      <c r="VVF220" s="50"/>
      <c r="VVG220" s="50"/>
      <c r="VVH220" s="50"/>
      <c r="VVI220" s="50"/>
      <c r="VVJ220" s="50"/>
      <c r="VVK220" s="50"/>
      <c r="VVL220" s="50"/>
      <c r="VVM220" s="50"/>
      <c r="VVN220" s="50"/>
    </row>
    <row r="221" spans="2:100 15066:15458" s="2" customFormat="1" ht="15.75" thickBot="1" x14ac:dyDescent="0.3">
      <c r="B221" s="41"/>
      <c r="C221" s="42" t="s">
        <v>1</v>
      </c>
      <c r="D221" s="273">
        <v>1460.001</v>
      </c>
      <c r="E221" s="25" t="s">
        <v>19</v>
      </c>
      <c r="F221" s="313">
        <f>F219+F220</f>
        <v>1178.1747</v>
      </c>
      <c r="G221" s="313">
        <f>G219+G220</f>
        <v>1188.4665</v>
      </c>
      <c r="H221" s="313">
        <f t="shared" ref="H221:I221" si="56">H219+H220</f>
        <v>1229.8332</v>
      </c>
      <c r="I221" s="313">
        <f t="shared" si="56"/>
        <v>1223.4115999999999</v>
      </c>
      <c r="J221" s="313">
        <f t="shared" ref="J221:AJ221" si="57">J219+J220</f>
        <v>1071.4751000000001</v>
      </c>
      <c r="K221" s="313">
        <f t="shared" si="57"/>
        <v>1059.3031000000001</v>
      </c>
      <c r="L221" s="313">
        <f t="shared" si="57"/>
        <v>942.33960000000002</v>
      </c>
      <c r="M221" s="313">
        <f t="shared" si="57"/>
        <v>705.11959999999999</v>
      </c>
      <c r="N221" s="313">
        <f t="shared" si="57"/>
        <v>988.36850000000004</v>
      </c>
      <c r="O221" s="313">
        <f t="shared" si="57"/>
        <v>1078.7585999999999</v>
      </c>
      <c r="P221" s="313">
        <f t="shared" si="57"/>
        <v>1239.0367000000001</v>
      </c>
      <c r="Q221" s="313">
        <f t="shared" si="57"/>
        <v>1236.4422999999999</v>
      </c>
      <c r="R221" s="313">
        <f t="shared" si="57"/>
        <v>1039.1655000000001</v>
      </c>
      <c r="S221" s="313">
        <f t="shared" si="57"/>
        <v>1109.2681</v>
      </c>
      <c r="T221" s="313">
        <f t="shared" si="57"/>
        <v>930.99080000000004</v>
      </c>
      <c r="U221" s="313">
        <f t="shared" si="57"/>
        <v>0</v>
      </c>
      <c r="V221" s="313">
        <f t="shared" si="57"/>
        <v>0</v>
      </c>
      <c r="W221" s="313">
        <f t="shared" si="57"/>
        <v>0</v>
      </c>
      <c r="X221" s="313">
        <f t="shared" si="57"/>
        <v>0</v>
      </c>
      <c r="Y221" s="313">
        <f t="shared" si="57"/>
        <v>0</v>
      </c>
      <c r="Z221" s="313">
        <f t="shared" si="57"/>
        <v>0</v>
      </c>
      <c r="AA221" s="313">
        <f t="shared" si="57"/>
        <v>0</v>
      </c>
      <c r="AB221" s="313">
        <f t="shared" si="57"/>
        <v>0</v>
      </c>
      <c r="AC221" s="313">
        <f t="shared" si="57"/>
        <v>0</v>
      </c>
      <c r="AD221" s="313">
        <f t="shared" si="57"/>
        <v>0</v>
      </c>
      <c r="AE221" s="313">
        <f t="shared" si="57"/>
        <v>0</v>
      </c>
      <c r="AF221" s="313">
        <f t="shared" si="57"/>
        <v>0</v>
      </c>
      <c r="AG221" s="313">
        <f t="shared" si="57"/>
        <v>0</v>
      </c>
      <c r="AH221" s="313">
        <f t="shared" si="57"/>
        <v>0</v>
      </c>
      <c r="AI221" s="313">
        <f t="shared" si="57"/>
        <v>0</v>
      </c>
      <c r="AJ221" s="313">
        <f t="shared" si="57"/>
        <v>0</v>
      </c>
      <c r="AL221" s="126">
        <f>SUM(F221:AJ221)</f>
        <v>16220.153899999999</v>
      </c>
      <c r="CV221" s="161"/>
    </row>
    <row r="222" spans="2:100 15066:15458" s="2" customFormat="1" x14ac:dyDescent="0.25">
      <c r="B222" s="8">
        <v>5</v>
      </c>
      <c r="C222" s="127" t="s">
        <v>18</v>
      </c>
      <c r="D222" s="128"/>
      <c r="E222" s="128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314"/>
      <c r="AB222" s="314"/>
      <c r="AC222" s="314"/>
      <c r="AD222" s="314"/>
      <c r="AE222" s="314"/>
      <c r="AF222" s="314"/>
      <c r="AG222" s="314"/>
      <c r="AH222" s="314"/>
      <c r="AI222" s="314"/>
      <c r="AJ222" s="314"/>
      <c r="AL222" s="146" t="s">
        <v>134</v>
      </c>
      <c r="CV222" s="161"/>
    </row>
    <row r="223" spans="2:100 15066:15458" s="2" customFormat="1" x14ac:dyDescent="0.25">
      <c r="B223" s="8"/>
      <c r="C223" s="247" t="s">
        <v>4</v>
      </c>
      <c r="D223" s="246">
        <v>408000</v>
      </c>
      <c r="E223" s="248" t="s">
        <v>14</v>
      </c>
      <c r="F223" s="315">
        <v>241524</v>
      </c>
      <c r="G223" s="315">
        <v>237588</v>
      </c>
      <c r="H223" s="315">
        <v>249457</v>
      </c>
      <c r="I223" s="315">
        <v>251894</v>
      </c>
      <c r="J223" s="315">
        <v>221006</v>
      </c>
      <c r="K223" s="315">
        <v>199401</v>
      </c>
      <c r="L223" s="315">
        <v>166164</v>
      </c>
      <c r="M223" s="315">
        <v>61305</v>
      </c>
      <c r="N223" s="315">
        <v>173809</v>
      </c>
      <c r="O223" s="315">
        <v>200985</v>
      </c>
      <c r="P223" s="315">
        <v>256386</v>
      </c>
      <c r="Q223" s="315">
        <v>245586</v>
      </c>
      <c r="R223" s="315">
        <v>174194</v>
      </c>
      <c r="S223" s="315">
        <v>212597</v>
      </c>
      <c r="T223" s="315">
        <v>147796</v>
      </c>
      <c r="U223" s="315"/>
      <c r="V223" s="315"/>
      <c r="W223" s="315"/>
      <c r="X223" s="315"/>
      <c r="Y223" s="315"/>
      <c r="Z223" s="315"/>
      <c r="AA223" s="315"/>
      <c r="AB223" s="315"/>
      <c r="AC223" s="315"/>
      <c r="AD223" s="315"/>
      <c r="AE223" s="315"/>
      <c r="AF223" s="315"/>
      <c r="AG223" s="315"/>
      <c r="AH223" s="315"/>
      <c r="AI223" s="315"/>
      <c r="AJ223" s="315"/>
      <c r="AL223" s="63">
        <f>SUM(F223:AJ223)</f>
        <v>3039692</v>
      </c>
      <c r="CV223" s="161"/>
    </row>
    <row r="224" spans="2:100 15066:15458" s="2" customFormat="1" x14ac:dyDescent="0.25">
      <c r="B224" s="8"/>
      <c r="C224" s="30" t="s">
        <v>17</v>
      </c>
      <c r="D224" s="274"/>
      <c r="E224" s="13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  <c r="AC224" s="297"/>
      <c r="AD224" s="297"/>
      <c r="AE224" s="297"/>
      <c r="AF224" s="297"/>
      <c r="AG224" s="297"/>
      <c r="AH224" s="297"/>
      <c r="AI224" s="297"/>
      <c r="AJ224" s="297"/>
      <c r="AL224" s="129" t="s">
        <v>17</v>
      </c>
      <c r="CV224" s="161"/>
    </row>
    <row r="225" spans="2:100 15066:15458" s="1" customFormat="1" x14ac:dyDescent="0.25">
      <c r="B225" s="15"/>
      <c r="C225" s="247" t="s">
        <v>16</v>
      </c>
      <c r="D225" s="246">
        <v>180000</v>
      </c>
      <c r="E225" s="248" t="s">
        <v>14</v>
      </c>
      <c r="F225" s="290">
        <v>165500</v>
      </c>
      <c r="G225" s="290">
        <v>147700</v>
      </c>
      <c r="H225" s="290">
        <v>153700</v>
      </c>
      <c r="I225" s="290">
        <v>153700</v>
      </c>
      <c r="J225" s="290">
        <v>133600</v>
      </c>
      <c r="K225" s="290">
        <v>141500</v>
      </c>
      <c r="L225" s="290">
        <v>108900</v>
      </c>
      <c r="M225" s="290">
        <v>48010</v>
      </c>
      <c r="N225" s="290">
        <v>125400</v>
      </c>
      <c r="O225" s="290">
        <v>157100</v>
      </c>
      <c r="P225" s="290">
        <v>154500</v>
      </c>
      <c r="Q225" s="290">
        <v>149800</v>
      </c>
      <c r="R225" s="290">
        <v>147300</v>
      </c>
      <c r="S225" s="290">
        <v>136400</v>
      </c>
      <c r="T225" s="290">
        <v>114000</v>
      </c>
      <c r="U225" s="290"/>
      <c r="V225" s="290"/>
      <c r="W225" s="290"/>
      <c r="X225" s="290"/>
      <c r="Y225" s="290"/>
      <c r="Z225" s="290"/>
      <c r="AA225" s="290"/>
      <c r="AB225" s="290"/>
      <c r="AC225" s="290"/>
      <c r="AD225" s="290"/>
      <c r="AE225" s="290"/>
      <c r="AF225" s="290"/>
      <c r="AG225" s="290"/>
      <c r="AH225" s="290"/>
      <c r="AI225" s="290"/>
      <c r="AJ225" s="290"/>
      <c r="AL225" s="63">
        <f>SUM(F225:AJ225)</f>
        <v>2037110</v>
      </c>
      <c r="CV225" s="151"/>
      <c r="VGL225" s="50"/>
      <c r="VGM225" s="50"/>
      <c r="VGN225" s="50"/>
      <c r="VGO225" s="50"/>
      <c r="VGP225" s="50"/>
      <c r="VGQ225" s="50"/>
      <c r="VGR225" s="50"/>
      <c r="VGS225" s="50"/>
      <c r="VGT225" s="50"/>
      <c r="VGU225" s="50"/>
      <c r="VGV225" s="50"/>
      <c r="VGW225" s="50"/>
      <c r="VGX225" s="50"/>
      <c r="VGY225" s="50"/>
      <c r="VGZ225" s="50"/>
      <c r="VHA225" s="50"/>
      <c r="VHB225" s="50"/>
      <c r="VHC225" s="50"/>
      <c r="VHD225" s="50"/>
      <c r="VHE225" s="50"/>
      <c r="VHF225" s="50"/>
      <c r="VHG225" s="50"/>
      <c r="VHH225" s="50"/>
      <c r="VHI225" s="50"/>
      <c r="VHJ225" s="50"/>
      <c r="VHK225" s="50"/>
      <c r="VHL225" s="50"/>
      <c r="VHM225" s="50"/>
      <c r="VHN225" s="50"/>
      <c r="VHO225" s="50"/>
      <c r="VHP225" s="50"/>
      <c r="VHQ225" s="50"/>
      <c r="VHR225" s="50"/>
      <c r="VHS225" s="50"/>
      <c r="VHT225" s="50"/>
      <c r="VHU225" s="50"/>
      <c r="VHV225" s="50"/>
      <c r="VHW225" s="50"/>
      <c r="VHX225" s="50"/>
      <c r="VHY225" s="50"/>
      <c r="VHZ225" s="50"/>
      <c r="VIA225" s="50"/>
      <c r="VIB225" s="50"/>
      <c r="VIC225" s="50"/>
      <c r="VID225" s="50"/>
      <c r="VIE225" s="50"/>
      <c r="VIF225" s="50"/>
      <c r="VIG225" s="50"/>
      <c r="VIH225" s="50"/>
      <c r="VII225" s="50"/>
      <c r="VIJ225" s="50"/>
      <c r="VIK225" s="50"/>
      <c r="VIL225" s="50"/>
      <c r="VIM225" s="50"/>
      <c r="VIN225" s="50"/>
      <c r="VIO225" s="50"/>
      <c r="VIP225" s="50"/>
      <c r="VIQ225" s="50"/>
      <c r="VIR225" s="50"/>
      <c r="VIS225" s="50"/>
      <c r="VIT225" s="50"/>
      <c r="VIU225" s="50"/>
      <c r="VIV225" s="50"/>
      <c r="VIW225" s="50"/>
      <c r="VIX225" s="50"/>
      <c r="VIY225" s="50"/>
      <c r="VIZ225" s="50"/>
      <c r="VJA225" s="50"/>
      <c r="VJB225" s="50"/>
      <c r="VJC225" s="50"/>
      <c r="VJD225" s="50"/>
      <c r="VJE225" s="50"/>
      <c r="VJF225" s="50"/>
      <c r="VJG225" s="50"/>
      <c r="VJH225" s="50"/>
      <c r="VJI225" s="50"/>
      <c r="VJJ225" s="50"/>
      <c r="VJK225" s="50"/>
      <c r="VJL225" s="50"/>
      <c r="VJM225" s="50"/>
      <c r="VJN225" s="50"/>
      <c r="VJO225" s="50"/>
      <c r="VJP225" s="50"/>
      <c r="VJQ225" s="50"/>
      <c r="VJR225" s="50"/>
      <c r="VJS225" s="50"/>
      <c r="VJT225" s="50"/>
      <c r="VJU225" s="50"/>
      <c r="VJV225" s="50"/>
      <c r="VJW225" s="50"/>
      <c r="VJX225" s="50"/>
      <c r="VJY225" s="50"/>
      <c r="VJZ225" s="50"/>
      <c r="VKA225" s="50"/>
      <c r="VKB225" s="50"/>
      <c r="VKC225" s="50"/>
      <c r="VKD225" s="50"/>
      <c r="VKE225" s="50"/>
      <c r="VKF225" s="50"/>
      <c r="VKG225" s="50"/>
      <c r="VKH225" s="50"/>
      <c r="VKI225" s="50"/>
      <c r="VKJ225" s="50"/>
      <c r="VKK225" s="50"/>
      <c r="VKL225" s="50"/>
      <c r="VKM225" s="50"/>
      <c r="VKN225" s="50"/>
      <c r="VKO225" s="50"/>
      <c r="VKP225" s="50"/>
      <c r="VKQ225" s="50"/>
      <c r="VKR225" s="50"/>
      <c r="VKS225" s="50"/>
      <c r="VKT225" s="50"/>
      <c r="VKU225" s="50"/>
      <c r="VKV225" s="50"/>
      <c r="VKW225" s="50"/>
      <c r="VKX225" s="50"/>
      <c r="VKY225" s="50"/>
      <c r="VKZ225" s="50"/>
      <c r="VLA225" s="50"/>
      <c r="VLB225" s="50"/>
      <c r="VLC225" s="50"/>
      <c r="VLD225" s="50"/>
      <c r="VLE225" s="50"/>
      <c r="VLF225" s="50"/>
      <c r="VLG225" s="50"/>
      <c r="VLH225" s="50"/>
      <c r="VLI225" s="50"/>
      <c r="VLJ225" s="50"/>
      <c r="VLK225" s="50"/>
      <c r="VLL225" s="50"/>
      <c r="VLM225" s="50"/>
      <c r="VLN225" s="50"/>
      <c r="VLO225" s="50"/>
      <c r="VLP225" s="50"/>
      <c r="VLQ225" s="50"/>
      <c r="VLR225" s="50"/>
      <c r="VLS225" s="50"/>
      <c r="VLT225" s="50"/>
      <c r="VLU225" s="50"/>
      <c r="VLV225" s="50"/>
      <c r="VLW225" s="50"/>
      <c r="VLX225" s="50"/>
      <c r="VLY225" s="50"/>
      <c r="VLZ225" s="50"/>
      <c r="VMA225" s="50"/>
      <c r="VMB225" s="50"/>
      <c r="VMC225" s="50"/>
      <c r="VMD225" s="50"/>
      <c r="VME225" s="50"/>
      <c r="VMF225" s="50"/>
      <c r="VMG225" s="50"/>
      <c r="VMH225" s="50"/>
      <c r="VMI225" s="50"/>
      <c r="VMJ225" s="50"/>
      <c r="VMK225" s="50"/>
      <c r="VML225" s="50"/>
      <c r="VMM225" s="50"/>
      <c r="VMN225" s="50"/>
      <c r="VMO225" s="50"/>
      <c r="VMP225" s="50"/>
      <c r="VMQ225" s="50"/>
      <c r="VMR225" s="50"/>
      <c r="VMS225" s="50"/>
      <c r="VMT225" s="50"/>
      <c r="VMU225" s="50"/>
      <c r="VMV225" s="50"/>
      <c r="VMW225" s="50"/>
      <c r="VMX225" s="50"/>
      <c r="VMY225" s="50"/>
      <c r="VMZ225" s="50"/>
      <c r="VNA225" s="50"/>
      <c r="VNB225" s="50"/>
      <c r="VNC225" s="50"/>
      <c r="VND225" s="50"/>
      <c r="VNE225" s="50"/>
      <c r="VNF225" s="50"/>
      <c r="VNG225" s="50"/>
      <c r="VNH225" s="50"/>
      <c r="VNI225" s="50"/>
      <c r="VNJ225" s="50"/>
      <c r="VNK225" s="50"/>
      <c r="VNL225" s="50"/>
      <c r="VNM225" s="50"/>
      <c r="VNN225" s="50"/>
      <c r="VNO225" s="50"/>
      <c r="VNP225" s="50"/>
      <c r="VNQ225" s="50"/>
      <c r="VNR225" s="50"/>
      <c r="VNS225" s="50"/>
      <c r="VNT225" s="50"/>
      <c r="VNU225" s="50"/>
      <c r="VNV225" s="50"/>
      <c r="VNW225" s="50"/>
      <c r="VNX225" s="50"/>
      <c r="VNY225" s="50"/>
      <c r="VNZ225" s="50"/>
      <c r="VOA225" s="50"/>
      <c r="VOB225" s="50"/>
      <c r="VOC225" s="50"/>
      <c r="VOD225" s="50"/>
      <c r="VOE225" s="50"/>
      <c r="VOF225" s="50"/>
      <c r="VOG225" s="50"/>
      <c r="VOH225" s="50"/>
      <c r="VOI225" s="50"/>
      <c r="VOJ225" s="50"/>
      <c r="VOK225" s="50"/>
      <c r="VOL225" s="50"/>
      <c r="VOM225" s="50"/>
      <c r="VON225" s="50"/>
      <c r="VOO225" s="50"/>
      <c r="VOP225" s="50"/>
      <c r="VOQ225" s="50"/>
      <c r="VOR225" s="50"/>
      <c r="VOS225" s="50"/>
      <c r="VOT225" s="50"/>
      <c r="VOU225" s="50"/>
      <c r="VOV225" s="50"/>
      <c r="VOW225" s="50"/>
      <c r="VOX225" s="50"/>
      <c r="VOY225" s="50"/>
      <c r="VOZ225" s="50"/>
      <c r="VPA225" s="50"/>
      <c r="VPB225" s="50"/>
      <c r="VPC225" s="50"/>
      <c r="VPD225" s="50"/>
      <c r="VPE225" s="50"/>
      <c r="VPF225" s="50"/>
      <c r="VPG225" s="50"/>
      <c r="VPH225" s="50"/>
      <c r="VPI225" s="50"/>
      <c r="VPJ225" s="50"/>
      <c r="VPK225" s="50"/>
      <c r="VPL225" s="50"/>
      <c r="VPM225" s="50"/>
      <c r="VPN225" s="50"/>
      <c r="VPO225" s="50"/>
      <c r="VPP225" s="50"/>
      <c r="VPQ225" s="50"/>
      <c r="VPR225" s="50"/>
      <c r="VPS225" s="50"/>
      <c r="VPT225" s="50"/>
      <c r="VPU225" s="50"/>
      <c r="VPV225" s="50"/>
      <c r="VPW225" s="50"/>
      <c r="VPX225" s="50"/>
      <c r="VPY225" s="50"/>
      <c r="VPZ225" s="50"/>
      <c r="VQA225" s="50"/>
      <c r="VQB225" s="50"/>
      <c r="VQC225" s="50"/>
      <c r="VQD225" s="50"/>
      <c r="VQE225" s="50"/>
      <c r="VQF225" s="50"/>
      <c r="VQG225" s="50"/>
      <c r="VQH225" s="50"/>
      <c r="VQI225" s="50"/>
      <c r="VQJ225" s="50"/>
      <c r="VQK225" s="50"/>
      <c r="VQL225" s="50"/>
      <c r="VQM225" s="50"/>
      <c r="VQN225" s="50"/>
      <c r="VQO225" s="50"/>
      <c r="VQP225" s="50"/>
      <c r="VQQ225" s="50"/>
      <c r="VQR225" s="50"/>
      <c r="VQS225" s="50"/>
      <c r="VQT225" s="50"/>
      <c r="VQU225" s="50"/>
      <c r="VQV225" s="50"/>
      <c r="VQW225" s="50"/>
      <c r="VQX225" s="50"/>
      <c r="VQY225" s="50"/>
      <c r="VQZ225" s="50"/>
      <c r="VRA225" s="50"/>
      <c r="VRB225" s="50"/>
      <c r="VRC225" s="50"/>
      <c r="VRD225" s="50"/>
      <c r="VRE225" s="50"/>
      <c r="VRF225" s="50"/>
      <c r="VRG225" s="50"/>
      <c r="VRH225" s="50"/>
      <c r="VRI225" s="50"/>
      <c r="VRJ225" s="50"/>
      <c r="VRK225" s="50"/>
      <c r="VRL225" s="50"/>
      <c r="VRM225" s="50"/>
      <c r="VRN225" s="50"/>
      <c r="VRO225" s="50"/>
      <c r="VRP225" s="50"/>
      <c r="VRQ225" s="50"/>
      <c r="VRR225" s="50"/>
      <c r="VRS225" s="50"/>
      <c r="VRT225" s="50"/>
      <c r="VRU225" s="50"/>
      <c r="VRV225" s="50"/>
      <c r="VRW225" s="50"/>
      <c r="VRX225" s="50"/>
      <c r="VRY225" s="50"/>
      <c r="VRZ225" s="50"/>
      <c r="VSA225" s="50"/>
      <c r="VSB225" s="50"/>
      <c r="VSC225" s="50"/>
      <c r="VSD225" s="50"/>
      <c r="VSE225" s="50"/>
      <c r="VSF225" s="50"/>
      <c r="VSG225" s="50"/>
      <c r="VSH225" s="50"/>
      <c r="VSI225" s="50"/>
      <c r="VSJ225" s="50"/>
      <c r="VSK225" s="50"/>
      <c r="VSL225" s="50"/>
      <c r="VSM225" s="50"/>
      <c r="VSN225" s="50"/>
      <c r="VSO225" s="50"/>
      <c r="VSP225" s="50"/>
      <c r="VSQ225" s="50"/>
      <c r="VSR225" s="50"/>
      <c r="VSS225" s="50"/>
      <c r="VST225" s="50"/>
      <c r="VSU225" s="50"/>
      <c r="VSV225" s="50"/>
      <c r="VSW225" s="50"/>
      <c r="VSX225" s="50"/>
      <c r="VSY225" s="50"/>
      <c r="VSZ225" s="50"/>
      <c r="VTA225" s="50"/>
      <c r="VTB225" s="50"/>
      <c r="VTC225" s="50"/>
      <c r="VTD225" s="50"/>
      <c r="VTE225" s="50"/>
      <c r="VTF225" s="50"/>
      <c r="VTG225" s="50"/>
      <c r="VTH225" s="50"/>
      <c r="VTI225" s="50"/>
      <c r="VTJ225" s="50"/>
      <c r="VTK225" s="50"/>
      <c r="VTL225" s="50"/>
      <c r="VTM225" s="50"/>
      <c r="VTN225" s="50"/>
      <c r="VTO225" s="50"/>
      <c r="VTP225" s="50"/>
      <c r="VTQ225" s="50"/>
      <c r="VTR225" s="50"/>
      <c r="VTS225" s="50"/>
      <c r="VTT225" s="50"/>
      <c r="VTU225" s="50"/>
      <c r="VTV225" s="50"/>
      <c r="VTW225" s="50"/>
      <c r="VTX225" s="50"/>
      <c r="VTY225" s="50"/>
      <c r="VTZ225" s="50"/>
      <c r="VUA225" s="50"/>
      <c r="VUB225" s="50"/>
      <c r="VUC225" s="50"/>
      <c r="VUD225" s="50"/>
      <c r="VUE225" s="50"/>
      <c r="VUF225" s="50"/>
      <c r="VUG225" s="50"/>
      <c r="VUH225" s="50"/>
      <c r="VUI225" s="50"/>
      <c r="VUJ225" s="50"/>
      <c r="VUK225" s="50"/>
      <c r="VUL225" s="50"/>
      <c r="VUM225" s="50"/>
      <c r="VUN225" s="50"/>
      <c r="VUO225" s="50"/>
      <c r="VUP225" s="50"/>
      <c r="VUQ225" s="50"/>
      <c r="VUR225" s="50"/>
      <c r="VUS225" s="50"/>
      <c r="VUT225" s="50"/>
      <c r="VUU225" s="50"/>
      <c r="VUV225" s="50"/>
      <c r="VUW225" s="50"/>
      <c r="VUX225" s="50"/>
      <c r="VUY225" s="50"/>
      <c r="VUZ225" s="50"/>
      <c r="VVA225" s="50"/>
      <c r="VVB225" s="50"/>
      <c r="VVC225" s="50"/>
      <c r="VVD225" s="50"/>
      <c r="VVE225" s="50"/>
      <c r="VVF225" s="50"/>
      <c r="VVG225" s="50"/>
      <c r="VVH225" s="50"/>
      <c r="VVI225" s="50"/>
      <c r="VVJ225" s="50"/>
      <c r="VVK225" s="50"/>
      <c r="VVL225" s="50"/>
      <c r="VVM225" s="50"/>
      <c r="VVN225" s="50"/>
    </row>
    <row r="226" spans="2:100 15066:15458" s="1" customFormat="1" x14ac:dyDescent="0.25">
      <c r="B226" s="15"/>
      <c r="C226" s="247" t="s">
        <v>15</v>
      </c>
      <c r="D226" s="246">
        <v>122000</v>
      </c>
      <c r="E226" s="248" t="s">
        <v>14</v>
      </c>
      <c r="F226" s="290">
        <v>62900</v>
      </c>
      <c r="G226" s="290">
        <v>63300</v>
      </c>
      <c r="H226" s="290">
        <v>67300</v>
      </c>
      <c r="I226" s="290">
        <v>67000</v>
      </c>
      <c r="J226" s="290">
        <v>64100</v>
      </c>
      <c r="K226" s="290">
        <v>57100</v>
      </c>
      <c r="L226" s="290">
        <v>28600</v>
      </c>
      <c r="M226" s="290">
        <v>9300</v>
      </c>
      <c r="N226" s="290">
        <v>42500</v>
      </c>
      <c r="O226" s="290">
        <v>17200</v>
      </c>
      <c r="P226" s="290">
        <v>60600</v>
      </c>
      <c r="Q226" s="290">
        <v>38600</v>
      </c>
      <c r="R226" s="290">
        <f>52500-30000</f>
        <v>22500</v>
      </c>
      <c r="S226" s="290">
        <v>64500</v>
      </c>
      <c r="T226" s="290">
        <v>25600</v>
      </c>
      <c r="U226" s="290"/>
      <c r="V226" s="290"/>
      <c r="W226" s="290"/>
      <c r="X226" s="290"/>
      <c r="Y226" s="290"/>
      <c r="Z226" s="290"/>
      <c r="AA226" s="290"/>
      <c r="AB226" s="290"/>
      <c r="AC226" s="290"/>
      <c r="AD226" s="290"/>
      <c r="AE226" s="290"/>
      <c r="AF226" s="290"/>
      <c r="AG226" s="290"/>
      <c r="AH226" s="290"/>
      <c r="AI226" s="290"/>
      <c r="AJ226" s="290"/>
      <c r="AL226" s="63">
        <f>SUM(F226:AJ226)</f>
        <v>691100</v>
      </c>
      <c r="CV226" s="151"/>
      <c r="VGL226" s="50"/>
      <c r="VGM226" s="50"/>
      <c r="VGN226" s="50"/>
      <c r="VGO226" s="50"/>
      <c r="VGP226" s="50"/>
      <c r="VGQ226" s="50"/>
      <c r="VGR226" s="50"/>
      <c r="VGS226" s="50"/>
      <c r="VGT226" s="50"/>
      <c r="VGU226" s="50"/>
      <c r="VGV226" s="50"/>
      <c r="VGW226" s="50"/>
      <c r="VGX226" s="50"/>
      <c r="VGY226" s="50"/>
      <c r="VGZ226" s="50"/>
      <c r="VHA226" s="50"/>
      <c r="VHB226" s="50"/>
      <c r="VHC226" s="50"/>
      <c r="VHD226" s="50"/>
      <c r="VHE226" s="50"/>
      <c r="VHF226" s="50"/>
      <c r="VHG226" s="50"/>
      <c r="VHH226" s="50"/>
      <c r="VHI226" s="50"/>
      <c r="VHJ226" s="50"/>
      <c r="VHK226" s="50"/>
      <c r="VHL226" s="50"/>
      <c r="VHM226" s="50"/>
      <c r="VHN226" s="50"/>
      <c r="VHO226" s="50"/>
      <c r="VHP226" s="50"/>
      <c r="VHQ226" s="50"/>
      <c r="VHR226" s="50"/>
      <c r="VHS226" s="50"/>
      <c r="VHT226" s="50"/>
      <c r="VHU226" s="50"/>
      <c r="VHV226" s="50"/>
      <c r="VHW226" s="50"/>
      <c r="VHX226" s="50"/>
      <c r="VHY226" s="50"/>
      <c r="VHZ226" s="50"/>
      <c r="VIA226" s="50"/>
      <c r="VIB226" s="50"/>
      <c r="VIC226" s="50"/>
      <c r="VID226" s="50"/>
      <c r="VIE226" s="50"/>
      <c r="VIF226" s="50"/>
      <c r="VIG226" s="50"/>
      <c r="VIH226" s="50"/>
      <c r="VII226" s="50"/>
      <c r="VIJ226" s="50"/>
      <c r="VIK226" s="50"/>
      <c r="VIL226" s="50"/>
      <c r="VIM226" s="50"/>
      <c r="VIN226" s="50"/>
      <c r="VIO226" s="50"/>
      <c r="VIP226" s="50"/>
      <c r="VIQ226" s="50"/>
      <c r="VIR226" s="50"/>
      <c r="VIS226" s="50"/>
      <c r="VIT226" s="50"/>
      <c r="VIU226" s="50"/>
      <c r="VIV226" s="50"/>
      <c r="VIW226" s="50"/>
      <c r="VIX226" s="50"/>
      <c r="VIY226" s="50"/>
      <c r="VIZ226" s="50"/>
      <c r="VJA226" s="50"/>
      <c r="VJB226" s="50"/>
      <c r="VJC226" s="50"/>
      <c r="VJD226" s="50"/>
      <c r="VJE226" s="50"/>
      <c r="VJF226" s="50"/>
      <c r="VJG226" s="50"/>
      <c r="VJH226" s="50"/>
      <c r="VJI226" s="50"/>
      <c r="VJJ226" s="50"/>
      <c r="VJK226" s="50"/>
      <c r="VJL226" s="50"/>
      <c r="VJM226" s="50"/>
      <c r="VJN226" s="50"/>
      <c r="VJO226" s="50"/>
      <c r="VJP226" s="50"/>
      <c r="VJQ226" s="50"/>
      <c r="VJR226" s="50"/>
      <c r="VJS226" s="50"/>
      <c r="VJT226" s="50"/>
      <c r="VJU226" s="50"/>
      <c r="VJV226" s="50"/>
      <c r="VJW226" s="50"/>
      <c r="VJX226" s="50"/>
      <c r="VJY226" s="50"/>
      <c r="VJZ226" s="50"/>
      <c r="VKA226" s="50"/>
      <c r="VKB226" s="50"/>
      <c r="VKC226" s="50"/>
      <c r="VKD226" s="50"/>
      <c r="VKE226" s="50"/>
      <c r="VKF226" s="50"/>
      <c r="VKG226" s="50"/>
      <c r="VKH226" s="50"/>
      <c r="VKI226" s="50"/>
      <c r="VKJ226" s="50"/>
      <c r="VKK226" s="50"/>
      <c r="VKL226" s="50"/>
      <c r="VKM226" s="50"/>
      <c r="VKN226" s="50"/>
      <c r="VKO226" s="50"/>
      <c r="VKP226" s="50"/>
      <c r="VKQ226" s="50"/>
      <c r="VKR226" s="50"/>
      <c r="VKS226" s="50"/>
      <c r="VKT226" s="50"/>
      <c r="VKU226" s="50"/>
      <c r="VKV226" s="50"/>
      <c r="VKW226" s="50"/>
      <c r="VKX226" s="50"/>
      <c r="VKY226" s="50"/>
      <c r="VKZ226" s="50"/>
      <c r="VLA226" s="50"/>
      <c r="VLB226" s="50"/>
      <c r="VLC226" s="50"/>
      <c r="VLD226" s="50"/>
      <c r="VLE226" s="50"/>
      <c r="VLF226" s="50"/>
      <c r="VLG226" s="50"/>
      <c r="VLH226" s="50"/>
      <c r="VLI226" s="50"/>
      <c r="VLJ226" s="50"/>
      <c r="VLK226" s="50"/>
      <c r="VLL226" s="50"/>
      <c r="VLM226" s="50"/>
      <c r="VLN226" s="50"/>
      <c r="VLO226" s="50"/>
      <c r="VLP226" s="50"/>
      <c r="VLQ226" s="50"/>
      <c r="VLR226" s="50"/>
      <c r="VLS226" s="50"/>
      <c r="VLT226" s="50"/>
      <c r="VLU226" s="50"/>
      <c r="VLV226" s="50"/>
      <c r="VLW226" s="50"/>
      <c r="VLX226" s="50"/>
      <c r="VLY226" s="50"/>
      <c r="VLZ226" s="50"/>
      <c r="VMA226" s="50"/>
      <c r="VMB226" s="50"/>
      <c r="VMC226" s="50"/>
      <c r="VMD226" s="50"/>
      <c r="VME226" s="50"/>
      <c r="VMF226" s="50"/>
      <c r="VMG226" s="50"/>
      <c r="VMH226" s="50"/>
      <c r="VMI226" s="50"/>
      <c r="VMJ226" s="50"/>
      <c r="VMK226" s="50"/>
      <c r="VML226" s="50"/>
      <c r="VMM226" s="50"/>
      <c r="VMN226" s="50"/>
      <c r="VMO226" s="50"/>
      <c r="VMP226" s="50"/>
      <c r="VMQ226" s="50"/>
      <c r="VMR226" s="50"/>
      <c r="VMS226" s="50"/>
      <c r="VMT226" s="50"/>
      <c r="VMU226" s="50"/>
      <c r="VMV226" s="50"/>
      <c r="VMW226" s="50"/>
      <c r="VMX226" s="50"/>
      <c r="VMY226" s="50"/>
      <c r="VMZ226" s="50"/>
      <c r="VNA226" s="50"/>
      <c r="VNB226" s="50"/>
      <c r="VNC226" s="50"/>
      <c r="VND226" s="50"/>
      <c r="VNE226" s="50"/>
      <c r="VNF226" s="50"/>
      <c r="VNG226" s="50"/>
      <c r="VNH226" s="50"/>
      <c r="VNI226" s="50"/>
      <c r="VNJ226" s="50"/>
      <c r="VNK226" s="50"/>
      <c r="VNL226" s="50"/>
      <c r="VNM226" s="50"/>
      <c r="VNN226" s="50"/>
      <c r="VNO226" s="50"/>
      <c r="VNP226" s="50"/>
      <c r="VNQ226" s="50"/>
      <c r="VNR226" s="50"/>
      <c r="VNS226" s="50"/>
      <c r="VNT226" s="50"/>
      <c r="VNU226" s="50"/>
      <c r="VNV226" s="50"/>
      <c r="VNW226" s="50"/>
      <c r="VNX226" s="50"/>
      <c r="VNY226" s="50"/>
      <c r="VNZ226" s="50"/>
      <c r="VOA226" s="50"/>
      <c r="VOB226" s="50"/>
      <c r="VOC226" s="50"/>
      <c r="VOD226" s="50"/>
      <c r="VOE226" s="50"/>
      <c r="VOF226" s="50"/>
      <c r="VOG226" s="50"/>
      <c r="VOH226" s="50"/>
      <c r="VOI226" s="50"/>
      <c r="VOJ226" s="50"/>
      <c r="VOK226" s="50"/>
      <c r="VOL226" s="50"/>
      <c r="VOM226" s="50"/>
      <c r="VON226" s="50"/>
      <c r="VOO226" s="50"/>
      <c r="VOP226" s="50"/>
      <c r="VOQ226" s="50"/>
      <c r="VOR226" s="50"/>
      <c r="VOS226" s="50"/>
      <c r="VOT226" s="50"/>
      <c r="VOU226" s="50"/>
      <c r="VOV226" s="50"/>
      <c r="VOW226" s="50"/>
      <c r="VOX226" s="50"/>
      <c r="VOY226" s="50"/>
      <c r="VOZ226" s="50"/>
      <c r="VPA226" s="50"/>
      <c r="VPB226" s="50"/>
      <c r="VPC226" s="50"/>
      <c r="VPD226" s="50"/>
      <c r="VPE226" s="50"/>
      <c r="VPF226" s="50"/>
      <c r="VPG226" s="50"/>
      <c r="VPH226" s="50"/>
      <c r="VPI226" s="50"/>
      <c r="VPJ226" s="50"/>
      <c r="VPK226" s="50"/>
      <c r="VPL226" s="50"/>
      <c r="VPM226" s="50"/>
      <c r="VPN226" s="50"/>
      <c r="VPO226" s="50"/>
      <c r="VPP226" s="50"/>
      <c r="VPQ226" s="50"/>
      <c r="VPR226" s="50"/>
      <c r="VPS226" s="50"/>
      <c r="VPT226" s="50"/>
      <c r="VPU226" s="50"/>
      <c r="VPV226" s="50"/>
      <c r="VPW226" s="50"/>
      <c r="VPX226" s="50"/>
      <c r="VPY226" s="50"/>
      <c r="VPZ226" s="50"/>
      <c r="VQA226" s="50"/>
      <c r="VQB226" s="50"/>
      <c r="VQC226" s="50"/>
      <c r="VQD226" s="50"/>
      <c r="VQE226" s="50"/>
      <c r="VQF226" s="50"/>
      <c r="VQG226" s="50"/>
      <c r="VQH226" s="50"/>
      <c r="VQI226" s="50"/>
      <c r="VQJ226" s="50"/>
      <c r="VQK226" s="50"/>
      <c r="VQL226" s="50"/>
      <c r="VQM226" s="50"/>
      <c r="VQN226" s="50"/>
      <c r="VQO226" s="50"/>
      <c r="VQP226" s="50"/>
      <c r="VQQ226" s="50"/>
      <c r="VQR226" s="50"/>
      <c r="VQS226" s="50"/>
      <c r="VQT226" s="50"/>
      <c r="VQU226" s="50"/>
      <c r="VQV226" s="50"/>
      <c r="VQW226" s="50"/>
      <c r="VQX226" s="50"/>
      <c r="VQY226" s="50"/>
      <c r="VQZ226" s="50"/>
      <c r="VRA226" s="50"/>
      <c r="VRB226" s="50"/>
      <c r="VRC226" s="50"/>
      <c r="VRD226" s="50"/>
      <c r="VRE226" s="50"/>
      <c r="VRF226" s="50"/>
      <c r="VRG226" s="50"/>
      <c r="VRH226" s="50"/>
      <c r="VRI226" s="50"/>
      <c r="VRJ226" s="50"/>
      <c r="VRK226" s="50"/>
      <c r="VRL226" s="50"/>
      <c r="VRM226" s="50"/>
      <c r="VRN226" s="50"/>
      <c r="VRO226" s="50"/>
      <c r="VRP226" s="50"/>
      <c r="VRQ226" s="50"/>
      <c r="VRR226" s="50"/>
      <c r="VRS226" s="50"/>
      <c r="VRT226" s="50"/>
      <c r="VRU226" s="50"/>
      <c r="VRV226" s="50"/>
      <c r="VRW226" s="50"/>
      <c r="VRX226" s="50"/>
      <c r="VRY226" s="50"/>
      <c r="VRZ226" s="50"/>
      <c r="VSA226" s="50"/>
      <c r="VSB226" s="50"/>
      <c r="VSC226" s="50"/>
      <c r="VSD226" s="50"/>
      <c r="VSE226" s="50"/>
      <c r="VSF226" s="50"/>
      <c r="VSG226" s="50"/>
      <c r="VSH226" s="50"/>
      <c r="VSI226" s="50"/>
      <c r="VSJ226" s="50"/>
      <c r="VSK226" s="50"/>
      <c r="VSL226" s="50"/>
      <c r="VSM226" s="50"/>
      <c r="VSN226" s="50"/>
      <c r="VSO226" s="50"/>
      <c r="VSP226" s="50"/>
      <c r="VSQ226" s="50"/>
      <c r="VSR226" s="50"/>
      <c r="VSS226" s="50"/>
      <c r="VST226" s="50"/>
      <c r="VSU226" s="50"/>
      <c r="VSV226" s="50"/>
      <c r="VSW226" s="50"/>
      <c r="VSX226" s="50"/>
      <c r="VSY226" s="50"/>
      <c r="VSZ226" s="50"/>
      <c r="VTA226" s="50"/>
      <c r="VTB226" s="50"/>
      <c r="VTC226" s="50"/>
      <c r="VTD226" s="50"/>
      <c r="VTE226" s="50"/>
      <c r="VTF226" s="50"/>
      <c r="VTG226" s="50"/>
      <c r="VTH226" s="50"/>
      <c r="VTI226" s="50"/>
      <c r="VTJ226" s="50"/>
      <c r="VTK226" s="50"/>
      <c r="VTL226" s="50"/>
      <c r="VTM226" s="50"/>
      <c r="VTN226" s="50"/>
      <c r="VTO226" s="50"/>
      <c r="VTP226" s="50"/>
      <c r="VTQ226" s="50"/>
      <c r="VTR226" s="50"/>
      <c r="VTS226" s="50"/>
      <c r="VTT226" s="50"/>
      <c r="VTU226" s="50"/>
      <c r="VTV226" s="50"/>
      <c r="VTW226" s="50"/>
      <c r="VTX226" s="50"/>
      <c r="VTY226" s="50"/>
      <c r="VTZ226" s="50"/>
      <c r="VUA226" s="50"/>
      <c r="VUB226" s="50"/>
      <c r="VUC226" s="50"/>
      <c r="VUD226" s="50"/>
      <c r="VUE226" s="50"/>
      <c r="VUF226" s="50"/>
      <c r="VUG226" s="50"/>
      <c r="VUH226" s="50"/>
      <c r="VUI226" s="50"/>
      <c r="VUJ226" s="50"/>
      <c r="VUK226" s="50"/>
      <c r="VUL226" s="50"/>
      <c r="VUM226" s="50"/>
      <c r="VUN226" s="50"/>
      <c r="VUO226" s="50"/>
      <c r="VUP226" s="50"/>
      <c r="VUQ226" s="50"/>
      <c r="VUR226" s="50"/>
      <c r="VUS226" s="50"/>
      <c r="VUT226" s="50"/>
      <c r="VUU226" s="50"/>
      <c r="VUV226" s="50"/>
      <c r="VUW226" s="50"/>
      <c r="VUX226" s="50"/>
      <c r="VUY226" s="50"/>
      <c r="VUZ226" s="50"/>
      <c r="VVA226" s="50"/>
      <c r="VVB226" s="50"/>
      <c r="VVC226" s="50"/>
      <c r="VVD226" s="50"/>
      <c r="VVE226" s="50"/>
      <c r="VVF226" s="50"/>
      <c r="VVG226" s="50"/>
      <c r="VVH226" s="50"/>
      <c r="VVI226" s="50"/>
      <c r="VVJ226" s="50"/>
      <c r="VVK226" s="50"/>
      <c r="VVL226" s="50"/>
      <c r="VVM226" s="50"/>
      <c r="VVN226" s="50"/>
    </row>
    <row r="227" spans="2:100 15066:15458" s="1" customFormat="1" x14ac:dyDescent="0.25">
      <c r="B227" s="15"/>
      <c r="C227" s="14" t="s">
        <v>7</v>
      </c>
      <c r="D227" s="246">
        <v>106000</v>
      </c>
      <c r="E227" s="20" t="s">
        <v>14</v>
      </c>
      <c r="F227" s="33">
        <f>F223-F225-F226</f>
        <v>13124</v>
      </c>
      <c r="G227" s="33">
        <f t="shared" ref="G227:I227" si="58">G223-G225-G226</f>
        <v>26588</v>
      </c>
      <c r="H227" s="33">
        <f t="shared" si="58"/>
        <v>28457</v>
      </c>
      <c r="I227" s="33">
        <f t="shared" si="58"/>
        <v>31194</v>
      </c>
      <c r="J227" s="33">
        <f t="shared" ref="J227:AJ227" si="59">J223-J225-J226</f>
        <v>23306</v>
      </c>
      <c r="K227" s="33">
        <f t="shared" si="59"/>
        <v>801</v>
      </c>
      <c r="L227" s="33">
        <f t="shared" si="59"/>
        <v>28664</v>
      </c>
      <c r="M227" s="33">
        <f>M223-M225-M226</f>
        <v>3995</v>
      </c>
      <c r="N227" s="33">
        <f t="shared" si="59"/>
        <v>5909</v>
      </c>
      <c r="O227" s="33">
        <f t="shared" si="59"/>
        <v>26685</v>
      </c>
      <c r="P227" s="33">
        <f t="shared" si="59"/>
        <v>41286</v>
      </c>
      <c r="Q227" s="33">
        <f t="shared" si="59"/>
        <v>57186</v>
      </c>
      <c r="R227" s="33">
        <f t="shared" si="59"/>
        <v>4394</v>
      </c>
      <c r="S227" s="33">
        <f t="shared" si="59"/>
        <v>11697</v>
      </c>
      <c r="T227" s="33">
        <f t="shared" si="59"/>
        <v>8196</v>
      </c>
      <c r="U227" s="33">
        <f t="shared" si="59"/>
        <v>0</v>
      </c>
      <c r="V227" s="33">
        <f t="shared" si="59"/>
        <v>0</v>
      </c>
      <c r="W227" s="33">
        <f t="shared" si="59"/>
        <v>0</v>
      </c>
      <c r="X227" s="33">
        <f t="shared" si="59"/>
        <v>0</v>
      </c>
      <c r="Y227" s="33">
        <f t="shared" si="59"/>
        <v>0</v>
      </c>
      <c r="Z227" s="33">
        <f t="shared" si="59"/>
        <v>0</v>
      </c>
      <c r="AA227" s="33">
        <f t="shared" si="59"/>
        <v>0</v>
      </c>
      <c r="AB227" s="33">
        <f t="shared" si="59"/>
        <v>0</v>
      </c>
      <c r="AC227" s="33">
        <f t="shared" si="59"/>
        <v>0</v>
      </c>
      <c r="AD227" s="33">
        <f t="shared" si="59"/>
        <v>0</v>
      </c>
      <c r="AE227" s="33">
        <f t="shared" si="59"/>
        <v>0</v>
      </c>
      <c r="AF227" s="33">
        <f t="shared" si="59"/>
        <v>0</v>
      </c>
      <c r="AG227" s="33">
        <f t="shared" si="59"/>
        <v>0</v>
      </c>
      <c r="AH227" s="33">
        <f t="shared" si="59"/>
        <v>0</v>
      </c>
      <c r="AI227" s="33">
        <f t="shared" si="59"/>
        <v>0</v>
      </c>
      <c r="AJ227" s="33">
        <f t="shared" si="59"/>
        <v>0</v>
      </c>
      <c r="AL227" s="63">
        <f>SUM(F227:AJ227)</f>
        <v>311482</v>
      </c>
      <c r="CV227" s="151"/>
      <c r="VGL227" s="50"/>
      <c r="VGM227" s="50"/>
      <c r="VGN227" s="50"/>
      <c r="VGO227" s="50"/>
      <c r="VGP227" s="50"/>
      <c r="VGQ227" s="50"/>
      <c r="VGR227" s="50"/>
      <c r="VGS227" s="50"/>
      <c r="VGT227" s="50"/>
      <c r="VGU227" s="50"/>
      <c r="VGV227" s="50"/>
      <c r="VGW227" s="50"/>
      <c r="VGX227" s="50"/>
      <c r="VGY227" s="50"/>
      <c r="VGZ227" s="50"/>
      <c r="VHA227" s="50"/>
      <c r="VHB227" s="50"/>
      <c r="VHC227" s="50"/>
      <c r="VHD227" s="50"/>
      <c r="VHE227" s="50"/>
      <c r="VHF227" s="50"/>
      <c r="VHG227" s="50"/>
      <c r="VHH227" s="50"/>
      <c r="VHI227" s="50"/>
      <c r="VHJ227" s="50"/>
      <c r="VHK227" s="50"/>
      <c r="VHL227" s="50"/>
      <c r="VHM227" s="50"/>
      <c r="VHN227" s="50"/>
      <c r="VHO227" s="50"/>
      <c r="VHP227" s="50"/>
      <c r="VHQ227" s="50"/>
      <c r="VHR227" s="50"/>
      <c r="VHS227" s="50"/>
      <c r="VHT227" s="50"/>
      <c r="VHU227" s="50"/>
      <c r="VHV227" s="50"/>
      <c r="VHW227" s="50"/>
      <c r="VHX227" s="50"/>
      <c r="VHY227" s="50"/>
      <c r="VHZ227" s="50"/>
      <c r="VIA227" s="50"/>
      <c r="VIB227" s="50"/>
      <c r="VIC227" s="50"/>
      <c r="VID227" s="50"/>
      <c r="VIE227" s="50"/>
      <c r="VIF227" s="50"/>
      <c r="VIG227" s="50"/>
      <c r="VIH227" s="50"/>
      <c r="VII227" s="50"/>
      <c r="VIJ227" s="50"/>
      <c r="VIK227" s="50"/>
      <c r="VIL227" s="50"/>
      <c r="VIM227" s="50"/>
      <c r="VIN227" s="50"/>
      <c r="VIO227" s="50"/>
      <c r="VIP227" s="50"/>
      <c r="VIQ227" s="50"/>
      <c r="VIR227" s="50"/>
      <c r="VIS227" s="50"/>
      <c r="VIT227" s="50"/>
      <c r="VIU227" s="50"/>
      <c r="VIV227" s="50"/>
      <c r="VIW227" s="50"/>
      <c r="VIX227" s="50"/>
      <c r="VIY227" s="50"/>
      <c r="VIZ227" s="50"/>
      <c r="VJA227" s="50"/>
      <c r="VJB227" s="50"/>
      <c r="VJC227" s="50"/>
      <c r="VJD227" s="50"/>
      <c r="VJE227" s="50"/>
      <c r="VJF227" s="50"/>
      <c r="VJG227" s="50"/>
      <c r="VJH227" s="50"/>
      <c r="VJI227" s="50"/>
      <c r="VJJ227" s="50"/>
      <c r="VJK227" s="50"/>
      <c r="VJL227" s="50"/>
      <c r="VJM227" s="50"/>
      <c r="VJN227" s="50"/>
      <c r="VJO227" s="50"/>
      <c r="VJP227" s="50"/>
      <c r="VJQ227" s="50"/>
      <c r="VJR227" s="50"/>
      <c r="VJS227" s="50"/>
      <c r="VJT227" s="50"/>
      <c r="VJU227" s="50"/>
      <c r="VJV227" s="50"/>
      <c r="VJW227" s="50"/>
      <c r="VJX227" s="50"/>
      <c r="VJY227" s="50"/>
      <c r="VJZ227" s="50"/>
      <c r="VKA227" s="50"/>
      <c r="VKB227" s="50"/>
      <c r="VKC227" s="50"/>
      <c r="VKD227" s="50"/>
      <c r="VKE227" s="50"/>
      <c r="VKF227" s="50"/>
      <c r="VKG227" s="50"/>
      <c r="VKH227" s="50"/>
      <c r="VKI227" s="50"/>
      <c r="VKJ227" s="50"/>
      <c r="VKK227" s="50"/>
      <c r="VKL227" s="50"/>
      <c r="VKM227" s="50"/>
      <c r="VKN227" s="50"/>
      <c r="VKO227" s="50"/>
      <c r="VKP227" s="50"/>
      <c r="VKQ227" s="50"/>
      <c r="VKR227" s="50"/>
      <c r="VKS227" s="50"/>
      <c r="VKT227" s="50"/>
      <c r="VKU227" s="50"/>
      <c r="VKV227" s="50"/>
      <c r="VKW227" s="50"/>
      <c r="VKX227" s="50"/>
      <c r="VKY227" s="50"/>
      <c r="VKZ227" s="50"/>
      <c r="VLA227" s="50"/>
      <c r="VLB227" s="50"/>
      <c r="VLC227" s="50"/>
      <c r="VLD227" s="50"/>
      <c r="VLE227" s="50"/>
      <c r="VLF227" s="50"/>
      <c r="VLG227" s="50"/>
      <c r="VLH227" s="50"/>
      <c r="VLI227" s="50"/>
      <c r="VLJ227" s="50"/>
      <c r="VLK227" s="50"/>
      <c r="VLL227" s="50"/>
      <c r="VLM227" s="50"/>
      <c r="VLN227" s="50"/>
      <c r="VLO227" s="50"/>
      <c r="VLP227" s="50"/>
      <c r="VLQ227" s="50"/>
      <c r="VLR227" s="50"/>
      <c r="VLS227" s="50"/>
      <c r="VLT227" s="50"/>
      <c r="VLU227" s="50"/>
      <c r="VLV227" s="50"/>
      <c r="VLW227" s="50"/>
      <c r="VLX227" s="50"/>
      <c r="VLY227" s="50"/>
      <c r="VLZ227" s="50"/>
      <c r="VMA227" s="50"/>
      <c r="VMB227" s="50"/>
      <c r="VMC227" s="50"/>
      <c r="VMD227" s="50"/>
      <c r="VME227" s="50"/>
      <c r="VMF227" s="50"/>
      <c r="VMG227" s="50"/>
      <c r="VMH227" s="50"/>
      <c r="VMI227" s="50"/>
      <c r="VMJ227" s="50"/>
      <c r="VMK227" s="50"/>
      <c r="VML227" s="50"/>
      <c r="VMM227" s="50"/>
      <c r="VMN227" s="50"/>
      <c r="VMO227" s="50"/>
      <c r="VMP227" s="50"/>
      <c r="VMQ227" s="50"/>
      <c r="VMR227" s="50"/>
      <c r="VMS227" s="50"/>
      <c r="VMT227" s="50"/>
      <c r="VMU227" s="50"/>
      <c r="VMV227" s="50"/>
      <c r="VMW227" s="50"/>
      <c r="VMX227" s="50"/>
      <c r="VMY227" s="50"/>
      <c r="VMZ227" s="50"/>
      <c r="VNA227" s="50"/>
      <c r="VNB227" s="50"/>
      <c r="VNC227" s="50"/>
      <c r="VND227" s="50"/>
      <c r="VNE227" s="50"/>
      <c r="VNF227" s="50"/>
      <c r="VNG227" s="50"/>
      <c r="VNH227" s="50"/>
      <c r="VNI227" s="50"/>
      <c r="VNJ227" s="50"/>
      <c r="VNK227" s="50"/>
      <c r="VNL227" s="50"/>
      <c r="VNM227" s="50"/>
      <c r="VNN227" s="50"/>
      <c r="VNO227" s="50"/>
      <c r="VNP227" s="50"/>
      <c r="VNQ227" s="50"/>
      <c r="VNR227" s="50"/>
      <c r="VNS227" s="50"/>
      <c r="VNT227" s="50"/>
      <c r="VNU227" s="50"/>
      <c r="VNV227" s="50"/>
      <c r="VNW227" s="50"/>
      <c r="VNX227" s="50"/>
      <c r="VNY227" s="50"/>
      <c r="VNZ227" s="50"/>
      <c r="VOA227" s="50"/>
      <c r="VOB227" s="50"/>
      <c r="VOC227" s="50"/>
      <c r="VOD227" s="50"/>
      <c r="VOE227" s="50"/>
      <c r="VOF227" s="50"/>
      <c r="VOG227" s="50"/>
      <c r="VOH227" s="50"/>
      <c r="VOI227" s="50"/>
      <c r="VOJ227" s="50"/>
      <c r="VOK227" s="50"/>
      <c r="VOL227" s="50"/>
      <c r="VOM227" s="50"/>
      <c r="VON227" s="50"/>
      <c r="VOO227" s="50"/>
      <c r="VOP227" s="50"/>
      <c r="VOQ227" s="50"/>
      <c r="VOR227" s="50"/>
      <c r="VOS227" s="50"/>
      <c r="VOT227" s="50"/>
      <c r="VOU227" s="50"/>
      <c r="VOV227" s="50"/>
      <c r="VOW227" s="50"/>
      <c r="VOX227" s="50"/>
      <c r="VOY227" s="50"/>
      <c r="VOZ227" s="50"/>
      <c r="VPA227" s="50"/>
      <c r="VPB227" s="50"/>
      <c r="VPC227" s="50"/>
      <c r="VPD227" s="50"/>
      <c r="VPE227" s="50"/>
      <c r="VPF227" s="50"/>
      <c r="VPG227" s="50"/>
      <c r="VPH227" s="50"/>
      <c r="VPI227" s="50"/>
      <c r="VPJ227" s="50"/>
      <c r="VPK227" s="50"/>
      <c r="VPL227" s="50"/>
      <c r="VPM227" s="50"/>
      <c r="VPN227" s="50"/>
      <c r="VPO227" s="50"/>
      <c r="VPP227" s="50"/>
      <c r="VPQ227" s="50"/>
      <c r="VPR227" s="50"/>
      <c r="VPS227" s="50"/>
      <c r="VPT227" s="50"/>
      <c r="VPU227" s="50"/>
      <c r="VPV227" s="50"/>
      <c r="VPW227" s="50"/>
      <c r="VPX227" s="50"/>
      <c r="VPY227" s="50"/>
      <c r="VPZ227" s="50"/>
      <c r="VQA227" s="50"/>
      <c r="VQB227" s="50"/>
      <c r="VQC227" s="50"/>
      <c r="VQD227" s="50"/>
      <c r="VQE227" s="50"/>
      <c r="VQF227" s="50"/>
      <c r="VQG227" s="50"/>
      <c r="VQH227" s="50"/>
      <c r="VQI227" s="50"/>
      <c r="VQJ227" s="50"/>
      <c r="VQK227" s="50"/>
      <c r="VQL227" s="50"/>
      <c r="VQM227" s="50"/>
      <c r="VQN227" s="50"/>
      <c r="VQO227" s="50"/>
      <c r="VQP227" s="50"/>
      <c r="VQQ227" s="50"/>
      <c r="VQR227" s="50"/>
      <c r="VQS227" s="50"/>
      <c r="VQT227" s="50"/>
      <c r="VQU227" s="50"/>
      <c r="VQV227" s="50"/>
      <c r="VQW227" s="50"/>
      <c r="VQX227" s="50"/>
      <c r="VQY227" s="50"/>
      <c r="VQZ227" s="50"/>
      <c r="VRA227" s="50"/>
      <c r="VRB227" s="50"/>
      <c r="VRC227" s="50"/>
      <c r="VRD227" s="50"/>
      <c r="VRE227" s="50"/>
      <c r="VRF227" s="50"/>
      <c r="VRG227" s="50"/>
      <c r="VRH227" s="50"/>
      <c r="VRI227" s="50"/>
      <c r="VRJ227" s="50"/>
      <c r="VRK227" s="50"/>
      <c r="VRL227" s="50"/>
      <c r="VRM227" s="50"/>
      <c r="VRN227" s="50"/>
      <c r="VRO227" s="50"/>
      <c r="VRP227" s="50"/>
      <c r="VRQ227" s="50"/>
      <c r="VRR227" s="50"/>
      <c r="VRS227" s="50"/>
      <c r="VRT227" s="50"/>
      <c r="VRU227" s="50"/>
      <c r="VRV227" s="50"/>
      <c r="VRW227" s="50"/>
      <c r="VRX227" s="50"/>
      <c r="VRY227" s="50"/>
      <c r="VRZ227" s="50"/>
      <c r="VSA227" s="50"/>
      <c r="VSB227" s="50"/>
      <c r="VSC227" s="50"/>
      <c r="VSD227" s="50"/>
      <c r="VSE227" s="50"/>
      <c r="VSF227" s="50"/>
      <c r="VSG227" s="50"/>
      <c r="VSH227" s="50"/>
      <c r="VSI227" s="50"/>
      <c r="VSJ227" s="50"/>
      <c r="VSK227" s="50"/>
      <c r="VSL227" s="50"/>
      <c r="VSM227" s="50"/>
      <c r="VSN227" s="50"/>
      <c r="VSO227" s="50"/>
      <c r="VSP227" s="50"/>
      <c r="VSQ227" s="50"/>
      <c r="VSR227" s="50"/>
      <c r="VSS227" s="50"/>
      <c r="VST227" s="50"/>
      <c r="VSU227" s="50"/>
      <c r="VSV227" s="50"/>
      <c r="VSW227" s="50"/>
      <c r="VSX227" s="50"/>
      <c r="VSY227" s="50"/>
      <c r="VSZ227" s="50"/>
      <c r="VTA227" s="50"/>
      <c r="VTB227" s="50"/>
      <c r="VTC227" s="50"/>
      <c r="VTD227" s="50"/>
      <c r="VTE227" s="50"/>
      <c r="VTF227" s="50"/>
      <c r="VTG227" s="50"/>
      <c r="VTH227" s="50"/>
      <c r="VTI227" s="50"/>
      <c r="VTJ227" s="50"/>
      <c r="VTK227" s="50"/>
      <c r="VTL227" s="50"/>
      <c r="VTM227" s="50"/>
      <c r="VTN227" s="50"/>
      <c r="VTO227" s="50"/>
      <c r="VTP227" s="50"/>
      <c r="VTQ227" s="50"/>
      <c r="VTR227" s="50"/>
      <c r="VTS227" s="50"/>
      <c r="VTT227" s="50"/>
      <c r="VTU227" s="50"/>
      <c r="VTV227" s="50"/>
      <c r="VTW227" s="50"/>
      <c r="VTX227" s="50"/>
      <c r="VTY227" s="50"/>
      <c r="VTZ227" s="50"/>
      <c r="VUA227" s="50"/>
      <c r="VUB227" s="50"/>
      <c r="VUC227" s="50"/>
      <c r="VUD227" s="50"/>
      <c r="VUE227" s="50"/>
      <c r="VUF227" s="50"/>
      <c r="VUG227" s="50"/>
      <c r="VUH227" s="50"/>
      <c r="VUI227" s="50"/>
      <c r="VUJ227" s="50"/>
      <c r="VUK227" s="50"/>
      <c r="VUL227" s="50"/>
      <c r="VUM227" s="50"/>
      <c r="VUN227" s="50"/>
      <c r="VUO227" s="50"/>
      <c r="VUP227" s="50"/>
      <c r="VUQ227" s="50"/>
      <c r="VUR227" s="50"/>
      <c r="VUS227" s="50"/>
      <c r="VUT227" s="50"/>
      <c r="VUU227" s="50"/>
      <c r="VUV227" s="50"/>
      <c r="VUW227" s="50"/>
      <c r="VUX227" s="50"/>
      <c r="VUY227" s="50"/>
      <c r="VUZ227" s="50"/>
      <c r="VVA227" s="50"/>
      <c r="VVB227" s="50"/>
      <c r="VVC227" s="50"/>
      <c r="VVD227" s="50"/>
      <c r="VVE227" s="50"/>
      <c r="VVF227" s="50"/>
      <c r="VVG227" s="50"/>
      <c r="VVH227" s="50"/>
      <c r="VVI227" s="50"/>
      <c r="VVJ227" s="50"/>
      <c r="VVK227" s="50"/>
      <c r="VVL227" s="50"/>
      <c r="VVM227" s="50"/>
      <c r="VVN227" s="50"/>
    </row>
    <row r="228" spans="2:100 15066:15458" s="2" customFormat="1" ht="15.75" thickBot="1" x14ac:dyDescent="0.3">
      <c r="B228" s="41"/>
      <c r="C228" s="28" t="s">
        <v>1</v>
      </c>
      <c r="D228" s="275">
        <v>408000</v>
      </c>
      <c r="E228" s="20" t="s">
        <v>14</v>
      </c>
      <c r="F228" s="297">
        <f>SUM(F225:F227)</f>
        <v>241524</v>
      </c>
      <c r="G228" s="297">
        <f t="shared" ref="G228:I228" si="60">SUM(G225:G227)</f>
        <v>237588</v>
      </c>
      <c r="H228" s="297">
        <f t="shared" si="60"/>
        <v>249457</v>
      </c>
      <c r="I228" s="297">
        <f t="shared" si="60"/>
        <v>251894</v>
      </c>
      <c r="J228" s="297">
        <f t="shared" ref="J228:AJ228" si="61">SUM(J225:J227)</f>
        <v>221006</v>
      </c>
      <c r="K228" s="297">
        <f t="shared" si="61"/>
        <v>199401</v>
      </c>
      <c r="L228" s="297">
        <f t="shared" si="61"/>
        <v>166164</v>
      </c>
      <c r="M228" s="297">
        <f t="shared" si="61"/>
        <v>61305</v>
      </c>
      <c r="N228" s="297">
        <f t="shared" si="61"/>
        <v>173809</v>
      </c>
      <c r="O228" s="297">
        <f t="shared" si="61"/>
        <v>200985</v>
      </c>
      <c r="P228" s="297">
        <f t="shared" si="61"/>
        <v>256386</v>
      </c>
      <c r="Q228" s="297">
        <f t="shared" si="61"/>
        <v>245586</v>
      </c>
      <c r="R228" s="297">
        <f t="shared" si="61"/>
        <v>174194</v>
      </c>
      <c r="S228" s="297">
        <f t="shared" si="61"/>
        <v>212597</v>
      </c>
      <c r="T228" s="297">
        <f t="shared" si="61"/>
        <v>147796</v>
      </c>
      <c r="U228" s="297">
        <f t="shared" si="61"/>
        <v>0</v>
      </c>
      <c r="V228" s="297">
        <f t="shared" si="61"/>
        <v>0</v>
      </c>
      <c r="W228" s="297">
        <f t="shared" si="61"/>
        <v>0</v>
      </c>
      <c r="X228" s="297">
        <f t="shared" si="61"/>
        <v>0</v>
      </c>
      <c r="Y228" s="297">
        <f t="shared" si="61"/>
        <v>0</v>
      </c>
      <c r="Z228" s="297">
        <f t="shared" si="61"/>
        <v>0</v>
      </c>
      <c r="AA228" s="297">
        <f t="shared" si="61"/>
        <v>0</v>
      </c>
      <c r="AB228" s="297">
        <f t="shared" si="61"/>
        <v>0</v>
      </c>
      <c r="AC228" s="297">
        <f t="shared" si="61"/>
        <v>0</v>
      </c>
      <c r="AD228" s="297">
        <f t="shared" si="61"/>
        <v>0</v>
      </c>
      <c r="AE228" s="297">
        <f t="shared" si="61"/>
        <v>0</v>
      </c>
      <c r="AF228" s="297">
        <f t="shared" si="61"/>
        <v>0</v>
      </c>
      <c r="AG228" s="297">
        <f t="shared" si="61"/>
        <v>0</v>
      </c>
      <c r="AH228" s="297">
        <f t="shared" si="61"/>
        <v>0</v>
      </c>
      <c r="AI228" s="297">
        <f t="shared" si="61"/>
        <v>0</v>
      </c>
      <c r="AJ228" s="297">
        <f t="shared" si="61"/>
        <v>0</v>
      </c>
      <c r="AL228" s="63">
        <f>SUM(F228:AJ228)</f>
        <v>3039692</v>
      </c>
      <c r="CV228" s="161"/>
    </row>
    <row r="229" spans="2:100 15066:15458" s="1" customFormat="1" x14ac:dyDescent="0.25">
      <c r="B229" s="8">
        <v>6</v>
      </c>
      <c r="C229" s="84" t="s">
        <v>13</v>
      </c>
      <c r="D229" s="85"/>
      <c r="E229" s="86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L229" s="146" t="s">
        <v>135</v>
      </c>
      <c r="CV229" s="151"/>
      <c r="VGL229" s="50"/>
      <c r="VGM229" s="50"/>
      <c r="VGN229" s="50"/>
      <c r="VGO229" s="50"/>
      <c r="VGP229" s="50"/>
      <c r="VGQ229" s="50"/>
      <c r="VGR229" s="50"/>
      <c r="VGS229" s="50"/>
      <c r="VGT229" s="50"/>
      <c r="VGU229" s="50"/>
      <c r="VGV229" s="50"/>
      <c r="VGW229" s="50"/>
      <c r="VGX229" s="50"/>
      <c r="VGY229" s="50"/>
      <c r="VGZ229" s="50"/>
      <c r="VHA229" s="50"/>
      <c r="VHB229" s="50"/>
      <c r="VHC229" s="50"/>
      <c r="VHD229" s="50"/>
      <c r="VHE229" s="50"/>
      <c r="VHF229" s="50"/>
      <c r="VHG229" s="50"/>
      <c r="VHH229" s="50"/>
      <c r="VHI229" s="50"/>
      <c r="VHJ229" s="50"/>
      <c r="VHK229" s="50"/>
      <c r="VHL229" s="50"/>
      <c r="VHM229" s="50"/>
      <c r="VHN229" s="50"/>
      <c r="VHO229" s="50"/>
      <c r="VHP229" s="50"/>
      <c r="VHQ229" s="50"/>
      <c r="VHR229" s="50"/>
      <c r="VHS229" s="50"/>
      <c r="VHT229" s="50"/>
      <c r="VHU229" s="50"/>
      <c r="VHV229" s="50"/>
      <c r="VHW229" s="50"/>
      <c r="VHX229" s="50"/>
      <c r="VHY229" s="50"/>
      <c r="VHZ229" s="50"/>
      <c r="VIA229" s="50"/>
      <c r="VIB229" s="50"/>
      <c r="VIC229" s="50"/>
      <c r="VID229" s="50"/>
      <c r="VIE229" s="50"/>
      <c r="VIF229" s="50"/>
      <c r="VIG229" s="50"/>
      <c r="VIH229" s="50"/>
      <c r="VII229" s="50"/>
      <c r="VIJ229" s="50"/>
      <c r="VIK229" s="50"/>
      <c r="VIL229" s="50"/>
      <c r="VIM229" s="50"/>
      <c r="VIN229" s="50"/>
      <c r="VIO229" s="50"/>
      <c r="VIP229" s="50"/>
      <c r="VIQ229" s="50"/>
      <c r="VIR229" s="50"/>
      <c r="VIS229" s="50"/>
      <c r="VIT229" s="50"/>
      <c r="VIU229" s="50"/>
      <c r="VIV229" s="50"/>
      <c r="VIW229" s="50"/>
      <c r="VIX229" s="50"/>
      <c r="VIY229" s="50"/>
      <c r="VIZ229" s="50"/>
      <c r="VJA229" s="50"/>
      <c r="VJB229" s="50"/>
      <c r="VJC229" s="50"/>
      <c r="VJD229" s="50"/>
      <c r="VJE229" s="50"/>
      <c r="VJF229" s="50"/>
      <c r="VJG229" s="50"/>
      <c r="VJH229" s="50"/>
      <c r="VJI229" s="50"/>
      <c r="VJJ229" s="50"/>
      <c r="VJK229" s="50"/>
      <c r="VJL229" s="50"/>
      <c r="VJM229" s="50"/>
      <c r="VJN229" s="50"/>
      <c r="VJO229" s="50"/>
      <c r="VJP229" s="50"/>
      <c r="VJQ229" s="50"/>
      <c r="VJR229" s="50"/>
      <c r="VJS229" s="50"/>
      <c r="VJT229" s="50"/>
      <c r="VJU229" s="50"/>
      <c r="VJV229" s="50"/>
      <c r="VJW229" s="50"/>
      <c r="VJX229" s="50"/>
      <c r="VJY229" s="50"/>
      <c r="VJZ229" s="50"/>
      <c r="VKA229" s="50"/>
      <c r="VKB229" s="50"/>
      <c r="VKC229" s="50"/>
      <c r="VKD229" s="50"/>
      <c r="VKE229" s="50"/>
      <c r="VKF229" s="50"/>
      <c r="VKG229" s="50"/>
      <c r="VKH229" s="50"/>
      <c r="VKI229" s="50"/>
      <c r="VKJ229" s="50"/>
      <c r="VKK229" s="50"/>
      <c r="VKL229" s="50"/>
      <c r="VKM229" s="50"/>
      <c r="VKN229" s="50"/>
      <c r="VKO229" s="50"/>
      <c r="VKP229" s="50"/>
      <c r="VKQ229" s="50"/>
      <c r="VKR229" s="50"/>
      <c r="VKS229" s="50"/>
      <c r="VKT229" s="50"/>
      <c r="VKU229" s="50"/>
      <c r="VKV229" s="50"/>
      <c r="VKW229" s="50"/>
      <c r="VKX229" s="50"/>
      <c r="VKY229" s="50"/>
      <c r="VKZ229" s="50"/>
      <c r="VLA229" s="50"/>
      <c r="VLB229" s="50"/>
      <c r="VLC229" s="50"/>
      <c r="VLD229" s="50"/>
      <c r="VLE229" s="50"/>
      <c r="VLF229" s="50"/>
      <c r="VLG229" s="50"/>
      <c r="VLH229" s="50"/>
      <c r="VLI229" s="50"/>
      <c r="VLJ229" s="50"/>
      <c r="VLK229" s="50"/>
      <c r="VLL229" s="50"/>
      <c r="VLM229" s="50"/>
      <c r="VLN229" s="50"/>
      <c r="VLO229" s="50"/>
      <c r="VLP229" s="50"/>
      <c r="VLQ229" s="50"/>
      <c r="VLR229" s="50"/>
      <c r="VLS229" s="50"/>
      <c r="VLT229" s="50"/>
      <c r="VLU229" s="50"/>
      <c r="VLV229" s="50"/>
      <c r="VLW229" s="50"/>
      <c r="VLX229" s="50"/>
      <c r="VLY229" s="50"/>
      <c r="VLZ229" s="50"/>
      <c r="VMA229" s="50"/>
      <c r="VMB229" s="50"/>
      <c r="VMC229" s="50"/>
      <c r="VMD229" s="50"/>
      <c r="VME229" s="50"/>
      <c r="VMF229" s="50"/>
      <c r="VMG229" s="50"/>
      <c r="VMH229" s="50"/>
      <c r="VMI229" s="50"/>
      <c r="VMJ229" s="50"/>
      <c r="VMK229" s="50"/>
      <c r="VML229" s="50"/>
      <c r="VMM229" s="50"/>
      <c r="VMN229" s="50"/>
      <c r="VMO229" s="50"/>
      <c r="VMP229" s="50"/>
      <c r="VMQ229" s="50"/>
      <c r="VMR229" s="50"/>
      <c r="VMS229" s="50"/>
      <c r="VMT229" s="50"/>
      <c r="VMU229" s="50"/>
      <c r="VMV229" s="50"/>
      <c r="VMW229" s="50"/>
      <c r="VMX229" s="50"/>
      <c r="VMY229" s="50"/>
      <c r="VMZ229" s="50"/>
      <c r="VNA229" s="50"/>
      <c r="VNB229" s="50"/>
      <c r="VNC229" s="50"/>
      <c r="VND229" s="50"/>
      <c r="VNE229" s="50"/>
      <c r="VNF229" s="50"/>
      <c r="VNG229" s="50"/>
      <c r="VNH229" s="50"/>
      <c r="VNI229" s="50"/>
      <c r="VNJ229" s="50"/>
      <c r="VNK229" s="50"/>
      <c r="VNL229" s="50"/>
      <c r="VNM229" s="50"/>
      <c r="VNN229" s="50"/>
      <c r="VNO229" s="50"/>
      <c r="VNP229" s="50"/>
      <c r="VNQ229" s="50"/>
      <c r="VNR229" s="50"/>
      <c r="VNS229" s="50"/>
      <c r="VNT229" s="50"/>
      <c r="VNU229" s="50"/>
      <c r="VNV229" s="50"/>
      <c r="VNW229" s="50"/>
      <c r="VNX229" s="50"/>
      <c r="VNY229" s="50"/>
      <c r="VNZ229" s="50"/>
      <c r="VOA229" s="50"/>
      <c r="VOB229" s="50"/>
      <c r="VOC229" s="50"/>
      <c r="VOD229" s="50"/>
      <c r="VOE229" s="50"/>
      <c r="VOF229" s="50"/>
      <c r="VOG229" s="50"/>
      <c r="VOH229" s="50"/>
      <c r="VOI229" s="50"/>
      <c r="VOJ229" s="50"/>
      <c r="VOK229" s="50"/>
      <c r="VOL229" s="50"/>
      <c r="VOM229" s="50"/>
      <c r="VON229" s="50"/>
      <c r="VOO229" s="50"/>
      <c r="VOP229" s="50"/>
      <c r="VOQ229" s="50"/>
      <c r="VOR229" s="50"/>
      <c r="VOS229" s="50"/>
      <c r="VOT229" s="50"/>
      <c r="VOU229" s="50"/>
      <c r="VOV229" s="50"/>
      <c r="VOW229" s="50"/>
      <c r="VOX229" s="50"/>
      <c r="VOY229" s="50"/>
      <c r="VOZ229" s="50"/>
      <c r="VPA229" s="50"/>
      <c r="VPB229" s="50"/>
      <c r="VPC229" s="50"/>
      <c r="VPD229" s="50"/>
      <c r="VPE229" s="50"/>
      <c r="VPF229" s="50"/>
      <c r="VPG229" s="50"/>
      <c r="VPH229" s="50"/>
      <c r="VPI229" s="50"/>
      <c r="VPJ229" s="50"/>
      <c r="VPK229" s="50"/>
      <c r="VPL229" s="50"/>
      <c r="VPM229" s="50"/>
      <c r="VPN229" s="50"/>
      <c r="VPO229" s="50"/>
      <c r="VPP229" s="50"/>
      <c r="VPQ229" s="50"/>
      <c r="VPR229" s="50"/>
      <c r="VPS229" s="50"/>
      <c r="VPT229" s="50"/>
      <c r="VPU229" s="50"/>
      <c r="VPV229" s="50"/>
      <c r="VPW229" s="50"/>
      <c r="VPX229" s="50"/>
      <c r="VPY229" s="50"/>
      <c r="VPZ229" s="50"/>
      <c r="VQA229" s="50"/>
      <c r="VQB229" s="50"/>
      <c r="VQC229" s="50"/>
      <c r="VQD229" s="50"/>
      <c r="VQE229" s="50"/>
      <c r="VQF229" s="50"/>
      <c r="VQG229" s="50"/>
      <c r="VQH229" s="50"/>
      <c r="VQI229" s="50"/>
      <c r="VQJ229" s="50"/>
      <c r="VQK229" s="50"/>
      <c r="VQL229" s="50"/>
      <c r="VQM229" s="50"/>
      <c r="VQN229" s="50"/>
      <c r="VQO229" s="50"/>
      <c r="VQP229" s="50"/>
      <c r="VQQ229" s="50"/>
      <c r="VQR229" s="50"/>
      <c r="VQS229" s="50"/>
      <c r="VQT229" s="50"/>
      <c r="VQU229" s="50"/>
      <c r="VQV229" s="50"/>
      <c r="VQW229" s="50"/>
      <c r="VQX229" s="50"/>
      <c r="VQY229" s="50"/>
      <c r="VQZ229" s="50"/>
      <c r="VRA229" s="50"/>
      <c r="VRB229" s="50"/>
      <c r="VRC229" s="50"/>
      <c r="VRD229" s="50"/>
      <c r="VRE229" s="50"/>
      <c r="VRF229" s="50"/>
      <c r="VRG229" s="50"/>
      <c r="VRH229" s="50"/>
      <c r="VRI229" s="50"/>
      <c r="VRJ229" s="50"/>
      <c r="VRK229" s="50"/>
      <c r="VRL229" s="50"/>
      <c r="VRM229" s="50"/>
      <c r="VRN229" s="50"/>
      <c r="VRO229" s="50"/>
      <c r="VRP229" s="50"/>
      <c r="VRQ229" s="50"/>
      <c r="VRR229" s="50"/>
      <c r="VRS229" s="50"/>
      <c r="VRT229" s="50"/>
      <c r="VRU229" s="50"/>
      <c r="VRV229" s="50"/>
      <c r="VRW229" s="50"/>
      <c r="VRX229" s="50"/>
      <c r="VRY229" s="50"/>
      <c r="VRZ229" s="50"/>
      <c r="VSA229" s="50"/>
      <c r="VSB229" s="50"/>
      <c r="VSC229" s="50"/>
      <c r="VSD229" s="50"/>
      <c r="VSE229" s="50"/>
      <c r="VSF229" s="50"/>
      <c r="VSG229" s="50"/>
      <c r="VSH229" s="50"/>
      <c r="VSI229" s="50"/>
      <c r="VSJ229" s="50"/>
      <c r="VSK229" s="50"/>
      <c r="VSL229" s="50"/>
      <c r="VSM229" s="50"/>
      <c r="VSN229" s="50"/>
      <c r="VSO229" s="50"/>
      <c r="VSP229" s="50"/>
      <c r="VSQ229" s="50"/>
      <c r="VSR229" s="50"/>
      <c r="VSS229" s="50"/>
      <c r="VST229" s="50"/>
      <c r="VSU229" s="50"/>
      <c r="VSV229" s="50"/>
      <c r="VSW229" s="50"/>
      <c r="VSX229" s="50"/>
      <c r="VSY229" s="50"/>
      <c r="VSZ229" s="50"/>
      <c r="VTA229" s="50"/>
      <c r="VTB229" s="50"/>
      <c r="VTC229" s="50"/>
      <c r="VTD229" s="50"/>
      <c r="VTE229" s="50"/>
      <c r="VTF229" s="50"/>
      <c r="VTG229" s="50"/>
      <c r="VTH229" s="50"/>
      <c r="VTI229" s="50"/>
      <c r="VTJ229" s="50"/>
      <c r="VTK229" s="50"/>
      <c r="VTL229" s="50"/>
      <c r="VTM229" s="50"/>
      <c r="VTN229" s="50"/>
      <c r="VTO229" s="50"/>
      <c r="VTP229" s="50"/>
      <c r="VTQ229" s="50"/>
      <c r="VTR229" s="50"/>
      <c r="VTS229" s="50"/>
      <c r="VTT229" s="50"/>
      <c r="VTU229" s="50"/>
      <c r="VTV229" s="50"/>
      <c r="VTW229" s="50"/>
      <c r="VTX229" s="50"/>
      <c r="VTY229" s="50"/>
      <c r="VTZ229" s="50"/>
      <c r="VUA229" s="50"/>
      <c r="VUB229" s="50"/>
      <c r="VUC229" s="50"/>
      <c r="VUD229" s="50"/>
      <c r="VUE229" s="50"/>
      <c r="VUF229" s="50"/>
      <c r="VUG229" s="50"/>
      <c r="VUH229" s="50"/>
      <c r="VUI229" s="50"/>
      <c r="VUJ229" s="50"/>
      <c r="VUK229" s="50"/>
      <c r="VUL229" s="50"/>
      <c r="VUM229" s="50"/>
      <c r="VUN229" s="50"/>
      <c r="VUO229" s="50"/>
      <c r="VUP229" s="50"/>
      <c r="VUQ229" s="50"/>
      <c r="VUR229" s="50"/>
      <c r="VUS229" s="50"/>
      <c r="VUT229" s="50"/>
      <c r="VUU229" s="50"/>
      <c r="VUV229" s="50"/>
      <c r="VUW229" s="50"/>
      <c r="VUX229" s="50"/>
      <c r="VUY229" s="50"/>
      <c r="VUZ229" s="50"/>
      <c r="VVA229" s="50"/>
      <c r="VVB229" s="50"/>
      <c r="VVC229" s="50"/>
      <c r="VVD229" s="50"/>
      <c r="VVE229" s="50"/>
      <c r="VVF229" s="50"/>
      <c r="VVG229" s="50"/>
      <c r="VVH229" s="50"/>
      <c r="VVI229" s="50"/>
      <c r="VVJ229" s="50"/>
      <c r="VVK229" s="50"/>
      <c r="VVL229" s="50"/>
      <c r="VVM229" s="50"/>
      <c r="VVN229" s="50"/>
    </row>
    <row r="230" spans="2:100 15066:15458" s="16" customFormat="1" x14ac:dyDescent="0.2">
      <c r="B230" s="17"/>
      <c r="C230" s="254" t="s">
        <v>12</v>
      </c>
      <c r="D230" s="276">
        <v>1100</v>
      </c>
      <c r="E230" s="255" t="s">
        <v>125</v>
      </c>
      <c r="F230" s="256">
        <v>714</v>
      </c>
      <c r="G230" s="256">
        <v>705</v>
      </c>
      <c r="H230" s="256">
        <v>863</v>
      </c>
      <c r="I230" s="256">
        <v>724</v>
      </c>
      <c r="J230" s="256">
        <v>572</v>
      </c>
      <c r="K230" s="256">
        <v>601</v>
      </c>
      <c r="L230" s="256">
        <v>690</v>
      </c>
      <c r="M230" s="256">
        <v>756</v>
      </c>
      <c r="N230" s="256">
        <v>547</v>
      </c>
      <c r="O230" s="256">
        <v>743</v>
      </c>
      <c r="P230" s="256">
        <v>663</v>
      </c>
      <c r="Q230" s="256">
        <v>782</v>
      </c>
      <c r="R230" s="256">
        <v>752</v>
      </c>
      <c r="S230" s="256">
        <v>639</v>
      </c>
      <c r="T230" s="256">
        <v>588</v>
      </c>
      <c r="U230" s="256"/>
      <c r="V230" s="256"/>
      <c r="W230" s="256"/>
      <c r="X230" s="256"/>
      <c r="Y230" s="256"/>
      <c r="Z230" s="256"/>
      <c r="AA230" s="256"/>
      <c r="AB230" s="256"/>
      <c r="AC230" s="256"/>
      <c r="AD230" s="256"/>
      <c r="AE230" s="256"/>
      <c r="AF230" s="256"/>
      <c r="AG230" s="256"/>
      <c r="AH230" s="256"/>
      <c r="AI230" s="256"/>
      <c r="AJ230" s="256"/>
      <c r="AK230" s="44"/>
      <c r="AL230" s="63">
        <f>SUM(F230:AJ230)</f>
        <v>10339</v>
      </c>
      <c r="AM230" s="183">
        <f>AL230/4</f>
        <v>2584.75</v>
      </c>
      <c r="AN230" s="71">
        <f>AM230/D230*100</f>
        <v>234.97727272727272</v>
      </c>
      <c r="CV230" s="154"/>
    </row>
    <row r="231" spans="2:100 15066:15458" s="16" customFormat="1" x14ac:dyDescent="0.25">
      <c r="B231" s="17"/>
      <c r="C231" s="45" t="s">
        <v>11</v>
      </c>
      <c r="D231" s="263"/>
      <c r="E231" s="12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L231" s="130" t="s">
        <v>11</v>
      </c>
      <c r="CV231" s="154"/>
    </row>
    <row r="232" spans="2:100 15066:15458" s="16" customFormat="1" x14ac:dyDescent="0.2">
      <c r="B232" s="17"/>
      <c r="C232" s="254" t="s">
        <v>10</v>
      </c>
      <c r="D232" s="277">
        <v>91.5</v>
      </c>
      <c r="E232" s="255" t="s">
        <v>125</v>
      </c>
      <c r="F232" s="257">
        <v>106</v>
      </c>
      <c r="G232" s="257">
        <v>111</v>
      </c>
      <c r="H232" s="257">
        <v>96</v>
      </c>
      <c r="I232" s="257">
        <v>79</v>
      </c>
      <c r="J232" s="257">
        <v>93</v>
      </c>
      <c r="K232" s="257">
        <v>148</v>
      </c>
      <c r="L232" s="257">
        <v>54</v>
      </c>
      <c r="M232" s="257">
        <v>153</v>
      </c>
      <c r="N232" s="257">
        <v>97</v>
      </c>
      <c r="O232" s="257">
        <v>116</v>
      </c>
      <c r="P232" s="257">
        <v>89</v>
      </c>
      <c r="Q232" s="257">
        <v>86</v>
      </c>
      <c r="R232" s="257">
        <v>94</v>
      </c>
      <c r="S232" s="257">
        <v>114</v>
      </c>
      <c r="T232" s="257">
        <v>102</v>
      </c>
      <c r="U232" s="257"/>
      <c r="V232" s="257"/>
      <c r="W232" s="257"/>
      <c r="X232" s="257"/>
      <c r="Y232" s="257"/>
      <c r="Z232" s="257"/>
      <c r="AA232" s="257"/>
      <c r="AB232" s="257"/>
      <c r="AC232" s="257"/>
      <c r="AD232" s="257"/>
      <c r="AE232" s="257"/>
      <c r="AF232" s="257"/>
      <c r="AG232" s="257"/>
      <c r="AH232" s="257"/>
      <c r="AI232" s="257"/>
      <c r="AJ232" s="257"/>
      <c r="AL232" s="63">
        <f>SUM(F232:AJ232)</f>
        <v>1538</v>
      </c>
      <c r="CV232" s="154"/>
    </row>
    <row r="233" spans="2:100 15066:15458" s="16" customFormat="1" x14ac:dyDescent="0.2">
      <c r="B233" s="17"/>
      <c r="C233" s="254" t="s">
        <v>9</v>
      </c>
      <c r="D233" s="277">
        <v>179.63</v>
      </c>
      <c r="E233" s="255" t="s">
        <v>125</v>
      </c>
      <c r="F233" s="257">
        <v>99</v>
      </c>
      <c r="G233" s="257">
        <v>88</v>
      </c>
      <c r="H233" s="257">
        <v>108</v>
      </c>
      <c r="I233" s="257">
        <v>72</v>
      </c>
      <c r="J233" s="257">
        <v>76</v>
      </c>
      <c r="K233" s="257">
        <v>73</v>
      </c>
      <c r="L233" s="257">
        <v>20</v>
      </c>
      <c r="M233" s="257">
        <v>12</v>
      </c>
      <c r="N233" s="257">
        <v>50</v>
      </c>
      <c r="O233" s="257">
        <v>6</v>
      </c>
      <c r="P233" s="257">
        <v>61</v>
      </c>
      <c r="Q233" s="257">
        <v>57</v>
      </c>
      <c r="R233" s="257">
        <v>58</v>
      </c>
      <c r="S233" s="257">
        <v>76</v>
      </c>
      <c r="T233" s="257">
        <v>24</v>
      </c>
      <c r="U233" s="257"/>
      <c r="V233" s="257"/>
      <c r="W233" s="257"/>
      <c r="X233" s="257"/>
      <c r="Y233" s="257"/>
      <c r="Z233" s="257"/>
      <c r="AA233" s="257"/>
      <c r="AB233" s="257"/>
      <c r="AC233" s="257"/>
      <c r="AD233" s="257"/>
      <c r="AE233" s="257"/>
      <c r="AF233" s="257"/>
      <c r="AG233" s="257"/>
      <c r="AH233" s="257"/>
      <c r="AI233" s="257"/>
      <c r="AJ233" s="257"/>
      <c r="AL233" s="63">
        <f>SUM(F233:AJ233)</f>
        <v>880</v>
      </c>
      <c r="CV233" s="154"/>
    </row>
    <row r="234" spans="2:100 15066:15458" s="16" customFormat="1" x14ac:dyDescent="0.2">
      <c r="B234" s="17"/>
      <c r="C234" s="254" t="s">
        <v>8</v>
      </c>
      <c r="D234" s="276">
        <v>491.59</v>
      </c>
      <c r="E234" s="255" t="s">
        <v>125</v>
      </c>
      <c r="F234" s="257">
        <v>375.3</v>
      </c>
      <c r="G234" s="257">
        <v>505</v>
      </c>
      <c r="H234" s="257">
        <v>339.8</v>
      </c>
      <c r="I234" s="257">
        <v>451.2</v>
      </c>
      <c r="J234" s="257">
        <v>320</v>
      </c>
      <c r="K234" s="257">
        <v>236</v>
      </c>
      <c r="L234" s="257">
        <v>356</v>
      </c>
      <c r="M234" s="257">
        <v>304</v>
      </c>
      <c r="N234" s="257">
        <v>304</v>
      </c>
      <c r="O234" s="257">
        <v>320</v>
      </c>
      <c r="P234" s="257">
        <v>384</v>
      </c>
      <c r="Q234" s="257">
        <v>384</v>
      </c>
      <c r="R234" s="257">
        <v>336</v>
      </c>
      <c r="S234" s="257">
        <v>336</v>
      </c>
      <c r="T234" s="257">
        <v>288</v>
      </c>
      <c r="U234" s="257"/>
      <c r="V234" s="257"/>
      <c r="W234" s="257"/>
      <c r="X234" s="257"/>
      <c r="Y234" s="257"/>
      <c r="Z234" s="257"/>
      <c r="AA234" s="257"/>
      <c r="AB234" s="257"/>
      <c r="AC234" s="257"/>
      <c r="AD234" s="257"/>
      <c r="AE234" s="257"/>
      <c r="AF234" s="257"/>
      <c r="AG234" s="257"/>
      <c r="AH234" s="257"/>
      <c r="AI234" s="257"/>
      <c r="AJ234" s="257"/>
      <c r="AL234" s="63">
        <f>SUM(F234:AJ234)</f>
        <v>5239.3</v>
      </c>
      <c r="CV234" s="154"/>
    </row>
    <row r="235" spans="2:100 15066:15458" s="16" customFormat="1" x14ac:dyDescent="0.2">
      <c r="B235" s="17"/>
      <c r="C235" s="31" t="s">
        <v>7</v>
      </c>
      <c r="D235" s="276">
        <v>337.28</v>
      </c>
      <c r="E235" s="32" t="s">
        <v>125</v>
      </c>
      <c r="F235" s="34">
        <f>F230-F232-F233-F234</f>
        <v>133.69999999999999</v>
      </c>
      <c r="G235" s="34">
        <f>G230-G232-G233-G234</f>
        <v>1</v>
      </c>
      <c r="H235" s="34">
        <f>H230-H232-H233-H234</f>
        <v>319.2</v>
      </c>
      <c r="I235" s="34">
        <f t="shared" ref="I235" si="62">I230-I232-I233-I234</f>
        <v>121.80000000000001</v>
      </c>
      <c r="J235" s="34">
        <f t="shared" ref="J235:AJ235" si="63">J230-J232-J233-J234</f>
        <v>83</v>
      </c>
      <c r="K235" s="34">
        <f t="shared" si="63"/>
        <v>144</v>
      </c>
      <c r="L235" s="34">
        <f t="shared" si="63"/>
        <v>260</v>
      </c>
      <c r="M235" s="34">
        <f t="shared" si="63"/>
        <v>287</v>
      </c>
      <c r="N235" s="34">
        <f t="shared" si="63"/>
        <v>96</v>
      </c>
      <c r="O235" s="34">
        <f t="shared" si="63"/>
        <v>301</v>
      </c>
      <c r="P235" s="34">
        <f t="shared" si="63"/>
        <v>129</v>
      </c>
      <c r="Q235" s="34">
        <f t="shared" si="63"/>
        <v>255</v>
      </c>
      <c r="R235" s="34">
        <f t="shared" si="63"/>
        <v>264</v>
      </c>
      <c r="S235" s="34">
        <f t="shared" si="63"/>
        <v>113</v>
      </c>
      <c r="T235" s="34">
        <f t="shared" si="63"/>
        <v>174</v>
      </c>
      <c r="U235" s="34">
        <f t="shared" si="63"/>
        <v>0</v>
      </c>
      <c r="V235" s="34">
        <f t="shared" si="63"/>
        <v>0</v>
      </c>
      <c r="W235" s="34">
        <f t="shared" si="63"/>
        <v>0</v>
      </c>
      <c r="X235" s="34">
        <f t="shared" si="63"/>
        <v>0</v>
      </c>
      <c r="Y235" s="34">
        <f t="shared" si="63"/>
        <v>0</v>
      </c>
      <c r="Z235" s="34">
        <f t="shared" si="63"/>
        <v>0</v>
      </c>
      <c r="AA235" s="34">
        <f t="shared" si="63"/>
        <v>0</v>
      </c>
      <c r="AB235" s="34">
        <f t="shared" si="63"/>
        <v>0</v>
      </c>
      <c r="AC235" s="34">
        <f t="shared" si="63"/>
        <v>0</v>
      </c>
      <c r="AD235" s="34">
        <f t="shared" si="63"/>
        <v>0</v>
      </c>
      <c r="AE235" s="34">
        <f t="shared" si="63"/>
        <v>0</v>
      </c>
      <c r="AF235" s="34">
        <f t="shared" si="63"/>
        <v>0</v>
      </c>
      <c r="AG235" s="34">
        <f t="shared" si="63"/>
        <v>0</v>
      </c>
      <c r="AH235" s="34">
        <f t="shared" si="63"/>
        <v>0</v>
      </c>
      <c r="AI235" s="34">
        <f t="shared" si="63"/>
        <v>0</v>
      </c>
      <c r="AJ235" s="34">
        <f t="shared" si="63"/>
        <v>0</v>
      </c>
      <c r="AL235" s="63">
        <f>SUM(F235:AJ235)</f>
        <v>2681.7</v>
      </c>
      <c r="CV235" s="154"/>
    </row>
    <row r="236" spans="2:100 15066:15458" s="16" customFormat="1" ht="15.75" thickBot="1" x14ac:dyDescent="0.25">
      <c r="B236" s="46"/>
      <c r="C236" s="254" t="s">
        <v>6</v>
      </c>
      <c r="D236" s="276">
        <v>330</v>
      </c>
      <c r="E236" s="255" t="s">
        <v>125</v>
      </c>
      <c r="F236" s="257">
        <v>232</v>
      </c>
      <c r="G236" s="257">
        <v>270</v>
      </c>
      <c r="H236" s="257">
        <v>193</v>
      </c>
      <c r="I236" s="257">
        <v>193</v>
      </c>
      <c r="J236" s="257">
        <v>233</v>
      </c>
      <c r="K236" s="257">
        <v>264</v>
      </c>
      <c r="L236" s="257">
        <v>180</v>
      </c>
      <c r="M236" s="257">
        <v>128</v>
      </c>
      <c r="N236" s="257">
        <v>150</v>
      </c>
      <c r="O236" s="257">
        <v>257</v>
      </c>
      <c r="P236" s="257">
        <v>269</v>
      </c>
      <c r="Q236" s="257">
        <v>170</v>
      </c>
      <c r="R236" s="257">
        <v>146</v>
      </c>
      <c r="S236" s="257">
        <v>372</v>
      </c>
      <c r="T236" s="257">
        <v>192</v>
      </c>
      <c r="U236" s="257"/>
      <c r="V236" s="257"/>
      <c r="W236" s="257"/>
      <c r="X236" s="257"/>
      <c r="Y236" s="257"/>
      <c r="Z236" s="257"/>
      <c r="AA236" s="257"/>
      <c r="AB236" s="257"/>
      <c r="AC236" s="257"/>
      <c r="AD236" s="257"/>
      <c r="AE236" s="257"/>
      <c r="AF236" s="257"/>
      <c r="AG236" s="257"/>
      <c r="AH236" s="257"/>
      <c r="AI236" s="257"/>
      <c r="AJ236" s="257"/>
      <c r="AL236" s="63">
        <f>SUM(F236:AJ236)</f>
        <v>3249</v>
      </c>
      <c r="CV236" s="154"/>
    </row>
    <row r="237" spans="2:100 15066:15458" s="1" customFormat="1" x14ac:dyDescent="0.25">
      <c r="B237" s="92">
        <v>7</v>
      </c>
      <c r="C237" s="84" t="s">
        <v>5</v>
      </c>
      <c r="D237" s="85"/>
      <c r="E237" s="86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L237" s="131" t="s">
        <v>136</v>
      </c>
      <c r="CV237" s="151"/>
      <c r="VGL237" s="50"/>
      <c r="VGM237" s="50"/>
      <c r="VGN237" s="50"/>
      <c r="VGO237" s="50"/>
      <c r="VGP237" s="50"/>
      <c r="VGQ237" s="50"/>
      <c r="VGR237" s="50"/>
      <c r="VGS237" s="50"/>
      <c r="VGT237" s="50"/>
      <c r="VGU237" s="50"/>
      <c r="VGV237" s="50"/>
      <c r="VGW237" s="50"/>
      <c r="VGX237" s="50"/>
      <c r="VGY237" s="50"/>
      <c r="VGZ237" s="50"/>
      <c r="VHA237" s="50"/>
      <c r="VHB237" s="50"/>
      <c r="VHC237" s="50"/>
      <c r="VHD237" s="50"/>
      <c r="VHE237" s="50"/>
      <c r="VHF237" s="50"/>
      <c r="VHG237" s="50"/>
      <c r="VHH237" s="50"/>
      <c r="VHI237" s="50"/>
      <c r="VHJ237" s="50"/>
      <c r="VHK237" s="50"/>
      <c r="VHL237" s="50"/>
      <c r="VHM237" s="50"/>
      <c r="VHN237" s="50"/>
      <c r="VHO237" s="50"/>
      <c r="VHP237" s="50"/>
      <c r="VHQ237" s="50"/>
      <c r="VHR237" s="50"/>
      <c r="VHS237" s="50"/>
      <c r="VHT237" s="50"/>
      <c r="VHU237" s="50"/>
      <c r="VHV237" s="50"/>
      <c r="VHW237" s="50"/>
      <c r="VHX237" s="50"/>
      <c r="VHY237" s="50"/>
      <c r="VHZ237" s="50"/>
      <c r="VIA237" s="50"/>
      <c r="VIB237" s="50"/>
      <c r="VIC237" s="50"/>
      <c r="VID237" s="50"/>
      <c r="VIE237" s="50"/>
      <c r="VIF237" s="50"/>
      <c r="VIG237" s="50"/>
      <c r="VIH237" s="50"/>
      <c r="VII237" s="50"/>
      <c r="VIJ237" s="50"/>
      <c r="VIK237" s="50"/>
      <c r="VIL237" s="50"/>
      <c r="VIM237" s="50"/>
      <c r="VIN237" s="50"/>
      <c r="VIO237" s="50"/>
      <c r="VIP237" s="50"/>
      <c r="VIQ237" s="50"/>
      <c r="VIR237" s="50"/>
      <c r="VIS237" s="50"/>
      <c r="VIT237" s="50"/>
      <c r="VIU237" s="50"/>
      <c r="VIV237" s="50"/>
      <c r="VIW237" s="50"/>
      <c r="VIX237" s="50"/>
      <c r="VIY237" s="50"/>
      <c r="VIZ237" s="50"/>
      <c r="VJA237" s="50"/>
      <c r="VJB237" s="50"/>
      <c r="VJC237" s="50"/>
      <c r="VJD237" s="50"/>
      <c r="VJE237" s="50"/>
      <c r="VJF237" s="50"/>
      <c r="VJG237" s="50"/>
      <c r="VJH237" s="50"/>
      <c r="VJI237" s="50"/>
      <c r="VJJ237" s="50"/>
      <c r="VJK237" s="50"/>
      <c r="VJL237" s="50"/>
      <c r="VJM237" s="50"/>
      <c r="VJN237" s="50"/>
      <c r="VJO237" s="50"/>
      <c r="VJP237" s="50"/>
      <c r="VJQ237" s="50"/>
      <c r="VJR237" s="50"/>
      <c r="VJS237" s="50"/>
      <c r="VJT237" s="50"/>
      <c r="VJU237" s="50"/>
      <c r="VJV237" s="50"/>
      <c r="VJW237" s="50"/>
      <c r="VJX237" s="50"/>
      <c r="VJY237" s="50"/>
      <c r="VJZ237" s="50"/>
      <c r="VKA237" s="50"/>
      <c r="VKB237" s="50"/>
      <c r="VKC237" s="50"/>
      <c r="VKD237" s="50"/>
      <c r="VKE237" s="50"/>
      <c r="VKF237" s="50"/>
      <c r="VKG237" s="50"/>
      <c r="VKH237" s="50"/>
      <c r="VKI237" s="50"/>
      <c r="VKJ237" s="50"/>
      <c r="VKK237" s="50"/>
      <c r="VKL237" s="50"/>
      <c r="VKM237" s="50"/>
      <c r="VKN237" s="50"/>
      <c r="VKO237" s="50"/>
      <c r="VKP237" s="50"/>
      <c r="VKQ237" s="50"/>
      <c r="VKR237" s="50"/>
      <c r="VKS237" s="50"/>
      <c r="VKT237" s="50"/>
      <c r="VKU237" s="50"/>
      <c r="VKV237" s="50"/>
      <c r="VKW237" s="50"/>
      <c r="VKX237" s="50"/>
      <c r="VKY237" s="50"/>
      <c r="VKZ237" s="50"/>
      <c r="VLA237" s="50"/>
      <c r="VLB237" s="50"/>
      <c r="VLC237" s="50"/>
      <c r="VLD237" s="50"/>
      <c r="VLE237" s="50"/>
      <c r="VLF237" s="50"/>
      <c r="VLG237" s="50"/>
      <c r="VLH237" s="50"/>
      <c r="VLI237" s="50"/>
      <c r="VLJ237" s="50"/>
      <c r="VLK237" s="50"/>
      <c r="VLL237" s="50"/>
      <c r="VLM237" s="50"/>
      <c r="VLN237" s="50"/>
      <c r="VLO237" s="50"/>
      <c r="VLP237" s="50"/>
      <c r="VLQ237" s="50"/>
      <c r="VLR237" s="50"/>
      <c r="VLS237" s="50"/>
      <c r="VLT237" s="50"/>
      <c r="VLU237" s="50"/>
      <c r="VLV237" s="50"/>
      <c r="VLW237" s="50"/>
      <c r="VLX237" s="50"/>
      <c r="VLY237" s="50"/>
      <c r="VLZ237" s="50"/>
      <c r="VMA237" s="50"/>
      <c r="VMB237" s="50"/>
      <c r="VMC237" s="50"/>
      <c r="VMD237" s="50"/>
      <c r="VME237" s="50"/>
      <c r="VMF237" s="50"/>
      <c r="VMG237" s="50"/>
      <c r="VMH237" s="50"/>
      <c r="VMI237" s="50"/>
      <c r="VMJ237" s="50"/>
      <c r="VMK237" s="50"/>
      <c r="VML237" s="50"/>
      <c r="VMM237" s="50"/>
      <c r="VMN237" s="50"/>
      <c r="VMO237" s="50"/>
      <c r="VMP237" s="50"/>
      <c r="VMQ237" s="50"/>
      <c r="VMR237" s="50"/>
      <c r="VMS237" s="50"/>
      <c r="VMT237" s="50"/>
      <c r="VMU237" s="50"/>
      <c r="VMV237" s="50"/>
      <c r="VMW237" s="50"/>
      <c r="VMX237" s="50"/>
      <c r="VMY237" s="50"/>
      <c r="VMZ237" s="50"/>
      <c r="VNA237" s="50"/>
      <c r="VNB237" s="50"/>
      <c r="VNC237" s="50"/>
      <c r="VND237" s="50"/>
      <c r="VNE237" s="50"/>
      <c r="VNF237" s="50"/>
      <c r="VNG237" s="50"/>
      <c r="VNH237" s="50"/>
      <c r="VNI237" s="50"/>
      <c r="VNJ237" s="50"/>
      <c r="VNK237" s="50"/>
      <c r="VNL237" s="50"/>
      <c r="VNM237" s="50"/>
      <c r="VNN237" s="50"/>
      <c r="VNO237" s="50"/>
      <c r="VNP237" s="50"/>
      <c r="VNQ237" s="50"/>
      <c r="VNR237" s="50"/>
      <c r="VNS237" s="50"/>
      <c r="VNT237" s="50"/>
      <c r="VNU237" s="50"/>
      <c r="VNV237" s="50"/>
      <c r="VNW237" s="50"/>
      <c r="VNX237" s="50"/>
      <c r="VNY237" s="50"/>
      <c r="VNZ237" s="50"/>
      <c r="VOA237" s="50"/>
      <c r="VOB237" s="50"/>
      <c r="VOC237" s="50"/>
      <c r="VOD237" s="50"/>
      <c r="VOE237" s="50"/>
      <c r="VOF237" s="50"/>
      <c r="VOG237" s="50"/>
      <c r="VOH237" s="50"/>
      <c r="VOI237" s="50"/>
      <c r="VOJ237" s="50"/>
      <c r="VOK237" s="50"/>
      <c r="VOL237" s="50"/>
      <c r="VOM237" s="50"/>
      <c r="VON237" s="50"/>
      <c r="VOO237" s="50"/>
      <c r="VOP237" s="50"/>
      <c r="VOQ237" s="50"/>
      <c r="VOR237" s="50"/>
      <c r="VOS237" s="50"/>
      <c r="VOT237" s="50"/>
      <c r="VOU237" s="50"/>
      <c r="VOV237" s="50"/>
      <c r="VOW237" s="50"/>
      <c r="VOX237" s="50"/>
      <c r="VOY237" s="50"/>
      <c r="VOZ237" s="50"/>
      <c r="VPA237" s="50"/>
      <c r="VPB237" s="50"/>
      <c r="VPC237" s="50"/>
      <c r="VPD237" s="50"/>
      <c r="VPE237" s="50"/>
      <c r="VPF237" s="50"/>
      <c r="VPG237" s="50"/>
      <c r="VPH237" s="50"/>
      <c r="VPI237" s="50"/>
      <c r="VPJ237" s="50"/>
      <c r="VPK237" s="50"/>
      <c r="VPL237" s="50"/>
      <c r="VPM237" s="50"/>
      <c r="VPN237" s="50"/>
      <c r="VPO237" s="50"/>
      <c r="VPP237" s="50"/>
      <c r="VPQ237" s="50"/>
      <c r="VPR237" s="50"/>
      <c r="VPS237" s="50"/>
      <c r="VPT237" s="50"/>
      <c r="VPU237" s="50"/>
      <c r="VPV237" s="50"/>
      <c r="VPW237" s="50"/>
      <c r="VPX237" s="50"/>
      <c r="VPY237" s="50"/>
      <c r="VPZ237" s="50"/>
      <c r="VQA237" s="50"/>
      <c r="VQB237" s="50"/>
      <c r="VQC237" s="50"/>
      <c r="VQD237" s="50"/>
      <c r="VQE237" s="50"/>
      <c r="VQF237" s="50"/>
      <c r="VQG237" s="50"/>
      <c r="VQH237" s="50"/>
      <c r="VQI237" s="50"/>
      <c r="VQJ237" s="50"/>
      <c r="VQK237" s="50"/>
      <c r="VQL237" s="50"/>
      <c r="VQM237" s="50"/>
      <c r="VQN237" s="50"/>
      <c r="VQO237" s="50"/>
      <c r="VQP237" s="50"/>
      <c r="VQQ237" s="50"/>
      <c r="VQR237" s="50"/>
      <c r="VQS237" s="50"/>
      <c r="VQT237" s="50"/>
      <c r="VQU237" s="50"/>
      <c r="VQV237" s="50"/>
      <c r="VQW237" s="50"/>
      <c r="VQX237" s="50"/>
      <c r="VQY237" s="50"/>
      <c r="VQZ237" s="50"/>
      <c r="VRA237" s="50"/>
      <c r="VRB237" s="50"/>
      <c r="VRC237" s="50"/>
      <c r="VRD237" s="50"/>
      <c r="VRE237" s="50"/>
      <c r="VRF237" s="50"/>
      <c r="VRG237" s="50"/>
      <c r="VRH237" s="50"/>
      <c r="VRI237" s="50"/>
      <c r="VRJ237" s="50"/>
      <c r="VRK237" s="50"/>
      <c r="VRL237" s="50"/>
      <c r="VRM237" s="50"/>
      <c r="VRN237" s="50"/>
      <c r="VRO237" s="50"/>
      <c r="VRP237" s="50"/>
      <c r="VRQ237" s="50"/>
      <c r="VRR237" s="50"/>
      <c r="VRS237" s="50"/>
      <c r="VRT237" s="50"/>
      <c r="VRU237" s="50"/>
      <c r="VRV237" s="50"/>
      <c r="VRW237" s="50"/>
      <c r="VRX237" s="50"/>
      <c r="VRY237" s="50"/>
      <c r="VRZ237" s="50"/>
      <c r="VSA237" s="50"/>
      <c r="VSB237" s="50"/>
      <c r="VSC237" s="50"/>
      <c r="VSD237" s="50"/>
      <c r="VSE237" s="50"/>
      <c r="VSF237" s="50"/>
      <c r="VSG237" s="50"/>
      <c r="VSH237" s="50"/>
      <c r="VSI237" s="50"/>
      <c r="VSJ237" s="50"/>
      <c r="VSK237" s="50"/>
      <c r="VSL237" s="50"/>
      <c r="VSM237" s="50"/>
      <c r="VSN237" s="50"/>
      <c r="VSO237" s="50"/>
      <c r="VSP237" s="50"/>
      <c r="VSQ237" s="50"/>
      <c r="VSR237" s="50"/>
      <c r="VSS237" s="50"/>
      <c r="VST237" s="50"/>
      <c r="VSU237" s="50"/>
      <c r="VSV237" s="50"/>
      <c r="VSW237" s="50"/>
      <c r="VSX237" s="50"/>
      <c r="VSY237" s="50"/>
      <c r="VSZ237" s="50"/>
      <c r="VTA237" s="50"/>
      <c r="VTB237" s="50"/>
      <c r="VTC237" s="50"/>
      <c r="VTD237" s="50"/>
      <c r="VTE237" s="50"/>
      <c r="VTF237" s="50"/>
      <c r="VTG237" s="50"/>
      <c r="VTH237" s="50"/>
      <c r="VTI237" s="50"/>
      <c r="VTJ237" s="50"/>
      <c r="VTK237" s="50"/>
      <c r="VTL237" s="50"/>
      <c r="VTM237" s="50"/>
      <c r="VTN237" s="50"/>
      <c r="VTO237" s="50"/>
      <c r="VTP237" s="50"/>
      <c r="VTQ237" s="50"/>
      <c r="VTR237" s="50"/>
      <c r="VTS237" s="50"/>
      <c r="VTT237" s="50"/>
      <c r="VTU237" s="50"/>
      <c r="VTV237" s="50"/>
      <c r="VTW237" s="50"/>
      <c r="VTX237" s="50"/>
      <c r="VTY237" s="50"/>
      <c r="VTZ237" s="50"/>
      <c r="VUA237" s="50"/>
      <c r="VUB237" s="50"/>
      <c r="VUC237" s="50"/>
      <c r="VUD237" s="50"/>
      <c r="VUE237" s="50"/>
      <c r="VUF237" s="50"/>
      <c r="VUG237" s="50"/>
      <c r="VUH237" s="50"/>
      <c r="VUI237" s="50"/>
      <c r="VUJ237" s="50"/>
      <c r="VUK237" s="50"/>
      <c r="VUL237" s="50"/>
      <c r="VUM237" s="50"/>
      <c r="VUN237" s="50"/>
      <c r="VUO237" s="50"/>
      <c r="VUP237" s="50"/>
      <c r="VUQ237" s="50"/>
      <c r="VUR237" s="50"/>
      <c r="VUS237" s="50"/>
      <c r="VUT237" s="50"/>
      <c r="VUU237" s="50"/>
      <c r="VUV237" s="50"/>
      <c r="VUW237" s="50"/>
      <c r="VUX237" s="50"/>
      <c r="VUY237" s="50"/>
      <c r="VUZ237" s="50"/>
      <c r="VVA237" s="50"/>
      <c r="VVB237" s="50"/>
      <c r="VVC237" s="50"/>
      <c r="VVD237" s="50"/>
      <c r="VVE237" s="50"/>
      <c r="VVF237" s="50"/>
      <c r="VVG237" s="50"/>
      <c r="VVH237" s="50"/>
      <c r="VVI237" s="50"/>
      <c r="VVJ237" s="50"/>
      <c r="VVK237" s="50"/>
      <c r="VVL237" s="50"/>
      <c r="VVM237" s="50"/>
      <c r="VVN237" s="50"/>
    </row>
    <row r="238" spans="2:100 15066:15458" s="1" customFormat="1" x14ac:dyDescent="0.25">
      <c r="B238" s="92"/>
      <c r="C238" s="132" t="s">
        <v>4</v>
      </c>
      <c r="D238" s="278"/>
      <c r="E238" s="1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L238" s="61" t="s">
        <v>4</v>
      </c>
      <c r="CV238" s="151"/>
      <c r="VGL238" s="50"/>
      <c r="VGM238" s="50"/>
      <c r="VGN238" s="50"/>
      <c r="VGO238" s="50"/>
      <c r="VGP238" s="50"/>
      <c r="VGQ238" s="50"/>
      <c r="VGR238" s="50"/>
      <c r="VGS238" s="50"/>
      <c r="VGT238" s="50"/>
      <c r="VGU238" s="50"/>
      <c r="VGV238" s="50"/>
      <c r="VGW238" s="50"/>
      <c r="VGX238" s="50"/>
      <c r="VGY238" s="50"/>
      <c r="VGZ238" s="50"/>
      <c r="VHA238" s="50"/>
      <c r="VHB238" s="50"/>
      <c r="VHC238" s="50"/>
      <c r="VHD238" s="50"/>
      <c r="VHE238" s="50"/>
      <c r="VHF238" s="50"/>
      <c r="VHG238" s="50"/>
      <c r="VHH238" s="50"/>
      <c r="VHI238" s="50"/>
      <c r="VHJ238" s="50"/>
      <c r="VHK238" s="50"/>
      <c r="VHL238" s="50"/>
      <c r="VHM238" s="50"/>
      <c r="VHN238" s="50"/>
      <c r="VHO238" s="50"/>
      <c r="VHP238" s="50"/>
      <c r="VHQ238" s="50"/>
      <c r="VHR238" s="50"/>
      <c r="VHS238" s="50"/>
      <c r="VHT238" s="50"/>
      <c r="VHU238" s="50"/>
      <c r="VHV238" s="50"/>
      <c r="VHW238" s="50"/>
      <c r="VHX238" s="50"/>
      <c r="VHY238" s="50"/>
      <c r="VHZ238" s="50"/>
      <c r="VIA238" s="50"/>
      <c r="VIB238" s="50"/>
      <c r="VIC238" s="50"/>
      <c r="VID238" s="50"/>
      <c r="VIE238" s="50"/>
      <c r="VIF238" s="50"/>
      <c r="VIG238" s="50"/>
      <c r="VIH238" s="50"/>
      <c r="VII238" s="50"/>
      <c r="VIJ238" s="50"/>
      <c r="VIK238" s="50"/>
      <c r="VIL238" s="50"/>
      <c r="VIM238" s="50"/>
      <c r="VIN238" s="50"/>
      <c r="VIO238" s="50"/>
      <c r="VIP238" s="50"/>
      <c r="VIQ238" s="50"/>
      <c r="VIR238" s="50"/>
      <c r="VIS238" s="50"/>
      <c r="VIT238" s="50"/>
      <c r="VIU238" s="50"/>
      <c r="VIV238" s="50"/>
      <c r="VIW238" s="50"/>
      <c r="VIX238" s="50"/>
      <c r="VIY238" s="50"/>
      <c r="VIZ238" s="50"/>
      <c r="VJA238" s="50"/>
      <c r="VJB238" s="50"/>
      <c r="VJC238" s="50"/>
      <c r="VJD238" s="50"/>
      <c r="VJE238" s="50"/>
      <c r="VJF238" s="50"/>
      <c r="VJG238" s="50"/>
      <c r="VJH238" s="50"/>
      <c r="VJI238" s="50"/>
      <c r="VJJ238" s="50"/>
      <c r="VJK238" s="50"/>
      <c r="VJL238" s="50"/>
      <c r="VJM238" s="50"/>
      <c r="VJN238" s="50"/>
      <c r="VJO238" s="50"/>
      <c r="VJP238" s="50"/>
      <c r="VJQ238" s="50"/>
      <c r="VJR238" s="50"/>
      <c r="VJS238" s="50"/>
      <c r="VJT238" s="50"/>
      <c r="VJU238" s="50"/>
      <c r="VJV238" s="50"/>
      <c r="VJW238" s="50"/>
      <c r="VJX238" s="50"/>
      <c r="VJY238" s="50"/>
      <c r="VJZ238" s="50"/>
      <c r="VKA238" s="50"/>
      <c r="VKB238" s="50"/>
      <c r="VKC238" s="50"/>
      <c r="VKD238" s="50"/>
      <c r="VKE238" s="50"/>
      <c r="VKF238" s="50"/>
      <c r="VKG238" s="50"/>
      <c r="VKH238" s="50"/>
      <c r="VKI238" s="50"/>
      <c r="VKJ238" s="50"/>
      <c r="VKK238" s="50"/>
      <c r="VKL238" s="50"/>
      <c r="VKM238" s="50"/>
      <c r="VKN238" s="50"/>
      <c r="VKO238" s="50"/>
      <c r="VKP238" s="50"/>
      <c r="VKQ238" s="50"/>
      <c r="VKR238" s="50"/>
      <c r="VKS238" s="50"/>
      <c r="VKT238" s="50"/>
      <c r="VKU238" s="50"/>
      <c r="VKV238" s="50"/>
      <c r="VKW238" s="50"/>
      <c r="VKX238" s="50"/>
      <c r="VKY238" s="50"/>
      <c r="VKZ238" s="50"/>
      <c r="VLA238" s="50"/>
      <c r="VLB238" s="50"/>
      <c r="VLC238" s="50"/>
      <c r="VLD238" s="50"/>
      <c r="VLE238" s="50"/>
      <c r="VLF238" s="50"/>
      <c r="VLG238" s="50"/>
      <c r="VLH238" s="50"/>
      <c r="VLI238" s="50"/>
      <c r="VLJ238" s="50"/>
      <c r="VLK238" s="50"/>
      <c r="VLL238" s="50"/>
      <c r="VLM238" s="50"/>
      <c r="VLN238" s="50"/>
      <c r="VLO238" s="50"/>
      <c r="VLP238" s="50"/>
      <c r="VLQ238" s="50"/>
      <c r="VLR238" s="50"/>
      <c r="VLS238" s="50"/>
      <c r="VLT238" s="50"/>
      <c r="VLU238" s="50"/>
      <c r="VLV238" s="50"/>
      <c r="VLW238" s="50"/>
      <c r="VLX238" s="50"/>
      <c r="VLY238" s="50"/>
      <c r="VLZ238" s="50"/>
      <c r="VMA238" s="50"/>
      <c r="VMB238" s="50"/>
      <c r="VMC238" s="50"/>
      <c r="VMD238" s="50"/>
      <c r="VME238" s="50"/>
      <c r="VMF238" s="50"/>
      <c r="VMG238" s="50"/>
      <c r="VMH238" s="50"/>
      <c r="VMI238" s="50"/>
      <c r="VMJ238" s="50"/>
      <c r="VMK238" s="50"/>
      <c r="VML238" s="50"/>
      <c r="VMM238" s="50"/>
      <c r="VMN238" s="50"/>
      <c r="VMO238" s="50"/>
      <c r="VMP238" s="50"/>
      <c r="VMQ238" s="50"/>
      <c r="VMR238" s="50"/>
      <c r="VMS238" s="50"/>
      <c r="VMT238" s="50"/>
      <c r="VMU238" s="50"/>
      <c r="VMV238" s="50"/>
      <c r="VMW238" s="50"/>
      <c r="VMX238" s="50"/>
      <c r="VMY238" s="50"/>
      <c r="VMZ238" s="50"/>
      <c r="VNA238" s="50"/>
      <c r="VNB238" s="50"/>
      <c r="VNC238" s="50"/>
      <c r="VND238" s="50"/>
      <c r="VNE238" s="50"/>
      <c r="VNF238" s="50"/>
      <c r="VNG238" s="50"/>
      <c r="VNH238" s="50"/>
      <c r="VNI238" s="50"/>
      <c r="VNJ238" s="50"/>
      <c r="VNK238" s="50"/>
      <c r="VNL238" s="50"/>
      <c r="VNM238" s="50"/>
      <c r="VNN238" s="50"/>
      <c r="VNO238" s="50"/>
      <c r="VNP238" s="50"/>
      <c r="VNQ238" s="50"/>
      <c r="VNR238" s="50"/>
      <c r="VNS238" s="50"/>
      <c r="VNT238" s="50"/>
      <c r="VNU238" s="50"/>
      <c r="VNV238" s="50"/>
      <c r="VNW238" s="50"/>
      <c r="VNX238" s="50"/>
      <c r="VNY238" s="50"/>
      <c r="VNZ238" s="50"/>
      <c r="VOA238" s="50"/>
      <c r="VOB238" s="50"/>
      <c r="VOC238" s="50"/>
      <c r="VOD238" s="50"/>
      <c r="VOE238" s="50"/>
      <c r="VOF238" s="50"/>
      <c r="VOG238" s="50"/>
      <c r="VOH238" s="50"/>
      <c r="VOI238" s="50"/>
      <c r="VOJ238" s="50"/>
      <c r="VOK238" s="50"/>
      <c r="VOL238" s="50"/>
      <c r="VOM238" s="50"/>
      <c r="VON238" s="50"/>
      <c r="VOO238" s="50"/>
      <c r="VOP238" s="50"/>
      <c r="VOQ238" s="50"/>
      <c r="VOR238" s="50"/>
      <c r="VOS238" s="50"/>
      <c r="VOT238" s="50"/>
      <c r="VOU238" s="50"/>
      <c r="VOV238" s="50"/>
      <c r="VOW238" s="50"/>
      <c r="VOX238" s="50"/>
      <c r="VOY238" s="50"/>
      <c r="VOZ238" s="50"/>
      <c r="VPA238" s="50"/>
      <c r="VPB238" s="50"/>
      <c r="VPC238" s="50"/>
      <c r="VPD238" s="50"/>
      <c r="VPE238" s="50"/>
      <c r="VPF238" s="50"/>
      <c r="VPG238" s="50"/>
      <c r="VPH238" s="50"/>
      <c r="VPI238" s="50"/>
      <c r="VPJ238" s="50"/>
      <c r="VPK238" s="50"/>
      <c r="VPL238" s="50"/>
      <c r="VPM238" s="50"/>
      <c r="VPN238" s="50"/>
      <c r="VPO238" s="50"/>
      <c r="VPP238" s="50"/>
      <c r="VPQ238" s="50"/>
      <c r="VPR238" s="50"/>
      <c r="VPS238" s="50"/>
      <c r="VPT238" s="50"/>
      <c r="VPU238" s="50"/>
      <c r="VPV238" s="50"/>
      <c r="VPW238" s="50"/>
      <c r="VPX238" s="50"/>
      <c r="VPY238" s="50"/>
      <c r="VPZ238" s="50"/>
      <c r="VQA238" s="50"/>
      <c r="VQB238" s="50"/>
      <c r="VQC238" s="50"/>
      <c r="VQD238" s="50"/>
      <c r="VQE238" s="50"/>
      <c r="VQF238" s="50"/>
      <c r="VQG238" s="50"/>
      <c r="VQH238" s="50"/>
      <c r="VQI238" s="50"/>
      <c r="VQJ238" s="50"/>
      <c r="VQK238" s="50"/>
      <c r="VQL238" s="50"/>
      <c r="VQM238" s="50"/>
      <c r="VQN238" s="50"/>
      <c r="VQO238" s="50"/>
      <c r="VQP238" s="50"/>
      <c r="VQQ238" s="50"/>
      <c r="VQR238" s="50"/>
      <c r="VQS238" s="50"/>
      <c r="VQT238" s="50"/>
      <c r="VQU238" s="50"/>
      <c r="VQV238" s="50"/>
      <c r="VQW238" s="50"/>
      <c r="VQX238" s="50"/>
      <c r="VQY238" s="50"/>
      <c r="VQZ238" s="50"/>
      <c r="VRA238" s="50"/>
      <c r="VRB238" s="50"/>
      <c r="VRC238" s="50"/>
      <c r="VRD238" s="50"/>
      <c r="VRE238" s="50"/>
      <c r="VRF238" s="50"/>
      <c r="VRG238" s="50"/>
      <c r="VRH238" s="50"/>
      <c r="VRI238" s="50"/>
      <c r="VRJ238" s="50"/>
      <c r="VRK238" s="50"/>
      <c r="VRL238" s="50"/>
      <c r="VRM238" s="50"/>
      <c r="VRN238" s="50"/>
      <c r="VRO238" s="50"/>
      <c r="VRP238" s="50"/>
      <c r="VRQ238" s="50"/>
      <c r="VRR238" s="50"/>
      <c r="VRS238" s="50"/>
      <c r="VRT238" s="50"/>
      <c r="VRU238" s="50"/>
      <c r="VRV238" s="50"/>
      <c r="VRW238" s="50"/>
      <c r="VRX238" s="50"/>
      <c r="VRY238" s="50"/>
      <c r="VRZ238" s="50"/>
      <c r="VSA238" s="50"/>
      <c r="VSB238" s="50"/>
      <c r="VSC238" s="50"/>
      <c r="VSD238" s="50"/>
      <c r="VSE238" s="50"/>
      <c r="VSF238" s="50"/>
      <c r="VSG238" s="50"/>
      <c r="VSH238" s="50"/>
      <c r="VSI238" s="50"/>
      <c r="VSJ238" s="50"/>
      <c r="VSK238" s="50"/>
      <c r="VSL238" s="50"/>
      <c r="VSM238" s="50"/>
      <c r="VSN238" s="50"/>
      <c r="VSO238" s="50"/>
      <c r="VSP238" s="50"/>
      <c r="VSQ238" s="50"/>
      <c r="VSR238" s="50"/>
      <c r="VSS238" s="50"/>
      <c r="VST238" s="50"/>
      <c r="VSU238" s="50"/>
      <c r="VSV238" s="50"/>
      <c r="VSW238" s="50"/>
      <c r="VSX238" s="50"/>
      <c r="VSY238" s="50"/>
      <c r="VSZ238" s="50"/>
      <c r="VTA238" s="50"/>
      <c r="VTB238" s="50"/>
      <c r="VTC238" s="50"/>
      <c r="VTD238" s="50"/>
      <c r="VTE238" s="50"/>
      <c r="VTF238" s="50"/>
      <c r="VTG238" s="50"/>
      <c r="VTH238" s="50"/>
      <c r="VTI238" s="50"/>
      <c r="VTJ238" s="50"/>
      <c r="VTK238" s="50"/>
      <c r="VTL238" s="50"/>
      <c r="VTM238" s="50"/>
      <c r="VTN238" s="50"/>
      <c r="VTO238" s="50"/>
      <c r="VTP238" s="50"/>
      <c r="VTQ238" s="50"/>
      <c r="VTR238" s="50"/>
      <c r="VTS238" s="50"/>
      <c r="VTT238" s="50"/>
      <c r="VTU238" s="50"/>
      <c r="VTV238" s="50"/>
      <c r="VTW238" s="50"/>
      <c r="VTX238" s="50"/>
      <c r="VTY238" s="50"/>
      <c r="VTZ238" s="50"/>
      <c r="VUA238" s="50"/>
      <c r="VUB238" s="50"/>
      <c r="VUC238" s="50"/>
      <c r="VUD238" s="50"/>
      <c r="VUE238" s="50"/>
      <c r="VUF238" s="50"/>
      <c r="VUG238" s="50"/>
      <c r="VUH238" s="50"/>
      <c r="VUI238" s="50"/>
      <c r="VUJ238" s="50"/>
      <c r="VUK238" s="50"/>
      <c r="VUL238" s="50"/>
      <c r="VUM238" s="50"/>
      <c r="VUN238" s="50"/>
      <c r="VUO238" s="50"/>
      <c r="VUP238" s="50"/>
      <c r="VUQ238" s="50"/>
      <c r="VUR238" s="50"/>
      <c r="VUS238" s="50"/>
      <c r="VUT238" s="50"/>
      <c r="VUU238" s="50"/>
      <c r="VUV238" s="50"/>
      <c r="VUW238" s="50"/>
      <c r="VUX238" s="50"/>
      <c r="VUY238" s="50"/>
      <c r="VUZ238" s="50"/>
      <c r="VVA238" s="50"/>
      <c r="VVB238" s="50"/>
      <c r="VVC238" s="50"/>
      <c r="VVD238" s="50"/>
      <c r="VVE238" s="50"/>
      <c r="VVF238" s="50"/>
      <c r="VVG238" s="50"/>
      <c r="VVH238" s="50"/>
      <c r="VVI238" s="50"/>
      <c r="VVJ238" s="50"/>
      <c r="VVK238" s="50"/>
      <c r="VVL238" s="50"/>
      <c r="VVM238" s="50"/>
      <c r="VVN238" s="50"/>
    </row>
    <row r="239" spans="2:100 15066:15458" s="1" customFormat="1" x14ac:dyDescent="0.25">
      <c r="B239" s="92"/>
      <c r="C239" s="247" t="s">
        <v>3</v>
      </c>
      <c r="D239" s="246">
        <v>28770</v>
      </c>
      <c r="E239" s="258" t="s">
        <v>2</v>
      </c>
      <c r="F239" s="290">
        <v>21700</v>
      </c>
      <c r="G239" s="290">
        <v>21800</v>
      </c>
      <c r="H239" s="290">
        <v>22800</v>
      </c>
      <c r="I239" s="290">
        <v>22300</v>
      </c>
      <c r="J239" s="290">
        <v>20900</v>
      </c>
      <c r="K239" s="290">
        <v>19800</v>
      </c>
      <c r="L239" s="290">
        <v>16300</v>
      </c>
      <c r="M239" s="290">
        <v>16800</v>
      </c>
      <c r="N239" s="290">
        <v>19200</v>
      </c>
      <c r="O239" s="290">
        <v>18000</v>
      </c>
      <c r="P239" s="290">
        <v>20800</v>
      </c>
      <c r="Q239" s="290">
        <v>20700</v>
      </c>
      <c r="R239" s="290">
        <v>20200</v>
      </c>
      <c r="S239" s="290">
        <v>20200</v>
      </c>
      <c r="T239" s="290">
        <v>17100</v>
      </c>
      <c r="U239" s="290"/>
      <c r="V239" s="290"/>
      <c r="W239" s="290"/>
      <c r="X239" s="290"/>
      <c r="Y239" s="290"/>
      <c r="Z239" s="290"/>
      <c r="AA239" s="290"/>
      <c r="AB239" s="290"/>
      <c r="AC239" s="290"/>
      <c r="AD239" s="290"/>
      <c r="AE239" s="290"/>
      <c r="AF239" s="290"/>
      <c r="AG239" s="290"/>
      <c r="AH239" s="290"/>
      <c r="AI239" s="290"/>
      <c r="AJ239" s="290"/>
      <c r="AL239" s="91">
        <f>SUM(F239:AJ239)</f>
        <v>298600</v>
      </c>
      <c r="AM239" s="183">
        <f>AL239/4</f>
        <v>74650</v>
      </c>
      <c r="AN239" s="71">
        <f>AM239/D239*100</f>
        <v>259.47167188043096</v>
      </c>
      <c r="CV239" s="151"/>
      <c r="VGL239" s="50"/>
      <c r="VGM239" s="50"/>
      <c r="VGN239" s="50"/>
      <c r="VGO239" s="50"/>
      <c r="VGP239" s="50"/>
      <c r="VGQ239" s="50"/>
      <c r="VGR239" s="50"/>
      <c r="VGS239" s="50"/>
      <c r="VGT239" s="50"/>
      <c r="VGU239" s="50"/>
      <c r="VGV239" s="50"/>
      <c r="VGW239" s="50"/>
      <c r="VGX239" s="50"/>
      <c r="VGY239" s="50"/>
      <c r="VGZ239" s="50"/>
      <c r="VHA239" s="50"/>
      <c r="VHB239" s="50"/>
      <c r="VHC239" s="50"/>
      <c r="VHD239" s="50"/>
      <c r="VHE239" s="50"/>
      <c r="VHF239" s="50"/>
      <c r="VHG239" s="50"/>
      <c r="VHH239" s="50"/>
      <c r="VHI239" s="50"/>
      <c r="VHJ239" s="50"/>
      <c r="VHK239" s="50"/>
      <c r="VHL239" s="50"/>
      <c r="VHM239" s="50"/>
      <c r="VHN239" s="50"/>
      <c r="VHO239" s="50"/>
      <c r="VHP239" s="50"/>
      <c r="VHQ239" s="50"/>
      <c r="VHR239" s="50"/>
      <c r="VHS239" s="50"/>
      <c r="VHT239" s="50"/>
      <c r="VHU239" s="50"/>
      <c r="VHV239" s="50"/>
      <c r="VHW239" s="50"/>
      <c r="VHX239" s="50"/>
      <c r="VHY239" s="50"/>
      <c r="VHZ239" s="50"/>
      <c r="VIA239" s="50"/>
      <c r="VIB239" s="50"/>
      <c r="VIC239" s="50"/>
      <c r="VID239" s="50"/>
      <c r="VIE239" s="50"/>
      <c r="VIF239" s="50"/>
      <c r="VIG239" s="50"/>
      <c r="VIH239" s="50"/>
      <c r="VII239" s="50"/>
      <c r="VIJ239" s="50"/>
      <c r="VIK239" s="50"/>
      <c r="VIL239" s="50"/>
      <c r="VIM239" s="50"/>
      <c r="VIN239" s="50"/>
      <c r="VIO239" s="50"/>
      <c r="VIP239" s="50"/>
      <c r="VIQ239" s="50"/>
      <c r="VIR239" s="50"/>
      <c r="VIS239" s="50"/>
      <c r="VIT239" s="50"/>
      <c r="VIU239" s="50"/>
      <c r="VIV239" s="50"/>
      <c r="VIW239" s="50"/>
      <c r="VIX239" s="50"/>
      <c r="VIY239" s="50"/>
      <c r="VIZ239" s="50"/>
      <c r="VJA239" s="50"/>
      <c r="VJB239" s="50"/>
      <c r="VJC239" s="50"/>
      <c r="VJD239" s="50"/>
      <c r="VJE239" s="50"/>
      <c r="VJF239" s="50"/>
      <c r="VJG239" s="50"/>
      <c r="VJH239" s="50"/>
      <c r="VJI239" s="50"/>
      <c r="VJJ239" s="50"/>
      <c r="VJK239" s="50"/>
      <c r="VJL239" s="50"/>
      <c r="VJM239" s="50"/>
      <c r="VJN239" s="50"/>
      <c r="VJO239" s="50"/>
      <c r="VJP239" s="50"/>
      <c r="VJQ239" s="50"/>
      <c r="VJR239" s="50"/>
      <c r="VJS239" s="50"/>
      <c r="VJT239" s="50"/>
      <c r="VJU239" s="50"/>
      <c r="VJV239" s="50"/>
      <c r="VJW239" s="50"/>
      <c r="VJX239" s="50"/>
      <c r="VJY239" s="50"/>
      <c r="VJZ239" s="50"/>
      <c r="VKA239" s="50"/>
      <c r="VKB239" s="50"/>
      <c r="VKC239" s="50"/>
      <c r="VKD239" s="50"/>
      <c r="VKE239" s="50"/>
      <c r="VKF239" s="50"/>
      <c r="VKG239" s="50"/>
      <c r="VKH239" s="50"/>
      <c r="VKI239" s="50"/>
      <c r="VKJ239" s="50"/>
      <c r="VKK239" s="50"/>
      <c r="VKL239" s="50"/>
      <c r="VKM239" s="50"/>
      <c r="VKN239" s="50"/>
      <c r="VKO239" s="50"/>
      <c r="VKP239" s="50"/>
      <c r="VKQ239" s="50"/>
      <c r="VKR239" s="50"/>
      <c r="VKS239" s="50"/>
      <c r="VKT239" s="50"/>
      <c r="VKU239" s="50"/>
      <c r="VKV239" s="50"/>
      <c r="VKW239" s="50"/>
      <c r="VKX239" s="50"/>
      <c r="VKY239" s="50"/>
      <c r="VKZ239" s="50"/>
      <c r="VLA239" s="50"/>
      <c r="VLB239" s="50"/>
      <c r="VLC239" s="50"/>
      <c r="VLD239" s="50"/>
      <c r="VLE239" s="50"/>
      <c r="VLF239" s="50"/>
      <c r="VLG239" s="50"/>
      <c r="VLH239" s="50"/>
      <c r="VLI239" s="50"/>
      <c r="VLJ239" s="50"/>
      <c r="VLK239" s="50"/>
      <c r="VLL239" s="50"/>
      <c r="VLM239" s="50"/>
      <c r="VLN239" s="50"/>
      <c r="VLO239" s="50"/>
      <c r="VLP239" s="50"/>
      <c r="VLQ239" s="50"/>
      <c r="VLR239" s="50"/>
      <c r="VLS239" s="50"/>
      <c r="VLT239" s="50"/>
      <c r="VLU239" s="50"/>
      <c r="VLV239" s="50"/>
      <c r="VLW239" s="50"/>
      <c r="VLX239" s="50"/>
      <c r="VLY239" s="50"/>
      <c r="VLZ239" s="50"/>
      <c r="VMA239" s="50"/>
      <c r="VMB239" s="50"/>
      <c r="VMC239" s="50"/>
      <c r="VMD239" s="50"/>
      <c r="VME239" s="50"/>
      <c r="VMF239" s="50"/>
      <c r="VMG239" s="50"/>
      <c r="VMH239" s="50"/>
      <c r="VMI239" s="50"/>
      <c r="VMJ239" s="50"/>
      <c r="VMK239" s="50"/>
      <c r="VML239" s="50"/>
      <c r="VMM239" s="50"/>
      <c r="VMN239" s="50"/>
      <c r="VMO239" s="50"/>
      <c r="VMP239" s="50"/>
      <c r="VMQ239" s="50"/>
      <c r="VMR239" s="50"/>
      <c r="VMS239" s="50"/>
      <c r="VMT239" s="50"/>
      <c r="VMU239" s="50"/>
      <c r="VMV239" s="50"/>
      <c r="VMW239" s="50"/>
      <c r="VMX239" s="50"/>
      <c r="VMY239" s="50"/>
      <c r="VMZ239" s="50"/>
      <c r="VNA239" s="50"/>
      <c r="VNB239" s="50"/>
      <c r="VNC239" s="50"/>
      <c r="VND239" s="50"/>
      <c r="VNE239" s="50"/>
      <c r="VNF239" s="50"/>
      <c r="VNG239" s="50"/>
      <c r="VNH239" s="50"/>
      <c r="VNI239" s="50"/>
      <c r="VNJ239" s="50"/>
      <c r="VNK239" s="50"/>
      <c r="VNL239" s="50"/>
      <c r="VNM239" s="50"/>
      <c r="VNN239" s="50"/>
      <c r="VNO239" s="50"/>
      <c r="VNP239" s="50"/>
      <c r="VNQ239" s="50"/>
      <c r="VNR239" s="50"/>
      <c r="VNS239" s="50"/>
      <c r="VNT239" s="50"/>
      <c r="VNU239" s="50"/>
      <c r="VNV239" s="50"/>
      <c r="VNW239" s="50"/>
      <c r="VNX239" s="50"/>
      <c r="VNY239" s="50"/>
      <c r="VNZ239" s="50"/>
      <c r="VOA239" s="50"/>
      <c r="VOB239" s="50"/>
      <c r="VOC239" s="50"/>
      <c r="VOD239" s="50"/>
      <c r="VOE239" s="50"/>
      <c r="VOF239" s="50"/>
      <c r="VOG239" s="50"/>
      <c r="VOH239" s="50"/>
      <c r="VOI239" s="50"/>
      <c r="VOJ239" s="50"/>
      <c r="VOK239" s="50"/>
      <c r="VOL239" s="50"/>
      <c r="VOM239" s="50"/>
      <c r="VON239" s="50"/>
      <c r="VOO239" s="50"/>
      <c r="VOP239" s="50"/>
      <c r="VOQ239" s="50"/>
      <c r="VOR239" s="50"/>
      <c r="VOS239" s="50"/>
      <c r="VOT239" s="50"/>
      <c r="VOU239" s="50"/>
      <c r="VOV239" s="50"/>
      <c r="VOW239" s="50"/>
      <c r="VOX239" s="50"/>
      <c r="VOY239" s="50"/>
      <c r="VOZ239" s="50"/>
      <c r="VPA239" s="50"/>
      <c r="VPB239" s="50"/>
      <c r="VPC239" s="50"/>
      <c r="VPD239" s="50"/>
      <c r="VPE239" s="50"/>
      <c r="VPF239" s="50"/>
      <c r="VPG239" s="50"/>
      <c r="VPH239" s="50"/>
      <c r="VPI239" s="50"/>
      <c r="VPJ239" s="50"/>
      <c r="VPK239" s="50"/>
      <c r="VPL239" s="50"/>
      <c r="VPM239" s="50"/>
      <c r="VPN239" s="50"/>
      <c r="VPO239" s="50"/>
      <c r="VPP239" s="50"/>
      <c r="VPQ239" s="50"/>
      <c r="VPR239" s="50"/>
      <c r="VPS239" s="50"/>
      <c r="VPT239" s="50"/>
      <c r="VPU239" s="50"/>
      <c r="VPV239" s="50"/>
      <c r="VPW239" s="50"/>
      <c r="VPX239" s="50"/>
      <c r="VPY239" s="50"/>
      <c r="VPZ239" s="50"/>
      <c r="VQA239" s="50"/>
      <c r="VQB239" s="50"/>
      <c r="VQC239" s="50"/>
      <c r="VQD239" s="50"/>
      <c r="VQE239" s="50"/>
      <c r="VQF239" s="50"/>
      <c r="VQG239" s="50"/>
      <c r="VQH239" s="50"/>
      <c r="VQI239" s="50"/>
      <c r="VQJ239" s="50"/>
      <c r="VQK239" s="50"/>
      <c r="VQL239" s="50"/>
      <c r="VQM239" s="50"/>
      <c r="VQN239" s="50"/>
      <c r="VQO239" s="50"/>
      <c r="VQP239" s="50"/>
      <c r="VQQ239" s="50"/>
      <c r="VQR239" s="50"/>
      <c r="VQS239" s="50"/>
      <c r="VQT239" s="50"/>
      <c r="VQU239" s="50"/>
      <c r="VQV239" s="50"/>
      <c r="VQW239" s="50"/>
      <c r="VQX239" s="50"/>
      <c r="VQY239" s="50"/>
      <c r="VQZ239" s="50"/>
      <c r="VRA239" s="50"/>
      <c r="VRB239" s="50"/>
      <c r="VRC239" s="50"/>
      <c r="VRD239" s="50"/>
      <c r="VRE239" s="50"/>
      <c r="VRF239" s="50"/>
      <c r="VRG239" s="50"/>
      <c r="VRH239" s="50"/>
      <c r="VRI239" s="50"/>
      <c r="VRJ239" s="50"/>
      <c r="VRK239" s="50"/>
      <c r="VRL239" s="50"/>
      <c r="VRM239" s="50"/>
      <c r="VRN239" s="50"/>
      <c r="VRO239" s="50"/>
      <c r="VRP239" s="50"/>
      <c r="VRQ239" s="50"/>
      <c r="VRR239" s="50"/>
      <c r="VRS239" s="50"/>
      <c r="VRT239" s="50"/>
      <c r="VRU239" s="50"/>
      <c r="VRV239" s="50"/>
      <c r="VRW239" s="50"/>
      <c r="VRX239" s="50"/>
      <c r="VRY239" s="50"/>
      <c r="VRZ239" s="50"/>
      <c r="VSA239" s="50"/>
      <c r="VSB239" s="50"/>
      <c r="VSC239" s="50"/>
      <c r="VSD239" s="50"/>
      <c r="VSE239" s="50"/>
      <c r="VSF239" s="50"/>
      <c r="VSG239" s="50"/>
      <c r="VSH239" s="50"/>
      <c r="VSI239" s="50"/>
      <c r="VSJ239" s="50"/>
      <c r="VSK239" s="50"/>
      <c r="VSL239" s="50"/>
      <c r="VSM239" s="50"/>
      <c r="VSN239" s="50"/>
      <c r="VSO239" s="50"/>
      <c r="VSP239" s="50"/>
      <c r="VSQ239" s="50"/>
      <c r="VSR239" s="50"/>
      <c r="VSS239" s="50"/>
      <c r="VST239" s="50"/>
      <c r="VSU239" s="50"/>
      <c r="VSV239" s="50"/>
      <c r="VSW239" s="50"/>
      <c r="VSX239" s="50"/>
      <c r="VSY239" s="50"/>
      <c r="VSZ239" s="50"/>
      <c r="VTA239" s="50"/>
      <c r="VTB239" s="50"/>
      <c r="VTC239" s="50"/>
      <c r="VTD239" s="50"/>
      <c r="VTE239" s="50"/>
      <c r="VTF239" s="50"/>
      <c r="VTG239" s="50"/>
      <c r="VTH239" s="50"/>
      <c r="VTI239" s="50"/>
      <c r="VTJ239" s="50"/>
      <c r="VTK239" s="50"/>
      <c r="VTL239" s="50"/>
      <c r="VTM239" s="50"/>
      <c r="VTN239" s="50"/>
      <c r="VTO239" s="50"/>
      <c r="VTP239" s="50"/>
      <c r="VTQ239" s="50"/>
      <c r="VTR239" s="50"/>
      <c r="VTS239" s="50"/>
      <c r="VTT239" s="50"/>
      <c r="VTU239" s="50"/>
      <c r="VTV239" s="50"/>
      <c r="VTW239" s="50"/>
      <c r="VTX239" s="50"/>
      <c r="VTY239" s="50"/>
      <c r="VTZ239" s="50"/>
      <c r="VUA239" s="50"/>
      <c r="VUB239" s="50"/>
      <c r="VUC239" s="50"/>
      <c r="VUD239" s="50"/>
      <c r="VUE239" s="50"/>
      <c r="VUF239" s="50"/>
      <c r="VUG239" s="50"/>
      <c r="VUH239" s="50"/>
      <c r="VUI239" s="50"/>
      <c r="VUJ239" s="50"/>
      <c r="VUK239" s="50"/>
      <c r="VUL239" s="50"/>
      <c r="VUM239" s="50"/>
      <c r="VUN239" s="50"/>
      <c r="VUO239" s="50"/>
      <c r="VUP239" s="50"/>
      <c r="VUQ239" s="50"/>
      <c r="VUR239" s="50"/>
      <c r="VUS239" s="50"/>
      <c r="VUT239" s="50"/>
      <c r="VUU239" s="50"/>
      <c r="VUV239" s="50"/>
      <c r="VUW239" s="50"/>
      <c r="VUX239" s="50"/>
      <c r="VUY239" s="50"/>
      <c r="VUZ239" s="50"/>
      <c r="VVA239" s="50"/>
      <c r="VVB239" s="50"/>
      <c r="VVC239" s="50"/>
      <c r="VVD239" s="50"/>
      <c r="VVE239" s="50"/>
      <c r="VVF239" s="50"/>
      <c r="VVG239" s="50"/>
      <c r="VVH239" s="50"/>
      <c r="VVI239" s="50"/>
      <c r="VVJ239" s="50"/>
      <c r="VVK239" s="50"/>
      <c r="VVL239" s="50"/>
      <c r="VVM239" s="50"/>
      <c r="VVN239" s="50"/>
    </row>
    <row r="240" spans="2:100 15066:15458" s="1" customFormat="1" x14ac:dyDescent="0.25">
      <c r="B240" s="92"/>
      <c r="C240" s="132" t="s">
        <v>1</v>
      </c>
      <c r="D240" s="274"/>
      <c r="E240" s="78" t="s">
        <v>0</v>
      </c>
      <c r="F240" s="297">
        <f>F239</f>
        <v>21700</v>
      </c>
      <c r="G240" s="297">
        <f>G239</f>
        <v>21800</v>
      </c>
      <c r="H240" s="297">
        <f t="shared" ref="H240:I240" si="64">H239</f>
        <v>22800</v>
      </c>
      <c r="I240" s="297">
        <f t="shared" si="64"/>
        <v>22300</v>
      </c>
      <c r="J240" s="297">
        <f t="shared" ref="J240:AJ240" si="65">J239</f>
        <v>20900</v>
      </c>
      <c r="K240" s="297">
        <f t="shared" si="65"/>
        <v>19800</v>
      </c>
      <c r="L240" s="297">
        <f t="shared" si="65"/>
        <v>16300</v>
      </c>
      <c r="M240" s="297">
        <f t="shared" si="65"/>
        <v>16800</v>
      </c>
      <c r="N240" s="297">
        <f t="shared" si="65"/>
        <v>19200</v>
      </c>
      <c r="O240" s="297">
        <f t="shared" si="65"/>
        <v>18000</v>
      </c>
      <c r="P240" s="297">
        <f t="shared" si="65"/>
        <v>20800</v>
      </c>
      <c r="Q240" s="297">
        <f t="shared" si="65"/>
        <v>20700</v>
      </c>
      <c r="R240" s="297">
        <f t="shared" si="65"/>
        <v>20200</v>
      </c>
      <c r="S240" s="297">
        <f t="shared" si="65"/>
        <v>20200</v>
      </c>
      <c r="T240" s="297">
        <f t="shared" si="65"/>
        <v>17100</v>
      </c>
      <c r="U240" s="297">
        <f t="shared" si="65"/>
        <v>0</v>
      </c>
      <c r="V240" s="297">
        <f t="shared" si="65"/>
        <v>0</v>
      </c>
      <c r="W240" s="297">
        <f t="shared" si="65"/>
        <v>0</v>
      </c>
      <c r="X240" s="297">
        <f t="shared" si="65"/>
        <v>0</v>
      </c>
      <c r="Y240" s="297">
        <f t="shared" si="65"/>
        <v>0</v>
      </c>
      <c r="Z240" s="297">
        <f t="shared" si="65"/>
        <v>0</v>
      </c>
      <c r="AA240" s="297">
        <f t="shared" si="65"/>
        <v>0</v>
      </c>
      <c r="AB240" s="297">
        <f t="shared" si="65"/>
        <v>0</v>
      </c>
      <c r="AC240" s="297">
        <f t="shared" si="65"/>
        <v>0</v>
      </c>
      <c r="AD240" s="297">
        <f t="shared" si="65"/>
        <v>0</v>
      </c>
      <c r="AE240" s="297">
        <f t="shared" si="65"/>
        <v>0</v>
      </c>
      <c r="AF240" s="297">
        <f t="shared" si="65"/>
        <v>0</v>
      </c>
      <c r="AG240" s="297">
        <f t="shared" si="65"/>
        <v>0</v>
      </c>
      <c r="AH240" s="297">
        <f t="shared" si="65"/>
        <v>0</v>
      </c>
      <c r="AI240" s="297">
        <f t="shared" si="65"/>
        <v>0</v>
      </c>
      <c r="AJ240" s="297">
        <f t="shared" si="65"/>
        <v>0</v>
      </c>
      <c r="AK240" s="71"/>
      <c r="AL240" s="91">
        <f>SUM(F240:AJ240)</f>
        <v>298600</v>
      </c>
      <c r="CV240" s="151"/>
      <c r="VGL240" s="50"/>
      <c r="VGM240" s="50"/>
      <c r="VGN240" s="50"/>
      <c r="VGO240" s="50"/>
      <c r="VGP240" s="50"/>
      <c r="VGQ240" s="50"/>
      <c r="VGR240" s="50"/>
      <c r="VGS240" s="50"/>
      <c r="VGT240" s="50"/>
      <c r="VGU240" s="50"/>
      <c r="VGV240" s="50"/>
      <c r="VGW240" s="50"/>
      <c r="VGX240" s="50"/>
      <c r="VGY240" s="50"/>
      <c r="VGZ240" s="50"/>
      <c r="VHA240" s="50"/>
      <c r="VHB240" s="50"/>
      <c r="VHC240" s="50"/>
      <c r="VHD240" s="50"/>
      <c r="VHE240" s="50"/>
      <c r="VHF240" s="50"/>
      <c r="VHG240" s="50"/>
      <c r="VHH240" s="50"/>
      <c r="VHI240" s="50"/>
      <c r="VHJ240" s="50"/>
      <c r="VHK240" s="50"/>
      <c r="VHL240" s="50"/>
      <c r="VHM240" s="50"/>
      <c r="VHN240" s="50"/>
      <c r="VHO240" s="50"/>
      <c r="VHP240" s="50"/>
      <c r="VHQ240" s="50"/>
      <c r="VHR240" s="50"/>
      <c r="VHS240" s="50"/>
      <c r="VHT240" s="50"/>
      <c r="VHU240" s="50"/>
      <c r="VHV240" s="50"/>
      <c r="VHW240" s="50"/>
      <c r="VHX240" s="50"/>
      <c r="VHY240" s="50"/>
      <c r="VHZ240" s="50"/>
      <c r="VIA240" s="50"/>
      <c r="VIB240" s="50"/>
      <c r="VIC240" s="50"/>
      <c r="VID240" s="50"/>
      <c r="VIE240" s="50"/>
      <c r="VIF240" s="50"/>
      <c r="VIG240" s="50"/>
      <c r="VIH240" s="50"/>
      <c r="VII240" s="50"/>
      <c r="VIJ240" s="50"/>
      <c r="VIK240" s="50"/>
      <c r="VIL240" s="50"/>
      <c r="VIM240" s="50"/>
      <c r="VIN240" s="50"/>
      <c r="VIO240" s="50"/>
      <c r="VIP240" s="50"/>
      <c r="VIQ240" s="50"/>
      <c r="VIR240" s="50"/>
      <c r="VIS240" s="50"/>
      <c r="VIT240" s="50"/>
      <c r="VIU240" s="50"/>
      <c r="VIV240" s="50"/>
      <c r="VIW240" s="50"/>
      <c r="VIX240" s="50"/>
      <c r="VIY240" s="50"/>
      <c r="VIZ240" s="50"/>
      <c r="VJA240" s="50"/>
      <c r="VJB240" s="50"/>
      <c r="VJC240" s="50"/>
      <c r="VJD240" s="50"/>
      <c r="VJE240" s="50"/>
      <c r="VJF240" s="50"/>
      <c r="VJG240" s="50"/>
      <c r="VJH240" s="50"/>
      <c r="VJI240" s="50"/>
      <c r="VJJ240" s="50"/>
      <c r="VJK240" s="50"/>
      <c r="VJL240" s="50"/>
      <c r="VJM240" s="50"/>
      <c r="VJN240" s="50"/>
      <c r="VJO240" s="50"/>
      <c r="VJP240" s="50"/>
      <c r="VJQ240" s="50"/>
      <c r="VJR240" s="50"/>
      <c r="VJS240" s="50"/>
      <c r="VJT240" s="50"/>
      <c r="VJU240" s="50"/>
      <c r="VJV240" s="50"/>
      <c r="VJW240" s="50"/>
      <c r="VJX240" s="50"/>
      <c r="VJY240" s="50"/>
      <c r="VJZ240" s="50"/>
      <c r="VKA240" s="50"/>
      <c r="VKB240" s="50"/>
      <c r="VKC240" s="50"/>
      <c r="VKD240" s="50"/>
      <c r="VKE240" s="50"/>
      <c r="VKF240" s="50"/>
      <c r="VKG240" s="50"/>
      <c r="VKH240" s="50"/>
      <c r="VKI240" s="50"/>
      <c r="VKJ240" s="50"/>
      <c r="VKK240" s="50"/>
      <c r="VKL240" s="50"/>
      <c r="VKM240" s="50"/>
      <c r="VKN240" s="50"/>
      <c r="VKO240" s="50"/>
      <c r="VKP240" s="50"/>
      <c r="VKQ240" s="50"/>
      <c r="VKR240" s="50"/>
      <c r="VKS240" s="50"/>
      <c r="VKT240" s="50"/>
      <c r="VKU240" s="50"/>
      <c r="VKV240" s="50"/>
      <c r="VKW240" s="50"/>
      <c r="VKX240" s="50"/>
      <c r="VKY240" s="50"/>
      <c r="VKZ240" s="50"/>
      <c r="VLA240" s="50"/>
      <c r="VLB240" s="50"/>
      <c r="VLC240" s="50"/>
      <c r="VLD240" s="50"/>
      <c r="VLE240" s="50"/>
      <c r="VLF240" s="50"/>
      <c r="VLG240" s="50"/>
      <c r="VLH240" s="50"/>
      <c r="VLI240" s="50"/>
      <c r="VLJ240" s="50"/>
      <c r="VLK240" s="50"/>
      <c r="VLL240" s="50"/>
      <c r="VLM240" s="50"/>
      <c r="VLN240" s="50"/>
      <c r="VLO240" s="50"/>
      <c r="VLP240" s="50"/>
      <c r="VLQ240" s="50"/>
      <c r="VLR240" s="50"/>
      <c r="VLS240" s="50"/>
      <c r="VLT240" s="50"/>
      <c r="VLU240" s="50"/>
      <c r="VLV240" s="50"/>
      <c r="VLW240" s="50"/>
      <c r="VLX240" s="50"/>
      <c r="VLY240" s="50"/>
      <c r="VLZ240" s="50"/>
      <c r="VMA240" s="50"/>
      <c r="VMB240" s="50"/>
      <c r="VMC240" s="50"/>
      <c r="VMD240" s="50"/>
      <c r="VME240" s="50"/>
      <c r="VMF240" s="50"/>
      <c r="VMG240" s="50"/>
      <c r="VMH240" s="50"/>
      <c r="VMI240" s="50"/>
      <c r="VMJ240" s="50"/>
      <c r="VMK240" s="50"/>
      <c r="VML240" s="50"/>
      <c r="VMM240" s="50"/>
      <c r="VMN240" s="50"/>
      <c r="VMO240" s="50"/>
      <c r="VMP240" s="50"/>
      <c r="VMQ240" s="50"/>
      <c r="VMR240" s="50"/>
      <c r="VMS240" s="50"/>
      <c r="VMT240" s="50"/>
      <c r="VMU240" s="50"/>
      <c r="VMV240" s="50"/>
      <c r="VMW240" s="50"/>
      <c r="VMX240" s="50"/>
      <c r="VMY240" s="50"/>
      <c r="VMZ240" s="50"/>
      <c r="VNA240" s="50"/>
      <c r="VNB240" s="50"/>
      <c r="VNC240" s="50"/>
      <c r="VND240" s="50"/>
      <c r="VNE240" s="50"/>
      <c r="VNF240" s="50"/>
      <c r="VNG240" s="50"/>
      <c r="VNH240" s="50"/>
      <c r="VNI240" s="50"/>
      <c r="VNJ240" s="50"/>
      <c r="VNK240" s="50"/>
      <c r="VNL240" s="50"/>
      <c r="VNM240" s="50"/>
      <c r="VNN240" s="50"/>
      <c r="VNO240" s="50"/>
      <c r="VNP240" s="50"/>
      <c r="VNQ240" s="50"/>
      <c r="VNR240" s="50"/>
      <c r="VNS240" s="50"/>
      <c r="VNT240" s="50"/>
      <c r="VNU240" s="50"/>
      <c r="VNV240" s="50"/>
      <c r="VNW240" s="50"/>
      <c r="VNX240" s="50"/>
      <c r="VNY240" s="50"/>
      <c r="VNZ240" s="50"/>
      <c r="VOA240" s="50"/>
      <c r="VOB240" s="50"/>
      <c r="VOC240" s="50"/>
      <c r="VOD240" s="50"/>
      <c r="VOE240" s="50"/>
      <c r="VOF240" s="50"/>
      <c r="VOG240" s="50"/>
      <c r="VOH240" s="50"/>
      <c r="VOI240" s="50"/>
      <c r="VOJ240" s="50"/>
      <c r="VOK240" s="50"/>
      <c r="VOL240" s="50"/>
      <c r="VOM240" s="50"/>
      <c r="VON240" s="50"/>
      <c r="VOO240" s="50"/>
      <c r="VOP240" s="50"/>
      <c r="VOQ240" s="50"/>
      <c r="VOR240" s="50"/>
      <c r="VOS240" s="50"/>
      <c r="VOT240" s="50"/>
      <c r="VOU240" s="50"/>
      <c r="VOV240" s="50"/>
      <c r="VOW240" s="50"/>
      <c r="VOX240" s="50"/>
      <c r="VOY240" s="50"/>
      <c r="VOZ240" s="50"/>
      <c r="VPA240" s="50"/>
      <c r="VPB240" s="50"/>
      <c r="VPC240" s="50"/>
      <c r="VPD240" s="50"/>
      <c r="VPE240" s="50"/>
      <c r="VPF240" s="50"/>
      <c r="VPG240" s="50"/>
      <c r="VPH240" s="50"/>
      <c r="VPI240" s="50"/>
      <c r="VPJ240" s="50"/>
      <c r="VPK240" s="50"/>
      <c r="VPL240" s="50"/>
      <c r="VPM240" s="50"/>
      <c r="VPN240" s="50"/>
      <c r="VPO240" s="50"/>
      <c r="VPP240" s="50"/>
      <c r="VPQ240" s="50"/>
      <c r="VPR240" s="50"/>
      <c r="VPS240" s="50"/>
      <c r="VPT240" s="50"/>
      <c r="VPU240" s="50"/>
      <c r="VPV240" s="50"/>
      <c r="VPW240" s="50"/>
      <c r="VPX240" s="50"/>
      <c r="VPY240" s="50"/>
      <c r="VPZ240" s="50"/>
      <c r="VQA240" s="50"/>
      <c r="VQB240" s="50"/>
      <c r="VQC240" s="50"/>
      <c r="VQD240" s="50"/>
      <c r="VQE240" s="50"/>
      <c r="VQF240" s="50"/>
      <c r="VQG240" s="50"/>
      <c r="VQH240" s="50"/>
      <c r="VQI240" s="50"/>
      <c r="VQJ240" s="50"/>
      <c r="VQK240" s="50"/>
      <c r="VQL240" s="50"/>
      <c r="VQM240" s="50"/>
      <c r="VQN240" s="50"/>
      <c r="VQO240" s="50"/>
      <c r="VQP240" s="50"/>
      <c r="VQQ240" s="50"/>
      <c r="VQR240" s="50"/>
      <c r="VQS240" s="50"/>
      <c r="VQT240" s="50"/>
      <c r="VQU240" s="50"/>
      <c r="VQV240" s="50"/>
      <c r="VQW240" s="50"/>
      <c r="VQX240" s="50"/>
      <c r="VQY240" s="50"/>
      <c r="VQZ240" s="50"/>
      <c r="VRA240" s="50"/>
      <c r="VRB240" s="50"/>
      <c r="VRC240" s="50"/>
      <c r="VRD240" s="50"/>
      <c r="VRE240" s="50"/>
      <c r="VRF240" s="50"/>
      <c r="VRG240" s="50"/>
      <c r="VRH240" s="50"/>
      <c r="VRI240" s="50"/>
      <c r="VRJ240" s="50"/>
      <c r="VRK240" s="50"/>
      <c r="VRL240" s="50"/>
      <c r="VRM240" s="50"/>
      <c r="VRN240" s="50"/>
      <c r="VRO240" s="50"/>
      <c r="VRP240" s="50"/>
      <c r="VRQ240" s="50"/>
      <c r="VRR240" s="50"/>
      <c r="VRS240" s="50"/>
      <c r="VRT240" s="50"/>
      <c r="VRU240" s="50"/>
      <c r="VRV240" s="50"/>
      <c r="VRW240" s="50"/>
      <c r="VRX240" s="50"/>
      <c r="VRY240" s="50"/>
      <c r="VRZ240" s="50"/>
      <c r="VSA240" s="50"/>
      <c r="VSB240" s="50"/>
      <c r="VSC240" s="50"/>
      <c r="VSD240" s="50"/>
      <c r="VSE240" s="50"/>
      <c r="VSF240" s="50"/>
      <c r="VSG240" s="50"/>
      <c r="VSH240" s="50"/>
      <c r="VSI240" s="50"/>
      <c r="VSJ240" s="50"/>
      <c r="VSK240" s="50"/>
      <c r="VSL240" s="50"/>
      <c r="VSM240" s="50"/>
      <c r="VSN240" s="50"/>
      <c r="VSO240" s="50"/>
      <c r="VSP240" s="50"/>
      <c r="VSQ240" s="50"/>
      <c r="VSR240" s="50"/>
      <c r="VSS240" s="50"/>
      <c r="VST240" s="50"/>
      <c r="VSU240" s="50"/>
      <c r="VSV240" s="50"/>
      <c r="VSW240" s="50"/>
      <c r="VSX240" s="50"/>
      <c r="VSY240" s="50"/>
      <c r="VSZ240" s="50"/>
      <c r="VTA240" s="50"/>
      <c r="VTB240" s="50"/>
      <c r="VTC240" s="50"/>
      <c r="VTD240" s="50"/>
      <c r="VTE240" s="50"/>
      <c r="VTF240" s="50"/>
      <c r="VTG240" s="50"/>
      <c r="VTH240" s="50"/>
      <c r="VTI240" s="50"/>
      <c r="VTJ240" s="50"/>
      <c r="VTK240" s="50"/>
      <c r="VTL240" s="50"/>
      <c r="VTM240" s="50"/>
      <c r="VTN240" s="50"/>
      <c r="VTO240" s="50"/>
      <c r="VTP240" s="50"/>
      <c r="VTQ240" s="50"/>
      <c r="VTR240" s="50"/>
      <c r="VTS240" s="50"/>
      <c r="VTT240" s="50"/>
      <c r="VTU240" s="50"/>
      <c r="VTV240" s="50"/>
      <c r="VTW240" s="50"/>
      <c r="VTX240" s="50"/>
      <c r="VTY240" s="50"/>
      <c r="VTZ240" s="50"/>
      <c r="VUA240" s="50"/>
      <c r="VUB240" s="50"/>
      <c r="VUC240" s="50"/>
      <c r="VUD240" s="50"/>
      <c r="VUE240" s="50"/>
      <c r="VUF240" s="50"/>
      <c r="VUG240" s="50"/>
      <c r="VUH240" s="50"/>
      <c r="VUI240" s="50"/>
      <c r="VUJ240" s="50"/>
      <c r="VUK240" s="50"/>
      <c r="VUL240" s="50"/>
      <c r="VUM240" s="50"/>
      <c r="VUN240" s="50"/>
      <c r="VUO240" s="50"/>
      <c r="VUP240" s="50"/>
      <c r="VUQ240" s="50"/>
      <c r="VUR240" s="50"/>
      <c r="VUS240" s="50"/>
      <c r="VUT240" s="50"/>
      <c r="VUU240" s="50"/>
      <c r="VUV240" s="50"/>
      <c r="VUW240" s="50"/>
      <c r="VUX240" s="50"/>
      <c r="VUY240" s="50"/>
      <c r="VUZ240" s="50"/>
      <c r="VVA240" s="50"/>
      <c r="VVB240" s="50"/>
      <c r="VVC240" s="50"/>
      <c r="VVD240" s="50"/>
      <c r="VVE240" s="50"/>
      <c r="VVF240" s="50"/>
      <c r="VVG240" s="50"/>
      <c r="VVH240" s="50"/>
      <c r="VVI240" s="50"/>
      <c r="VVJ240" s="50"/>
      <c r="VVK240" s="50"/>
      <c r="VVL240" s="50"/>
      <c r="VVM240" s="50"/>
      <c r="VVN240" s="50"/>
    </row>
    <row r="241" spans="2:100 15066:15458" s="1" customFormat="1" x14ac:dyDescent="0.25">
      <c r="B241" s="92"/>
      <c r="C241" s="132" t="s">
        <v>16</v>
      </c>
      <c r="D241" s="274"/>
      <c r="E241" s="78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297"/>
      <c r="AD241" s="297"/>
      <c r="AE241" s="297"/>
      <c r="AF241" s="297"/>
      <c r="AG241" s="297"/>
      <c r="AH241" s="297"/>
      <c r="AI241" s="297"/>
      <c r="AJ241" s="297"/>
      <c r="AK241" s="71"/>
      <c r="AL241" s="134" t="s">
        <v>16</v>
      </c>
      <c r="CV241" s="151"/>
      <c r="VGL241" s="50"/>
      <c r="VGM241" s="50"/>
      <c r="VGN241" s="50"/>
      <c r="VGO241" s="50"/>
      <c r="VGP241" s="50"/>
      <c r="VGQ241" s="50"/>
      <c r="VGR241" s="50"/>
      <c r="VGS241" s="50"/>
      <c r="VGT241" s="50"/>
      <c r="VGU241" s="50"/>
      <c r="VGV241" s="50"/>
      <c r="VGW241" s="50"/>
      <c r="VGX241" s="50"/>
      <c r="VGY241" s="50"/>
      <c r="VGZ241" s="50"/>
      <c r="VHA241" s="50"/>
      <c r="VHB241" s="50"/>
      <c r="VHC241" s="50"/>
      <c r="VHD241" s="50"/>
      <c r="VHE241" s="50"/>
      <c r="VHF241" s="50"/>
      <c r="VHG241" s="50"/>
      <c r="VHH241" s="50"/>
      <c r="VHI241" s="50"/>
      <c r="VHJ241" s="50"/>
      <c r="VHK241" s="50"/>
      <c r="VHL241" s="50"/>
      <c r="VHM241" s="50"/>
      <c r="VHN241" s="50"/>
      <c r="VHO241" s="50"/>
      <c r="VHP241" s="50"/>
      <c r="VHQ241" s="50"/>
      <c r="VHR241" s="50"/>
      <c r="VHS241" s="50"/>
      <c r="VHT241" s="50"/>
      <c r="VHU241" s="50"/>
      <c r="VHV241" s="50"/>
      <c r="VHW241" s="50"/>
      <c r="VHX241" s="50"/>
      <c r="VHY241" s="50"/>
      <c r="VHZ241" s="50"/>
      <c r="VIA241" s="50"/>
      <c r="VIB241" s="50"/>
      <c r="VIC241" s="50"/>
      <c r="VID241" s="50"/>
      <c r="VIE241" s="50"/>
      <c r="VIF241" s="50"/>
      <c r="VIG241" s="50"/>
      <c r="VIH241" s="50"/>
      <c r="VII241" s="50"/>
      <c r="VIJ241" s="50"/>
      <c r="VIK241" s="50"/>
      <c r="VIL241" s="50"/>
      <c r="VIM241" s="50"/>
      <c r="VIN241" s="50"/>
      <c r="VIO241" s="50"/>
      <c r="VIP241" s="50"/>
      <c r="VIQ241" s="50"/>
      <c r="VIR241" s="50"/>
      <c r="VIS241" s="50"/>
      <c r="VIT241" s="50"/>
      <c r="VIU241" s="50"/>
      <c r="VIV241" s="50"/>
      <c r="VIW241" s="50"/>
      <c r="VIX241" s="50"/>
      <c r="VIY241" s="50"/>
      <c r="VIZ241" s="50"/>
      <c r="VJA241" s="50"/>
      <c r="VJB241" s="50"/>
      <c r="VJC241" s="50"/>
      <c r="VJD241" s="50"/>
      <c r="VJE241" s="50"/>
      <c r="VJF241" s="50"/>
      <c r="VJG241" s="50"/>
      <c r="VJH241" s="50"/>
      <c r="VJI241" s="50"/>
      <c r="VJJ241" s="50"/>
      <c r="VJK241" s="50"/>
      <c r="VJL241" s="50"/>
      <c r="VJM241" s="50"/>
      <c r="VJN241" s="50"/>
      <c r="VJO241" s="50"/>
      <c r="VJP241" s="50"/>
      <c r="VJQ241" s="50"/>
      <c r="VJR241" s="50"/>
      <c r="VJS241" s="50"/>
      <c r="VJT241" s="50"/>
      <c r="VJU241" s="50"/>
      <c r="VJV241" s="50"/>
      <c r="VJW241" s="50"/>
      <c r="VJX241" s="50"/>
      <c r="VJY241" s="50"/>
      <c r="VJZ241" s="50"/>
      <c r="VKA241" s="50"/>
      <c r="VKB241" s="50"/>
      <c r="VKC241" s="50"/>
      <c r="VKD241" s="50"/>
      <c r="VKE241" s="50"/>
      <c r="VKF241" s="50"/>
      <c r="VKG241" s="50"/>
      <c r="VKH241" s="50"/>
      <c r="VKI241" s="50"/>
      <c r="VKJ241" s="50"/>
      <c r="VKK241" s="50"/>
      <c r="VKL241" s="50"/>
      <c r="VKM241" s="50"/>
      <c r="VKN241" s="50"/>
      <c r="VKO241" s="50"/>
      <c r="VKP241" s="50"/>
      <c r="VKQ241" s="50"/>
      <c r="VKR241" s="50"/>
      <c r="VKS241" s="50"/>
      <c r="VKT241" s="50"/>
      <c r="VKU241" s="50"/>
      <c r="VKV241" s="50"/>
      <c r="VKW241" s="50"/>
      <c r="VKX241" s="50"/>
      <c r="VKY241" s="50"/>
      <c r="VKZ241" s="50"/>
      <c r="VLA241" s="50"/>
      <c r="VLB241" s="50"/>
      <c r="VLC241" s="50"/>
      <c r="VLD241" s="50"/>
      <c r="VLE241" s="50"/>
      <c r="VLF241" s="50"/>
      <c r="VLG241" s="50"/>
      <c r="VLH241" s="50"/>
      <c r="VLI241" s="50"/>
      <c r="VLJ241" s="50"/>
      <c r="VLK241" s="50"/>
      <c r="VLL241" s="50"/>
      <c r="VLM241" s="50"/>
      <c r="VLN241" s="50"/>
      <c r="VLO241" s="50"/>
      <c r="VLP241" s="50"/>
      <c r="VLQ241" s="50"/>
      <c r="VLR241" s="50"/>
      <c r="VLS241" s="50"/>
      <c r="VLT241" s="50"/>
      <c r="VLU241" s="50"/>
      <c r="VLV241" s="50"/>
      <c r="VLW241" s="50"/>
      <c r="VLX241" s="50"/>
      <c r="VLY241" s="50"/>
      <c r="VLZ241" s="50"/>
      <c r="VMA241" s="50"/>
      <c r="VMB241" s="50"/>
      <c r="VMC241" s="50"/>
      <c r="VMD241" s="50"/>
      <c r="VME241" s="50"/>
      <c r="VMF241" s="50"/>
      <c r="VMG241" s="50"/>
      <c r="VMH241" s="50"/>
      <c r="VMI241" s="50"/>
      <c r="VMJ241" s="50"/>
      <c r="VMK241" s="50"/>
      <c r="VML241" s="50"/>
      <c r="VMM241" s="50"/>
      <c r="VMN241" s="50"/>
      <c r="VMO241" s="50"/>
      <c r="VMP241" s="50"/>
      <c r="VMQ241" s="50"/>
      <c r="VMR241" s="50"/>
      <c r="VMS241" s="50"/>
      <c r="VMT241" s="50"/>
      <c r="VMU241" s="50"/>
      <c r="VMV241" s="50"/>
      <c r="VMW241" s="50"/>
      <c r="VMX241" s="50"/>
      <c r="VMY241" s="50"/>
      <c r="VMZ241" s="50"/>
      <c r="VNA241" s="50"/>
      <c r="VNB241" s="50"/>
      <c r="VNC241" s="50"/>
      <c r="VND241" s="50"/>
      <c r="VNE241" s="50"/>
      <c r="VNF241" s="50"/>
      <c r="VNG241" s="50"/>
      <c r="VNH241" s="50"/>
      <c r="VNI241" s="50"/>
      <c r="VNJ241" s="50"/>
      <c r="VNK241" s="50"/>
      <c r="VNL241" s="50"/>
      <c r="VNM241" s="50"/>
      <c r="VNN241" s="50"/>
      <c r="VNO241" s="50"/>
      <c r="VNP241" s="50"/>
      <c r="VNQ241" s="50"/>
      <c r="VNR241" s="50"/>
      <c r="VNS241" s="50"/>
      <c r="VNT241" s="50"/>
      <c r="VNU241" s="50"/>
      <c r="VNV241" s="50"/>
      <c r="VNW241" s="50"/>
      <c r="VNX241" s="50"/>
      <c r="VNY241" s="50"/>
      <c r="VNZ241" s="50"/>
      <c r="VOA241" s="50"/>
      <c r="VOB241" s="50"/>
      <c r="VOC241" s="50"/>
      <c r="VOD241" s="50"/>
      <c r="VOE241" s="50"/>
      <c r="VOF241" s="50"/>
      <c r="VOG241" s="50"/>
      <c r="VOH241" s="50"/>
      <c r="VOI241" s="50"/>
      <c r="VOJ241" s="50"/>
      <c r="VOK241" s="50"/>
      <c r="VOL241" s="50"/>
      <c r="VOM241" s="50"/>
      <c r="VON241" s="50"/>
      <c r="VOO241" s="50"/>
      <c r="VOP241" s="50"/>
      <c r="VOQ241" s="50"/>
      <c r="VOR241" s="50"/>
      <c r="VOS241" s="50"/>
      <c r="VOT241" s="50"/>
      <c r="VOU241" s="50"/>
      <c r="VOV241" s="50"/>
      <c r="VOW241" s="50"/>
      <c r="VOX241" s="50"/>
      <c r="VOY241" s="50"/>
      <c r="VOZ241" s="50"/>
      <c r="VPA241" s="50"/>
      <c r="VPB241" s="50"/>
      <c r="VPC241" s="50"/>
      <c r="VPD241" s="50"/>
      <c r="VPE241" s="50"/>
      <c r="VPF241" s="50"/>
      <c r="VPG241" s="50"/>
      <c r="VPH241" s="50"/>
      <c r="VPI241" s="50"/>
      <c r="VPJ241" s="50"/>
      <c r="VPK241" s="50"/>
      <c r="VPL241" s="50"/>
      <c r="VPM241" s="50"/>
      <c r="VPN241" s="50"/>
      <c r="VPO241" s="50"/>
      <c r="VPP241" s="50"/>
      <c r="VPQ241" s="50"/>
      <c r="VPR241" s="50"/>
      <c r="VPS241" s="50"/>
      <c r="VPT241" s="50"/>
      <c r="VPU241" s="50"/>
      <c r="VPV241" s="50"/>
      <c r="VPW241" s="50"/>
      <c r="VPX241" s="50"/>
      <c r="VPY241" s="50"/>
      <c r="VPZ241" s="50"/>
      <c r="VQA241" s="50"/>
      <c r="VQB241" s="50"/>
      <c r="VQC241" s="50"/>
      <c r="VQD241" s="50"/>
      <c r="VQE241" s="50"/>
      <c r="VQF241" s="50"/>
      <c r="VQG241" s="50"/>
      <c r="VQH241" s="50"/>
      <c r="VQI241" s="50"/>
      <c r="VQJ241" s="50"/>
      <c r="VQK241" s="50"/>
      <c r="VQL241" s="50"/>
      <c r="VQM241" s="50"/>
      <c r="VQN241" s="50"/>
      <c r="VQO241" s="50"/>
      <c r="VQP241" s="50"/>
      <c r="VQQ241" s="50"/>
      <c r="VQR241" s="50"/>
      <c r="VQS241" s="50"/>
      <c r="VQT241" s="50"/>
      <c r="VQU241" s="50"/>
      <c r="VQV241" s="50"/>
      <c r="VQW241" s="50"/>
      <c r="VQX241" s="50"/>
      <c r="VQY241" s="50"/>
      <c r="VQZ241" s="50"/>
      <c r="VRA241" s="50"/>
      <c r="VRB241" s="50"/>
      <c r="VRC241" s="50"/>
      <c r="VRD241" s="50"/>
      <c r="VRE241" s="50"/>
      <c r="VRF241" s="50"/>
      <c r="VRG241" s="50"/>
      <c r="VRH241" s="50"/>
      <c r="VRI241" s="50"/>
      <c r="VRJ241" s="50"/>
      <c r="VRK241" s="50"/>
      <c r="VRL241" s="50"/>
      <c r="VRM241" s="50"/>
      <c r="VRN241" s="50"/>
      <c r="VRO241" s="50"/>
      <c r="VRP241" s="50"/>
      <c r="VRQ241" s="50"/>
      <c r="VRR241" s="50"/>
      <c r="VRS241" s="50"/>
      <c r="VRT241" s="50"/>
      <c r="VRU241" s="50"/>
      <c r="VRV241" s="50"/>
      <c r="VRW241" s="50"/>
      <c r="VRX241" s="50"/>
      <c r="VRY241" s="50"/>
      <c r="VRZ241" s="50"/>
      <c r="VSA241" s="50"/>
      <c r="VSB241" s="50"/>
      <c r="VSC241" s="50"/>
      <c r="VSD241" s="50"/>
      <c r="VSE241" s="50"/>
      <c r="VSF241" s="50"/>
      <c r="VSG241" s="50"/>
      <c r="VSH241" s="50"/>
      <c r="VSI241" s="50"/>
      <c r="VSJ241" s="50"/>
      <c r="VSK241" s="50"/>
      <c r="VSL241" s="50"/>
      <c r="VSM241" s="50"/>
      <c r="VSN241" s="50"/>
      <c r="VSO241" s="50"/>
      <c r="VSP241" s="50"/>
      <c r="VSQ241" s="50"/>
      <c r="VSR241" s="50"/>
      <c r="VSS241" s="50"/>
      <c r="VST241" s="50"/>
      <c r="VSU241" s="50"/>
      <c r="VSV241" s="50"/>
      <c r="VSW241" s="50"/>
      <c r="VSX241" s="50"/>
      <c r="VSY241" s="50"/>
      <c r="VSZ241" s="50"/>
      <c r="VTA241" s="50"/>
      <c r="VTB241" s="50"/>
      <c r="VTC241" s="50"/>
      <c r="VTD241" s="50"/>
      <c r="VTE241" s="50"/>
      <c r="VTF241" s="50"/>
      <c r="VTG241" s="50"/>
      <c r="VTH241" s="50"/>
      <c r="VTI241" s="50"/>
      <c r="VTJ241" s="50"/>
      <c r="VTK241" s="50"/>
      <c r="VTL241" s="50"/>
      <c r="VTM241" s="50"/>
      <c r="VTN241" s="50"/>
      <c r="VTO241" s="50"/>
      <c r="VTP241" s="50"/>
      <c r="VTQ241" s="50"/>
      <c r="VTR241" s="50"/>
      <c r="VTS241" s="50"/>
      <c r="VTT241" s="50"/>
      <c r="VTU241" s="50"/>
      <c r="VTV241" s="50"/>
      <c r="VTW241" s="50"/>
      <c r="VTX241" s="50"/>
      <c r="VTY241" s="50"/>
      <c r="VTZ241" s="50"/>
      <c r="VUA241" s="50"/>
      <c r="VUB241" s="50"/>
      <c r="VUC241" s="50"/>
      <c r="VUD241" s="50"/>
      <c r="VUE241" s="50"/>
      <c r="VUF241" s="50"/>
      <c r="VUG241" s="50"/>
      <c r="VUH241" s="50"/>
      <c r="VUI241" s="50"/>
      <c r="VUJ241" s="50"/>
      <c r="VUK241" s="50"/>
      <c r="VUL241" s="50"/>
      <c r="VUM241" s="50"/>
      <c r="VUN241" s="50"/>
      <c r="VUO241" s="50"/>
      <c r="VUP241" s="50"/>
      <c r="VUQ241" s="50"/>
      <c r="VUR241" s="50"/>
      <c r="VUS241" s="50"/>
      <c r="VUT241" s="50"/>
      <c r="VUU241" s="50"/>
      <c r="VUV241" s="50"/>
      <c r="VUW241" s="50"/>
      <c r="VUX241" s="50"/>
      <c r="VUY241" s="50"/>
      <c r="VUZ241" s="50"/>
      <c r="VVA241" s="50"/>
      <c r="VVB241" s="50"/>
      <c r="VVC241" s="50"/>
      <c r="VVD241" s="50"/>
      <c r="VVE241" s="50"/>
      <c r="VVF241" s="50"/>
      <c r="VVG241" s="50"/>
      <c r="VVH241" s="50"/>
      <c r="VVI241" s="50"/>
      <c r="VVJ241" s="50"/>
      <c r="VVK241" s="50"/>
      <c r="VVL241" s="50"/>
      <c r="VVM241" s="50"/>
      <c r="VVN241" s="50"/>
    </row>
    <row r="242" spans="2:100 15066:15458" x14ac:dyDescent="0.25">
      <c r="B242" s="15"/>
      <c r="C242" s="259" t="s">
        <v>120</v>
      </c>
      <c r="D242" s="279">
        <v>5404.17</v>
      </c>
      <c r="E242" s="258" t="s">
        <v>2</v>
      </c>
      <c r="F242" s="290">
        <v>2600</v>
      </c>
      <c r="G242" s="290">
        <v>2900</v>
      </c>
      <c r="H242" s="290">
        <v>2800</v>
      </c>
      <c r="I242" s="290">
        <v>2900</v>
      </c>
      <c r="J242" s="290">
        <v>2000</v>
      </c>
      <c r="K242" s="290">
        <v>2500</v>
      </c>
      <c r="L242" s="290">
        <v>1600</v>
      </c>
      <c r="M242" s="290">
        <v>2000</v>
      </c>
      <c r="N242" s="290">
        <v>1800</v>
      </c>
      <c r="O242" s="290">
        <v>2500</v>
      </c>
      <c r="P242" s="290">
        <v>2500</v>
      </c>
      <c r="Q242" s="290">
        <v>2700</v>
      </c>
      <c r="R242" s="290">
        <v>2700</v>
      </c>
      <c r="S242" s="290">
        <v>2200</v>
      </c>
      <c r="T242" s="290">
        <v>2400</v>
      </c>
      <c r="U242" s="290"/>
      <c r="V242" s="290"/>
      <c r="W242" s="290"/>
      <c r="X242" s="290"/>
      <c r="Y242" s="290"/>
      <c r="Z242" s="290"/>
      <c r="AA242" s="290"/>
      <c r="AB242" s="290"/>
      <c r="AC242" s="290"/>
      <c r="AD242" s="290"/>
      <c r="AE242" s="290"/>
      <c r="AF242" s="290"/>
      <c r="AG242" s="290"/>
      <c r="AH242" s="290"/>
      <c r="AI242" s="290"/>
      <c r="AJ242" s="290"/>
      <c r="AL242" s="91">
        <f>SUM(F242:AJ242)</f>
        <v>36100</v>
      </c>
    </row>
    <row r="243" spans="2:100 15066:15458" x14ac:dyDescent="0.25">
      <c r="B243" s="15"/>
      <c r="C243" s="259" t="s">
        <v>121</v>
      </c>
      <c r="D243" s="279">
        <v>3850.42</v>
      </c>
      <c r="E243" s="258" t="s">
        <v>2</v>
      </c>
      <c r="F243" s="290">
        <v>2780</v>
      </c>
      <c r="G243" s="290">
        <v>2860</v>
      </c>
      <c r="H243" s="290">
        <v>2680</v>
      </c>
      <c r="I243" s="290">
        <v>2830</v>
      </c>
      <c r="J243" s="290">
        <v>2730</v>
      </c>
      <c r="K243" s="290">
        <v>2770</v>
      </c>
      <c r="L243" s="290">
        <v>2680</v>
      </c>
      <c r="M243" s="290">
        <v>2730</v>
      </c>
      <c r="N243" s="290">
        <v>2680</v>
      </c>
      <c r="O243" s="290">
        <v>2800</v>
      </c>
      <c r="P243" s="290">
        <v>2700</v>
      </c>
      <c r="Q243" s="290">
        <v>2750</v>
      </c>
      <c r="R243" s="290">
        <v>2740</v>
      </c>
      <c r="S243" s="290">
        <v>2630</v>
      </c>
      <c r="T243" s="290">
        <v>2900</v>
      </c>
      <c r="U243" s="290"/>
      <c r="V243" s="290"/>
      <c r="W243" s="290"/>
      <c r="X243" s="290"/>
      <c r="Y243" s="290"/>
      <c r="Z243" s="290"/>
      <c r="AA243" s="290"/>
      <c r="AB243" s="290"/>
      <c r="AC243" s="290"/>
      <c r="AD243" s="290"/>
      <c r="AE243" s="290"/>
      <c r="AF243" s="290"/>
      <c r="AG243" s="290"/>
      <c r="AH243" s="290"/>
      <c r="AI243" s="290"/>
      <c r="AJ243" s="290"/>
      <c r="AL243" s="91">
        <f>SUM(F243:AJ243)</f>
        <v>41260</v>
      </c>
    </row>
    <row r="244" spans="2:100 15066:15458" x14ac:dyDescent="0.25">
      <c r="B244" s="15"/>
      <c r="C244" s="47" t="s">
        <v>15</v>
      </c>
      <c r="D244" s="279"/>
      <c r="E244" s="48"/>
      <c r="F244" s="316"/>
      <c r="G244" s="316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316"/>
      <c r="AB244" s="316"/>
      <c r="AC244" s="316"/>
      <c r="AD244" s="316"/>
      <c r="AE244" s="316"/>
      <c r="AF244" s="316"/>
      <c r="AG244" s="316"/>
      <c r="AH244" s="316"/>
      <c r="AI244" s="316"/>
      <c r="AJ244" s="316"/>
      <c r="AL244" s="135" t="s">
        <v>15</v>
      </c>
    </row>
    <row r="245" spans="2:100 15066:15458" x14ac:dyDescent="0.25">
      <c r="B245" s="15"/>
      <c r="C245" s="259" t="s">
        <v>122</v>
      </c>
      <c r="D245" s="279">
        <v>5759.67</v>
      </c>
      <c r="E245" s="258" t="s">
        <v>2</v>
      </c>
      <c r="F245" s="290">
        <v>3600</v>
      </c>
      <c r="G245" s="290">
        <v>3700</v>
      </c>
      <c r="H245" s="290">
        <v>3700</v>
      </c>
      <c r="I245" s="290">
        <v>3800</v>
      </c>
      <c r="J245" s="290">
        <v>3700</v>
      </c>
      <c r="K245" s="290">
        <v>3300</v>
      </c>
      <c r="L245" s="290">
        <v>1600</v>
      </c>
      <c r="M245" s="290">
        <v>400</v>
      </c>
      <c r="N245" s="290">
        <v>2400</v>
      </c>
      <c r="O245" s="290">
        <v>1100</v>
      </c>
      <c r="P245" s="290">
        <v>3100</v>
      </c>
      <c r="Q245" s="290">
        <v>2200</v>
      </c>
      <c r="R245" s="290">
        <v>2900</v>
      </c>
      <c r="S245" s="290">
        <v>3400</v>
      </c>
      <c r="T245" s="290">
        <v>1300</v>
      </c>
      <c r="U245" s="290"/>
      <c r="V245" s="290"/>
      <c r="W245" s="290"/>
      <c r="X245" s="290"/>
      <c r="Y245" s="290"/>
      <c r="Z245" s="290"/>
      <c r="AA245" s="290"/>
      <c r="AB245" s="290"/>
      <c r="AC245" s="290"/>
      <c r="AD245" s="290"/>
      <c r="AE245" s="290"/>
      <c r="AF245" s="290"/>
      <c r="AG245" s="290"/>
      <c r="AH245" s="290"/>
      <c r="AI245" s="290"/>
      <c r="AJ245" s="290"/>
      <c r="AL245" s="91">
        <f>SUM(F245:AJ245)</f>
        <v>40200</v>
      </c>
    </row>
    <row r="246" spans="2:100 15066:15458" x14ac:dyDescent="0.25">
      <c r="B246" s="15"/>
      <c r="C246" s="259" t="s">
        <v>121</v>
      </c>
      <c r="D246" s="279">
        <v>1308.96</v>
      </c>
      <c r="E246" s="258" t="s">
        <v>2</v>
      </c>
      <c r="F246" s="290">
        <v>1012</v>
      </c>
      <c r="G246" s="290">
        <v>1047</v>
      </c>
      <c r="H246" s="290">
        <v>947</v>
      </c>
      <c r="I246" s="290">
        <v>954</v>
      </c>
      <c r="J246" s="290">
        <v>868</v>
      </c>
      <c r="K246" s="290">
        <v>832</v>
      </c>
      <c r="L246" s="290">
        <v>403</v>
      </c>
      <c r="M246" s="290">
        <v>157</v>
      </c>
      <c r="N246" s="290">
        <v>608</v>
      </c>
      <c r="O246" s="290">
        <v>274</v>
      </c>
      <c r="P246" s="290">
        <v>830</v>
      </c>
      <c r="Q246" s="290">
        <v>680</v>
      </c>
      <c r="R246" s="290">
        <v>812</v>
      </c>
      <c r="S246" s="290">
        <v>769</v>
      </c>
      <c r="T246" s="290">
        <v>286</v>
      </c>
      <c r="U246" s="290"/>
      <c r="V246" s="290"/>
      <c r="W246" s="290"/>
      <c r="X246" s="290"/>
      <c r="Y246" s="290"/>
      <c r="Z246" s="290"/>
      <c r="AA246" s="290"/>
      <c r="AB246" s="290"/>
      <c r="AC246" s="290"/>
      <c r="AD246" s="290"/>
      <c r="AE246" s="290"/>
      <c r="AF246" s="290"/>
      <c r="AG246" s="290"/>
      <c r="AH246" s="290"/>
      <c r="AI246" s="290"/>
      <c r="AJ246" s="290"/>
      <c r="AL246" s="91">
        <f>SUM(F246:AJ246)</f>
        <v>10479</v>
      </c>
    </row>
    <row r="247" spans="2:100 15066:15458" x14ac:dyDescent="0.25">
      <c r="B247" s="15"/>
      <c r="C247" s="47" t="s">
        <v>7</v>
      </c>
      <c r="D247" s="279"/>
      <c r="E247" s="70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316"/>
      <c r="AB247" s="316"/>
      <c r="AC247" s="316"/>
      <c r="AD247" s="316"/>
      <c r="AE247" s="316"/>
      <c r="AF247" s="316"/>
      <c r="AG247" s="316"/>
      <c r="AH247" s="316"/>
      <c r="AI247" s="316"/>
      <c r="AJ247" s="316"/>
      <c r="AL247" s="135" t="s">
        <v>7</v>
      </c>
    </row>
    <row r="248" spans="2:100 15066:15458" x14ac:dyDescent="0.25">
      <c r="B248" s="15"/>
      <c r="C248" s="259" t="s">
        <v>123</v>
      </c>
      <c r="D248" s="279">
        <v>11.81</v>
      </c>
      <c r="E248" s="258" t="s">
        <v>2</v>
      </c>
      <c r="F248" s="257">
        <v>22.13</v>
      </c>
      <c r="G248" s="257">
        <v>21.88</v>
      </c>
      <c r="H248" s="257">
        <v>51.49</v>
      </c>
      <c r="I248" s="257">
        <v>28.26</v>
      </c>
      <c r="J248" s="257">
        <v>59.36</v>
      </c>
      <c r="K248" s="257">
        <v>37.76</v>
      </c>
      <c r="L248" s="257">
        <v>6.89</v>
      </c>
      <c r="M248" s="257">
        <v>12.11</v>
      </c>
      <c r="N248" s="257">
        <v>30.2</v>
      </c>
      <c r="O248" s="257">
        <v>10.9</v>
      </c>
      <c r="P248" s="257">
        <v>20.309999999999999</v>
      </c>
      <c r="Q248" s="257">
        <v>44.4</v>
      </c>
      <c r="R248" s="257">
        <v>52.52</v>
      </c>
      <c r="S248" s="257">
        <v>30.45</v>
      </c>
      <c r="T248" s="257">
        <v>31.51</v>
      </c>
      <c r="U248" s="257"/>
      <c r="V248" s="257"/>
      <c r="W248" s="257"/>
      <c r="X248" s="257"/>
      <c r="Y248" s="257"/>
      <c r="Z248" s="257"/>
      <c r="AA248" s="257"/>
      <c r="AB248" s="257"/>
      <c r="AC248" s="257"/>
      <c r="AD248" s="257"/>
      <c r="AE248" s="257"/>
      <c r="AF248" s="257"/>
      <c r="AG248" s="257"/>
      <c r="AH248" s="257"/>
      <c r="AI248" s="257"/>
      <c r="AJ248" s="257"/>
      <c r="AL248" s="91">
        <f>SUM(F248:AJ248)</f>
        <v>460.1699999999999</v>
      </c>
    </row>
    <row r="249" spans="2:100 15066:15458" ht="15.75" thickBot="1" x14ac:dyDescent="0.3">
      <c r="B249" s="19"/>
      <c r="C249" s="260" t="s">
        <v>124</v>
      </c>
      <c r="D249" s="280">
        <v>241.12</v>
      </c>
      <c r="E249" s="261" t="s">
        <v>2</v>
      </c>
      <c r="F249" s="317">
        <v>270.3</v>
      </c>
      <c r="G249" s="317">
        <v>283.39999999999998</v>
      </c>
      <c r="H249" s="317">
        <v>264.7</v>
      </c>
      <c r="I249" s="317">
        <v>263</v>
      </c>
      <c r="J249" s="317">
        <v>257.3</v>
      </c>
      <c r="K249" s="317">
        <v>274.10000000000002</v>
      </c>
      <c r="L249" s="317">
        <v>257.89999999999998</v>
      </c>
      <c r="M249" s="317">
        <v>251.4</v>
      </c>
      <c r="N249" s="317">
        <v>264</v>
      </c>
      <c r="O249" s="317">
        <v>257.89999999999998</v>
      </c>
      <c r="P249" s="317">
        <v>268</v>
      </c>
      <c r="Q249" s="317">
        <v>264.60000000000002</v>
      </c>
      <c r="R249" s="317">
        <v>228.5</v>
      </c>
      <c r="S249" s="317">
        <v>254.2</v>
      </c>
      <c r="T249" s="317">
        <v>252.7</v>
      </c>
      <c r="U249" s="317"/>
      <c r="V249" s="317"/>
      <c r="W249" s="317"/>
      <c r="X249" s="317"/>
      <c r="Y249" s="317"/>
      <c r="Z249" s="317"/>
      <c r="AA249" s="317"/>
      <c r="AB249" s="317"/>
      <c r="AC249" s="317"/>
      <c r="AD249" s="317"/>
      <c r="AE249" s="317"/>
      <c r="AF249" s="317"/>
      <c r="AG249" s="317"/>
      <c r="AH249" s="317"/>
      <c r="AI249" s="317"/>
      <c r="AJ249" s="317"/>
      <c r="AL249" s="281">
        <f>SUM(F249:AJ249)</f>
        <v>3912</v>
      </c>
    </row>
    <row r="272" spans="2:100 15066:15458" s="1" customFormat="1" x14ac:dyDescent="0.25">
      <c r="B272" s="5"/>
      <c r="E272" s="2"/>
      <c r="Y272" s="49"/>
      <c r="CV272" s="151"/>
      <c r="VGL272" s="50"/>
      <c r="VGM272" s="50"/>
      <c r="VGN272" s="50"/>
      <c r="VGO272" s="50"/>
      <c r="VGP272" s="50"/>
      <c r="VGQ272" s="50"/>
      <c r="VGR272" s="50"/>
      <c r="VGS272" s="50"/>
      <c r="VGT272" s="50"/>
      <c r="VGU272" s="50"/>
      <c r="VGV272" s="50"/>
      <c r="VGW272" s="50"/>
      <c r="VGX272" s="50"/>
      <c r="VGY272" s="50"/>
      <c r="VGZ272" s="50"/>
      <c r="VHA272" s="50"/>
      <c r="VHB272" s="50"/>
      <c r="VHC272" s="50"/>
      <c r="VHD272" s="50"/>
      <c r="VHE272" s="50"/>
      <c r="VHF272" s="50"/>
      <c r="VHG272" s="50"/>
      <c r="VHH272" s="50"/>
      <c r="VHI272" s="50"/>
      <c r="VHJ272" s="50"/>
      <c r="VHK272" s="50"/>
      <c r="VHL272" s="50"/>
      <c r="VHM272" s="50"/>
      <c r="VHN272" s="50"/>
      <c r="VHO272" s="50"/>
      <c r="VHP272" s="50"/>
      <c r="VHQ272" s="50"/>
      <c r="VHR272" s="50"/>
      <c r="VHS272" s="50"/>
      <c r="VHT272" s="50"/>
      <c r="VHU272" s="50"/>
      <c r="VHV272" s="50"/>
      <c r="VHW272" s="50"/>
      <c r="VHX272" s="50"/>
      <c r="VHY272" s="50"/>
      <c r="VHZ272" s="50"/>
      <c r="VIA272" s="50"/>
      <c r="VIB272" s="50"/>
      <c r="VIC272" s="50"/>
      <c r="VID272" s="50"/>
      <c r="VIE272" s="50"/>
      <c r="VIF272" s="50"/>
      <c r="VIG272" s="50"/>
      <c r="VIH272" s="50"/>
      <c r="VII272" s="50"/>
      <c r="VIJ272" s="50"/>
      <c r="VIK272" s="50"/>
      <c r="VIL272" s="50"/>
      <c r="VIM272" s="50"/>
      <c r="VIN272" s="50"/>
      <c r="VIO272" s="50"/>
      <c r="VIP272" s="50"/>
      <c r="VIQ272" s="50"/>
      <c r="VIR272" s="50"/>
      <c r="VIS272" s="50"/>
      <c r="VIT272" s="50"/>
      <c r="VIU272" s="50"/>
      <c r="VIV272" s="50"/>
      <c r="VIW272" s="50"/>
      <c r="VIX272" s="50"/>
      <c r="VIY272" s="50"/>
      <c r="VIZ272" s="50"/>
      <c r="VJA272" s="50"/>
      <c r="VJB272" s="50"/>
      <c r="VJC272" s="50"/>
      <c r="VJD272" s="50"/>
      <c r="VJE272" s="50"/>
      <c r="VJF272" s="50"/>
      <c r="VJG272" s="50"/>
      <c r="VJH272" s="50"/>
      <c r="VJI272" s="50"/>
      <c r="VJJ272" s="50"/>
      <c r="VJK272" s="50"/>
      <c r="VJL272" s="50"/>
      <c r="VJM272" s="50"/>
      <c r="VJN272" s="50"/>
      <c r="VJO272" s="50"/>
      <c r="VJP272" s="50"/>
      <c r="VJQ272" s="50"/>
      <c r="VJR272" s="50"/>
      <c r="VJS272" s="50"/>
      <c r="VJT272" s="50"/>
      <c r="VJU272" s="50"/>
      <c r="VJV272" s="50"/>
      <c r="VJW272" s="50"/>
      <c r="VJX272" s="50"/>
      <c r="VJY272" s="50"/>
      <c r="VJZ272" s="50"/>
      <c r="VKA272" s="50"/>
      <c r="VKB272" s="50"/>
      <c r="VKC272" s="50"/>
      <c r="VKD272" s="50"/>
      <c r="VKE272" s="50"/>
      <c r="VKF272" s="50"/>
      <c r="VKG272" s="50"/>
      <c r="VKH272" s="50"/>
      <c r="VKI272" s="50"/>
      <c r="VKJ272" s="50"/>
      <c r="VKK272" s="50"/>
      <c r="VKL272" s="50"/>
      <c r="VKM272" s="50"/>
      <c r="VKN272" s="50"/>
      <c r="VKO272" s="50"/>
      <c r="VKP272" s="50"/>
      <c r="VKQ272" s="50"/>
      <c r="VKR272" s="50"/>
      <c r="VKS272" s="50"/>
      <c r="VKT272" s="50"/>
      <c r="VKU272" s="50"/>
      <c r="VKV272" s="50"/>
      <c r="VKW272" s="50"/>
      <c r="VKX272" s="50"/>
      <c r="VKY272" s="50"/>
      <c r="VKZ272" s="50"/>
      <c r="VLA272" s="50"/>
      <c r="VLB272" s="50"/>
      <c r="VLC272" s="50"/>
      <c r="VLD272" s="50"/>
      <c r="VLE272" s="50"/>
      <c r="VLF272" s="50"/>
      <c r="VLG272" s="50"/>
      <c r="VLH272" s="50"/>
      <c r="VLI272" s="50"/>
      <c r="VLJ272" s="50"/>
      <c r="VLK272" s="50"/>
      <c r="VLL272" s="50"/>
      <c r="VLM272" s="50"/>
      <c r="VLN272" s="50"/>
      <c r="VLO272" s="50"/>
      <c r="VLP272" s="50"/>
      <c r="VLQ272" s="50"/>
      <c r="VLR272" s="50"/>
      <c r="VLS272" s="50"/>
      <c r="VLT272" s="50"/>
      <c r="VLU272" s="50"/>
      <c r="VLV272" s="50"/>
      <c r="VLW272" s="50"/>
      <c r="VLX272" s="50"/>
      <c r="VLY272" s="50"/>
      <c r="VLZ272" s="50"/>
      <c r="VMA272" s="50"/>
      <c r="VMB272" s="50"/>
      <c r="VMC272" s="50"/>
      <c r="VMD272" s="50"/>
      <c r="VME272" s="50"/>
      <c r="VMF272" s="50"/>
      <c r="VMG272" s="50"/>
      <c r="VMH272" s="50"/>
      <c r="VMI272" s="50"/>
      <c r="VMJ272" s="50"/>
      <c r="VMK272" s="50"/>
      <c r="VML272" s="50"/>
      <c r="VMM272" s="50"/>
      <c r="VMN272" s="50"/>
      <c r="VMO272" s="50"/>
      <c r="VMP272" s="50"/>
      <c r="VMQ272" s="50"/>
      <c r="VMR272" s="50"/>
      <c r="VMS272" s="50"/>
      <c r="VMT272" s="50"/>
      <c r="VMU272" s="50"/>
      <c r="VMV272" s="50"/>
      <c r="VMW272" s="50"/>
      <c r="VMX272" s="50"/>
      <c r="VMY272" s="50"/>
      <c r="VMZ272" s="50"/>
      <c r="VNA272" s="50"/>
      <c r="VNB272" s="50"/>
      <c r="VNC272" s="50"/>
      <c r="VND272" s="50"/>
      <c r="VNE272" s="50"/>
      <c r="VNF272" s="50"/>
      <c r="VNG272" s="50"/>
      <c r="VNH272" s="50"/>
      <c r="VNI272" s="50"/>
      <c r="VNJ272" s="50"/>
      <c r="VNK272" s="50"/>
      <c r="VNL272" s="50"/>
      <c r="VNM272" s="50"/>
      <c r="VNN272" s="50"/>
      <c r="VNO272" s="50"/>
      <c r="VNP272" s="50"/>
      <c r="VNQ272" s="50"/>
      <c r="VNR272" s="50"/>
      <c r="VNS272" s="50"/>
      <c r="VNT272" s="50"/>
      <c r="VNU272" s="50"/>
      <c r="VNV272" s="50"/>
      <c r="VNW272" s="50"/>
      <c r="VNX272" s="50"/>
      <c r="VNY272" s="50"/>
      <c r="VNZ272" s="50"/>
      <c r="VOA272" s="50"/>
      <c r="VOB272" s="50"/>
      <c r="VOC272" s="50"/>
      <c r="VOD272" s="50"/>
      <c r="VOE272" s="50"/>
      <c r="VOF272" s="50"/>
      <c r="VOG272" s="50"/>
      <c r="VOH272" s="50"/>
      <c r="VOI272" s="50"/>
      <c r="VOJ272" s="50"/>
      <c r="VOK272" s="50"/>
      <c r="VOL272" s="50"/>
      <c r="VOM272" s="50"/>
      <c r="VON272" s="50"/>
      <c r="VOO272" s="50"/>
      <c r="VOP272" s="50"/>
      <c r="VOQ272" s="50"/>
      <c r="VOR272" s="50"/>
      <c r="VOS272" s="50"/>
      <c r="VOT272" s="50"/>
      <c r="VOU272" s="50"/>
      <c r="VOV272" s="50"/>
      <c r="VOW272" s="50"/>
      <c r="VOX272" s="50"/>
      <c r="VOY272" s="50"/>
      <c r="VOZ272" s="50"/>
      <c r="VPA272" s="50"/>
      <c r="VPB272" s="50"/>
      <c r="VPC272" s="50"/>
      <c r="VPD272" s="50"/>
      <c r="VPE272" s="50"/>
      <c r="VPF272" s="50"/>
      <c r="VPG272" s="50"/>
      <c r="VPH272" s="50"/>
      <c r="VPI272" s="50"/>
      <c r="VPJ272" s="50"/>
      <c r="VPK272" s="50"/>
      <c r="VPL272" s="50"/>
      <c r="VPM272" s="50"/>
      <c r="VPN272" s="50"/>
      <c r="VPO272" s="50"/>
      <c r="VPP272" s="50"/>
      <c r="VPQ272" s="50"/>
      <c r="VPR272" s="50"/>
      <c r="VPS272" s="50"/>
      <c r="VPT272" s="50"/>
      <c r="VPU272" s="50"/>
      <c r="VPV272" s="50"/>
      <c r="VPW272" s="50"/>
      <c r="VPX272" s="50"/>
      <c r="VPY272" s="50"/>
      <c r="VPZ272" s="50"/>
      <c r="VQA272" s="50"/>
      <c r="VQB272" s="50"/>
      <c r="VQC272" s="50"/>
      <c r="VQD272" s="50"/>
      <c r="VQE272" s="50"/>
      <c r="VQF272" s="50"/>
      <c r="VQG272" s="50"/>
      <c r="VQH272" s="50"/>
      <c r="VQI272" s="50"/>
      <c r="VQJ272" s="50"/>
      <c r="VQK272" s="50"/>
      <c r="VQL272" s="50"/>
      <c r="VQM272" s="50"/>
      <c r="VQN272" s="50"/>
      <c r="VQO272" s="50"/>
      <c r="VQP272" s="50"/>
      <c r="VQQ272" s="50"/>
      <c r="VQR272" s="50"/>
      <c r="VQS272" s="50"/>
      <c r="VQT272" s="50"/>
      <c r="VQU272" s="50"/>
      <c r="VQV272" s="50"/>
      <c r="VQW272" s="50"/>
      <c r="VQX272" s="50"/>
      <c r="VQY272" s="50"/>
      <c r="VQZ272" s="50"/>
      <c r="VRA272" s="50"/>
      <c r="VRB272" s="50"/>
      <c r="VRC272" s="50"/>
      <c r="VRD272" s="50"/>
      <c r="VRE272" s="50"/>
      <c r="VRF272" s="50"/>
      <c r="VRG272" s="50"/>
      <c r="VRH272" s="50"/>
      <c r="VRI272" s="50"/>
      <c r="VRJ272" s="50"/>
      <c r="VRK272" s="50"/>
      <c r="VRL272" s="50"/>
      <c r="VRM272" s="50"/>
      <c r="VRN272" s="50"/>
      <c r="VRO272" s="50"/>
      <c r="VRP272" s="50"/>
      <c r="VRQ272" s="50"/>
      <c r="VRR272" s="50"/>
      <c r="VRS272" s="50"/>
      <c r="VRT272" s="50"/>
      <c r="VRU272" s="50"/>
      <c r="VRV272" s="50"/>
      <c r="VRW272" s="50"/>
      <c r="VRX272" s="50"/>
      <c r="VRY272" s="50"/>
      <c r="VRZ272" s="50"/>
      <c r="VSA272" s="50"/>
      <c r="VSB272" s="50"/>
      <c r="VSC272" s="50"/>
      <c r="VSD272" s="50"/>
      <c r="VSE272" s="50"/>
      <c r="VSF272" s="50"/>
      <c r="VSG272" s="50"/>
      <c r="VSH272" s="50"/>
      <c r="VSI272" s="50"/>
      <c r="VSJ272" s="50"/>
      <c r="VSK272" s="50"/>
      <c r="VSL272" s="50"/>
      <c r="VSM272" s="50"/>
      <c r="VSN272" s="50"/>
      <c r="VSO272" s="50"/>
      <c r="VSP272" s="50"/>
      <c r="VSQ272" s="50"/>
      <c r="VSR272" s="50"/>
      <c r="VSS272" s="50"/>
      <c r="VST272" s="50"/>
      <c r="VSU272" s="50"/>
      <c r="VSV272" s="50"/>
      <c r="VSW272" s="50"/>
      <c r="VSX272" s="50"/>
      <c r="VSY272" s="50"/>
      <c r="VSZ272" s="50"/>
      <c r="VTA272" s="50"/>
      <c r="VTB272" s="50"/>
      <c r="VTC272" s="50"/>
      <c r="VTD272" s="50"/>
      <c r="VTE272" s="50"/>
      <c r="VTF272" s="50"/>
      <c r="VTG272" s="50"/>
      <c r="VTH272" s="50"/>
      <c r="VTI272" s="50"/>
      <c r="VTJ272" s="50"/>
      <c r="VTK272" s="50"/>
      <c r="VTL272" s="50"/>
      <c r="VTM272" s="50"/>
      <c r="VTN272" s="50"/>
      <c r="VTO272" s="50"/>
      <c r="VTP272" s="50"/>
      <c r="VTQ272" s="50"/>
      <c r="VTR272" s="50"/>
      <c r="VTS272" s="50"/>
      <c r="VTT272" s="50"/>
      <c r="VTU272" s="50"/>
      <c r="VTV272" s="50"/>
      <c r="VTW272" s="50"/>
      <c r="VTX272" s="50"/>
      <c r="VTY272" s="50"/>
      <c r="VTZ272" s="50"/>
      <c r="VUA272" s="50"/>
      <c r="VUB272" s="50"/>
      <c r="VUC272" s="50"/>
      <c r="VUD272" s="50"/>
      <c r="VUE272" s="50"/>
      <c r="VUF272" s="50"/>
      <c r="VUG272" s="50"/>
      <c r="VUH272" s="50"/>
      <c r="VUI272" s="50"/>
      <c r="VUJ272" s="50"/>
      <c r="VUK272" s="50"/>
      <c r="VUL272" s="50"/>
      <c r="VUM272" s="50"/>
      <c r="VUN272" s="50"/>
      <c r="VUO272" s="50"/>
      <c r="VUP272" s="50"/>
      <c r="VUQ272" s="50"/>
      <c r="VUR272" s="50"/>
      <c r="VUS272" s="50"/>
      <c r="VUT272" s="50"/>
      <c r="VUU272" s="50"/>
      <c r="VUV272" s="50"/>
      <c r="VUW272" s="50"/>
      <c r="VUX272" s="50"/>
      <c r="VUY272" s="50"/>
      <c r="VUZ272" s="50"/>
      <c r="VVA272" s="50"/>
      <c r="VVB272" s="50"/>
      <c r="VVC272" s="50"/>
      <c r="VVD272" s="50"/>
      <c r="VVE272" s="50"/>
      <c r="VVF272" s="50"/>
      <c r="VVG272" s="50"/>
      <c r="VVH272" s="50"/>
      <c r="VVI272" s="50"/>
      <c r="VVJ272" s="50"/>
      <c r="VVK272" s="50"/>
      <c r="VVL272" s="50"/>
      <c r="VVM272" s="50"/>
      <c r="VVN272" s="50"/>
    </row>
  </sheetData>
  <mergeCells count="7">
    <mergeCell ref="B1:AL1"/>
    <mergeCell ref="AL2:AL3"/>
    <mergeCell ref="F2:AJ2"/>
    <mergeCell ref="B2:B3"/>
    <mergeCell ref="C2:C3"/>
    <mergeCell ref="D2:D3"/>
    <mergeCell ref="E2:E3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BEDF-35D4-4B0B-89D8-6D18AB74A68A}">
  <dimension ref="A1:VBO259"/>
  <sheetViews>
    <sheetView topLeftCell="A2" zoomScale="70" zoomScaleNormal="70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53" sqref="A53:XFD53"/>
    </sheetView>
  </sheetViews>
  <sheetFormatPr defaultRowHeight="15" x14ac:dyDescent="0.25"/>
  <cols>
    <col min="1" max="1" width="4.140625" customWidth="1"/>
    <col min="3" max="3" width="41.140625" customWidth="1"/>
    <col min="4" max="4" width="16.140625" customWidth="1"/>
    <col min="5" max="5" width="8.42578125" customWidth="1"/>
    <col min="6" max="6" width="19.28515625" bestFit="1" customWidth="1"/>
    <col min="7" max="8" width="17.7109375" bestFit="1" customWidth="1"/>
    <col min="9" max="10" width="18.140625" bestFit="1" customWidth="1"/>
    <col min="11" max="11" width="17.7109375" bestFit="1" customWidth="1"/>
    <col min="12" max="13" width="17.140625" customWidth="1"/>
    <col min="14" max="14" width="15.5703125" hidden="1" customWidth="1"/>
    <col min="15" max="15" width="15.140625" hidden="1" customWidth="1"/>
    <col min="16" max="16" width="15.28515625" hidden="1" customWidth="1"/>
    <col min="17" max="17" width="15.7109375" hidden="1" customWidth="1"/>
    <col min="19" max="19" width="25.140625" customWidth="1"/>
    <col min="20" max="21" width="25.140625" hidden="1" customWidth="1"/>
    <col min="22" max="22" width="13.42578125" customWidth="1"/>
    <col min="23" max="23" width="15.28515625" customWidth="1"/>
    <col min="24" max="32" width="9.140625" customWidth="1"/>
    <col min="33" max="33" width="28.7109375" customWidth="1"/>
    <col min="34" max="37" width="9.140625" customWidth="1"/>
    <col min="38" max="38" width="13.28515625" customWidth="1"/>
    <col min="39" max="39" width="61.85546875" customWidth="1"/>
    <col min="40" max="40" width="41.7109375" customWidth="1"/>
    <col min="41" max="49" width="9.140625" customWidth="1"/>
    <col min="50" max="50" width="14" customWidth="1"/>
    <col min="51" max="60" width="9.140625" customWidth="1"/>
  </cols>
  <sheetData>
    <row r="1" spans="2:933" x14ac:dyDescent="0.25">
      <c r="B1" s="597"/>
    </row>
    <row r="2" spans="2:933" ht="18" x14ac:dyDescent="0.25">
      <c r="C2" s="598" t="s">
        <v>330</v>
      </c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9"/>
      <c r="O2" s="598"/>
      <c r="P2" s="598"/>
      <c r="Q2" s="598"/>
      <c r="R2" s="598"/>
      <c r="S2" s="598"/>
      <c r="T2" s="598"/>
      <c r="U2" s="598"/>
      <c r="V2" s="598"/>
      <c r="W2" s="598"/>
      <c r="X2" s="598"/>
      <c r="Y2" s="598"/>
      <c r="Z2" s="598"/>
      <c r="AA2" s="598"/>
      <c r="AB2" s="598"/>
      <c r="AC2" s="598"/>
      <c r="AD2" s="598"/>
      <c r="AE2" s="598"/>
      <c r="AF2" s="598"/>
      <c r="AG2" s="598"/>
      <c r="AH2" s="598"/>
      <c r="AI2" s="598"/>
      <c r="AJ2" s="598"/>
      <c r="AK2" s="598"/>
      <c r="AL2" s="598"/>
      <c r="AM2" s="598"/>
      <c r="AN2" s="598"/>
    </row>
    <row r="3" spans="2:933" ht="15.75" thickBot="1" x14ac:dyDescent="0.3">
      <c r="B3" s="600"/>
      <c r="F3" s="601"/>
      <c r="G3" s="601"/>
      <c r="H3" s="601"/>
      <c r="I3" s="601"/>
      <c r="J3" s="601"/>
      <c r="K3" s="601"/>
      <c r="L3" s="601"/>
      <c r="M3" s="601"/>
      <c r="N3" s="601"/>
      <c r="O3" s="601"/>
      <c r="P3" s="601"/>
      <c r="Q3" s="601"/>
    </row>
    <row r="4" spans="2:933" ht="30.75" thickBot="1" x14ac:dyDescent="0.3">
      <c r="B4" s="1146" t="s">
        <v>100</v>
      </c>
      <c r="C4" s="1148" t="s">
        <v>101</v>
      </c>
      <c r="D4" s="1150" t="s">
        <v>102</v>
      </c>
      <c r="E4" s="1148" t="s">
        <v>103</v>
      </c>
      <c r="F4" s="1152" t="s">
        <v>331</v>
      </c>
      <c r="G4" s="1153"/>
      <c r="H4" s="1153"/>
      <c r="I4" s="1153"/>
      <c r="J4" s="1153"/>
      <c r="K4" s="1153"/>
      <c r="L4" s="1153"/>
      <c r="M4" s="1153"/>
      <c r="N4" s="1153"/>
      <c r="O4" s="1153"/>
      <c r="P4" s="1153"/>
      <c r="Q4" s="1154"/>
      <c r="R4" s="910"/>
      <c r="S4" s="596" t="s">
        <v>332</v>
      </c>
      <c r="T4" s="855" t="s">
        <v>333</v>
      </c>
      <c r="U4" s="965" t="s">
        <v>334</v>
      </c>
      <c r="X4" s="71"/>
      <c r="Y4" s="100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R4" s="7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1147"/>
      <c r="C5" s="1149"/>
      <c r="D5" s="1151"/>
      <c r="E5" s="1149"/>
      <c r="F5" s="603" t="s">
        <v>335</v>
      </c>
      <c r="G5" s="603" t="s">
        <v>336</v>
      </c>
      <c r="H5" s="603" t="s">
        <v>337</v>
      </c>
      <c r="I5" s="604" t="s">
        <v>338</v>
      </c>
      <c r="J5" s="603" t="s">
        <v>339</v>
      </c>
      <c r="K5" s="603" t="s">
        <v>340</v>
      </c>
      <c r="L5" s="603" t="s">
        <v>341</v>
      </c>
      <c r="M5" s="603" t="s">
        <v>342</v>
      </c>
      <c r="N5" s="604" t="s">
        <v>343</v>
      </c>
      <c r="O5" s="603" t="s">
        <v>344</v>
      </c>
      <c r="P5" s="604" t="s">
        <v>345</v>
      </c>
      <c r="Q5" s="603" t="s">
        <v>346</v>
      </c>
      <c r="S5" s="602" t="s">
        <v>127</v>
      </c>
      <c r="T5" s="855" t="s">
        <v>127</v>
      </c>
      <c r="U5" s="965" t="s">
        <v>347</v>
      </c>
      <c r="X5" s="71"/>
      <c r="Y5" s="100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R5" s="7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1158">
        <v>1</v>
      </c>
      <c r="C6" s="605" t="s">
        <v>85</v>
      </c>
      <c r="D6" s="54"/>
      <c r="E6" s="54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3"/>
      <c r="S6" s="606" t="s">
        <v>128</v>
      </c>
      <c r="T6" s="856" t="s">
        <v>128</v>
      </c>
      <c r="U6" s="966" t="s">
        <v>128</v>
      </c>
      <c r="V6" s="71"/>
      <c r="W6" s="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R6" s="7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607"/>
      <c r="DF6" s="608"/>
      <c r="DG6" s="609">
        <v>29</v>
      </c>
      <c r="DH6" s="610">
        <v>30</v>
      </c>
      <c r="DI6" s="611">
        <v>31</v>
      </c>
    </row>
    <row r="7" spans="2:933" x14ac:dyDescent="0.25">
      <c r="B7" s="1159"/>
      <c r="C7" s="612" t="s">
        <v>16</v>
      </c>
      <c r="D7" s="613"/>
      <c r="E7" s="614"/>
      <c r="F7" s="615"/>
      <c r="G7" s="616"/>
      <c r="H7" s="615"/>
      <c r="I7" s="615"/>
      <c r="J7" s="617"/>
      <c r="K7" s="615"/>
      <c r="L7" s="615"/>
      <c r="M7" s="615"/>
      <c r="N7" s="615"/>
      <c r="O7" s="615"/>
      <c r="P7" s="615"/>
      <c r="Q7" s="615"/>
      <c r="R7" s="3"/>
      <c r="S7" s="905" t="s">
        <v>16</v>
      </c>
      <c r="T7" s="857" t="s">
        <v>16</v>
      </c>
      <c r="U7" s="967" t="s">
        <v>16</v>
      </c>
      <c r="V7" s="71"/>
      <c r="W7" s="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R7" s="7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618" t="s">
        <v>348</v>
      </c>
      <c r="DF7" s="5" t="s">
        <v>14</v>
      </c>
      <c r="DG7" s="619">
        <v>1971319.99999999</v>
      </c>
      <c r="DH7" s="620">
        <v>2015120.00000001</v>
      </c>
      <c r="DI7" s="621">
        <v>2015230</v>
      </c>
      <c r="AIU7" s="622" t="s">
        <v>349</v>
      </c>
      <c r="AIV7" s="622" t="s">
        <v>128</v>
      </c>
      <c r="AIW7" s="622" t="s">
        <v>350</v>
      </c>
    </row>
    <row r="8" spans="2:933" x14ac:dyDescent="0.25">
      <c r="B8" s="1159"/>
      <c r="C8" s="623" t="s">
        <v>84</v>
      </c>
      <c r="D8" s="624"/>
      <c r="E8" s="625" t="s">
        <v>83</v>
      </c>
      <c r="F8" s="626">
        <f>'[24]Januari 24'!AL9</f>
        <v>18</v>
      </c>
      <c r="G8" s="626">
        <f>'[24]Februari 24'!AL9</f>
        <v>11</v>
      </c>
      <c r="H8" s="626">
        <f>'[24]Maret 24'!AL9</f>
        <v>5</v>
      </c>
      <c r="I8" s="626">
        <f>'[25]April - 24'!$AK$9</f>
        <v>0</v>
      </c>
      <c r="J8" s="626">
        <f>'[26]Mei - 24'!$AL$9</f>
        <v>0</v>
      </c>
      <c r="K8" s="626">
        <f>'[27]Juni - 24'!$AL$9</f>
        <v>18</v>
      </c>
      <c r="L8" s="626">
        <f>'[28]Juli - 2024 ( Revisi )'!$AL$6</f>
        <v>22</v>
      </c>
      <c r="M8" s="626">
        <f>'Agustus - 2024'!AN6</f>
        <v>28</v>
      </c>
      <c r="N8" s="626">
        <f>'[24]September 24'!AL9</f>
        <v>0</v>
      </c>
      <c r="O8" s="626">
        <f>'[24]Oktober 24'!AL9</f>
        <v>0</v>
      </c>
      <c r="P8" s="626">
        <f>'[24]November 24'!AL9</f>
        <v>0</v>
      </c>
      <c r="Q8" s="626">
        <f>'[24]Desember 24'!AL9</f>
        <v>0</v>
      </c>
      <c r="R8" s="3"/>
      <c r="S8" s="63">
        <f>SUM(F8:Q8)</f>
        <v>102</v>
      </c>
      <c r="T8" s="858">
        <v>231</v>
      </c>
      <c r="U8" s="968">
        <f>S8/T8*100</f>
        <v>44.155844155844157</v>
      </c>
      <c r="V8" s="71"/>
      <c r="W8" s="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R8" s="7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618"/>
      <c r="DG8" s="619"/>
      <c r="DH8" s="620"/>
      <c r="DI8" s="621"/>
      <c r="FN8" s="3"/>
      <c r="OR8" s="151" t="s">
        <v>351</v>
      </c>
      <c r="AEE8" s="5" t="s">
        <v>352</v>
      </c>
      <c r="AEF8" s="5" t="s">
        <v>353</v>
      </c>
      <c r="AIT8" s="2" t="s">
        <v>197</v>
      </c>
      <c r="AIU8" s="151">
        <v>11008948</v>
      </c>
      <c r="AIV8" s="151">
        <f>S11</f>
        <v>74746909</v>
      </c>
      <c r="AIW8" s="4">
        <f>AIU8-AIV8</f>
        <v>-63737961</v>
      </c>
    </row>
    <row r="9" spans="2:933" x14ac:dyDescent="0.25">
      <c r="B9" s="1159"/>
      <c r="C9" s="11" t="s">
        <v>104</v>
      </c>
      <c r="D9" s="624"/>
      <c r="E9" s="625"/>
      <c r="F9" s="627">
        <f>'[24]Januari 24'!AL10</f>
        <v>17.457608504398824</v>
      </c>
      <c r="G9" s="627">
        <f>'[24]Februari 24'!AL10</f>
        <v>17.224766862170089</v>
      </c>
      <c r="H9" s="627">
        <f>'[24]Maret 24'!AL10</f>
        <v>4.5497712609970664</v>
      </c>
      <c r="I9" s="627">
        <f>'[25]April - 24'!$AK$11</f>
        <v>0</v>
      </c>
      <c r="J9" s="627">
        <f>'[26]Mei - 24'!$AL$11</f>
        <v>0</v>
      </c>
      <c r="K9" s="627">
        <f>'[27]Juni - 24'!$AL$11</f>
        <v>13.078035190615838</v>
      </c>
      <c r="L9" s="627">
        <f>'[28]Juli - 2024 ( Revisi )'!$AL$8</f>
        <v>23.454543988269798</v>
      </c>
      <c r="M9" s="627">
        <f>'Agustus - 2024'!AN8</f>
        <v>33.834847507331382</v>
      </c>
      <c r="N9" s="627">
        <f>'[24]September 24'!AL10</f>
        <v>0</v>
      </c>
      <c r="O9" s="627">
        <f>'[24]Oktober 24'!AL10</f>
        <v>0</v>
      </c>
      <c r="P9" s="626">
        <f>'[24]November 24'!AL10</f>
        <v>0</v>
      </c>
      <c r="Q9" s="627">
        <f>'[24]Desember 24'!AL10</f>
        <v>0</v>
      </c>
      <c r="R9" s="3"/>
      <c r="S9" s="63"/>
      <c r="T9" s="858"/>
      <c r="U9" s="968"/>
      <c r="V9" s="71"/>
      <c r="W9" s="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R9" s="7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618"/>
      <c r="DG9" s="619"/>
      <c r="DH9" s="620"/>
      <c r="DI9" s="621"/>
      <c r="FN9" s="3"/>
      <c r="OR9" s="151"/>
      <c r="AEE9" s="5"/>
      <c r="AEF9" s="5"/>
      <c r="AIT9" s="2"/>
      <c r="AIU9" s="151"/>
      <c r="AIV9" s="151"/>
      <c r="AIW9" s="4"/>
    </row>
    <row r="10" spans="2:933" x14ac:dyDescent="0.25">
      <c r="B10" s="1159"/>
      <c r="C10" s="11" t="s">
        <v>354</v>
      </c>
      <c r="D10" s="624"/>
      <c r="E10" s="625"/>
      <c r="F10" s="627">
        <f>F11/F14*100</f>
        <v>18.288923195084486</v>
      </c>
      <c r="G10" s="627">
        <f t="shared" ref="G10:Q10" si="0">G11/G14*100</f>
        <v>25.98670722265236</v>
      </c>
      <c r="H10" s="627">
        <f t="shared" si="0"/>
        <v>7.9383544821940237</v>
      </c>
      <c r="I10" s="627" t="e">
        <f t="shared" si="0"/>
        <v>#VALUE!</v>
      </c>
      <c r="J10" s="627">
        <f t="shared" si="0"/>
        <v>0</v>
      </c>
      <c r="K10" s="627">
        <f t="shared" si="0"/>
        <v>24.530982700294288</v>
      </c>
      <c r="L10" s="627">
        <f t="shared" si="0"/>
        <v>43.994606562336699</v>
      </c>
      <c r="M10" s="627">
        <f>M11/M14*100</f>
        <v>63.465348331912317</v>
      </c>
      <c r="N10" s="627">
        <f t="shared" si="0"/>
        <v>0</v>
      </c>
      <c r="O10" s="627">
        <f t="shared" si="0"/>
        <v>0</v>
      </c>
      <c r="P10" s="627">
        <f t="shared" si="0"/>
        <v>0</v>
      </c>
      <c r="Q10" s="627">
        <f t="shared" si="0"/>
        <v>0</v>
      </c>
      <c r="R10" s="3"/>
      <c r="S10" s="63" t="e">
        <f>AVERAGE(F10:O10)</f>
        <v>#VALUE!</v>
      </c>
      <c r="T10" s="858"/>
      <c r="U10" s="968"/>
      <c r="V10" s="71"/>
      <c r="W10" s="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R10" s="7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618"/>
      <c r="DG10" s="619"/>
      <c r="DH10" s="620"/>
      <c r="DI10" s="621"/>
      <c r="FN10" s="3"/>
      <c r="OR10" s="151"/>
      <c r="AEE10" s="5"/>
      <c r="AEF10" s="5"/>
      <c r="AIT10" s="2"/>
      <c r="AIU10" s="151"/>
      <c r="AIV10" s="151"/>
      <c r="AIW10" s="4"/>
    </row>
    <row r="11" spans="2:933" x14ac:dyDescent="0.25">
      <c r="B11" s="1159"/>
      <c r="C11" s="628" t="s">
        <v>97</v>
      </c>
      <c r="D11" s="629">
        <v>701400000</v>
      </c>
      <c r="E11" s="630" t="s">
        <v>14</v>
      </c>
      <c r="F11" s="631">
        <f>'[24]Januari 24'!AL11</f>
        <v>11906089</v>
      </c>
      <c r="G11" s="631">
        <f>'[24]Februari 24'!AL11</f>
        <v>11747291</v>
      </c>
      <c r="H11" s="631">
        <f>'[24]Maret 24'!AL11</f>
        <v>3102944</v>
      </c>
      <c r="I11" s="631">
        <f>'[25]April - 24'!$AK$12</f>
        <v>0</v>
      </c>
      <c r="J11" s="631">
        <f>'[26]Mei - 24'!$AL$12</f>
        <v>0</v>
      </c>
      <c r="K11" s="631">
        <f>'[27]Juni - 24'!$AL$12</f>
        <v>8919220</v>
      </c>
      <c r="L11" s="631">
        <f>'[28]Juli - 2024 ( Revisi )'!$AL$9</f>
        <v>15995999</v>
      </c>
      <c r="M11" s="631">
        <f>'Agustus - 2024'!AN9</f>
        <v>23075366</v>
      </c>
      <c r="N11" s="631">
        <f>'[24]September 24'!AL11</f>
        <v>0</v>
      </c>
      <c r="O11" s="631">
        <f>'[24]Oktober 24'!AL11</f>
        <v>0</v>
      </c>
      <c r="P11" s="631">
        <f>'[24]November 24'!AL11</f>
        <v>0</v>
      </c>
      <c r="Q11" s="631">
        <f>'[24]Desember 24'!AL11</f>
        <v>0</v>
      </c>
      <c r="R11" s="911"/>
      <c r="S11" s="66">
        <f>SUM(F11:Q11)</f>
        <v>74746909</v>
      </c>
      <c r="T11" s="859">
        <v>421374000</v>
      </c>
      <c r="U11" s="969">
        <f>S11/T11</f>
        <v>0.17738851708933157</v>
      </c>
      <c r="V11" s="1002"/>
      <c r="W11" s="639"/>
      <c r="X11" s="1003"/>
      <c r="Y11" s="1004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R11" s="71"/>
      <c r="AT11" s="639"/>
      <c r="AU11" s="639"/>
      <c r="AV11" s="1"/>
      <c r="AW11" s="1"/>
      <c r="AX11" s="383">
        <f>S11/D11</f>
        <v>0.1065681622469347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52"/>
      <c r="BY11" s="1"/>
      <c r="DA11" s="1"/>
      <c r="DE11" s="632" t="s">
        <v>355</v>
      </c>
      <c r="DF11" s="633" t="s">
        <v>19</v>
      </c>
      <c r="DG11" s="634">
        <v>251.19641540408301</v>
      </c>
      <c r="DH11" s="635">
        <v>257.91391043490898</v>
      </c>
      <c r="DI11" s="636">
        <v>251.51265323328099</v>
      </c>
      <c r="DJ11" s="152"/>
      <c r="FM11" s="151"/>
      <c r="FN11" s="3"/>
      <c r="JH11" s="152"/>
      <c r="JI11" s="152"/>
      <c r="JJ11" s="151"/>
      <c r="JK11" s="152"/>
      <c r="OO11" s="152">
        <v>26946.1077844311</v>
      </c>
      <c r="OP11" s="152">
        <v>17383.2335329341</v>
      </c>
      <c r="OR11" s="152" t="s">
        <v>356</v>
      </c>
      <c r="PF11" s="155"/>
      <c r="PJ11" s="152"/>
      <c r="RM11" s="155"/>
      <c r="AEE11" s="151">
        <f>35.8500000000058*1000</f>
        <v>35850.000000005799</v>
      </c>
      <c r="AGV11" s="151"/>
      <c r="AIK11" s="151"/>
      <c r="AIL11" s="151"/>
      <c r="AIM11" s="151"/>
      <c r="AIT11" s="2" t="s">
        <v>64</v>
      </c>
      <c r="AIU11" s="151">
        <v>566885</v>
      </c>
      <c r="AIV11" s="151">
        <f>S20</f>
        <v>3394842</v>
      </c>
      <c r="AIW11" s="4">
        <f>AIU11-AIV11</f>
        <v>-2827957</v>
      </c>
    </row>
    <row r="12" spans="2:933" x14ac:dyDescent="0.25">
      <c r="B12" s="1159"/>
      <c r="C12" s="628" t="s">
        <v>98</v>
      </c>
      <c r="D12" s="629"/>
      <c r="E12" s="630" t="s">
        <v>14</v>
      </c>
      <c r="F12" s="631">
        <f>'[24]Januari 24'!AL12</f>
        <v>10284032.518182635</v>
      </c>
      <c r="G12" s="631">
        <f>'[24]Februari 24'!AL12</f>
        <v>10885810.60758747</v>
      </c>
      <c r="H12" s="631">
        <f>'[24]Maret 24'!AL12</f>
        <v>2891954.6607774799</v>
      </c>
      <c r="I12" s="631">
        <f>'[25]April - 24'!$AK$13</f>
        <v>0</v>
      </c>
      <c r="J12" s="631">
        <f>'[26]Mei - 24'!$AL$13</f>
        <v>0</v>
      </c>
      <c r="K12" s="631">
        <f>'[27]Juni - 24'!$AL$13</f>
        <v>8919220</v>
      </c>
      <c r="L12" s="631">
        <f>'[28]Juli - 2024 ( Revisi )'!$AL$10</f>
        <v>15995999</v>
      </c>
      <c r="M12" s="631">
        <f>'Agustus - 2024'!AN10</f>
        <v>22890671</v>
      </c>
      <c r="N12" s="631">
        <v>0</v>
      </c>
      <c r="O12" s="631">
        <v>0</v>
      </c>
      <c r="P12" s="631" t="e">
        <f>'[24]November 24'!AL12</f>
        <v>#DIV/0!</v>
      </c>
      <c r="Q12" s="631" t="e">
        <f>'[24]Desember 24'!AL12</f>
        <v>#DIV/0!</v>
      </c>
      <c r="R12" s="911"/>
      <c r="S12" s="66">
        <f>SUM(F12:O12)</f>
        <v>71867687.786547586</v>
      </c>
      <c r="T12" s="860"/>
      <c r="U12" s="970"/>
      <c r="V12" s="71"/>
      <c r="W12" s="3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R12" s="71"/>
      <c r="AT12" s="639"/>
      <c r="AU12" s="639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52"/>
      <c r="BY12" s="1"/>
      <c r="DA12" s="1"/>
      <c r="DE12" s="618"/>
      <c r="DF12" s="5"/>
      <c r="DG12" s="638"/>
      <c r="DH12" s="639"/>
      <c r="DI12" s="640"/>
      <c r="DJ12" s="152"/>
      <c r="FM12" s="152"/>
      <c r="JH12" s="152"/>
      <c r="JI12" s="152"/>
      <c r="JJ12" s="152"/>
      <c r="JK12" s="152"/>
      <c r="OO12" s="152"/>
      <c r="OP12" s="152"/>
      <c r="OR12" s="152"/>
      <c r="PF12" s="155"/>
      <c r="PJ12" s="152"/>
      <c r="RM12" s="155"/>
      <c r="AGV12" s="151"/>
      <c r="AIK12" s="151"/>
      <c r="AIL12" s="151"/>
      <c r="AIM12" s="151"/>
      <c r="AIT12" s="2"/>
      <c r="AIU12" s="151"/>
      <c r="AIV12" s="151"/>
    </row>
    <row r="13" spans="2:933" x14ac:dyDescent="0.25">
      <c r="B13" s="1159"/>
      <c r="C13" s="628" t="s">
        <v>99</v>
      </c>
      <c r="D13" s="629"/>
      <c r="E13" s="630" t="s">
        <v>14</v>
      </c>
      <c r="F13" s="631">
        <f>'[24]Januari 24'!AL13</f>
        <v>1622056.4818173659</v>
      </c>
      <c r="G13" s="631">
        <f>'[24]Februari 24'!AL13</f>
        <v>861480.39241253119</v>
      </c>
      <c r="H13" s="631">
        <f>'[24]Maret 24'!AL13</f>
        <v>210989.3392225201</v>
      </c>
      <c r="I13" s="631">
        <v>0</v>
      </c>
      <c r="J13" s="631">
        <v>0</v>
      </c>
      <c r="K13" s="631">
        <v>0</v>
      </c>
      <c r="L13" s="631">
        <f>'[28]Juli - 2024 ( Revisi )'!$AL$11</f>
        <v>0</v>
      </c>
      <c r="M13" s="631">
        <f>'Agustus - 2024'!AN11</f>
        <v>184695</v>
      </c>
      <c r="N13" s="631">
        <v>0</v>
      </c>
      <c r="O13" s="631">
        <v>0</v>
      </c>
      <c r="P13" s="631" t="e">
        <f>'[24]November 24'!AL13</f>
        <v>#DIV/0!</v>
      </c>
      <c r="Q13" s="631" t="e">
        <f>'[24]Desember 24'!AL13</f>
        <v>#DIV/0!</v>
      </c>
      <c r="R13" s="911"/>
      <c r="S13" s="637">
        <f>SUM(F13:O13)</f>
        <v>2879221.2134524169</v>
      </c>
      <c r="T13" s="860"/>
      <c r="U13" s="970"/>
      <c r="V13" s="388"/>
      <c r="W13" s="3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R13" s="71"/>
      <c r="AT13" s="639"/>
      <c r="AU13" s="639"/>
      <c r="AV13" s="1"/>
      <c r="AW13" s="1"/>
      <c r="AX13" s="383" t="e">
        <f>AW13/P13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52"/>
      <c r="BY13" s="1"/>
      <c r="DA13" s="1"/>
      <c r="DE13" s="618"/>
      <c r="DF13" s="5"/>
      <c r="DG13" s="638"/>
      <c r="DH13" s="639"/>
      <c r="DI13" s="640"/>
      <c r="DJ13" s="152"/>
      <c r="FM13" s="152"/>
      <c r="JH13" s="152"/>
      <c r="JI13" s="152"/>
      <c r="JJ13" s="152"/>
      <c r="JK13" s="152"/>
      <c r="OO13" s="152"/>
      <c r="OP13" s="152"/>
      <c r="OR13" s="152"/>
      <c r="PF13" s="155"/>
      <c r="PJ13" s="152"/>
      <c r="RM13" s="155"/>
      <c r="AGV13" s="151"/>
      <c r="AIK13" s="151"/>
      <c r="AIL13" s="151"/>
      <c r="AIM13" s="151"/>
      <c r="AIT13" s="2"/>
      <c r="AIU13" s="151"/>
      <c r="AIV13" s="151"/>
    </row>
    <row r="14" spans="2:933" x14ac:dyDescent="0.25">
      <c r="B14" s="1159"/>
      <c r="C14" s="628" t="s">
        <v>357</v>
      </c>
      <c r="D14" s="629"/>
      <c r="E14" s="630" t="s">
        <v>14</v>
      </c>
      <c r="F14" s="631">
        <v>65100000</v>
      </c>
      <c r="G14" s="631">
        <v>45205000</v>
      </c>
      <c r="H14" s="631">
        <v>39088000</v>
      </c>
      <c r="I14" s="631" t="str">
        <f>'[25]April - 24'!$C$12</f>
        <v>CPO Consume Total</v>
      </c>
      <c r="J14" s="631">
        <f>'[26]Mei - 24'!$D$12</f>
        <v>36359000</v>
      </c>
      <c r="K14" s="631">
        <f>'[27]Juni - 24'!$D$12</f>
        <v>36359000</v>
      </c>
      <c r="L14" s="631">
        <f>'[29]Juli - 2024'!$D$9</f>
        <v>36359000</v>
      </c>
      <c r="M14" s="631">
        <f>'[29]Juli - 2024'!$D$9</f>
        <v>36359000</v>
      </c>
      <c r="N14" s="631">
        <f>'[29]Juli - 2024'!$D$9</f>
        <v>36359000</v>
      </c>
      <c r="O14" s="631">
        <f>'[29]Juli - 2024'!$D$9</f>
        <v>36359000</v>
      </c>
      <c r="P14" s="631">
        <f>'[29]Juli - 2024'!$D$9</f>
        <v>36359000</v>
      </c>
      <c r="Q14" s="631">
        <f>'[29]Juli - 2024'!$D$9</f>
        <v>36359000</v>
      </c>
      <c r="R14" s="911"/>
      <c r="S14" s="66">
        <f>SUM(F14:Q14)</f>
        <v>440265000</v>
      </c>
      <c r="T14" s="860"/>
      <c r="U14" s="970"/>
      <c r="V14" s="388"/>
      <c r="W14" s="3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R14" s="71"/>
      <c r="AT14" s="639"/>
      <c r="AU14" s="639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52"/>
      <c r="BY14" s="1"/>
      <c r="DA14" s="1"/>
      <c r="DE14" s="618"/>
      <c r="DF14" s="5"/>
      <c r="DG14" s="638"/>
      <c r="DH14" s="639"/>
      <c r="DI14" s="640"/>
      <c r="DJ14" s="152"/>
      <c r="FM14" s="152"/>
      <c r="JH14" s="152"/>
      <c r="JI14" s="152"/>
      <c r="JJ14" s="152"/>
      <c r="JK14" s="152"/>
      <c r="OO14" s="152"/>
      <c r="OP14" s="152"/>
      <c r="OR14" s="152"/>
      <c r="PF14" s="155"/>
      <c r="PJ14" s="152"/>
      <c r="RM14" s="155"/>
      <c r="AGV14" s="151"/>
      <c r="AIK14" s="151"/>
      <c r="AIL14" s="151"/>
      <c r="AIM14" s="151"/>
      <c r="AIT14" s="2"/>
      <c r="AIU14" s="151"/>
      <c r="AIV14" s="151"/>
    </row>
    <row r="15" spans="2:933" x14ac:dyDescent="0.25">
      <c r="B15" s="1159"/>
      <c r="C15" s="641" t="s">
        <v>82</v>
      </c>
      <c r="D15" s="642">
        <v>5</v>
      </c>
      <c r="E15" s="643" t="s">
        <v>25</v>
      </c>
      <c r="F15" s="644">
        <v>4.38</v>
      </c>
      <c r="G15" s="644">
        <v>4.5599999999999996</v>
      </c>
      <c r="H15" s="644">
        <v>4.1900000000000004</v>
      </c>
      <c r="I15" s="644">
        <v>4.1100000000000003</v>
      </c>
      <c r="J15" s="644">
        <v>3.86</v>
      </c>
      <c r="K15" s="644">
        <v>4.25</v>
      </c>
      <c r="L15" s="644">
        <f>'[28]Juli - 2024 ( Revisi )'!$AL$12</f>
        <v>3.8848484848484857</v>
      </c>
      <c r="M15" s="644">
        <f>'Agustus - 2024'!AN12</f>
        <v>3.9614880952380962</v>
      </c>
      <c r="N15" s="644">
        <v>0</v>
      </c>
      <c r="O15" s="644">
        <v>0</v>
      </c>
      <c r="P15" s="644" t="e">
        <f>'[24]November 24'!AL14</f>
        <v>#DIV/0!</v>
      </c>
      <c r="Q15" s="644" t="e">
        <f>'[24]Desember 24'!AL14</f>
        <v>#DIV/0!</v>
      </c>
      <c r="S15" s="67">
        <f>AVERAGE(F15:O15)</f>
        <v>3.3196336580086578</v>
      </c>
      <c r="T15" s="861" t="e">
        <f t="shared" ref="T15:U17" si="1">AVERAGE(G15:R15)</f>
        <v>#DIV/0!</v>
      </c>
      <c r="U15" s="968" t="e">
        <f t="shared" si="1"/>
        <v>#DIV/0!</v>
      </c>
      <c r="V15" s="71"/>
      <c r="W15" s="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R15" s="71"/>
      <c r="AT15" s="1005"/>
      <c r="AU15" s="100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645"/>
      <c r="BY15" s="1"/>
      <c r="DA15" s="1"/>
      <c r="DE15" s="618" t="s">
        <v>358</v>
      </c>
      <c r="DF15" s="5" t="s">
        <v>14</v>
      </c>
      <c r="DG15" s="619">
        <v>182230</v>
      </c>
      <c r="DH15" s="620">
        <v>190070</v>
      </c>
      <c r="DI15" s="621">
        <v>197800.00000000099</v>
      </c>
      <c r="DJ15" s="645"/>
      <c r="FM15" s="645"/>
      <c r="FN15" s="645"/>
      <c r="JH15" s="645"/>
      <c r="JI15" s="645"/>
      <c r="JJ15" s="646"/>
      <c r="JK15" s="645"/>
      <c r="OO15" s="645">
        <f>S11/1000</f>
        <v>74746.909</v>
      </c>
      <c r="OP15" s="645">
        <f>(S25+S43+S34)/1000</f>
        <v>18951.155999999999</v>
      </c>
      <c r="OR15" s="645" t="e">
        <f>SUM(OR16:OR17)</f>
        <v>#REF!</v>
      </c>
      <c r="PF15" s="647"/>
      <c r="PJ15" s="645"/>
      <c r="RM15" s="647"/>
      <c r="AGV15" s="645">
        <v>2000</v>
      </c>
      <c r="AIK15" s="645"/>
      <c r="AIL15" s="645"/>
      <c r="AIM15" s="645"/>
      <c r="AIT15" s="648"/>
      <c r="AIU15" s="645"/>
      <c r="AIV15" s="645"/>
    </row>
    <row r="16" spans="2:933" ht="15.75" thickBot="1" x14ac:dyDescent="0.3">
      <c r="B16" s="1159"/>
      <c r="C16" s="649" t="s">
        <v>81</v>
      </c>
      <c r="D16" s="650">
        <v>0.5</v>
      </c>
      <c r="E16" s="651" t="s">
        <v>25</v>
      </c>
      <c r="F16" s="644">
        <f>'[24]Januari 24'!AL15</f>
        <v>0.42388888888888893</v>
      </c>
      <c r="G16" s="644">
        <f>'[24]Februari 24'!AL15</f>
        <v>0.43545454545454548</v>
      </c>
      <c r="H16" s="644">
        <f>'[24]Maret 24'!AL15</f>
        <v>0.43</v>
      </c>
      <c r="I16" s="644">
        <f>'[25]April - 24'!$AK$16</f>
        <v>0</v>
      </c>
      <c r="J16" s="644">
        <f>'[26]Mei - 24'!$AL$16</f>
        <v>0</v>
      </c>
      <c r="K16" s="644">
        <f>'[27]Juni - 24'!$AL$16</f>
        <v>0.45375000000000004</v>
      </c>
      <c r="L16" s="644">
        <f>'[28]Juli - 2024 ( Revisi )'!$AL$13</f>
        <v>0.41795454545454547</v>
      </c>
      <c r="M16" s="644">
        <f>'Agustus - 2024'!AN13</f>
        <v>0.43083333333333335</v>
      </c>
      <c r="N16" s="644">
        <v>0</v>
      </c>
      <c r="O16" s="644">
        <v>0</v>
      </c>
      <c r="P16" s="644" t="e">
        <f>'[24]November 24'!AL15</f>
        <v>#DIV/0!</v>
      </c>
      <c r="Q16" s="644" t="e">
        <f>'[24]Desember 24'!AL15</f>
        <v>#DIV/0!</v>
      </c>
      <c r="R16" s="911"/>
      <c r="S16" s="67">
        <f>AVERAGE(F16:O16)</f>
        <v>0.25918813131313134</v>
      </c>
      <c r="T16" s="861" t="e">
        <f t="shared" si="1"/>
        <v>#DIV/0!</v>
      </c>
      <c r="U16" s="968" t="e">
        <f t="shared" si="1"/>
        <v>#DIV/0!</v>
      </c>
      <c r="V16" s="71"/>
      <c r="W16" s="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R16" s="71"/>
      <c r="AT16" s="639"/>
      <c r="AU16" s="639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52"/>
      <c r="BY16" s="1"/>
      <c r="DA16" s="1"/>
      <c r="DE16" s="652"/>
      <c r="DF16" s="653" t="s">
        <v>359</v>
      </c>
      <c r="DG16" s="654">
        <f>DG15/(DG7/1000)</f>
        <v>92.440598177871138</v>
      </c>
      <c r="DH16" s="655">
        <f>DH15/(DH7/1000)</f>
        <v>94.321926237642941</v>
      </c>
      <c r="DI16" s="656">
        <f>DI15/(DI7/1000)</f>
        <v>98.152568193209206</v>
      </c>
      <c r="DJ16" s="152"/>
      <c r="FM16" s="152"/>
      <c r="JH16" s="152"/>
      <c r="JI16" s="645"/>
      <c r="JJ16" s="152"/>
      <c r="JK16" s="152"/>
      <c r="OO16" s="657"/>
      <c r="OP16" s="657"/>
      <c r="OR16" s="657" t="e">
        <f>#REF!/1000</f>
        <v>#REF!</v>
      </c>
      <c r="OS16" s="155" t="e">
        <f>OR16/OR15*100</f>
        <v>#REF!</v>
      </c>
      <c r="PF16" s="155"/>
      <c r="PJ16" s="152"/>
      <c r="RM16" s="155"/>
      <c r="AGU16" s="658">
        <v>0.94199999999999995</v>
      </c>
      <c r="AGV16" s="151">
        <f>AGU16*AGV15</f>
        <v>1884</v>
      </c>
      <c r="AGW16" s="1" t="s">
        <v>16</v>
      </c>
      <c r="AIK16" s="151"/>
      <c r="AIL16" s="151"/>
      <c r="AIM16" s="151"/>
      <c r="AIT16" s="2" t="s">
        <v>63</v>
      </c>
      <c r="AIU16" s="151">
        <v>9594130</v>
      </c>
      <c r="AIV16" s="151">
        <f>S26</f>
        <v>13830654</v>
      </c>
      <c r="AIW16" s="4">
        <f>AIU16-AIV16</f>
        <v>-4236524</v>
      </c>
    </row>
    <row r="17" spans="2:933" x14ac:dyDescent="0.25">
      <c r="B17" s="1159"/>
      <c r="C17" s="649" t="s">
        <v>80</v>
      </c>
      <c r="D17" s="659" t="s">
        <v>79</v>
      </c>
      <c r="E17" s="651" t="s">
        <v>25</v>
      </c>
      <c r="F17" s="644">
        <f>'[24]Januari 24'!AL16</f>
        <v>2.2105555555555561</v>
      </c>
      <c r="G17" s="644">
        <f>'[24]Februari 24'!AL16</f>
        <v>2.2127272727272729</v>
      </c>
      <c r="H17" s="644">
        <f>'[24]Maret 24'!AL16</f>
        <v>2.21</v>
      </c>
      <c r="I17" s="644">
        <f>'[25]April - 24'!$AK$17</f>
        <v>0</v>
      </c>
      <c r="J17" s="644">
        <f>'[26]Mei - 24'!$AL$17</f>
        <v>0</v>
      </c>
      <c r="K17" s="644">
        <f>'[27]Juni - 24'!$AL$17</f>
        <v>2.2100000000000004</v>
      </c>
      <c r="L17" s="644">
        <f>'[29]Juli - 2024'!$AL$14</f>
        <v>2.2135714285714285</v>
      </c>
      <c r="M17" s="644">
        <f>'Agustus - 2024'!AN14</f>
        <v>2.2129285714285718</v>
      </c>
      <c r="N17" s="644">
        <v>0</v>
      </c>
      <c r="O17" s="644">
        <v>0</v>
      </c>
      <c r="P17" s="644" t="e">
        <f>'[24]November 24'!AL16</f>
        <v>#DIV/0!</v>
      </c>
      <c r="Q17" s="660" t="e">
        <f>'[24]Desember 24'!AL16</f>
        <v>#DIV/0!</v>
      </c>
      <c r="R17" s="911"/>
      <c r="S17" s="67">
        <f>AVERAGE(F17:O17)</f>
        <v>1.326978282828283</v>
      </c>
      <c r="T17" s="861" t="e">
        <f t="shared" si="1"/>
        <v>#DIV/0!</v>
      </c>
      <c r="U17" s="968" t="e">
        <f t="shared" si="1"/>
        <v>#DIV/0!</v>
      </c>
      <c r="V17" s="71"/>
      <c r="W17" s="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R17" s="71"/>
      <c r="AT17" s="639"/>
      <c r="AU17" s="639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52"/>
      <c r="BY17" s="1"/>
      <c r="DA17" s="1"/>
      <c r="DJ17" s="152"/>
      <c r="FM17" s="152"/>
      <c r="JH17" s="152"/>
      <c r="JI17" s="152"/>
      <c r="JJ17" s="152"/>
      <c r="JK17" s="152"/>
      <c r="OO17" s="152">
        <f>SUM(OO15:OO16)</f>
        <v>74746.909</v>
      </c>
      <c r="OP17" s="152">
        <f>SUM(OP15:OP16)</f>
        <v>18951.155999999999</v>
      </c>
      <c r="OR17" s="657" t="e">
        <f>#REF!/1000</f>
        <v>#REF!</v>
      </c>
      <c r="OS17" s="155" t="e">
        <f>OR17/OR15*100</f>
        <v>#REF!</v>
      </c>
      <c r="PF17" s="155"/>
      <c r="PJ17" s="152"/>
      <c r="RM17" s="155"/>
      <c r="AGU17" s="661">
        <v>0.05</v>
      </c>
      <c r="AGV17" s="151">
        <f>AGU17*AGV15</f>
        <v>100</v>
      </c>
      <c r="AIK17" s="151"/>
      <c r="AIL17" s="151"/>
      <c r="AIM17" s="151"/>
      <c r="AIT17" s="2" t="s">
        <v>62</v>
      </c>
      <c r="AIU17" s="151">
        <v>2161151</v>
      </c>
      <c r="AIV17" s="151">
        <f>S27</f>
        <v>2982810</v>
      </c>
      <c r="AIW17" s="4">
        <f>AIU17-AIV17</f>
        <v>-821659</v>
      </c>
    </row>
    <row r="18" spans="2:933" x14ac:dyDescent="0.25">
      <c r="B18" s="1159"/>
      <c r="C18" s="662" t="s">
        <v>78</v>
      </c>
      <c r="D18" s="663"/>
      <c r="E18" s="664"/>
      <c r="F18" s="626"/>
      <c r="G18" s="626"/>
      <c r="H18" s="626"/>
      <c r="I18" s="626"/>
      <c r="J18" s="626"/>
      <c r="K18" s="626"/>
      <c r="L18" s="626"/>
      <c r="M18" s="626"/>
      <c r="N18" s="626"/>
      <c r="O18" s="626"/>
      <c r="P18" s="626"/>
      <c r="Q18" s="626"/>
      <c r="R18" s="912"/>
      <c r="S18" s="903" t="s">
        <v>78</v>
      </c>
      <c r="T18" s="862" t="s">
        <v>78</v>
      </c>
      <c r="U18" s="971" t="s">
        <v>78</v>
      </c>
      <c r="V18" s="71"/>
      <c r="W18" s="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R18" s="71"/>
      <c r="AT18" s="639"/>
      <c r="AU18" s="639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50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52"/>
      <c r="BY18" s="1"/>
      <c r="DA18" s="1"/>
      <c r="DF18" s="5"/>
      <c r="DG18" s="152"/>
      <c r="DH18" s="152"/>
      <c r="DI18" s="152"/>
      <c r="DJ18" s="152"/>
      <c r="FM18" s="152"/>
      <c r="JH18" s="152"/>
      <c r="JI18" s="152"/>
      <c r="JJ18" s="152"/>
      <c r="JK18" s="152"/>
      <c r="OO18" s="155">
        <f>OO17/OO11*100</f>
        <v>277.39408451111149</v>
      </c>
      <c r="OP18" s="155">
        <f>OP17/OP11*100</f>
        <v>109.01973999311076</v>
      </c>
      <c r="OR18" s="152"/>
      <c r="PF18" s="155"/>
      <c r="PJ18" s="152"/>
      <c r="RM18" s="155"/>
      <c r="AEG18" s="597" t="s">
        <v>360</v>
      </c>
      <c r="AEH18" s="597"/>
      <c r="AEI18" s="597"/>
      <c r="AEJ18" s="597"/>
      <c r="AEK18" s="597"/>
      <c r="AEL18" s="597"/>
      <c r="AEM18" s="597"/>
      <c r="AEN18" s="597"/>
      <c r="AEO18" s="597"/>
      <c r="AEP18" s="597"/>
      <c r="AEQ18" s="5" t="s">
        <v>361</v>
      </c>
      <c r="AER18" s="597" t="s">
        <v>362</v>
      </c>
      <c r="AGV18" s="151"/>
      <c r="AIK18" s="151"/>
      <c r="AIL18" s="151"/>
      <c r="AIM18" s="151"/>
      <c r="AIU18" s="151"/>
      <c r="AIV18" s="151"/>
    </row>
    <row r="19" spans="2:933" ht="15.75" thickBot="1" x14ac:dyDescent="0.3">
      <c r="B19" s="1159"/>
      <c r="C19" s="665" t="s">
        <v>77</v>
      </c>
      <c r="D19" s="629">
        <f>D51%*D11</f>
        <v>660718800</v>
      </c>
      <c r="E19" s="666" t="s">
        <v>14</v>
      </c>
      <c r="F19" s="631">
        <f>'[24]Januari 24'!AL18</f>
        <v>11255730</v>
      </c>
      <c r="G19" s="631">
        <f>'[24]Februari 24'!AL18</f>
        <v>11075536</v>
      </c>
      <c r="H19" s="631">
        <f>'[24]Maret 24'!AL18</f>
        <v>2943785</v>
      </c>
      <c r="I19" s="631">
        <f>'[25]April - 24'!$AK$19</f>
        <v>0</v>
      </c>
      <c r="J19" s="631">
        <f>'[26]Mei - 24'!$AL$19</f>
        <v>0</v>
      </c>
      <c r="K19" s="631">
        <f>'[27]Juni - 24'!$AL$19</f>
        <v>8432668</v>
      </c>
      <c r="L19" s="631">
        <f>'[28]Juli - 2024 ( Revisi )'!$AL$16</f>
        <v>14396709</v>
      </c>
      <c r="M19" s="631">
        <f>'Agustus - 2024'!AN16</f>
        <v>22151806.199999999</v>
      </c>
      <c r="N19" s="631">
        <f>'[24]September 24'!AL18</f>
        <v>0</v>
      </c>
      <c r="O19" s="631">
        <f>'[24]Oktober 24'!AL18</f>
        <v>0</v>
      </c>
      <c r="P19" s="631">
        <f>'[24]November 24'!AL18</f>
        <v>0</v>
      </c>
      <c r="Q19" s="631">
        <f>'[24]Desember 24'!AL18</f>
        <v>0</v>
      </c>
      <c r="R19" s="911"/>
      <c r="S19" s="112">
        <f>SUM(F19:Q19)</f>
        <v>70256234.200000003</v>
      </c>
      <c r="T19" s="859">
        <v>399336000</v>
      </c>
      <c r="U19" s="970">
        <f>S19/T19*100</f>
        <v>17.593263367189536</v>
      </c>
      <c r="V19" s="71"/>
      <c r="W19" s="1"/>
      <c r="X19" s="71"/>
      <c r="Y19" s="71"/>
      <c r="Z19" s="1006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R19" s="71"/>
      <c r="AT19" s="620"/>
      <c r="AU19" s="620"/>
      <c r="AV19" s="3"/>
      <c r="AW19" s="1"/>
      <c r="AX19" s="383">
        <f>AX20/D19</f>
        <v>9.1422859467598011E-2</v>
      </c>
      <c r="AY19" s="1"/>
      <c r="AZ19" s="1"/>
      <c r="BA19" s="1"/>
      <c r="BB19" s="1"/>
      <c r="BC19" s="1"/>
      <c r="BD19" s="1"/>
      <c r="BE19" s="1"/>
      <c r="BF19" s="150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51"/>
      <c r="BY19" s="1"/>
      <c r="DA19" s="1"/>
      <c r="DE19" s="667" t="s">
        <v>363</v>
      </c>
      <c r="DF19" s="5"/>
      <c r="DG19" s="151"/>
      <c r="DH19" s="151"/>
      <c r="DI19" s="151"/>
      <c r="DJ19" s="151"/>
      <c r="FM19" s="151"/>
      <c r="JH19" s="151"/>
      <c r="JI19" s="151"/>
      <c r="JJ19" s="151"/>
      <c r="JK19" s="151"/>
      <c r="OO19" s="151"/>
      <c r="OP19" s="151"/>
      <c r="OR19" s="151"/>
      <c r="PF19" s="668"/>
      <c r="PJ19" s="151"/>
      <c r="RM19" s="668"/>
      <c r="AEE19" s="151">
        <v>136359.999999986</v>
      </c>
      <c r="AEF19" s="151">
        <v>109339.999999997</v>
      </c>
      <c r="AEG19" s="669">
        <f>SUM(AEE19:AEF19)</f>
        <v>245699.999999983</v>
      </c>
      <c r="AEQ19" s="151">
        <v>34157.880000005498</v>
      </c>
      <c r="AER19" s="669">
        <f>AEG19-AEQ19</f>
        <v>211542.1199999775</v>
      </c>
      <c r="AGV19" s="151">
        <f>AGV16</f>
        <v>1884</v>
      </c>
      <c r="AIK19" s="151"/>
      <c r="AIL19" s="151"/>
      <c r="AIM19" s="151"/>
      <c r="AIU19" s="151"/>
      <c r="AIV19" s="151"/>
    </row>
    <row r="20" spans="2:933" x14ac:dyDescent="0.25">
      <c r="B20" s="1159"/>
      <c r="C20" s="665" t="s">
        <v>64</v>
      </c>
      <c r="D20" s="629">
        <f>D52%*D11</f>
        <v>35070000</v>
      </c>
      <c r="E20" s="666" t="s">
        <v>14</v>
      </c>
      <c r="F20" s="631">
        <f>'[24]Januari 24'!AL19</f>
        <v>568791</v>
      </c>
      <c r="G20" s="631">
        <f>'[24]Februari 24'!AL19</f>
        <v>594383</v>
      </c>
      <c r="H20" s="631">
        <f>'[24]Maret 24'!AL19</f>
        <v>137988</v>
      </c>
      <c r="I20" s="631">
        <f>'[25]April - 24'!$AK$20</f>
        <v>0</v>
      </c>
      <c r="J20" s="631">
        <f>'[26]Mei - 24'!$AL$20</f>
        <v>0</v>
      </c>
      <c r="K20" s="631">
        <f>'[27]Juni - 24'!$AL$20</f>
        <v>432588</v>
      </c>
      <c r="L20" s="631">
        <f>'[28]Juli - 2024 ( Revisi )'!$AL$17</f>
        <v>713632</v>
      </c>
      <c r="M20" s="631">
        <f>'Agustus - 2024'!AN17</f>
        <v>947460</v>
      </c>
      <c r="N20" s="631">
        <f>'[24]September 24'!AL19</f>
        <v>0</v>
      </c>
      <c r="O20" s="631">
        <f>'[24]Oktober 24'!AL19</f>
        <v>0</v>
      </c>
      <c r="P20" s="631">
        <f>'[24]November 24'!AL19</f>
        <v>0</v>
      </c>
      <c r="Q20" s="631">
        <f>'[24]Desember 24'!AL19</f>
        <v>0</v>
      </c>
      <c r="R20" s="911"/>
      <c r="S20" s="66">
        <f>SUM(F20:Q20)</f>
        <v>3394842</v>
      </c>
      <c r="T20" s="863">
        <v>19024000</v>
      </c>
      <c r="U20" s="970">
        <f>S20/T20*100</f>
        <v>17.845048359966359</v>
      </c>
      <c r="V20" s="71"/>
      <c r="W20" s="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R20" s="71"/>
      <c r="AT20" s="620"/>
      <c r="AU20" s="620"/>
      <c r="AV20" s="3"/>
      <c r="AW20" s="1"/>
      <c r="AX20" s="3">
        <f>S25+S29+S34+S43+S38</f>
        <v>60404802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51"/>
      <c r="BY20" s="1"/>
      <c r="DA20" s="1"/>
      <c r="DE20" s="670" t="s">
        <v>304</v>
      </c>
      <c r="DF20" s="671"/>
      <c r="DG20" s="672" t="s">
        <v>220</v>
      </c>
      <c r="DH20" s="673" t="s">
        <v>364</v>
      </c>
      <c r="DI20" s="674"/>
      <c r="DJ20" s="151"/>
      <c r="FM20" s="151"/>
      <c r="JH20" s="151"/>
      <c r="JI20" s="151"/>
      <c r="JJ20" s="151"/>
      <c r="JK20" s="151"/>
      <c r="OO20" s="151">
        <f>OO11-OO17</f>
        <v>-47800.801215568899</v>
      </c>
      <c r="OP20" s="151">
        <f>OP11-OP17</f>
        <v>-1567.9224670658987</v>
      </c>
      <c r="OR20" s="675" t="s">
        <v>365</v>
      </c>
      <c r="OS20" s="676">
        <v>0</v>
      </c>
      <c r="PE20" s="151">
        <v>564.70506750000004</v>
      </c>
      <c r="PF20" s="668">
        <f>OS20/PE20*100</f>
        <v>0</v>
      </c>
      <c r="PI20" s="661"/>
      <c r="PJ20" s="151"/>
      <c r="RM20" s="668"/>
      <c r="AEE20" s="151">
        <v>13799.9999999993</v>
      </c>
      <c r="AEF20" s="151">
        <v>2799.9999999992701</v>
      </c>
      <c r="AEG20" s="669">
        <f>SUM(AEE20:AEF20)</f>
        <v>16599.99999999857</v>
      </c>
      <c r="AEQ20" s="151">
        <v>1469.85000000024</v>
      </c>
      <c r="AER20" s="669">
        <f>AEG20-AEQ20</f>
        <v>15130.14999999833</v>
      </c>
      <c r="AGU20" s="661">
        <v>0.75</v>
      </c>
      <c r="AGV20" s="151">
        <f>AGU20*AGV19</f>
        <v>1413</v>
      </c>
      <c r="AIK20" s="151"/>
      <c r="AIL20" s="151"/>
      <c r="AIM20" s="151"/>
      <c r="AIU20" s="151"/>
      <c r="AIV20" s="151"/>
    </row>
    <row r="21" spans="2:933" x14ac:dyDescent="0.25">
      <c r="B21" s="1159"/>
      <c r="C21" s="909" t="s">
        <v>386</v>
      </c>
      <c r="D21" s="629"/>
      <c r="E21" s="683"/>
      <c r="F21" s="626"/>
      <c r="G21" s="626"/>
      <c r="H21" s="626"/>
      <c r="I21" s="626"/>
      <c r="J21" s="626"/>
      <c r="K21" s="626"/>
      <c r="L21" s="626"/>
      <c r="M21" s="626"/>
      <c r="N21" s="631"/>
      <c r="O21" s="631"/>
      <c r="P21" s="631"/>
      <c r="Q21" s="631"/>
      <c r="R21" s="911"/>
      <c r="S21" s="66"/>
      <c r="T21" s="863"/>
      <c r="U21" s="970"/>
      <c r="V21" s="71"/>
      <c r="W21" s="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R21" s="71"/>
      <c r="AT21" s="620"/>
      <c r="AU21" s="620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51"/>
      <c r="BY21" s="1"/>
      <c r="DA21" s="1"/>
      <c r="DE21" s="956"/>
      <c r="DF21" s="957"/>
      <c r="DG21" s="958"/>
      <c r="DH21" s="959"/>
      <c r="DI21" s="960"/>
      <c r="DJ21" s="151"/>
      <c r="FM21" s="151"/>
      <c r="JH21" s="151"/>
      <c r="JI21" s="151"/>
      <c r="JJ21" s="151"/>
      <c r="JK21" s="151"/>
      <c r="OO21" s="151"/>
      <c r="OP21" s="151"/>
      <c r="OR21" s="675"/>
      <c r="OS21" s="676"/>
      <c r="PE21" s="151"/>
      <c r="PF21" s="668"/>
      <c r="PI21" s="661"/>
      <c r="PJ21" s="151"/>
      <c r="RM21" s="668"/>
      <c r="AEE21" s="151"/>
      <c r="AEF21" s="151"/>
      <c r="AEG21" s="669"/>
      <c r="AEQ21" s="151"/>
      <c r="AER21" s="669"/>
      <c r="AGU21" s="661"/>
      <c r="AGV21" s="151"/>
      <c r="AIK21" s="151"/>
      <c r="AIL21" s="151"/>
      <c r="AIM21" s="151"/>
      <c r="AIU21" s="151"/>
      <c r="AIV21" s="151"/>
    </row>
    <row r="22" spans="2:933" x14ac:dyDescent="0.25">
      <c r="B22" s="1159"/>
      <c r="C22" s="73" t="s">
        <v>420</v>
      </c>
      <c r="D22" s="962">
        <f>399289.3*1000</f>
        <v>399289300</v>
      </c>
      <c r="E22" s="666" t="s">
        <v>14</v>
      </c>
      <c r="F22" s="631">
        <f>F23</f>
        <v>6744590</v>
      </c>
      <c r="G22" s="631">
        <f t="shared" ref="G22:L22" si="2">G23</f>
        <v>7673369</v>
      </c>
      <c r="H22" s="631">
        <f t="shared" si="2"/>
        <v>1794600</v>
      </c>
      <c r="I22" s="631">
        <f t="shared" si="2"/>
        <v>0</v>
      </c>
      <c r="J22" s="631">
        <f t="shared" si="2"/>
        <v>0</v>
      </c>
      <c r="K22" s="631">
        <f t="shared" si="2"/>
        <v>7764784</v>
      </c>
      <c r="L22" s="631">
        <f t="shared" si="2"/>
        <v>11686063</v>
      </c>
      <c r="M22" s="631">
        <f>'Agustus - 2024'!AN21</f>
        <v>24452230</v>
      </c>
      <c r="N22" s="626"/>
      <c r="O22" s="626"/>
      <c r="P22" s="626"/>
      <c r="Q22" s="626"/>
      <c r="R22" s="911"/>
      <c r="S22" s="963">
        <f>SUM(F22:M22)</f>
        <v>60115636</v>
      </c>
      <c r="T22" s="863"/>
      <c r="U22" s="970"/>
      <c r="V22" s="1007"/>
      <c r="W22" s="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R22" s="71"/>
      <c r="AT22" s="620"/>
      <c r="AU22" s="620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51"/>
      <c r="BY22" s="1"/>
      <c r="DA22" s="1"/>
      <c r="DE22" s="956"/>
      <c r="DF22" s="957"/>
      <c r="DG22" s="958"/>
      <c r="DH22" s="959"/>
      <c r="DI22" s="960"/>
      <c r="DJ22" s="151"/>
      <c r="FM22" s="151"/>
      <c r="JH22" s="151"/>
      <c r="JI22" s="151"/>
      <c r="JJ22" s="151"/>
      <c r="JK22" s="151"/>
      <c r="OO22" s="151"/>
      <c r="OP22" s="151"/>
      <c r="OR22" s="675"/>
      <c r="OS22" s="676"/>
      <c r="PE22" s="151"/>
      <c r="PF22" s="668"/>
      <c r="PI22" s="661"/>
      <c r="PJ22" s="151"/>
      <c r="RM22" s="668"/>
      <c r="AEE22" s="151"/>
      <c r="AEF22" s="151"/>
      <c r="AEG22" s="669"/>
      <c r="AEQ22" s="151"/>
      <c r="AER22" s="669"/>
      <c r="AGU22" s="661"/>
      <c r="AGV22" s="151"/>
      <c r="AIK22" s="151"/>
      <c r="AIL22" s="151"/>
      <c r="AIM22" s="151"/>
      <c r="AIU22" s="151"/>
      <c r="AIV22" s="151"/>
    </row>
    <row r="23" spans="2:933" x14ac:dyDescent="0.25">
      <c r="B23" s="1159"/>
      <c r="C23" s="14" t="s">
        <v>419</v>
      </c>
      <c r="D23" s="961"/>
      <c r="E23" s="683" t="s">
        <v>14</v>
      </c>
      <c r="F23" s="626">
        <f>SUM(F25,F29,F34,F38,F43)</f>
        <v>6744590</v>
      </c>
      <c r="G23" s="626">
        <f t="shared" ref="G23:M23" si="3">SUM(G25,G29,G34,G38,G43)</f>
        <v>7673369</v>
      </c>
      <c r="H23" s="626">
        <f t="shared" si="3"/>
        <v>1794600</v>
      </c>
      <c r="I23" s="626">
        <f t="shared" si="3"/>
        <v>0</v>
      </c>
      <c r="J23" s="626">
        <f t="shared" si="3"/>
        <v>0</v>
      </c>
      <c r="K23" s="626">
        <f t="shared" si="3"/>
        <v>7764784</v>
      </c>
      <c r="L23" s="626">
        <f t="shared" si="3"/>
        <v>11686063</v>
      </c>
      <c r="M23" s="626">
        <f t="shared" si="3"/>
        <v>24060756</v>
      </c>
      <c r="N23" s="626"/>
      <c r="O23" s="626"/>
      <c r="P23" s="626"/>
      <c r="Q23" s="626"/>
      <c r="R23" s="911"/>
      <c r="S23" s="964">
        <f>SUM(F23:M23)</f>
        <v>59724162</v>
      </c>
      <c r="T23" s="863"/>
      <c r="U23" s="970"/>
      <c r="V23" s="71"/>
      <c r="W23" s="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R23" s="71"/>
      <c r="AT23" s="620"/>
      <c r="AU23" s="620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51"/>
      <c r="BY23" s="1"/>
      <c r="DA23" s="1"/>
      <c r="DE23" s="956"/>
      <c r="DF23" s="957"/>
      <c r="DG23" s="958"/>
      <c r="DH23" s="959"/>
      <c r="DI23" s="960"/>
      <c r="DJ23" s="151"/>
      <c r="FM23" s="151"/>
      <c r="JH23" s="151"/>
      <c r="JI23" s="151"/>
      <c r="JJ23" s="151"/>
      <c r="JK23" s="151"/>
      <c r="OO23" s="151"/>
      <c r="OP23" s="151"/>
      <c r="OR23" s="675"/>
      <c r="OS23" s="676"/>
      <c r="PE23" s="151"/>
      <c r="PF23" s="668"/>
      <c r="PI23" s="661"/>
      <c r="PJ23" s="151"/>
      <c r="RM23" s="668"/>
      <c r="AEE23" s="151"/>
      <c r="AEF23" s="151"/>
      <c r="AEG23" s="669"/>
      <c r="AEQ23" s="151"/>
      <c r="AER23" s="669"/>
      <c r="AGU23" s="661"/>
      <c r="AGV23" s="151"/>
      <c r="AIK23" s="151"/>
      <c r="AIL23" s="151"/>
      <c r="AIM23" s="151"/>
      <c r="AIU23" s="151"/>
      <c r="AIV23" s="151"/>
    </row>
    <row r="24" spans="2:933" ht="15.75" thickBot="1" x14ac:dyDescent="0.3">
      <c r="B24" s="1159"/>
      <c r="C24" s="677" t="s">
        <v>76</v>
      </c>
      <c r="D24" s="678"/>
      <c r="E24" s="679"/>
      <c r="F24" s="615"/>
      <c r="G24" s="615"/>
      <c r="H24" s="615"/>
      <c r="I24" s="615"/>
      <c r="J24" s="615"/>
      <c r="K24" s="615"/>
      <c r="L24" s="615"/>
      <c r="M24" s="615"/>
      <c r="N24" s="615"/>
      <c r="O24" s="615"/>
      <c r="P24" s="615"/>
      <c r="Q24" s="615"/>
      <c r="R24" s="911"/>
      <c r="S24" s="904" t="s">
        <v>63</v>
      </c>
      <c r="T24" s="864" t="s">
        <v>63</v>
      </c>
      <c r="U24" s="972" t="s">
        <v>63</v>
      </c>
      <c r="V24" s="71"/>
      <c r="W24" s="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R24" s="7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"/>
      <c r="BY24" s="1"/>
      <c r="DA24" s="1"/>
      <c r="DE24" s="607"/>
      <c r="DF24" s="680"/>
      <c r="DG24" s="609">
        <v>24</v>
      </c>
      <c r="DH24" s="610">
        <v>2</v>
      </c>
      <c r="DI24" s="611">
        <v>3</v>
      </c>
      <c r="OR24" s="675" t="s">
        <v>61</v>
      </c>
      <c r="OS24" s="681">
        <f>80.53776+PF34</f>
        <v>120.78492</v>
      </c>
      <c r="PE24" s="151">
        <v>4695.7554</v>
      </c>
      <c r="PF24" s="668">
        <f>OS24/PE24*100</f>
        <v>2.5722148985869238</v>
      </c>
      <c r="AGU24" s="661">
        <v>0.25</v>
      </c>
      <c r="AGV24" s="151">
        <f>AGU24*AGV19</f>
        <v>471</v>
      </c>
    </row>
    <row r="25" spans="2:933" x14ac:dyDescent="0.25">
      <c r="B25" s="1159"/>
      <c r="C25" s="665" t="s">
        <v>75</v>
      </c>
      <c r="D25" s="682">
        <f>SUM(D26:D27)</f>
        <v>0</v>
      </c>
      <c r="E25" s="683" t="s">
        <v>14</v>
      </c>
      <c r="F25" s="626">
        <f>F26+F27</f>
        <v>2379082</v>
      </c>
      <c r="G25" s="626">
        <f>'[24]Februari 24'!AL21</f>
        <v>50570</v>
      </c>
      <c r="H25" s="626">
        <f>'[24]Maret 24'!AL21</f>
        <v>0</v>
      </c>
      <c r="I25" s="626">
        <f>'[24]April 24'!AL21</f>
        <v>0</v>
      </c>
      <c r="J25" s="626">
        <f>'[24]Mei 24'!AL21</f>
        <v>0</v>
      </c>
      <c r="K25" s="626">
        <f t="shared" ref="K25:Q25" si="4">K26+K27</f>
        <v>0</v>
      </c>
      <c r="L25" s="626">
        <f>'[28]Juli - 2024 ( Revisi )'!$AL$19</f>
        <v>0</v>
      </c>
      <c r="M25" s="626">
        <f>'Agustus - 2024'!AN25</f>
        <v>14223412</v>
      </c>
      <c r="N25" s="626">
        <f t="shared" si="4"/>
        <v>0</v>
      </c>
      <c r="O25" s="626">
        <f t="shared" si="4"/>
        <v>0</v>
      </c>
      <c r="P25" s="626">
        <f t="shared" si="4"/>
        <v>0</v>
      </c>
      <c r="Q25" s="626">
        <f t="shared" si="4"/>
        <v>0</v>
      </c>
      <c r="R25" s="911"/>
      <c r="S25" s="66">
        <f>S26+S27</f>
        <v>16813464</v>
      </c>
      <c r="T25" s="859">
        <f>T26+T27</f>
        <v>87311000</v>
      </c>
      <c r="U25" s="970">
        <f>S25/T25*100</f>
        <v>19.256982510794746</v>
      </c>
      <c r="V25" s="71"/>
      <c r="W25" s="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R25" s="71"/>
      <c r="AT25" s="639"/>
      <c r="AU25" s="639"/>
      <c r="AV25" s="1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52"/>
      <c r="BY25" s="1"/>
      <c r="DA25" s="1"/>
      <c r="DE25" s="618" t="s">
        <v>348</v>
      </c>
      <c r="DF25" s="5" t="s">
        <v>14</v>
      </c>
      <c r="DG25" s="619">
        <v>2000530</v>
      </c>
      <c r="DH25" s="639">
        <v>2005167</v>
      </c>
      <c r="DI25" s="621">
        <v>2025879</v>
      </c>
      <c r="DJ25" s="152"/>
      <c r="FM25" s="152"/>
      <c r="JH25" s="152"/>
      <c r="JI25" s="152"/>
      <c r="JJ25" s="152"/>
      <c r="JK25" s="152"/>
      <c r="OO25" s="152"/>
      <c r="OP25" s="152"/>
      <c r="OR25" s="152"/>
      <c r="PF25" s="155"/>
      <c r="PJ25" s="152"/>
      <c r="RM25" s="155"/>
      <c r="AEE25" s="4">
        <f>95.28%*AEE11</f>
        <v>34157.880000005527</v>
      </c>
      <c r="AEG25" s="4">
        <f>AEE19-AEQ19</f>
        <v>102202.1199999805</v>
      </c>
      <c r="AGV25" s="151"/>
      <c r="AIK25" s="151"/>
      <c r="AIL25" s="151"/>
      <c r="AIM25" s="151"/>
      <c r="AIQ25" s="1" t="s">
        <v>366</v>
      </c>
    </row>
    <row r="26" spans="2:933" x14ac:dyDescent="0.25">
      <c r="B26" s="1159"/>
      <c r="C26" s="665" t="s">
        <v>74</v>
      </c>
      <c r="D26" s="682"/>
      <c r="E26" s="666" t="s">
        <v>14</v>
      </c>
      <c r="F26" s="631">
        <f>'[24]Januari 24'!AL22</f>
        <v>1982807</v>
      </c>
      <c r="G26" s="631">
        <f>'[24]Februari 24'!AL22</f>
        <v>42320</v>
      </c>
      <c r="H26" s="631">
        <f>'[24]Maret 24'!AL22</f>
        <v>0</v>
      </c>
      <c r="I26" s="631">
        <f>'[24]April 24'!AL22</f>
        <v>0</v>
      </c>
      <c r="J26" s="631">
        <f>'[24]Mei 24'!AL22</f>
        <v>0</v>
      </c>
      <c r="K26" s="631">
        <f>'[24]Juny 24'!AL22</f>
        <v>0</v>
      </c>
      <c r="L26" s="631">
        <f>'[28]Juli - 2024 ( Revisi )'!$AL$20</f>
        <v>135300</v>
      </c>
      <c r="M26" s="631">
        <f>'Agustus - 2024'!AN26</f>
        <v>11670227</v>
      </c>
      <c r="N26" s="631">
        <f>'[24]September 24'!AL22</f>
        <v>0</v>
      </c>
      <c r="O26" s="631">
        <f>'[24]Oktober 24'!AL22</f>
        <v>0</v>
      </c>
      <c r="P26" s="631">
        <f>'[24]November 24'!AL22</f>
        <v>0</v>
      </c>
      <c r="Q26" s="631">
        <f>'[24]Desember 24'!AL22</f>
        <v>0</v>
      </c>
      <c r="R26" s="911"/>
      <c r="S26" s="66">
        <f>SUM(F26:Q26)</f>
        <v>13830654</v>
      </c>
      <c r="T26" s="863">
        <v>71627000</v>
      </c>
      <c r="U26" s="970">
        <f>S26/T26*100</f>
        <v>19.309274435617855</v>
      </c>
      <c r="V26" s="71"/>
      <c r="W26" s="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R26" s="71"/>
      <c r="AT26" s="1"/>
      <c r="AU26" s="1"/>
      <c r="AV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"/>
      <c r="BY26" s="1"/>
      <c r="DA26" s="1"/>
      <c r="DE26" s="632" t="s">
        <v>355</v>
      </c>
      <c r="DF26" s="633" t="s">
        <v>19</v>
      </c>
      <c r="DG26" s="634">
        <v>255.536188590634</v>
      </c>
      <c r="DH26" s="684">
        <v>255.09239449100701</v>
      </c>
      <c r="DI26" s="636">
        <v>260.824545250543</v>
      </c>
      <c r="OO26" s="657" t="e">
        <f>#REF!/1000</f>
        <v>#REF!</v>
      </c>
      <c r="OR26" s="685" t="s">
        <v>367</v>
      </c>
      <c r="OS26" s="151">
        <v>0</v>
      </c>
      <c r="PE26" s="151">
        <v>9.7534799999999997</v>
      </c>
      <c r="PF26" s="668">
        <f>(OS26*PE26)/1000</f>
        <v>0</v>
      </c>
      <c r="AEE26" s="4">
        <f>4.1%*AEE11</f>
        <v>1469.8500000002375</v>
      </c>
      <c r="AEG26" s="4">
        <f>AEE20-AEQ20</f>
        <v>12330.149999999059</v>
      </c>
    </row>
    <row r="27" spans="2:933" x14ac:dyDescent="0.25">
      <c r="B27" s="1159"/>
      <c r="C27" s="665" t="s">
        <v>73</v>
      </c>
      <c r="D27" s="682"/>
      <c r="E27" s="666" t="s">
        <v>14</v>
      </c>
      <c r="F27" s="631">
        <f>'[24]Januari 24'!AL23</f>
        <v>396275</v>
      </c>
      <c r="G27" s="631">
        <f>'[24]Februari 24'!AL23</f>
        <v>8250</v>
      </c>
      <c r="H27" s="631">
        <f>'[24]Maret 24'!AL23</f>
        <v>0</v>
      </c>
      <c r="I27" s="631">
        <f>'[24]April 24'!AL23</f>
        <v>0</v>
      </c>
      <c r="J27" s="631">
        <f>'[24]Mei 24'!AL23</f>
        <v>0</v>
      </c>
      <c r="K27" s="631">
        <f>'[24]Juny 24'!AL23</f>
        <v>0</v>
      </c>
      <c r="L27" s="631">
        <f>'[28]Juli - 2024 ( Revisi )'!$AL$21</f>
        <v>25100</v>
      </c>
      <c r="M27" s="631">
        <f>'Agustus - 2024'!AN27</f>
        <v>2553185</v>
      </c>
      <c r="N27" s="631">
        <f>'[24]September 24'!AL23</f>
        <v>0</v>
      </c>
      <c r="O27" s="631">
        <f>'[24]Oktober 24'!AL23</f>
        <v>0</v>
      </c>
      <c r="P27" s="631">
        <f>'[24]November 24'!AL23</f>
        <v>0</v>
      </c>
      <c r="Q27" s="631">
        <f>'[24]Desember 24'!AL23</f>
        <v>0</v>
      </c>
      <c r="R27" s="911"/>
      <c r="S27" s="66">
        <f>SUM(F27:Q27)</f>
        <v>2982810</v>
      </c>
      <c r="T27" s="863">
        <v>15684000</v>
      </c>
      <c r="U27" s="970">
        <f t="shared" ref="U27:U45" si="5">S27/T27*100</f>
        <v>19.018171384850806</v>
      </c>
      <c r="V27" s="71"/>
      <c r="W27" s="3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R27" s="71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618" t="s">
        <v>358</v>
      </c>
      <c r="DF27" s="5" t="s">
        <v>14</v>
      </c>
      <c r="DG27" s="619">
        <v>146000</v>
      </c>
      <c r="DH27" s="620">
        <v>151100</v>
      </c>
      <c r="DI27" s="621">
        <v>152900</v>
      </c>
      <c r="OO27" s="151">
        <v>1796</v>
      </c>
      <c r="OQ27" s="668"/>
      <c r="OR27" s="685" t="s">
        <v>368</v>
      </c>
      <c r="OS27" s="657">
        <v>1262</v>
      </c>
      <c r="PE27" s="1">
        <v>10.86</v>
      </c>
      <c r="PF27" s="668">
        <f>(OS27*PE27)/1000</f>
        <v>13.70532</v>
      </c>
      <c r="AIQ27" s="2" t="s">
        <v>369</v>
      </c>
    </row>
    <row r="28" spans="2:933" x14ac:dyDescent="0.25">
      <c r="B28" s="1159"/>
      <c r="C28" s="677" t="s">
        <v>105</v>
      </c>
      <c r="D28" s="682"/>
      <c r="E28" s="686"/>
      <c r="F28" s="687"/>
      <c r="G28" s="687"/>
      <c r="H28" s="687"/>
      <c r="I28" s="687"/>
      <c r="J28" s="687"/>
      <c r="K28" s="687"/>
      <c r="L28" s="687"/>
      <c r="M28" s="687"/>
      <c r="N28" s="687"/>
      <c r="O28" s="687"/>
      <c r="P28" s="687"/>
      <c r="Q28" s="687"/>
      <c r="R28" s="911"/>
      <c r="S28" s="904" t="s">
        <v>107</v>
      </c>
      <c r="T28" s="864" t="s">
        <v>107</v>
      </c>
      <c r="U28" s="972" t="s">
        <v>107</v>
      </c>
      <c r="V28" s="71"/>
      <c r="W28" s="3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R28" s="71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"/>
      <c r="BY28" s="1"/>
      <c r="DA28" s="1"/>
      <c r="DE28" s="618"/>
      <c r="DF28" s="5"/>
      <c r="DG28" s="619"/>
      <c r="DH28" s="620"/>
      <c r="DI28" s="621"/>
      <c r="OO28" s="151"/>
      <c r="OQ28" s="668"/>
      <c r="OR28" s="685"/>
      <c r="OS28" s="657"/>
      <c r="PE28" s="1"/>
      <c r="PF28" s="668"/>
      <c r="AIQ28" s="2"/>
    </row>
    <row r="29" spans="2:933" x14ac:dyDescent="0.25">
      <c r="B29" s="1159"/>
      <c r="C29" s="665" t="s">
        <v>75</v>
      </c>
      <c r="D29" s="682"/>
      <c r="E29" s="666" t="s">
        <v>14</v>
      </c>
      <c r="F29" s="631">
        <f>F30+F31</f>
        <v>2827867</v>
      </c>
      <c r="G29" s="631">
        <f>'[30]Februari - 24'!$AL$34</f>
        <v>7224129</v>
      </c>
      <c r="H29" s="631">
        <f>'[24]Maret 24'!AL25</f>
        <v>0</v>
      </c>
      <c r="I29" s="631">
        <f>'[25]April - 24'!$AK$26</f>
        <v>0</v>
      </c>
      <c r="J29" s="631">
        <f>'[24]Mei 24'!AL25</f>
        <v>0</v>
      </c>
      <c r="K29" s="631">
        <f t="shared" ref="K29:Q29" si="6">K30+K31</f>
        <v>0</v>
      </c>
      <c r="L29" s="631">
        <f t="shared" si="6"/>
        <v>0</v>
      </c>
      <c r="M29" s="631">
        <f t="shared" si="6"/>
        <v>0</v>
      </c>
      <c r="N29" s="631">
        <f t="shared" si="6"/>
        <v>0</v>
      </c>
      <c r="O29" s="631">
        <f t="shared" si="6"/>
        <v>0</v>
      </c>
      <c r="P29" s="631">
        <f t="shared" si="6"/>
        <v>0</v>
      </c>
      <c r="Q29" s="631">
        <f t="shared" si="6"/>
        <v>0</v>
      </c>
      <c r="R29" s="911"/>
      <c r="S29" s="66">
        <f>S30+S31</f>
        <v>10051996</v>
      </c>
      <c r="T29" s="859">
        <f>T30+T31</f>
        <v>5121000</v>
      </c>
      <c r="U29" s="970">
        <f t="shared" si="5"/>
        <v>196.28970904120288</v>
      </c>
      <c r="V29" s="388"/>
      <c r="W29" s="1"/>
      <c r="X29" s="71"/>
      <c r="Y29" s="71"/>
      <c r="Z29" s="71"/>
      <c r="AA29" s="71"/>
      <c r="AB29" s="71"/>
      <c r="AC29" s="71"/>
      <c r="AD29" s="71"/>
      <c r="AE29" s="71"/>
      <c r="AF29" s="1008"/>
      <c r="AG29" s="1008"/>
      <c r="AH29" s="1008"/>
      <c r="AI29" s="1008"/>
      <c r="AJ29" s="1008"/>
      <c r="AK29" s="1008"/>
      <c r="AL29" s="1008"/>
      <c r="AM29" s="1008"/>
      <c r="AN29" s="71"/>
      <c r="AO29" s="71"/>
      <c r="AP29" s="71"/>
      <c r="AR29" s="71"/>
      <c r="AT29" s="1"/>
      <c r="AU29" s="1"/>
      <c r="AV29" s="3"/>
      <c r="AW29" s="1"/>
      <c r="AX29" s="388">
        <f>S29+S34</f>
        <v>10253377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618"/>
      <c r="DF29" s="5"/>
      <c r="DG29" s="619"/>
      <c r="DH29" s="620"/>
      <c r="DI29" s="621"/>
      <c r="OO29" s="151"/>
      <c r="OQ29" s="668"/>
      <c r="OR29" s="685"/>
      <c r="OS29" s="657"/>
      <c r="PE29" s="1"/>
      <c r="PF29" s="668"/>
      <c r="AIQ29" s="2"/>
    </row>
    <row r="30" spans="2:933" x14ac:dyDescent="0.25">
      <c r="B30" s="1159"/>
      <c r="C30" s="665" t="s">
        <v>106</v>
      </c>
      <c r="D30" s="682"/>
      <c r="E30" s="666" t="s">
        <v>14</v>
      </c>
      <c r="F30" s="631">
        <f>'[24]Januari 24'!AL26</f>
        <v>2230587</v>
      </c>
      <c r="G30" s="631">
        <f>'[30]Februari - 24'!$AL$35</f>
        <v>5178274</v>
      </c>
      <c r="H30" s="631">
        <f>'[24]Maret 24'!AL26</f>
        <v>0</v>
      </c>
      <c r="I30" s="631">
        <f>'[25]April - 24'!$AK$27</f>
        <v>0</v>
      </c>
      <c r="J30" s="631">
        <f>'[24]Mei 24'!AL26</f>
        <v>0</v>
      </c>
      <c r="K30" s="631">
        <f>'[24]Juny 24'!AL26</f>
        <v>0</v>
      </c>
      <c r="L30" s="631">
        <f>'[24]July 24'!AL26</f>
        <v>0</v>
      </c>
      <c r="M30" s="631">
        <f>'[24]Agustus 24'!AL26</f>
        <v>0</v>
      </c>
      <c r="N30" s="631">
        <f>'[24]September 24'!AL26</f>
        <v>0</v>
      </c>
      <c r="O30" s="631">
        <f>'[24]Oktober 24'!AL26</f>
        <v>0</v>
      </c>
      <c r="P30" s="631">
        <f>'[24]November 24'!AL26</f>
        <v>0</v>
      </c>
      <c r="Q30" s="631">
        <f>'[24]Desember 24'!AL26</f>
        <v>0</v>
      </c>
      <c r="R30" s="911"/>
      <c r="S30" s="66">
        <f>SUM(F30:Q30)</f>
        <v>7408861</v>
      </c>
      <c r="T30" s="863">
        <v>3934000</v>
      </c>
      <c r="U30" s="970">
        <f t="shared" si="5"/>
        <v>188.328952719878</v>
      </c>
      <c r="V30" s="388"/>
      <c r="W30" s="1"/>
      <c r="X30" s="71"/>
      <c r="Y30" s="71"/>
      <c r="Z30" s="71"/>
      <c r="AA30" s="71"/>
      <c r="AB30" s="71"/>
      <c r="AC30" s="71"/>
      <c r="AD30" s="71"/>
      <c r="AE30" s="71"/>
      <c r="AF30" s="1008"/>
      <c r="AG30" s="1008"/>
      <c r="AH30" s="71"/>
      <c r="AI30" s="71"/>
      <c r="AJ30" s="71"/>
      <c r="AK30" s="71"/>
      <c r="AL30" s="71"/>
      <c r="AM30" s="71"/>
      <c r="AN30" s="71"/>
      <c r="AO30" s="71"/>
      <c r="AP30" s="71"/>
      <c r="AR30" s="71"/>
      <c r="AT30" s="1"/>
      <c r="AU30" s="1"/>
      <c r="AV30" s="3"/>
      <c r="AW30" s="1"/>
      <c r="AX30" s="388">
        <f t="shared" ref="AX30:AX31" si="7">S30+S35</f>
        <v>7560308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618"/>
      <c r="DF30" s="5"/>
      <c r="DG30" s="619"/>
      <c r="DH30" s="620"/>
      <c r="DI30" s="621"/>
      <c r="OO30" s="151"/>
      <c r="OQ30" s="668"/>
      <c r="OR30" s="685"/>
      <c r="OS30" s="657"/>
      <c r="PE30" s="1"/>
      <c r="PF30" s="668"/>
      <c r="AIQ30" s="2"/>
    </row>
    <row r="31" spans="2:933" x14ac:dyDescent="0.25">
      <c r="B31" s="1159"/>
      <c r="C31" s="665" t="s">
        <v>73</v>
      </c>
      <c r="D31" s="682"/>
      <c r="E31" s="666" t="s">
        <v>14</v>
      </c>
      <c r="F31" s="631">
        <f>'[24]Januari 24'!AL27</f>
        <v>597280</v>
      </c>
      <c r="G31" s="631">
        <f>'[30]Februari - 24'!$AL$36</f>
        <v>2045855</v>
      </c>
      <c r="H31" s="631">
        <f>'[24]Maret 24'!AL27</f>
        <v>0</v>
      </c>
      <c r="I31" s="631">
        <f>'[25]April - 24'!$AK$28</f>
        <v>0</v>
      </c>
      <c r="J31" s="631">
        <f>'[24]Mei 24'!AL27</f>
        <v>0</v>
      </c>
      <c r="K31" s="631">
        <f>'[24]Juny 24'!AL27</f>
        <v>0</v>
      </c>
      <c r="L31" s="631">
        <f>'[24]July 24'!AL27</f>
        <v>0</v>
      </c>
      <c r="M31" s="631">
        <f>'[24]Agustus 24'!AL27</f>
        <v>0</v>
      </c>
      <c r="N31" s="631">
        <f>'[24]September 24'!AL27</f>
        <v>0</v>
      </c>
      <c r="O31" s="631">
        <f>'[24]Oktober 24'!AL27</f>
        <v>0</v>
      </c>
      <c r="P31" s="631">
        <f>'[24]November 24'!AL27</f>
        <v>0</v>
      </c>
      <c r="Q31" s="631">
        <f>'[24]Desember 24'!AL27</f>
        <v>0</v>
      </c>
      <c r="R31" s="911"/>
      <c r="S31" s="66">
        <f>SUM(F31:Q31)</f>
        <v>2643135</v>
      </c>
      <c r="T31" s="863">
        <v>1187000</v>
      </c>
      <c r="U31" s="970">
        <f>S31/T31*100</f>
        <v>222.67354675652905</v>
      </c>
      <c r="V31" s="388"/>
      <c r="W31" s="1"/>
      <c r="X31" s="71"/>
      <c r="Y31" s="71"/>
      <c r="Z31" s="71"/>
      <c r="AA31" s="71"/>
      <c r="AB31" s="71"/>
      <c r="AC31" s="71"/>
      <c r="AD31" s="71"/>
      <c r="AE31" s="71"/>
      <c r="AF31" s="1008"/>
      <c r="AG31" s="1008"/>
      <c r="AH31" s="71"/>
      <c r="AI31" s="71"/>
      <c r="AJ31" s="71"/>
      <c r="AK31" s="71"/>
      <c r="AL31" s="71"/>
      <c r="AM31" s="71"/>
      <c r="AN31" s="71"/>
      <c r="AO31" s="71"/>
      <c r="AP31" s="71"/>
      <c r="AR31" s="71"/>
      <c r="AT31" s="1"/>
      <c r="AU31" s="1"/>
      <c r="AV31" s="3"/>
      <c r="AW31" s="1"/>
      <c r="AX31" s="388">
        <f t="shared" si="7"/>
        <v>2693069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618"/>
      <c r="DF31" s="5"/>
      <c r="DG31" s="619"/>
      <c r="DH31" s="620"/>
      <c r="DI31" s="621"/>
      <c r="OO31" s="151"/>
      <c r="OQ31" s="668"/>
      <c r="OR31" s="685"/>
      <c r="OS31" s="657"/>
      <c r="PE31" s="1"/>
      <c r="PF31" s="668"/>
      <c r="AIQ31" s="2"/>
    </row>
    <row r="32" spans="2:933" ht="15.75" thickBot="1" x14ac:dyDescent="0.3">
      <c r="B32" s="1159"/>
      <c r="C32" s="677" t="s">
        <v>108</v>
      </c>
      <c r="D32" s="688"/>
      <c r="E32" s="679"/>
      <c r="F32" s="615"/>
      <c r="G32" s="615"/>
      <c r="H32" s="615"/>
      <c r="I32" s="689"/>
      <c r="J32" s="615"/>
      <c r="K32" s="615"/>
      <c r="L32" s="615"/>
      <c r="M32" s="615"/>
      <c r="N32" s="615"/>
      <c r="O32" s="615"/>
      <c r="P32" s="615"/>
      <c r="Q32" s="615"/>
      <c r="R32" s="911"/>
      <c r="S32" s="904" t="s">
        <v>109</v>
      </c>
      <c r="T32" s="864" t="s">
        <v>109</v>
      </c>
      <c r="U32" s="972" t="s">
        <v>109</v>
      </c>
      <c r="V32" s="71"/>
      <c r="W32" s="1"/>
      <c r="X32" s="71"/>
      <c r="Y32" s="71"/>
      <c r="Z32" s="71"/>
      <c r="AA32" s="71"/>
      <c r="AB32" s="71"/>
      <c r="AC32" s="71"/>
      <c r="AD32" s="71"/>
      <c r="AE32" s="71"/>
      <c r="AF32" s="1145"/>
      <c r="AG32" s="1145"/>
      <c r="AH32" s="71"/>
      <c r="AI32" s="71"/>
      <c r="AJ32" s="71"/>
      <c r="AK32" s="71"/>
      <c r="AL32" s="71"/>
      <c r="AM32" s="71"/>
      <c r="AN32" s="71"/>
      <c r="AO32" s="71"/>
      <c r="AP32" s="71"/>
      <c r="AR32" s="7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652"/>
      <c r="DF32" s="653" t="s">
        <v>359</v>
      </c>
      <c r="DG32" s="690">
        <f>DG27/(DG25/1000)</f>
        <v>72.980660125066862</v>
      </c>
      <c r="DH32" s="691">
        <f>DH27/(DH25/1000)</f>
        <v>75.35531953198911</v>
      </c>
      <c r="DI32" s="692">
        <f>DI27/(DI25/1000)</f>
        <v>75.473411788167013</v>
      </c>
      <c r="OO32" s="668" t="e">
        <f>OO26/OO27*100</f>
        <v>#REF!</v>
      </c>
      <c r="OQ32" s="668"/>
      <c r="OR32" s="685" t="s">
        <v>370</v>
      </c>
      <c r="OS32" s="657">
        <v>2444</v>
      </c>
      <c r="PE32" s="1">
        <v>10.86</v>
      </c>
      <c r="PF32" s="668">
        <f>(OS32*PE32)/1000</f>
        <v>26.541840000000001</v>
      </c>
      <c r="AIQ32" s="2" t="s">
        <v>350</v>
      </c>
    </row>
    <row r="33" spans="1:14939" x14ac:dyDescent="0.25">
      <c r="A33" s="16"/>
      <c r="B33" s="1159"/>
      <c r="C33" s="693" t="s">
        <v>71</v>
      </c>
      <c r="D33" s="694"/>
      <c r="E33" s="695" t="s">
        <v>14</v>
      </c>
      <c r="F33" s="631">
        <f>'[24]Januari 24'!AL29</f>
        <v>0</v>
      </c>
      <c r="G33" s="631"/>
      <c r="H33" s="631">
        <f>'[24]Maret 24'!AL29</f>
        <v>210989.3392225201</v>
      </c>
      <c r="I33" s="631">
        <f>'[24]April 24'!AL29</f>
        <v>0</v>
      </c>
      <c r="J33" s="631">
        <f>'[24]Mei 24'!AL29</f>
        <v>0</v>
      </c>
      <c r="K33" s="631">
        <f>'[24]Juny 24'!AL29</f>
        <v>0</v>
      </c>
      <c r="L33" s="631">
        <f>'[24]July 24'!AL29</f>
        <v>0</v>
      </c>
      <c r="M33" s="631">
        <f>'[24]Agustus 24'!AL29</f>
        <v>0</v>
      </c>
      <c r="N33" s="631">
        <f>'[24]September 24'!AL29</f>
        <v>0</v>
      </c>
      <c r="O33" s="631">
        <f>'[24]Oktober 24'!AL29</f>
        <v>0</v>
      </c>
      <c r="P33" s="631">
        <f>'[24]November 24'!AL29</f>
        <v>0</v>
      </c>
      <c r="Q33" s="631">
        <f>'[24]Desember 24'!AL29</f>
        <v>0</v>
      </c>
      <c r="R33" s="913"/>
      <c r="S33" s="696">
        <f>SUM(F33:Q33)</f>
        <v>210989.3392225201</v>
      </c>
      <c r="T33" s="865">
        <f>T34/T51%</f>
        <v>32338304.029689282</v>
      </c>
      <c r="U33" s="970">
        <f>(S33/T33)*100</f>
        <v>0.65244404601061989</v>
      </c>
      <c r="V33" s="1009"/>
      <c r="W33" s="16"/>
      <c r="X33" s="1009"/>
      <c r="Y33" s="1009"/>
      <c r="Z33" s="1009"/>
      <c r="AA33" s="1009"/>
      <c r="AB33" s="1009"/>
      <c r="AC33" s="1009"/>
      <c r="AD33" s="1009"/>
      <c r="AE33" s="1009"/>
      <c r="AF33" s="1010"/>
      <c r="AG33" s="1010"/>
      <c r="AH33" s="1009"/>
      <c r="AI33" s="1009"/>
      <c r="AJ33" s="1009"/>
      <c r="AK33" s="1009"/>
      <c r="AL33" s="1009"/>
      <c r="AM33" s="1009"/>
      <c r="AN33" s="1009"/>
      <c r="AO33" s="1009"/>
      <c r="AP33" s="1009"/>
      <c r="AQ33" s="1009"/>
      <c r="AR33" s="1009"/>
      <c r="AS33" s="1009"/>
      <c r="AT33" s="1011"/>
      <c r="AU33" s="1011"/>
      <c r="AV33" s="16"/>
      <c r="AW33" s="16"/>
      <c r="AX33" s="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V33" s="16"/>
      <c r="BW33" s="16"/>
      <c r="BX33" s="154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F33" s="5" t="s">
        <v>359</v>
      </c>
      <c r="DG33" s="155" t="e">
        <f>DG27/(DG20/1000)</f>
        <v>#VALUE!</v>
      </c>
      <c r="DH33" s="155" t="e">
        <f>DI27/(DH20/1000)</f>
        <v>#VALUE!</v>
      </c>
      <c r="DI33" s="155" t="e">
        <f>#REF!/(DI20/1000)</f>
        <v>#REF!</v>
      </c>
      <c r="DJ33" s="154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54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54"/>
      <c r="JI33" s="154"/>
      <c r="JJ33" s="154"/>
      <c r="JK33" s="154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54"/>
      <c r="OP33" s="154"/>
      <c r="OQ33" s="697"/>
      <c r="OR33" s="154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697"/>
      <c r="PG33" s="16"/>
      <c r="PH33" s="16"/>
      <c r="PI33" s="16"/>
      <c r="PJ33" s="154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697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54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54"/>
      <c r="AIL33" s="154"/>
      <c r="AIM33" s="154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</row>
    <row r="34" spans="1:14939" x14ac:dyDescent="0.25">
      <c r="B34" s="1159"/>
      <c r="C34" s="665" t="s">
        <v>70</v>
      </c>
      <c r="D34" s="682">
        <f>SUM(D35:D36)</f>
        <v>0</v>
      </c>
      <c r="E34" s="666" t="s">
        <v>14</v>
      </c>
      <c r="F34" s="631">
        <f t="shared" ref="F34:Q34" si="8">F35+F36</f>
        <v>0</v>
      </c>
      <c r="G34" s="631">
        <f t="shared" si="8"/>
        <v>0</v>
      </c>
      <c r="H34" s="631">
        <f t="shared" si="8"/>
        <v>201381</v>
      </c>
      <c r="I34" s="631">
        <f t="shared" si="8"/>
        <v>0</v>
      </c>
      <c r="J34" s="631">
        <f t="shared" si="8"/>
        <v>0</v>
      </c>
      <c r="K34" s="631">
        <f t="shared" si="8"/>
        <v>0</v>
      </c>
      <c r="L34" s="631">
        <f t="shared" si="8"/>
        <v>0</v>
      </c>
      <c r="M34" s="631">
        <f t="shared" si="8"/>
        <v>0</v>
      </c>
      <c r="N34" s="631">
        <f t="shared" si="8"/>
        <v>0</v>
      </c>
      <c r="O34" s="631">
        <f>'[24]Oktober 24'!AL30</f>
        <v>0</v>
      </c>
      <c r="P34" s="631">
        <f t="shared" si="8"/>
        <v>0</v>
      </c>
      <c r="Q34" s="631">
        <f t="shared" si="8"/>
        <v>0</v>
      </c>
      <c r="R34" s="911"/>
      <c r="S34" s="696">
        <f>S35+S36</f>
        <v>201381</v>
      </c>
      <c r="T34" s="866">
        <f>T35+T36</f>
        <v>30647000</v>
      </c>
      <c r="U34" s="970">
        <f>(S34/T34)*100</f>
        <v>0.65709857408555483</v>
      </c>
      <c r="V34" s="71"/>
      <c r="W34" s="1"/>
      <c r="X34" s="71"/>
      <c r="Y34" s="71"/>
      <c r="Z34" s="71"/>
      <c r="AA34" s="71"/>
      <c r="AB34" s="71"/>
      <c r="AC34" s="71"/>
      <c r="AD34" s="71"/>
      <c r="AE34" s="71"/>
      <c r="AF34" s="1145"/>
      <c r="AG34" s="1145"/>
      <c r="AH34" s="71"/>
      <c r="AI34" s="71"/>
      <c r="AJ34" s="71"/>
      <c r="AK34" s="71"/>
      <c r="AL34" s="71"/>
      <c r="AM34" s="71"/>
      <c r="AN34" s="71"/>
      <c r="AO34" s="71"/>
      <c r="AP34" s="71"/>
      <c r="AR34" s="71"/>
      <c r="AT34" s="639"/>
      <c r="AU34" s="639"/>
      <c r="AV34" s="1"/>
      <c r="AW34" s="1"/>
      <c r="AX34" s="16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52"/>
      <c r="BY34" s="1"/>
      <c r="DA34" s="1"/>
      <c r="DE34" s="2"/>
      <c r="DF34" s="5"/>
      <c r="DG34" s="151"/>
      <c r="DH34" s="151"/>
      <c r="DI34" s="151"/>
      <c r="DJ34" s="152"/>
      <c r="FM34" s="152"/>
      <c r="JH34" s="152"/>
      <c r="JI34" s="152"/>
      <c r="JJ34" s="152"/>
      <c r="JK34" s="152"/>
      <c r="OO34" s="152"/>
      <c r="OP34" s="152"/>
      <c r="OQ34" s="155"/>
      <c r="OR34" s="152"/>
      <c r="PF34" s="155">
        <f>SUM(PF27:PF32)</f>
        <v>40.247160000000001</v>
      </c>
      <c r="PJ34" s="152"/>
      <c r="RM34" s="155"/>
      <c r="AGV34" s="151"/>
      <c r="AIK34" s="151"/>
      <c r="AIL34" s="151"/>
      <c r="AIM34" s="151"/>
    </row>
    <row r="35" spans="1:14939" x14ac:dyDescent="0.25">
      <c r="B35" s="1159"/>
      <c r="C35" s="665" t="s">
        <v>371</v>
      </c>
      <c r="D35" s="682"/>
      <c r="E35" s="666" t="s">
        <v>14</v>
      </c>
      <c r="F35" s="631">
        <f>'[24]Januari 24'!AL31</f>
        <v>0</v>
      </c>
      <c r="G35" s="631"/>
      <c r="H35" s="631">
        <f>'[24]Maret 24'!AL31</f>
        <v>151447</v>
      </c>
      <c r="I35" s="631">
        <f>'[24]April 24'!AL31</f>
        <v>0</v>
      </c>
      <c r="J35" s="631">
        <f>'[24]Mei 24'!AL31</f>
        <v>0</v>
      </c>
      <c r="K35" s="631">
        <f>'[24]Juny 24'!AL31</f>
        <v>0</v>
      </c>
      <c r="L35" s="631">
        <f>'[24]July 24'!AL31</f>
        <v>0</v>
      </c>
      <c r="M35" s="631">
        <f>'[24]Agustus 24'!AL31</f>
        <v>0</v>
      </c>
      <c r="N35" s="631">
        <f>'[24]September 24'!AL31</f>
        <v>0</v>
      </c>
      <c r="O35" s="631">
        <f>'[24]Oktober 24'!AL31</f>
        <v>0</v>
      </c>
      <c r="P35" s="631">
        <f>'[24]November 24'!AL31</f>
        <v>0</v>
      </c>
      <c r="Q35" s="631">
        <f>'[24]Desember 24'!AL31</f>
        <v>0</v>
      </c>
      <c r="R35" s="911"/>
      <c r="S35" s="698">
        <f>SUM(F35:Q35)</f>
        <v>151447</v>
      </c>
      <c r="T35" s="867">
        <v>23002000</v>
      </c>
      <c r="U35" s="970">
        <f t="shared" si="5"/>
        <v>0.65840796452482386</v>
      </c>
      <c r="V35" s="71"/>
      <c r="W35" s="5"/>
      <c r="X35" s="71"/>
      <c r="Y35" s="71"/>
      <c r="Z35" s="71"/>
      <c r="AA35" s="71"/>
      <c r="AB35" s="71"/>
      <c r="AC35" s="71"/>
      <c r="AD35" s="71"/>
      <c r="AE35" s="71"/>
      <c r="AF35" s="1145"/>
      <c r="AG35" s="1145"/>
      <c r="AH35" s="1145"/>
      <c r="AI35" s="1145"/>
      <c r="AJ35" s="1145"/>
      <c r="AK35" s="1145"/>
      <c r="AL35" s="1145"/>
      <c r="AM35" s="71"/>
      <c r="AN35" s="71"/>
      <c r="AO35" s="71"/>
      <c r="AP35" s="71"/>
      <c r="AR35" s="71"/>
      <c r="AT35" s="639"/>
      <c r="AU35" s="639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52"/>
      <c r="BY35" s="1"/>
      <c r="DA35" s="1"/>
      <c r="DF35" s="5"/>
      <c r="DG35" s="155"/>
      <c r="DH35" s="155"/>
      <c r="DI35" s="155"/>
      <c r="DJ35" s="152"/>
      <c r="FM35" s="152"/>
      <c r="JH35" s="152"/>
      <c r="JI35" s="152"/>
      <c r="JJ35" s="152"/>
      <c r="JK35" s="152"/>
      <c r="OO35" s="152"/>
      <c r="OP35" s="152"/>
      <c r="OQ35" s="155"/>
      <c r="OR35" s="152"/>
      <c r="PF35" s="155"/>
      <c r="PJ35" s="152"/>
      <c r="RM35" s="155"/>
      <c r="AGV35" s="151"/>
      <c r="AIK35" s="151"/>
      <c r="AIL35" s="151"/>
      <c r="AIM35" s="151"/>
    </row>
    <row r="36" spans="1:14939" x14ac:dyDescent="0.25">
      <c r="B36" s="1159"/>
      <c r="C36" s="628" t="s">
        <v>73</v>
      </c>
      <c r="D36" s="682"/>
      <c r="E36" s="666" t="s">
        <v>14</v>
      </c>
      <c r="F36" s="631">
        <f>'[24]Januari 24'!AL32</f>
        <v>0</v>
      </c>
      <c r="G36" s="631"/>
      <c r="H36" s="631">
        <f>'[24]Maret 24'!AL32</f>
        <v>49934</v>
      </c>
      <c r="I36" s="631">
        <f>'[24]April 24'!AL32</f>
        <v>0</v>
      </c>
      <c r="J36" s="631">
        <f>'[24]Mei 24'!AL32</f>
        <v>0</v>
      </c>
      <c r="K36" s="631">
        <f>'[24]Juny 24'!AL32</f>
        <v>0</v>
      </c>
      <c r="L36" s="631">
        <f>'[24]July 24'!AL32</f>
        <v>0</v>
      </c>
      <c r="M36" s="631">
        <f>'[24]Agustus 24'!AL32</f>
        <v>0</v>
      </c>
      <c r="N36" s="631">
        <f>'[24]September 24'!AL32</f>
        <v>0</v>
      </c>
      <c r="O36" s="631">
        <f>'[24]Oktober 24'!AL32</f>
        <v>0</v>
      </c>
      <c r="P36" s="631">
        <f>'[24]November 24'!AL32</f>
        <v>0</v>
      </c>
      <c r="Q36" s="631">
        <f>'[24]Desember 24'!AL32</f>
        <v>0</v>
      </c>
      <c r="R36" s="911"/>
      <c r="S36" s="696">
        <f>SUM(F36:Q36)</f>
        <v>49934</v>
      </c>
      <c r="T36" s="865">
        <v>7645000</v>
      </c>
      <c r="U36" s="970">
        <f t="shared" si="5"/>
        <v>0.65315892740353165</v>
      </c>
      <c r="V36" s="71"/>
      <c r="W36" s="1022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R36" s="71"/>
      <c r="AT36" s="639"/>
      <c r="AU36" s="639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52"/>
      <c r="BY36" s="1"/>
      <c r="DA36" s="1"/>
      <c r="DF36" s="5"/>
      <c r="DG36" s="152"/>
      <c r="DH36" s="152"/>
      <c r="DI36" s="152"/>
      <c r="DJ36" s="152"/>
      <c r="FM36" s="152"/>
      <c r="JH36" s="152"/>
      <c r="JI36" s="152"/>
      <c r="JJ36" s="152"/>
      <c r="JK36" s="152"/>
      <c r="OO36" s="152"/>
      <c r="OP36" s="152"/>
      <c r="OR36" s="152"/>
      <c r="PF36" s="155"/>
      <c r="PJ36" s="152"/>
      <c r="RM36" s="155"/>
      <c r="AGV36" s="151"/>
      <c r="AIK36" s="151"/>
      <c r="AIL36" s="151"/>
      <c r="AIM36" s="151"/>
    </row>
    <row r="37" spans="1:14939" s="699" customFormat="1" x14ac:dyDescent="0.25">
      <c r="B37" s="1159"/>
      <c r="C37" s="677" t="s">
        <v>372</v>
      </c>
      <c r="D37" s="700"/>
      <c r="E37" s="701"/>
      <c r="F37" s="702"/>
      <c r="G37" s="702"/>
      <c r="H37" s="702"/>
      <c r="I37" s="702"/>
      <c r="J37" s="702"/>
      <c r="K37" s="702"/>
      <c r="L37" s="702"/>
      <c r="M37" s="702"/>
      <c r="N37" s="702"/>
      <c r="O37" s="702"/>
      <c r="P37" s="702"/>
      <c r="Q37" s="702"/>
      <c r="R37" s="912"/>
      <c r="S37" s="904" t="s">
        <v>365</v>
      </c>
      <c r="T37" s="864" t="s">
        <v>365</v>
      </c>
      <c r="U37" s="972" t="s">
        <v>365</v>
      </c>
      <c r="V37" s="71"/>
      <c r="W37" s="1022"/>
      <c r="X37" s="1003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R37" s="71"/>
      <c r="AT37" s="1002"/>
      <c r="AU37" s="1002"/>
      <c r="AV37" s="71"/>
      <c r="AW37" s="71"/>
      <c r="AX37" s="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V37" s="71"/>
      <c r="BW37" s="71"/>
      <c r="BX37" s="153"/>
      <c r="BY37" s="71"/>
      <c r="DA37" s="71"/>
      <c r="DF37" s="703"/>
      <c r="DG37" s="153"/>
      <c r="DH37" s="153"/>
      <c r="DI37" s="153"/>
      <c r="DJ37" s="153"/>
      <c r="FM37" s="153"/>
      <c r="JH37" s="153"/>
      <c r="JI37" s="153"/>
      <c r="JJ37" s="153"/>
      <c r="JK37" s="153"/>
      <c r="OO37" s="153"/>
      <c r="OP37" s="153"/>
      <c r="OR37" s="153"/>
      <c r="PF37" s="162"/>
      <c r="PJ37" s="153"/>
      <c r="RM37" s="162"/>
      <c r="AGV37" s="153"/>
      <c r="AIK37" s="153"/>
      <c r="AIL37" s="153"/>
      <c r="AIM37" s="153"/>
    </row>
    <row r="38" spans="1:14939" x14ac:dyDescent="0.25">
      <c r="B38" s="1159"/>
      <c r="C38" s="665" t="s">
        <v>75</v>
      </c>
      <c r="D38" s="682"/>
      <c r="E38" s="666" t="s">
        <v>14</v>
      </c>
      <c r="F38" s="631">
        <f t="shared" ref="F38:Q38" si="9">F39+F40</f>
        <v>0</v>
      </c>
      <c r="G38" s="850">
        <v>0</v>
      </c>
      <c r="H38" s="631">
        <f t="shared" si="9"/>
        <v>1593219</v>
      </c>
      <c r="I38" s="631">
        <f>'[25]April - 24'!$AK$35</f>
        <v>0</v>
      </c>
      <c r="J38" s="631">
        <f>'[26]Mei - 24'!$AL$35</f>
        <v>0</v>
      </c>
      <c r="K38" s="631">
        <f>'[27]Juni - 24'!$AL$35</f>
        <v>7764784</v>
      </c>
      <c r="L38" s="631">
        <f>'[28]Juli - 2024 ( Revisi )'!$AL$32</f>
        <v>11686063</v>
      </c>
      <c r="M38" s="631">
        <f>'Agustus - 2024'!AN38</f>
        <v>9837344</v>
      </c>
      <c r="N38" s="631">
        <f t="shared" si="9"/>
        <v>0</v>
      </c>
      <c r="O38" s="631">
        <f t="shared" si="9"/>
        <v>0</v>
      </c>
      <c r="P38" s="631">
        <f t="shared" si="9"/>
        <v>0</v>
      </c>
      <c r="Q38" s="631">
        <f t="shared" si="9"/>
        <v>0</v>
      </c>
      <c r="R38" s="911"/>
      <c r="S38" s="66">
        <f>S39+S40</f>
        <v>31401650</v>
      </c>
      <c r="T38" s="866">
        <f>T39+T40</f>
        <v>249961000</v>
      </c>
      <c r="U38" s="970">
        <f>S38/T38*100</f>
        <v>12.562619768683913</v>
      </c>
      <c r="V38" s="71"/>
      <c r="W38" s="1022"/>
      <c r="X38" s="1003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R38" s="71"/>
      <c r="AT38" s="639"/>
      <c r="AU38" s="639"/>
      <c r="AV38" s="1"/>
      <c r="AW38" s="1"/>
      <c r="AX38" s="7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52"/>
      <c r="BY38" s="1"/>
      <c r="DA38" s="1"/>
      <c r="DF38" s="5"/>
      <c r="DG38" s="152"/>
      <c r="DH38" s="152"/>
      <c r="DI38" s="152"/>
      <c r="DJ38" s="152"/>
      <c r="FM38" s="152"/>
      <c r="JH38" s="152"/>
      <c r="JI38" s="152"/>
      <c r="JJ38" s="152"/>
      <c r="JK38" s="152"/>
      <c r="OO38" s="152"/>
      <c r="OP38" s="152"/>
      <c r="OR38" s="152"/>
      <c r="PF38" s="155"/>
      <c r="PJ38" s="152"/>
      <c r="RM38" s="155"/>
      <c r="AGV38" s="151"/>
      <c r="AIK38" s="151"/>
      <c r="AIL38" s="151"/>
      <c r="AIM38" s="151"/>
    </row>
    <row r="39" spans="1:14939" x14ac:dyDescent="0.25">
      <c r="B39" s="1159"/>
      <c r="C39" s="665" t="s">
        <v>373</v>
      </c>
      <c r="D39" s="682"/>
      <c r="E39" s="666" t="s">
        <v>14</v>
      </c>
      <c r="F39" s="631">
        <f>'[24]Januari 24'!AL31</f>
        <v>0</v>
      </c>
      <c r="G39" s="850">
        <v>0</v>
      </c>
      <c r="H39" s="631">
        <f>'[24]Maret 24'!AL35</f>
        <v>1075806</v>
      </c>
      <c r="I39" s="631">
        <f>'[25]April - 24'!$AK$36</f>
        <v>0</v>
      </c>
      <c r="J39" s="631">
        <f>'[26]Mei - 24'!$AL$36</f>
        <v>0</v>
      </c>
      <c r="K39" s="631">
        <f>'[27]Juni - 24'!$AL$36</f>
        <v>5498655</v>
      </c>
      <c r="L39" s="631">
        <f>'[28]Juli - 2024 ( Revisi )'!$AL$33</f>
        <v>8627479</v>
      </c>
      <c r="M39" s="631">
        <f>'Agustus - 2024'!AN39</f>
        <v>6991936</v>
      </c>
      <c r="N39" s="631">
        <f>'[24]September 24'!AL35</f>
        <v>0</v>
      </c>
      <c r="O39" s="631">
        <f>'[24]Oktober 24'!AL35</f>
        <v>0</v>
      </c>
      <c r="P39" s="631">
        <f>'[24]November 24'!AL35</f>
        <v>0</v>
      </c>
      <c r="Q39" s="631">
        <f>'[24]Desember 24'!AL35</f>
        <v>0</v>
      </c>
      <c r="R39" s="911"/>
      <c r="S39" s="66">
        <f>SUM(F39:Q39)</f>
        <v>22193876</v>
      </c>
      <c r="T39" s="865">
        <v>175000000</v>
      </c>
      <c r="U39" s="970">
        <f>S39/T39*100</f>
        <v>12.682214857142856</v>
      </c>
      <c r="V39" s="71"/>
      <c r="W39" s="5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R39" s="71"/>
      <c r="AT39" s="639"/>
      <c r="AU39" s="639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52"/>
      <c r="BY39" s="1"/>
      <c r="DA39" s="1"/>
      <c r="DF39" s="5"/>
      <c r="DG39" s="152"/>
      <c r="DH39" s="152"/>
      <c r="DI39" s="152"/>
      <c r="DJ39" s="152"/>
      <c r="FM39" s="152"/>
      <c r="JH39" s="152"/>
      <c r="JI39" s="152"/>
      <c r="JJ39" s="152"/>
      <c r="JK39" s="152"/>
      <c r="OO39" s="152"/>
      <c r="OP39" s="152"/>
      <c r="OR39" s="152"/>
      <c r="PF39" s="155"/>
      <c r="PJ39" s="152"/>
      <c r="RM39" s="155"/>
      <c r="AGV39" s="151"/>
      <c r="AIK39" s="151"/>
      <c r="AIL39" s="151"/>
      <c r="AIM39" s="151"/>
    </row>
    <row r="40" spans="1:14939" x14ac:dyDescent="0.25">
      <c r="B40" s="1159"/>
      <c r="C40" s="665" t="s">
        <v>73</v>
      </c>
      <c r="D40" s="682"/>
      <c r="E40" s="666" t="s">
        <v>14</v>
      </c>
      <c r="F40" s="631">
        <f>'[24]Januari 24'!AL32</f>
        <v>0</v>
      </c>
      <c r="G40" s="850">
        <v>0</v>
      </c>
      <c r="H40" s="631">
        <f>'[24]Maret 24'!AL36</f>
        <v>517413</v>
      </c>
      <c r="I40" s="631">
        <f>'[25]April - 24'!$AK$37</f>
        <v>0</v>
      </c>
      <c r="J40" s="631">
        <f>'[26]Mei - 24'!$AL$37</f>
        <v>0</v>
      </c>
      <c r="K40" s="631">
        <f>'[27]Juni - 24'!$AL$37</f>
        <v>2266129</v>
      </c>
      <c r="L40" s="631">
        <f>'[28]Juli - 2024 ( Revisi )'!$AL$34</f>
        <v>3578824</v>
      </c>
      <c r="M40" s="631">
        <f>'Agustus - 2024'!AN40</f>
        <v>2845408</v>
      </c>
      <c r="N40" s="631">
        <f>'[24]September 24'!AL36</f>
        <v>0</v>
      </c>
      <c r="O40" s="631">
        <f>'[24]Oktober 24'!AL36</f>
        <v>0</v>
      </c>
      <c r="P40" s="631">
        <f>'[24]November 24'!AL36</f>
        <v>0</v>
      </c>
      <c r="Q40" s="631">
        <f>'[24]Desember 24'!AL36</f>
        <v>0</v>
      </c>
      <c r="R40" s="911"/>
      <c r="S40" s="66">
        <f>SUM(F40:Q40)</f>
        <v>9207774</v>
      </c>
      <c r="T40" s="865">
        <v>74961000</v>
      </c>
      <c r="U40" s="970">
        <f>S40/T40*100</f>
        <v>12.2834193780766</v>
      </c>
      <c r="V40" s="71"/>
      <c r="W40" s="5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R40" s="71"/>
      <c r="AT40" s="639"/>
      <c r="AU40" s="639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52"/>
      <c r="BY40" s="1"/>
      <c r="DA40" s="1"/>
      <c r="DF40" s="5"/>
      <c r="DG40" s="152"/>
      <c r="DH40" s="152"/>
      <c r="DI40" s="152"/>
      <c r="DJ40" s="152"/>
      <c r="FM40" s="152"/>
      <c r="JH40" s="152"/>
      <c r="JI40" s="152"/>
      <c r="JJ40" s="152"/>
      <c r="JK40" s="152"/>
      <c r="OO40" s="152"/>
      <c r="OP40" s="152"/>
      <c r="OR40" s="152"/>
      <c r="PF40" s="155"/>
      <c r="PJ40" s="152"/>
      <c r="RM40" s="155"/>
      <c r="AGV40" s="151"/>
      <c r="AIK40" s="151"/>
      <c r="AIL40" s="151"/>
      <c r="AIM40" s="151"/>
    </row>
    <row r="41" spans="1:14939" x14ac:dyDescent="0.25">
      <c r="B41" s="1159"/>
      <c r="C41" s="677" t="s">
        <v>72</v>
      </c>
      <c r="D41" s="688"/>
      <c r="E41" s="679"/>
      <c r="F41" s="615"/>
      <c r="G41" s="615"/>
      <c r="H41" s="615"/>
      <c r="I41" s="689"/>
      <c r="J41" s="615"/>
      <c r="K41" s="615"/>
      <c r="L41" s="615"/>
      <c r="M41" s="615"/>
      <c r="N41" s="615"/>
      <c r="O41" s="615"/>
      <c r="P41" s="615"/>
      <c r="Q41" s="615"/>
      <c r="R41" s="911"/>
      <c r="S41" s="904" t="s">
        <v>61</v>
      </c>
      <c r="T41" s="864" t="s">
        <v>61</v>
      </c>
      <c r="U41" s="972" t="s">
        <v>61</v>
      </c>
      <c r="V41" s="71"/>
      <c r="W41" s="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R41" s="7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"/>
      <c r="BY41" s="1"/>
      <c r="DA41" s="1"/>
    </row>
    <row r="42" spans="1:14939" x14ac:dyDescent="0.25">
      <c r="A42" s="16"/>
      <c r="B42" s="1159"/>
      <c r="C42" s="693" t="s">
        <v>71</v>
      </c>
      <c r="D42" s="694"/>
      <c r="E42" s="695" t="s">
        <v>14</v>
      </c>
      <c r="F42" s="631">
        <f>'[24]Januari 24'!AL38</f>
        <v>1622056.4818173659</v>
      </c>
      <c r="G42" s="631">
        <f>'[30]Februari - 24'!$AL$38</f>
        <v>421426.64599608653</v>
      </c>
      <c r="H42" s="631">
        <f>'[24]Maret 24'!AL38</f>
        <v>0</v>
      </c>
      <c r="I42" s="631">
        <v>0</v>
      </c>
      <c r="J42" s="631">
        <v>0</v>
      </c>
      <c r="K42" s="631">
        <v>0</v>
      </c>
      <c r="L42" s="631">
        <v>0</v>
      </c>
      <c r="M42" s="631">
        <v>0</v>
      </c>
      <c r="N42" s="631">
        <v>0</v>
      </c>
      <c r="O42" s="631">
        <v>0</v>
      </c>
      <c r="P42" s="631"/>
      <c r="Q42" s="631"/>
      <c r="R42" s="913"/>
      <c r="S42" s="66">
        <f>SUM(F42:Q42)</f>
        <v>2043483.1278134524</v>
      </c>
      <c r="T42" s="863">
        <f>T43/T51%</f>
        <v>25913272.762786224</v>
      </c>
      <c r="U42" s="970">
        <f>S42/T42*100</f>
        <v>7.8858550462528871</v>
      </c>
      <c r="V42" s="1009"/>
      <c r="W42" s="16"/>
      <c r="X42" s="1009"/>
      <c r="Y42" s="1009"/>
      <c r="Z42" s="1009"/>
      <c r="AA42" s="1009"/>
      <c r="AB42" s="1009"/>
      <c r="AC42" s="1009"/>
      <c r="AD42" s="1009"/>
      <c r="AE42" s="1009"/>
      <c r="AF42" s="1009"/>
      <c r="AG42" s="1009"/>
      <c r="AH42" s="1009"/>
      <c r="AI42" s="1009"/>
      <c r="AJ42" s="1009"/>
      <c r="AK42" s="1009"/>
      <c r="AL42" s="1009"/>
      <c r="AM42" s="1009"/>
      <c r="AN42" s="1009"/>
      <c r="AO42" s="1009"/>
      <c r="AP42" s="1009"/>
      <c r="AQ42" s="1009"/>
      <c r="AR42" s="1009"/>
      <c r="AS42" s="1009"/>
      <c r="AT42" s="1011"/>
      <c r="AU42" s="1011"/>
      <c r="AV42" s="16"/>
      <c r="AW42" s="16"/>
      <c r="AX42" s="1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V42" s="16"/>
      <c r="BW42" s="16"/>
      <c r="BX42" s="154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704"/>
      <c r="DG42" s="154"/>
      <c r="DH42" s="154"/>
      <c r="DI42" s="154"/>
      <c r="DJ42" s="154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54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54"/>
      <c r="JI42" s="154"/>
      <c r="JJ42" s="154"/>
      <c r="JK42" s="154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54"/>
      <c r="OP42" s="154"/>
      <c r="OQ42" s="16"/>
      <c r="OR42" s="154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697"/>
      <c r="PG42" s="16"/>
      <c r="PH42" s="16"/>
      <c r="PI42" s="16"/>
      <c r="PJ42" s="154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697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54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6"/>
      <c r="AIK42" s="154"/>
      <c r="AIL42" s="154"/>
      <c r="AIM42" s="154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6"/>
      <c r="AJQ42" s="16"/>
      <c r="AJR42" s="16"/>
      <c r="AJS42" s="16"/>
      <c r="AJT42" s="16"/>
      <c r="AJU42" s="16"/>
      <c r="AJV42" s="16"/>
      <c r="AJW42" s="16"/>
      <c r="AJX42" s="16"/>
      <c r="AJY42" s="16"/>
      <c r="AJZ42" s="16"/>
      <c r="AKA42" s="16"/>
      <c r="AKB42" s="16"/>
      <c r="AKC42" s="16"/>
      <c r="AKD42" s="16"/>
      <c r="AKE42" s="16"/>
      <c r="AKF42" s="16"/>
      <c r="AKG42" s="16"/>
      <c r="AKH42" s="16"/>
      <c r="AKI42" s="16"/>
      <c r="AKJ42" s="16"/>
      <c r="AKK42" s="16"/>
      <c r="AKL42" s="16"/>
      <c r="AKM42" s="16"/>
      <c r="AKN42" s="16"/>
      <c r="AKO42" s="16"/>
      <c r="AKP42" s="16"/>
      <c r="AKQ42" s="16"/>
      <c r="AKR42" s="16"/>
      <c r="AKS42" s="16"/>
      <c r="AKT42" s="16"/>
      <c r="AKU42" s="16"/>
      <c r="AKV42" s="16"/>
      <c r="AKW42" s="16"/>
      <c r="AKX42" s="16"/>
      <c r="AKY42" s="16"/>
      <c r="AKZ42" s="16"/>
      <c r="ALA42" s="16"/>
      <c r="ALB42" s="16"/>
      <c r="ALC42" s="16"/>
      <c r="ALD42" s="16"/>
      <c r="ALE42" s="16"/>
      <c r="ALF42" s="16"/>
      <c r="ALG42" s="16"/>
      <c r="ALH42" s="16"/>
      <c r="ALI42" s="16"/>
      <c r="ALJ42" s="16"/>
      <c r="ALK42" s="16"/>
      <c r="ALL42" s="16"/>
      <c r="ALM42" s="16"/>
      <c r="ALN42" s="16"/>
      <c r="ALO42" s="16"/>
      <c r="ALP42" s="16"/>
      <c r="ALQ42" s="16"/>
      <c r="ALR42" s="16"/>
      <c r="ALS42" s="16"/>
      <c r="ALT42" s="16"/>
      <c r="ALU42" s="16"/>
      <c r="ALV42" s="16"/>
      <c r="ALW42" s="16"/>
      <c r="ALX42" s="16"/>
      <c r="ALY42" s="16"/>
      <c r="ALZ42" s="16"/>
      <c r="AMA42" s="16"/>
      <c r="AMB42" s="16"/>
      <c r="AMC42" s="16"/>
      <c r="AMD42" s="16"/>
      <c r="AME42" s="16"/>
      <c r="AMF42" s="16"/>
      <c r="AMG42" s="16"/>
      <c r="AMH42" s="16"/>
      <c r="AMI42" s="16"/>
      <c r="AMJ42" s="16"/>
      <c r="AMK42" s="16"/>
      <c r="AML42" s="16"/>
      <c r="AMM42" s="16"/>
      <c r="AMN42" s="16"/>
      <c r="AMO42" s="16"/>
      <c r="AMP42" s="16"/>
      <c r="AMQ42" s="16"/>
      <c r="AMR42" s="16"/>
      <c r="AMS42" s="16"/>
      <c r="AMT42" s="16"/>
      <c r="AMU42" s="16"/>
      <c r="AMV42" s="16"/>
      <c r="AMW42" s="16"/>
      <c r="AMX42" s="16"/>
      <c r="AMY42" s="16"/>
      <c r="AMZ42" s="16"/>
      <c r="ANA42" s="16"/>
      <c r="ANB42" s="16"/>
      <c r="ANC42" s="16"/>
      <c r="AND42" s="16"/>
      <c r="ANE42" s="16"/>
      <c r="ANF42" s="16"/>
      <c r="ANG42" s="16"/>
      <c r="ANH42" s="16"/>
      <c r="ANI42" s="16"/>
      <c r="ANJ42" s="16"/>
      <c r="ANK42" s="16"/>
      <c r="ANL42" s="16"/>
      <c r="ANM42" s="16"/>
      <c r="ANN42" s="16"/>
      <c r="ANO42" s="16"/>
      <c r="ANP42" s="16"/>
      <c r="ANQ42" s="16"/>
      <c r="ANR42" s="16"/>
      <c r="ANS42" s="16"/>
      <c r="ANT42" s="16"/>
      <c r="ANU42" s="16"/>
      <c r="ANV42" s="16"/>
      <c r="ANW42" s="16"/>
      <c r="ANX42" s="16"/>
      <c r="ANY42" s="16"/>
      <c r="ANZ42" s="16"/>
      <c r="AOA42" s="16"/>
      <c r="AOB42" s="16"/>
      <c r="AOC42" s="16"/>
      <c r="AOD42" s="16"/>
      <c r="AOE42" s="16"/>
      <c r="AOF42" s="16"/>
      <c r="AOG42" s="16"/>
      <c r="AOH42" s="16"/>
      <c r="AOI42" s="16"/>
      <c r="AOJ42" s="16"/>
      <c r="AOK42" s="16"/>
      <c r="AOL42" s="16"/>
      <c r="AOM42" s="16"/>
      <c r="AON42" s="16"/>
      <c r="AOO42" s="16"/>
      <c r="AOP42" s="16"/>
      <c r="AOQ42" s="16"/>
      <c r="AOR42" s="16"/>
      <c r="AOS42" s="16"/>
      <c r="AOT42" s="16"/>
      <c r="AOU42" s="16"/>
      <c r="AOV42" s="16"/>
      <c r="AOW42" s="16"/>
      <c r="AOX42" s="16"/>
      <c r="AOY42" s="16"/>
      <c r="AOZ42" s="16"/>
      <c r="APA42" s="16"/>
      <c r="APB42" s="16"/>
      <c r="APC42" s="16"/>
      <c r="APD42" s="16"/>
      <c r="APE42" s="16"/>
      <c r="APF42" s="16"/>
      <c r="APG42" s="16"/>
      <c r="APH42" s="16"/>
      <c r="API42" s="16"/>
      <c r="APJ42" s="16"/>
      <c r="APK42" s="16"/>
      <c r="APL42" s="16"/>
      <c r="APM42" s="16"/>
      <c r="APN42" s="16"/>
      <c r="APO42" s="16"/>
      <c r="APP42" s="16"/>
      <c r="APQ42" s="16"/>
      <c r="APR42" s="16"/>
      <c r="APS42" s="16"/>
      <c r="APT42" s="16"/>
      <c r="APU42" s="16"/>
      <c r="APV42" s="16"/>
      <c r="APW42" s="16"/>
      <c r="APX42" s="16"/>
      <c r="APY42" s="16"/>
      <c r="APZ42" s="16"/>
      <c r="AQA42" s="16"/>
      <c r="AQB42" s="16"/>
      <c r="AQC42" s="16"/>
      <c r="AQD42" s="16"/>
      <c r="AQE42" s="16"/>
      <c r="AQF42" s="16"/>
      <c r="AQG42" s="16"/>
      <c r="AQH42" s="16"/>
      <c r="AQI42" s="16"/>
      <c r="AQJ42" s="16"/>
      <c r="AQK42" s="16"/>
      <c r="AQL42" s="16"/>
      <c r="AQM42" s="16"/>
      <c r="AQN42" s="16"/>
      <c r="AQO42" s="16"/>
      <c r="AQP42" s="16"/>
      <c r="AQQ42" s="16"/>
      <c r="AQR42" s="16"/>
      <c r="AQS42" s="16"/>
      <c r="AQT42" s="16"/>
      <c r="AQU42" s="16"/>
      <c r="AQV42" s="16"/>
      <c r="AQW42" s="16"/>
      <c r="AQX42" s="16"/>
      <c r="AQY42" s="16"/>
      <c r="AQZ42" s="16"/>
      <c r="ARA42" s="16"/>
      <c r="ARB42" s="16"/>
      <c r="ARC42" s="16"/>
      <c r="ARD42" s="16"/>
      <c r="ARE42" s="16"/>
      <c r="ARF42" s="16"/>
      <c r="ARG42" s="16"/>
      <c r="ARH42" s="16"/>
      <c r="ARI42" s="16"/>
      <c r="ARJ42" s="16"/>
      <c r="ARK42" s="16"/>
      <c r="ARL42" s="16"/>
      <c r="ARM42" s="16"/>
      <c r="ARN42" s="16"/>
      <c r="ARO42" s="16"/>
      <c r="ARP42" s="16"/>
      <c r="ARQ42" s="16"/>
      <c r="ARR42" s="16"/>
      <c r="ARS42" s="16"/>
      <c r="ART42" s="16"/>
      <c r="ARU42" s="16"/>
      <c r="ARV42" s="16"/>
      <c r="ARW42" s="16"/>
      <c r="ARX42" s="16"/>
      <c r="ARY42" s="16"/>
      <c r="ARZ42" s="16"/>
      <c r="ASA42" s="16"/>
      <c r="ASB42" s="16"/>
      <c r="ASC42" s="16"/>
      <c r="ASD42" s="16"/>
      <c r="ASE42" s="16"/>
      <c r="ASF42" s="16"/>
      <c r="ASG42" s="16"/>
      <c r="ASH42" s="16"/>
      <c r="ASI42" s="16"/>
      <c r="ASJ42" s="16"/>
      <c r="ASK42" s="16"/>
      <c r="ASL42" s="16"/>
      <c r="ASM42" s="16"/>
      <c r="ASN42" s="16"/>
      <c r="ASO42" s="16"/>
      <c r="ASP42" s="16"/>
      <c r="ASQ42" s="16"/>
      <c r="ASR42" s="16"/>
      <c r="ASS42" s="16"/>
      <c r="AST42" s="16"/>
      <c r="ASU42" s="16"/>
      <c r="ASV42" s="16"/>
      <c r="ASW42" s="16"/>
      <c r="ASX42" s="16"/>
      <c r="ASY42" s="16"/>
      <c r="ASZ42" s="16"/>
      <c r="ATA42" s="16"/>
      <c r="ATB42" s="16"/>
      <c r="ATC42" s="16"/>
      <c r="ATD42" s="16"/>
      <c r="ATE42" s="16"/>
      <c r="ATF42" s="16"/>
      <c r="ATG42" s="16"/>
      <c r="ATH42" s="16"/>
      <c r="ATI42" s="16"/>
      <c r="ATJ42" s="16"/>
      <c r="ATK42" s="16"/>
      <c r="ATL42" s="16"/>
      <c r="ATM42" s="16"/>
      <c r="ATN42" s="16"/>
      <c r="ATO42" s="16"/>
      <c r="ATP42" s="16"/>
      <c r="ATQ42" s="16"/>
      <c r="ATR42" s="16"/>
      <c r="ATS42" s="16"/>
      <c r="ATT42" s="16"/>
      <c r="ATU42" s="16"/>
      <c r="ATV42" s="16"/>
      <c r="ATW42" s="16"/>
      <c r="ATX42" s="16"/>
      <c r="ATY42" s="16"/>
      <c r="ATZ42" s="16"/>
      <c r="AUA42" s="16"/>
      <c r="AUB42" s="16"/>
      <c r="AUC42" s="16"/>
      <c r="AUD42" s="16"/>
      <c r="AUE42" s="16"/>
      <c r="AUF42" s="16"/>
      <c r="AUG42" s="16"/>
      <c r="AUH42" s="16"/>
      <c r="AUI42" s="16"/>
      <c r="AUJ42" s="16"/>
      <c r="AUK42" s="16"/>
      <c r="AUL42" s="16"/>
      <c r="AUM42" s="16"/>
      <c r="AUN42" s="16"/>
      <c r="AUO42" s="16"/>
      <c r="AUP42" s="16"/>
      <c r="AUQ42" s="16"/>
      <c r="AUR42" s="16"/>
      <c r="AUS42" s="16"/>
      <c r="AUT42" s="16"/>
      <c r="AUU42" s="16"/>
      <c r="AUV42" s="16"/>
      <c r="AUW42" s="16"/>
      <c r="AUX42" s="16"/>
      <c r="AUY42" s="16"/>
      <c r="AUZ42" s="16"/>
      <c r="AVA42" s="16"/>
      <c r="AVB42" s="16"/>
      <c r="AVC42" s="16"/>
      <c r="AVD42" s="16"/>
      <c r="AVE42" s="16"/>
      <c r="AVF42" s="16"/>
      <c r="AVG42" s="16"/>
      <c r="AVH42" s="16"/>
      <c r="AVI42" s="16"/>
      <c r="AVJ42" s="16"/>
      <c r="AVK42" s="16"/>
      <c r="AVL42" s="16"/>
      <c r="AVM42" s="16"/>
      <c r="AVN42" s="16"/>
      <c r="AVO42" s="16"/>
      <c r="AVP42" s="16"/>
      <c r="AVQ42" s="16"/>
      <c r="AVR42" s="16"/>
      <c r="AVS42" s="16"/>
      <c r="AVT42" s="16"/>
      <c r="AVU42" s="16"/>
      <c r="AVV42" s="16"/>
      <c r="AVW42" s="16"/>
      <c r="AVX42" s="16"/>
      <c r="AVY42" s="16"/>
      <c r="AVZ42" s="16"/>
      <c r="AWA42" s="16"/>
      <c r="AWB42" s="16"/>
      <c r="AWC42" s="16"/>
      <c r="AWD42" s="16"/>
      <c r="AWE42" s="16"/>
      <c r="AWF42" s="16"/>
      <c r="AWG42" s="16"/>
      <c r="AWH42" s="16"/>
      <c r="AWI42" s="16"/>
      <c r="AWJ42" s="16"/>
      <c r="AWK42" s="16"/>
      <c r="AWL42" s="16"/>
      <c r="AWM42" s="16"/>
      <c r="AWN42" s="16"/>
      <c r="AWO42" s="16"/>
      <c r="AWP42" s="16"/>
      <c r="AWQ42" s="16"/>
      <c r="AWR42" s="16"/>
      <c r="AWS42" s="16"/>
      <c r="AWT42" s="16"/>
      <c r="AWU42" s="16"/>
      <c r="AWV42" s="16"/>
      <c r="AWW42" s="16"/>
      <c r="AWX42" s="16"/>
      <c r="AWY42" s="16"/>
      <c r="AWZ42" s="16"/>
      <c r="AXA42" s="16"/>
      <c r="AXB42" s="16"/>
      <c r="AXC42" s="16"/>
      <c r="AXD42" s="16"/>
      <c r="AXE42" s="16"/>
      <c r="AXF42" s="16"/>
      <c r="AXG42" s="16"/>
      <c r="AXH42" s="16"/>
      <c r="AXI42" s="16"/>
      <c r="AXJ42" s="16"/>
      <c r="AXK42" s="16"/>
      <c r="AXL42" s="16"/>
      <c r="AXM42" s="16"/>
      <c r="AXN42" s="16"/>
      <c r="AXO42" s="16"/>
      <c r="AXP42" s="16"/>
      <c r="AXQ42" s="16"/>
      <c r="AXR42" s="16"/>
      <c r="AXS42" s="16"/>
      <c r="AXT42" s="16"/>
      <c r="AXU42" s="16"/>
      <c r="AXV42" s="16"/>
      <c r="AXW42" s="16"/>
      <c r="AXX42" s="16"/>
      <c r="AXY42" s="16"/>
      <c r="AXZ42" s="16"/>
      <c r="AYA42" s="16"/>
      <c r="AYB42" s="16"/>
      <c r="AYC42" s="16"/>
      <c r="AYD42" s="16"/>
      <c r="AYE42" s="16"/>
      <c r="AYF42" s="16"/>
      <c r="AYG42" s="16"/>
      <c r="AYH42" s="16"/>
      <c r="AYI42" s="16"/>
      <c r="AYJ42" s="16"/>
      <c r="AYK42" s="16"/>
      <c r="AYL42" s="16"/>
      <c r="AYM42" s="16"/>
      <c r="AYN42" s="16"/>
      <c r="AYO42" s="16"/>
      <c r="AYP42" s="16"/>
      <c r="AYQ42" s="16"/>
      <c r="AYR42" s="16"/>
      <c r="AYS42" s="16"/>
      <c r="AYT42" s="16"/>
      <c r="AYU42" s="16"/>
      <c r="AYV42" s="16"/>
      <c r="AYW42" s="16"/>
      <c r="AYX42" s="16"/>
      <c r="AYY42" s="16"/>
      <c r="AYZ42" s="16"/>
      <c r="AZA42" s="16"/>
      <c r="AZB42" s="16"/>
      <c r="AZC42" s="16"/>
      <c r="AZD42" s="16"/>
      <c r="AZE42" s="16"/>
      <c r="AZF42" s="16"/>
      <c r="AZG42" s="16"/>
      <c r="AZH42" s="16"/>
      <c r="AZI42" s="16"/>
      <c r="AZJ42" s="16"/>
      <c r="AZK42" s="16"/>
      <c r="AZL42" s="16"/>
      <c r="AZM42" s="16"/>
      <c r="AZN42" s="16"/>
      <c r="AZO42" s="16"/>
      <c r="AZP42" s="16"/>
      <c r="AZQ42" s="16"/>
      <c r="AZR42" s="16"/>
      <c r="AZS42" s="16"/>
      <c r="AZT42" s="16"/>
      <c r="AZU42" s="16"/>
      <c r="AZV42" s="16"/>
      <c r="AZW42" s="16"/>
      <c r="AZX42" s="16"/>
      <c r="AZY42" s="16"/>
      <c r="AZZ42" s="16"/>
      <c r="BAA42" s="16"/>
      <c r="BAB42" s="16"/>
      <c r="BAC42" s="16"/>
      <c r="BAD42" s="16"/>
      <c r="BAE42" s="16"/>
      <c r="BAF42" s="16"/>
      <c r="BAG42" s="16"/>
      <c r="BAH42" s="16"/>
      <c r="BAI42" s="16"/>
      <c r="BAJ42" s="16"/>
      <c r="BAK42" s="16"/>
      <c r="BAL42" s="16"/>
      <c r="BAM42" s="16"/>
      <c r="BAN42" s="16"/>
      <c r="BAO42" s="16"/>
      <c r="BAP42" s="16"/>
      <c r="BAQ42" s="16"/>
      <c r="BAR42" s="16"/>
      <c r="BAS42" s="16"/>
      <c r="BAT42" s="16"/>
      <c r="BAU42" s="16"/>
      <c r="BAV42" s="16"/>
      <c r="BAW42" s="16"/>
      <c r="BAX42" s="16"/>
      <c r="BAY42" s="16"/>
      <c r="BAZ42" s="16"/>
      <c r="BBA42" s="16"/>
      <c r="BBB42" s="16"/>
      <c r="BBC42" s="16"/>
      <c r="BBD42" s="16"/>
      <c r="BBE42" s="16"/>
      <c r="BBF42" s="16"/>
      <c r="BBG42" s="16"/>
      <c r="BBH42" s="16"/>
      <c r="BBI42" s="16"/>
      <c r="BBJ42" s="16"/>
      <c r="BBK42" s="16"/>
      <c r="BBL42" s="16"/>
      <c r="BBM42" s="16"/>
      <c r="BBN42" s="16"/>
      <c r="BBO42" s="16"/>
      <c r="BBP42" s="16"/>
      <c r="BBQ42" s="16"/>
      <c r="BBR42" s="16"/>
      <c r="BBS42" s="16"/>
      <c r="BBT42" s="16"/>
      <c r="BBU42" s="16"/>
      <c r="BBV42" s="16"/>
      <c r="BBW42" s="16"/>
      <c r="BBX42" s="16"/>
      <c r="BBY42" s="16"/>
      <c r="BBZ42" s="16"/>
      <c r="BCA42" s="16"/>
      <c r="BCB42" s="16"/>
      <c r="BCC42" s="16"/>
      <c r="BCD42" s="16"/>
      <c r="BCE42" s="16"/>
      <c r="BCF42" s="16"/>
      <c r="BCG42" s="16"/>
      <c r="BCH42" s="16"/>
      <c r="BCI42" s="16"/>
      <c r="BCJ42" s="16"/>
      <c r="BCK42" s="16"/>
      <c r="BCL42" s="16"/>
      <c r="BCM42" s="16"/>
      <c r="BCN42" s="16"/>
      <c r="BCO42" s="16"/>
      <c r="BCP42" s="16"/>
      <c r="BCQ42" s="16"/>
      <c r="BCR42" s="16"/>
      <c r="BCS42" s="16"/>
      <c r="BCT42" s="16"/>
      <c r="BCU42" s="16"/>
      <c r="BCV42" s="16"/>
      <c r="BCW42" s="16"/>
      <c r="BCX42" s="16"/>
      <c r="BCY42" s="16"/>
      <c r="BCZ42" s="16"/>
      <c r="BDA42" s="16"/>
      <c r="BDB42" s="16"/>
      <c r="BDC42" s="16"/>
      <c r="BDD42" s="16"/>
      <c r="BDE42" s="16"/>
      <c r="BDF42" s="16"/>
      <c r="BDG42" s="16"/>
      <c r="BDH42" s="16"/>
      <c r="BDI42" s="16"/>
      <c r="BDJ42" s="16"/>
      <c r="BDK42" s="16"/>
      <c r="BDL42" s="16"/>
      <c r="BDM42" s="16"/>
      <c r="BDN42" s="16"/>
      <c r="BDO42" s="16"/>
      <c r="BDP42" s="16"/>
      <c r="BDQ42" s="16"/>
      <c r="BDR42" s="16"/>
      <c r="BDS42" s="16"/>
      <c r="BDT42" s="16"/>
      <c r="BDU42" s="16"/>
      <c r="BDV42" s="16"/>
      <c r="BDW42" s="16"/>
      <c r="BDX42" s="16"/>
      <c r="BDY42" s="16"/>
      <c r="BDZ42" s="16"/>
      <c r="BEA42" s="16"/>
      <c r="BEB42" s="16"/>
      <c r="BEC42" s="16"/>
      <c r="BED42" s="16"/>
      <c r="BEE42" s="16"/>
      <c r="BEF42" s="16"/>
      <c r="BEG42" s="16"/>
      <c r="BEH42" s="16"/>
      <c r="BEI42" s="16"/>
      <c r="BEJ42" s="16"/>
      <c r="BEK42" s="16"/>
      <c r="BEL42" s="16"/>
      <c r="BEM42" s="16"/>
      <c r="BEN42" s="16"/>
      <c r="BEO42" s="16"/>
      <c r="BEP42" s="16"/>
      <c r="BEQ42" s="16"/>
      <c r="BER42" s="16"/>
      <c r="BES42" s="16"/>
      <c r="BET42" s="16"/>
      <c r="BEU42" s="16"/>
      <c r="BEV42" s="16"/>
      <c r="BEW42" s="16"/>
      <c r="BEX42" s="16"/>
      <c r="BEY42" s="16"/>
      <c r="BEZ42" s="16"/>
      <c r="BFA42" s="16"/>
      <c r="BFB42" s="16"/>
      <c r="BFC42" s="16"/>
      <c r="BFD42" s="16"/>
      <c r="BFE42" s="16"/>
      <c r="BFF42" s="16"/>
      <c r="BFG42" s="16"/>
      <c r="BFH42" s="16"/>
      <c r="BFI42" s="16"/>
      <c r="BFJ42" s="16"/>
      <c r="BFK42" s="16"/>
      <c r="BFL42" s="16"/>
      <c r="BFM42" s="16"/>
      <c r="BFN42" s="16"/>
      <c r="BFO42" s="16"/>
      <c r="BFP42" s="16"/>
      <c r="BFQ42" s="16"/>
      <c r="BFR42" s="16"/>
      <c r="BFS42" s="16"/>
      <c r="BFT42" s="16"/>
      <c r="BFU42" s="16"/>
      <c r="BFV42" s="16"/>
      <c r="BFW42" s="16"/>
      <c r="BFX42" s="16"/>
      <c r="BFY42" s="16"/>
      <c r="BFZ42" s="16"/>
      <c r="BGA42" s="16"/>
      <c r="BGB42" s="16"/>
      <c r="BGC42" s="16"/>
      <c r="BGD42" s="16"/>
      <c r="BGE42" s="16"/>
      <c r="BGF42" s="16"/>
      <c r="BGG42" s="16"/>
      <c r="BGH42" s="16"/>
      <c r="BGI42" s="16"/>
      <c r="BGJ42" s="16"/>
      <c r="BGK42" s="16"/>
      <c r="BGL42" s="16"/>
      <c r="BGM42" s="16"/>
      <c r="BGN42" s="16"/>
      <c r="BGO42" s="16"/>
      <c r="BGP42" s="16"/>
      <c r="BGQ42" s="16"/>
      <c r="BGR42" s="16"/>
      <c r="BGS42" s="16"/>
      <c r="BGT42" s="16"/>
      <c r="BGU42" s="16"/>
      <c r="BGV42" s="16"/>
      <c r="BGW42" s="16"/>
      <c r="BGX42" s="16"/>
      <c r="BGY42" s="16"/>
      <c r="BGZ42" s="16"/>
      <c r="BHA42" s="16"/>
      <c r="BHB42" s="16"/>
      <c r="BHC42" s="16"/>
      <c r="BHD42" s="16"/>
      <c r="BHE42" s="16"/>
      <c r="BHF42" s="16"/>
      <c r="BHG42" s="16"/>
      <c r="BHH42" s="16"/>
      <c r="BHI42" s="16"/>
      <c r="BHJ42" s="16"/>
      <c r="BHK42" s="16"/>
      <c r="BHL42" s="16"/>
      <c r="BHM42" s="16"/>
      <c r="BHN42" s="16"/>
      <c r="BHO42" s="16"/>
      <c r="BHP42" s="16"/>
      <c r="BHQ42" s="16"/>
      <c r="BHR42" s="16"/>
      <c r="BHS42" s="16"/>
      <c r="BHT42" s="16"/>
      <c r="BHU42" s="16"/>
      <c r="BHV42" s="16"/>
      <c r="BHW42" s="16"/>
      <c r="BHX42" s="16"/>
      <c r="BHY42" s="16"/>
      <c r="BHZ42" s="16"/>
      <c r="BIA42" s="16"/>
      <c r="BIB42" s="16"/>
      <c r="BIC42" s="16"/>
      <c r="BID42" s="16"/>
      <c r="BIE42" s="16"/>
      <c r="BIF42" s="16"/>
      <c r="BIG42" s="16"/>
      <c r="BIH42" s="16"/>
      <c r="BII42" s="16"/>
      <c r="BIJ42" s="16"/>
      <c r="BIK42" s="16"/>
      <c r="BIL42" s="16"/>
      <c r="BIM42" s="16"/>
      <c r="BIN42" s="16"/>
      <c r="BIO42" s="16"/>
      <c r="BIP42" s="16"/>
      <c r="BIQ42" s="16"/>
      <c r="BIR42" s="16"/>
      <c r="BIS42" s="16"/>
      <c r="BIT42" s="16"/>
      <c r="BIU42" s="16"/>
      <c r="BIV42" s="16"/>
      <c r="BIW42" s="16"/>
      <c r="BIX42" s="16"/>
      <c r="BIY42" s="16"/>
      <c r="BIZ42" s="16"/>
      <c r="BJA42" s="16"/>
      <c r="BJB42" s="16"/>
      <c r="BJC42" s="16"/>
      <c r="BJD42" s="16"/>
      <c r="BJE42" s="16"/>
      <c r="BJF42" s="16"/>
      <c r="BJG42" s="16"/>
      <c r="BJH42" s="16"/>
      <c r="BJI42" s="16"/>
      <c r="BJJ42" s="16"/>
      <c r="BJK42" s="16"/>
      <c r="BJL42" s="16"/>
      <c r="BJM42" s="16"/>
      <c r="BJN42" s="16"/>
      <c r="BJO42" s="16"/>
      <c r="BJP42" s="16"/>
      <c r="BJQ42" s="16"/>
      <c r="BJR42" s="16"/>
      <c r="BJS42" s="16"/>
      <c r="BJT42" s="16"/>
      <c r="BJU42" s="16"/>
      <c r="BJV42" s="16"/>
      <c r="BJW42" s="16"/>
      <c r="BJX42" s="16"/>
      <c r="BJY42" s="16"/>
      <c r="BJZ42" s="16"/>
      <c r="BKA42" s="16"/>
      <c r="BKB42" s="16"/>
      <c r="BKC42" s="16"/>
      <c r="BKD42" s="16"/>
      <c r="BKE42" s="16"/>
      <c r="BKF42" s="16"/>
      <c r="BKG42" s="16"/>
      <c r="BKH42" s="16"/>
      <c r="BKI42" s="16"/>
      <c r="BKJ42" s="16"/>
      <c r="BKK42" s="16"/>
      <c r="BKL42" s="16"/>
      <c r="BKM42" s="16"/>
      <c r="BKN42" s="16"/>
      <c r="BKO42" s="16"/>
      <c r="BKP42" s="16"/>
      <c r="BKQ42" s="16"/>
      <c r="BKR42" s="16"/>
      <c r="BKS42" s="16"/>
      <c r="BKT42" s="16"/>
      <c r="BKU42" s="16"/>
      <c r="BKV42" s="16"/>
      <c r="BKW42" s="16"/>
      <c r="BKX42" s="16"/>
      <c r="BKY42" s="16"/>
      <c r="BKZ42" s="16"/>
      <c r="BLA42" s="16"/>
      <c r="BLB42" s="16"/>
      <c r="BLC42" s="16"/>
      <c r="BLD42" s="16"/>
      <c r="BLE42" s="16"/>
      <c r="BLF42" s="16"/>
      <c r="BLG42" s="16"/>
      <c r="BLH42" s="16"/>
      <c r="BLI42" s="16"/>
      <c r="BLJ42" s="16"/>
      <c r="BLK42" s="16"/>
      <c r="BLL42" s="16"/>
      <c r="BLM42" s="16"/>
      <c r="BLN42" s="16"/>
      <c r="BLO42" s="16"/>
      <c r="BLP42" s="16"/>
      <c r="BLQ42" s="16"/>
      <c r="BLR42" s="16"/>
      <c r="BLS42" s="16"/>
      <c r="BLT42" s="16"/>
      <c r="BLU42" s="16"/>
      <c r="BLV42" s="16"/>
      <c r="BLW42" s="16"/>
      <c r="BLX42" s="16"/>
      <c r="BLY42" s="16"/>
      <c r="BLZ42" s="16"/>
      <c r="BMA42" s="16"/>
      <c r="BMB42" s="16"/>
      <c r="BMC42" s="16"/>
      <c r="BMD42" s="16"/>
      <c r="BME42" s="16"/>
      <c r="BMF42" s="16"/>
      <c r="BMG42" s="16"/>
      <c r="BMH42" s="16"/>
      <c r="BMI42" s="16"/>
      <c r="BMJ42" s="16"/>
      <c r="BMK42" s="16"/>
      <c r="BML42" s="16"/>
      <c r="BMM42" s="16"/>
      <c r="BMN42" s="16"/>
      <c r="BMO42" s="16"/>
      <c r="BMP42" s="16"/>
      <c r="BMQ42" s="16"/>
      <c r="BMR42" s="16"/>
      <c r="BMS42" s="16"/>
      <c r="BMT42" s="16"/>
      <c r="BMU42" s="16"/>
      <c r="BMV42" s="16"/>
      <c r="BMW42" s="16"/>
      <c r="BMX42" s="16"/>
      <c r="BMY42" s="16"/>
      <c r="BMZ42" s="16"/>
      <c r="BNA42" s="16"/>
      <c r="BNB42" s="16"/>
      <c r="BNC42" s="16"/>
      <c r="BND42" s="16"/>
      <c r="BNE42" s="16"/>
      <c r="BNF42" s="16"/>
      <c r="BNG42" s="16"/>
      <c r="BNH42" s="16"/>
      <c r="BNI42" s="16"/>
      <c r="BNJ42" s="16"/>
      <c r="BNK42" s="16"/>
      <c r="BNL42" s="16"/>
      <c r="BNM42" s="16"/>
      <c r="BNN42" s="16"/>
      <c r="BNO42" s="16"/>
      <c r="BNP42" s="16"/>
      <c r="BNQ42" s="16"/>
      <c r="BNR42" s="16"/>
      <c r="BNS42" s="16"/>
      <c r="BNT42" s="16"/>
      <c r="BNU42" s="16"/>
      <c r="BNV42" s="16"/>
      <c r="BNW42" s="16"/>
      <c r="BNX42" s="16"/>
      <c r="BNY42" s="16"/>
      <c r="BNZ42" s="16"/>
      <c r="BOA42" s="16"/>
      <c r="BOB42" s="16"/>
      <c r="BOC42" s="16"/>
      <c r="BOD42" s="16"/>
      <c r="BOE42" s="16"/>
      <c r="BOF42" s="16"/>
      <c r="BOG42" s="16"/>
      <c r="BOH42" s="16"/>
      <c r="BOI42" s="16"/>
      <c r="BOJ42" s="16"/>
      <c r="BOK42" s="16"/>
      <c r="BOL42" s="16"/>
      <c r="BOM42" s="16"/>
      <c r="BON42" s="16"/>
      <c r="BOO42" s="16"/>
      <c r="BOP42" s="16"/>
      <c r="BOQ42" s="16"/>
      <c r="BOR42" s="16"/>
      <c r="BOS42" s="16"/>
      <c r="BOT42" s="16"/>
      <c r="BOU42" s="16"/>
      <c r="BOV42" s="16"/>
      <c r="BOW42" s="16"/>
      <c r="BOX42" s="16"/>
      <c r="BOY42" s="16"/>
      <c r="BOZ42" s="16"/>
      <c r="BPA42" s="16"/>
      <c r="BPB42" s="16"/>
      <c r="BPC42" s="16"/>
      <c r="BPD42" s="16"/>
      <c r="BPE42" s="16"/>
      <c r="BPF42" s="16"/>
      <c r="BPG42" s="16"/>
      <c r="BPH42" s="16"/>
      <c r="BPI42" s="16"/>
      <c r="BPJ42" s="16"/>
      <c r="BPK42" s="16"/>
      <c r="BPL42" s="16"/>
      <c r="BPM42" s="16"/>
      <c r="BPN42" s="16"/>
      <c r="BPO42" s="16"/>
      <c r="BPP42" s="16"/>
      <c r="BPQ42" s="16"/>
      <c r="BPR42" s="16"/>
      <c r="BPS42" s="16"/>
      <c r="BPT42" s="16"/>
      <c r="BPU42" s="16"/>
      <c r="BPV42" s="16"/>
      <c r="BPW42" s="16"/>
      <c r="BPX42" s="16"/>
      <c r="BPY42" s="16"/>
      <c r="BPZ42" s="16"/>
      <c r="BQA42" s="16"/>
      <c r="BQB42" s="16"/>
      <c r="BQC42" s="16"/>
      <c r="BQD42" s="16"/>
      <c r="BQE42" s="16"/>
      <c r="BQF42" s="16"/>
      <c r="BQG42" s="16"/>
      <c r="BQH42" s="16"/>
      <c r="BQI42" s="16"/>
      <c r="BQJ42" s="16"/>
      <c r="BQK42" s="16"/>
      <c r="BQL42" s="16"/>
      <c r="BQM42" s="16"/>
      <c r="BQN42" s="16"/>
      <c r="BQO42" s="16"/>
      <c r="BQP42" s="16"/>
      <c r="BQQ42" s="16"/>
      <c r="BQR42" s="16"/>
      <c r="BQS42" s="16"/>
      <c r="BQT42" s="16"/>
      <c r="BQU42" s="16"/>
      <c r="BQV42" s="16"/>
      <c r="BQW42" s="16"/>
      <c r="BQX42" s="16"/>
      <c r="BQY42" s="16"/>
      <c r="BQZ42" s="16"/>
      <c r="BRA42" s="16"/>
      <c r="BRB42" s="16"/>
      <c r="BRC42" s="16"/>
      <c r="BRD42" s="16"/>
      <c r="BRE42" s="16"/>
      <c r="BRF42" s="16"/>
      <c r="BRG42" s="16"/>
      <c r="BRH42" s="16"/>
      <c r="BRI42" s="16"/>
      <c r="BRJ42" s="16"/>
      <c r="BRK42" s="16"/>
      <c r="BRL42" s="16"/>
      <c r="BRM42" s="16"/>
      <c r="BRN42" s="16"/>
      <c r="BRO42" s="16"/>
      <c r="BRP42" s="16"/>
      <c r="BRQ42" s="16"/>
      <c r="BRR42" s="16"/>
      <c r="BRS42" s="16"/>
      <c r="BRT42" s="16"/>
      <c r="BRU42" s="16"/>
      <c r="BRV42" s="16"/>
      <c r="BRW42" s="16"/>
      <c r="BRX42" s="16"/>
      <c r="BRY42" s="16"/>
      <c r="BRZ42" s="16"/>
      <c r="BSA42" s="16"/>
      <c r="BSB42" s="16"/>
      <c r="BSC42" s="16"/>
      <c r="BSD42" s="16"/>
      <c r="BSE42" s="16"/>
      <c r="BSF42" s="16"/>
      <c r="BSG42" s="16"/>
      <c r="BSH42" s="16"/>
      <c r="BSI42" s="16"/>
      <c r="BSJ42" s="16"/>
      <c r="BSK42" s="16"/>
      <c r="BSL42" s="16"/>
      <c r="BSM42" s="16"/>
      <c r="BSN42" s="16"/>
      <c r="BSO42" s="16"/>
      <c r="BSP42" s="16"/>
      <c r="BSQ42" s="16"/>
      <c r="BSR42" s="16"/>
      <c r="BSS42" s="16"/>
      <c r="BST42" s="16"/>
      <c r="BSU42" s="16"/>
      <c r="BSV42" s="16"/>
      <c r="BSW42" s="16"/>
      <c r="BSX42" s="16"/>
      <c r="BSY42" s="16"/>
      <c r="BSZ42" s="16"/>
      <c r="BTA42" s="16"/>
      <c r="BTB42" s="16"/>
      <c r="BTC42" s="16"/>
      <c r="BTD42" s="16"/>
      <c r="BTE42" s="16"/>
      <c r="BTF42" s="16"/>
      <c r="BTG42" s="16"/>
      <c r="BTH42" s="16"/>
      <c r="BTI42" s="16"/>
      <c r="BTJ42" s="16"/>
      <c r="BTK42" s="16"/>
      <c r="BTL42" s="16"/>
      <c r="BTM42" s="16"/>
      <c r="BTN42" s="16"/>
      <c r="BTO42" s="16"/>
      <c r="BTP42" s="16"/>
      <c r="BTQ42" s="16"/>
      <c r="BTR42" s="16"/>
      <c r="BTS42" s="16"/>
      <c r="BTT42" s="16"/>
      <c r="BTU42" s="16"/>
      <c r="BTV42" s="16"/>
      <c r="BTW42" s="16"/>
      <c r="BTX42" s="16"/>
      <c r="BTY42" s="16"/>
      <c r="BTZ42" s="16"/>
      <c r="BUA42" s="16"/>
      <c r="BUB42" s="16"/>
      <c r="BUC42" s="16"/>
      <c r="BUD42" s="16"/>
      <c r="BUE42" s="16"/>
      <c r="BUF42" s="16"/>
      <c r="BUG42" s="16"/>
      <c r="BUH42" s="16"/>
      <c r="BUI42" s="16"/>
      <c r="BUJ42" s="16"/>
      <c r="BUK42" s="16"/>
      <c r="BUL42" s="16"/>
      <c r="BUM42" s="16"/>
      <c r="BUN42" s="16"/>
      <c r="BUO42" s="16"/>
      <c r="BUP42" s="16"/>
      <c r="BUQ42" s="16"/>
      <c r="BUR42" s="16"/>
      <c r="BUS42" s="16"/>
      <c r="BUT42" s="16"/>
      <c r="BUU42" s="16"/>
      <c r="BUV42" s="16"/>
      <c r="BUW42" s="16"/>
      <c r="BUX42" s="16"/>
      <c r="BUY42" s="16"/>
      <c r="BUZ42" s="16"/>
      <c r="BVA42" s="16"/>
      <c r="BVB42" s="16"/>
      <c r="BVC42" s="16"/>
      <c r="BVD42" s="16"/>
      <c r="BVE42" s="16"/>
      <c r="BVF42" s="16"/>
      <c r="BVG42" s="16"/>
      <c r="BVH42" s="16"/>
      <c r="BVI42" s="16"/>
      <c r="BVJ42" s="16"/>
      <c r="BVK42" s="16"/>
      <c r="BVL42" s="16"/>
      <c r="BVM42" s="16"/>
      <c r="BVN42" s="16"/>
      <c r="BVO42" s="16"/>
      <c r="BVP42" s="16"/>
      <c r="BVQ42" s="16"/>
      <c r="BVR42" s="16"/>
      <c r="BVS42" s="16"/>
      <c r="BVT42" s="16"/>
      <c r="BVU42" s="16"/>
      <c r="BVV42" s="16"/>
      <c r="BVW42" s="16"/>
      <c r="BVX42" s="16"/>
      <c r="BVY42" s="16"/>
      <c r="BVZ42" s="16"/>
      <c r="BWA42" s="16"/>
      <c r="BWB42" s="16"/>
      <c r="BWC42" s="16"/>
      <c r="BWD42" s="16"/>
      <c r="BWE42" s="16"/>
      <c r="BWF42" s="16"/>
      <c r="BWG42" s="16"/>
      <c r="BWH42" s="16"/>
      <c r="BWI42" s="16"/>
      <c r="BWJ42" s="16"/>
      <c r="BWK42" s="16"/>
      <c r="BWL42" s="16"/>
      <c r="BWM42" s="16"/>
      <c r="BWN42" s="16"/>
      <c r="BWO42" s="16"/>
      <c r="BWP42" s="16"/>
      <c r="BWQ42" s="16"/>
      <c r="BWR42" s="16"/>
      <c r="BWS42" s="16"/>
      <c r="BWT42" s="16"/>
      <c r="BWU42" s="16"/>
      <c r="BWV42" s="16"/>
      <c r="BWW42" s="16"/>
      <c r="BWX42" s="16"/>
      <c r="BWY42" s="16"/>
      <c r="BWZ42" s="16"/>
      <c r="BXA42" s="16"/>
      <c r="BXB42" s="16"/>
      <c r="BXC42" s="16"/>
      <c r="BXD42" s="16"/>
      <c r="BXE42" s="16"/>
      <c r="BXF42" s="16"/>
      <c r="BXG42" s="16"/>
      <c r="BXH42" s="16"/>
      <c r="BXI42" s="16"/>
      <c r="BXJ42" s="16"/>
      <c r="BXK42" s="16"/>
      <c r="BXL42" s="16"/>
      <c r="BXM42" s="16"/>
      <c r="BXN42" s="16"/>
      <c r="BXO42" s="16"/>
      <c r="BXP42" s="16"/>
      <c r="BXQ42" s="16"/>
      <c r="BXR42" s="16"/>
      <c r="BXS42" s="16"/>
      <c r="BXT42" s="16"/>
      <c r="BXU42" s="16"/>
      <c r="BXV42" s="16"/>
      <c r="BXW42" s="16"/>
      <c r="BXX42" s="16"/>
      <c r="BXY42" s="16"/>
      <c r="BXZ42" s="16"/>
      <c r="BYA42" s="16"/>
      <c r="BYB42" s="16"/>
      <c r="BYC42" s="16"/>
      <c r="BYD42" s="16"/>
      <c r="BYE42" s="16"/>
      <c r="BYF42" s="16"/>
      <c r="BYG42" s="16"/>
      <c r="BYH42" s="16"/>
      <c r="BYI42" s="16"/>
      <c r="BYJ42" s="16"/>
      <c r="BYK42" s="16"/>
      <c r="BYL42" s="16"/>
      <c r="BYM42" s="16"/>
      <c r="BYN42" s="16"/>
      <c r="BYO42" s="16"/>
      <c r="BYP42" s="16"/>
      <c r="BYQ42" s="16"/>
      <c r="BYR42" s="16"/>
      <c r="BYS42" s="16"/>
      <c r="BYT42" s="16"/>
      <c r="BYU42" s="16"/>
      <c r="BYV42" s="16"/>
      <c r="BYW42" s="16"/>
      <c r="BYX42" s="16"/>
      <c r="BYY42" s="16"/>
      <c r="BYZ42" s="16"/>
      <c r="BZA42" s="16"/>
      <c r="BZB42" s="16"/>
      <c r="BZC42" s="16"/>
      <c r="BZD42" s="16"/>
      <c r="BZE42" s="16"/>
      <c r="BZF42" s="16"/>
      <c r="BZG42" s="16"/>
      <c r="BZH42" s="16"/>
      <c r="BZI42" s="16"/>
      <c r="BZJ42" s="16"/>
      <c r="BZK42" s="16"/>
      <c r="BZL42" s="16"/>
      <c r="BZM42" s="16"/>
      <c r="BZN42" s="16"/>
      <c r="BZO42" s="16"/>
      <c r="BZP42" s="16"/>
      <c r="BZQ42" s="16"/>
      <c r="BZR42" s="16"/>
      <c r="BZS42" s="16"/>
      <c r="BZT42" s="16"/>
      <c r="BZU42" s="16"/>
      <c r="BZV42" s="16"/>
      <c r="BZW42" s="16"/>
      <c r="BZX42" s="16"/>
      <c r="BZY42" s="16"/>
      <c r="BZZ42" s="16"/>
      <c r="CAA42" s="16"/>
      <c r="CAB42" s="16"/>
      <c r="CAC42" s="16"/>
      <c r="CAD42" s="16"/>
      <c r="CAE42" s="16"/>
      <c r="CAF42" s="16"/>
      <c r="CAG42" s="16"/>
      <c r="CAH42" s="16"/>
      <c r="CAI42" s="16"/>
      <c r="CAJ42" s="16"/>
      <c r="CAK42" s="16"/>
      <c r="CAL42" s="16"/>
      <c r="CAM42" s="16"/>
      <c r="CAN42" s="16"/>
      <c r="CAO42" s="16"/>
      <c r="CAP42" s="16"/>
      <c r="CAQ42" s="16"/>
      <c r="CAR42" s="16"/>
      <c r="CAS42" s="16"/>
      <c r="CAT42" s="16"/>
      <c r="CAU42" s="16"/>
      <c r="CAV42" s="16"/>
      <c r="CAW42" s="16"/>
      <c r="CAX42" s="16"/>
      <c r="CAY42" s="16"/>
      <c r="CAZ42" s="16"/>
      <c r="CBA42" s="16"/>
      <c r="CBB42" s="16"/>
      <c r="CBC42" s="16"/>
      <c r="CBD42" s="16"/>
      <c r="CBE42" s="16"/>
      <c r="CBF42" s="16"/>
      <c r="CBG42" s="16"/>
      <c r="CBH42" s="16"/>
      <c r="CBI42" s="16"/>
      <c r="CBJ42" s="16"/>
      <c r="CBK42" s="16"/>
      <c r="CBL42" s="16"/>
      <c r="CBM42" s="16"/>
      <c r="CBN42" s="16"/>
      <c r="CBO42" s="16"/>
      <c r="CBP42" s="16"/>
      <c r="CBQ42" s="16"/>
      <c r="CBR42" s="16"/>
      <c r="CBS42" s="16"/>
      <c r="CBT42" s="16"/>
      <c r="CBU42" s="16"/>
      <c r="CBV42" s="16"/>
      <c r="CBW42" s="16"/>
      <c r="CBX42" s="16"/>
      <c r="CBY42" s="16"/>
      <c r="CBZ42" s="16"/>
      <c r="CCA42" s="16"/>
      <c r="CCB42" s="16"/>
      <c r="CCC42" s="16"/>
      <c r="CCD42" s="16"/>
      <c r="CCE42" s="16"/>
      <c r="CCF42" s="16"/>
      <c r="CCG42" s="16"/>
      <c r="CCH42" s="16"/>
      <c r="CCI42" s="16"/>
      <c r="CCJ42" s="16"/>
      <c r="CCK42" s="16"/>
      <c r="CCL42" s="16"/>
      <c r="CCM42" s="16"/>
      <c r="CCN42" s="16"/>
      <c r="CCO42" s="16"/>
      <c r="CCP42" s="16"/>
      <c r="CCQ42" s="16"/>
      <c r="CCR42" s="16"/>
      <c r="CCS42" s="16"/>
      <c r="CCT42" s="16"/>
      <c r="CCU42" s="16"/>
      <c r="CCV42" s="16"/>
      <c r="CCW42" s="16"/>
      <c r="CCX42" s="16"/>
      <c r="CCY42" s="16"/>
      <c r="CCZ42" s="16"/>
      <c r="CDA42" s="16"/>
      <c r="CDB42" s="16"/>
      <c r="CDC42" s="16"/>
      <c r="CDD42" s="16"/>
      <c r="CDE42" s="16"/>
      <c r="CDF42" s="16"/>
      <c r="CDG42" s="16"/>
      <c r="CDH42" s="16"/>
      <c r="CDI42" s="16"/>
      <c r="CDJ42" s="16"/>
      <c r="CDK42" s="16"/>
      <c r="CDL42" s="16"/>
      <c r="CDM42" s="16"/>
      <c r="CDN42" s="16"/>
      <c r="CDO42" s="16"/>
      <c r="CDP42" s="16"/>
      <c r="CDQ42" s="16"/>
      <c r="CDR42" s="16"/>
      <c r="CDS42" s="16"/>
      <c r="CDT42" s="16"/>
      <c r="CDU42" s="16"/>
      <c r="CDV42" s="16"/>
      <c r="CDW42" s="16"/>
      <c r="CDX42" s="16"/>
      <c r="CDY42" s="16"/>
      <c r="CDZ42" s="16"/>
      <c r="CEA42" s="16"/>
      <c r="CEB42" s="16"/>
      <c r="CEC42" s="16"/>
      <c r="CED42" s="16"/>
      <c r="CEE42" s="16"/>
      <c r="CEF42" s="16"/>
      <c r="CEG42" s="16"/>
      <c r="CEH42" s="16"/>
      <c r="CEI42" s="16"/>
      <c r="CEJ42" s="16"/>
      <c r="CEK42" s="16"/>
      <c r="CEL42" s="16"/>
      <c r="CEM42" s="16"/>
      <c r="CEN42" s="16"/>
      <c r="CEO42" s="16"/>
      <c r="CEP42" s="16"/>
      <c r="CEQ42" s="16"/>
      <c r="CER42" s="16"/>
      <c r="CES42" s="16"/>
      <c r="CET42" s="16"/>
      <c r="CEU42" s="16"/>
      <c r="CEV42" s="16"/>
      <c r="CEW42" s="16"/>
      <c r="CEX42" s="16"/>
      <c r="CEY42" s="16"/>
      <c r="CEZ42" s="16"/>
      <c r="CFA42" s="16"/>
      <c r="CFB42" s="16"/>
      <c r="CFC42" s="16"/>
      <c r="CFD42" s="16"/>
      <c r="CFE42" s="16"/>
      <c r="CFF42" s="16"/>
      <c r="CFG42" s="16"/>
      <c r="CFH42" s="16"/>
      <c r="CFI42" s="16"/>
      <c r="CFJ42" s="16"/>
      <c r="CFK42" s="16"/>
      <c r="CFL42" s="16"/>
      <c r="CFM42" s="16"/>
      <c r="CFN42" s="16"/>
      <c r="CFO42" s="16"/>
      <c r="CFP42" s="16"/>
      <c r="CFQ42" s="16"/>
      <c r="CFR42" s="16"/>
      <c r="CFS42" s="16"/>
      <c r="CFT42" s="16"/>
      <c r="CFU42" s="16"/>
      <c r="CFV42" s="16"/>
      <c r="CFW42" s="16"/>
      <c r="CFX42" s="16"/>
      <c r="CFY42" s="16"/>
      <c r="CFZ42" s="16"/>
      <c r="CGA42" s="16"/>
      <c r="CGB42" s="16"/>
      <c r="CGC42" s="16"/>
      <c r="CGD42" s="16"/>
      <c r="CGE42" s="16"/>
      <c r="CGF42" s="16"/>
      <c r="CGG42" s="16"/>
      <c r="CGH42" s="16"/>
      <c r="CGI42" s="16"/>
      <c r="CGJ42" s="16"/>
      <c r="CGK42" s="16"/>
      <c r="CGL42" s="16"/>
      <c r="CGM42" s="16"/>
      <c r="CGN42" s="16"/>
      <c r="CGO42" s="16"/>
      <c r="CGP42" s="16"/>
      <c r="CGQ42" s="16"/>
      <c r="CGR42" s="16"/>
      <c r="CGS42" s="16"/>
      <c r="CGT42" s="16"/>
      <c r="CGU42" s="16"/>
      <c r="CGV42" s="16"/>
      <c r="CGW42" s="16"/>
      <c r="CGX42" s="16"/>
      <c r="CGY42" s="16"/>
      <c r="CGZ42" s="16"/>
      <c r="CHA42" s="16"/>
      <c r="CHB42" s="16"/>
      <c r="CHC42" s="16"/>
      <c r="CHD42" s="16"/>
      <c r="CHE42" s="16"/>
      <c r="CHF42" s="16"/>
      <c r="CHG42" s="16"/>
      <c r="CHH42" s="16"/>
      <c r="CHI42" s="16"/>
      <c r="CHJ42" s="16"/>
      <c r="CHK42" s="16"/>
      <c r="CHL42" s="16"/>
      <c r="CHM42" s="16"/>
      <c r="CHN42" s="16"/>
      <c r="CHO42" s="16"/>
      <c r="CHP42" s="16"/>
      <c r="CHQ42" s="16"/>
      <c r="CHR42" s="16"/>
      <c r="CHS42" s="16"/>
      <c r="CHT42" s="16"/>
      <c r="CHU42" s="16"/>
      <c r="CHV42" s="16"/>
      <c r="CHW42" s="16"/>
      <c r="CHX42" s="16"/>
      <c r="CHY42" s="16"/>
      <c r="CHZ42" s="16"/>
      <c r="CIA42" s="16"/>
      <c r="CIB42" s="16"/>
      <c r="CIC42" s="16"/>
      <c r="CID42" s="16"/>
      <c r="CIE42" s="16"/>
      <c r="CIF42" s="16"/>
      <c r="CIG42" s="16"/>
      <c r="CIH42" s="16"/>
      <c r="CII42" s="16"/>
      <c r="CIJ42" s="16"/>
      <c r="CIK42" s="16"/>
      <c r="CIL42" s="16"/>
      <c r="CIM42" s="16"/>
      <c r="CIN42" s="16"/>
      <c r="CIO42" s="16"/>
      <c r="CIP42" s="16"/>
      <c r="CIQ42" s="16"/>
      <c r="CIR42" s="16"/>
      <c r="CIS42" s="16"/>
      <c r="CIT42" s="16"/>
      <c r="CIU42" s="16"/>
      <c r="CIV42" s="16"/>
      <c r="CIW42" s="16"/>
      <c r="CIX42" s="16"/>
      <c r="CIY42" s="16"/>
      <c r="CIZ42" s="16"/>
      <c r="CJA42" s="16"/>
      <c r="CJB42" s="16"/>
      <c r="CJC42" s="16"/>
      <c r="CJD42" s="16"/>
      <c r="CJE42" s="16"/>
      <c r="CJF42" s="16"/>
      <c r="CJG42" s="16"/>
      <c r="CJH42" s="16"/>
      <c r="CJI42" s="16"/>
      <c r="CJJ42" s="16"/>
      <c r="CJK42" s="16"/>
      <c r="CJL42" s="16"/>
      <c r="CJM42" s="16"/>
      <c r="CJN42" s="16"/>
      <c r="CJO42" s="16"/>
      <c r="CJP42" s="16"/>
      <c r="CJQ42" s="16"/>
      <c r="CJR42" s="16"/>
      <c r="CJS42" s="16"/>
      <c r="CJT42" s="16"/>
      <c r="CJU42" s="16"/>
      <c r="CJV42" s="16"/>
      <c r="CJW42" s="16"/>
      <c r="CJX42" s="16"/>
      <c r="CJY42" s="16"/>
      <c r="CJZ42" s="16"/>
      <c r="CKA42" s="16"/>
      <c r="CKB42" s="16"/>
      <c r="CKC42" s="16"/>
      <c r="CKD42" s="16"/>
      <c r="CKE42" s="16"/>
      <c r="CKF42" s="16"/>
      <c r="CKG42" s="16"/>
      <c r="CKH42" s="16"/>
      <c r="CKI42" s="16"/>
      <c r="CKJ42" s="16"/>
      <c r="CKK42" s="16"/>
      <c r="CKL42" s="16"/>
      <c r="CKM42" s="16"/>
      <c r="CKN42" s="16"/>
      <c r="CKO42" s="16"/>
      <c r="CKP42" s="16"/>
      <c r="CKQ42" s="16"/>
      <c r="CKR42" s="16"/>
      <c r="CKS42" s="16"/>
      <c r="CKT42" s="16"/>
      <c r="CKU42" s="16"/>
      <c r="CKV42" s="16"/>
      <c r="CKW42" s="16"/>
      <c r="CKX42" s="16"/>
      <c r="CKY42" s="16"/>
      <c r="CKZ42" s="16"/>
      <c r="CLA42" s="16"/>
      <c r="CLB42" s="16"/>
      <c r="CLC42" s="16"/>
      <c r="CLD42" s="16"/>
      <c r="CLE42" s="16"/>
      <c r="CLF42" s="16"/>
      <c r="CLG42" s="16"/>
      <c r="CLH42" s="16"/>
      <c r="CLI42" s="16"/>
      <c r="CLJ42" s="16"/>
      <c r="CLK42" s="16"/>
      <c r="CLL42" s="16"/>
      <c r="CLM42" s="16"/>
      <c r="CLN42" s="16"/>
      <c r="CLO42" s="16"/>
      <c r="CLP42" s="16"/>
      <c r="CLQ42" s="16"/>
      <c r="CLR42" s="16"/>
      <c r="CLS42" s="16"/>
      <c r="CLT42" s="16"/>
      <c r="CLU42" s="16"/>
      <c r="CLV42" s="16"/>
      <c r="CLW42" s="16"/>
      <c r="CLX42" s="16"/>
      <c r="CLY42" s="16"/>
      <c r="CLZ42" s="16"/>
      <c r="CMA42" s="16"/>
      <c r="CMB42" s="16"/>
      <c r="CMC42" s="16"/>
      <c r="CMD42" s="16"/>
      <c r="CME42" s="16"/>
      <c r="CMF42" s="16"/>
      <c r="CMG42" s="16"/>
      <c r="CMH42" s="16"/>
      <c r="CMI42" s="16"/>
      <c r="CMJ42" s="16"/>
      <c r="CMK42" s="16"/>
      <c r="CML42" s="16"/>
      <c r="CMM42" s="16"/>
      <c r="CMN42" s="16"/>
      <c r="CMO42" s="16"/>
      <c r="CMP42" s="16"/>
      <c r="CMQ42" s="16"/>
      <c r="CMR42" s="16"/>
      <c r="CMS42" s="16"/>
      <c r="CMT42" s="16"/>
      <c r="CMU42" s="16"/>
      <c r="CMV42" s="16"/>
      <c r="CMW42" s="16"/>
      <c r="CMX42" s="16"/>
      <c r="CMY42" s="16"/>
      <c r="CMZ42" s="16"/>
      <c r="CNA42" s="16"/>
      <c r="CNB42" s="16"/>
      <c r="CNC42" s="16"/>
      <c r="CND42" s="16"/>
      <c r="CNE42" s="16"/>
      <c r="CNF42" s="16"/>
      <c r="CNG42" s="16"/>
      <c r="CNH42" s="16"/>
      <c r="CNI42" s="16"/>
      <c r="CNJ42" s="16"/>
      <c r="CNK42" s="16"/>
      <c r="CNL42" s="16"/>
      <c r="CNM42" s="16"/>
      <c r="CNN42" s="16"/>
      <c r="CNO42" s="16"/>
      <c r="CNP42" s="16"/>
      <c r="CNQ42" s="16"/>
      <c r="CNR42" s="16"/>
      <c r="CNS42" s="16"/>
      <c r="CNT42" s="16"/>
      <c r="CNU42" s="16"/>
      <c r="CNV42" s="16"/>
      <c r="CNW42" s="16"/>
      <c r="CNX42" s="16"/>
      <c r="CNY42" s="16"/>
      <c r="CNZ42" s="16"/>
      <c r="COA42" s="16"/>
      <c r="COB42" s="16"/>
      <c r="COC42" s="16"/>
      <c r="COD42" s="16"/>
      <c r="COE42" s="16"/>
      <c r="COF42" s="16"/>
      <c r="COG42" s="16"/>
      <c r="COH42" s="16"/>
      <c r="COI42" s="16"/>
      <c r="COJ42" s="16"/>
      <c r="COK42" s="16"/>
      <c r="COL42" s="16"/>
      <c r="COM42" s="16"/>
      <c r="CON42" s="16"/>
      <c r="COO42" s="16"/>
      <c r="COP42" s="16"/>
      <c r="COQ42" s="16"/>
      <c r="COR42" s="16"/>
      <c r="COS42" s="16"/>
      <c r="COT42" s="16"/>
      <c r="COU42" s="16"/>
      <c r="COV42" s="16"/>
      <c r="COW42" s="16"/>
      <c r="COX42" s="16"/>
      <c r="COY42" s="16"/>
      <c r="COZ42" s="16"/>
      <c r="CPA42" s="16"/>
      <c r="CPB42" s="16"/>
      <c r="CPC42" s="16"/>
      <c r="CPD42" s="16"/>
      <c r="CPE42" s="16"/>
      <c r="CPF42" s="16"/>
      <c r="CPG42" s="16"/>
      <c r="CPH42" s="16"/>
      <c r="CPI42" s="16"/>
      <c r="CPJ42" s="16"/>
      <c r="CPK42" s="16"/>
      <c r="CPL42" s="16"/>
      <c r="CPM42" s="16"/>
      <c r="CPN42" s="16"/>
      <c r="CPO42" s="16"/>
      <c r="CPP42" s="16"/>
      <c r="CPQ42" s="16"/>
      <c r="CPR42" s="16"/>
      <c r="CPS42" s="16"/>
      <c r="CPT42" s="16"/>
      <c r="CPU42" s="16"/>
      <c r="CPV42" s="16"/>
      <c r="CPW42" s="16"/>
      <c r="CPX42" s="16"/>
      <c r="CPY42" s="16"/>
      <c r="CPZ42" s="16"/>
      <c r="CQA42" s="16"/>
      <c r="CQB42" s="16"/>
      <c r="CQC42" s="16"/>
      <c r="CQD42" s="16"/>
      <c r="CQE42" s="16"/>
      <c r="CQF42" s="16"/>
      <c r="CQG42" s="16"/>
      <c r="CQH42" s="16"/>
      <c r="CQI42" s="16"/>
      <c r="CQJ42" s="16"/>
      <c r="CQK42" s="16"/>
      <c r="CQL42" s="16"/>
      <c r="CQM42" s="16"/>
      <c r="CQN42" s="16"/>
      <c r="CQO42" s="16"/>
      <c r="CQP42" s="16"/>
      <c r="CQQ42" s="16"/>
      <c r="CQR42" s="16"/>
      <c r="CQS42" s="16"/>
      <c r="CQT42" s="16"/>
      <c r="CQU42" s="16"/>
      <c r="CQV42" s="16"/>
      <c r="CQW42" s="16"/>
      <c r="CQX42" s="16"/>
      <c r="CQY42" s="16"/>
      <c r="CQZ42" s="16"/>
      <c r="CRA42" s="16"/>
      <c r="CRB42" s="16"/>
      <c r="CRC42" s="16"/>
      <c r="CRD42" s="16"/>
      <c r="CRE42" s="16"/>
      <c r="CRF42" s="16"/>
      <c r="CRG42" s="16"/>
      <c r="CRH42" s="16"/>
      <c r="CRI42" s="16"/>
      <c r="CRJ42" s="16"/>
      <c r="CRK42" s="16"/>
      <c r="CRL42" s="16"/>
      <c r="CRM42" s="16"/>
      <c r="CRN42" s="16"/>
      <c r="CRO42" s="16"/>
      <c r="CRP42" s="16"/>
      <c r="CRQ42" s="16"/>
      <c r="CRR42" s="16"/>
      <c r="CRS42" s="16"/>
      <c r="CRT42" s="16"/>
      <c r="CRU42" s="16"/>
      <c r="CRV42" s="16"/>
      <c r="CRW42" s="16"/>
      <c r="CRX42" s="16"/>
      <c r="CRY42" s="16"/>
      <c r="CRZ42" s="16"/>
      <c r="CSA42" s="16"/>
      <c r="CSB42" s="16"/>
      <c r="CSC42" s="16"/>
      <c r="CSD42" s="16"/>
      <c r="CSE42" s="16"/>
      <c r="CSF42" s="16"/>
      <c r="CSG42" s="16"/>
      <c r="CSH42" s="16"/>
      <c r="CSI42" s="16"/>
      <c r="CSJ42" s="16"/>
      <c r="CSK42" s="16"/>
      <c r="CSL42" s="16"/>
      <c r="CSM42" s="16"/>
      <c r="CSN42" s="16"/>
      <c r="CSO42" s="16"/>
      <c r="CSP42" s="16"/>
      <c r="CSQ42" s="16"/>
      <c r="CSR42" s="16"/>
      <c r="CSS42" s="16"/>
      <c r="CST42" s="16"/>
      <c r="CSU42" s="16"/>
      <c r="CSV42" s="16"/>
      <c r="CSW42" s="16"/>
      <c r="CSX42" s="16"/>
      <c r="CSY42" s="16"/>
      <c r="CSZ42" s="16"/>
      <c r="CTA42" s="16"/>
      <c r="CTB42" s="16"/>
      <c r="CTC42" s="16"/>
      <c r="CTD42" s="16"/>
      <c r="CTE42" s="16"/>
      <c r="CTF42" s="16"/>
      <c r="CTG42" s="16"/>
      <c r="CTH42" s="16"/>
      <c r="CTI42" s="16"/>
      <c r="CTJ42" s="16"/>
      <c r="CTK42" s="16"/>
      <c r="CTL42" s="16"/>
      <c r="CTM42" s="16"/>
      <c r="CTN42" s="16"/>
      <c r="CTO42" s="16"/>
      <c r="CTP42" s="16"/>
      <c r="CTQ42" s="16"/>
      <c r="CTR42" s="16"/>
      <c r="CTS42" s="16"/>
      <c r="CTT42" s="16"/>
      <c r="CTU42" s="16"/>
      <c r="CTV42" s="16"/>
      <c r="CTW42" s="16"/>
      <c r="CTX42" s="16"/>
      <c r="CTY42" s="16"/>
      <c r="CTZ42" s="16"/>
      <c r="CUA42" s="16"/>
      <c r="CUB42" s="16"/>
      <c r="CUC42" s="16"/>
      <c r="CUD42" s="16"/>
      <c r="CUE42" s="16"/>
      <c r="CUF42" s="16"/>
      <c r="CUG42" s="16"/>
      <c r="CUH42" s="16"/>
      <c r="CUI42" s="16"/>
      <c r="CUJ42" s="16"/>
      <c r="CUK42" s="16"/>
      <c r="CUL42" s="16"/>
      <c r="CUM42" s="16"/>
      <c r="CUN42" s="16"/>
      <c r="CUO42" s="16"/>
      <c r="CUP42" s="16"/>
      <c r="CUQ42" s="16"/>
      <c r="CUR42" s="16"/>
      <c r="CUS42" s="16"/>
      <c r="CUT42" s="16"/>
      <c r="CUU42" s="16"/>
      <c r="CUV42" s="16"/>
      <c r="CUW42" s="16"/>
      <c r="CUX42" s="16"/>
      <c r="CUY42" s="16"/>
      <c r="CUZ42" s="16"/>
      <c r="CVA42" s="16"/>
      <c r="CVB42" s="16"/>
      <c r="CVC42" s="16"/>
      <c r="CVD42" s="16"/>
      <c r="CVE42" s="16"/>
      <c r="CVF42" s="16"/>
      <c r="CVG42" s="16"/>
      <c r="CVH42" s="16"/>
      <c r="CVI42" s="16"/>
      <c r="CVJ42" s="16"/>
      <c r="CVK42" s="16"/>
      <c r="CVL42" s="16"/>
      <c r="CVM42" s="16"/>
      <c r="CVN42" s="16"/>
      <c r="CVO42" s="16"/>
      <c r="CVP42" s="16"/>
      <c r="CVQ42" s="16"/>
      <c r="CVR42" s="16"/>
      <c r="CVS42" s="16"/>
      <c r="CVT42" s="16"/>
      <c r="CVU42" s="16"/>
      <c r="CVV42" s="16"/>
      <c r="CVW42" s="16"/>
      <c r="CVX42" s="16"/>
      <c r="CVY42" s="16"/>
      <c r="CVZ42" s="16"/>
      <c r="CWA42" s="16"/>
      <c r="CWB42" s="16"/>
      <c r="CWC42" s="16"/>
      <c r="CWD42" s="16"/>
      <c r="CWE42" s="16"/>
      <c r="CWF42" s="16"/>
      <c r="CWG42" s="16"/>
      <c r="CWH42" s="16"/>
      <c r="CWI42" s="16"/>
      <c r="CWJ42" s="16"/>
      <c r="CWK42" s="16"/>
      <c r="CWL42" s="16"/>
      <c r="CWM42" s="16"/>
      <c r="CWN42" s="16"/>
      <c r="CWO42" s="16"/>
      <c r="CWP42" s="16"/>
      <c r="CWQ42" s="16"/>
      <c r="CWR42" s="16"/>
      <c r="CWS42" s="16"/>
      <c r="CWT42" s="16"/>
      <c r="CWU42" s="16"/>
      <c r="CWV42" s="16"/>
      <c r="CWW42" s="16"/>
      <c r="CWX42" s="16"/>
      <c r="CWY42" s="16"/>
      <c r="CWZ42" s="16"/>
      <c r="CXA42" s="16"/>
      <c r="CXB42" s="16"/>
      <c r="CXC42" s="16"/>
      <c r="CXD42" s="16"/>
      <c r="CXE42" s="16"/>
      <c r="CXF42" s="16"/>
      <c r="CXG42" s="16"/>
      <c r="CXH42" s="16"/>
      <c r="CXI42" s="16"/>
      <c r="CXJ42" s="16"/>
      <c r="CXK42" s="16"/>
      <c r="CXL42" s="16"/>
      <c r="CXM42" s="16"/>
      <c r="CXN42" s="16"/>
      <c r="CXO42" s="16"/>
      <c r="CXP42" s="16"/>
      <c r="CXQ42" s="16"/>
      <c r="CXR42" s="16"/>
      <c r="CXS42" s="16"/>
      <c r="CXT42" s="16"/>
      <c r="CXU42" s="16"/>
      <c r="CXV42" s="16"/>
      <c r="CXW42" s="16"/>
      <c r="CXX42" s="16"/>
      <c r="CXY42" s="16"/>
      <c r="CXZ42" s="16"/>
      <c r="CYA42" s="16"/>
      <c r="CYB42" s="16"/>
      <c r="CYC42" s="16"/>
      <c r="CYD42" s="16"/>
      <c r="CYE42" s="16"/>
      <c r="CYF42" s="16"/>
      <c r="CYG42" s="16"/>
      <c r="CYH42" s="16"/>
      <c r="CYI42" s="16"/>
      <c r="CYJ42" s="16"/>
      <c r="CYK42" s="16"/>
      <c r="CYL42" s="16"/>
      <c r="CYM42" s="16"/>
      <c r="CYN42" s="16"/>
      <c r="CYO42" s="16"/>
      <c r="CYP42" s="16"/>
      <c r="CYQ42" s="16"/>
      <c r="CYR42" s="16"/>
      <c r="CYS42" s="16"/>
      <c r="CYT42" s="16"/>
      <c r="CYU42" s="16"/>
      <c r="CYV42" s="16"/>
      <c r="CYW42" s="16"/>
      <c r="CYX42" s="16"/>
      <c r="CYY42" s="16"/>
      <c r="CYZ42" s="16"/>
      <c r="CZA42" s="16"/>
      <c r="CZB42" s="16"/>
      <c r="CZC42" s="16"/>
      <c r="CZD42" s="16"/>
      <c r="CZE42" s="16"/>
      <c r="CZF42" s="16"/>
      <c r="CZG42" s="16"/>
      <c r="CZH42" s="16"/>
      <c r="CZI42" s="16"/>
      <c r="CZJ42" s="16"/>
      <c r="CZK42" s="16"/>
      <c r="CZL42" s="16"/>
      <c r="CZM42" s="16"/>
      <c r="CZN42" s="16"/>
      <c r="CZO42" s="16"/>
      <c r="CZP42" s="16"/>
      <c r="CZQ42" s="16"/>
      <c r="CZR42" s="16"/>
      <c r="CZS42" s="16"/>
      <c r="CZT42" s="16"/>
      <c r="CZU42" s="16"/>
      <c r="CZV42" s="16"/>
      <c r="CZW42" s="16"/>
      <c r="CZX42" s="16"/>
      <c r="CZY42" s="16"/>
      <c r="CZZ42" s="16"/>
      <c r="DAA42" s="16"/>
      <c r="DAB42" s="16"/>
      <c r="DAC42" s="16"/>
      <c r="DAD42" s="16"/>
      <c r="DAE42" s="16"/>
      <c r="DAF42" s="16"/>
      <c r="DAG42" s="16"/>
      <c r="DAH42" s="16"/>
      <c r="DAI42" s="16"/>
      <c r="DAJ42" s="16"/>
      <c r="DAK42" s="16"/>
      <c r="DAL42" s="16"/>
      <c r="DAM42" s="16"/>
      <c r="DAN42" s="16"/>
      <c r="DAO42" s="16"/>
      <c r="DAP42" s="16"/>
      <c r="DAQ42" s="16"/>
      <c r="DAR42" s="16"/>
      <c r="DAS42" s="16"/>
      <c r="DAT42" s="16"/>
      <c r="DAU42" s="16"/>
      <c r="DAV42" s="16"/>
      <c r="DAW42" s="16"/>
      <c r="DAX42" s="16"/>
      <c r="DAY42" s="16"/>
      <c r="DAZ42" s="16"/>
      <c r="DBA42" s="16"/>
      <c r="DBB42" s="16"/>
      <c r="DBC42" s="16"/>
      <c r="DBD42" s="16"/>
      <c r="DBE42" s="16"/>
      <c r="DBF42" s="16"/>
      <c r="DBG42" s="16"/>
      <c r="DBH42" s="16"/>
      <c r="DBI42" s="16"/>
      <c r="DBJ42" s="16"/>
      <c r="DBK42" s="16"/>
      <c r="DBL42" s="16"/>
      <c r="DBM42" s="16"/>
      <c r="DBN42" s="16"/>
      <c r="DBO42" s="16"/>
      <c r="DBP42" s="16"/>
      <c r="DBQ42" s="16"/>
      <c r="DBR42" s="16"/>
      <c r="DBS42" s="16"/>
      <c r="DBT42" s="16"/>
      <c r="DBU42" s="16"/>
      <c r="DBV42" s="16"/>
      <c r="DBW42" s="16"/>
      <c r="DBX42" s="16"/>
      <c r="DBY42" s="16"/>
      <c r="DBZ42" s="16"/>
      <c r="DCA42" s="16"/>
      <c r="DCB42" s="16"/>
      <c r="DCC42" s="16"/>
      <c r="DCD42" s="16"/>
      <c r="DCE42" s="16"/>
      <c r="DCF42" s="16"/>
      <c r="DCG42" s="16"/>
      <c r="DCH42" s="16"/>
      <c r="DCI42" s="16"/>
      <c r="DCJ42" s="16"/>
      <c r="DCK42" s="16"/>
      <c r="DCL42" s="16"/>
      <c r="DCM42" s="16"/>
      <c r="DCN42" s="16"/>
      <c r="DCO42" s="16"/>
      <c r="DCP42" s="16"/>
      <c r="DCQ42" s="16"/>
      <c r="DCR42" s="16"/>
      <c r="DCS42" s="16"/>
      <c r="DCT42" s="16"/>
      <c r="DCU42" s="16"/>
      <c r="DCV42" s="16"/>
      <c r="DCW42" s="16"/>
      <c r="DCX42" s="16"/>
      <c r="DCY42" s="16"/>
      <c r="DCZ42" s="16"/>
      <c r="DDA42" s="16"/>
      <c r="DDB42" s="16"/>
      <c r="DDC42" s="16"/>
      <c r="DDD42" s="16"/>
      <c r="DDE42" s="16"/>
      <c r="DDF42" s="16"/>
      <c r="DDG42" s="16"/>
      <c r="DDH42" s="16"/>
      <c r="DDI42" s="16"/>
      <c r="DDJ42" s="16"/>
      <c r="DDK42" s="16"/>
      <c r="DDL42" s="16"/>
      <c r="DDM42" s="16"/>
      <c r="DDN42" s="16"/>
      <c r="DDO42" s="16"/>
      <c r="DDP42" s="16"/>
      <c r="DDQ42" s="16"/>
      <c r="DDR42" s="16"/>
      <c r="DDS42" s="16"/>
      <c r="DDT42" s="16"/>
      <c r="DDU42" s="16"/>
      <c r="DDV42" s="16"/>
      <c r="DDW42" s="16"/>
      <c r="DDX42" s="16"/>
      <c r="DDY42" s="16"/>
      <c r="DDZ42" s="16"/>
      <c r="DEA42" s="16"/>
      <c r="DEB42" s="16"/>
      <c r="DEC42" s="16"/>
      <c r="DED42" s="16"/>
      <c r="DEE42" s="16"/>
      <c r="DEF42" s="16"/>
      <c r="DEG42" s="16"/>
      <c r="DEH42" s="16"/>
      <c r="DEI42" s="16"/>
      <c r="DEJ42" s="16"/>
      <c r="DEK42" s="16"/>
      <c r="DEL42" s="16"/>
      <c r="DEM42" s="16"/>
      <c r="DEN42" s="16"/>
      <c r="DEO42" s="16"/>
      <c r="DEP42" s="16"/>
      <c r="DEQ42" s="16"/>
      <c r="DER42" s="16"/>
      <c r="DES42" s="16"/>
      <c r="DET42" s="16"/>
      <c r="DEU42" s="16"/>
      <c r="DEV42" s="16"/>
      <c r="DEW42" s="16"/>
      <c r="DEX42" s="16"/>
      <c r="DEY42" s="16"/>
      <c r="DEZ42" s="16"/>
      <c r="DFA42" s="16"/>
      <c r="DFB42" s="16"/>
      <c r="DFC42" s="16"/>
      <c r="DFD42" s="16"/>
      <c r="DFE42" s="16"/>
      <c r="DFF42" s="16"/>
      <c r="DFG42" s="16"/>
      <c r="DFH42" s="16"/>
      <c r="DFI42" s="16"/>
      <c r="DFJ42" s="16"/>
      <c r="DFK42" s="16"/>
      <c r="DFL42" s="16"/>
      <c r="DFM42" s="16"/>
      <c r="DFN42" s="16"/>
      <c r="DFO42" s="16"/>
      <c r="DFP42" s="16"/>
      <c r="DFQ42" s="16"/>
      <c r="DFR42" s="16"/>
      <c r="DFS42" s="16"/>
      <c r="DFT42" s="16"/>
      <c r="DFU42" s="16"/>
      <c r="DFV42" s="16"/>
      <c r="DFW42" s="16"/>
      <c r="DFX42" s="16"/>
      <c r="DFY42" s="16"/>
      <c r="DFZ42" s="16"/>
      <c r="DGA42" s="16"/>
      <c r="DGB42" s="16"/>
      <c r="DGC42" s="16"/>
      <c r="DGD42" s="16"/>
      <c r="DGE42" s="16"/>
      <c r="DGF42" s="16"/>
      <c r="DGG42" s="16"/>
      <c r="DGH42" s="16"/>
      <c r="DGI42" s="16"/>
      <c r="DGJ42" s="16"/>
      <c r="DGK42" s="16"/>
      <c r="DGL42" s="16"/>
      <c r="DGM42" s="16"/>
      <c r="DGN42" s="16"/>
      <c r="DGO42" s="16"/>
      <c r="DGP42" s="16"/>
      <c r="DGQ42" s="16"/>
      <c r="DGR42" s="16"/>
      <c r="DGS42" s="16"/>
      <c r="DGT42" s="16"/>
      <c r="DGU42" s="16"/>
      <c r="DGV42" s="16"/>
      <c r="DGW42" s="16"/>
      <c r="DGX42" s="16"/>
      <c r="DGY42" s="16"/>
      <c r="DGZ42" s="16"/>
      <c r="DHA42" s="16"/>
      <c r="DHB42" s="16"/>
      <c r="DHC42" s="16"/>
      <c r="DHD42" s="16"/>
      <c r="DHE42" s="16"/>
      <c r="DHF42" s="16"/>
      <c r="DHG42" s="16"/>
      <c r="DHH42" s="16"/>
      <c r="DHI42" s="16"/>
      <c r="DHJ42" s="16"/>
      <c r="DHK42" s="16"/>
      <c r="DHL42" s="16"/>
      <c r="DHM42" s="16"/>
      <c r="DHN42" s="16"/>
      <c r="DHO42" s="16"/>
      <c r="DHP42" s="16"/>
      <c r="DHQ42" s="16"/>
      <c r="DHR42" s="16"/>
      <c r="DHS42" s="16"/>
      <c r="DHT42" s="16"/>
      <c r="DHU42" s="16"/>
      <c r="DHV42" s="16"/>
      <c r="DHW42" s="16"/>
      <c r="DHX42" s="16"/>
      <c r="DHY42" s="16"/>
      <c r="DHZ42" s="16"/>
      <c r="DIA42" s="16"/>
      <c r="DIB42" s="16"/>
      <c r="DIC42" s="16"/>
      <c r="DID42" s="16"/>
      <c r="DIE42" s="16"/>
      <c r="DIF42" s="16"/>
      <c r="DIG42" s="16"/>
      <c r="DIH42" s="16"/>
      <c r="DII42" s="16"/>
      <c r="DIJ42" s="16"/>
      <c r="DIK42" s="16"/>
      <c r="DIL42" s="16"/>
      <c r="DIM42" s="16"/>
      <c r="DIN42" s="16"/>
      <c r="DIO42" s="16"/>
      <c r="DIP42" s="16"/>
      <c r="DIQ42" s="16"/>
      <c r="DIR42" s="16"/>
      <c r="DIS42" s="16"/>
      <c r="DIT42" s="16"/>
      <c r="DIU42" s="16"/>
      <c r="DIV42" s="16"/>
      <c r="DIW42" s="16"/>
      <c r="DIX42" s="16"/>
      <c r="DIY42" s="16"/>
      <c r="DIZ42" s="16"/>
      <c r="DJA42" s="16"/>
      <c r="DJB42" s="16"/>
      <c r="DJC42" s="16"/>
      <c r="DJD42" s="16"/>
      <c r="DJE42" s="16"/>
      <c r="DJF42" s="16"/>
      <c r="DJG42" s="16"/>
      <c r="DJH42" s="16"/>
      <c r="DJI42" s="16"/>
      <c r="DJJ42" s="16"/>
      <c r="DJK42" s="16"/>
      <c r="DJL42" s="16"/>
      <c r="DJM42" s="16"/>
      <c r="DJN42" s="16"/>
      <c r="DJO42" s="16"/>
      <c r="DJP42" s="16"/>
      <c r="DJQ42" s="16"/>
      <c r="DJR42" s="16"/>
      <c r="DJS42" s="16"/>
      <c r="DJT42" s="16"/>
      <c r="DJU42" s="16"/>
      <c r="DJV42" s="16"/>
      <c r="DJW42" s="16"/>
      <c r="DJX42" s="16"/>
      <c r="DJY42" s="16"/>
      <c r="DJZ42" s="16"/>
      <c r="DKA42" s="16"/>
      <c r="DKB42" s="16"/>
      <c r="DKC42" s="16"/>
      <c r="DKD42" s="16"/>
      <c r="DKE42" s="16"/>
      <c r="DKF42" s="16"/>
      <c r="DKG42" s="16"/>
      <c r="DKH42" s="16"/>
      <c r="DKI42" s="16"/>
      <c r="DKJ42" s="16"/>
      <c r="DKK42" s="16"/>
      <c r="DKL42" s="16"/>
      <c r="DKM42" s="16"/>
      <c r="DKN42" s="16"/>
      <c r="DKO42" s="16"/>
      <c r="DKP42" s="16"/>
      <c r="DKQ42" s="16"/>
      <c r="DKR42" s="16"/>
      <c r="DKS42" s="16"/>
      <c r="DKT42" s="16"/>
      <c r="DKU42" s="16"/>
      <c r="DKV42" s="16"/>
      <c r="DKW42" s="16"/>
      <c r="DKX42" s="16"/>
      <c r="DKY42" s="16"/>
      <c r="DKZ42" s="16"/>
      <c r="DLA42" s="16"/>
      <c r="DLB42" s="16"/>
      <c r="DLC42" s="16"/>
      <c r="DLD42" s="16"/>
      <c r="DLE42" s="16"/>
      <c r="DLF42" s="16"/>
      <c r="DLG42" s="16"/>
      <c r="DLH42" s="16"/>
      <c r="DLI42" s="16"/>
      <c r="DLJ42" s="16"/>
      <c r="DLK42" s="16"/>
      <c r="DLL42" s="16"/>
      <c r="DLM42" s="16"/>
      <c r="DLN42" s="16"/>
      <c r="DLO42" s="16"/>
      <c r="DLP42" s="16"/>
      <c r="DLQ42" s="16"/>
      <c r="DLR42" s="16"/>
      <c r="DLS42" s="16"/>
      <c r="DLT42" s="16"/>
      <c r="DLU42" s="16"/>
      <c r="DLV42" s="16"/>
      <c r="DLW42" s="16"/>
      <c r="DLX42" s="16"/>
      <c r="DLY42" s="16"/>
      <c r="DLZ42" s="16"/>
      <c r="DMA42" s="16"/>
      <c r="DMB42" s="16"/>
      <c r="DMC42" s="16"/>
      <c r="DMD42" s="16"/>
      <c r="DME42" s="16"/>
      <c r="DMF42" s="16"/>
      <c r="DMG42" s="16"/>
      <c r="DMH42" s="16"/>
      <c r="DMI42" s="16"/>
      <c r="DMJ42" s="16"/>
      <c r="DMK42" s="16"/>
      <c r="DML42" s="16"/>
      <c r="DMM42" s="16"/>
      <c r="DMN42" s="16"/>
      <c r="DMO42" s="16"/>
      <c r="DMP42" s="16"/>
      <c r="DMQ42" s="16"/>
      <c r="DMR42" s="16"/>
      <c r="DMS42" s="16"/>
      <c r="DMT42" s="16"/>
      <c r="DMU42" s="16"/>
      <c r="DMV42" s="16"/>
      <c r="DMW42" s="16"/>
      <c r="DMX42" s="16"/>
      <c r="DMY42" s="16"/>
      <c r="DMZ42" s="16"/>
      <c r="DNA42" s="16"/>
      <c r="DNB42" s="16"/>
      <c r="DNC42" s="16"/>
      <c r="DND42" s="16"/>
      <c r="DNE42" s="16"/>
      <c r="DNF42" s="16"/>
      <c r="DNG42" s="16"/>
      <c r="DNH42" s="16"/>
      <c r="DNI42" s="16"/>
      <c r="DNJ42" s="16"/>
      <c r="DNK42" s="16"/>
      <c r="DNL42" s="16"/>
      <c r="DNM42" s="16"/>
      <c r="DNN42" s="16"/>
      <c r="DNO42" s="16"/>
      <c r="DNP42" s="16"/>
      <c r="DNQ42" s="16"/>
      <c r="DNR42" s="16"/>
      <c r="DNS42" s="16"/>
      <c r="DNT42" s="16"/>
      <c r="DNU42" s="16"/>
      <c r="DNV42" s="16"/>
      <c r="DNW42" s="16"/>
      <c r="DNX42" s="16"/>
      <c r="DNY42" s="16"/>
      <c r="DNZ42" s="16"/>
      <c r="DOA42" s="16"/>
      <c r="DOB42" s="16"/>
      <c r="DOC42" s="16"/>
      <c r="DOD42" s="16"/>
      <c r="DOE42" s="16"/>
      <c r="DOF42" s="16"/>
      <c r="DOG42" s="16"/>
      <c r="DOH42" s="16"/>
      <c r="DOI42" s="16"/>
      <c r="DOJ42" s="16"/>
      <c r="DOK42" s="16"/>
      <c r="DOL42" s="16"/>
      <c r="DOM42" s="16"/>
      <c r="DON42" s="16"/>
      <c r="DOO42" s="16"/>
      <c r="DOP42" s="16"/>
      <c r="DOQ42" s="16"/>
      <c r="DOR42" s="16"/>
      <c r="DOS42" s="16"/>
      <c r="DOT42" s="16"/>
      <c r="DOU42" s="16"/>
      <c r="DOV42" s="16"/>
      <c r="DOW42" s="16"/>
      <c r="DOX42" s="16"/>
      <c r="DOY42" s="16"/>
      <c r="DOZ42" s="16"/>
      <c r="DPA42" s="16"/>
      <c r="DPB42" s="16"/>
      <c r="DPC42" s="16"/>
      <c r="DPD42" s="16"/>
      <c r="DPE42" s="16"/>
      <c r="DPF42" s="16"/>
      <c r="DPG42" s="16"/>
      <c r="DPH42" s="16"/>
      <c r="DPI42" s="16"/>
      <c r="DPJ42" s="16"/>
      <c r="DPK42" s="16"/>
      <c r="DPL42" s="16"/>
      <c r="DPM42" s="16"/>
      <c r="DPN42" s="16"/>
      <c r="DPO42" s="16"/>
      <c r="DPP42" s="16"/>
      <c r="DPQ42" s="16"/>
      <c r="DPR42" s="16"/>
      <c r="DPS42" s="16"/>
      <c r="DPT42" s="16"/>
      <c r="DPU42" s="16"/>
      <c r="DPV42" s="16"/>
      <c r="DPW42" s="16"/>
      <c r="DPX42" s="16"/>
      <c r="DPY42" s="16"/>
      <c r="DPZ42" s="16"/>
      <c r="DQA42" s="16"/>
      <c r="DQB42" s="16"/>
      <c r="DQC42" s="16"/>
      <c r="DQD42" s="16"/>
      <c r="DQE42" s="16"/>
      <c r="DQF42" s="16"/>
      <c r="DQG42" s="16"/>
      <c r="DQH42" s="16"/>
      <c r="DQI42" s="16"/>
      <c r="DQJ42" s="16"/>
      <c r="DQK42" s="16"/>
      <c r="DQL42" s="16"/>
      <c r="DQM42" s="16"/>
      <c r="DQN42" s="16"/>
      <c r="DQO42" s="16"/>
      <c r="DQP42" s="16"/>
      <c r="DQQ42" s="16"/>
      <c r="DQR42" s="16"/>
      <c r="DQS42" s="16"/>
      <c r="DQT42" s="16"/>
      <c r="DQU42" s="16"/>
      <c r="DQV42" s="16"/>
      <c r="DQW42" s="16"/>
      <c r="DQX42" s="16"/>
      <c r="DQY42" s="16"/>
      <c r="DQZ42" s="16"/>
      <c r="DRA42" s="16"/>
      <c r="DRB42" s="16"/>
      <c r="DRC42" s="16"/>
      <c r="DRD42" s="16"/>
      <c r="DRE42" s="16"/>
      <c r="DRF42" s="16"/>
      <c r="DRG42" s="16"/>
      <c r="DRH42" s="16"/>
      <c r="DRI42" s="16"/>
      <c r="DRJ42" s="16"/>
      <c r="DRK42" s="16"/>
      <c r="DRL42" s="16"/>
      <c r="DRM42" s="16"/>
      <c r="DRN42" s="16"/>
      <c r="DRO42" s="16"/>
      <c r="DRP42" s="16"/>
      <c r="DRQ42" s="16"/>
      <c r="DRR42" s="16"/>
      <c r="DRS42" s="16"/>
      <c r="DRT42" s="16"/>
      <c r="DRU42" s="16"/>
      <c r="DRV42" s="16"/>
      <c r="DRW42" s="16"/>
      <c r="DRX42" s="16"/>
      <c r="DRY42" s="16"/>
      <c r="DRZ42" s="16"/>
      <c r="DSA42" s="16"/>
      <c r="DSB42" s="16"/>
      <c r="DSC42" s="16"/>
      <c r="DSD42" s="16"/>
      <c r="DSE42" s="16"/>
      <c r="DSF42" s="16"/>
      <c r="DSG42" s="16"/>
      <c r="DSH42" s="16"/>
      <c r="DSI42" s="16"/>
      <c r="DSJ42" s="16"/>
      <c r="DSK42" s="16"/>
      <c r="DSL42" s="16"/>
      <c r="DSM42" s="16"/>
      <c r="DSN42" s="16"/>
      <c r="DSO42" s="16"/>
      <c r="DSP42" s="16"/>
      <c r="DSQ42" s="16"/>
      <c r="DSR42" s="16"/>
      <c r="DSS42" s="16"/>
      <c r="DST42" s="16"/>
      <c r="DSU42" s="16"/>
      <c r="DSV42" s="16"/>
      <c r="DSW42" s="16"/>
      <c r="DSX42" s="16"/>
      <c r="DSY42" s="16"/>
      <c r="DSZ42" s="16"/>
      <c r="DTA42" s="16"/>
      <c r="DTB42" s="16"/>
      <c r="DTC42" s="16"/>
      <c r="DTD42" s="16"/>
      <c r="DTE42" s="16"/>
      <c r="DTF42" s="16"/>
      <c r="DTG42" s="16"/>
      <c r="DTH42" s="16"/>
      <c r="DTI42" s="16"/>
      <c r="DTJ42" s="16"/>
      <c r="DTK42" s="16"/>
      <c r="DTL42" s="16"/>
      <c r="DTM42" s="16"/>
      <c r="DTN42" s="16"/>
      <c r="DTO42" s="16"/>
      <c r="DTP42" s="16"/>
      <c r="DTQ42" s="16"/>
      <c r="DTR42" s="16"/>
      <c r="DTS42" s="16"/>
      <c r="DTT42" s="16"/>
      <c r="DTU42" s="16"/>
      <c r="DTV42" s="16"/>
      <c r="DTW42" s="16"/>
      <c r="DTX42" s="16"/>
      <c r="DTY42" s="16"/>
      <c r="DTZ42" s="16"/>
      <c r="DUA42" s="16"/>
      <c r="DUB42" s="16"/>
      <c r="DUC42" s="16"/>
      <c r="DUD42" s="16"/>
      <c r="DUE42" s="16"/>
      <c r="DUF42" s="16"/>
      <c r="DUG42" s="16"/>
      <c r="DUH42" s="16"/>
      <c r="DUI42" s="16"/>
      <c r="DUJ42" s="16"/>
      <c r="DUK42" s="16"/>
      <c r="DUL42" s="16"/>
      <c r="DUM42" s="16"/>
      <c r="DUN42" s="16"/>
      <c r="DUO42" s="16"/>
      <c r="DUP42" s="16"/>
      <c r="DUQ42" s="16"/>
      <c r="DUR42" s="16"/>
      <c r="DUS42" s="16"/>
      <c r="DUT42" s="16"/>
      <c r="DUU42" s="16"/>
      <c r="DUV42" s="16"/>
      <c r="DUW42" s="16"/>
      <c r="DUX42" s="16"/>
      <c r="DUY42" s="16"/>
      <c r="DUZ42" s="16"/>
      <c r="DVA42" s="16"/>
      <c r="DVB42" s="16"/>
      <c r="DVC42" s="16"/>
      <c r="DVD42" s="16"/>
      <c r="DVE42" s="16"/>
      <c r="DVF42" s="16"/>
      <c r="DVG42" s="16"/>
      <c r="DVH42" s="16"/>
      <c r="DVI42" s="16"/>
      <c r="DVJ42" s="16"/>
      <c r="DVK42" s="16"/>
      <c r="DVL42" s="16"/>
      <c r="DVM42" s="16"/>
      <c r="DVN42" s="16"/>
      <c r="DVO42" s="16"/>
      <c r="DVP42" s="16"/>
      <c r="DVQ42" s="16"/>
      <c r="DVR42" s="16"/>
      <c r="DVS42" s="16"/>
      <c r="DVT42" s="16"/>
      <c r="DVU42" s="16"/>
      <c r="DVV42" s="16"/>
      <c r="DVW42" s="16"/>
      <c r="DVX42" s="16"/>
      <c r="DVY42" s="16"/>
      <c r="DVZ42" s="16"/>
      <c r="DWA42" s="16"/>
      <c r="DWB42" s="16"/>
      <c r="DWC42" s="16"/>
      <c r="DWD42" s="16"/>
      <c r="DWE42" s="16"/>
      <c r="DWF42" s="16"/>
      <c r="DWG42" s="16"/>
      <c r="DWH42" s="16"/>
      <c r="DWI42" s="16"/>
      <c r="DWJ42" s="16"/>
      <c r="DWK42" s="16"/>
      <c r="DWL42" s="16"/>
      <c r="DWM42" s="16"/>
      <c r="DWN42" s="16"/>
      <c r="DWO42" s="16"/>
      <c r="DWP42" s="16"/>
      <c r="DWQ42" s="16"/>
      <c r="DWR42" s="16"/>
      <c r="DWS42" s="16"/>
      <c r="DWT42" s="16"/>
      <c r="DWU42" s="16"/>
      <c r="DWV42" s="16"/>
      <c r="DWW42" s="16"/>
      <c r="DWX42" s="16"/>
      <c r="DWY42" s="16"/>
      <c r="DWZ42" s="16"/>
      <c r="DXA42" s="16"/>
      <c r="DXB42" s="16"/>
      <c r="DXC42" s="16"/>
      <c r="DXD42" s="16"/>
      <c r="DXE42" s="16"/>
      <c r="DXF42" s="16"/>
      <c r="DXG42" s="16"/>
      <c r="DXH42" s="16"/>
      <c r="DXI42" s="16"/>
      <c r="DXJ42" s="16"/>
      <c r="DXK42" s="16"/>
      <c r="DXL42" s="16"/>
      <c r="DXM42" s="16"/>
      <c r="DXN42" s="16"/>
      <c r="DXO42" s="16"/>
      <c r="DXP42" s="16"/>
      <c r="DXQ42" s="16"/>
      <c r="DXR42" s="16"/>
      <c r="DXS42" s="16"/>
      <c r="DXT42" s="16"/>
      <c r="DXU42" s="16"/>
      <c r="DXV42" s="16"/>
      <c r="DXW42" s="16"/>
      <c r="DXX42" s="16"/>
      <c r="DXY42" s="16"/>
      <c r="DXZ42" s="16"/>
      <c r="DYA42" s="16"/>
      <c r="DYB42" s="16"/>
      <c r="DYC42" s="16"/>
      <c r="DYD42" s="16"/>
      <c r="DYE42" s="16"/>
      <c r="DYF42" s="16"/>
      <c r="DYG42" s="16"/>
      <c r="DYH42" s="16"/>
      <c r="DYI42" s="16"/>
      <c r="DYJ42" s="16"/>
      <c r="DYK42" s="16"/>
      <c r="DYL42" s="16"/>
      <c r="DYM42" s="16"/>
      <c r="DYN42" s="16"/>
      <c r="DYO42" s="16"/>
      <c r="DYP42" s="16"/>
      <c r="DYQ42" s="16"/>
      <c r="DYR42" s="16"/>
      <c r="DYS42" s="16"/>
      <c r="DYT42" s="16"/>
      <c r="DYU42" s="16"/>
      <c r="DYV42" s="16"/>
      <c r="DYW42" s="16"/>
      <c r="DYX42" s="16"/>
      <c r="DYY42" s="16"/>
      <c r="DYZ42" s="16"/>
      <c r="DZA42" s="16"/>
      <c r="DZB42" s="16"/>
      <c r="DZC42" s="16"/>
      <c r="DZD42" s="16"/>
      <c r="DZE42" s="16"/>
      <c r="DZF42" s="16"/>
      <c r="DZG42" s="16"/>
      <c r="DZH42" s="16"/>
      <c r="DZI42" s="16"/>
      <c r="DZJ42" s="16"/>
      <c r="DZK42" s="16"/>
      <c r="DZL42" s="16"/>
      <c r="DZM42" s="16"/>
      <c r="DZN42" s="16"/>
      <c r="DZO42" s="16"/>
      <c r="DZP42" s="16"/>
      <c r="DZQ42" s="16"/>
      <c r="DZR42" s="16"/>
      <c r="DZS42" s="16"/>
      <c r="DZT42" s="16"/>
      <c r="DZU42" s="16"/>
      <c r="DZV42" s="16"/>
      <c r="DZW42" s="16"/>
      <c r="DZX42" s="16"/>
      <c r="DZY42" s="16"/>
      <c r="DZZ42" s="16"/>
      <c r="EAA42" s="16"/>
      <c r="EAB42" s="16"/>
      <c r="EAC42" s="16"/>
      <c r="EAD42" s="16"/>
      <c r="EAE42" s="16"/>
      <c r="EAF42" s="16"/>
      <c r="EAG42" s="16"/>
      <c r="EAH42" s="16"/>
      <c r="EAI42" s="16"/>
      <c r="EAJ42" s="16"/>
      <c r="EAK42" s="16"/>
      <c r="EAL42" s="16"/>
      <c r="EAM42" s="16"/>
      <c r="EAN42" s="16"/>
      <c r="EAO42" s="16"/>
      <c r="EAP42" s="16"/>
      <c r="EAQ42" s="16"/>
      <c r="EAR42" s="16"/>
      <c r="EAS42" s="16"/>
      <c r="EAT42" s="16"/>
      <c r="EAU42" s="16"/>
      <c r="EAV42" s="16"/>
      <c r="EAW42" s="16"/>
      <c r="EAX42" s="16"/>
      <c r="EAY42" s="16"/>
      <c r="EAZ42" s="16"/>
      <c r="EBA42" s="16"/>
      <c r="EBB42" s="16"/>
      <c r="EBC42" s="16"/>
      <c r="EBD42" s="16"/>
      <c r="EBE42" s="16"/>
      <c r="EBF42" s="16"/>
      <c r="EBG42" s="16"/>
      <c r="EBH42" s="16"/>
      <c r="EBI42" s="16"/>
      <c r="EBJ42" s="16"/>
      <c r="EBK42" s="16"/>
      <c r="EBL42" s="16"/>
      <c r="EBM42" s="16"/>
      <c r="EBN42" s="16"/>
      <c r="EBO42" s="16"/>
      <c r="EBP42" s="16"/>
      <c r="EBQ42" s="16"/>
      <c r="EBR42" s="16"/>
      <c r="EBS42" s="16"/>
      <c r="EBT42" s="16"/>
      <c r="EBU42" s="16"/>
      <c r="EBV42" s="16"/>
      <c r="EBW42" s="16"/>
      <c r="EBX42" s="16"/>
      <c r="EBY42" s="16"/>
      <c r="EBZ42" s="16"/>
      <c r="ECA42" s="16"/>
      <c r="ECB42" s="16"/>
      <c r="ECC42" s="16"/>
      <c r="ECD42" s="16"/>
      <c r="ECE42" s="16"/>
      <c r="ECF42" s="16"/>
      <c r="ECG42" s="16"/>
      <c r="ECH42" s="16"/>
      <c r="ECI42" s="16"/>
      <c r="ECJ42" s="16"/>
      <c r="ECK42" s="16"/>
      <c r="ECL42" s="16"/>
      <c r="ECM42" s="16"/>
      <c r="ECN42" s="16"/>
      <c r="ECO42" s="16"/>
      <c r="ECP42" s="16"/>
      <c r="ECQ42" s="16"/>
      <c r="ECR42" s="16"/>
      <c r="ECS42" s="16"/>
      <c r="ECT42" s="16"/>
      <c r="ECU42" s="16"/>
      <c r="ECV42" s="16"/>
      <c r="ECW42" s="16"/>
      <c r="ECX42" s="16"/>
      <c r="ECY42" s="16"/>
      <c r="ECZ42" s="16"/>
      <c r="EDA42" s="16"/>
      <c r="EDB42" s="16"/>
      <c r="EDC42" s="16"/>
      <c r="EDD42" s="16"/>
      <c r="EDE42" s="16"/>
      <c r="EDF42" s="16"/>
      <c r="EDG42" s="16"/>
      <c r="EDH42" s="16"/>
      <c r="EDI42" s="16"/>
      <c r="EDJ42" s="16"/>
      <c r="EDK42" s="16"/>
      <c r="EDL42" s="16"/>
      <c r="EDM42" s="16"/>
      <c r="EDN42" s="16"/>
      <c r="EDO42" s="16"/>
      <c r="EDP42" s="16"/>
      <c r="EDQ42" s="16"/>
      <c r="EDR42" s="16"/>
      <c r="EDS42" s="16"/>
      <c r="EDT42" s="16"/>
      <c r="EDU42" s="16"/>
      <c r="EDV42" s="16"/>
      <c r="EDW42" s="16"/>
      <c r="EDX42" s="16"/>
      <c r="EDY42" s="16"/>
      <c r="EDZ42" s="16"/>
      <c r="EEA42" s="16"/>
      <c r="EEB42" s="16"/>
      <c r="EEC42" s="16"/>
      <c r="EED42" s="16"/>
      <c r="EEE42" s="16"/>
      <c r="EEF42" s="16"/>
      <c r="EEG42" s="16"/>
      <c r="EEH42" s="16"/>
      <c r="EEI42" s="16"/>
      <c r="EEJ42" s="16"/>
      <c r="EEK42" s="16"/>
      <c r="EEL42" s="16"/>
      <c r="EEM42" s="16"/>
      <c r="EEN42" s="16"/>
      <c r="EEO42" s="16"/>
      <c r="EEP42" s="16"/>
      <c r="EEQ42" s="16"/>
      <c r="EER42" s="16"/>
      <c r="EES42" s="16"/>
      <c r="EET42" s="16"/>
      <c r="EEU42" s="16"/>
      <c r="EEV42" s="16"/>
      <c r="EEW42" s="16"/>
      <c r="EEX42" s="16"/>
      <c r="EEY42" s="16"/>
      <c r="EEZ42" s="16"/>
      <c r="EFA42" s="16"/>
      <c r="EFB42" s="16"/>
      <c r="EFC42" s="16"/>
      <c r="EFD42" s="16"/>
      <c r="EFE42" s="16"/>
      <c r="EFF42" s="16"/>
      <c r="EFG42" s="16"/>
      <c r="EFH42" s="16"/>
      <c r="EFI42" s="16"/>
      <c r="EFJ42" s="16"/>
      <c r="EFK42" s="16"/>
      <c r="EFL42" s="16"/>
      <c r="EFM42" s="16"/>
      <c r="EFN42" s="16"/>
      <c r="EFO42" s="16"/>
      <c r="EFP42" s="16"/>
      <c r="EFQ42" s="16"/>
      <c r="EFR42" s="16"/>
      <c r="EFS42" s="16"/>
      <c r="EFT42" s="16"/>
      <c r="EFU42" s="16"/>
      <c r="EFV42" s="16"/>
      <c r="EFW42" s="16"/>
      <c r="EFX42" s="16"/>
      <c r="EFY42" s="16"/>
      <c r="EFZ42" s="16"/>
      <c r="EGA42" s="16"/>
      <c r="EGB42" s="16"/>
      <c r="EGC42" s="16"/>
      <c r="EGD42" s="16"/>
      <c r="EGE42" s="16"/>
      <c r="EGF42" s="16"/>
      <c r="EGG42" s="16"/>
      <c r="EGH42" s="16"/>
      <c r="EGI42" s="16"/>
      <c r="EGJ42" s="16"/>
      <c r="EGK42" s="16"/>
      <c r="EGL42" s="16"/>
      <c r="EGM42" s="16"/>
      <c r="EGN42" s="16"/>
      <c r="EGO42" s="16"/>
      <c r="EGP42" s="16"/>
      <c r="EGQ42" s="16"/>
      <c r="EGR42" s="16"/>
      <c r="EGS42" s="16"/>
      <c r="EGT42" s="16"/>
      <c r="EGU42" s="16"/>
      <c r="EGV42" s="16"/>
      <c r="EGW42" s="16"/>
      <c r="EGX42" s="16"/>
      <c r="EGY42" s="16"/>
      <c r="EGZ42" s="16"/>
      <c r="EHA42" s="16"/>
      <c r="EHB42" s="16"/>
      <c r="EHC42" s="16"/>
      <c r="EHD42" s="16"/>
      <c r="EHE42" s="16"/>
      <c r="EHF42" s="16"/>
      <c r="EHG42" s="16"/>
      <c r="EHH42" s="16"/>
      <c r="EHI42" s="16"/>
      <c r="EHJ42" s="16"/>
      <c r="EHK42" s="16"/>
      <c r="EHL42" s="16"/>
      <c r="EHM42" s="16"/>
      <c r="EHN42" s="16"/>
      <c r="EHO42" s="16"/>
      <c r="EHP42" s="16"/>
      <c r="EHQ42" s="16"/>
      <c r="EHR42" s="16"/>
      <c r="EHS42" s="16"/>
      <c r="EHT42" s="16"/>
      <c r="EHU42" s="16"/>
      <c r="EHV42" s="16"/>
      <c r="EHW42" s="16"/>
      <c r="EHX42" s="16"/>
      <c r="EHY42" s="16"/>
      <c r="EHZ42" s="16"/>
      <c r="EIA42" s="16"/>
      <c r="EIB42" s="16"/>
      <c r="EIC42" s="16"/>
      <c r="EID42" s="16"/>
      <c r="EIE42" s="16"/>
      <c r="EIF42" s="16"/>
      <c r="EIG42" s="16"/>
      <c r="EIH42" s="16"/>
      <c r="EII42" s="16"/>
      <c r="EIJ42" s="16"/>
      <c r="EIK42" s="16"/>
      <c r="EIL42" s="16"/>
      <c r="EIM42" s="16"/>
      <c r="EIN42" s="16"/>
      <c r="EIO42" s="16"/>
      <c r="EIP42" s="16"/>
      <c r="EIQ42" s="16"/>
      <c r="EIR42" s="16"/>
      <c r="EIS42" s="16"/>
      <c r="EIT42" s="16"/>
      <c r="EIU42" s="16"/>
      <c r="EIV42" s="16"/>
      <c r="EIW42" s="16"/>
      <c r="EIX42" s="16"/>
      <c r="EIY42" s="16"/>
      <c r="EIZ42" s="16"/>
      <c r="EJA42" s="16"/>
      <c r="EJB42" s="16"/>
      <c r="EJC42" s="16"/>
      <c r="EJD42" s="16"/>
      <c r="EJE42" s="16"/>
      <c r="EJF42" s="16"/>
      <c r="EJG42" s="16"/>
      <c r="EJH42" s="16"/>
      <c r="EJI42" s="16"/>
      <c r="EJJ42" s="16"/>
      <c r="EJK42" s="16"/>
      <c r="EJL42" s="16"/>
      <c r="EJM42" s="16"/>
      <c r="EJN42" s="16"/>
      <c r="EJO42" s="16"/>
      <c r="EJP42" s="16"/>
      <c r="EJQ42" s="16"/>
      <c r="EJR42" s="16"/>
      <c r="EJS42" s="16"/>
      <c r="EJT42" s="16"/>
      <c r="EJU42" s="16"/>
      <c r="EJV42" s="16"/>
      <c r="EJW42" s="16"/>
      <c r="EJX42" s="16"/>
      <c r="EJY42" s="16"/>
      <c r="EJZ42" s="16"/>
      <c r="EKA42" s="16"/>
      <c r="EKB42" s="16"/>
      <c r="EKC42" s="16"/>
      <c r="EKD42" s="16"/>
      <c r="EKE42" s="16"/>
      <c r="EKF42" s="16"/>
      <c r="EKG42" s="16"/>
      <c r="EKH42" s="16"/>
      <c r="EKI42" s="16"/>
      <c r="EKJ42" s="16"/>
      <c r="EKK42" s="16"/>
      <c r="EKL42" s="16"/>
      <c r="EKM42" s="16"/>
      <c r="EKN42" s="16"/>
      <c r="EKO42" s="16"/>
      <c r="EKP42" s="16"/>
      <c r="EKQ42" s="16"/>
      <c r="EKR42" s="16"/>
      <c r="EKS42" s="16"/>
      <c r="EKT42" s="16"/>
      <c r="EKU42" s="16"/>
      <c r="EKV42" s="16"/>
      <c r="EKW42" s="16"/>
      <c r="EKX42" s="16"/>
      <c r="EKY42" s="16"/>
      <c r="EKZ42" s="16"/>
      <c r="ELA42" s="16"/>
      <c r="ELB42" s="16"/>
      <c r="ELC42" s="16"/>
      <c r="ELD42" s="16"/>
      <c r="ELE42" s="16"/>
      <c r="ELF42" s="16"/>
      <c r="ELG42" s="16"/>
      <c r="ELH42" s="16"/>
      <c r="ELI42" s="16"/>
      <c r="ELJ42" s="16"/>
      <c r="ELK42" s="16"/>
      <c r="ELL42" s="16"/>
      <c r="ELM42" s="16"/>
      <c r="ELN42" s="16"/>
      <c r="ELO42" s="16"/>
      <c r="ELP42" s="16"/>
      <c r="ELQ42" s="16"/>
      <c r="ELR42" s="16"/>
      <c r="ELS42" s="16"/>
      <c r="ELT42" s="16"/>
      <c r="ELU42" s="16"/>
      <c r="ELV42" s="16"/>
      <c r="ELW42" s="16"/>
      <c r="ELX42" s="16"/>
      <c r="ELY42" s="16"/>
      <c r="ELZ42" s="16"/>
      <c r="EMA42" s="16"/>
      <c r="EMB42" s="16"/>
      <c r="EMC42" s="16"/>
      <c r="EMD42" s="16"/>
      <c r="EME42" s="16"/>
      <c r="EMF42" s="16"/>
      <c r="EMG42" s="16"/>
      <c r="EMH42" s="16"/>
      <c r="EMI42" s="16"/>
      <c r="EMJ42" s="16"/>
      <c r="EMK42" s="16"/>
      <c r="EML42" s="16"/>
      <c r="EMM42" s="16"/>
      <c r="EMN42" s="16"/>
      <c r="EMO42" s="16"/>
      <c r="EMP42" s="16"/>
      <c r="EMQ42" s="16"/>
      <c r="EMR42" s="16"/>
      <c r="EMS42" s="16"/>
      <c r="EMT42" s="16"/>
      <c r="EMU42" s="16"/>
      <c r="EMV42" s="16"/>
      <c r="EMW42" s="16"/>
      <c r="EMX42" s="16"/>
      <c r="EMY42" s="16"/>
      <c r="EMZ42" s="16"/>
      <c r="ENA42" s="16"/>
      <c r="ENB42" s="16"/>
      <c r="ENC42" s="16"/>
      <c r="END42" s="16"/>
      <c r="ENE42" s="16"/>
      <c r="ENF42" s="16"/>
      <c r="ENG42" s="16"/>
      <c r="ENH42" s="16"/>
      <c r="ENI42" s="16"/>
      <c r="ENJ42" s="16"/>
      <c r="ENK42" s="16"/>
      <c r="ENL42" s="16"/>
      <c r="ENM42" s="16"/>
      <c r="ENN42" s="16"/>
      <c r="ENO42" s="16"/>
      <c r="ENP42" s="16"/>
      <c r="ENQ42" s="16"/>
      <c r="ENR42" s="16"/>
      <c r="ENS42" s="16"/>
      <c r="ENT42" s="16"/>
      <c r="ENU42" s="16"/>
      <c r="ENV42" s="16"/>
      <c r="ENW42" s="16"/>
      <c r="ENX42" s="16"/>
      <c r="ENY42" s="16"/>
      <c r="ENZ42" s="16"/>
      <c r="EOA42" s="16"/>
      <c r="EOB42" s="16"/>
      <c r="EOC42" s="16"/>
      <c r="EOD42" s="16"/>
      <c r="EOE42" s="16"/>
      <c r="EOF42" s="16"/>
      <c r="EOG42" s="16"/>
      <c r="EOH42" s="16"/>
      <c r="EOI42" s="16"/>
      <c r="EOJ42" s="16"/>
      <c r="EOK42" s="16"/>
      <c r="EOL42" s="16"/>
      <c r="EOM42" s="16"/>
      <c r="EON42" s="16"/>
      <c r="EOO42" s="16"/>
      <c r="EOP42" s="16"/>
      <c r="EOQ42" s="16"/>
      <c r="EOR42" s="16"/>
      <c r="EOS42" s="16"/>
      <c r="EOT42" s="16"/>
      <c r="EOU42" s="16"/>
      <c r="EOV42" s="16"/>
      <c r="EOW42" s="16"/>
      <c r="EOX42" s="16"/>
      <c r="EOY42" s="16"/>
      <c r="EOZ42" s="16"/>
      <c r="EPA42" s="16"/>
      <c r="EPB42" s="16"/>
      <c r="EPC42" s="16"/>
      <c r="EPD42" s="16"/>
      <c r="EPE42" s="16"/>
      <c r="EPF42" s="16"/>
      <c r="EPG42" s="16"/>
      <c r="EPH42" s="16"/>
      <c r="EPI42" s="16"/>
      <c r="EPJ42" s="16"/>
      <c r="EPK42" s="16"/>
      <c r="EPL42" s="16"/>
      <c r="EPM42" s="16"/>
      <c r="EPN42" s="16"/>
      <c r="EPO42" s="16"/>
      <c r="EPP42" s="16"/>
      <c r="EPQ42" s="16"/>
      <c r="EPR42" s="16"/>
      <c r="EPS42" s="16"/>
      <c r="EPT42" s="16"/>
      <c r="EPU42" s="16"/>
      <c r="EPV42" s="16"/>
      <c r="EPW42" s="16"/>
      <c r="EPX42" s="16"/>
      <c r="EPY42" s="16"/>
      <c r="EPZ42" s="16"/>
      <c r="EQA42" s="16"/>
      <c r="EQB42" s="16"/>
      <c r="EQC42" s="16"/>
      <c r="EQD42" s="16"/>
      <c r="EQE42" s="16"/>
      <c r="EQF42" s="16"/>
      <c r="EQG42" s="16"/>
      <c r="EQH42" s="16"/>
      <c r="EQI42" s="16"/>
      <c r="EQJ42" s="16"/>
      <c r="EQK42" s="16"/>
      <c r="EQL42" s="16"/>
      <c r="EQM42" s="16"/>
      <c r="EQN42" s="16"/>
      <c r="EQO42" s="16"/>
      <c r="EQP42" s="16"/>
      <c r="EQQ42" s="16"/>
      <c r="EQR42" s="16"/>
      <c r="EQS42" s="16"/>
      <c r="EQT42" s="16"/>
      <c r="EQU42" s="16"/>
      <c r="EQV42" s="16"/>
      <c r="EQW42" s="16"/>
      <c r="EQX42" s="16"/>
      <c r="EQY42" s="16"/>
      <c r="EQZ42" s="16"/>
      <c r="ERA42" s="16"/>
      <c r="ERB42" s="16"/>
      <c r="ERC42" s="16"/>
      <c r="ERD42" s="16"/>
      <c r="ERE42" s="16"/>
      <c r="ERF42" s="16"/>
      <c r="ERG42" s="16"/>
      <c r="ERH42" s="16"/>
      <c r="ERI42" s="16"/>
      <c r="ERJ42" s="16"/>
      <c r="ERK42" s="16"/>
      <c r="ERL42" s="16"/>
      <c r="ERM42" s="16"/>
      <c r="ERN42" s="16"/>
      <c r="ERO42" s="16"/>
      <c r="ERP42" s="16"/>
      <c r="ERQ42" s="16"/>
      <c r="ERR42" s="16"/>
      <c r="ERS42" s="16"/>
      <c r="ERT42" s="16"/>
      <c r="ERU42" s="16"/>
      <c r="ERV42" s="16"/>
      <c r="ERW42" s="16"/>
      <c r="ERX42" s="16"/>
      <c r="ERY42" s="16"/>
      <c r="ERZ42" s="16"/>
      <c r="ESA42" s="16"/>
      <c r="ESB42" s="16"/>
      <c r="ESC42" s="16"/>
      <c r="ESD42" s="16"/>
      <c r="ESE42" s="16"/>
      <c r="ESF42" s="16"/>
      <c r="ESG42" s="16"/>
      <c r="ESH42" s="16"/>
      <c r="ESI42" s="16"/>
      <c r="ESJ42" s="16"/>
      <c r="ESK42" s="16"/>
      <c r="ESL42" s="16"/>
      <c r="ESM42" s="16"/>
      <c r="ESN42" s="16"/>
      <c r="ESO42" s="16"/>
      <c r="ESP42" s="16"/>
      <c r="ESQ42" s="16"/>
      <c r="ESR42" s="16"/>
      <c r="ESS42" s="16"/>
      <c r="EST42" s="16"/>
      <c r="ESU42" s="16"/>
      <c r="ESV42" s="16"/>
      <c r="ESW42" s="16"/>
      <c r="ESX42" s="16"/>
      <c r="ESY42" s="16"/>
      <c r="ESZ42" s="16"/>
      <c r="ETA42" s="16"/>
      <c r="ETB42" s="16"/>
      <c r="ETC42" s="16"/>
      <c r="ETD42" s="16"/>
      <c r="ETE42" s="16"/>
      <c r="ETF42" s="16"/>
      <c r="ETG42" s="16"/>
      <c r="ETH42" s="16"/>
      <c r="ETI42" s="16"/>
      <c r="ETJ42" s="16"/>
      <c r="ETK42" s="16"/>
      <c r="ETL42" s="16"/>
      <c r="ETM42" s="16"/>
      <c r="ETN42" s="16"/>
      <c r="ETO42" s="16"/>
      <c r="ETP42" s="16"/>
      <c r="ETQ42" s="16"/>
      <c r="ETR42" s="16"/>
      <c r="ETS42" s="16"/>
      <c r="ETT42" s="16"/>
      <c r="ETU42" s="16"/>
      <c r="ETV42" s="16"/>
      <c r="ETW42" s="16"/>
      <c r="ETX42" s="16"/>
      <c r="ETY42" s="16"/>
      <c r="ETZ42" s="16"/>
      <c r="EUA42" s="16"/>
      <c r="EUB42" s="16"/>
      <c r="EUC42" s="16"/>
      <c r="EUD42" s="16"/>
      <c r="EUE42" s="16"/>
      <c r="EUF42" s="16"/>
      <c r="EUG42" s="16"/>
      <c r="EUH42" s="16"/>
      <c r="EUI42" s="16"/>
      <c r="EUJ42" s="16"/>
      <c r="EUK42" s="16"/>
      <c r="EUL42" s="16"/>
      <c r="EUM42" s="16"/>
      <c r="EUN42" s="16"/>
      <c r="EUO42" s="16"/>
      <c r="EUP42" s="16"/>
      <c r="EUQ42" s="16"/>
      <c r="EUR42" s="16"/>
      <c r="EUS42" s="16"/>
      <c r="EUT42" s="16"/>
      <c r="EUU42" s="16"/>
      <c r="EUV42" s="16"/>
      <c r="EUW42" s="16"/>
      <c r="EUX42" s="16"/>
      <c r="EUY42" s="16"/>
      <c r="EUZ42" s="16"/>
      <c r="EVA42" s="16"/>
      <c r="EVB42" s="16"/>
      <c r="EVC42" s="16"/>
      <c r="EVD42" s="16"/>
      <c r="EVE42" s="16"/>
      <c r="EVF42" s="16"/>
      <c r="EVG42" s="16"/>
      <c r="EVH42" s="16"/>
      <c r="EVI42" s="16"/>
      <c r="EVJ42" s="16"/>
      <c r="EVK42" s="16"/>
      <c r="EVL42" s="16"/>
      <c r="EVM42" s="16"/>
      <c r="EVN42" s="16"/>
      <c r="EVO42" s="16"/>
      <c r="EVP42" s="16"/>
      <c r="EVQ42" s="16"/>
      <c r="EVR42" s="16"/>
      <c r="EVS42" s="16"/>
      <c r="EVT42" s="16"/>
      <c r="EVU42" s="16"/>
      <c r="EVV42" s="16"/>
      <c r="EVW42" s="16"/>
      <c r="EVX42" s="16"/>
      <c r="EVY42" s="16"/>
      <c r="EVZ42" s="16"/>
      <c r="EWA42" s="16"/>
      <c r="EWB42" s="16"/>
      <c r="EWC42" s="16"/>
      <c r="EWD42" s="16"/>
      <c r="EWE42" s="16"/>
      <c r="EWF42" s="16"/>
      <c r="EWG42" s="16"/>
      <c r="EWH42" s="16"/>
      <c r="EWI42" s="16"/>
      <c r="EWJ42" s="16"/>
      <c r="EWK42" s="16"/>
      <c r="EWL42" s="16"/>
      <c r="EWM42" s="16"/>
      <c r="EWN42" s="16"/>
      <c r="EWO42" s="16"/>
      <c r="EWP42" s="16"/>
      <c r="EWQ42" s="16"/>
      <c r="EWR42" s="16"/>
      <c r="EWS42" s="16"/>
      <c r="EWT42" s="16"/>
      <c r="EWU42" s="16"/>
      <c r="EWV42" s="16"/>
      <c r="EWW42" s="16"/>
      <c r="EWX42" s="16"/>
      <c r="EWY42" s="16"/>
      <c r="EWZ42" s="16"/>
      <c r="EXA42" s="16"/>
      <c r="EXB42" s="16"/>
      <c r="EXC42" s="16"/>
      <c r="EXD42" s="16"/>
      <c r="EXE42" s="16"/>
      <c r="EXF42" s="16"/>
      <c r="EXG42" s="16"/>
      <c r="EXH42" s="16"/>
      <c r="EXI42" s="16"/>
      <c r="EXJ42" s="16"/>
      <c r="EXK42" s="16"/>
      <c r="EXL42" s="16"/>
      <c r="EXM42" s="16"/>
      <c r="EXN42" s="16"/>
      <c r="EXO42" s="16"/>
      <c r="EXP42" s="16"/>
      <c r="EXQ42" s="16"/>
      <c r="EXR42" s="16"/>
      <c r="EXS42" s="16"/>
      <c r="EXT42" s="16"/>
      <c r="EXU42" s="16"/>
      <c r="EXV42" s="16"/>
      <c r="EXW42" s="16"/>
      <c r="EXX42" s="16"/>
      <c r="EXY42" s="16"/>
      <c r="EXZ42" s="16"/>
      <c r="EYA42" s="16"/>
      <c r="EYB42" s="16"/>
      <c r="EYC42" s="16"/>
      <c r="EYD42" s="16"/>
      <c r="EYE42" s="16"/>
      <c r="EYF42" s="16"/>
      <c r="EYG42" s="16"/>
      <c r="EYH42" s="16"/>
      <c r="EYI42" s="16"/>
      <c r="EYJ42" s="16"/>
      <c r="EYK42" s="16"/>
      <c r="EYL42" s="16"/>
      <c r="EYM42" s="16"/>
      <c r="EYN42" s="16"/>
      <c r="EYO42" s="16"/>
      <c r="EYP42" s="16"/>
      <c r="EYQ42" s="16"/>
      <c r="EYR42" s="16"/>
      <c r="EYS42" s="16"/>
      <c r="EYT42" s="16"/>
      <c r="EYU42" s="16"/>
      <c r="EYV42" s="16"/>
      <c r="EYW42" s="16"/>
      <c r="EYX42" s="16"/>
      <c r="EYY42" s="16"/>
      <c r="EYZ42" s="16"/>
      <c r="EZA42" s="16"/>
      <c r="EZB42" s="16"/>
      <c r="EZC42" s="16"/>
      <c r="EZD42" s="16"/>
      <c r="EZE42" s="16"/>
      <c r="EZF42" s="16"/>
      <c r="EZG42" s="16"/>
      <c r="EZH42" s="16"/>
      <c r="EZI42" s="16"/>
      <c r="EZJ42" s="16"/>
      <c r="EZK42" s="16"/>
      <c r="EZL42" s="16"/>
      <c r="EZM42" s="16"/>
      <c r="EZN42" s="16"/>
      <c r="EZO42" s="16"/>
      <c r="EZP42" s="16"/>
      <c r="EZQ42" s="16"/>
      <c r="EZR42" s="16"/>
      <c r="EZS42" s="16"/>
      <c r="EZT42" s="16"/>
      <c r="EZU42" s="16"/>
      <c r="EZV42" s="16"/>
      <c r="EZW42" s="16"/>
      <c r="EZX42" s="16"/>
      <c r="EZY42" s="16"/>
      <c r="EZZ42" s="16"/>
      <c r="FAA42" s="16"/>
      <c r="FAB42" s="16"/>
      <c r="FAC42" s="16"/>
      <c r="FAD42" s="16"/>
      <c r="FAE42" s="16"/>
      <c r="FAF42" s="16"/>
      <c r="FAG42" s="16"/>
      <c r="FAH42" s="16"/>
      <c r="FAI42" s="16"/>
      <c r="FAJ42" s="16"/>
      <c r="FAK42" s="16"/>
      <c r="FAL42" s="16"/>
      <c r="FAM42" s="16"/>
      <c r="FAN42" s="16"/>
      <c r="FAO42" s="16"/>
      <c r="FAP42" s="16"/>
      <c r="FAQ42" s="16"/>
      <c r="FAR42" s="16"/>
      <c r="FAS42" s="16"/>
      <c r="FAT42" s="16"/>
      <c r="FAU42" s="16"/>
      <c r="FAV42" s="16"/>
      <c r="FAW42" s="16"/>
      <c r="FAX42" s="16"/>
      <c r="FAY42" s="16"/>
      <c r="FAZ42" s="16"/>
      <c r="FBA42" s="16"/>
      <c r="FBB42" s="16"/>
      <c r="FBC42" s="16"/>
      <c r="FBD42" s="16"/>
      <c r="FBE42" s="16"/>
      <c r="FBF42" s="16"/>
      <c r="FBG42" s="16"/>
      <c r="FBH42" s="16"/>
      <c r="FBI42" s="16"/>
      <c r="FBJ42" s="16"/>
      <c r="FBK42" s="16"/>
      <c r="FBL42" s="16"/>
      <c r="FBM42" s="16"/>
      <c r="FBN42" s="16"/>
      <c r="FBO42" s="16"/>
      <c r="FBP42" s="16"/>
      <c r="FBQ42" s="16"/>
      <c r="FBR42" s="16"/>
      <c r="FBS42" s="16"/>
      <c r="FBT42" s="16"/>
      <c r="FBU42" s="16"/>
      <c r="FBV42" s="16"/>
      <c r="FBW42" s="16"/>
      <c r="FBX42" s="16"/>
      <c r="FBY42" s="16"/>
      <c r="FBZ42" s="16"/>
      <c r="FCA42" s="16"/>
      <c r="FCB42" s="16"/>
      <c r="FCC42" s="16"/>
      <c r="FCD42" s="16"/>
      <c r="FCE42" s="16"/>
      <c r="FCF42" s="16"/>
      <c r="FCG42" s="16"/>
      <c r="FCH42" s="16"/>
      <c r="FCI42" s="16"/>
      <c r="FCJ42" s="16"/>
      <c r="FCK42" s="16"/>
      <c r="FCL42" s="16"/>
      <c r="FCM42" s="16"/>
      <c r="FCN42" s="16"/>
      <c r="FCO42" s="16"/>
      <c r="FCP42" s="16"/>
      <c r="FCQ42" s="16"/>
      <c r="FCR42" s="16"/>
      <c r="FCS42" s="16"/>
      <c r="FCT42" s="16"/>
      <c r="FCU42" s="16"/>
      <c r="FCV42" s="16"/>
      <c r="FCW42" s="16"/>
      <c r="FCX42" s="16"/>
      <c r="FCY42" s="16"/>
      <c r="FCZ42" s="16"/>
      <c r="FDA42" s="16"/>
      <c r="FDB42" s="16"/>
      <c r="FDC42" s="16"/>
      <c r="FDD42" s="16"/>
      <c r="FDE42" s="16"/>
      <c r="FDF42" s="16"/>
      <c r="FDG42" s="16"/>
      <c r="FDH42" s="16"/>
      <c r="FDI42" s="16"/>
      <c r="FDJ42" s="16"/>
      <c r="FDK42" s="16"/>
      <c r="FDL42" s="16"/>
      <c r="FDM42" s="16"/>
      <c r="FDN42" s="16"/>
      <c r="FDO42" s="16"/>
      <c r="FDP42" s="16"/>
      <c r="FDQ42" s="16"/>
      <c r="FDR42" s="16"/>
      <c r="FDS42" s="16"/>
      <c r="FDT42" s="16"/>
      <c r="FDU42" s="16"/>
      <c r="FDV42" s="16"/>
      <c r="FDW42" s="16"/>
      <c r="FDX42" s="16"/>
      <c r="FDY42" s="16"/>
      <c r="FDZ42" s="16"/>
      <c r="FEA42" s="16"/>
      <c r="FEB42" s="16"/>
      <c r="FEC42" s="16"/>
      <c r="FED42" s="16"/>
      <c r="FEE42" s="16"/>
      <c r="FEF42" s="16"/>
      <c r="FEG42" s="16"/>
      <c r="FEH42" s="16"/>
      <c r="FEI42" s="16"/>
      <c r="FEJ42" s="16"/>
      <c r="FEK42" s="16"/>
      <c r="FEL42" s="16"/>
      <c r="FEM42" s="16"/>
      <c r="FEN42" s="16"/>
      <c r="FEO42" s="16"/>
      <c r="FEP42" s="16"/>
      <c r="FEQ42" s="16"/>
      <c r="FER42" s="16"/>
      <c r="FES42" s="16"/>
      <c r="FET42" s="16"/>
      <c r="FEU42" s="16"/>
      <c r="FEV42" s="16"/>
      <c r="FEW42" s="16"/>
      <c r="FEX42" s="16"/>
      <c r="FEY42" s="16"/>
      <c r="FEZ42" s="16"/>
      <c r="FFA42" s="16"/>
      <c r="FFB42" s="16"/>
      <c r="FFC42" s="16"/>
      <c r="FFD42" s="16"/>
      <c r="FFE42" s="16"/>
      <c r="FFF42" s="16"/>
      <c r="FFG42" s="16"/>
      <c r="FFH42" s="16"/>
      <c r="FFI42" s="16"/>
      <c r="FFJ42" s="16"/>
      <c r="FFK42" s="16"/>
      <c r="FFL42" s="16"/>
      <c r="FFM42" s="16"/>
      <c r="FFN42" s="16"/>
      <c r="FFO42" s="16"/>
      <c r="FFP42" s="16"/>
      <c r="FFQ42" s="16"/>
      <c r="FFR42" s="16"/>
      <c r="FFS42" s="16"/>
      <c r="FFT42" s="16"/>
      <c r="FFU42" s="16"/>
      <c r="FFV42" s="16"/>
      <c r="FFW42" s="16"/>
      <c r="FFX42" s="16"/>
      <c r="FFY42" s="16"/>
      <c r="FFZ42" s="16"/>
      <c r="FGA42" s="16"/>
      <c r="FGB42" s="16"/>
      <c r="FGC42" s="16"/>
      <c r="FGD42" s="16"/>
      <c r="FGE42" s="16"/>
      <c r="FGF42" s="16"/>
      <c r="FGG42" s="16"/>
      <c r="FGH42" s="16"/>
      <c r="FGI42" s="16"/>
      <c r="FGJ42" s="16"/>
      <c r="FGK42" s="16"/>
      <c r="FGL42" s="16"/>
      <c r="FGM42" s="16"/>
      <c r="FGN42" s="16"/>
      <c r="FGO42" s="16"/>
      <c r="FGP42" s="16"/>
      <c r="FGQ42" s="16"/>
      <c r="FGR42" s="16"/>
      <c r="FGS42" s="16"/>
      <c r="FGT42" s="16"/>
      <c r="FGU42" s="16"/>
      <c r="FGV42" s="16"/>
      <c r="FGW42" s="16"/>
      <c r="FGX42" s="16"/>
      <c r="FGY42" s="16"/>
      <c r="FGZ42" s="16"/>
      <c r="FHA42" s="16"/>
      <c r="FHB42" s="16"/>
      <c r="FHC42" s="16"/>
      <c r="FHD42" s="16"/>
      <c r="FHE42" s="16"/>
      <c r="FHF42" s="16"/>
      <c r="FHG42" s="16"/>
      <c r="FHH42" s="16"/>
      <c r="FHI42" s="16"/>
      <c r="FHJ42" s="16"/>
      <c r="FHK42" s="16"/>
      <c r="FHL42" s="16"/>
      <c r="FHM42" s="16"/>
      <c r="FHN42" s="16"/>
      <c r="FHO42" s="16"/>
      <c r="FHP42" s="16"/>
      <c r="FHQ42" s="16"/>
      <c r="FHR42" s="16"/>
      <c r="FHS42" s="16"/>
      <c r="FHT42" s="16"/>
      <c r="FHU42" s="16"/>
      <c r="FHV42" s="16"/>
      <c r="FHW42" s="16"/>
      <c r="FHX42" s="16"/>
      <c r="FHY42" s="16"/>
      <c r="FHZ42" s="16"/>
      <c r="FIA42" s="16"/>
      <c r="FIB42" s="16"/>
      <c r="FIC42" s="16"/>
      <c r="FID42" s="16"/>
      <c r="FIE42" s="16"/>
      <c r="FIF42" s="16"/>
      <c r="FIG42" s="16"/>
      <c r="FIH42" s="16"/>
      <c r="FII42" s="16"/>
      <c r="FIJ42" s="16"/>
      <c r="FIK42" s="16"/>
      <c r="FIL42" s="16"/>
      <c r="FIM42" s="16"/>
      <c r="FIN42" s="16"/>
      <c r="FIO42" s="16"/>
      <c r="FIP42" s="16"/>
      <c r="FIQ42" s="16"/>
      <c r="FIR42" s="16"/>
      <c r="FIS42" s="16"/>
      <c r="FIT42" s="16"/>
      <c r="FIU42" s="16"/>
      <c r="FIV42" s="16"/>
      <c r="FIW42" s="16"/>
      <c r="FIX42" s="16"/>
      <c r="FIY42" s="16"/>
      <c r="FIZ42" s="16"/>
      <c r="FJA42" s="16"/>
      <c r="FJB42" s="16"/>
      <c r="FJC42" s="16"/>
      <c r="FJD42" s="16"/>
      <c r="FJE42" s="16"/>
      <c r="FJF42" s="16"/>
      <c r="FJG42" s="16"/>
      <c r="FJH42" s="16"/>
      <c r="FJI42" s="16"/>
      <c r="FJJ42" s="16"/>
      <c r="FJK42" s="16"/>
      <c r="FJL42" s="16"/>
      <c r="FJM42" s="16"/>
      <c r="FJN42" s="16"/>
      <c r="FJO42" s="16"/>
      <c r="FJP42" s="16"/>
      <c r="FJQ42" s="16"/>
      <c r="FJR42" s="16"/>
      <c r="FJS42" s="16"/>
      <c r="FJT42" s="16"/>
      <c r="FJU42" s="16"/>
      <c r="FJV42" s="16"/>
      <c r="FJW42" s="16"/>
      <c r="FJX42" s="16"/>
      <c r="FJY42" s="16"/>
      <c r="FJZ42" s="16"/>
      <c r="FKA42" s="16"/>
      <c r="FKB42" s="16"/>
      <c r="FKC42" s="16"/>
      <c r="FKD42" s="16"/>
      <c r="FKE42" s="16"/>
      <c r="FKF42" s="16"/>
      <c r="FKG42" s="16"/>
      <c r="FKH42" s="16"/>
      <c r="FKI42" s="16"/>
      <c r="FKJ42" s="16"/>
      <c r="FKK42" s="16"/>
      <c r="FKL42" s="16"/>
      <c r="FKM42" s="16"/>
      <c r="FKN42" s="16"/>
      <c r="FKO42" s="16"/>
      <c r="FKP42" s="16"/>
      <c r="FKQ42" s="16"/>
      <c r="FKR42" s="16"/>
      <c r="FKS42" s="16"/>
      <c r="FKT42" s="16"/>
      <c r="FKU42" s="16"/>
      <c r="FKV42" s="16"/>
      <c r="FKW42" s="16"/>
      <c r="FKX42" s="16"/>
      <c r="FKY42" s="16"/>
      <c r="FKZ42" s="16"/>
      <c r="FLA42" s="16"/>
      <c r="FLB42" s="16"/>
      <c r="FLC42" s="16"/>
      <c r="FLD42" s="16"/>
      <c r="FLE42" s="16"/>
      <c r="FLF42" s="16"/>
      <c r="FLG42" s="16"/>
      <c r="FLH42" s="16"/>
      <c r="FLI42" s="16"/>
      <c r="FLJ42" s="16"/>
      <c r="FLK42" s="16"/>
      <c r="FLL42" s="16"/>
      <c r="FLM42" s="16"/>
      <c r="FLN42" s="16"/>
      <c r="FLO42" s="16"/>
      <c r="FLP42" s="16"/>
      <c r="FLQ42" s="16"/>
      <c r="FLR42" s="16"/>
      <c r="FLS42" s="16"/>
      <c r="FLT42" s="16"/>
      <c r="FLU42" s="16"/>
      <c r="FLV42" s="16"/>
      <c r="FLW42" s="16"/>
      <c r="FLX42" s="16"/>
      <c r="FLY42" s="16"/>
      <c r="FLZ42" s="16"/>
      <c r="FMA42" s="16"/>
      <c r="FMB42" s="16"/>
      <c r="FMC42" s="16"/>
      <c r="FMD42" s="16"/>
      <c r="FME42" s="16"/>
      <c r="FMF42" s="16"/>
      <c r="FMG42" s="16"/>
      <c r="FMH42" s="16"/>
      <c r="FMI42" s="16"/>
      <c r="FMJ42" s="16"/>
      <c r="FMK42" s="16"/>
      <c r="FML42" s="16"/>
      <c r="FMM42" s="16"/>
      <c r="FMN42" s="16"/>
      <c r="FMO42" s="16"/>
      <c r="FMP42" s="16"/>
      <c r="FMQ42" s="16"/>
      <c r="FMR42" s="16"/>
      <c r="FMS42" s="16"/>
      <c r="FMT42" s="16"/>
      <c r="FMU42" s="16"/>
      <c r="FMV42" s="16"/>
      <c r="FMW42" s="16"/>
      <c r="FMX42" s="16"/>
      <c r="FMY42" s="16"/>
      <c r="FMZ42" s="16"/>
      <c r="FNA42" s="16"/>
      <c r="FNB42" s="16"/>
      <c r="FNC42" s="16"/>
      <c r="FND42" s="16"/>
      <c r="FNE42" s="16"/>
      <c r="FNF42" s="16"/>
      <c r="FNG42" s="16"/>
      <c r="FNH42" s="16"/>
      <c r="FNI42" s="16"/>
      <c r="FNJ42" s="16"/>
      <c r="FNK42" s="16"/>
      <c r="FNL42" s="16"/>
      <c r="FNM42" s="16"/>
      <c r="FNN42" s="16"/>
      <c r="FNO42" s="16"/>
      <c r="FNP42" s="16"/>
      <c r="FNQ42" s="16"/>
      <c r="FNR42" s="16"/>
      <c r="FNS42" s="16"/>
      <c r="FNT42" s="16"/>
      <c r="FNU42" s="16"/>
      <c r="FNV42" s="16"/>
      <c r="FNW42" s="16"/>
      <c r="FNX42" s="16"/>
      <c r="FNY42" s="16"/>
      <c r="FNZ42" s="16"/>
      <c r="FOA42" s="16"/>
      <c r="FOB42" s="16"/>
      <c r="FOC42" s="16"/>
      <c r="FOD42" s="16"/>
      <c r="FOE42" s="16"/>
      <c r="FOF42" s="16"/>
      <c r="FOG42" s="16"/>
      <c r="FOH42" s="16"/>
      <c r="FOI42" s="16"/>
      <c r="FOJ42" s="16"/>
      <c r="FOK42" s="16"/>
      <c r="FOL42" s="16"/>
      <c r="FOM42" s="16"/>
      <c r="FON42" s="16"/>
      <c r="FOO42" s="16"/>
      <c r="FOP42" s="16"/>
      <c r="FOQ42" s="16"/>
      <c r="FOR42" s="16"/>
      <c r="FOS42" s="16"/>
      <c r="FOT42" s="16"/>
      <c r="FOU42" s="16"/>
      <c r="FOV42" s="16"/>
      <c r="FOW42" s="16"/>
      <c r="FOX42" s="16"/>
      <c r="FOY42" s="16"/>
      <c r="FOZ42" s="16"/>
      <c r="FPA42" s="16"/>
      <c r="FPB42" s="16"/>
      <c r="FPC42" s="16"/>
      <c r="FPD42" s="16"/>
      <c r="FPE42" s="16"/>
      <c r="FPF42" s="16"/>
      <c r="FPG42" s="16"/>
      <c r="FPH42" s="16"/>
      <c r="FPI42" s="16"/>
      <c r="FPJ42" s="16"/>
      <c r="FPK42" s="16"/>
      <c r="FPL42" s="16"/>
      <c r="FPM42" s="16"/>
      <c r="FPN42" s="16"/>
      <c r="FPO42" s="16"/>
      <c r="FPP42" s="16"/>
      <c r="FPQ42" s="16"/>
      <c r="FPR42" s="16"/>
      <c r="FPS42" s="16"/>
      <c r="FPT42" s="16"/>
      <c r="FPU42" s="16"/>
      <c r="FPV42" s="16"/>
      <c r="FPW42" s="16"/>
      <c r="FPX42" s="16"/>
      <c r="FPY42" s="16"/>
      <c r="FPZ42" s="16"/>
      <c r="FQA42" s="16"/>
      <c r="FQB42" s="16"/>
      <c r="FQC42" s="16"/>
      <c r="FQD42" s="16"/>
      <c r="FQE42" s="16"/>
      <c r="FQF42" s="16"/>
      <c r="FQG42" s="16"/>
      <c r="FQH42" s="16"/>
      <c r="FQI42" s="16"/>
      <c r="FQJ42" s="16"/>
      <c r="FQK42" s="16"/>
      <c r="FQL42" s="16"/>
      <c r="FQM42" s="16"/>
      <c r="FQN42" s="16"/>
      <c r="FQO42" s="16"/>
      <c r="FQP42" s="16"/>
      <c r="FQQ42" s="16"/>
      <c r="FQR42" s="16"/>
      <c r="FQS42" s="16"/>
      <c r="FQT42" s="16"/>
      <c r="FQU42" s="16"/>
      <c r="FQV42" s="16"/>
      <c r="FQW42" s="16"/>
      <c r="FQX42" s="16"/>
      <c r="FQY42" s="16"/>
      <c r="FQZ42" s="16"/>
      <c r="FRA42" s="16"/>
      <c r="FRB42" s="16"/>
      <c r="FRC42" s="16"/>
      <c r="FRD42" s="16"/>
      <c r="FRE42" s="16"/>
      <c r="FRF42" s="16"/>
      <c r="FRG42" s="16"/>
      <c r="FRH42" s="16"/>
      <c r="FRI42" s="16"/>
      <c r="FRJ42" s="16"/>
      <c r="FRK42" s="16"/>
      <c r="FRL42" s="16"/>
      <c r="FRM42" s="16"/>
      <c r="FRN42" s="16"/>
      <c r="FRO42" s="16"/>
      <c r="FRP42" s="16"/>
      <c r="FRQ42" s="16"/>
      <c r="FRR42" s="16"/>
      <c r="FRS42" s="16"/>
      <c r="FRT42" s="16"/>
      <c r="FRU42" s="16"/>
      <c r="FRV42" s="16"/>
      <c r="FRW42" s="16"/>
      <c r="FRX42" s="16"/>
      <c r="FRY42" s="16"/>
      <c r="FRZ42" s="16"/>
      <c r="FSA42" s="16"/>
      <c r="FSB42" s="16"/>
      <c r="FSC42" s="16"/>
      <c r="FSD42" s="16"/>
      <c r="FSE42" s="16"/>
      <c r="FSF42" s="16"/>
      <c r="FSG42" s="16"/>
      <c r="FSH42" s="16"/>
      <c r="FSI42" s="16"/>
      <c r="FSJ42" s="16"/>
      <c r="FSK42" s="16"/>
      <c r="FSL42" s="16"/>
      <c r="FSM42" s="16"/>
      <c r="FSN42" s="16"/>
      <c r="FSO42" s="16"/>
      <c r="FSP42" s="16"/>
      <c r="FSQ42" s="16"/>
      <c r="FSR42" s="16"/>
      <c r="FSS42" s="16"/>
      <c r="FST42" s="16"/>
      <c r="FSU42" s="16"/>
      <c r="FSV42" s="16"/>
      <c r="FSW42" s="16"/>
      <c r="FSX42" s="16"/>
      <c r="FSY42" s="16"/>
      <c r="FSZ42" s="16"/>
      <c r="FTA42" s="16"/>
      <c r="FTB42" s="16"/>
      <c r="FTC42" s="16"/>
      <c r="FTD42" s="16"/>
      <c r="FTE42" s="16"/>
      <c r="FTF42" s="16"/>
      <c r="FTG42" s="16"/>
      <c r="FTH42" s="16"/>
      <c r="FTI42" s="16"/>
      <c r="FTJ42" s="16"/>
      <c r="FTK42" s="16"/>
      <c r="FTL42" s="16"/>
      <c r="FTM42" s="16"/>
      <c r="FTN42" s="16"/>
      <c r="FTO42" s="16"/>
      <c r="FTP42" s="16"/>
      <c r="FTQ42" s="16"/>
      <c r="FTR42" s="16"/>
      <c r="FTS42" s="16"/>
      <c r="FTT42" s="16"/>
      <c r="FTU42" s="16"/>
      <c r="FTV42" s="16"/>
      <c r="FTW42" s="16"/>
      <c r="FTX42" s="16"/>
      <c r="FTY42" s="16"/>
      <c r="FTZ42" s="16"/>
      <c r="FUA42" s="16"/>
      <c r="FUB42" s="16"/>
      <c r="FUC42" s="16"/>
      <c r="FUD42" s="16"/>
      <c r="FUE42" s="16"/>
      <c r="FUF42" s="16"/>
      <c r="FUG42" s="16"/>
      <c r="FUH42" s="16"/>
      <c r="FUI42" s="16"/>
      <c r="FUJ42" s="16"/>
      <c r="FUK42" s="16"/>
      <c r="FUL42" s="16"/>
      <c r="FUM42" s="16"/>
      <c r="FUN42" s="16"/>
      <c r="FUO42" s="16"/>
      <c r="FUP42" s="16"/>
      <c r="FUQ42" s="16"/>
      <c r="FUR42" s="16"/>
      <c r="FUS42" s="16"/>
      <c r="FUT42" s="16"/>
      <c r="FUU42" s="16"/>
      <c r="FUV42" s="16"/>
      <c r="FUW42" s="16"/>
      <c r="FUX42" s="16"/>
      <c r="FUY42" s="16"/>
      <c r="FUZ42" s="16"/>
      <c r="FVA42" s="16"/>
      <c r="FVB42" s="16"/>
      <c r="FVC42" s="16"/>
      <c r="FVD42" s="16"/>
      <c r="FVE42" s="16"/>
      <c r="FVF42" s="16"/>
      <c r="FVG42" s="16"/>
      <c r="FVH42" s="16"/>
      <c r="FVI42" s="16"/>
      <c r="FVJ42" s="16"/>
      <c r="FVK42" s="16"/>
      <c r="FVL42" s="16"/>
      <c r="FVM42" s="16"/>
      <c r="FVN42" s="16"/>
      <c r="FVO42" s="16"/>
      <c r="FVP42" s="16"/>
      <c r="FVQ42" s="16"/>
      <c r="FVR42" s="16"/>
      <c r="FVS42" s="16"/>
      <c r="FVT42" s="16"/>
      <c r="FVU42" s="16"/>
      <c r="FVV42" s="16"/>
      <c r="FVW42" s="16"/>
      <c r="FVX42" s="16"/>
      <c r="FVY42" s="16"/>
      <c r="FVZ42" s="16"/>
      <c r="FWA42" s="16"/>
      <c r="FWB42" s="16"/>
      <c r="FWC42" s="16"/>
      <c r="FWD42" s="16"/>
      <c r="FWE42" s="16"/>
      <c r="FWF42" s="16"/>
      <c r="FWG42" s="16"/>
      <c r="FWH42" s="16"/>
      <c r="FWI42" s="16"/>
      <c r="FWJ42" s="16"/>
      <c r="FWK42" s="16"/>
      <c r="FWL42" s="16"/>
      <c r="FWM42" s="16"/>
      <c r="FWN42" s="16"/>
      <c r="FWO42" s="16"/>
      <c r="FWP42" s="16"/>
      <c r="FWQ42" s="16"/>
      <c r="FWR42" s="16"/>
      <c r="FWS42" s="16"/>
      <c r="FWT42" s="16"/>
      <c r="FWU42" s="16"/>
      <c r="FWV42" s="16"/>
      <c r="FWW42" s="16"/>
      <c r="FWX42" s="16"/>
      <c r="FWY42" s="16"/>
      <c r="FWZ42" s="16"/>
      <c r="FXA42" s="16"/>
      <c r="FXB42" s="16"/>
      <c r="FXC42" s="16"/>
      <c r="FXD42" s="16"/>
      <c r="FXE42" s="16"/>
      <c r="FXF42" s="16"/>
      <c r="FXG42" s="16"/>
      <c r="FXH42" s="16"/>
      <c r="FXI42" s="16"/>
      <c r="FXJ42" s="16"/>
      <c r="FXK42" s="16"/>
      <c r="FXL42" s="16"/>
      <c r="FXM42" s="16"/>
      <c r="FXN42" s="16"/>
      <c r="FXO42" s="16"/>
      <c r="FXP42" s="16"/>
      <c r="FXQ42" s="16"/>
      <c r="FXR42" s="16"/>
      <c r="FXS42" s="16"/>
      <c r="FXT42" s="16"/>
      <c r="FXU42" s="16"/>
      <c r="FXV42" s="16"/>
      <c r="FXW42" s="16"/>
      <c r="FXX42" s="16"/>
      <c r="FXY42" s="16"/>
      <c r="FXZ42" s="16"/>
      <c r="FYA42" s="16"/>
      <c r="FYB42" s="16"/>
      <c r="FYC42" s="16"/>
      <c r="FYD42" s="16"/>
      <c r="FYE42" s="16"/>
      <c r="FYF42" s="16"/>
      <c r="FYG42" s="16"/>
      <c r="FYH42" s="16"/>
      <c r="FYI42" s="16"/>
      <c r="FYJ42" s="16"/>
      <c r="FYK42" s="16"/>
      <c r="FYL42" s="16"/>
      <c r="FYM42" s="16"/>
      <c r="FYN42" s="16"/>
      <c r="FYO42" s="16"/>
      <c r="FYP42" s="16"/>
      <c r="FYQ42" s="16"/>
      <c r="FYR42" s="16"/>
      <c r="FYS42" s="16"/>
      <c r="FYT42" s="16"/>
      <c r="FYU42" s="16"/>
      <c r="FYV42" s="16"/>
      <c r="FYW42" s="16"/>
      <c r="FYX42" s="16"/>
      <c r="FYY42" s="16"/>
      <c r="FYZ42" s="16"/>
      <c r="FZA42" s="16"/>
      <c r="FZB42" s="16"/>
      <c r="FZC42" s="16"/>
      <c r="FZD42" s="16"/>
      <c r="FZE42" s="16"/>
      <c r="FZF42" s="16"/>
      <c r="FZG42" s="16"/>
      <c r="FZH42" s="16"/>
      <c r="FZI42" s="16"/>
      <c r="FZJ42" s="16"/>
      <c r="FZK42" s="16"/>
      <c r="FZL42" s="16"/>
      <c r="FZM42" s="16"/>
      <c r="FZN42" s="16"/>
      <c r="FZO42" s="16"/>
      <c r="FZP42" s="16"/>
      <c r="FZQ42" s="16"/>
      <c r="FZR42" s="16"/>
      <c r="FZS42" s="16"/>
      <c r="FZT42" s="16"/>
      <c r="FZU42" s="16"/>
      <c r="FZV42" s="16"/>
      <c r="FZW42" s="16"/>
      <c r="FZX42" s="16"/>
      <c r="FZY42" s="16"/>
      <c r="FZZ42" s="16"/>
      <c r="GAA42" s="16"/>
      <c r="GAB42" s="16"/>
      <c r="GAC42" s="16"/>
      <c r="GAD42" s="16"/>
      <c r="GAE42" s="16"/>
      <c r="GAF42" s="16"/>
      <c r="GAG42" s="16"/>
      <c r="GAH42" s="16"/>
      <c r="GAI42" s="16"/>
      <c r="GAJ42" s="16"/>
      <c r="GAK42" s="16"/>
      <c r="GAL42" s="16"/>
      <c r="GAM42" s="16"/>
      <c r="GAN42" s="16"/>
      <c r="GAO42" s="16"/>
      <c r="GAP42" s="16"/>
      <c r="GAQ42" s="16"/>
      <c r="GAR42" s="16"/>
      <c r="GAS42" s="16"/>
      <c r="GAT42" s="16"/>
      <c r="GAU42" s="16"/>
      <c r="GAV42" s="16"/>
      <c r="GAW42" s="16"/>
      <c r="GAX42" s="16"/>
      <c r="GAY42" s="16"/>
      <c r="GAZ42" s="16"/>
      <c r="GBA42" s="16"/>
      <c r="GBB42" s="16"/>
      <c r="GBC42" s="16"/>
      <c r="GBD42" s="16"/>
      <c r="GBE42" s="16"/>
      <c r="GBF42" s="16"/>
      <c r="GBG42" s="16"/>
      <c r="GBH42" s="16"/>
      <c r="GBI42" s="16"/>
      <c r="GBJ42" s="16"/>
      <c r="GBK42" s="16"/>
      <c r="GBL42" s="16"/>
      <c r="GBM42" s="16"/>
      <c r="GBN42" s="16"/>
      <c r="GBO42" s="16"/>
      <c r="GBP42" s="16"/>
      <c r="GBQ42" s="16"/>
      <c r="GBR42" s="16"/>
      <c r="GBS42" s="16"/>
      <c r="GBT42" s="16"/>
      <c r="GBU42" s="16"/>
      <c r="GBV42" s="16"/>
      <c r="GBW42" s="16"/>
      <c r="GBX42" s="16"/>
      <c r="GBY42" s="16"/>
      <c r="GBZ42" s="16"/>
      <c r="GCA42" s="16"/>
      <c r="GCB42" s="16"/>
      <c r="GCC42" s="16"/>
      <c r="GCD42" s="16"/>
      <c r="GCE42" s="16"/>
      <c r="GCF42" s="16"/>
      <c r="GCG42" s="16"/>
      <c r="GCH42" s="16"/>
      <c r="GCI42" s="16"/>
      <c r="GCJ42" s="16"/>
      <c r="GCK42" s="16"/>
      <c r="GCL42" s="16"/>
      <c r="GCM42" s="16"/>
      <c r="GCN42" s="16"/>
      <c r="GCO42" s="16"/>
      <c r="GCP42" s="16"/>
      <c r="GCQ42" s="16"/>
      <c r="GCR42" s="16"/>
      <c r="GCS42" s="16"/>
      <c r="GCT42" s="16"/>
      <c r="GCU42" s="16"/>
      <c r="GCV42" s="16"/>
      <c r="GCW42" s="16"/>
      <c r="GCX42" s="16"/>
      <c r="GCY42" s="16"/>
      <c r="GCZ42" s="16"/>
      <c r="GDA42" s="16"/>
      <c r="GDB42" s="16"/>
      <c r="GDC42" s="16"/>
      <c r="GDD42" s="16"/>
      <c r="GDE42" s="16"/>
      <c r="GDF42" s="16"/>
      <c r="GDG42" s="16"/>
      <c r="GDH42" s="16"/>
      <c r="GDI42" s="16"/>
      <c r="GDJ42" s="16"/>
      <c r="GDK42" s="16"/>
      <c r="GDL42" s="16"/>
      <c r="GDM42" s="16"/>
      <c r="GDN42" s="16"/>
      <c r="GDO42" s="16"/>
      <c r="GDP42" s="16"/>
      <c r="GDQ42" s="16"/>
      <c r="GDR42" s="16"/>
      <c r="GDS42" s="16"/>
      <c r="GDT42" s="16"/>
      <c r="GDU42" s="16"/>
      <c r="GDV42" s="16"/>
      <c r="GDW42" s="16"/>
      <c r="GDX42" s="16"/>
      <c r="GDY42" s="16"/>
      <c r="GDZ42" s="16"/>
      <c r="GEA42" s="16"/>
      <c r="GEB42" s="16"/>
      <c r="GEC42" s="16"/>
      <c r="GED42" s="16"/>
      <c r="GEE42" s="16"/>
      <c r="GEF42" s="16"/>
      <c r="GEG42" s="16"/>
      <c r="GEH42" s="16"/>
      <c r="GEI42" s="16"/>
      <c r="GEJ42" s="16"/>
      <c r="GEK42" s="16"/>
      <c r="GEL42" s="16"/>
      <c r="GEM42" s="16"/>
      <c r="GEN42" s="16"/>
      <c r="GEO42" s="16"/>
      <c r="GEP42" s="16"/>
      <c r="GEQ42" s="16"/>
      <c r="GER42" s="16"/>
      <c r="GES42" s="16"/>
      <c r="GET42" s="16"/>
      <c r="GEU42" s="16"/>
      <c r="GEV42" s="16"/>
      <c r="GEW42" s="16"/>
      <c r="GEX42" s="16"/>
      <c r="GEY42" s="16"/>
      <c r="GEZ42" s="16"/>
      <c r="GFA42" s="16"/>
      <c r="GFB42" s="16"/>
      <c r="GFC42" s="16"/>
      <c r="GFD42" s="16"/>
      <c r="GFE42" s="16"/>
      <c r="GFF42" s="16"/>
      <c r="GFG42" s="16"/>
      <c r="GFH42" s="16"/>
      <c r="GFI42" s="16"/>
      <c r="GFJ42" s="16"/>
      <c r="GFK42" s="16"/>
      <c r="GFL42" s="16"/>
      <c r="GFM42" s="16"/>
      <c r="GFN42" s="16"/>
      <c r="GFO42" s="16"/>
      <c r="GFP42" s="16"/>
      <c r="GFQ42" s="16"/>
      <c r="GFR42" s="16"/>
      <c r="GFS42" s="16"/>
      <c r="GFT42" s="16"/>
      <c r="GFU42" s="16"/>
      <c r="GFV42" s="16"/>
      <c r="GFW42" s="16"/>
      <c r="GFX42" s="16"/>
      <c r="GFY42" s="16"/>
      <c r="GFZ42" s="16"/>
      <c r="GGA42" s="16"/>
      <c r="GGB42" s="16"/>
      <c r="GGC42" s="16"/>
      <c r="GGD42" s="16"/>
      <c r="GGE42" s="16"/>
      <c r="GGF42" s="16"/>
      <c r="GGG42" s="16"/>
      <c r="GGH42" s="16"/>
      <c r="GGI42" s="16"/>
      <c r="GGJ42" s="16"/>
      <c r="GGK42" s="16"/>
      <c r="GGL42" s="16"/>
      <c r="GGM42" s="16"/>
      <c r="GGN42" s="16"/>
      <c r="GGO42" s="16"/>
      <c r="GGP42" s="16"/>
      <c r="GGQ42" s="16"/>
      <c r="GGR42" s="16"/>
      <c r="GGS42" s="16"/>
      <c r="GGT42" s="16"/>
      <c r="GGU42" s="16"/>
      <c r="GGV42" s="16"/>
      <c r="GGW42" s="16"/>
      <c r="GGX42" s="16"/>
      <c r="GGY42" s="16"/>
      <c r="GGZ42" s="16"/>
      <c r="GHA42" s="16"/>
      <c r="GHB42" s="16"/>
      <c r="GHC42" s="16"/>
      <c r="GHD42" s="16"/>
      <c r="GHE42" s="16"/>
      <c r="GHF42" s="16"/>
      <c r="GHG42" s="16"/>
      <c r="GHH42" s="16"/>
      <c r="GHI42" s="16"/>
      <c r="GHJ42" s="16"/>
      <c r="GHK42" s="16"/>
      <c r="GHL42" s="16"/>
      <c r="GHM42" s="16"/>
      <c r="GHN42" s="16"/>
      <c r="GHO42" s="16"/>
      <c r="GHP42" s="16"/>
      <c r="GHQ42" s="16"/>
      <c r="GHR42" s="16"/>
      <c r="GHS42" s="16"/>
      <c r="GHT42" s="16"/>
      <c r="GHU42" s="16"/>
      <c r="GHV42" s="16"/>
      <c r="GHW42" s="16"/>
      <c r="GHX42" s="16"/>
      <c r="GHY42" s="16"/>
      <c r="GHZ42" s="16"/>
      <c r="GIA42" s="16"/>
      <c r="GIB42" s="16"/>
      <c r="GIC42" s="16"/>
      <c r="GID42" s="16"/>
      <c r="GIE42" s="16"/>
      <c r="GIF42" s="16"/>
      <c r="GIG42" s="16"/>
      <c r="GIH42" s="16"/>
      <c r="GII42" s="16"/>
      <c r="GIJ42" s="16"/>
      <c r="GIK42" s="16"/>
      <c r="GIL42" s="16"/>
      <c r="GIM42" s="16"/>
      <c r="GIN42" s="16"/>
      <c r="GIO42" s="16"/>
      <c r="GIP42" s="16"/>
      <c r="GIQ42" s="16"/>
      <c r="GIR42" s="16"/>
      <c r="GIS42" s="16"/>
      <c r="GIT42" s="16"/>
      <c r="GIU42" s="16"/>
      <c r="GIV42" s="16"/>
      <c r="GIW42" s="16"/>
      <c r="GIX42" s="16"/>
      <c r="GIY42" s="16"/>
      <c r="GIZ42" s="16"/>
      <c r="GJA42" s="16"/>
      <c r="GJB42" s="16"/>
      <c r="GJC42" s="16"/>
      <c r="GJD42" s="16"/>
      <c r="GJE42" s="16"/>
      <c r="GJF42" s="16"/>
      <c r="GJG42" s="16"/>
      <c r="GJH42" s="16"/>
      <c r="GJI42" s="16"/>
      <c r="GJJ42" s="16"/>
      <c r="GJK42" s="16"/>
      <c r="GJL42" s="16"/>
      <c r="GJM42" s="16"/>
      <c r="GJN42" s="16"/>
      <c r="GJO42" s="16"/>
      <c r="GJP42" s="16"/>
      <c r="GJQ42" s="16"/>
      <c r="GJR42" s="16"/>
      <c r="GJS42" s="16"/>
      <c r="GJT42" s="16"/>
      <c r="GJU42" s="16"/>
      <c r="GJV42" s="16"/>
      <c r="GJW42" s="16"/>
      <c r="GJX42" s="16"/>
      <c r="GJY42" s="16"/>
      <c r="GJZ42" s="16"/>
      <c r="GKA42" s="16"/>
      <c r="GKB42" s="16"/>
      <c r="GKC42" s="16"/>
      <c r="GKD42" s="16"/>
      <c r="GKE42" s="16"/>
      <c r="GKF42" s="16"/>
      <c r="GKG42" s="16"/>
      <c r="GKH42" s="16"/>
      <c r="GKI42" s="16"/>
      <c r="GKJ42" s="16"/>
      <c r="GKK42" s="16"/>
      <c r="GKL42" s="16"/>
      <c r="GKM42" s="16"/>
      <c r="GKN42" s="16"/>
      <c r="GKO42" s="16"/>
      <c r="GKP42" s="16"/>
      <c r="GKQ42" s="16"/>
      <c r="GKR42" s="16"/>
      <c r="GKS42" s="16"/>
      <c r="GKT42" s="16"/>
      <c r="GKU42" s="16"/>
      <c r="GKV42" s="16"/>
      <c r="GKW42" s="16"/>
      <c r="GKX42" s="16"/>
      <c r="GKY42" s="16"/>
      <c r="GKZ42" s="16"/>
      <c r="GLA42" s="16"/>
      <c r="GLB42" s="16"/>
      <c r="GLC42" s="16"/>
      <c r="GLD42" s="16"/>
      <c r="GLE42" s="16"/>
      <c r="GLF42" s="16"/>
      <c r="GLG42" s="16"/>
      <c r="GLH42" s="16"/>
      <c r="GLI42" s="16"/>
      <c r="GLJ42" s="16"/>
      <c r="GLK42" s="16"/>
      <c r="GLL42" s="16"/>
      <c r="GLM42" s="16"/>
      <c r="GLN42" s="16"/>
      <c r="GLO42" s="16"/>
      <c r="GLP42" s="16"/>
      <c r="GLQ42" s="16"/>
      <c r="GLR42" s="16"/>
      <c r="GLS42" s="16"/>
      <c r="GLT42" s="16"/>
      <c r="GLU42" s="16"/>
      <c r="GLV42" s="16"/>
      <c r="GLW42" s="16"/>
      <c r="GLX42" s="16"/>
      <c r="GLY42" s="16"/>
      <c r="GLZ42" s="16"/>
      <c r="GMA42" s="16"/>
      <c r="GMB42" s="16"/>
      <c r="GMC42" s="16"/>
      <c r="GMD42" s="16"/>
      <c r="GME42" s="16"/>
      <c r="GMF42" s="16"/>
      <c r="GMG42" s="16"/>
      <c r="GMH42" s="16"/>
      <c r="GMI42" s="16"/>
      <c r="GMJ42" s="16"/>
      <c r="GMK42" s="16"/>
      <c r="GML42" s="16"/>
      <c r="GMM42" s="16"/>
      <c r="GMN42" s="16"/>
      <c r="GMO42" s="16"/>
      <c r="GMP42" s="16"/>
      <c r="GMQ42" s="16"/>
      <c r="GMR42" s="16"/>
      <c r="GMS42" s="16"/>
      <c r="GMT42" s="16"/>
      <c r="GMU42" s="16"/>
      <c r="GMV42" s="16"/>
      <c r="GMW42" s="16"/>
      <c r="GMX42" s="16"/>
      <c r="GMY42" s="16"/>
      <c r="GMZ42" s="16"/>
      <c r="GNA42" s="16"/>
      <c r="GNB42" s="16"/>
      <c r="GNC42" s="16"/>
      <c r="GND42" s="16"/>
      <c r="GNE42" s="16"/>
      <c r="GNF42" s="16"/>
      <c r="GNG42" s="16"/>
      <c r="GNH42" s="16"/>
      <c r="GNI42" s="16"/>
      <c r="GNJ42" s="16"/>
      <c r="GNK42" s="16"/>
      <c r="GNL42" s="16"/>
      <c r="GNM42" s="16"/>
      <c r="GNN42" s="16"/>
      <c r="GNO42" s="16"/>
      <c r="GNP42" s="16"/>
      <c r="GNQ42" s="16"/>
      <c r="GNR42" s="16"/>
      <c r="GNS42" s="16"/>
      <c r="GNT42" s="16"/>
      <c r="GNU42" s="16"/>
      <c r="GNV42" s="16"/>
      <c r="GNW42" s="16"/>
      <c r="GNX42" s="16"/>
      <c r="GNY42" s="16"/>
      <c r="GNZ42" s="16"/>
      <c r="GOA42" s="16"/>
      <c r="GOB42" s="16"/>
      <c r="GOC42" s="16"/>
      <c r="GOD42" s="16"/>
      <c r="GOE42" s="16"/>
      <c r="GOF42" s="16"/>
      <c r="GOG42" s="16"/>
      <c r="GOH42" s="16"/>
      <c r="GOI42" s="16"/>
      <c r="GOJ42" s="16"/>
      <c r="GOK42" s="16"/>
      <c r="GOL42" s="16"/>
      <c r="GOM42" s="16"/>
      <c r="GON42" s="16"/>
      <c r="GOO42" s="16"/>
      <c r="GOP42" s="16"/>
      <c r="GOQ42" s="16"/>
      <c r="GOR42" s="16"/>
      <c r="GOS42" s="16"/>
      <c r="GOT42" s="16"/>
      <c r="GOU42" s="16"/>
      <c r="GOV42" s="16"/>
      <c r="GOW42" s="16"/>
      <c r="GOX42" s="16"/>
      <c r="GOY42" s="16"/>
      <c r="GOZ42" s="16"/>
      <c r="GPA42" s="16"/>
      <c r="GPB42" s="16"/>
      <c r="GPC42" s="16"/>
      <c r="GPD42" s="16"/>
      <c r="GPE42" s="16"/>
      <c r="GPF42" s="16"/>
      <c r="GPG42" s="16"/>
      <c r="GPH42" s="16"/>
      <c r="GPI42" s="16"/>
      <c r="GPJ42" s="16"/>
      <c r="GPK42" s="16"/>
      <c r="GPL42" s="16"/>
      <c r="GPM42" s="16"/>
      <c r="GPN42" s="16"/>
      <c r="GPO42" s="16"/>
      <c r="GPP42" s="16"/>
      <c r="GPQ42" s="16"/>
      <c r="GPR42" s="16"/>
      <c r="GPS42" s="16"/>
      <c r="GPT42" s="16"/>
      <c r="GPU42" s="16"/>
      <c r="GPV42" s="16"/>
      <c r="GPW42" s="16"/>
      <c r="GPX42" s="16"/>
      <c r="GPY42" s="16"/>
      <c r="GPZ42" s="16"/>
      <c r="GQA42" s="16"/>
      <c r="GQB42" s="16"/>
      <c r="GQC42" s="16"/>
      <c r="GQD42" s="16"/>
      <c r="GQE42" s="16"/>
      <c r="GQF42" s="16"/>
      <c r="GQG42" s="16"/>
      <c r="GQH42" s="16"/>
      <c r="GQI42" s="16"/>
      <c r="GQJ42" s="16"/>
      <c r="GQK42" s="16"/>
      <c r="GQL42" s="16"/>
      <c r="GQM42" s="16"/>
      <c r="GQN42" s="16"/>
      <c r="GQO42" s="16"/>
      <c r="GQP42" s="16"/>
      <c r="GQQ42" s="16"/>
      <c r="GQR42" s="16"/>
      <c r="GQS42" s="16"/>
      <c r="GQT42" s="16"/>
      <c r="GQU42" s="16"/>
      <c r="GQV42" s="16"/>
      <c r="GQW42" s="16"/>
      <c r="GQX42" s="16"/>
      <c r="GQY42" s="16"/>
      <c r="GQZ42" s="16"/>
      <c r="GRA42" s="16"/>
      <c r="GRB42" s="16"/>
      <c r="GRC42" s="16"/>
      <c r="GRD42" s="16"/>
      <c r="GRE42" s="16"/>
      <c r="GRF42" s="16"/>
      <c r="GRG42" s="16"/>
      <c r="GRH42" s="16"/>
      <c r="GRI42" s="16"/>
      <c r="GRJ42" s="16"/>
      <c r="GRK42" s="16"/>
      <c r="GRL42" s="16"/>
      <c r="GRM42" s="16"/>
      <c r="GRN42" s="16"/>
      <c r="GRO42" s="16"/>
      <c r="GRP42" s="16"/>
      <c r="GRQ42" s="16"/>
      <c r="GRR42" s="16"/>
      <c r="GRS42" s="16"/>
      <c r="GRT42" s="16"/>
      <c r="GRU42" s="16"/>
      <c r="GRV42" s="16"/>
      <c r="GRW42" s="16"/>
      <c r="GRX42" s="16"/>
      <c r="GRY42" s="16"/>
      <c r="GRZ42" s="16"/>
      <c r="GSA42" s="16"/>
      <c r="GSB42" s="16"/>
      <c r="GSC42" s="16"/>
      <c r="GSD42" s="16"/>
      <c r="GSE42" s="16"/>
      <c r="GSF42" s="16"/>
      <c r="GSG42" s="16"/>
      <c r="GSH42" s="16"/>
      <c r="GSI42" s="16"/>
      <c r="GSJ42" s="16"/>
      <c r="GSK42" s="16"/>
      <c r="GSL42" s="16"/>
      <c r="GSM42" s="16"/>
      <c r="GSN42" s="16"/>
      <c r="GSO42" s="16"/>
      <c r="GSP42" s="16"/>
      <c r="GSQ42" s="16"/>
      <c r="GSR42" s="16"/>
      <c r="GSS42" s="16"/>
      <c r="GST42" s="16"/>
      <c r="GSU42" s="16"/>
      <c r="GSV42" s="16"/>
      <c r="GSW42" s="16"/>
      <c r="GSX42" s="16"/>
      <c r="GSY42" s="16"/>
      <c r="GSZ42" s="16"/>
      <c r="GTA42" s="16"/>
      <c r="GTB42" s="16"/>
      <c r="GTC42" s="16"/>
      <c r="GTD42" s="16"/>
      <c r="GTE42" s="16"/>
      <c r="GTF42" s="16"/>
      <c r="GTG42" s="16"/>
      <c r="GTH42" s="16"/>
      <c r="GTI42" s="16"/>
      <c r="GTJ42" s="16"/>
      <c r="GTK42" s="16"/>
      <c r="GTL42" s="16"/>
      <c r="GTM42" s="16"/>
      <c r="GTN42" s="16"/>
      <c r="GTO42" s="16"/>
      <c r="GTP42" s="16"/>
      <c r="GTQ42" s="16"/>
      <c r="GTR42" s="16"/>
      <c r="GTS42" s="16"/>
      <c r="GTT42" s="16"/>
      <c r="GTU42" s="16"/>
      <c r="GTV42" s="16"/>
      <c r="GTW42" s="16"/>
      <c r="GTX42" s="16"/>
      <c r="GTY42" s="16"/>
      <c r="GTZ42" s="16"/>
      <c r="GUA42" s="16"/>
      <c r="GUB42" s="16"/>
      <c r="GUC42" s="16"/>
      <c r="GUD42" s="16"/>
      <c r="GUE42" s="16"/>
      <c r="GUF42" s="16"/>
      <c r="GUG42" s="16"/>
      <c r="GUH42" s="16"/>
      <c r="GUI42" s="16"/>
      <c r="GUJ42" s="16"/>
      <c r="GUK42" s="16"/>
      <c r="GUL42" s="16"/>
      <c r="GUM42" s="16"/>
      <c r="GUN42" s="16"/>
      <c r="GUO42" s="16"/>
      <c r="GUP42" s="16"/>
      <c r="GUQ42" s="16"/>
      <c r="GUR42" s="16"/>
      <c r="GUS42" s="16"/>
      <c r="GUT42" s="16"/>
      <c r="GUU42" s="16"/>
      <c r="GUV42" s="16"/>
      <c r="GUW42" s="16"/>
      <c r="GUX42" s="16"/>
      <c r="GUY42" s="16"/>
      <c r="GUZ42" s="16"/>
      <c r="GVA42" s="16"/>
      <c r="GVB42" s="16"/>
      <c r="GVC42" s="16"/>
      <c r="GVD42" s="16"/>
      <c r="GVE42" s="16"/>
      <c r="GVF42" s="16"/>
      <c r="GVG42" s="16"/>
      <c r="GVH42" s="16"/>
      <c r="GVI42" s="16"/>
      <c r="GVJ42" s="16"/>
      <c r="GVK42" s="16"/>
      <c r="GVL42" s="16"/>
      <c r="GVM42" s="16"/>
      <c r="GVN42" s="16"/>
      <c r="GVO42" s="16"/>
      <c r="GVP42" s="16"/>
      <c r="GVQ42" s="16"/>
      <c r="GVR42" s="16"/>
      <c r="GVS42" s="16"/>
      <c r="GVT42" s="16"/>
      <c r="GVU42" s="16"/>
      <c r="GVV42" s="16"/>
      <c r="GVW42" s="16"/>
      <c r="GVX42" s="16"/>
      <c r="GVY42" s="16"/>
      <c r="GVZ42" s="16"/>
      <c r="GWA42" s="16"/>
      <c r="GWB42" s="16"/>
      <c r="GWC42" s="16"/>
      <c r="GWD42" s="16"/>
      <c r="GWE42" s="16"/>
      <c r="GWF42" s="16"/>
      <c r="GWG42" s="16"/>
      <c r="GWH42" s="16"/>
      <c r="GWI42" s="16"/>
      <c r="GWJ42" s="16"/>
      <c r="GWK42" s="16"/>
      <c r="GWL42" s="16"/>
      <c r="GWM42" s="16"/>
      <c r="GWN42" s="16"/>
      <c r="GWO42" s="16"/>
      <c r="GWP42" s="16"/>
      <c r="GWQ42" s="16"/>
      <c r="GWR42" s="16"/>
      <c r="GWS42" s="16"/>
      <c r="GWT42" s="16"/>
      <c r="GWU42" s="16"/>
      <c r="GWV42" s="16"/>
      <c r="GWW42" s="16"/>
      <c r="GWX42" s="16"/>
      <c r="GWY42" s="16"/>
      <c r="GWZ42" s="16"/>
      <c r="GXA42" s="16"/>
      <c r="GXB42" s="16"/>
      <c r="GXC42" s="16"/>
      <c r="GXD42" s="16"/>
      <c r="GXE42" s="16"/>
      <c r="GXF42" s="16"/>
      <c r="GXG42" s="16"/>
      <c r="GXH42" s="16"/>
      <c r="GXI42" s="16"/>
      <c r="GXJ42" s="16"/>
      <c r="GXK42" s="16"/>
      <c r="GXL42" s="16"/>
      <c r="GXM42" s="16"/>
      <c r="GXN42" s="16"/>
      <c r="GXO42" s="16"/>
      <c r="GXP42" s="16"/>
      <c r="GXQ42" s="16"/>
      <c r="GXR42" s="16"/>
      <c r="GXS42" s="16"/>
      <c r="GXT42" s="16"/>
      <c r="GXU42" s="16"/>
      <c r="GXV42" s="16"/>
      <c r="GXW42" s="16"/>
      <c r="GXX42" s="16"/>
      <c r="GXY42" s="16"/>
      <c r="GXZ42" s="16"/>
      <c r="GYA42" s="16"/>
      <c r="GYB42" s="16"/>
      <c r="GYC42" s="16"/>
      <c r="GYD42" s="16"/>
      <c r="GYE42" s="16"/>
      <c r="GYF42" s="16"/>
      <c r="GYG42" s="16"/>
      <c r="GYH42" s="16"/>
      <c r="GYI42" s="16"/>
      <c r="GYJ42" s="16"/>
      <c r="GYK42" s="16"/>
      <c r="GYL42" s="16"/>
      <c r="GYM42" s="16"/>
      <c r="GYN42" s="16"/>
      <c r="GYO42" s="16"/>
      <c r="GYP42" s="16"/>
      <c r="GYQ42" s="16"/>
      <c r="GYR42" s="16"/>
      <c r="GYS42" s="16"/>
      <c r="GYT42" s="16"/>
      <c r="GYU42" s="16"/>
      <c r="GYV42" s="16"/>
      <c r="GYW42" s="16"/>
      <c r="GYX42" s="16"/>
      <c r="GYY42" s="16"/>
      <c r="GYZ42" s="16"/>
      <c r="GZA42" s="16"/>
      <c r="GZB42" s="16"/>
      <c r="GZC42" s="16"/>
      <c r="GZD42" s="16"/>
      <c r="GZE42" s="16"/>
      <c r="GZF42" s="16"/>
      <c r="GZG42" s="16"/>
      <c r="GZH42" s="16"/>
      <c r="GZI42" s="16"/>
      <c r="GZJ42" s="16"/>
      <c r="GZK42" s="16"/>
      <c r="GZL42" s="16"/>
      <c r="GZM42" s="16"/>
      <c r="GZN42" s="16"/>
      <c r="GZO42" s="16"/>
      <c r="GZP42" s="16"/>
      <c r="GZQ42" s="16"/>
      <c r="GZR42" s="16"/>
      <c r="GZS42" s="16"/>
      <c r="GZT42" s="16"/>
      <c r="GZU42" s="16"/>
      <c r="GZV42" s="16"/>
      <c r="GZW42" s="16"/>
      <c r="GZX42" s="16"/>
      <c r="GZY42" s="16"/>
      <c r="GZZ42" s="16"/>
      <c r="HAA42" s="16"/>
      <c r="HAB42" s="16"/>
      <c r="HAC42" s="16"/>
      <c r="HAD42" s="16"/>
      <c r="HAE42" s="16"/>
      <c r="HAF42" s="16"/>
      <c r="HAG42" s="16"/>
      <c r="HAH42" s="16"/>
      <c r="HAI42" s="16"/>
      <c r="HAJ42" s="16"/>
      <c r="HAK42" s="16"/>
      <c r="HAL42" s="16"/>
      <c r="HAM42" s="16"/>
      <c r="HAN42" s="16"/>
      <c r="HAO42" s="16"/>
      <c r="HAP42" s="16"/>
      <c r="HAQ42" s="16"/>
      <c r="HAR42" s="16"/>
      <c r="HAS42" s="16"/>
      <c r="HAT42" s="16"/>
      <c r="HAU42" s="16"/>
      <c r="HAV42" s="16"/>
      <c r="HAW42" s="16"/>
      <c r="HAX42" s="16"/>
      <c r="HAY42" s="16"/>
      <c r="HAZ42" s="16"/>
      <c r="HBA42" s="16"/>
      <c r="HBB42" s="16"/>
      <c r="HBC42" s="16"/>
      <c r="HBD42" s="16"/>
      <c r="HBE42" s="16"/>
      <c r="HBF42" s="16"/>
      <c r="HBG42" s="16"/>
      <c r="HBH42" s="16"/>
      <c r="HBI42" s="16"/>
      <c r="HBJ42" s="16"/>
      <c r="HBK42" s="16"/>
      <c r="HBL42" s="16"/>
      <c r="HBM42" s="16"/>
      <c r="HBN42" s="16"/>
      <c r="HBO42" s="16"/>
      <c r="HBP42" s="16"/>
      <c r="HBQ42" s="16"/>
      <c r="HBR42" s="16"/>
      <c r="HBS42" s="16"/>
      <c r="HBT42" s="16"/>
      <c r="HBU42" s="16"/>
      <c r="HBV42" s="16"/>
      <c r="HBW42" s="16"/>
      <c r="HBX42" s="16"/>
      <c r="HBY42" s="16"/>
      <c r="HBZ42" s="16"/>
      <c r="HCA42" s="16"/>
      <c r="HCB42" s="16"/>
      <c r="HCC42" s="16"/>
      <c r="HCD42" s="16"/>
      <c r="HCE42" s="16"/>
      <c r="HCF42" s="16"/>
      <c r="HCG42" s="16"/>
      <c r="HCH42" s="16"/>
      <c r="HCI42" s="16"/>
      <c r="HCJ42" s="16"/>
      <c r="HCK42" s="16"/>
      <c r="HCL42" s="16"/>
      <c r="HCM42" s="16"/>
      <c r="HCN42" s="16"/>
      <c r="HCO42" s="16"/>
      <c r="HCP42" s="16"/>
      <c r="HCQ42" s="16"/>
      <c r="HCR42" s="16"/>
      <c r="HCS42" s="16"/>
      <c r="HCT42" s="16"/>
      <c r="HCU42" s="16"/>
      <c r="HCV42" s="16"/>
      <c r="HCW42" s="16"/>
      <c r="HCX42" s="16"/>
      <c r="HCY42" s="16"/>
      <c r="HCZ42" s="16"/>
      <c r="HDA42" s="16"/>
      <c r="HDB42" s="16"/>
      <c r="HDC42" s="16"/>
      <c r="HDD42" s="16"/>
      <c r="HDE42" s="16"/>
      <c r="HDF42" s="16"/>
      <c r="HDG42" s="16"/>
      <c r="HDH42" s="16"/>
      <c r="HDI42" s="16"/>
      <c r="HDJ42" s="16"/>
      <c r="HDK42" s="16"/>
      <c r="HDL42" s="16"/>
      <c r="HDM42" s="16"/>
      <c r="HDN42" s="16"/>
      <c r="HDO42" s="16"/>
      <c r="HDP42" s="16"/>
      <c r="HDQ42" s="16"/>
      <c r="HDR42" s="16"/>
      <c r="HDS42" s="16"/>
      <c r="HDT42" s="16"/>
      <c r="HDU42" s="16"/>
      <c r="HDV42" s="16"/>
      <c r="HDW42" s="16"/>
      <c r="HDX42" s="16"/>
      <c r="HDY42" s="16"/>
      <c r="HDZ42" s="16"/>
      <c r="HEA42" s="16"/>
      <c r="HEB42" s="16"/>
      <c r="HEC42" s="16"/>
      <c r="HED42" s="16"/>
      <c r="HEE42" s="16"/>
      <c r="HEF42" s="16"/>
      <c r="HEG42" s="16"/>
      <c r="HEH42" s="16"/>
      <c r="HEI42" s="16"/>
      <c r="HEJ42" s="16"/>
      <c r="HEK42" s="16"/>
      <c r="HEL42" s="16"/>
      <c r="HEM42" s="16"/>
      <c r="HEN42" s="16"/>
      <c r="HEO42" s="16"/>
      <c r="HEP42" s="16"/>
      <c r="HEQ42" s="16"/>
      <c r="HER42" s="16"/>
      <c r="HES42" s="16"/>
      <c r="HET42" s="16"/>
      <c r="HEU42" s="16"/>
      <c r="HEV42" s="16"/>
      <c r="HEW42" s="16"/>
      <c r="HEX42" s="16"/>
      <c r="HEY42" s="16"/>
      <c r="HEZ42" s="16"/>
      <c r="HFA42" s="16"/>
      <c r="HFB42" s="16"/>
      <c r="HFC42" s="16"/>
      <c r="HFD42" s="16"/>
      <c r="HFE42" s="16"/>
      <c r="HFF42" s="16"/>
      <c r="HFG42" s="16"/>
      <c r="HFH42" s="16"/>
      <c r="HFI42" s="16"/>
      <c r="HFJ42" s="16"/>
      <c r="HFK42" s="16"/>
      <c r="HFL42" s="16"/>
      <c r="HFM42" s="16"/>
      <c r="HFN42" s="16"/>
      <c r="HFO42" s="16"/>
      <c r="HFP42" s="16"/>
      <c r="HFQ42" s="16"/>
      <c r="HFR42" s="16"/>
      <c r="HFS42" s="16"/>
      <c r="HFT42" s="16"/>
      <c r="HFU42" s="16"/>
      <c r="HFV42" s="16"/>
      <c r="HFW42" s="16"/>
      <c r="HFX42" s="16"/>
      <c r="HFY42" s="16"/>
      <c r="HFZ42" s="16"/>
      <c r="HGA42" s="16"/>
      <c r="HGB42" s="16"/>
      <c r="HGC42" s="16"/>
      <c r="HGD42" s="16"/>
      <c r="HGE42" s="16"/>
      <c r="HGF42" s="16"/>
      <c r="HGG42" s="16"/>
      <c r="HGH42" s="16"/>
      <c r="HGI42" s="16"/>
      <c r="HGJ42" s="16"/>
      <c r="HGK42" s="16"/>
      <c r="HGL42" s="16"/>
      <c r="HGM42" s="16"/>
      <c r="HGN42" s="16"/>
      <c r="HGO42" s="16"/>
      <c r="HGP42" s="16"/>
      <c r="HGQ42" s="16"/>
      <c r="HGR42" s="16"/>
      <c r="HGS42" s="16"/>
      <c r="HGT42" s="16"/>
      <c r="HGU42" s="16"/>
      <c r="HGV42" s="16"/>
      <c r="HGW42" s="16"/>
      <c r="HGX42" s="16"/>
      <c r="HGY42" s="16"/>
      <c r="HGZ42" s="16"/>
      <c r="HHA42" s="16"/>
      <c r="HHB42" s="16"/>
      <c r="HHC42" s="16"/>
      <c r="HHD42" s="16"/>
      <c r="HHE42" s="16"/>
      <c r="HHF42" s="16"/>
      <c r="HHG42" s="16"/>
      <c r="HHH42" s="16"/>
      <c r="HHI42" s="16"/>
      <c r="HHJ42" s="16"/>
      <c r="HHK42" s="16"/>
      <c r="HHL42" s="16"/>
      <c r="HHM42" s="16"/>
      <c r="HHN42" s="16"/>
      <c r="HHO42" s="16"/>
      <c r="HHP42" s="16"/>
      <c r="HHQ42" s="16"/>
      <c r="HHR42" s="16"/>
      <c r="HHS42" s="16"/>
      <c r="HHT42" s="16"/>
      <c r="HHU42" s="16"/>
      <c r="HHV42" s="16"/>
      <c r="HHW42" s="16"/>
      <c r="HHX42" s="16"/>
      <c r="HHY42" s="16"/>
      <c r="HHZ42" s="16"/>
      <c r="HIA42" s="16"/>
      <c r="HIB42" s="16"/>
      <c r="HIC42" s="16"/>
      <c r="HID42" s="16"/>
      <c r="HIE42" s="16"/>
      <c r="HIF42" s="16"/>
      <c r="HIG42" s="16"/>
      <c r="HIH42" s="16"/>
      <c r="HII42" s="16"/>
      <c r="HIJ42" s="16"/>
      <c r="HIK42" s="16"/>
      <c r="HIL42" s="16"/>
      <c r="HIM42" s="16"/>
      <c r="HIN42" s="16"/>
      <c r="HIO42" s="16"/>
      <c r="HIP42" s="16"/>
      <c r="HIQ42" s="16"/>
      <c r="HIR42" s="16"/>
      <c r="HIS42" s="16"/>
      <c r="HIT42" s="16"/>
      <c r="HIU42" s="16"/>
      <c r="HIV42" s="16"/>
      <c r="HIW42" s="16"/>
      <c r="HIX42" s="16"/>
      <c r="HIY42" s="16"/>
      <c r="HIZ42" s="16"/>
      <c r="HJA42" s="16"/>
      <c r="HJB42" s="16"/>
      <c r="HJC42" s="16"/>
      <c r="HJD42" s="16"/>
      <c r="HJE42" s="16"/>
      <c r="HJF42" s="16"/>
      <c r="HJG42" s="16"/>
      <c r="HJH42" s="16"/>
      <c r="HJI42" s="16"/>
      <c r="HJJ42" s="16"/>
      <c r="HJK42" s="16"/>
      <c r="HJL42" s="16"/>
      <c r="HJM42" s="16"/>
      <c r="HJN42" s="16"/>
      <c r="HJO42" s="16"/>
      <c r="HJP42" s="16"/>
      <c r="HJQ42" s="16"/>
      <c r="HJR42" s="16"/>
      <c r="HJS42" s="16"/>
      <c r="HJT42" s="16"/>
      <c r="HJU42" s="16"/>
      <c r="HJV42" s="16"/>
      <c r="HJW42" s="16"/>
      <c r="HJX42" s="16"/>
      <c r="HJY42" s="16"/>
      <c r="HJZ42" s="16"/>
      <c r="HKA42" s="16"/>
      <c r="HKB42" s="16"/>
      <c r="HKC42" s="16"/>
      <c r="HKD42" s="16"/>
      <c r="HKE42" s="16"/>
      <c r="HKF42" s="16"/>
      <c r="HKG42" s="16"/>
      <c r="HKH42" s="16"/>
      <c r="HKI42" s="16"/>
      <c r="HKJ42" s="16"/>
      <c r="HKK42" s="16"/>
      <c r="HKL42" s="16"/>
      <c r="HKM42" s="16"/>
      <c r="HKN42" s="16"/>
      <c r="HKO42" s="16"/>
      <c r="HKP42" s="16"/>
      <c r="HKQ42" s="16"/>
      <c r="HKR42" s="16"/>
      <c r="HKS42" s="16"/>
      <c r="HKT42" s="16"/>
      <c r="HKU42" s="16"/>
      <c r="HKV42" s="16"/>
      <c r="HKW42" s="16"/>
      <c r="HKX42" s="16"/>
      <c r="HKY42" s="16"/>
      <c r="HKZ42" s="16"/>
      <c r="HLA42" s="16"/>
      <c r="HLB42" s="16"/>
      <c r="HLC42" s="16"/>
      <c r="HLD42" s="16"/>
      <c r="HLE42" s="16"/>
      <c r="HLF42" s="16"/>
      <c r="HLG42" s="16"/>
      <c r="HLH42" s="16"/>
      <c r="HLI42" s="16"/>
      <c r="HLJ42" s="16"/>
      <c r="HLK42" s="16"/>
      <c r="HLL42" s="16"/>
      <c r="HLM42" s="16"/>
      <c r="HLN42" s="16"/>
      <c r="HLO42" s="16"/>
      <c r="HLP42" s="16"/>
      <c r="HLQ42" s="16"/>
      <c r="HLR42" s="16"/>
      <c r="HLS42" s="16"/>
      <c r="HLT42" s="16"/>
      <c r="HLU42" s="16"/>
      <c r="HLV42" s="16"/>
      <c r="HLW42" s="16"/>
      <c r="HLX42" s="16"/>
      <c r="HLY42" s="16"/>
      <c r="HLZ42" s="16"/>
      <c r="HMA42" s="16"/>
      <c r="HMB42" s="16"/>
      <c r="HMC42" s="16"/>
      <c r="HMD42" s="16"/>
      <c r="HME42" s="16"/>
      <c r="HMF42" s="16"/>
      <c r="HMG42" s="16"/>
      <c r="HMH42" s="16"/>
      <c r="HMI42" s="16"/>
      <c r="HMJ42" s="16"/>
      <c r="HMK42" s="16"/>
      <c r="HML42" s="16"/>
      <c r="HMM42" s="16"/>
      <c r="HMN42" s="16"/>
      <c r="HMO42" s="16"/>
      <c r="HMP42" s="16"/>
      <c r="HMQ42" s="16"/>
      <c r="HMR42" s="16"/>
      <c r="HMS42" s="16"/>
      <c r="HMT42" s="16"/>
      <c r="HMU42" s="16"/>
      <c r="HMV42" s="16"/>
      <c r="HMW42" s="16"/>
      <c r="HMX42" s="16"/>
      <c r="HMY42" s="16"/>
      <c r="HMZ42" s="16"/>
      <c r="HNA42" s="16"/>
      <c r="HNB42" s="16"/>
      <c r="HNC42" s="16"/>
      <c r="HND42" s="16"/>
      <c r="HNE42" s="16"/>
      <c r="HNF42" s="16"/>
      <c r="HNG42" s="16"/>
      <c r="HNH42" s="16"/>
      <c r="HNI42" s="16"/>
      <c r="HNJ42" s="16"/>
      <c r="HNK42" s="16"/>
      <c r="HNL42" s="16"/>
      <c r="HNM42" s="16"/>
      <c r="HNN42" s="16"/>
      <c r="HNO42" s="16"/>
      <c r="HNP42" s="16"/>
      <c r="HNQ42" s="16"/>
      <c r="HNR42" s="16"/>
      <c r="HNS42" s="16"/>
      <c r="HNT42" s="16"/>
      <c r="HNU42" s="16"/>
      <c r="HNV42" s="16"/>
      <c r="HNW42" s="16"/>
      <c r="HNX42" s="16"/>
      <c r="HNY42" s="16"/>
      <c r="HNZ42" s="16"/>
      <c r="HOA42" s="16"/>
      <c r="HOB42" s="16"/>
      <c r="HOC42" s="16"/>
      <c r="HOD42" s="16"/>
      <c r="HOE42" s="16"/>
      <c r="HOF42" s="16"/>
      <c r="HOG42" s="16"/>
      <c r="HOH42" s="16"/>
      <c r="HOI42" s="16"/>
      <c r="HOJ42" s="16"/>
      <c r="HOK42" s="16"/>
      <c r="HOL42" s="16"/>
      <c r="HOM42" s="16"/>
      <c r="HON42" s="16"/>
      <c r="HOO42" s="16"/>
      <c r="HOP42" s="16"/>
      <c r="HOQ42" s="16"/>
      <c r="HOR42" s="16"/>
      <c r="HOS42" s="16"/>
      <c r="HOT42" s="16"/>
      <c r="HOU42" s="16"/>
      <c r="HOV42" s="16"/>
      <c r="HOW42" s="16"/>
      <c r="HOX42" s="16"/>
      <c r="HOY42" s="16"/>
      <c r="HOZ42" s="16"/>
      <c r="HPA42" s="16"/>
      <c r="HPB42" s="16"/>
      <c r="HPC42" s="16"/>
      <c r="HPD42" s="16"/>
      <c r="HPE42" s="16"/>
      <c r="HPF42" s="16"/>
      <c r="HPG42" s="16"/>
      <c r="HPH42" s="16"/>
      <c r="HPI42" s="16"/>
      <c r="HPJ42" s="16"/>
      <c r="HPK42" s="16"/>
      <c r="HPL42" s="16"/>
      <c r="HPM42" s="16"/>
      <c r="HPN42" s="16"/>
      <c r="HPO42" s="16"/>
      <c r="HPP42" s="16"/>
      <c r="HPQ42" s="16"/>
      <c r="HPR42" s="16"/>
      <c r="HPS42" s="16"/>
      <c r="HPT42" s="16"/>
      <c r="HPU42" s="16"/>
      <c r="HPV42" s="16"/>
      <c r="HPW42" s="16"/>
      <c r="HPX42" s="16"/>
      <c r="HPY42" s="16"/>
      <c r="HPZ42" s="16"/>
      <c r="HQA42" s="16"/>
      <c r="HQB42" s="16"/>
      <c r="HQC42" s="16"/>
      <c r="HQD42" s="16"/>
      <c r="HQE42" s="16"/>
      <c r="HQF42" s="16"/>
      <c r="HQG42" s="16"/>
      <c r="HQH42" s="16"/>
      <c r="HQI42" s="16"/>
      <c r="HQJ42" s="16"/>
      <c r="HQK42" s="16"/>
      <c r="HQL42" s="16"/>
      <c r="HQM42" s="16"/>
      <c r="HQN42" s="16"/>
      <c r="HQO42" s="16"/>
      <c r="HQP42" s="16"/>
      <c r="HQQ42" s="16"/>
      <c r="HQR42" s="16"/>
      <c r="HQS42" s="16"/>
      <c r="HQT42" s="16"/>
      <c r="HQU42" s="16"/>
      <c r="HQV42" s="16"/>
      <c r="HQW42" s="16"/>
      <c r="HQX42" s="16"/>
      <c r="HQY42" s="16"/>
      <c r="HQZ42" s="16"/>
      <c r="HRA42" s="16"/>
      <c r="HRB42" s="16"/>
      <c r="HRC42" s="16"/>
      <c r="HRD42" s="16"/>
      <c r="HRE42" s="16"/>
      <c r="HRF42" s="16"/>
      <c r="HRG42" s="16"/>
      <c r="HRH42" s="16"/>
      <c r="HRI42" s="16"/>
      <c r="HRJ42" s="16"/>
      <c r="HRK42" s="16"/>
      <c r="HRL42" s="16"/>
      <c r="HRM42" s="16"/>
      <c r="HRN42" s="16"/>
      <c r="HRO42" s="16"/>
      <c r="HRP42" s="16"/>
      <c r="HRQ42" s="16"/>
      <c r="HRR42" s="16"/>
      <c r="HRS42" s="16"/>
      <c r="HRT42" s="16"/>
      <c r="HRU42" s="16"/>
      <c r="HRV42" s="16"/>
      <c r="HRW42" s="16"/>
      <c r="HRX42" s="16"/>
      <c r="HRY42" s="16"/>
      <c r="HRZ42" s="16"/>
      <c r="HSA42" s="16"/>
      <c r="HSB42" s="16"/>
      <c r="HSC42" s="16"/>
      <c r="HSD42" s="16"/>
      <c r="HSE42" s="16"/>
      <c r="HSF42" s="16"/>
      <c r="HSG42" s="16"/>
      <c r="HSH42" s="16"/>
      <c r="HSI42" s="16"/>
      <c r="HSJ42" s="16"/>
      <c r="HSK42" s="16"/>
      <c r="HSL42" s="16"/>
      <c r="HSM42" s="16"/>
      <c r="HSN42" s="16"/>
      <c r="HSO42" s="16"/>
      <c r="HSP42" s="16"/>
      <c r="HSQ42" s="16"/>
      <c r="HSR42" s="16"/>
      <c r="HSS42" s="16"/>
      <c r="HST42" s="16"/>
      <c r="HSU42" s="16"/>
      <c r="HSV42" s="16"/>
      <c r="HSW42" s="16"/>
      <c r="HSX42" s="16"/>
      <c r="HSY42" s="16"/>
      <c r="HSZ42" s="16"/>
      <c r="HTA42" s="16"/>
      <c r="HTB42" s="16"/>
      <c r="HTC42" s="16"/>
      <c r="HTD42" s="16"/>
      <c r="HTE42" s="16"/>
      <c r="HTF42" s="16"/>
      <c r="HTG42" s="16"/>
      <c r="HTH42" s="16"/>
      <c r="HTI42" s="16"/>
      <c r="HTJ42" s="16"/>
      <c r="HTK42" s="16"/>
      <c r="HTL42" s="16"/>
      <c r="HTM42" s="16"/>
      <c r="HTN42" s="16"/>
      <c r="HTO42" s="16"/>
      <c r="HTP42" s="16"/>
      <c r="HTQ42" s="16"/>
      <c r="HTR42" s="16"/>
      <c r="HTS42" s="16"/>
      <c r="HTT42" s="16"/>
      <c r="HTU42" s="16"/>
      <c r="HTV42" s="16"/>
      <c r="HTW42" s="16"/>
      <c r="HTX42" s="16"/>
      <c r="HTY42" s="16"/>
      <c r="HTZ42" s="16"/>
      <c r="HUA42" s="16"/>
      <c r="HUB42" s="16"/>
      <c r="HUC42" s="16"/>
      <c r="HUD42" s="16"/>
      <c r="HUE42" s="16"/>
      <c r="HUF42" s="16"/>
      <c r="HUG42" s="16"/>
      <c r="HUH42" s="16"/>
      <c r="HUI42" s="16"/>
      <c r="HUJ42" s="16"/>
      <c r="HUK42" s="16"/>
      <c r="HUL42" s="16"/>
      <c r="HUM42" s="16"/>
      <c r="HUN42" s="16"/>
      <c r="HUO42" s="16"/>
      <c r="HUP42" s="16"/>
      <c r="HUQ42" s="16"/>
      <c r="HUR42" s="16"/>
      <c r="HUS42" s="16"/>
      <c r="HUT42" s="16"/>
      <c r="HUU42" s="16"/>
      <c r="HUV42" s="16"/>
      <c r="HUW42" s="16"/>
      <c r="HUX42" s="16"/>
      <c r="HUY42" s="16"/>
      <c r="HUZ42" s="16"/>
      <c r="HVA42" s="16"/>
      <c r="HVB42" s="16"/>
      <c r="HVC42" s="16"/>
      <c r="HVD42" s="16"/>
      <c r="HVE42" s="16"/>
      <c r="HVF42" s="16"/>
      <c r="HVG42" s="16"/>
      <c r="HVH42" s="16"/>
      <c r="HVI42" s="16"/>
      <c r="HVJ42" s="16"/>
      <c r="HVK42" s="16"/>
      <c r="HVL42" s="16"/>
      <c r="HVM42" s="16"/>
      <c r="HVN42" s="16"/>
      <c r="HVO42" s="16"/>
      <c r="HVP42" s="16"/>
      <c r="HVQ42" s="16"/>
      <c r="HVR42" s="16"/>
      <c r="HVS42" s="16"/>
      <c r="HVT42" s="16"/>
      <c r="HVU42" s="16"/>
      <c r="HVV42" s="16"/>
      <c r="HVW42" s="16"/>
      <c r="HVX42" s="16"/>
      <c r="HVY42" s="16"/>
      <c r="HVZ42" s="16"/>
      <c r="HWA42" s="16"/>
      <c r="HWB42" s="16"/>
      <c r="HWC42" s="16"/>
      <c r="HWD42" s="16"/>
      <c r="HWE42" s="16"/>
      <c r="HWF42" s="16"/>
      <c r="HWG42" s="16"/>
      <c r="HWH42" s="16"/>
      <c r="HWI42" s="16"/>
      <c r="HWJ42" s="16"/>
      <c r="HWK42" s="16"/>
      <c r="HWL42" s="16"/>
      <c r="HWM42" s="16"/>
      <c r="HWN42" s="16"/>
      <c r="HWO42" s="16"/>
      <c r="HWP42" s="16"/>
      <c r="HWQ42" s="16"/>
      <c r="HWR42" s="16"/>
      <c r="HWS42" s="16"/>
      <c r="HWT42" s="16"/>
      <c r="HWU42" s="16"/>
      <c r="HWV42" s="16"/>
      <c r="HWW42" s="16"/>
      <c r="HWX42" s="16"/>
      <c r="HWY42" s="16"/>
      <c r="HWZ42" s="16"/>
      <c r="HXA42" s="16"/>
      <c r="HXB42" s="16"/>
      <c r="HXC42" s="16"/>
      <c r="HXD42" s="16"/>
      <c r="HXE42" s="16"/>
      <c r="HXF42" s="16"/>
      <c r="HXG42" s="16"/>
      <c r="HXH42" s="16"/>
      <c r="HXI42" s="16"/>
      <c r="HXJ42" s="16"/>
      <c r="HXK42" s="16"/>
      <c r="HXL42" s="16"/>
      <c r="HXM42" s="16"/>
      <c r="HXN42" s="16"/>
      <c r="HXO42" s="16"/>
      <c r="HXP42" s="16"/>
      <c r="HXQ42" s="16"/>
      <c r="HXR42" s="16"/>
      <c r="HXS42" s="16"/>
      <c r="HXT42" s="16"/>
      <c r="HXU42" s="16"/>
      <c r="HXV42" s="16"/>
      <c r="HXW42" s="16"/>
      <c r="HXX42" s="16"/>
      <c r="HXY42" s="16"/>
      <c r="HXZ42" s="16"/>
      <c r="HYA42" s="16"/>
      <c r="HYB42" s="16"/>
      <c r="HYC42" s="16"/>
      <c r="HYD42" s="16"/>
      <c r="HYE42" s="16"/>
      <c r="HYF42" s="16"/>
      <c r="HYG42" s="16"/>
      <c r="HYH42" s="16"/>
      <c r="HYI42" s="16"/>
      <c r="HYJ42" s="16"/>
      <c r="HYK42" s="16"/>
      <c r="HYL42" s="16"/>
      <c r="HYM42" s="16"/>
      <c r="HYN42" s="16"/>
      <c r="HYO42" s="16"/>
      <c r="HYP42" s="16"/>
      <c r="HYQ42" s="16"/>
      <c r="HYR42" s="16"/>
      <c r="HYS42" s="16"/>
      <c r="HYT42" s="16"/>
      <c r="HYU42" s="16"/>
      <c r="HYV42" s="16"/>
      <c r="HYW42" s="16"/>
      <c r="HYX42" s="16"/>
      <c r="HYY42" s="16"/>
      <c r="HYZ42" s="16"/>
      <c r="HZA42" s="16"/>
      <c r="HZB42" s="16"/>
      <c r="HZC42" s="16"/>
      <c r="HZD42" s="16"/>
      <c r="HZE42" s="16"/>
      <c r="HZF42" s="16"/>
      <c r="HZG42" s="16"/>
      <c r="HZH42" s="16"/>
      <c r="HZI42" s="16"/>
      <c r="HZJ42" s="16"/>
      <c r="HZK42" s="16"/>
      <c r="HZL42" s="16"/>
      <c r="HZM42" s="16"/>
      <c r="HZN42" s="16"/>
      <c r="HZO42" s="16"/>
      <c r="HZP42" s="16"/>
      <c r="HZQ42" s="16"/>
      <c r="HZR42" s="16"/>
      <c r="HZS42" s="16"/>
      <c r="HZT42" s="16"/>
      <c r="HZU42" s="16"/>
      <c r="HZV42" s="16"/>
      <c r="HZW42" s="16"/>
      <c r="HZX42" s="16"/>
      <c r="HZY42" s="16"/>
      <c r="HZZ42" s="16"/>
      <c r="IAA42" s="16"/>
      <c r="IAB42" s="16"/>
      <c r="IAC42" s="16"/>
      <c r="IAD42" s="16"/>
      <c r="IAE42" s="16"/>
      <c r="IAF42" s="16"/>
      <c r="IAG42" s="16"/>
      <c r="IAH42" s="16"/>
      <c r="IAI42" s="16"/>
      <c r="IAJ42" s="16"/>
      <c r="IAK42" s="16"/>
      <c r="IAL42" s="16"/>
      <c r="IAM42" s="16"/>
      <c r="IAN42" s="16"/>
      <c r="IAO42" s="16"/>
      <c r="IAP42" s="16"/>
      <c r="IAQ42" s="16"/>
      <c r="IAR42" s="16"/>
      <c r="IAS42" s="16"/>
      <c r="IAT42" s="16"/>
      <c r="IAU42" s="16"/>
      <c r="IAV42" s="16"/>
      <c r="IAW42" s="16"/>
      <c r="IAX42" s="16"/>
      <c r="IAY42" s="16"/>
      <c r="IAZ42" s="16"/>
      <c r="IBA42" s="16"/>
      <c r="IBB42" s="16"/>
      <c r="IBC42" s="16"/>
      <c r="IBD42" s="16"/>
      <c r="IBE42" s="16"/>
      <c r="IBF42" s="16"/>
      <c r="IBG42" s="16"/>
      <c r="IBH42" s="16"/>
      <c r="IBI42" s="16"/>
      <c r="IBJ42" s="16"/>
      <c r="IBK42" s="16"/>
      <c r="IBL42" s="16"/>
      <c r="IBM42" s="16"/>
      <c r="IBN42" s="16"/>
      <c r="IBO42" s="16"/>
      <c r="IBP42" s="16"/>
      <c r="IBQ42" s="16"/>
      <c r="IBR42" s="16"/>
      <c r="IBS42" s="16"/>
      <c r="IBT42" s="16"/>
      <c r="IBU42" s="16"/>
      <c r="IBV42" s="16"/>
      <c r="IBW42" s="16"/>
      <c r="IBX42" s="16"/>
      <c r="IBY42" s="16"/>
      <c r="IBZ42" s="16"/>
      <c r="ICA42" s="16"/>
      <c r="ICB42" s="16"/>
      <c r="ICC42" s="16"/>
      <c r="ICD42" s="16"/>
      <c r="ICE42" s="16"/>
      <c r="ICF42" s="16"/>
      <c r="ICG42" s="16"/>
      <c r="ICH42" s="16"/>
      <c r="ICI42" s="16"/>
      <c r="ICJ42" s="16"/>
      <c r="ICK42" s="16"/>
      <c r="ICL42" s="16"/>
      <c r="ICM42" s="16"/>
      <c r="ICN42" s="16"/>
      <c r="ICO42" s="16"/>
      <c r="ICP42" s="16"/>
      <c r="ICQ42" s="16"/>
      <c r="ICR42" s="16"/>
      <c r="ICS42" s="16"/>
      <c r="ICT42" s="16"/>
      <c r="ICU42" s="16"/>
      <c r="ICV42" s="16"/>
      <c r="ICW42" s="16"/>
      <c r="ICX42" s="16"/>
      <c r="ICY42" s="16"/>
      <c r="ICZ42" s="16"/>
      <c r="IDA42" s="16"/>
      <c r="IDB42" s="16"/>
      <c r="IDC42" s="16"/>
      <c r="IDD42" s="16"/>
      <c r="IDE42" s="16"/>
      <c r="IDF42" s="16"/>
      <c r="IDG42" s="16"/>
      <c r="IDH42" s="16"/>
      <c r="IDI42" s="16"/>
      <c r="IDJ42" s="16"/>
      <c r="IDK42" s="16"/>
      <c r="IDL42" s="16"/>
      <c r="IDM42" s="16"/>
      <c r="IDN42" s="16"/>
      <c r="IDO42" s="16"/>
      <c r="IDP42" s="16"/>
      <c r="IDQ42" s="16"/>
      <c r="IDR42" s="16"/>
      <c r="IDS42" s="16"/>
      <c r="IDT42" s="16"/>
      <c r="IDU42" s="16"/>
      <c r="IDV42" s="16"/>
      <c r="IDW42" s="16"/>
      <c r="IDX42" s="16"/>
      <c r="IDY42" s="16"/>
      <c r="IDZ42" s="16"/>
      <c r="IEA42" s="16"/>
      <c r="IEB42" s="16"/>
      <c r="IEC42" s="16"/>
      <c r="IED42" s="16"/>
      <c r="IEE42" s="16"/>
      <c r="IEF42" s="16"/>
      <c r="IEG42" s="16"/>
      <c r="IEH42" s="16"/>
      <c r="IEI42" s="16"/>
      <c r="IEJ42" s="16"/>
      <c r="IEK42" s="16"/>
      <c r="IEL42" s="16"/>
      <c r="IEM42" s="16"/>
      <c r="IEN42" s="16"/>
      <c r="IEO42" s="16"/>
      <c r="IEP42" s="16"/>
      <c r="IEQ42" s="16"/>
      <c r="IER42" s="16"/>
      <c r="IES42" s="16"/>
      <c r="IET42" s="16"/>
      <c r="IEU42" s="16"/>
      <c r="IEV42" s="16"/>
      <c r="IEW42" s="16"/>
      <c r="IEX42" s="16"/>
      <c r="IEY42" s="16"/>
      <c r="IEZ42" s="16"/>
      <c r="IFA42" s="16"/>
      <c r="IFB42" s="16"/>
      <c r="IFC42" s="16"/>
      <c r="IFD42" s="16"/>
      <c r="IFE42" s="16"/>
      <c r="IFF42" s="16"/>
      <c r="IFG42" s="16"/>
      <c r="IFH42" s="16"/>
      <c r="IFI42" s="16"/>
      <c r="IFJ42" s="16"/>
      <c r="IFK42" s="16"/>
      <c r="IFL42" s="16"/>
      <c r="IFM42" s="16"/>
      <c r="IFN42" s="16"/>
      <c r="IFO42" s="16"/>
      <c r="IFP42" s="16"/>
      <c r="IFQ42" s="16"/>
      <c r="IFR42" s="16"/>
      <c r="IFS42" s="16"/>
      <c r="IFT42" s="16"/>
      <c r="IFU42" s="16"/>
      <c r="IFV42" s="16"/>
      <c r="IFW42" s="16"/>
      <c r="IFX42" s="16"/>
      <c r="IFY42" s="16"/>
      <c r="IFZ42" s="16"/>
      <c r="IGA42" s="16"/>
      <c r="IGB42" s="16"/>
      <c r="IGC42" s="16"/>
      <c r="IGD42" s="16"/>
      <c r="IGE42" s="16"/>
      <c r="IGF42" s="16"/>
      <c r="IGG42" s="16"/>
      <c r="IGH42" s="16"/>
      <c r="IGI42" s="16"/>
      <c r="IGJ42" s="16"/>
      <c r="IGK42" s="16"/>
      <c r="IGL42" s="16"/>
      <c r="IGM42" s="16"/>
      <c r="IGN42" s="16"/>
      <c r="IGO42" s="16"/>
      <c r="IGP42" s="16"/>
      <c r="IGQ42" s="16"/>
      <c r="IGR42" s="16"/>
      <c r="IGS42" s="16"/>
      <c r="IGT42" s="16"/>
      <c r="IGU42" s="16"/>
      <c r="IGV42" s="16"/>
      <c r="IGW42" s="16"/>
      <c r="IGX42" s="16"/>
      <c r="IGY42" s="16"/>
      <c r="IGZ42" s="16"/>
      <c r="IHA42" s="16"/>
      <c r="IHB42" s="16"/>
      <c r="IHC42" s="16"/>
      <c r="IHD42" s="16"/>
      <c r="IHE42" s="16"/>
      <c r="IHF42" s="16"/>
      <c r="IHG42" s="16"/>
      <c r="IHH42" s="16"/>
      <c r="IHI42" s="16"/>
      <c r="IHJ42" s="16"/>
      <c r="IHK42" s="16"/>
      <c r="IHL42" s="16"/>
      <c r="IHM42" s="16"/>
      <c r="IHN42" s="16"/>
      <c r="IHO42" s="16"/>
      <c r="IHP42" s="16"/>
      <c r="IHQ42" s="16"/>
      <c r="IHR42" s="16"/>
      <c r="IHS42" s="16"/>
      <c r="IHT42" s="16"/>
      <c r="IHU42" s="16"/>
      <c r="IHV42" s="16"/>
      <c r="IHW42" s="16"/>
      <c r="IHX42" s="16"/>
      <c r="IHY42" s="16"/>
      <c r="IHZ42" s="16"/>
      <c r="IIA42" s="16"/>
      <c r="IIB42" s="16"/>
      <c r="IIC42" s="16"/>
      <c r="IID42" s="16"/>
      <c r="IIE42" s="16"/>
      <c r="IIF42" s="16"/>
      <c r="IIG42" s="16"/>
      <c r="IIH42" s="16"/>
      <c r="III42" s="16"/>
      <c r="IIJ42" s="16"/>
      <c r="IIK42" s="16"/>
      <c r="IIL42" s="16"/>
      <c r="IIM42" s="16"/>
      <c r="IIN42" s="16"/>
      <c r="IIO42" s="16"/>
      <c r="IIP42" s="16"/>
      <c r="IIQ42" s="16"/>
      <c r="IIR42" s="16"/>
      <c r="IIS42" s="16"/>
      <c r="IIT42" s="16"/>
      <c r="IIU42" s="16"/>
      <c r="IIV42" s="16"/>
      <c r="IIW42" s="16"/>
      <c r="IIX42" s="16"/>
      <c r="IIY42" s="16"/>
      <c r="IIZ42" s="16"/>
      <c r="IJA42" s="16"/>
      <c r="IJB42" s="16"/>
      <c r="IJC42" s="16"/>
      <c r="IJD42" s="16"/>
      <c r="IJE42" s="16"/>
      <c r="IJF42" s="16"/>
      <c r="IJG42" s="16"/>
      <c r="IJH42" s="16"/>
      <c r="IJI42" s="16"/>
      <c r="IJJ42" s="16"/>
      <c r="IJK42" s="16"/>
      <c r="IJL42" s="16"/>
      <c r="IJM42" s="16"/>
      <c r="IJN42" s="16"/>
      <c r="IJO42" s="16"/>
      <c r="IJP42" s="16"/>
      <c r="IJQ42" s="16"/>
      <c r="IJR42" s="16"/>
      <c r="IJS42" s="16"/>
      <c r="IJT42" s="16"/>
      <c r="IJU42" s="16"/>
      <c r="IJV42" s="16"/>
      <c r="IJW42" s="16"/>
      <c r="IJX42" s="16"/>
      <c r="IJY42" s="16"/>
      <c r="IJZ42" s="16"/>
      <c r="IKA42" s="16"/>
      <c r="IKB42" s="16"/>
      <c r="IKC42" s="16"/>
      <c r="IKD42" s="16"/>
      <c r="IKE42" s="16"/>
      <c r="IKF42" s="16"/>
      <c r="IKG42" s="16"/>
      <c r="IKH42" s="16"/>
      <c r="IKI42" s="16"/>
      <c r="IKJ42" s="16"/>
      <c r="IKK42" s="16"/>
      <c r="IKL42" s="16"/>
      <c r="IKM42" s="16"/>
      <c r="IKN42" s="16"/>
      <c r="IKO42" s="16"/>
      <c r="IKP42" s="16"/>
      <c r="IKQ42" s="16"/>
      <c r="IKR42" s="16"/>
      <c r="IKS42" s="16"/>
      <c r="IKT42" s="16"/>
      <c r="IKU42" s="16"/>
      <c r="IKV42" s="16"/>
      <c r="IKW42" s="16"/>
      <c r="IKX42" s="16"/>
      <c r="IKY42" s="16"/>
      <c r="IKZ42" s="16"/>
      <c r="ILA42" s="16"/>
      <c r="ILB42" s="16"/>
      <c r="ILC42" s="16"/>
      <c r="ILD42" s="16"/>
      <c r="ILE42" s="16"/>
      <c r="ILF42" s="16"/>
      <c r="ILG42" s="16"/>
      <c r="ILH42" s="16"/>
      <c r="ILI42" s="16"/>
      <c r="ILJ42" s="16"/>
      <c r="ILK42" s="16"/>
      <c r="ILL42" s="16"/>
      <c r="ILM42" s="16"/>
      <c r="ILN42" s="16"/>
      <c r="ILO42" s="16"/>
      <c r="ILP42" s="16"/>
      <c r="ILQ42" s="16"/>
      <c r="ILR42" s="16"/>
      <c r="ILS42" s="16"/>
      <c r="ILT42" s="16"/>
      <c r="ILU42" s="16"/>
      <c r="ILV42" s="16"/>
      <c r="ILW42" s="16"/>
      <c r="ILX42" s="16"/>
      <c r="ILY42" s="16"/>
      <c r="ILZ42" s="16"/>
      <c r="IMA42" s="16"/>
      <c r="IMB42" s="16"/>
      <c r="IMC42" s="16"/>
      <c r="IMD42" s="16"/>
      <c r="IME42" s="16"/>
      <c r="IMF42" s="16"/>
      <c r="IMG42" s="16"/>
      <c r="IMH42" s="16"/>
      <c r="IMI42" s="16"/>
      <c r="IMJ42" s="16"/>
      <c r="IMK42" s="16"/>
      <c r="IML42" s="16"/>
      <c r="IMM42" s="16"/>
      <c r="IMN42" s="16"/>
      <c r="IMO42" s="16"/>
      <c r="IMP42" s="16"/>
      <c r="IMQ42" s="16"/>
      <c r="IMR42" s="16"/>
      <c r="IMS42" s="16"/>
      <c r="IMT42" s="16"/>
      <c r="IMU42" s="16"/>
      <c r="IMV42" s="16"/>
      <c r="IMW42" s="16"/>
      <c r="IMX42" s="16"/>
      <c r="IMY42" s="16"/>
      <c r="IMZ42" s="16"/>
      <c r="INA42" s="16"/>
      <c r="INB42" s="16"/>
      <c r="INC42" s="16"/>
      <c r="IND42" s="16"/>
      <c r="INE42" s="16"/>
      <c r="INF42" s="16"/>
      <c r="ING42" s="16"/>
      <c r="INH42" s="16"/>
      <c r="INI42" s="16"/>
      <c r="INJ42" s="16"/>
      <c r="INK42" s="16"/>
      <c r="INL42" s="16"/>
      <c r="INM42" s="16"/>
      <c r="INN42" s="16"/>
      <c r="INO42" s="16"/>
      <c r="INP42" s="16"/>
      <c r="INQ42" s="16"/>
      <c r="INR42" s="16"/>
      <c r="INS42" s="16"/>
      <c r="INT42" s="16"/>
      <c r="INU42" s="16"/>
      <c r="INV42" s="16"/>
      <c r="INW42" s="16"/>
      <c r="INX42" s="16"/>
      <c r="INY42" s="16"/>
      <c r="INZ42" s="16"/>
      <c r="IOA42" s="16"/>
      <c r="IOB42" s="16"/>
      <c r="IOC42" s="16"/>
      <c r="IOD42" s="16"/>
      <c r="IOE42" s="16"/>
      <c r="IOF42" s="16"/>
      <c r="IOG42" s="16"/>
      <c r="IOH42" s="16"/>
      <c r="IOI42" s="16"/>
      <c r="IOJ42" s="16"/>
      <c r="IOK42" s="16"/>
      <c r="IOL42" s="16"/>
      <c r="IOM42" s="16"/>
      <c r="ION42" s="16"/>
      <c r="IOO42" s="16"/>
      <c r="IOP42" s="16"/>
      <c r="IOQ42" s="16"/>
      <c r="IOR42" s="16"/>
      <c r="IOS42" s="16"/>
      <c r="IOT42" s="16"/>
      <c r="IOU42" s="16"/>
      <c r="IOV42" s="16"/>
      <c r="IOW42" s="16"/>
      <c r="IOX42" s="16"/>
      <c r="IOY42" s="16"/>
      <c r="IOZ42" s="16"/>
      <c r="IPA42" s="16"/>
      <c r="IPB42" s="16"/>
      <c r="IPC42" s="16"/>
      <c r="IPD42" s="16"/>
      <c r="IPE42" s="16"/>
      <c r="IPF42" s="16"/>
      <c r="IPG42" s="16"/>
      <c r="IPH42" s="16"/>
      <c r="IPI42" s="16"/>
      <c r="IPJ42" s="16"/>
      <c r="IPK42" s="16"/>
      <c r="IPL42" s="16"/>
      <c r="IPM42" s="16"/>
      <c r="IPN42" s="16"/>
      <c r="IPO42" s="16"/>
      <c r="IPP42" s="16"/>
      <c r="IPQ42" s="16"/>
      <c r="IPR42" s="16"/>
      <c r="IPS42" s="16"/>
      <c r="IPT42" s="16"/>
      <c r="IPU42" s="16"/>
      <c r="IPV42" s="16"/>
      <c r="IPW42" s="16"/>
      <c r="IPX42" s="16"/>
      <c r="IPY42" s="16"/>
      <c r="IPZ42" s="16"/>
      <c r="IQA42" s="16"/>
      <c r="IQB42" s="16"/>
      <c r="IQC42" s="16"/>
      <c r="IQD42" s="16"/>
      <c r="IQE42" s="16"/>
      <c r="IQF42" s="16"/>
      <c r="IQG42" s="16"/>
      <c r="IQH42" s="16"/>
      <c r="IQI42" s="16"/>
      <c r="IQJ42" s="16"/>
      <c r="IQK42" s="16"/>
      <c r="IQL42" s="16"/>
      <c r="IQM42" s="16"/>
      <c r="IQN42" s="16"/>
      <c r="IQO42" s="16"/>
      <c r="IQP42" s="16"/>
      <c r="IQQ42" s="16"/>
      <c r="IQR42" s="16"/>
      <c r="IQS42" s="16"/>
      <c r="IQT42" s="16"/>
      <c r="IQU42" s="16"/>
      <c r="IQV42" s="16"/>
      <c r="IQW42" s="16"/>
      <c r="IQX42" s="16"/>
      <c r="IQY42" s="16"/>
      <c r="IQZ42" s="16"/>
      <c r="IRA42" s="16"/>
      <c r="IRB42" s="16"/>
      <c r="IRC42" s="16"/>
      <c r="IRD42" s="16"/>
      <c r="IRE42" s="16"/>
      <c r="IRF42" s="16"/>
      <c r="IRG42" s="16"/>
      <c r="IRH42" s="16"/>
      <c r="IRI42" s="16"/>
      <c r="IRJ42" s="16"/>
      <c r="IRK42" s="16"/>
      <c r="IRL42" s="16"/>
      <c r="IRM42" s="16"/>
      <c r="IRN42" s="16"/>
      <c r="IRO42" s="16"/>
      <c r="IRP42" s="16"/>
      <c r="IRQ42" s="16"/>
      <c r="IRR42" s="16"/>
      <c r="IRS42" s="16"/>
      <c r="IRT42" s="16"/>
      <c r="IRU42" s="16"/>
      <c r="IRV42" s="16"/>
      <c r="IRW42" s="16"/>
      <c r="IRX42" s="16"/>
      <c r="IRY42" s="16"/>
      <c r="IRZ42" s="16"/>
      <c r="ISA42" s="16"/>
      <c r="ISB42" s="16"/>
      <c r="ISC42" s="16"/>
      <c r="ISD42" s="16"/>
      <c r="ISE42" s="16"/>
      <c r="ISF42" s="16"/>
      <c r="ISG42" s="16"/>
      <c r="ISH42" s="16"/>
      <c r="ISI42" s="16"/>
      <c r="ISJ42" s="16"/>
      <c r="ISK42" s="16"/>
      <c r="ISL42" s="16"/>
      <c r="ISM42" s="16"/>
      <c r="ISN42" s="16"/>
      <c r="ISO42" s="16"/>
      <c r="ISP42" s="16"/>
      <c r="ISQ42" s="16"/>
      <c r="ISR42" s="16"/>
      <c r="ISS42" s="16"/>
      <c r="IST42" s="16"/>
      <c r="ISU42" s="16"/>
      <c r="ISV42" s="16"/>
      <c r="ISW42" s="16"/>
      <c r="ISX42" s="16"/>
      <c r="ISY42" s="16"/>
      <c r="ISZ42" s="16"/>
      <c r="ITA42" s="16"/>
      <c r="ITB42" s="16"/>
      <c r="ITC42" s="16"/>
      <c r="ITD42" s="16"/>
      <c r="ITE42" s="16"/>
      <c r="ITF42" s="16"/>
      <c r="ITG42" s="16"/>
      <c r="ITH42" s="16"/>
      <c r="ITI42" s="16"/>
      <c r="ITJ42" s="16"/>
      <c r="ITK42" s="16"/>
      <c r="ITL42" s="16"/>
      <c r="ITM42" s="16"/>
      <c r="ITN42" s="16"/>
      <c r="ITO42" s="16"/>
      <c r="ITP42" s="16"/>
      <c r="ITQ42" s="16"/>
      <c r="ITR42" s="16"/>
      <c r="ITS42" s="16"/>
      <c r="ITT42" s="16"/>
      <c r="ITU42" s="16"/>
      <c r="ITV42" s="16"/>
      <c r="ITW42" s="16"/>
      <c r="ITX42" s="16"/>
      <c r="ITY42" s="16"/>
      <c r="ITZ42" s="16"/>
      <c r="IUA42" s="16"/>
      <c r="IUB42" s="16"/>
      <c r="IUC42" s="16"/>
      <c r="IUD42" s="16"/>
      <c r="IUE42" s="16"/>
      <c r="IUF42" s="16"/>
      <c r="IUG42" s="16"/>
      <c r="IUH42" s="16"/>
      <c r="IUI42" s="16"/>
      <c r="IUJ42" s="16"/>
      <c r="IUK42" s="16"/>
      <c r="IUL42" s="16"/>
      <c r="IUM42" s="16"/>
      <c r="IUN42" s="16"/>
      <c r="IUO42" s="16"/>
      <c r="IUP42" s="16"/>
      <c r="IUQ42" s="16"/>
      <c r="IUR42" s="16"/>
      <c r="IUS42" s="16"/>
      <c r="IUT42" s="16"/>
      <c r="IUU42" s="16"/>
      <c r="IUV42" s="16"/>
      <c r="IUW42" s="16"/>
      <c r="IUX42" s="16"/>
      <c r="IUY42" s="16"/>
      <c r="IUZ42" s="16"/>
      <c r="IVA42" s="16"/>
      <c r="IVB42" s="16"/>
      <c r="IVC42" s="16"/>
      <c r="IVD42" s="16"/>
      <c r="IVE42" s="16"/>
      <c r="IVF42" s="16"/>
      <c r="IVG42" s="16"/>
      <c r="IVH42" s="16"/>
      <c r="IVI42" s="16"/>
      <c r="IVJ42" s="16"/>
      <c r="IVK42" s="16"/>
      <c r="IVL42" s="16"/>
      <c r="IVM42" s="16"/>
      <c r="IVN42" s="16"/>
      <c r="IVO42" s="16"/>
      <c r="IVP42" s="16"/>
      <c r="IVQ42" s="16"/>
      <c r="IVR42" s="16"/>
      <c r="IVS42" s="16"/>
      <c r="IVT42" s="16"/>
      <c r="IVU42" s="16"/>
      <c r="IVV42" s="16"/>
      <c r="IVW42" s="16"/>
      <c r="IVX42" s="16"/>
      <c r="IVY42" s="16"/>
      <c r="IVZ42" s="16"/>
      <c r="IWA42" s="16"/>
      <c r="IWB42" s="16"/>
      <c r="IWC42" s="16"/>
      <c r="IWD42" s="16"/>
      <c r="IWE42" s="16"/>
      <c r="IWF42" s="16"/>
      <c r="IWG42" s="16"/>
      <c r="IWH42" s="16"/>
      <c r="IWI42" s="16"/>
      <c r="IWJ42" s="16"/>
      <c r="IWK42" s="16"/>
      <c r="IWL42" s="16"/>
      <c r="IWM42" s="16"/>
      <c r="IWN42" s="16"/>
      <c r="IWO42" s="16"/>
      <c r="IWP42" s="16"/>
      <c r="IWQ42" s="16"/>
      <c r="IWR42" s="16"/>
      <c r="IWS42" s="16"/>
      <c r="IWT42" s="16"/>
      <c r="IWU42" s="16"/>
      <c r="IWV42" s="16"/>
      <c r="IWW42" s="16"/>
      <c r="IWX42" s="16"/>
      <c r="IWY42" s="16"/>
      <c r="IWZ42" s="16"/>
      <c r="IXA42" s="16"/>
      <c r="IXB42" s="16"/>
      <c r="IXC42" s="16"/>
      <c r="IXD42" s="16"/>
      <c r="IXE42" s="16"/>
      <c r="IXF42" s="16"/>
      <c r="IXG42" s="16"/>
      <c r="IXH42" s="16"/>
      <c r="IXI42" s="16"/>
      <c r="IXJ42" s="16"/>
      <c r="IXK42" s="16"/>
      <c r="IXL42" s="16"/>
      <c r="IXM42" s="16"/>
      <c r="IXN42" s="16"/>
      <c r="IXO42" s="16"/>
      <c r="IXP42" s="16"/>
      <c r="IXQ42" s="16"/>
      <c r="IXR42" s="16"/>
      <c r="IXS42" s="16"/>
      <c r="IXT42" s="16"/>
      <c r="IXU42" s="16"/>
      <c r="IXV42" s="16"/>
      <c r="IXW42" s="16"/>
      <c r="IXX42" s="16"/>
      <c r="IXY42" s="16"/>
      <c r="IXZ42" s="16"/>
      <c r="IYA42" s="16"/>
      <c r="IYB42" s="16"/>
      <c r="IYC42" s="16"/>
      <c r="IYD42" s="16"/>
      <c r="IYE42" s="16"/>
      <c r="IYF42" s="16"/>
      <c r="IYG42" s="16"/>
      <c r="IYH42" s="16"/>
      <c r="IYI42" s="16"/>
      <c r="IYJ42" s="16"/>
      <c r="IYK42" s="16"/>
      <c r="IYL42" s="16"/>
      <c r="IYM42" s="16"/>
      <c r="IYN42" s="16"/>
      <c r="IYO42" s="16"/>
      <c r="IYP42" s="16"/>
      <c r="IYQ42" s="16"/>
      <c r="IYR42" s="16"/>
      <c r="IYS42" s="16"/>
      <c r="IYT42" s="16"/>
      <c r="IYU42" s="16"/>
      <c r="IYV42" s="16"/>
      <c r="IYW42" s="16"/>
      <c r="IYX42" s="16"/>
      <c r="IYY42" s="16"/>
      <c r="IYZ42" s="16"/>
      <c r="IZA42" s="16"/>
      <c r="IZB42" s="16"/>
      <c r="IZC42" s="16"/>
      <c r="IZD42" s="16"/>
      <c r="IZE42" s="16"/>
      <c r="IZF42" s="16"/>
      <c r="IZG42" s="16"/>
      <c r="IZH42" s="16"/>
      <c r="IZI42" s="16"/>
      <c r="IZJ42" s="16"/>
      <c r="IZK42" s="16"/>
      <c r="IZL42" s="16"/>
      <c r="IZM42" s="16"/>
      <c r="IZN42" s="16"/>
      <c r="IZO42" s="16"/>
      <c r="IZP42" s="16"/>
      <c r="IZQ42" s="16"/>
      <c r="IZR42" s="16"/>
      <c r="IZS42" s="16"/>
      <c r="IZT42" s="16"/>
      <c r="IZU42" s="16"/>
      <c r="IZV42" s="16"/>
      <c r="IZW42" s="16"/>
      <c r="IZX42" s="16"/>
      <c r="IZY42" s="16"/>
      <c r="IZZ42" s="16"/>
      <c r="JAA42" s="16"/>
      <c r="JAB42" s="16"/>
      <c r="JAC42" s="16"/>
      <c r="JAD42" s="16"/>
      <c r="JAE42" s="16"/>
      <c r="JAF42" s="16"/>
      <c r="JAG42" s="16"/>
      <c r="JAH42" s="16"/>
      <c r="JAI42" s="16"/>
      <c r="JAJ42" s="16"/>
      <c r="JAK42" s="16"/>
      <c r="JAL42" s="16"/>
      <c r="JAM42" s="16"/>
      <c r="JAN42" s="16"/>
      <c r="JAO42" s="16"/>
      <c r="JAP42" s="16"/>
      <c r="JAQ42" s="16"/>
      <c r="JAR42" s="16"/>
      <c r="JAS42" s="16"/>
      <c r="JAT42" s="16"/>
      <c r="JAU42" s="16"/>
      <c r="JAV42" s="16"/>
      <c r="JAW42" s="16"/>
      <c r="JAX42" s="16"/>
      <c r="JAY42" s="16"/>
      <c r="JAZ42" s="16"/>
      <c r="JBA42" s="16"/>
      <c r="JBB42" s="16"/>
      <c r="JBC42" s="16"/>
      <c r="JBD42" s="16"/>
      <c r="JBE42" s="16"/>
      <c r="JBF42" s="16"/>
      <c r="JBG42" s="16"/>
      <c r="JBH42" s="16"/>
      <c r="JBI42" s="16"/>
      <c r="JBJ42" s="16"/>
      <c r="JBK42" s="16"/>
      <c r="JBL42" s="16"/>
      <c r="JBM42" s="16"/>
      <c r="JBN42" s="16"/>
      <c r="JBO42" s="16"/>
      <c r="JBP42" s="16"/>
      <c r="JBQ42" s="16"/>
      <c r="JBR42" s="16"/>
      <c r="JBS42" s="16"/>
      <c r="JBT42" s="16"/>
      <c r="JBU42" s="16"/>
      <c r="JBV42" s="16"/>
      <c r="JBW42" s="16"/>
      <c r="JBX42" s="16"/>
      <c r="JBY42" s="16"/>
      <c r="JBZ42" s="16"/>
      <c r="JCA42" s="16"/>
      <c r="JCB42" s="16"/>
      <c r="JCC42" s="16"/>
      <c r="JCD42" s="16"/>
      <c r="JCE42" s="16"/>
      <c r="JCF42" s="16"/>
      <c r="JCG42" s="16"/>
      <c r="JCH42" s="16"/>
      <c r="JCI42" s="16"/>
      <c r="JCJ42" s="16"/>
      <c r="JCK42" s="16"/>
      <c r="JCL42" s="16"/>
      <c r="JCM42" s="16"/>
      <c r="JCN42" s="16"/>
      <c r="JCO42" s="16"/>
      <c r="JCP42" s="16"/>
      <c r="JCQ42" s="16"/>
      <c r="JCR42" s="16"/>
      <c r="JCS42" s="16"/>
      <c r="JCT42" s="16"/>
      <c r="JCU42" s="16"/>
      <c r="JCV42" s="16"/>
      <c r="JCW42" s="16"/>
      <c r="JCX42" s="16"/>
      <c r="JCY42" s="16"/>
      <c r="JCZ42" s="16"/>
      <c r="JDA42" s="16"/>
      <c r="JDB42" s="16"/>
      <c r="JDC42" s="16"/>
      <c r="JDD42" s="16"/>
      <c r="JDE42" s="16"/>
      <c r="JDF42" s="16"/>
      <c r="JDG42" s="16"/>
      <c r="JDH42" s="16"/>
      <c r="JDI42" s="16"/>
      <c r="JDJ42" s="16"/>
      <c r="JDK42" s="16"/>
      <c r="JDL42" s="16"/>
      <c r="JDM42" s="16"/>
      <c r="JDN42" s="16"/>
      <c r="JDO42" s="16"/>
      <c r="JDP42" s="16"/>
      <c r="JDQ42" s="16"/>
      <c r="JDR42" s="16"/>
      <c r="JDS42" s="16"/>
      <c r="JDT42" s="16"/>
      <c r="JDU42" s="16"/>
      <c r="JDV42" s="16"/>
      <c r="JDW42" s="16"/>
      <c r="JDX42" s="16"/>
      <c r="JDY42" s="16"/>
      <c r="JDZ42" s="16"/>
      <c r="JEA42" s="16"/>
      <c r="JEB42" s="16"/>
      <c r="JEC42" s="16"/>
      <c r="JED42" s="16"/>
      <c r="JEE42" s="16"/>
      <c r="JEF42" s="16"/>
      <c r="JEG42" s="16"/>
      <c r="JEH42" s="16"/>
      <c r="JEI42" s="16"/>
      <c r="JEJ42" s="16"/>
      <c r="JEK42" s="16"/>
      <c r="JEL42" s="16"/>
      <c r="JEM42" s="16"/>
      <c r="JEN42" s="16"/>
      <c r="JEO42" s="16"/>
      <c r="JEP42" s="16"/>
      <c r="JEQ42" s="16"/>
      <c r="JER42" s="16"/>
      <c r="JES42" s="16"/>
      <c r="JET42" s="16"/>
      <c r="JEU42" s="16"/>
      <c r="JEV42" s="16"/>
      <c r="JEW42" s="16"/>
      <c r="JEX42" s="16"/>
      <c r="JEY42" s="16"/>
      <c r="JEZ42" s="16"/>
      <c r="JFA42" s="16"/>
      <c r="JFB42" s="16"/>
      <c r="JFC42" s="16"/>
      <c r="JFD42" s="16"/>
      <c r="JFE42" s="16"/>
      <c r="JFF42" s="16"/>
      <c r="JFG42" s="16"/>
      <c r="JFH42" s="16"/>
      <c r="JFI42" s="16"/>
      <c r="JFJ42" s="16"/>
      <c r="JFK42" s="16"/>
      <c r="JFL42" s="16"/>
      <c r="JFM42" s="16"/>
      <c r="JFN42" s="16"/>
      <c r="JFO42" s="16"/>
      <c r="JFP42" s="16"/>
      <c r="JFQ42" s="16"/>
      <c r="JFR42" s="16"/>
      <c r="JFS42" s="16"/>
      <c r="JFT42" s="16"/>
      <c r="JFU42" s="16"/>
      <c r="JFV42" s="16"/>
      <c r="JFW42" s="16"/>
      <c r="JFX42" s="16"/>
      <c r="JFY42" s="16"/>
      <c r="JFZ42" s="16"/>
      <c r="JGA42" s="16"/>
      <c r="JGB42" s="16"/>
      <c r="JGC42" s="16"/>
      <c r="JGD42" s="16"/>
      <c r="JGE42" s="16"/>
      <c r="JGF42" s="16"/>
      <c r="JGG42" s="16"/>
      <c r="JGH42" s="16"/>
      <c r="JGI42" s="16"/>
      <c r="JGJ42" s="16"/>
      <c r="JGK42" s="16"/>
      <c r="JGL42" s="16"/>
      <c r="JGM42" s="16"/>
      <c r="JGN42" s="16"/>
      <c r="JGO42" s="16"/>
      <c r="JGP42" s="16"/>
      <c r="JGQ42" s="16"/>
      <c r="JGR42" s="16"/>
      <c r="JGS42" s="16"/>
      <c r="JGT42" s="16"/>
      <c r="JGU42" s="16"/>
      <c r="JGV42" s="16"/>
      <c r="JGW42" s="16"/>
      <c r="JGX42" s="16"/>
      <c r="JGY42" s="16"/>
      <c r="JGZ42" s="16"/>
      <c r="JHA42" s="16"/>
      <c r="JHB42" s="16"/>
      <c r="JHC42" s="16"/>
      <c r="JHD42" s="16"/>
      <c r="JHE42" s="16"/>
      <c r="JHF42" s="16"/>
      <c r="JHG42" s="16"/>
      <c r="JHH42" s="16"/>
      <c r="JHI42" s="16"/>
      <c r="JHJ42" s="16"/>
      <c r="JHK42" s="16"/>
      <c r="JHL42" s="16"/>
      <c r="JHM42" s="16"/>
      <c r="JHN42" s="16"/>
      <c r="JHO42" s="16"/>
      <c r="JHP42" s="16"/>
      <c r="JHQ42" s="16"/>
      <c r="JHR42" s="16"/>
      <c r="JHS42" s="16"/>
      <c r="JHT42" s="16"/>
      <c r="JHU42" s="16"/>
      <c r="JHV42" s="16"/>
      <c r="JHW42" s="16"/>
      <c r="JHX42" s="16"/>
      <c r="JHY42" s="16"/>
      <c r="JHZ42" s="16"/>
      <c r="JIA42" s="16"/>
      <c r="JIB42" s="16"/>
      <c r="JIC42" s="16"/>
      <c r="JID42" s="16"/>
      <c r="JIE42" s="16"/>
      <c r="JIF42" s="16"/>
      <c r="JIG42" s="16"/>
      <c r="JIH42" s="16"/>
      <c r="JII42" s="16"/>
      <c r="JIJ42" s="16"/>
      <c r="JIK42" s="16"/>
      <c r="JIL42" s="16"/>
      <c r="JIM42" s="16"/>
      <c r="JIN42" s="16"/>
      <c r="JIO42" s="16"/>
      <c r="JIP42" s="16"/>
      <c r="JIQ42" s="16"/>
      <c r="JIR42" s="16"/>
      <c r="JIS42" s="16"/>
      <c r="JIT42" s="16"/>
      <c r="JIU42" s="16"/>
      <c r="JIV42" s="16"/>
      <c r="JIW42" s="16"/>
      <c r="JIX42" s="16"/>
      <c r="JIY42" s="16"/>
      <c r="JIZ42" s="16"/>
      <c r="JJA42" s="16"/>
      <c r="JJB42" s="16"/>
      <c r="JJC42" s="16"/>
      <c r="JJD42" s="16"/>
      <c r="JJE42" s="16"/>
      <c r="JJF42" s="16"/>
      <c r="JJG42" s="16"/>
      <c r="JJH42" s="16"/>
      <c r="JJI42" s="16"/>
      <c r="JJJ42" s="16"/>
      <c r="JJK42" s="16"/>
      <c r="JJL42" s="16"/>
      <c r="JJM42" s="16"/>
      <c r="JJN42" s="16"/>
      <c r="JJO42" s="16"/>
      <c r="JJP42" s="16"/>
      <c r="JJQ42" s="16"/>
      <c r="JJR42" s="16"/>
      <c r="JJS42" s="16"/>
      <c r="JJT42" s="16"/>
      <c r="JJU42" s="16"/>
      <c r="JJV42" s="16"/>
      <c r="JJW42" s="16"/>
      <c r="JJX42" s="16"/>
      <c r="JJY42" s="16"/>
      <c r="JJZ42" s="16"/>
      <c r="JKA42" s="16"/>
      <c r="JKB42" s="16"/>
      <c r="JKC42" s="16"/>
      <c r="JKD42" s="16"/>
      <c r="JKE42" s="16"/>
      <c r="JKF42" s="16"/>
      <c r="JKG42" s="16"/>
      <c r="JKH42" s="16"/>
      <c r="JKI42" s="16"/>
      <c r="JKJ42" s="16"/>
      <c r="JKK42" s="16"/>
      <c r="JKL42" s="16"/>
      <c r="JKM42" s="16"/>
      <c r="JKN42" s="16"/>
      <c r="JKO42" s="16"/>
      <c r="JKP42" s="16"/>
      <c r="JKQ42" s="16"/>
      <c r="JKR42" s="16"/>
      <c r="JKS42" s="16"/>
      <c r="JKT42" s="16"/>
      <c r="JKU42" s="16"/>
      <c r="JKV42" s="16"/>
      <c r="JKW42" s="16"/>
      <c r="JKX42" s="16"/>
      <c r="JKY42" s="16"/>
      <c r="JKZ42" s="16"/>
      <c r="JLA42" s="16"/>
      <c r="JLB42" s="16"/>
      <c r="JLC42" s="16"/>
      <c r="JLD42" s="16"/>
      <c r="JLE42" s="16"/>
      <c r="JLF42" s="16"/>
      <c r="JLG42" s="16"/>
      <c r="JLH42" s="16"/>
      <c r="JLI42" s="16"/>
      <c r="JLJ42" s="16"/>
      <c r="JLK42" s="16"/>
      <c r="JLL42" s="16"/>
      <c r="JLM42" s="16"/>
      <c r="JLN42" s="16"/>
      <c r="JLO42" s="16"/>
      <c r="JLP42" s="16"/>
      <c r="JLQ42" s="16"/>
      <c r="JLR42" s="16"/>
      <c r="JLS42" s="16"/>
      <c r="JLT42" s="16"/>
      <c r="JLU42" s="16"/>
      <c r="JLV42" s="16"/>
      <c r="JLW42" s="16"/>
      <c r="JLX42" s="16"/>
      <c r="JLY42" s="16"/>
      <c r="JLZ42" s="16"/>
      <c r="JMA42" s="16"/>
      <c r="JMB42" s="16"/>
      <c r="JMC42" s="16"/>
      <c r="JMD42" s="16"/>
      <c r="JME42" s="16"/>
      <c r="JMF42" s="16"/>
      <c r="JMG42" s="16"/>
      <c r="JMH42" s="16"/>
      <c r="JMI42" s="16"/>
      <c r="JMJ42" s="16"/>
      <c r="JMK42" s="16"/>
      <c r="JML42" s="16"/>
      <c r="JMM42" s="16"/>
      <c r="JMN42" s="16"/>
      <c r="JMO42" s="16"/>
      <c r="JMP42" s="16"/>
      <c r="JMQ42" s="16"/>
      <c r="JMR42" s="16"/>
      <c r="JMS42" s="16"/>
      <c r="JMT42" s="16"/>
      <c r="JMU42" s="16"/>
      <c r="JMV42" s="16"/>
      <c r="JMW42" s="16"/>
      <c r="JMX42" s="16"/>
      <c r="JMY42" s="16"/>
      <c r="JMZ42" s="16"/>
      <c r="JNA42" s="16"/>
      <c r="JNB42" s="16"/>
      <c r="JNC42" s="16"/>
      <c r="JND42" s="16"/>
      <c r="JNE42" s="16"/>
      <c r="JNF42" s="16"/>
      <c r="JNG42" s="16"/>
      <c r="JNH42" s="16"/>
      <c r="JNI42" s="16"/>
      <c r="JNJ42" s="16"/>
      <c r="JNK42" s="16"/>
      <c r="JNL42" s="16"/>
      <c r="JNM42" s="16"/>
      <c r="JNN42" s="16"/>
      <c r="JNO42" s="16"/>
      <c r="JNP42" s="16"/>
      <c r="JNQ42" s="16"/>
      <c r="JNR42" s="16"/>
      <c r="JNS42" s="16"/>
      <c r="JNT42" s="16"/>
      <c r="JNU42" s="16"/>
      <c r="JNV42" s="16"/>
      <c r="JNW42" s="16"/>
      <c r="JNX42" s="16"/>
      <c r="JNY42" s="16"/>
      <c r="JNZ42" s="16"/>
      <c r="JOA42" s="16"/>
      <c r="JOB42" s="16"/>
      <c r="JOC42" s="16"/>
      <c r="JOD42" s="16"/>
      <c r="JOE42" s="16"/>
      <c r="JOF42" s="16"/>
      <c r="JOG42" s="16"/>
      <c r="JOH42" s="16"/>
      <c r="JOI42" s="16"/>
      <c r="JOJ42" s="16"/>
      <c r="JOK42" s="16"/>
      <c r="JOL42" s="16"/>
      <c r="JOM42" s="16"/>
      <c r="JON42" s="16"/>
      <c r="JOO42" s="16"/>
      <c r="JOP42" s="16"/>
      <c r="JOQ42" s="16"/>
      <c r="JOR42" s="16"/>
      <c r="JOS42" s="16"/>
      <c r="JOT42" s="16"/>
      <c r="JOU42" s="16"/>
      <c r="JOV42" s="16"/>
      <c r="JOW42" s="16"/>
      <c r="JOX42" s="16"/>
      <c r="JOY42" s="16"/>
      <c r="JOZ42" s="16"/>
      <c r="JPA42" s="16"/>
      <c r="JPB42" s="16"/>
      <c r="JPC42" s="16"/>
      <c r="JPD42" s="16"/>
      <c r="JPE42" s="16"/>
      <c r="JPF42" s="16"/>
      <c r="JPG42" s="16"/>
      <c r="JPH42" s="16"/>
      <c r="JPI42" s="16"/>
      <c r="JPJ42" s="16"/>
      <c r="JPK42" s="16"/>
      <c r="JPL42" s="16"/>
      <c r="JPM42" s="16"/>
      <c r="JPN42" s="16"/>
      <c r="JPO42" s="16"/>
      <c r="JPP42" s="16"/>
      <c r="JPQ42" s="16"/>
      <c r="JPR42" s="16"/>
      <c r="JPS42" s="16"/>
      <c r="JPT42" s="16"/>
      <c r="JPU42" s="16"/>
      <c r="JPV42" s="16"/>
      <c r="JPW42" s="16"/>
      <c r="JPX42" s="16"/>
      <c r="JPY42" s="16"/>
      <c r="JPZ42" s="16"/>
      <c r="JQA42" s="16"/>
      <c r="JQB42" s="16"/>
      <c r="JQC42" s="16"/>
      <c r="JQD42" s="16"/>
      <c r="JQE42" s="16"/>
      <c r="JQF42" s="16"/>
      <c r="JQG42" s="16"/>
      <c r="JQH42" s="16"/>
      <c r="JQI42" s="16"/>
      <c r="JQJ42" s="16"/>
      <c r="JQK42" s="16"/>
      <c r="JQL42" s="16"/>
      <c r="JQM42" s="16"/>
      <c r="JQN42" s="16"/>
      <c r="JQO42" s="16"/>
      <c r="JQP42" s="16"/>
      <c r="JQQ42" s="16"/>
      <c r="JQR42" s="16"/>
      <c r="JQS42" s="16"/>
      <c r="JQT42" s="16"/>
      <c r="JQU42" s="16"/>
      <c r="JQV42" s="16"/>
      <c r="JQW42" s="16"/>
      <c r="JQX42" s="16"/>
      <c r="JQY42" s="16"/>
      <c r="JQZ42" s="16"/>
      <c r="JRA42" s="16"/>
      <c r="JRB42" s="16"/>
      <c r="JRC42" s="16"/>
      <c r="JRD42" s="16"/>
      <c r="JRE42" s="16"/>
      <c r="JRF42" s="16"/>
      <c r="JRG42" s="16"/>
      <c r="JRH42" s="16"/>
      <c r="JRI42" s="16"/>
      <c r="JRJ42" s="16"/>
      <c r="JRK42" s="16"/>
      <c r="JRL42" s="16"/>
      <c r="JRM42" s="16"/>
      <c r="JRN42" s="16"/>
      <c r="JRO42" s="16"/>
      <c r="JRP42" s="16"/>
      <c r="JRQ42" s="16"/>
      <c r="JRR42" s="16"/>
      <c r="JRS42" s="16"/>
      <c r="JRT42" s="16"/>
      <c r="JRU42" s="16"/>
      <c r="JRV42" s="16"/>
      <c r="JRW42" s="16"/>
      <c r="JRX42" s="16"/>
      <c r="JRY42" s="16"/>
      <c r="JRZ42" s="16"/>
      <c r="JSA42" s="16"/>
      <c r="JSB42" s="16"/>
      <c r="JSC42" s="16"/>
      <c r="JSD42" s="16"/>
      <c r="JSE42" s="16"/>
      <c r="JSF42" s="16"/>
      <c r="JSG42" s="16"/>
      <c r="JSH42" s="16"/>
      <c r="JSI42" s="16"/>
      <c r="JSJ42" s="16"/>
      <c r="JSK42" s="16"/>
      <c r="JSL42" s="16"/>
      <c r="JSM42" s="16"/>
      <c r="JSN42" s="16"/>
      <c r="JSO42" s="16"/>
      <c r="JSP42" s="16"/>
      <c r="JSQ42" s="16"/>
      <c r="JSR42" s="16"/>
      <c r="JSS42" s="16"/>
      <c r="JST42" s="16"/>
      <c r="JSU42" s="16"/>
      <c r="JSV42" s="16"/>
      <c r="JSW42" s="16"/>
      <c r="JSX42" s="16"/>
      <c r="JSY42" s="16"/>
      <c r="JSZ42" s="16"/>
      <c r="JTA42" s="16"/>
      <c r="JTB42" s="16"/>
      <c r="JTC42" s="16"/>
      <c r="JTD42" s="16"/>
      <c r="JTE42" s="16"/>
      <c r="JTF42" s="16"/>
      <c r="JTG42" s="16"/>
      <c r="JTH42" s="16"/>
      <c r="JTI42" s="16"/>
      <c r="JTJ42" s="16"/>
      <c r="JTK42" s="16"/>
      <c r="JTL42" s="16"/>
      <c r="JTM42" s="16"/>
      <c r="JTN42" s="16"/>
      <c r="JTO42" s="16"/>
      <c r="JTP42" s="16"/>
      <c r="JTQ42" s="16"/>
      <c r="JTR42" s="16"/>
      <c r="JTS42" s="16"/>
      <c r="JTT42" s="16"/>
      <c r="JTU42" s="16"/>
      <c r="JTV42" s="16"/>
      <c r="JTW42" s="16"/>
      <c r="JTX42" s="16"/>
      <c r="JTY42" s="16"/>
      <c r="JTZ42" s="16"/>
      <c r="JUA42" s="16"/>
      <c r="JUB42" s="16"/>
      <c r="JUC42" s="16"/>
      <c r="JUD42" s="16"/>
      <c r="JUE42" s="16"/>
      <c r="JUF42" s="16"/>
      <c r="JUG42" s="16"/>
      <c r="JUH42" s="16"/>
      <c r="JUI42" s="16"/>
      <c r="JUJ42" s="16"/>
      <c r="JUK42" s="16"/>
      <c r="JUL42" s="16"/>
      <c r="JUM42" s="16"/>
      <c r="JUN42" s="16"/>
      <c r="JUO42" s="16"/>
      <c r="JUP42" s="16"/>
      <c r="JUQ42" s="16"/>
      <c r="JUR42" s="16"/>
      <c r="JUS42" s="16"/>
      <c r="JUT42" s="16"/>
      <c r="JUU42" s="16"/>
      <c r="JUV42" s="16"/>
      <c r="JUW42" s="16"/>
      <c r="JUX42" s="16"/>
      <c r="JUY42" s="16"/>
      <c r="JUZ42" s="16"/>
      <c r="JVA42" s="16"/>
      <c r="JVB42" s="16"/>
      <c r="JVC42" s="16"/>
      <c r="JVD42" s="16"/>
      <c r="JVE42" s="16"/>
      <c r="JVF42" s="16"/>
      <c r="JVG42" s="16"/>
      <c r="JVH42" s="16"/>
      <c r="JVI42" s="16"/>
      <c r="JVJ42" s="16"/>
      <c r="JVK42" s="16"/>
      <c r="JVL42" s="16"/>
      <c r="JVM42" s="16"/>
      <c r="JVN42" s="16"/>
      <c r="JVO42" s="16"/>
      <c r="JVP42" s="16"/>
      <c r="JVQ42" s="16"/>
      <c r="JVR42" s="16"/>
      <c r="JVS42" s="16"/>
      <c r="JVT42" s="16"/>
      <c r="JVU42" s="16"/>
      <c r="JVV42" s="16"/>
      <c r="JVW42" s="16"/>
      <c r="JVX42" s="16"/>
      <c r="JVY42" s="16"/>
      <c r="JVZ42" s="16"/>
      <c r="JWA42" s="16"/>
      <c r="JWB42" s="16"/>
      <c r="JWC42" s="16"/>
      <c r="JWD42" s="16"/>
      <c r="JWE42" s="16"/>
      <c r="JWF42" s="16"/>
      <c r="JWG42" s="16"/>
      <c r="JWH42" s="16"/>
      <c r="JWI42" s="16"/>
      <c r="JWJ42" s="16"/>
      <c r="JWK42" s="16"/>
      <c r="JWL42" s="16"/>
      <c r="JWM42" s="16"/>
      <c r="JWN42" s="16"/>
      <c r="JWO42" s="16"/>
      <c r="JWP42" s="16"/>
      <c r="JWQ42" s="16"/>
      <c r="JWR42" s="16"/>
      <c r="JWS42" s="16"/>
      <c r="JWT42" s="16"/>
      <c r="JWU42" s="16"/>
      <c r="JWV42" s="16"/>
      <c r="JWW42" s="16"/>
      <c r="JWX42" s="16"/>
      <c r="JWY42" s="16"/>
      <c r="JWZ42" s="16"/>
      <c r="JXA42" s="16"/>
      <c r="JXB42" s="16"/>
      <c r="JXC42" s="16"/>
      <c r="JXD42" s="16"/>
      <c r="JXE42" s="16"/>
      <c r="JXF42" s="16"/>
      <c r="JXG42" s="16"/>
      <c r="JXH42" s="16"/>
      <c r="JXI42" s="16"/>
      <c r="JXJ42" s="16"/>
      <c r="JXK42" s="16"/>
      <c r="JXL42" s="16"/>
      <c r="JXM42" s="16"/>
      <c r="JXN42" s="16"/>
      <c r="JXO42" s="16"/>
      <c r="JXP42" s="16"/>
      <c r="JXQ42" s="16"/>
      <c r="JXR42" s="16"/>
      <c r="JXS42" s="16"/>
      <c r="JXT42" s="16"/>
      <c r="JXU42" s="16"/>
      <c r="JXV42" s="16"/>
      <c r="JXW42" s="16"/>
      <c r="JXX42" s="16"/>
      <c r="JXY42" s="16"/>
      <c r="JXZ42" s="16"/>
      <c r="JYA42" s="16"/>
      <c r="JYB42" s="16"/>
      <c r="JYC42" s="16"/>
      <c r="JYD42" s="16"/>
      <c r="JYE42" s="16"/>
      <c r="JYF42" s="16"/>
      <c r="JYG42" s="16"/>
      <c r="JYH42" s="16"/>
      <c r="JYI42" s="16"/>
      <c r="JYJ42" s="16"/>
      <c r="JYK42" s="16"/>
      <c r="JYL42" s="16"/>
      <c r="JYM42" s="16"/>
      <c r="JYN42" s="16"/>
      <c r="JYO42" s="16"/>
      <c r="JYP42" s="16"/>
      <c r="JYQ42" s="16"/>
      <c r="JYR42" s="16"/>
      <c r="JYS42" s="16"/>
      <c r="JYT42" s="16"/>
      <c r="JYU42" s="16"/>
      <c r="JYV42" s="16"/>
      <c r="JYW42" s="16"/>
      <c r="JYX42" s="16"/>
      <c r="JYY42" s="16"/>
      <c r="JYZ42" s="16"/>
      <c r="JZA42" s="16"/>
      <c r="JZB42" s="16"/>
      <c r="JZC42" s="16"/>
      <c r="JZD42" s="16"/>
      <c r="JZE42" s="16"/>
      <c r="JZF42" s="16"/>
      <c r="JZG42" s="16"/>
      <c r="JZH42" s="16"/>
      <c r="JZI42" s="16"/>
      <c r="JZJ42" s="16"/>
      <c r="JZK42" s="16"/>
      <c r="JZL42" s="16"/>
      <c r="JZM42" s="16"/>
      <c r="JZN42" s="16"/>
      <c r="JZO42" s="16"/>
      <c r="JZP42" s="16"/>
      <c r="JZQ42" s="16"/>
      <c r="JZR42" s="16"/>
      <c r="JZS42" s="16"/>
      <c r="JZT42" s="16"/>
      <c r="JZU42" s="16"/>
      <c r="JZV42" s="16"/>
      <c r="JZW42" s="16"/>
      <c r="JZX42" s="16"/>
      <c r="JZY42" s="16"/>
      <c r="JZZ42" s="16"/>
      <c r="KAA42" s="16"/>
      <c r="KAB42" s="16"/>
      <c r="KAC42" s="16"/>
      <c r="KAD42" s="16"/>
      <c r="KAE42" s="16"/>
      <c r="KAF42" s="16"/>
      <c r="KAG42" s="16"/>
      <c r="KAH42" s="16"/>
      <c r="KAI42" s="16"/>
      <c r="KAJ42" s="16"/>
      <c r="KAK42" s="16"/>
      <c r="KAL42" s="16"/>
      <c r="KAM42" s="16"/>
      <c r="KAN42" s="16"/>
      <c r="KAO42" s="16"/>
      <c r="KAP42" s="16"/>
      <c r="KAQ42" s="16"/>
      <c r="KAR42" s="16"/>
      <c r="KAS42" s="16"/>
      <c r="KAT42" s="16"/>
      <c r="KAU42" s="16"/>
      <c r="KAV42" s="16"/>
      <c r="KAW42" s="16"/>
      <c r="KAX42" s="16"/>
      <c r="KAY42" s="16"/>
      <c r="KAZ42" s="16"/>
      <c r="KBA42" s="16"/>
      <c r="KBB42" s="16"/>
      <c r="KBC42" s="16"/>
      <c r="KBD42" s="16"/>
      <c r="KBE42" s="16"/>
      <c r="KBF42" s="16"/>
      <c r="KBG42" s="16"/>
      <c r="KBH42" s="16"/>
      <c r="KBI42" s="16"/>
      <c r="KBJ42" s="16"/>
      <c r="KBK42" s="16"/>
      <c r="KBL42" s="16"/>
      <c r="KBM42" s="16"/>
      <c r="KBN42" s="16"/>
      <c r="KBO42" s="16"/>
      <c r="KBP42" s="16"/>
      <c r="KBQ42" s="16"/>
      <c r="KBR42" s="16"/>
      <c r="KBS42" s="16"/>
      <c r="KBT42" s="16"/>
      <c r="KBU42" s="16"/>
      <c r="KBV42" s="16"/>
      <c r="KBW42" s="16"/>
      <c r="KBX42" s="16"/>
      <c r="KBY42" s="16"/>
      <c r="KBZ42" s="16"/>
      <c r="KCA42" s="16"/>
      <c r="KCB42" s="16"/>
      <c r="KCC42" s="16"/>
      <c r="KCD42" s="16"/>
      <c r="KCE42" s="16"/>
      <c r="KCF42" s="16"/>
      <c r="KCG42" s="16"/>
      <c r="KCH42" s="16"/>
      <c r="KCI42" s="16"/>
      <c r="KCJ42" s="16"/>
      <c r="KCK42" s="16"/>
      <c r="KCL42" s="16"/>
      <c r="KCM42" s="16"/>
      <c r="KCN42" s="16"/>
      <c r="KCO42" s="16"/>
      <c r="KCP42" s="16"/>
      <c r="KCQ42" s="16"/>
      <c r="KCR42" s="16"/>
      <c r="KCS42" s="16"/>
      <c r="KCT42" s="16"/>
      <c r="KCU42" s="16"/>
      <c r="KCV42" s="16"/>
      <c r="KCW42" s="16"/>
      <c r="KCX42" s="16"/>
      <c r="KCY42" s="16"/>
      <c r="KCZ42" s="16"/>
      <c r="KDA42" s="16"/>
      <c r="KDB42" s="16"/>
      <c r="KDC42" s="16"/>
      <c r="KDD42" s="16"/>
      <c r="KDE42" s="16"/>
      <c r="KDF42" s="16"/>
      <c r="KDG42" s="16"/>
      <c r="KDH42" s="16"/>
      <c r="KDI42" s="16"/>
      <c r="KDJ42" s="16"/>
      <c r="KDK42" s="16"/>
      <c r="KDL42" s="16"/>
      <c r="KDM42" s="16"/>
      <c r="KDN42" s="16"/>
      <c r="KDO42" s="16"/>
      <c r="KDP42" s="16"/>
      <c r="KDQ42" s="16"/>
      <c r="KDR42" s="16"/>
      <c r="KDS42" s="16"/>
      <c r="KDT42" s="16"/>
      <c r="KDU42" s="16"/>
      <c r="KDV42" s="16"/>
      <c r="KDW42" s="16"/>
      <c r="KDX42" s="16"/>
      <c r="KDY42" s="16"/>
      <c r="KDZ42" s="16"/>
      <c r="KEA42" s="16"/>
      <c r="KEB42" s="16"/>
      <c r="KEC42" s="16"/>
      <c r="KED42" s="16"/>
      <c r="KEE42" s="16"/>
      <c r="KEF42" s="16"/>
      <c r="KEG42" s="16"/>
      <c r="KEH42" s="16"/>
      <c r="KEI42" s="16"/>
      <c r="KEJ42" s="16"/>
      <c r="KEK42" s="16"/>
      <c r="KEL42" s="16"/>
      <c r="KEM42" s="16"/>
      <c r="KEN42" s="16"/>
      <c r="KEO42" s="16"/>
      <c r="KEP42" s="16"/>
      <c r="KEQ42" s="16"/>
      <c r="KER42" s="16"/>
      <c r="KES42" s="16"/>
      <c r="KET42" s="16"/>
      <c r="KEU42" s="16"/>
      <c r="KEV42" s="16"/>
      <c r="KEW42" s="16"/>
      <c r="KEX42" s="16"/>
      <c r="KEY42" s="16"/>
      <c r="KEZ42" s="16"/>
      <c r="KFA42" s="16"/>
      <c r="KFB42" s="16"/>
      <c r="KFC42" s="16"/>
      <c r="KFD42" s="16"/>
      <c r="KFE42" s="16"/>
      <c r="KFF42" s="16"/>
      <c r="KFG42" s="16"/>
      <c r="KFH42" s="16"/>
      <c r="KFI42" s="16"/>
      <c r="KFJ42" s="16"/>
      <c r="KFK42" s="16"/>
      <c r="KFL42" s="16"/>
      <c r="KFM42" s="16"/>
      <c r="KFN42" s="16"/>
      <c r="KFO42" s="16"/>
      <c r="KFP42" s="16"/>
      <c r="KFQ42" s="16"/>
      <c r="KFR42" s="16"/>
      <c r="KFS42" s="16"/>
      <c r="KFT42" s="16"/>
      <c r="KFU42" s="16"/>
      <c r="KFV42" s="16"/>
      <c r="KFW42" s="16"/>
      <c r="KFX42" s="16"/>
      <c r="KFY42" s="16"/>
      <c r="KFZ42" s="16"/>
      <c r="KGA42" s="16"/>
      <c r="KGB42" s="16"/>
      <c r="KGC42" s="16"/>
      <c r="KGD42" s="16"/>
      <c r="KGE42" s="16"/>
      <c r="KGF42" s="16"/>
      <c r="KGG42" s="16"/>
      <c r="KGH42" s="16"/>
      <c r="KGI42" s="16"/>
      <c r="KGJ42" s="16"/>
      <c r="KGK42" s="16"/>
      <c r="KGL42" s="16"/>
      <c r="KGM42" s="16"/>
      <c r="KGN42" s="16"/>
      <c r="KGO42" s="16"/>
      <c r="KGP42" s="16"/>
      <c r="KGQ42" s="16"/>
      <c r="KGR42" s="16"/>
      <c r="KGS42" s="16"/>
      <c r="KGT42" s="16"/>
      <c r="KGU42" s="16"/>
      <c r="KGV42" s="16"/>
      <c r="KGW42" s="16"/>
      <c r="KGX42" s="16"/>
      <c r="KGY42" s="16"/>
      <c r="KGZ42" s="16"/>
      <c r="KHA42" s="16"/>
      <c r="KHB42" s="16"/>
      <c r="KHC42" s="16"/>
      <c r="KHD42" s="16"/>
      <c r="KHE42" s="16"/>
      <c r="KHF42" s="16"/>
      <c r="KHG42" s="16"/>
      <c r="KHH42" s="16"/>
      <c r="KHI42" s="16"/>
      <c r="KHJ42" s="16"/>
      <c r="KHK42" s="16"/>
      <c r="KHL42" s="16"/>
      <c r="KHM42" s="16"/>
      <c r="KHN42" s="16"/>
      <c r="KHO42" s="16"/>
      <c r="KHP42" s="16"/>
      <c r="KHQ42" s="16"/>
      <c r="KHR42" s="16"/>
      <c r="KHS42" s="16"/>
      <c r="KHT42" s="16"/>
      <c r="KHU42" s="16"/>
      <c r="KHV42" s="16"/>
      <c r="KHW42" s="16"/>
      <c r="KHX42" s="16"/>
      <c r="KHY42" s="16"/>
      <c r="KHZ42" s="16"/>
      <c r="KIA42" s="16"/>
      <c r="KIB42" s="16"/>
      <c r="KIC42" s="16"/>
      <c r="KID42" s="16"/>
      <c r="KIE42" s="16"/>
      <c r="KIF42" s="16"/>
      <c r="KIG42" s="16"/>
      <c r="KIH42" s="16"/>
      <c r="KII42" s="16"/>
      <c r="KIJ42" s="16"/>
      <c r="KIK42" s="16"/>
      <c r="KIL42" s="16"/>
      <c r="KIM42" s="16"/>
      <c r="KIN42" s="16"/>
      <c r="KIO42" s="16"/>
      <c r="KIP42" s="16"/>
      <c r="KIQ42" s="16"/>
      <c r="KIR42" s="16"/>
      <c r="KIS42" s="16"/>
      <c r="KIT42" s="16"/>
      <c r="KIU42" s="16"/>
      <c r="KIV42" s="16"/>
      <c r="KIW42" s="16"/>
      <c r="KIX42" s="16"/>
      <c r="KIY42" s="16"/>
      <c r="KIZ42" s="16"/>
      <c r="KJA42" s="16"/>
      <c r="KJB42" s="16"/>
      <c r="KJC42" s="16"/>
      <c r="KJD42" s="16"/>
      <c r="KJE42" s="16"/>
      <c r="KJF42" s="16"/>
      <c r="KJG42" s="16"/>
      <c r="KJH42" s="16"/>
      <c r="KJI42" s="16"/>
      <c r="KJJ42" s="16"/>
      <c r="KJK42" s="16"/>
      <c r="KJL42" s="16"/>
      <c r="KJM42" s="16"/>
      <c r="KJN42" s="16"/>
      <c r="KJO42" s="16"/>
      <c r="KJP42" s="16"/>
      <c r="KJQ42" s="16"/>
      <c r="KJR42" s="16"/>
      <c r="KJS42" s="16"/>
      <c r="KJT42" s="16"/>
      <c r="KJU42" s="16"/>
      <c r="KJV42" s="16"/>
      <c r="KJW42" s="16"/>
      <c r="KJX42" s="16"/>
      <c r="KJY42" s="16"/>
      <c r="KJZ42" s="16"/>
      <c r="KKA42" s="16"/>
      <c r="KKB42" s="16"/>
      <c r="KKC42" s="16"/>
      <c r="KKD42" s="16"/>
      <c r="KKE42" s="16"/>
      <c r="KKF42" s="16"/>
      <c r="KKG42" s="16"/>
      <c r="KKH42" s="16"/>
      <c r="KKI42" s="16"/>
      <c r="KKJ42" s="16"/>
      <c r="KKK42" s="16"/>
      <c r="KKL42" s="16"/>
      <c r="KKM42" s="16"/>
      <c r="KKN42" s="16"/>
      <c r="KKO42" s="16"/>
      <c r="KKP42" s="16"/>
      <c r="KKQ42" s="16"/>
      <c r="KKR42" s="16"/>
      <c r="KKS42" s="16"/>
      <c r="KKT42" s="16"/>
      <c r="KKU42" s="16"/>
      <c r="KKV42" s="16"/>
      <c r="KKW42" s="16"/>
      <c r="KKX42" s="16"/>
      <c r="KKY42" s="16"/>
      <c r="KKZ42" s="16"/>
      <c r="KLA42" s="16"/>
      <c r="KLB42" s="16"/>
      <c r="KLC42" s="16"/>
      <c r="KLD42" s="16"/>
      <c r="KLE42" s="16"/>
      <c r="KLF42" s="16"/>
      <c r="KLG42" s="16"/>
      <c r="KLH42" s="16"/>
      <c r="KLI42" s="16"/>
      <c r="KLJ42" s="16"/>
      <c r="KLK42" s="16"/>
      <c r="KLL42" s="16"/>
      <c r="KLM42" s="16"/>
      <c r="KLN42" s="16"/>
      <c r="KLO42" s="16"/>
      <c r="KLP42" s="16"/>
      <c r="KLQ42" s="16"/>
      <c r="KLR42" s="16"/>
      <c r="KLS42" s="16"/>
      <c r="KLT42" s="16"/>
      <c r="KLU42" s="16"/>
      <c r="KLV42" s="16"/>
      <c r="KLW42" s="16"/>
      <c r="KLX42" s="16"/>
      <c r="KLY42" s="16"/>
      <c r="KLZ42" s="16"/>
      <c r="KMA42" s="16"/>
      <c r="KMB42" s="16"/>
      <c r="KMC42" s="16"/>
      <c r="KMD42" s="16"/>
      <c r="KME42" s="16"/>
      <c r="KMF42" s="16"/>
      <c r="KMG42" s="16"/>
      <c r="KMH42" s="16"/>
      <c r="KMI42" s="16"/>
      <c r="KMJ42" s="16"/>
      <c r="KMK42" s="16"/>
      <c r="KML42" s="16"/>
      <c r="KMM42" s="16"/>
      <c r="KMN42" s="16"/>
      <c r="KMO42" s="16"/>
      <c r="KMP42" s="16"/>
      <c r="KMQ42" s="16"/>
      <c r="KMR42" s="16"/>
      <c r="KMS42" s="16"/>
      <c r="KMT42" s="16"/>
      <c r="KMU42" s="16"/>
      <c r="KMV42" s="16"/>
      <c r="KMW42" s="16"/>
      <c r="KMX42" s="16"/>
      <c r="KMY42" s="16"/>
      <c r="KMZ42" s="16"/>
      <c r="KNA42" s="16"/>
      <c r="KNB42" s="16"/>
      <c r="KNC42" s="16"/>
      <c r="KND42" s="16"/>
      <c r="KNE42" s="16"/>
      <c r="KNF42" s="16"/>
      <c r="KNG42" s="16"/>
      <c r="KNH42" s="16"/>
      <c r="KNI42" s="16"/>
      <c r="KNJ42" s="16"/>
      <c r="KNK42" s="16"/>
      <c r="KNL42" s="16"/>
      <c r="KNM42" s="16"/>
      <c r="KNN42" s="16"/>
      <c r="KNO42" s="16"/>
      <c r="KNP42" s="16"/>
      <c r="KNQ42" s="16"/>
      <c r="KNR42" s="16"/>
      <c r="KNS42" s="16"/>
      <c r="KNT42" s="16"/>
      <c r="KNU42" s="16"/>
      <c r="KNV42" s="16"/>
      <c r="KNW42" s="16"/>
      <c r="KNX42" s="16"/>
      <c r="KNY42" s="16"/>
      <c r="KNZ42" s="16"/>
      <c r="KOA42" s="16"/>
      <c r="KOB42" s="16"/>
      <c r="KOC42" s="16"/>
      <c r="KOD42" s="16"/>
      <c r="KOE42" s="16"/>
      <c r="KOF42" s="16"/>
      <c r="KOG42" s="16"/>
      <c r="KOH42" s="16"/>
      <c r="KOI42" s="16"/>
      <c r="KOJ42" s="16"/>
      <c r="KOK42" s="16"/>
      <c r="KOL42" s="16"/>
      <c r="KOM42" s="16"/>
      <c r="KON42" s="16"/>
      <c r="KOO42" s="16"/>
      <c r="KOP42" s="16"/>
      <c r="KOQ42" s="16"/>
      <c r="KOR42" s="16"/>
      <c r="KOS42" s="16"/>
      <c r="KOT42" s="16"/>
      <c r="KOU42" s="16"/>
      <c r="KOV42" s="16"/>
      <c r="KOW42" s="16"/>
      <c r="KOX42" s="16"/>
      <c r="KOY42" s="16"/>
      <c r="KOZ42" s="16"/>
      <c r="KPA42" s="16"/>
      <c r="KPB42" s="16"/>
      <c r="KPC42" s="16"/>
      <c r="KPD42" s="16"/>
      <c r="KPE42" s="16"/>
      <c r="KPF42" s="16"/>
      <c r="KPG42" s="16"/>
      <c r="KPH42" s="16"/>
      <c r="KPI42" s="16"/>
      <c r="KPJ42" s="16"/>
      <c r="KPK42" s="16"/>
      <c r="KPL42" s="16"/>
      <c r="KPM42" s="16"/>
      <c r="KPN42" s="16"/>
      <c r="KPO42" s="16"/>
      <c r="KPP42" s="16"/>
      <c r="KPQ42" s="16"/>
      <c r="KPR42" s="16"/>
      <c r="KPS42" s="16"/>
      <c r="KPT42" s="16"/>
      <c r="KPU42" s="16"/>
      <c r="KPV42" s="16"/>
      <c r="KPW42" s="16"/>
      <c r="KPX42" s="16"/>
      <c r="KPY42" s="16"/>
      <c r="KPZ42" s="16"/>
      <c r="KQA42" s="16"/>
      <c r="KQB42" s="16"/>
      <c r="KQC42" s="16"/>
      <c r="KQD42" s="16"/>
      <c r="KQE42" s="16"/>
      <c r="KQF42" s="16"/>
      <c r="KQG42" s="16"/>
      <c r="KQH42" s="16"/>
      <c r="KQI42" s="16"/>
      <c r="KQJ42" s="16"/>
      <c r="KQK42" s="16"/>
      <c r="KQL42" s="16"/>
      <c r="KQM42" s="16"/>
      <c r="KQN42" s="16"/>
      <c r="KQO42" s="16"/>
      <c r="KQP42" s="16"/>
      <c r="KQQ42" s="16"/>
      <c r="KQR42" s="16"/>
      <c r="KQS42" s="16"/>
      <c r="KQT42" s="16"/>
      <c r="KQU42" s="16"/>
      <c r="KQV42" s="16"/>
      <c r="KQW42" s="16"/>
      <c r="KQX42" s="16"/>
      <c r="KQY42" s="16"/>
      <c r="KQZ42" s="16"/>
      <c r="KRA42" s="16"/>
      <c r="KRB42" s="16"/>
      <c r="KRC42" s="16"/>
      <c r="KRD42" s="16"/>
      <c r="KRE42" s="16"/>
      <c r="KRF42" s="16"/>
      <c r="KRG42" s="16"/>
      <c r="KRH42" s="16"/>
      <c r="KRI42" s="16"/>
      <c r="KRJ42" s="16"/>
      <c r="KRK42" s="16"/>
      <c r="KRL42" s="16"/>
      <c r="KRM42" s="16"/>
      <c r="KRN42" s="16"/>
      <c r="KRO42" s="16"/>
      <c r="KRP42" s="16"/>
      <c r="KRQ42" s="16"/>
      <c r="KRR42" s="16"/>
      <c r="KRS42" s="16"/>
      <c r="KRT42" s="16"/>
      <c r="KRU42" s="16"/>
      <c r="KRV42" s="16"/>
      <c r="KRW42" s="16"/>
      <c r="KRX42" s="16"/>
      <c r="KRY42" s="16"/>
      <c r="KRZ42" s="16"/>
      <c r="KSA42" s="16"/>
      <c r="KSB42" s="16"/>
      <c r="KSC42" s="16"/>
      <c r="KSD42" s="16"/>
      <c r="KSE42" s="16"/>
      <c r="KSF42" s="16"/>
      <c r="KSG42" s="16"/>
      <c r="KSH42" s="16"/>
      <c r="KSI42" s="16"/>
      <c r="KSJ42" s="16"/>
      <c r="KSK42" s="16"/>
      <c r="KSL42" s="16"/>
      <c r="KSM42" s="16"/>
      <c r="KSN42" s="16"/>
      <c r="KSO42" s="16"/>
      <c r="KSP42" s="16"/>
      <c r="KSQ42" s="16"/>
      <c r="KSR42" s="16"/>
      <c r="KSS42" s="16"/>
      <c r="KST42" s="16"/>
      <c r="KSU42" s="16"/>
      <c r="KSV42" s="16"/>
      <c r="KSW42" s="16"/>
      <c r="KSX42" s="16"/>
      <c r="KSY42" s="16"/>
      <c r="KSZ42" s="16"/>
      <c r="KTA42" s="16"/>
      <c r="KTB42" s="16"/>
      <c r="KTC42" s="16"/>
      <c r="KTD42" s="16"/>
      <c r="KTE42" s="16"/>
      <c r="KTF42" s="16"/>
      <c r="KTG42" s="16"/>
      <c r="KTH42" s="16"/>
      <c r="KTI42" s="16"/>
      <c r="KTJ42" s="16"/>
      <c r="KTK42" s="16"/>
      <c r="KTL42" s="16"/>
      <c r="KTM42" s="16"/>
      <c r="KTN42" s="16"/>
      <c r="KTO42" s="16"/>
      <c r="KTP42" s="16"/>
      <c r="KTQ42" s="16"/>
      <c r="KTR42" s="16"/>
      <c r="KTS42" s="16"/>
      <c r="KTT42" s="16"/>
      <c r="KTU42" s="16"/>
      <c r="KTV42" s="16"/>
      <c r="KTW42" s="16"/>
      <c r="KTX42" s="16"/>
      <c r="KTY42" s="16"/>
      <c r="KTZ42" s="16"/>
      <c r="KUA42" s="16"/>
      <c r="KUB42" s="16"/>
      <c r="KUC42" s="16"/>
      <c r="KUD42" s="16"/>
      <c r="KUE42" s="16"/>
      <c r="KUF42" s="16"/>
      <c r="KUG42" s="16"/>
      <c r="KUH42" s="16"/>
      <c r="KUI42" s="16"/>
      <c r="KUJ42" s="16"/>
      <c r="KUK42" s="16"/>
      <c r="KUL42" s="16"/>
      <c r="KUM42" s="16"/>
      <c r="KUN42" s="16"/>
      <c r="KUO42" s="16"/>
      <c r="KUP42" s="16"/>
      <c r="KUQ42" s="16"/>
      <c r="KUR42" s="16"/>
      <c r="KUS42" s="16"/>
      <c r="KUT42" s="16"/>
      <c r="KUU42" s="16"/>
      <c r="KUV42" s="16"/>
      <c r="KUW42" s="16"/>
      <c r="KUX42" s="16"/>
      <c r="KUY42" s="16"/>
      <c r="KUZ42" s="16"/>
      <c r="KVA42" s="16"/>
      <c r="KVB42" s="16"/>
      <c r="KVC42" s="16"/>
      <c r="KVD42" s="16"/>
      <c r="KVE42" s="16"/>
      <c r="KVF42" s="16"/>
      <c r="KVG42" s="16"/>
      <c r="KVH42" s="16"/>
      <c r="KVI42" s="16"/>
      <c r="KVJ42" s="16"/>
      <c r="KVK42" s="16"/>
      <c r="KVL42" s="16"/>
      <c r="KVM42" s="16"/>
      <c r="KVN42" s="16"/>
      <c r="KVO42" s="16"/>
      <c r="KVP42" s="16"/>
      <c r="KVQ42" s="16"/>
      <c r="KVR42" s="16"/>
      <c r="KVS42" s="16"/>
      <c r="KVT42" s="16"/>
      <c r="KVU42" s="16"/>
      <c r="KVV42" s="16"/>
      <c r="KVW42" s="16"/>
      <c r="KVX42" s="16"/>
      <c r="KVY42" s="16"/>
      <c r="KVZ42" s="16"/>
      <c r="KWA42" s="16"/>
      <c r="KWB42" s="16"/>
      <c r="KWC42" s="16"/>
      <c r="KWD42" s="16"/>
      <c r="KWE42" s="16"/>
      <c r="KWF42" s="16"/>
      <c r="KWG42" s="16"/>
      <c r="KWH42" s="16"/>
      <c r="KWI42" s="16"/>
      <c r="KWJ42" s="16"/>
      <c r="KWK42" s="16"/>
      <c r="KWL42" s="16"/>
      <c r="KWM42" s="16"/>
      <c r="KWN42" s="16"/>
      <c r="KWO42" s="16"/>
      <c r="KWP42" s="16"/>
      <c r="KWQ42" s="16"/>
      <c r="KWR42" s="16"/>
      <c r="KWS42" s="16"/>
      <c r="KWT42" s="16"/>
      <c r="KWU42" s="16"/>
      <c r="KWV42" s="16"/>
      <c r="KWW42" s="16"/>
      <c r="KWX42" s="16"/>
      <c r="KWY42" s="16"/>
      <c r="KWZ42" s="16"/>
      <c r="KXA42" s="16"/>
      <c r="KXB42" s="16"/>
      <c r="KXC42" s="16"/>
      <c r="KXD42" s="16"/>
      <c r="KXE42" s="16"/>
      <c r="KXF42" s="16"/>
      <c r="KXG42" s="16"/>
      <c r="KXH42" s="16"/>
      <c r="KXI42" s="16"/>
      <c r="KXJ42" s="16"/>
      <c r="KXK42" s="16"/>
      <c r="KXL42" s="16"/>
      <c r="KXM42" s="16"/>
      <c r="KXN42" s="16"/>
      <c r="KXO42" s="16"/>
      <c r="KXP42" s="16"/>
      <c r="KXQ42" s="16"/>
      <c r="KXR42" s="16"/>
      <c r="KXS42" s="16"/>
      <c r="KXT42" s="16"/>
      <c r="KXU42" s="16"/>
      <c r="KXV42" s="16"/>
      <c r="KXW42" s="16"/>
      <c r="KXX42" s="16"/>
      <c r="KXY42" s="16"/>
      <c r="KXZ42" s="16"/>
      <c r="KYA42" s="16"/>
      <c r="KYB42" s="16"/>
      <c r="KYC42" s="16"/>
      <c r="KYD42" s="16"/>
      <c r="KYE42" s="16"/>
      <c r="KYF42" s="16"/>
      <c r="KYG42" s="16"/>
      <c r="KYH42" s="16"/>
      <c r="KYI42" s="16"/>
      <c r="KYJ42" s="16"/>
      <c r="KYK42" s="16"/>
      <c r="KYL42" s="16"/>
      <c r="KYM42" s="16"/>
      <c r="KYN42" s="16"/>
      <c r="KYO42" s="16"/>
      <c r="KYP42" s="16"/>
      <c r="KYQ42" s="16"/>
      <c r="KYR42" s="16"/>
      <c r="KYS42" s="16"/>
      <c r="KYT42" s="16"/>
      <c r="KYU42" s="16"/>
      <c r="KYV42" s="16"/>
      <c r="KYW42" s="16"/>
      <c r="KYX42" s="16"/>
      <c r="KYY42" s="16"/>
      <c r="KYZ42" s="16"/>
      <c r="KZA42" s="16"/>
      <c r="KZB42" s="16"/>
      <c r="KZC42" s="16"/>
      <c r="KZD42" s="16"/>
      <c r="KZE42" s="16"/>
      <c r="KZF42" s="16"/>
      <c r="KZG42" s="16"/>
      <c r="KZH42" s="16"/>
      <c r="KZI42" s="16"/>
      <c r="KZJ42" s="16"/>
      <c r="KZK42" s="16"/>
      <c r="KZL42" s="16"/>
      <c r="KZM42" s="16"/>
      <c r="KZN42" s="16"/>
      <c r="KZO42" s="16"/>
      <c r="KZP42" s="16"/>
      <c r="KZQ42" s="16"/>
      <c r="KZR42" s="16"/>
      <c r="KZS42" s="16"/>
      <c r="KZT42" s="16"/>
      <c r="KZU42" s="16"/>
      <c r="KZV42" s="16"/>
      <c r="KZW42" s="16"/>
      <c r="KZX42" s="16"/>
      <c r="KZY42" s="16"/>
      <c r="KZZ42" s="16"/>
      <c r="LAA42" s="16"/>
      <c r="LAB42" s="16"/>
      <c r="LAC42" s="16"/>
      <c r="LAD42" s="16"/>
      <c r="LAE42" s="16"/>
      <c r="LAF42" s="16"/>
      <c r="LAG42" s="16"/>
      <c r="LAH42" s="16"/>
      <c r="LAI42" s="16"/>
      <c r="LAJ42" s="16"/>
      <c r="LAK42" s="16"/>
      <c r="LAL42" s="16"/>
      <c r="LAM42" s="16"/>
      <c r="LAN42" s="16"/>
      <c r="LAO42" s="16"/>
      <c r="LAP42" s="16"/>
      <c r="LAQ42" s="16"/>
      <c r="LAR42" s="16"/>
      <c r="LAS42" s="16"/>
      <c r="LAT42" s="16"/>
      <c r="LAU42" s="16"/>
      <c r="LAV42" s="16"/>
      <c r="LAW42" s="16"/>
      <c r="LAX42" s="16"/>
      <c r="LAY42" s="16"/>
      <c r="LAZ42" s="16"/>
      <c r="LBA42" s="16"/>
      <c r="LBB42" s="16"/>
      <c r="LBC42" s="16"/>
      <c r="LBD42" s="16"/>
      <c r="LBE42" s="16"/>
      <c r="LBF42" s="16"/>
      <c r="LBG42" s="16"/>
      <c r="LBH42" s="16"/>
      <c r="LBI42" s="16"/>
      <c r="LBJ42" s="16"/>
      <c r="LBK42" s="16"/>
      <c r="LBL42" s="16"/>
      <c r="LBM42" s="16"/>
      <c r="LBN42" s="16"/>
      <c r="LBO42" s="16"/>
      <c r="LBP42" s="16"/>
      <c r="LBQ42" s="16"/>
      <c r="LBR42" s="16"/>
      <c r="LBS42" s="16"/>
      <c r="LBT42" s="16"/>
      <c r="LBU42" s="16"/>
      <c r="LBV42" s="16"/>
      <c r="LBW42" s="16"/>
      <c r="LBX42" s="16"/>
      <c r="LBY42" s="16"/>
      <c r="LBZ42" s="16"/>
      <c r="LCA42" s="16"/>
      <c r="LCB42" s="16"/>
      <c r="LCC42" s="16"/>
      <c r="LCD42" s="16"/>
      <c r="LCE42" s="16"/>
      <c r="LCF42" s="16"/>
      <c r="LCG42" s="16"/>
      <c r="LCH42" s="16"/>
      <c r="LCI42" s="16"/>
      <c r="LCJ42" s="16"/>
      <c r="LCK42" s="16"/>
      <c r="LCL42" s="16"/>
      <c r="LCM42" s="16"/>
      <c r="LCN42" s="16"/>
      <c r="LCO42" s="16"/>
      <c r="LCP42" s="16"/>
      <c r="LCQ42" s="16"/>
      <c r="LCR42" s="16"/>
      <c r="LCS42" s="16"/>
      <c r="LCT42" s="16"/>
      <c r="LCU42" s="16"/>
      <c r="LCV42" s="16"/>
      <c r="LCW42" s="16"/>
      <c r="LCX42" s="16"/>
      <c r="LCY42" s="16"/>
      <c r="LCZ42" s="16"/>
      <c r="LDA42" s="16"/>
      <c r="LDB42" s="16"/>
      <c r="LDC42" s="16"/>
      <c r="LDD42" s="16"/>
      <c r="LDE42" s="16"/>
      <c r="LDF42" s="16"/>
      <c r="LDG42" s="16"/>
      <c r="LDH42" s="16"/>
      <c r="LDI42" s="16"/>
      <c r="LDJ42" s="16"/>
      <c r="LDK42" s="16"/>
      <c r="LDL42" s="16"/>
      <c r="LDM42" s="16"/>
      <c r="LDN42" s="16"/>
      <c r="LDO42" s="16"/>
      <c r="LDP42" s="16"/>
      <c r="LDQ42" s="16"/>
      <c r="LDR42" s="16"/>
      <c r="LDS42" s="16"/>
      <c r="LDT42" s="16"/>
      <c r="LDU42" s="16"/>
      <c r="LDV42" s="16"/>
      <c r="LDW42" s="16"/>
      <c r="LDX42" s="16"/>
      <c r="LDY42" s="16"/>
      <c r="LDZ42" s="16"/>
      <c r="LEA42" s="16"/>
      <c r="LEB42" s="16"/>
      <c r="LEC42" s="16"/>
      <c r="LED42" s="16"/>
      <c r="LEE42" s="16"/>
      <c r="LEF42" s="16"/>
      <c r="LEG42" s="16"/>
      <c r="LEH42" s="16"/>
      <c r="LEI42" s="16"/>
      <c r="LEJ42" s="16"/>
      <c r="LEK42" s="16"/>
      <c r="LEL42" s="16"/>
      <c r="LEM42" s="16"/>
      <c r="LEN42" s="16"/>
      <c r="LEO42" s="16"/>
      <c r="LEP42" s="16"/>
      <c r="LEQ42" s="16"/>
      <c r="LER42" s="16"/>
      <c r="LES42" s="16"/>
      <c r="LET42" s="16"/>
      <c r="LEU42" s="16"/>
      <c r="LEV42" s="16"/>
      <c r="LEW42" s="16"/>
      <c r="LEX42" s="16"/>
      <c r="LEY42" s="16"/>
      <c r="LEZ42" s="16"/>
      <c r="LFA42" s="16"/>
      <c r="LFB42" s="16"/>
      <c r="LFC42" s="16"/>
      <c r="LFD42" s="16"/>
      <c r="LFE42" s="16"/>
      <c r="LFF42" s="16"/>
      <c r="LFG42" s="16"/>
      <c r="LFH42" s="16"/>
      <c r="LFI42" s="16"/>
      <c r="LFJ42" s="16"/>
      <c r="LFK42" s="16"/>
      <c r="LFL42" s="16"/>
      <c r="LFM42" s="16"/>
      <c r="LFN42" s="16"/>
      <c r="LFO42" s="16"/>
      <c r="LFP42" s="16"/>
      <c r="LFQ42" s="16"/>
      <c r="LFR42" s="16"/>
      <c r="LFS42" s="16"/>
      <c r="LFT42" s="16"/>
      <c r="LFU42" s="16"/>
      <c r="LFV42" s="16"/>
      <c r="LFW42" s="16"/>
      <c r="LFX42" s="16"/>
      <c r="LFY42" s="16"/>
      <c r="LFZ42" s="16"/>
      <c r="LGA42" s="16"/>
      <c r="LGB42" s="16"/>
      <c r="LGC42" s="16"/>
      <c r="LGD42" s="16"/>
      <c r="LGE42" s="16"/>
      <c r="LGF42" s="16"/>
      <c r="LGG42" s="16"/>
      <c r="LGH42" s="16"/>
      <c r="LGI42" s="16"/>
      <c r="LGJ42" s="16"/>
      <c r="LGK42" s="16"/>
      <c r="LGL42" s="16"/>
      <c r="LGM42" s="16"/>
      <c r="LGN42" s="16"/>
      <c r="LGO42" s="16"/>
      <c r="LGP42" s="16"/>
      <c r="LGQ42" s="16"/>
      <c r="LGR42" s="16"/>
      <c r="LGS42" s="16"/>
      <c r="LGT42" s="16"/>
      <c r="LGU42" s="16"/>
      <c r="LGV42" s="16"/>
      <c r="LGW42" s="16"/>
      <c r="LGX42" s="16"/>
      <c r="LGY42" s="16"/>
      <c r="LGZ42" s="16"/>
      <c r="LHA42" s="16"/>
      <c r="LHB42" s="16"/>
      <c r="LHC42" s="16"/>
      <c r="LHD42" s="16"/>
      <c r="LHE42" s="16"/>
      <c r="LHF42" s="16"/>
      <c r="LHG42" s="16"/>
      <c r="LHH42" s="16"/>
      <c r="LHI42" s="16"/>
      <c r="LHJ42" s="16"/>
      <c r="LHK42" s="16"/>
      <c r="LHL42" s="16"/>
      <c r="LHM42" s="16"/>
      <c r="LHN42" s="16"/>
      <c r="LHO42" s="16"/>
      <c r="LHP42" s="16"/>
      <c r="LHQ42" s="16"/>
      <c r="LHR42" s="16"/>
      <c r="LHS42" s="16"/>
      <c r="LHT42" s="16"/>
      <c r="LHU42" s="16"/>
      <c r="LHV42" s="16"/>
      <c r="LHW42" s="16"/>
      <c r="LHX42" s="16"/>
      <c r="LHY42" s="16"/>
      <c r="LHZ42" s="16"/>
      <c r="LIA42" s="16"/>
      <c r="LIB42" s="16"/>
      <c r="LIC42" s="16"/>
      <c r="LID42" s="16"/>
      <c r="LIE42" s="16"/>
      <c r="LIF42" s="16"/>
      <c r="LIG42" s="16"/>
      <c r="LIH42" s="16"/>
      <c r="LII42" s="16"/>
      <c r="LIJ42" s="16"/>
      <c r="LIK42" s="16"/>
      <c r="LIL42" s="16"/>
      <c r="LIM42" s="16"/>
      <c r="LIN42" s="16"/>
      <c r="LIO42" s="16"/>
      <c r="LIP42" s="16"/>
      <c r="LIQ42" s="16"/>
      <c r="LIR42" s="16"/>
      <c r="LIS42" s="16"/>
      <c r="LIT42" s="16"/>
      <c r="LIU42" s="16"/>
      <c r="LIV42" s="16"/>
      <c r="LIW42" s="16"/>
      <c r="LIX42" s="16"/>
      <c r="LIY42" s="16"/>
      <c r="LIZ42" s="16"/>
      <c r="LJA42" s="16"/>
      <c r="LJB42" s="16"/>
      <c r="LJC42" s="16"/>
      <c r="LJD42" s="16"/>
      <c r="LJE42" s="16"/>
      <c r="LJF42" s="16"/>
      <c r="LJG42" s="16"/>
      <c r="LJH42" s="16"/>
      <c r="LJI42" s="16"/>
      <c r="LJJ42" s="16"/>
      <c r="LJK42" s="16"/>
      <c r="LJL42" s="16"/>
      <c r="LJM42" s="16"/>
      <c r="LJN42" s="16"/>
      <c r="LJO42" s="16"/>
      <c r="LJP42" s="16"/>
      <c r="LJQ42" s="16"/>
      <c r="LJR42" s="16"/>
      <c r="LJS42" s="16"/>
      <c r="LJT42" s="16"/>
      <c r="LJU42" s="16"/>
      <c r="LJV42" s="16"/>
      <c r="LJW42" s="16"/>
      <c r="LJX42" s="16"/>
      <c r="LJY42" s="16"/>
      <c r="LJZ42" s="16"/>
      <c r="LKA42" s="16"/>
      <c r="LKB42" s="16"/>
      <c r="LKC42" s="16"/>
      <c r="LKD42" s="16"/>
      <c r="LKE42" s="16"/>
      <c r="LKF42" s="16"/>
      <c r="LKG42" s="16"/>
      <c r="LKH42" s="16"/>
      <c r="LKI42" s="16"/>
      <c r="LKJ42" s="16"/>
      <c r="LKK42" s="16"/>
      <c r="LKL42" s="16"/>
      <c r="LKM42" s="16"/>
      <c r="LKN42" s="16"/>
      <c r="LKO42" s="16"/>
      <c r="LKP42" s="16"/>
      <c r="LKQ42" s="16"/>
      <c r="LKR42" s="16"/>
      <c r="LKS42" s="16"/>
      <c r="LKT42" s="16"/>
      <c r="LKU42" s="16"/>
      <c r="LKV42" s="16"/>
      <c r="LKW42" s="16"/>
      <c r="LKX42" s="16"/>
      <c r="LKY42" s="16"/>
      <c r="LKZ42" s="16"/>
      <c r="LLA42" s="16"/>
      <c r="LLB42" s="16"/>
      <c r="LLC42" s="16"/>
      <c r="LLD42" s="16"/>
      <c r="LLE42" s="16"/>
      <c r="LLF42" s="16"/>
      <c r="LLG42" s="16"/>
      <c r="LLH42" s="16"/>
      <c r="LLI42" s="16"/>
      <c r="LLJ42" s="16"/>
      <c r="LLK42" s="16"/>
      <c r="LLL42" s="16"/>
      <c r="LLM42" s="16"/>
      <c r="LLN42" s="16"/>
      <c r="LLO42" s="16"/>
      <c r="LLP42" s="16"/>
      <c r="LLQ42" s="16"/>
      <c r="LLR42" s="16"/>
      <c r="LLS42" s="16"/>
      <c r="LLT42" s="16"/>
      <c r="LLU42" s="16"/>
      <c r="LLV42" s="16"/>
      <c r="LLW42" s="16"/>
      <c r="LLX42" s="16"/>
      <c r="LLY42" s="16"/>
      <c r="LLZ42" s="16"/>
      <c r="LMA42" s="16"/>
      <c r="LMB42" s="16"/>
      <c r="LMC42" s="16"/>
      <c r="LMD42" s="16"/>
      <c r="LME42" s="16"/>
      <c r="LMF42" s="16"/>
      <c r="LMG42" s="16"/>
      <c r="LMH42" s="16"/>
      <c r="LMI42" s="16"/>
      <c r="LMJ42" s="16"/>
      <c r="LMK42" s="16"/>
      <c r="LML42" s="16"/>
      <c r="LMM42" s="16"/>
      <c r="LMN42" s="16"/>
      <c r="LMO42" s="16"/>
      <c r="LMP42" s="16"/>
      <c r="LMQ42" s="16"/>
      <c r="LMR42" s="16"/>
      <c r="LMS42" s="16"/>
      <c r="LMT42" s="16"/>
      <c r="LMU42" s="16"/>
      <c r="LMV42" s="16"/>
      <c r="LMW42" s="16"/>
      <c r="LMX42" s="16"/>
      <c r="LMY42" s="16"/>
      <c r="LMZ42" s="16"/>
      <c r="LNA42" s="16"/>
      <c r="LNB42" s="16"/>
      <c r="LNC42" s="16"/>
      <c r="LND42" s="16"/>
      <c r="LNE42" s="16"/>
      <c r="LNF42" s="16"/>
      <c r="LNG42" s="16"/>
      <c r="LNH42" s="16"/>
      <c r="LNI42" s="16"/>
      <c r="LNJ42" s="16"/>
      <c r="LNK42" s="16"/>
      <c r="LNL42" s="16"/>
      <c r="LNM42" s="16"/>
      <c r="LNN42" s="16"/>
      <c r="LNO42" s="16"/>
      <c r="LNP42" s="16"/>
      <c r="LNQ42" s="16"/>
      <c r="LNR42" s="16"/>
      <c r="LNS42" s="16"/>
      <c r="LNT42" s="16"/>
      <c r="LNU42" s="16"/>
      <c r="LNV42" s="16"/>
      <c r="LNW42" s="16"/>
      <c r="LNX42" s="16"/>
      <c r="LNY42" s="16"/>
      <c r="LNZ42" s="16"/>
      <c r="LOA42" s="16"/>
      <c r="LOB42" s="16"/>
      <c r="LOC42" s="16"/>
      <c r="LOD42" s="16"/>
      <c r="LOE42" s="16"/>
      <c r="LOF42" s="16"/>
      <c r="LOG42" s="16"/>
      <c r="LOH42" s="16"/>
      <c r="LOI42" s="16"/>
      <c r="LOJ42" s="16"/>
      <c r="LOK42" s="16"/>
      <c r="LOL42" s="16"/>
      <c r="LOM42" s="16"/>
      <c r="LON42" s="16"/>
      <c r="LOO42" s="16"/>
      <c r="LOP42" s="16"/>
      <c r="LOQ42" s="16"/>
      <c r="LOR42" s="16"/>
      <c r="LOS42" s="16"/>
      <c r="LOT42" s="16"/>
      <c r="LOU42" s="16"/>
      <c r="LOV42" s="16"/>
      <c r="LOW42" s="16"/>
      <c r="LOX42" s="16"/>
      <c r="LOY42" s="16"/>
      <c r="LOZ42" s="16"/>
      <c r="LPA42" s="16"/>
      <c r="LPB42" s="16"/>
      <c r="LPC42" s="16"/>
      <c r="LPD42" s="16"/>
      <c r="LPE42" s="16"/>
      <c r="LPF42" s="16"/>
      <c r="LPG42" s="16"/>
      <c r="LPH42" s="16"/>
      <c r="LPI42" s="16"/>
      <c r="LPJ42" s="16"/>
      <c r="LPK42" s="16"/>
      <c r="LPL42" s="16"/>
      <c r="LPM42" s="16"/>
      <c r="LPN42" s="16"/>
      <c r="LPO42" s="16"/>
      <c r="LPP42" s="16"/>
      <c r="LPQ42" s="16"/>
      <c r="LPR42" s="16"/>
      <c r="LPS42" s="16"/>
      <c r="LPT42" s="16"/>
      <c r="LPU42" s="16"/>
      <c r="LPV42" s="16"/>
      <c r="LPW42" s="16"/>
      <c r="LPX42" s="16"/>
      <c r="LPY42" s="16"/>
      <c r="LPZ42" s="16"/>
      <c r="LQA42" s="16"/>
      <c r="LQB42" s="16"/>
      <c r="LQC42" s="16"/>
      <c r="LQD42" s="16"/>
      <c r="LQE42" s="16"/>
      <c r="LQF42" s="16"/>
      <c r="LQG42" s="16"/>
      <c r="LQH42" s="16"/>
      <c r="LQI42" s="16"/>
      <c r="LQJ42" s="16"/>
      <c r="LQK42" s="16"/>
      <c r="LQL42" s="16"/>
      <c r="LQM42" s="16"/>
      <c r="LQN42" s="16"/>
      <c r="LQO42" s="16"/>
      <c r="LQP42" s="16"/>
      <c r="LQQ42" s="16"/>
      <c r="LQR42" s="16"/>
      <c r="LQS42" s="16"/>
      <c r="LQT42" s="16"/>
      <c r="LQU42" s="16"/>
      <c r="LQV42" s="16"/>
      <c r="LQW42" s="16"/>
      <c r="LQX42" s="16"/>
      <c r="LQY42" s="16"/>
      <c r="LQZ42" s="16"/>
      <c r="LRA42" s="16"/>
      <c r="LRB42" s="16"/>
      <c r="LRC42" s="16"/>
      <c r="LRD42" s="16"/>
      <c r="LRE42" s="16"/>
      <c r="LRF42" s="16"/>
      <c r="LRG42" s="16"/>
      <c r="LRH42" s="16"/>
      <c r="LRI42" s="16"/>
      <c r="LRJ42" s="16"/>
      <c r="LRK42" s="16"/>
      <c r="LRL42" s="16"/>
      <c r="LRM42" s="16"/>
      <c r="LRN42" s="16"/>
      <c r="LRO42" s="16"/>
      <c r="LRP42" s="16"/>
      <c r="LRQ42" s="16"/>
      <c r="LRR42" s="16"/>
      <c r="LRS42" s="16"/>
      <c r="LRT42" s="16"/>
      <c r="LRU42" s="16"/>
      <c r="LRV42" s="16"/>
      <c r="LRW42" s="16"/>
      <c r="LRX42" s="16"/>
      <c r="LRY42" s="16"/>
      <c r="LRZ42" s="16"/>
      <c r="LSA42" s="16"/>
      <c r="LSB42" s="16"/>
      <c r="LSC42" s="16"/>
      <c r="LSD42" s="16"/>
      <c r="LSE42" s="16"/>
      <c r="LSF42" s="16"/>
      <c r="LSG42" s="16"/>
      <c r="LSH42" s="16"/>
      <c r="LSI42" s="16"/>
      <c r="LSJ42" s="16"/>
      <c r="LSK42" s="16"/>
      <c r="LSL42" s="16"/>
      <c r="LSM42" s="16"/>
      <c r="LSN42" s="16"/>
      <c r="LSO42" s="16"/>
      <c r="LSP42" s="16"/>
      <c r="LSQ42" s="16"/>
      <c r="LSR42" s="16"/>
      <c r="LSS42" s="16"/>
      <c r="LST42" s="16"/>
      <c r="LSU42" s="16"/>
      <c r="LSV42" s="16"/>
      <c r="LSW42" s="16"/>
      <c r="LSX42" s="16"/>
      <c r="LSY42" s="16"/>
      <c r="LSZ42" s="16"/>
      <c r="LTA42" s="16"/>
      <c r="LTB42" s="16"/>
      <c r="LTC42" s="16"/>
      <c r="LTD42" s="16"/>
      <c r="LTE42" s="16"/>
      <c r="LTF42" s="16"/>
      <c r="LTG42" s="16"/>
      <c r="LTH42" s="16"/>
      <c r="LTI42" s="16"/>
      <c r="LTJ42" s="16"/>
      <c r="LTK42" s="16"/>
      <c r="LTL42" s="16"/>
      <c r="LTM42" s="16"/>
      <c r="LTN42" s="16"/>
      <c r="LTO42" s="16"/>
      <c r="LTP42" s="16"/>
      <c r="LTQ42" s="16"/>
      <c r="LTR42" s="16"/>
      <c r="LTS42" s="16"/>
      <c r="LTT42" s="16"/>
      <c r="LTU42" s="16"/>
      <c r="LTV42" s="16"/>
      <c r="LTW42" s="16"/>
      <c r="LTX42" s="16"/>
      <c r="LTY42" s="16"/>
      <c r="LTZ42" s="16"/>
      <c r="LUA42" s="16"/>
      <c r="LUB42" s="16"/>
      <c r="LUC42" s="16"/>
      <c r="LUD42" s="16"/>
      <c r="LUE42" s="16"/>
      <c r="LUF42" s="16"/>
      <c r="LUG42" s="16"/>
      <c r="LUH42" s="16"/>
      <c r="LUI42" s="16"/>
      <c r="LUJ42" s="16"/>
      <c r="LUK42" s="16"/>
      <c r="LUL42" s="16"/>
      <c r="LUM42" s="16"/>
      <c r="LUN42" s="16"/>
      <c r="LUO42" s="16"/>
      <c r="LUP42" s="16"/>
      <c r="LUQ42" s="16"/>
      <c r="LUR42" s="16"/>
      <c r="LUS42" s="16"/>
      <c r="LUT42" s="16"/>
      <c r="LUU42" s="16"/>
      <c r="LUV42" s="16"/>
      <c r="LUW42" s="16"/>
      <c r="LUX42" s="16"/>
      <c r="LUY42" s="16"/>
      <c r="LUZ42" s="16"/>
      <c r="LVA42" s="16"/>
      <c r="LVB42" s="16"/>
      <c r="LVC42" s="16"/>
      <c r="LVD42" s="16"/>
      <c r="LVE42" s="16"/>
      <c r="LVF42" s="16"/>
      <c r="LVG42" s="16"/>
      <c r="LVH42" s="16"/>
      <c r="LVI42" s="16"/>
      <c r="LVJ42" s="16"/>
      <c r="LVK42" s="16"/>
      <c r="LVL42" s="16"/>
      <c r="LVM42" s="16"/>
      <c r="LVN42" s="16"/>
      <c r="LVO42" s="16"/>
      <c r="LVP42" s="16"/>
      <c r="LVQ42" s="16"/>
      <c r="LVR42" s="16"/>
      <c r="LVS42" s="16"/>
      <c r="LVT42" s="16"/>
      <c r="LVU42" s="16"/>
      <c r="LVV42" s="16"/>
      <c r="LVW42" s="16"/>
      <c r="LVX42" s="16"/>
      <c r="LVY42" s="16"/>
      <c r="LVZ42" s="16"/>
      <c r="LWA42" s="16"/>
      <c r="LWB42" s="16"/>
      <c r="LWC42" s="16"/>
      <c r="LWD42" s="16"/>
      <c r="LWE42" s="16"/>
      <c r="LWF42" s="16"/>
      <c r="LWG42" s="16"/>
      <c r="LWH42" s="16"/>
      <c r="LWI42" s="16"/>
      <c r="LWJ42" s="16"/>
      <c r="LWK42" s="16"/>
      <c r="LWL42" s="16"/>
      <c r="LWM42" s="16"/>
      <c r="LWN42" s="16"/>
      <c r="LWO42" s="16"/>
      <c r="LWP42" s="16"/>
      <c r="LWQ42" s="16"/>
      <c r="LWR42" s="16"/>
      <c r="LWS42" s="16"/>
      <c r="LWT42" s="16"/>
      <c r="LWU42" s="16"/>
      <c r="LWV42" s="16"/>
      <c r="LWW42" s="16"/>
      <c r="LWX42" s="16"/>
      <c r="LWY42" s="16"/>
      <c r="LWZ42" s="16"/>
      <c r="LXA42" s="16"/>
      <c r="LXB42" s="16"/>
      <c r="LXC42" s="16"/>
      <c r="LXD42" s="16"/>
      <c r="LXE42" s="16"/>
      <c r="LXF42" s="16"/>
      <c r="LXG42" s="16"/>
      <c r="LXH42" s="16"/>
      <c r="LXI42" s="16"/>
      <c r="LXJ42" s="16"/>
      <c r="LXK42" s="16"/>
      <c r="LXL42" s="16"/>
      <c r="LXM42" s="16"/>
      <c r="LXN42" s="16"/>
      <c r="LXO42" s="16"/>
      <c r="LXP42" s="16"/>
      <c r="LXQ42" s="16"/>
      <c r="LXR42" s="16"/>
      <c r="LXS42" s="16"/>
      <c r="LXT42" s="16"/>
      <c r="LXU42" s="16"/>
      <c r="LXV42" s="16"/>
      <c r="LXW42" s="16"/>
      <c r="LXX42" s="16"/>
      <c r="LXY42" s="16"/>
      <c r="LXZ42" s="16"/>
      <c r="LYA42" s="16"/>
      <c r="LYB42" s="16"/>
      <c r="LYC42" s="16"/>
      <c r="LYD42" s="16"/>
      <c r="LYE42" s="16"/>
      <c r="LYF42" s="16"/>
      <c r="LYG42" s="16"/>
      <c r="LYH42" s="16"/>
      <c r="LYI42" s="16"/>
      <c r="LYJ42" s="16"/>
      <c r="LYK42" s="16"/>
      <c r="LYL42" s="16"/>
      <c r="LYM42" s="16"/>
      <c r="LYN42" s="16"/>
      <c r="LYO42" s="16"/>
      <c r="LYP42" s="16"/>
      <c r="LYQ42" s="16"/>
      <c r="LYR42" s="16"/>
      <c r="LYS42" s="16"/>
      <c r="LYT42" s="16"/>
      <c r="LYU42" s="16"/>
      <c r="LYV42" s="16"/>
      <c r="LYW42" s="16"/>
      <c r="LYX42" s="16"/>
      <c r="LYY42" s="16"/>
      <c r="LYZ42" s="16"/>
      <c r="LZA42" s="16"/>
      <c r="LZB42" s="16"/>
      <c r="LZC42" s="16"/>
      <c r="LZD42" s="16"/>
      <c r="LZE42" s="16"/>
      <c r="LZF42" s="16"/>
      <c r="LZG42" s="16"/>
      <c r="LZH42" s="16"/>
      <c r="LZI42" s="16"/>
      <c r="LZJ42" s="16"/>
      <c r="LZK42" s="16"/>
      <c r="LZL42" s="16"/>
      <c r="LZM42" s="16"/>
      <c r="LZN42" s="16"/>
      <c r="LZO42" s="16"/>
      <c r="LZP42" s="16"/>
      <c r="LZQ42" s="16"/>
      <c r="LZR42" s="16"/>
      <c r="LZS42" s="16"/>
      <c r="LZT42" s="16"/>
      <c r="LZU42" s="16"/>
      <c r="LZV42" s="16"/>
      <c r="LZW42" s="16"/>
      <c r="LZX42" s="16"/>
      <c r="LZY42" s="16"/>
      <c r="LZZ42" s="16"/>
      <c r="MAA42" s="16"/>
      <c r="MAB42" s="16"/>
      <c r="MAC42" s="16"/>
      <c r="MAD42" s="16"/>
      <c r="MAE42" s="16"/>
      <c r="MAF42" s="16"/>
      <c r="MAG42" s="16"/>
      <c r="MAH42" s="16"/>
      <c r="MAI42" s="16"/>
      <c r="MAJ42" s="16"/>
      <c r="MAK42" s="16"/>
      <c r="MAL42" s="16"/>
      <c r="MAM42" s="16"/>
      <c r="MAN42" s="16"/>
      <c r="MAO42" s="16"/>
      <c r="MAP42" s="16"/>
      <c r="MAQ42" s="16"/>
      <c r="MAR42" s="16"/>
      <c r="MAS42" s="16"/>
      <c r="MAT42" s="16"/>
      <c r="MAU42" s="16"/>
      <c r="MAV42" s="16"/>
      <c r="MAW42" s="16"/>
      <c r="MAX42" s="16"/>
      <c r="MAY42" s="16"/>
      <c r="MAZ42" s="16"/>
      <c r="MBA42" s="16"/>
      <c r="MBB42" s="16"/>
      <c r="MBC42" s="16"/>
      <c r="MBD42" s="16"/>
      <c r="MBE42" s="16"/>
      <c r="MBF42" s="16"/>
      <c r="MBG42" s="16"/>
      <c r="MBH42" s="16"/>
      <c r="MBI42" s="16"/>
      <c r="MBJ42" s="16"/>
      <c r="MBK42" s="16"/>
      <c r="MBL42" s="16"/>
      <c r="MBM42" s="16"/>
      <c r="MBN42" s="16"/>
      <c r="MBO42" s="16"/>
      <c r="MBP42" s="16"/>
      <c r="MBQ42" s="16"/>
      <c r="MBR42" s="16"/>
      <c r="MBS42" s="16"/>
      <c r="MBT42" s="16"/>
      <c r="MBU42" s="16"/>
      <c r="MBV42" s="16"/>
      <c r="MBW42" s="16"/>
      <c r="MBX42" s="16"/>
      <c r="MBY42" s="16"/>
      <c r="MBZ42" s="16"/>
      <c r="MCA42" s="16"/>
      <c r="MCB42" s="16"/>
      <c r="MCC42" s="16"/>
      <c r="MCD42" s="16"/>
      <c r="MCE42" s="16"/>
      <c r="MCF42" s="16"/>
      <c r="MCG42" s="16"/>
      <c r="MCH42" s="16"/>
      <c r="MCI42" s="16"/>
      <c r="MCJ42" s="16"/>
      <c r="MCK42" s="16"/>
      <c r="MCL42" s="16"/>
      <c r="MCM42" s="16"/>
      <c r="MCN42" s="16"/>
      <c r="MCO42" s="16"/>
      <c r="MCP42" s="16"/>
      <c r="MCQ42" s="16"/>
      <c r="MCR42" s="16"/>
      <c r="MCS42" s="16"/>
      <c r="MCT42" s="16"/>
      <c r="MCU42" s="16"/>
      <c r="MCV42" s="16"/>
      <c r="MCW42" s="16"/>
      <c r="MCX42" s="16"/>
      <c r="MCY42" s="16"/>
      <c r="MCZ42" s="16"/>
      <c r="MDA42" s="16"/>
      <c r="MDB42" s="16"/>
      <c r="MDC42" s="16"/>
      <c r="MDD42" s="16"/>
      <c r="MDE42" s="16"/>
      <c r="MDF42" s="16"/>
      <c r="MDG42" s="16"/>
      <c r="MDH42" s="16"/>
      <c r="MDI42" s="16"/>
      <c r="MDJ42" s="16"/>
      <c r="MDK42" s="16"/>
      <c r="MDL42" s="16"/>
      <c r="MDM42" s="16"/>
      <c r="MDN42" s="16"/>
      <c r="MDO42" s="16"/>
      <c r="MDP42" s="16"/>
      <c r="MDQ42" s="16"/>
      <c r="MDR42" s="16"/>
      <c r="MDS42" s="16"/>
      <c r="MDT42" s="16"/>
      <c r="MDU42" s="16"/>
      <c r="MDV42" s="16"/>
      <c r="MDW42" s="16"/>
      <c r="MDX42" s="16"/>
      <c r="MDY42" s="16"/>
      <c r="MDZ42" s="16"/>
      <c r="MEA42" s="16"/>
      <c r="MEB42" s="16"/>
      <c r="MEC42" s="16"/>
      <c r="MED42" s="16"/>
      <c r="MEE42" s="16"/>
      <c r="MEF42" s="16"/>
      <c r="MEG42" s="16"/>
      <c r="MEH42" s="16"/>
      <c r="MEI42" s="16"/>
      <c r="MEJ42" s="16"/>
      <c r="MEK42" s="16"/>
      <c r="MEL42" s="16"/>
      <c r="MEM42" s="16"/>
      <c r="MEN42" s="16"/>
      <c r="MEO42" s="16"/>
      <c r="MEP42" s="16"/>
      <c r="MEQ42" s="16"/>
      <c r="MER42" s="16"/>
      <c r="MES42" s="16"/>
      <c r="MET42" s="16"/>
      <c r="MEU42" s="16"/>
      <c r="MEV42" s="16"/>
      <c r="MEW42" s="16"/>
      <c r="MEX42" s="16"/>
      <c r="MEY42" s="16"/>
      <c r="MEZ42" s="16"/>
      <c r="MFA42" s="16"/>
      <c r="MFB42" s="16"/>
      <c r="MFC42" s="16"/>
      <c r="MFD42" s="16"/>
      <c r="MFE42" s="16"/>
      <c r="MFF42" s="16"/>
      <c r="MFG42" s="16"/>
      <c r="MFH42" s="16"/>
      <c r="MFI42" s="16"/>
      <c r="MFJ42" s="16"/>
      <c r="MFK42" s="16"/>
      <c r="MFL42" s="16"/>
      <c r="MFM42" s="16"/>
      <c r="MFN42" s="16"/>
      <c r="MFO42" s="16"/>
      <c r="MFP42" s="16"/>
      <c r="MFQ42" s="16"/>
      <c r="MFR42" s="16"/>
      <c r="MFS42" s="16"/>
      <c r="MFT42" s="16"/>
      <c r="MFU42" s="16"/>
      <c r="MFV42" s="16"/>
      <c r="MFW42" s="16"/>
      <c r="MFX42" s="16"/>
      <c r="MFY42" s="16"/>
      <c r="MFZ42" s="16"/>
      <c r="MGA42" s="16"/>
      <c r="MGB42" s="16"/>
      <c r="MGC42" s="16"/>
      <c r="MGD42" s="16"/>
      <c r="MGE42" s="16"/>
      <c r="MGF42" s="16"/>
      <c r="MGG42" s="16"/>
      <c r="MGH42" s="16"/>
      <c r="MGI42" s="16"/>
      <c r="MGJ42" s="16"/>
      <c r="MGK42" s="16"/>
      <c r="MGL42" s="16"/>
      <c r="MGM42" s="16"/>
      <c r="MGN42" s="16"/>
      <c r="MGO42" s="16"/>
      <c r="MGP42" s="16"/>
      <c r="MGQ42" s="16"/>
      <c r="MGR42" s="16"/>
      <c r="MGS42" s="16"/>
      <c r="MGT42" s="16"/>
      <c r="MGU42" s="16"/>
      <c r="MGV42" s="16"/>
      <c r="MGW42" s="16"/>
      <c r="MGX42" s="16"/>
      <c r="MGY42" s="16"/>
      <c r="MGZ42" s="16"/>
      <c r="MHA42" s="16"/>
      <c r="MHB42" s="16"/>
      <c r="MHC42" s="16"/>
      <c r="MHD42" s="16"/>
      <c r="MHE42" s="16"/>
      <c r="MHF42" s="16"/>
      <c r="MHG42" s="16"/>
      <c r="MHH42" s="16"/>
      <c r="MHI42" s="16"/>
      <c r="MHJ42" s="16"/>
      <c r="MHK42" s="16"/>
      <c r="MHL42" s="16"/>
      <c r="MHM42" s="16"/>
      <c r="MHN42" s="16"/>
      <c r="MHO42" s="16"/>
      <c r="MHP42" s="16"/>
      <c r="MHQ42" s="16"/>
      <c r="MHR42" s="16"/>
      <c r="MHS42" s="16"/>
      <c r="MHT42" s="16"/>
      <c r="MHU42" s="16"/>
      <c r="MHV42" s="16"/>
      <c r="MHW42" s="16"/>
      <c r="MHX42" s="16"/>
      <c r="MHY42" s="16"/>
      <c r="MHZ42" s="16"/>
      <c r="MIA42" s="16"/>
      <c r="MIB42" s="16"/>
      <c r="MIC42" s="16"/>
      <c r="MID42" s="16"/>
      <c r="MIE42" s="16"/>
      <c r="MIF42" s="16"/>
      <c r="MIG42" s="16"/>
      <c r="MIH42" s="16"/>
      <c r="MII42" s="16"/>
      <c r="MIJ42" s="16"/>
      <c r="MIK42" s="16"/>
      <c r="MIL42" s="16"/>
      <c r="MIM42" s="16"/>
      <c r="MIN42" s="16"/>
      <c r="MIO42" s="16"/>
      <c r="MIP42" s="16"/>
      <c r="MIQ42" s="16"/>
      <c r="MIR42" s="16"/>
      <c r="MIS42" s="16"/>
      <c r="MIT42" s="16"/>
      <c r="MIU42" s="16"/>
      <c r="MIV42" s="16"/>
      <c r="MIW42" s="16"/>
      <c r="MIX42" s="16"/>
      <c r="MIY42" s="16"/>
      <c r="MIZ42" s="16"/>
      <c r="MJA42" s="16"/>
      <c r="MJB42" s="16"/>
      <c r="MJC42" s="16"/>
      <c r="MJD42" s="16"/>
      <c r="MJE42" s="16"/>
      <c r="MJF42" s="16"/>
      <c r="MJG42" s="16"/>
      <c r="MJH42" s="16"/>
      <c r="MJI42" s="16"/>
      <c r="MJJ42" s="16"/>
      <c r="MJK42" s="16"/>
      <c r="MJL42" s="16"/>
      <c r="MJM42" s="16"/>
      <c r="MJN42" s="16"/>
      <c r="MJO42" s="16"/>
      <c r="MJP42" s="16"/>
      <c r="MJQ42" s="16"/>
      <c r="MJR42" s="16"/>
      <c r="MJS42" s="16"/>
      <c r="MJT42" s="16"/>
      <c r="MJU42" s="16"/>
      <c r="MJV42" s="16"/>
      <c r="MJW42" s="16"/>
      <c r="MJX42" s="16"/>
      <c r="MJY42" s="16"/>
      <c r="MJZ42" s="16"/>
      <c r="MKA42" s="16"/>
      <c r="MKB42" s="16"/>
      <c r="MKC42" s="16"/>
      <c r="MKD42" s="16"/>
      <c r="MKE42" s="16"/>
      <c r="MKF42" s="16"/>
      <c r="MKG42" s="16"/>
      <c r="MKH42" s="16"/>
      <c r="MKI42" s="16"/>
      <c r="MKJ42" s="16"/>
      <c r="MKK42" s="16"/>
      <c r="MKL42" s="16"/>
      <c r="MKM42" s="16"/>
      <c r="MKN42" s="16"/>
      <c r="MKO42" s="16"/>
      <c r="MKP42" s="16"/>
      <c r="MKQ42" s="16"/>
      <c r="MKR42" s="16"/>
      <c r="MKS42" s="16"/>
      <c r="MKT42" s="16"/>
      <c r="MKU42" s="16"/>
      <c r="MKV42" s="16"/>
      <c r="MKW42" s="16"/>
      <c r="MKX42" s="16"/>
      <c r="MKY42" s="16"/>
      <c r="MKZ42" s="16"/>
      <c r="MLA42" s="16"/>
      <c r="MLB42" s="16"/>
      <c r="MLC42" s="16"/>
      <c r="MLD42" s="16"/>
      <c r="MLE42" s="16"/>
      <c r="MLF42" s="16"/>
      <c r="MLG42" s="16"/>
      <c r="MLH42" s="16"/>
      <c r="MLI42" s="16"/>
      <c r="MLJ42" s="16"/>
      <c r="MLK42" s="16"/>
      <c r="MLL42" s="16"/>
      <c r="MLM42" s="16"/>
      <c r="MLN42" s="16"/>
      <c r="MLO42" s="16"/>
      <c r="MLP42" s="16"/>
      <c r="MLQ42" s="16"/>
      <c r="MLR42" s="16"/>
      <c r="MLS42" s="16"/>
      <c r="MLT42" s="16"/>
      <c r="MLU42" s="16"/>
      <c r="MLV42" s="16"/>
      <c r="MLW42" s="16"/>
      <c r="MLX42" s="16"/>
      <c r="MLY42" s="16"/>
      <c r="MLZ42" s="16"/>
      <c r="MMA42" s="16"/>
      <c r="MMB42" s="16"/>
      <c r="MMC42" s="16"/>
      <c r="MMD42" s="16"/>
      <c r="MME42" s="16"/>
      <c r="MMF42" s="16"/>
      <c r="MMG42" s="16"/>
      <c r="MMH42" s="16"/>
      <c r="MMI42" s="16"/>
      <c r="MMJ42" s="16"/>
      <c r="MMK42" s="16"/>
      <c r="MML42" s="16"/>
      <c r="MMM42" s="16"/>
      <c r="MMN42" s="16"/>
      <c r="MMO42" s="16"/>
      <c r="MMP42" s="16"/>
      <c r="MMQ42" s="16"/>
      <c r="MMR42" s="16"/>
      <c r="MMS42" s="16"/>
      <c r="MMT42" s="16"/>
      <c r="MMU42" s="16"/>
      <c r="MMV42" s="16"/>
      <c r="MMW42" s="16"/>
      <c r="MMX42" s="16"/>
      <c r="MMY42" s="16"/>
      <c r="MMZ42" s="16"/>
      <c r="MNA42" s="16"/>
      <c r="MNB42" s="16"/>
      <c r="MNC42" s="16"/>
      <c r="MND42" s="16"/>
      <c r="MNE42" s="16"/>
      <c r="MNF42" s="16"/>
      <c r="MNG42" s="16"/>
      <c r="MNH42" s="16"/>
      <c r="MNI42" s="16"/>
      <c r="MNJ42" s="16"/>
      <c r="MNK42" s="16"/>
      <c r="MNL42" s="16"/>
      <c r="MNM42" s="16"/>
      <c r="MNN42" s="16"/>
      <c r="MNO42" s="16"/>
      <c r="MNP42" s="16"/>
      <c r="MNQ42" s="16"/>
      <c r="MNR42" s="16"/>
      <c r="MNS42" s="16"/>
      <c r="MNT42" s="16"/>
      <c r="MNU42" s="16"/>
      <c r="MNV42" s="16"/>
      <c r="MNW42" s="16"/>
      <c r="MNX42" s="16"/>
      <c r="MNY42" s="16"/>
      <c r="MNZ42" s="16"/>
      <c r="MOA42" s="16"/>
      <c r="MOB42" s="16"/>
      <c r="MOC42" s="16"/>
      <c r="MOD42" s="16"/>
      <c r="MOE42" s="16"/>
      <c r="MOF42" s="16"/>
      <c r="MOG42" s="16"/>
      <c r="MOH42" s="16"/>
      <c r="MOI42" s="16"/>
      <c r="MOJ42" s="16"/>
      <c r="MOK42" s="16"/>
      <c r="MOL42" s="16"/>
      <c r="MOM42" s="16"/>
      <c r="MON42" s="16"/>
      <c r="MOO42" s="16"/>
      <c r="MOP42" s="16"/>
      <c r="MOQ42" s="16"/>
      <c r="MOR42" s="16"/>
      <c r="MOS42" s="16"/>
      <c r="MOT42" s="16"/>
      <c r="MOU42" s="16"/>
      <c r="MOV42" s="16"/>
      <c r="MOW42" s="16"/>
      <c r="MOX42" s="16"/>
      <c r="MOY42" s="16"/>
      <c r="MOZ42" s="16"/>
      <c r="MPA42" s="16"/>
      <c r="MPB42" s="16"/>
      <c r="MPC42" s="16"/>
      <c r="MPD42" s="16"/>
      <c r="MPE42" s="16"/>
      <c r="MPF42" s="16"/>
      <c r="MPG42" s="16"/>
      <c r="MPH42" s="16"/>
      <c r="MPI42" s="16"/>
      <c r="MPJ42" s="16"/>
      <c r="MPK42" s="16"/>
      <c r="MPL42" s="16"/>
      <c r="MPM42" s="16"/>
      <c r="MPN42" s="16"/>
      <c r="MPO42" s="16"/>
      <c r="MPP42" s="16"/>
      <c r="MPQ42" s="16"/>
      <c r="MPR42" s="16"/>
      <c r="MPS42" s="16"/>
      <c r="MPT42" s="16"/>
      <c r="MPU42" s="16"/>
      <c r="MPV42" s="16"/>
      <c r="MPW42" s="16"/>
      <c r="MPX42" s="16"/>
      <c r="MPY42" s="16"/>
      <c r="MPZ42" s="16"/>
      <c r="MQA42" s="16"/>
      <c r="MQB42" s="16"/>
      <c r="MQC42" s="16"/>
      <c r="MQD42" s="16"/>
      <c r="MQE42" s="16"/>
      <c r="MQF42" s="16"/>
      <c r="MQG42" s="16"/>
      <c r="MQH42" s="16"/>
      <c r="MQI42" s="16"/>
      <c r="MQJ42" s="16"/>
      <c r="MQK42" s="16"/>
      <c r="MQL42" s="16"/>
      <c r="MQM42" s="16"/>
      <c r="MQN42" s="16"/>
      <c r="MQO42" s="16"/>
      <c r="MQP42" s="16"/>
      <c r="MQQ42" s="16"/>
      <c r="MQR42" s="16"/>
      <c r="MQS42" s="16"/>
      <c r="MQT42" s="16"/>
      <c r="MQU42" s="16"/>
      <c r="MQV42" s="16"/>
      <c r="MQW42" s="16"/>
      <c r="MQX42" s="16"/>
      <c r="MQY42" s="16"/>
      <c r="MQZ42" s="16"/>
      <c r="MRA42" s="16"/>
      <c r="MRB42" s="16"/>
      <c r="MRC42" s="16"/>
      <c r="MRD42" s="16"/>
      <c r="MRE42" s="16"/>
      <c r="MRF42" s="16"/>
      <c r="MRG42" s="16"/>
      <c r="MRH42" s="16"/>
      <c r="MRI42" s="16"/>
      <c r="MRJ42" s="16"/>
      <c r="MRK42" s="16"/>
      <c r="MRL42" s="16"/>
      <c r="MRM42" s="16"/>
      <c r="MRN42" s="16"/>
      <c r="MRO42" s="16"/>
      <c r="MRP42" s="16"/>
      <c r="MRQ42" s="16"/>
      <c r="MRR42" s="16"/>
      <c r="MRS42" s="16"/>
      <c r="MRT42" s="16"/>
      <c r="MRU42" s="16"/>
      <c r="MRV42" s="16"/>
      <c r="MRW42" s="16"/>
      <c r="MRX42" s="16"/>
      <c r="MRY42" s="16"/>
      <c r="MRZ42" s="16"/>
      <c r="MSA42" s="16"/>
      <c r="MSB42" s="16"/>
      <c r="MSC42" s="16"/>
      <c r="MSD42" s="16"/>
      <c r="MSE42" s="16"/>
      <c r="MSF42" s="16"/>
      <c r="MSG42" s="16"/>
      <c r="MSH42" s="16"/>
      <c r="MSI42" s="16"/>
      <c r="MSJ42" s="16"/>
      <c r="MSK42" s="16"/>
      <c r="MSL42" s="16"/>
      <c r="MSM42" s="16"/>
      <c r="MSN42" s="16"/>
      <c r="MSO42" s="16"/>
      <c r="MSP42" s="16"/>
      <c r="MSQ42" s="16"/>
      <c r="MSR42" s="16"/>
      <c r="MSS42" s="16"/>
      <c r="MST42" s="16"/>
      <c r="MSU42" s="16"/>
      <c r="MSV42" s="16"/>
      <c r="MSW42" s="16"/>
      <c r="MSX42" s="16"/>
      <c r="MSY42" s="16"/>
      <c r="MSZ42" s="16"/>
      <c r="MTA42" s="16"/>
      <c r="MTB42" s="16"/>
      <c r="MTC42" s="16"/>
      <c r="MTD42" s="16"/>
      <c r="MTE42" s="16"/>
      <c r="MTF42" s="16"/>
      <c r="MTG42" s="16"/>
      <c r="MTH42" s="16"/>
      <c r="MTI42" s="16"/>
      <c r="MTJ42" s="16"/>
      <c r="MTK42" s="16"/>
      <c r="MTL42" s="16"/>
      <c r="MTM42" s="16"/>
      <c r="MTN42" s="16"/>
      <c r="MTO42" s="16"/>
      <c r="MTP42" s="16"/>
      <c r="MTQ42" s="16"/>
      <c r="MTR42" s="16"/>
      <c r="MTS42" s="16"/>
      <c r="MTT42" s="16"/>
      <c r="MTU42" s="16"/>
      <c r="MTV42" s="16"/>
      <c r="MTW42" s="16"/>
      <c r="MTX42" s="16"/>
      <c r="MTY42" s="16"/>
      <c r="MTZ42" s="16"/>
      <c r="MUA42" s="16"/>
      <c r="MUB42" s="16"/>
      <c r="MUC42" s="16"/>
      <c r="MUD42" s="16"/>
      <c r="MUE42" s="16"/>
      <c r="MUF42" s="16"/>
      <c r="MUG42" s="16"/>
      <c r="MUH42" s="16"/>
      <c r="MUI42" s="16"/>
      <c r="MUJ42" s="16"/>
      <c r="MUK42" s="16"/>
      <c r="MUL42" s="16"/>
      <c r="MUM42" s="16"/>
      <c r="MUN42" s="16"/>
      <c r="MUO42" s="16"/>
      <c r="MUP42" s="16"/>
      <c r="MUQ42" s="16"/>
      <c r="MUR42" s="16"/>
      <c r="MUS42" s="16"/>
      <c r="MUT42" s="16"/>
      <c r="MUU42" s="16"/>
      <c r="MUV42" s="16"/>
      <c r="MUW42" s="16"/>
      <c r="MUX42" s="16"/>
      <c r="MUY42" s="16"/>
      <c r="MUZ42" s="16"/>
      <c r="MVA42" s="16"/>
      <c r="MVB42" s="16"/>
      <c r="MVC42" s="16"/>
      <c r="MVD42" s="16"/>
      <c r="MVE42" s="16"/>
      <c r="MVF42" s="16"/>
      <c r="MVG42" s="16"/>
      <c r="MVH42" s="16"/>
      <c r="MVI42" s="16"/>
      <c r="MVJ42" s="16"/>
      <c r="MVK42" s="16"/>
      <c r="MVL42" s="16"/>
      <c r="MVM42" s="16"/>
      <c r="MVN42" s="16"/>
      <c r="MVO42" s="16"/>
      <c r="MVP42" s="16"/>
      <c r="MVQ42" s="16"/>
      <c r="MVR42" s="16"/>
      <c r="MVS42" s="16"/>
      <c r="MVT42" s="16"/>
      <c r="MVU42" s="16"/>
      <c r="MVV42" s="16"/>
      <c r="MVW42" s="16"/>
      <c r="MVX42" s="16"/>
      <c r="MVY42" s="16"/>
      <c r="MVZ42" s="16"/>
      <c r="MWA42" s="16"/>
      <c r="MWB42" s="16"/>
      <c r="MWC42" s="16"/>
      <c r="MWD42" s="16"/>
      <c r="MWE42" s="16"/>
      <c r="MWF42" s="16"/>
      <c r="MWG42" s="16"/>
      <c r="MWH42" s="16"/>
      <c r="MWI42" s="16"/>
      <c r="MWJ42" s="16"/>
      <c r="MWK42" s="16"/>
      <c r="MWL42" s="16"/>
      <c r="MWM42" s="16"/>
      <c r="MWN42" s="16"/>
      <c r="MWO42" s="16"/>
      <c r="MWP42" s="16"/>
      <c r="MWQ42" s="16"/>
      <c r="MWR42" s="16"/>
      <c r="MWS42" s="16"/>
      <c r="MWT42" s="16"/>
      <c r="MWU42" s="16"/>
      <c r="MWV42" s="16"/>
      <c r="MWW42" s="16"/>
      <c r="MWX42" s="16"/>
      <c r="MWY42" s="16"/>
      <c r="MWZ42" s="16"/>
      <c r="MXA42" s="16"/>
      <c r="MXB42" s="16"/>
      <c r="MXC42" s="16"/>
      <c r="MXD42" s="16"/>
      <c r="MXE42" s="16"/>
      <c r="MXF42" s="16"/>
      <c r="MXG42" s="16"/>
      <c r="MXH42" s="16"/>
      <c r="MXI42" s="16"/>
      <c r="MXJ42" s="16"/>
      <c r="MXK42" s="16"/>
      <c r="MXL42" s="16"/>
      <c r="MXM42" s="16"/>
      <c r="MXN42" s="16"/>
      <c r="MXO42" s="16"/>
      <c r="MXP42" s="16"/>
      <c r="MXQ42" s="16"/>
      <c r="MXR42" s="16"/>
      <c r="MXS42" s="16"/>
      <c r="MXT42" s="16"/>
      <c r="MXU42" s="16"/>
      <c r="MXV42" s="16"/>
      <c r="MXW42" s="16"/>
      <c r="MXX42" s="16"/>
      <c r="MXY42" s="16"/>
      <c r="MXZ42" s="16"/>
      <c r="MYA42" s="16"/>
      <c r="MYB42" s="16"/>
      <c r="MYC42" s="16"/>
      <c r="MYD42" s="16"/>
      <c r="MYE42" s="16"/>
      <c r="MYF42" s="16"/>
      <c r="MYG42" s="16"/>
      <c r="MYH42" s="16"/>
      <c r="MYI42" s="16"/>
      <c r="MYJ42" s="16"/>
      <c r="MYK42" s="16"/>
      <c r="MYL42" s="16"/>
      <c r="MYM42" s="16"/>
      <c r="MYN42" s="16"/>
      <c r="MYO42" s="16"/>
      <c r="MYP42" s="16"/>
      <c r="MYQ42" s="16"/>
      <c r="MYR42" s="16"/>
      <c r="MYS42" s="16"/>
      <c r="MYT42" s="16"/>
      <c r="MYU42" s="16"/>
      <c r="MYV42" s="16"/>
      <c r="MYW42" s="16"/>
      <c r="MYX42" s="16"/>
      <c r="MYY42" s="16"/>
      <c r="MYZ42" s="16"/>
      <c r="MZA42" s="16"/>
      <c r="MZB42" s="16"/>
      <c r="MZC42" s="16"/>
      <c r="MZD42" s="16"/>
      <c r="MZE42" s="16"/>
      <c r="MZF42" s="16"/>
      <c r="MZG42" s="16"/>
      <c r="MZH42" s="16"/>
      <c r="MZI42" s="16"/>
      <c r="MZJ42" s="16"/>
      <c r="MZK42" s="16"/>
      <c r="MZL42" s="16"/>
      <c r="MZM42" s="16"/>
      <c r="MZN42" s="16"/>
      <c r="MZO42" s="16"/>
      <c r="MZP42" s="16"/>
      <c r="MZQ42" s="16"/>
      <c r="MZR42" s="16"/>
      <c r="MZS42" s="16"/>
      <c r="MZT42" s="16"/>
      <c r="MZU42" s="16"/>
      <c r="MZV42" s="16"/>
      <c r="MZW42" s="16"/>
      <c r="MZX42" s="16"/>
      <c r="MZY42" s="16"/>
      <c r="MZZ42" s="16"/>
      <c r="NAA42" s="16"/>
      <c r="NAB42" s="16"/>
      <c r="NAC42" s="16"/>
      <c r="NAD42" s="16"/>
      <c r="NAE42" s="16"/>
      <c r="NAF42" s="16"/>
      <c r="NAG42" s="16"/>
      <c r="NAH42" s="16"/>
      <c r="NAI42" s="16"/>
      <c r="NAJ42" s="16"/>
      <c r="NAK42" s="16"/>
      <c r="NAL42" s="16"/>
      <c r="NAM42" s="16"/>
      <c r="NAN42" s="16"/>
      <c r="NAO42" s="16"/>
      <c r="NAP42" s="16"/>
      <c r="NAQ42" s="16"/>
      <c r="NAR42" s="16"/>
      <c r="NAS42" s="16"/>
      <c r="NAT42" s="16"/>
      <c r="NAU42" s="16"/>
      <c r="NAV42" s="16"/>
      <c r="NAW42" s="16"/>
      <c r="NAX42" s="16"/>
      <c r="NAY42" s="16"/>
      <c r="NAZ42" s="16"/>
      <c r="NBA42" s="16"/>
      <c r="NBB42" s="16"/>
      <c r="NBC42" s="16"/>
      <c r="NBD42" s="16"/>
      <c r="NBE42" s="16"/>
      <c r="NBF42" s="16"/>
      <c r="NBG42" s="16"/>
      <c r="NBH42" s="16"/>
      <c r="NBI42" s="16"/>
      <c r="NBJ42" s="16"/>
      <c r="NBK42" s="16"/>
      <c r="NBL42" s="16"/>
      <c r="NBM42" s="16"/>
      <c r="NBN42" s="16"/>
      <c r="NBO42" s="16"/>
      <c r="NBP42" s="16"/>
      <c r="NBQ42" s="16"/>
      <c r="NBR42" s="16"/>
      <c r="NBS42" s="16"/>
      <c r="NBT42" s="16"/>
      <c r="NBU42" s="16"/>
      <c r="NBV42" s="16"/>
      <c r="NBW42" s="16"/>
      <c r="NBX42" s="16"/>
      <c r="NBY42" s="16"/>
      <c r="NBZ42" s="16"/>
      <c r="NCA42" s="16"/>
      <c r="NCB42" s="16"/>
      <c r="NCC42" s="16"/>
      <c r="NCD42" s="16"/>
      <c r="NCE42" s="16"/>
      <c r="NCF42" s="16"/>
      <c r="NCG42" s="16"/>
      <c r="NCH42" s="16"/>
      <c r="NCI42" s="16"/>
      <c r="NCJ42" s="16"/>
      <c r="NCK42" s="16"/>
      <c r="NCL42" s="16"/>
      <c r="NCM42" s="16"/>
      <c r="NCN42" s="16"/>
      <c r="NCO42" s="16"/>
      <c r="NCP42" s="16"/>
      <c r="NCQ42" s="16"/>
      <c r="NCR42" s="16"/>
      <c r="NCS42" s="16"/>
      <c r="NCT42" s="16"/>
      <c r="NCU42" s="16"/>
      <c r="NCV42" s="16"/>
      <c r="NCW42" s="16"/>
      <c r="NCX42" s="16"/>
      <c r="NCY42" s="16"/>
      <c r="NCZ42" s="16"/>
      <c r="NDA42" s="16"/>
      <c r="NDB42" s="16"/>
      <c r="NDC42" s="16"/>
      <c r="NDD42" s="16"/>
      <c r="NDE42" s="16"/>
      <c r="NDF42" s="16"/>
      <c r="NDG42" s="16"/>
      <c r="NDH42" s="16"/>
      <c r="NDI42" s="16"/>
      <c r="NDJ42" s="16"/>
      <c r="NDK42" s="16"/>
      <c r="NDL42" s="16"/>
      <c r="NDM42" s="16"/>
      <c r="NDN42" s="16"/>
      <c r="NDO42" s="16"/>
      <c r="NDP42" s="16"/>
      <c r="NDQ42" s="16"/>
      <c r="NDR42" s="16"/>
      <c r="NDS42" s="16"/>
      <c r="NDT42" s="16"/>
      <c r="NDU42" s="16"/>
      <c r="NDV42" s="16"/>
      <c r="NDW42" s="16"/>
      <c r="NDX42" s="16"/>
      <c r="NDY42" s="16"/>
      <c r="NDZ42" s="16"/>
      <c r="NEA42" s="16"/>
      <c r="NEB42" s="16"/>
      <c r="NEC42" s="16"/>
      <c r="NED42" s="16"/>
      <c r="NEE42" s="16"/>
      <c r="NEF42" s="16"/>
      <c r="NEG42" s="16"/>
      <c r="NEH42" s="16"/>
      <c r="NEI42" s="16"/>
      <c r="NEJ42" s="16"/>
      <c r="NEK42" s="16"/>
      <c r="NEL42" s="16"/>
      <c r="NEM42" s="16"/>
      <c r="NEN42" s="16"/>
      <c r="NEO42" s="16"/>
      <c r="NEP42" s="16"/>
      <c r="NEQ42" s="16"/>
      <c r="NER42" s="16"/>
      <c r="NES42" s="16"/>
      <c r="NET42" s="16"/>
      <c r="NEU42" s="16"/>
      <c r="NEV42" s="16"/>
      <c r="NEW42" s="16"/>
      <c r="NEX42" s="16"/>
      <c r="NEY42" s="16"/>
      <c r="NEZ42" s="16"/>
      <c r="NFA42" s="16"/>
      <c r="NFB42" s="16"/>
      <c r="NFC42" s="16"/>
      <c r="NFD42" s="16"/>
      <c r="NFE42" s="16"/>
      <c r="NFF42" s="16"/>
      <c r="NFG42" s="16"/>
      <c r="NFH42" s="16"/>
      <c r="NFI42" s="16"/>
      <c r="NFJ42" s="16"/>
      <c r="NFK42" s="16"/>
      <c r="NFL42" s="16"/>
      <c r="NFM42" s="16"/>
      <c r="NFN42" s="16"/>
      <c r="NFO42" s="16"/>
      <c r="NFP42" s="16"/>
      <c r="NFQ42" s="16"/>
      <c r="NFR42" s="16"/>
      <c r="NFS42" s="16"/>
      <c r="NFT42" s="16"/>
      <c r="NFU42" s="16"/>
      <c r="NFV42" s="16"/>
      <c r="NFW42" s="16"/>
      <c r="NFX42" s="16"/>
      <c r="NFY42" s="16"/>
      <c r="NFZ42" s="16"/>
      <c r="NGA42" s="16"/>
      <c r="NGB42" s="16"/>
      <c r="NGC42" s="16"/>
      <c r="NGD42" s="16"/>
      <c r="NGE42" s="16"/>
      <c r="NGF42" s="16"/>
      <c r="NGG42" s="16"/>
      <c r="NGH42" s="16"/>
      <c r="NGI42" s="16"/>
      <c r="NGJ42" s="16"/>
      <c r="NGK42" s="16"/>
      <c r="NGL42" s="16"/>
      <c r="NGM42" s="16"/>
      <c r="NGN42" s="16"/>
      <c r="NGO42" s="16"/>
      <c r="NGP42" s="16"/>
      <c r="NGQ42" s="16"/>
      <c r="NGR42" s="16"/>
      <c r="NGS42" s="16"/>
      <c r="NGT42" s="16"/>
      <c r="NGU42" s="16"/>
      <c r="NGV42" s="16"/>
      <c r="NGW42" s="16"/>
      <c r="NGX42" s="16"/>
      <c r="NGY42" s="16"/>
      <c r="NGZ42" s="16"/>
      <c r="NHA42" s="16"/>
      <c r="NHB42" s="16"/>
      <c r="NHC42" s="16"/>
      <c r="NHD42" s="16"/>
      <c r="NHE42" s="16"/>
      <c r="NHF42" s="16"/>
      <c r="NHG42" s="16"/>
      <c r="NHH42" s="16"/>
      <c r="NHI42" s="16"/>
      <c r="NHJ42" s="16"/>
      <c r="NHK42" s="16"/>
      <c r="NHL42" s="16"/>
      <c r="NHM42" s="16"/>
      <c r="NHN42" s="16"/>
      <c r="NHO42" s="16"/>
      <c r="NHP42" s="16"/>
      <c r="NHQ42" s="16"/>
      <c r="NHR42" s="16"/>
      <c r="NHS42" s="16"/>
      <c r="NHT42" s="16"/>
      <c r="NHU42" s="16"/>
      <c r="NHV42" s="16"/>
      <c r="NHW42" s="16"/>
      <c r="NHX42" s="16"/>
      <c r="NHY42" s="16"/>
      <c r="NHZ42" s="16"/>
      <c r="NIA42" s="16"/>
      <c r="NIB42" s="16"/>
      <c r="NIC42" s="16"/>
      <c r="NID42" s="16"/>
      <c r="NIE42" s="16"/>
      <c r="NIF42" s="16"/>
      <c r="NIG42" s="16"/>
      <c r="NIH42" s="16"/>
      <c r="NII42" s="16"/>
      <c r="NIJ42" s="16"/>
      <c r="NIK42" s="16"/>
      <c r="NIL42" s="16"/>
      <c r="NIM42" s="16"/>
      <c r="NIN42" s="16"/>
      <c r="NIO42" s="16"/>
      <c r="NIP42" s="16"/>
      <c r="NIQ42" s="16"/>
      <c r="NIR42" s="16"/>
      <c r="NIS42" s="16"/>
      <c r="NIT42" s="16"/>
      <c r="NIU42" s="16"/>
      <c r="NIV42" s="16"/>
      <c r="NIW42" s="16"/>
      <c r="NIX42" s="16"/>
      <c r="NIY42" s="16"/>
      <c r="NIZ42" s="16"/>
      <c r="NJA42" s="16"/>
      <c r="NJB42" s="16"/>
      <c r="NJC42" s="16"/>
      <c r="NJD42" s="16"/>
      <c r="NJE42" s="16"/>
      <c r="NJF42" s="16"/>
      <c r="NJG42" s="16"/>
      <c r="NJH42" s="16"/>
      <c r="NJI42" s="16"/>
      <c r="NJJ42" s="16"/>
      <c r="NJK42" s="16"/>
      <c r="NJL42" s="16"/>
      <c r="NJM42" s="16"/>
      <c r="NJN42" s="16"/>
      <c r="NJO42" s="16"/>
      <c r="NJP42" s="16"/>
      <c r="NJQ42" s="16"/>
      <c r="NJR42" s="16"/>
      <c r="NJS42" s="16"/>
      <c r="NJT42" s="16"/>
      <c r="NJU42" s="16"/>
      <c r="NJV42" s="16"/>
      <c r="NJW42" s="16"/>
      <c r="NJX42" s="16"/>
      <c r="NJY42" s="16"/>
      <c r="NJZ42" s="16"/>
      <c r="NKA42" s="16"/>
      <c r="NKB42" s="16"/>
      <c r="NKC42" s="16"/>
      <c r="NKD42" s="16"/>
      <c r="NKE42" s="16"/>
      <c r="NKF42" s="16"/>
      <c r="NKG42" s="16"/>
      <c r="NKH42" s="16"/>
      <c r="NKI42" s="16"/>
      <c r="NKJ42" s="16"/>
      <c r="NKK42" s="16"/>
      <c r="NKL42" s="16"/>
      <c r="NKM42" s="16"/>
      <c r="NKN42" s="16"/>
      <c r="NKO42" s="16"/>
      <c r="NKP42" s="16"/>
      <c r="NKQ42" s="16"/>
      <c r="NKR42" s="16"/>
      <c r="NKS42" s="16"/>
      <c r="NKT42" s="16"/>
      <c r="NKU42" s="16"/>
      <c r="NKV42" s="16"/>
      <c r="NKW42" s="16"/>
      <c r="NKX42" s="16"/>
      <c r="NKY42" s="16"/>
      <c r="NKZ42" s="16"/>
      <c r="NLA42" s="16"/>
      <c r="NLB42" s="16"/>
      <c r="NLC42" s="16"/>
      <c r="NLD42" s="16"/>
      <c r="NLE42" s="16"/>
      <c r="NLF42" s="16"/>
      <c r="NLG42" s="16"/>
      <c r="NLH42" s="16"/>
      <c r="NLI42" s="16"/>
      <c r="NLJ42" s="16"/>
      <c r="NLK42" s="16"/>
      <c r="NLL42" s="16"/>
      <c r="NLM42" s="16"/>
      <c r="NLN42" s="16"/>
      <c r="NLO42" s="16"/>
      <c r="NLP42" s="16"/>
      <c r="NLQ42" s="16"/>
      <c r="NLR42" s="16"/>
      <c r="NLS42" s="16"/>
      <c r="NLT42" s="16"/>
      <c r="NLU42" s="16"/>
      <c r="NLV42" s="16"/>
      <c r="NLW42" s="16"/>
      <c r="NLX42" s="16"/>
      <c r="NLY42" s="16"/>
      <c r="NLZ42" s="16"/>
      <c r="NMA42" s="16"/>
      <c r="NMB42" s="16"/>
      <c r="NMC42" s="16"/>
      <c r="NMD42" s="16"/>
      <c r="NME42" s="16"/>
      <c r="NMF42" s="16"/>
      <c r="NMG42" s="16"/>
      <c r="NMH42" s="16"/>
      <c r="NMI42" s="16"/>
      <c r="NMJ42" s="16"/>
      <c r="NMK42" s="16"/>
      <c r="NML42" s="16"/>
      <c r="NMM42" s="16"/>
      <c r="NMN42" s="16"/>
      <c r="NMO42" s="16"/>
      <c r="NMP42" s="16"/>
      <c r="NMQ42" s="16"/>
      <c r="NMR42" s="16"/>
      <c r="NMS42" s="16"/>
      <c r="NMT42" s="16"/>
      <c r="NMU42" s="16"/>
      <c r="NMV42" s="16"/>
      <c r="NMW42" s="16"/>
      <c r="NMX42" s="16"/>
      <c r="NMY42" s="16"/>
      <c r="NMZ42" s="16"/>
      <c r="NNA42" s="16"/>
      <c r="NNB42" s="16"/>
      <c r="NNC42" s="16"/>
      <c r="NND42" s="16"/>
      <c r="NNE42" s="16"/>
      <c r="NNF42" s="16"/>
      <c r="NNG42" s="16"/>
      <c r="NNH42" s="16"/>
      <c r="NNI42" s="16"/>
      <c r="NNJ42" s="16"/>
      <c r="NNK42" s="16"/>
      <c r="NNL42" s="16"/>
      <c r="NNM42" s="16"/>
      <c r="NNN42" s="16"/>
      <c r="NNO42" s="16"/>
      <c r="NNP42" s="16"/>
      <c r="NNQ42" s="16"/>
      <c r="NNR42" s="16"/>
      <c r="NNS42" s="16"/>
      <c r="NNT42" s="16"/>
      <c r="NNU42" s="16"/>
      <c r="NNV42" s="16"/>
      <c r="NNW42" s="16"/>
      <c r="NNX42" s="16"/>
      <c r="NNY42" s="16"/>
      <c r="NNZ42" s="16"/>
      <c r="NOA42" s="16"/>
      <c r="NOB42" s="16"/>
      <c r="NOC42" s="16"/>
      <c r="NOD42" s="16"/>
      <c r="NOE42" s="16"/>
      <c r="NOF42" s="16"/>
      <c r="NOG42" s="16"/>
      <c r="NOH42" s="16"/>
      <c r="NOI42" s="16"/>
      <c r="NOJ42" s="16"/>
      <c r="NOK42" s="16"/>
      <c r="NOL42" s="16"/>
      <c r="NOM42" s="16"/>
      <c r="NON42" s="16"/>
      <c r="NOO42" s="16"/>
      <c r="NOP42" s="16"/>
      <c r="NOQ42" s="16"/>
      <c r="NOR42" s="16"/>
      <c r="NOS42" s="16"/>
      <c r="NOT42" s="16"/>
      <c r="NOU42" s="16"/>
      <c r="NOV42" s="16"/>
      <c r="NOW42" s="16"/>
      <c r="NOX42" s="16"/>
      <c r="NOY42" s="16"/>
      <c r="NOZ42" s="16"/>
      <c r="NPA42" s="16"/>
      <c r="NPB42" s="16"/>
      <c r="NPC42" s="16"/>
      <c r="NPD42" s="16"/>
      <c r="NPE42" s="16"/>
      <c r="NPF42" s="16"/>
      <c r="NPG42" s="16"/>
      <c r="NPH42" s="16"/>
      <c r="NPI42" s="16"/>
      <c r="NPJ42" s="16"/>
      <c r="NPK42" s="16"/>
      <c r="NPL42" s="16"/>
      <c r="NPM42" s="16"/>
      <c r="NPN42" s="16"/>
      <c r="NPO42" s="16"/>
      <c r="NPP42" s="16"/>
      <c r="NPQ42" s="16"/>
      <c r="NPR42" s="16"/>
      <c r="NPS42" s="16"/>
      <c r="NPT42" s="16"/>
      <c r="NPU42" s="16"/>
      <c r="NPV42" s="16"/>
      <c r="NPW42" s="16"/>
      <c r="NPX42" s="16"/>
      <c r="NPY42" s="16"/>
      <c r="NPZ42" s="16"/>
      <c r="NQA42" s="16"/>
      <c r="NQB42" s="16"/>
      <c r="NQC42" s="16"/>
      <c r="NQD42" s="16"/>
      <c r="NQE42" s="16"/>
      <c r="NQF42" s="16"/>
      <c r="NQG42" s="16"/>
      <c r="NQH42" s="16"/>
      <c r="NQI42" s="16"/>
      <c r="NQJ42" s="16"/>
      <c r="NQK42" s="16"/>
      <c r="NQL42" s="16"/>
      <c r="NQM42" s="16"/>
      <c r="NQN42" s="16"/>
      <c r="NQO42" s="16"/>
      <c r="NQP42" s="16"/>
      <c r="NQQ42" s="16"/>
      <c r="NQR42" s="16"/>
      <c r="NQS42" s="16"/>
      <c r="NQT42" s="16"/>
      <c r="NQU42" s="16"/>
      <c r="NQV42" s="16"/>
      <c r="NQW42" s="16"/>
      <c r="NQX42" s="16"/>
      <c r="NQY42" s="16"/>
      <c r="NQZ42" s="16"/>
      <c r="NRA42" s="16"/>
      <c r="NRB42" s="16"/>
      <c r="NRC42" s="16"/>
      <c r="NRD42" s="16"/>
      <c r="NRE42" s="16"/>
      <c r="NRF42" s="16"/>
      <c r="NRG42" s="16"/>
      <c r="NRH42" s="16"/>
      <c r="NRI42" s="16"/>
      <c r="NRJ42" s="16"/>
      <c r="NRK42" s="16"/>
      <c r="NRL42" s="16"/>
      <c r="NRM42" s="16"/>
      <c r="NRN42" s="16"/>
      <c r="NRO42" s="16"/>
      <c r="NRP42" s="16"/>
      <c r="NRQ42" s="16"/>
      <c r="NRR42" s="16"/>
      <c r="NRS42" s="16"/>
      <c r="NRT42" s="16"/>
      <c r="NRU42" s="16"/>
      <c r="NRV42" s="16"/>
      <c r="NRW42" s="16"/>
      <c r="NRX42" s="16"/>
      <c r="NRY42" s="16"/>
      <c r="NRZ42" s="16"/>
      <c r="NSA42" s="16"/>
      <c r="NSB42" s="16"/>
      <c r="NSC42" s="16"/>
      <c r="NSD42" s="16"/>
      <c r="NSE42" s="16"/>
      <c r="NSF42" s="16"/>
      <c r="NSG42" s="16"/>
      <c r="NSH42" s="16"/>
      <c r="NSI42" s="16"/>
      <c r="NSJ42" s="16"/>
      <c r="NSK42" s="16"/>
      <c r="NSL42" s="16"/>
      <c r="NSM42" s="16"/>
      <c r="NSN42" s="16"/>
      <c r="NSO42" s="16"/>
      <c r="NSP42" s="16"/>
      <c r="NSQ42" s="16"/>
      <c r="NSR42" s="16"/>
      <c r="NSS42" s="16"/>
      <c r="NST42" s="16"/>
      <c r="NSU42" s="16"/>
      <c r="NSV42" s="16"/>
      <c r="NSW42" s="16"/>
      <c r="NSX42" s="16"/>
      <c r="NSY42" s="16"/>
      <c r="NSZ42" s="16"/>
      <c r="NTA42" s="16"/>
      <c r="NTB42" s="16"/>
      <c r="NTC42" s="16"/>
      <c r="NTD42" s="16"/>
      <c r="NTE42" s="16"/>
      <c r="NTF42" s="16"/>
      <c r="NTG42" s="16"/>
      <c r="NTH42" s="16"/>
      <c r="NTI42" s="16"/>
      <c r="NTJ42" s="16"/>
      <c r="NTK42" s="16"/>
      <c r="NTL42" s="16"/>
      <c r="NTM42" s="16"/>
      <c r="NTN42" s="16"/>
      <c r="NTO42" s="16"/>
      <c r="NTP42" s="16"/>
      <c r="NTQ42" s="16"/>
      <c r="NTR42" s="16"/>
      <c r="NTS42" s="16"/>
      <c r="NTT42" s="16"/>
      <c r="NTU42" s="16"/>
      <c r="NTV42" s="16"/>
      <c r="NTW42" s="16"/>
      <c r="NTX42" s="16"/>
      <c r="NTY42" s="16"/>
      <c r="NTZ42" s="16"/>
      <c r="NUA42" s="16"/>
      <c r="NUB42" s="16"/>
      <c r="NUC42" s="16"/>
      <c r="NUD42" s="16"/>
      <c r="NUE42" s="16"/>
      <c r="NUF42" s="16"/>
      <c r="NUG42" s="16"/>
      <c r="NUH42" s="16"/>
      <c r="NUI42" s="16"/>
      <c r="NUJ42" s="16"/>
      <c r="NUK42" s="16"/>
      <c r="NUL42" s="16"/>
      <c r="NUM42" s="16"/>
      <c r="NUN42" s="16"/>
      <c r="NUO42" s="16"/>
      <c r="NUP42" s="16"/>
      <c r="NUQ42" s="16"/>
      <c r="NUR42" s="16"/>
      <c r="NUS42" s="16"/>
      <c r="NUT42" s="16"/>
      <c r="NUU42" s="16"/>
      <c r="NUV42" s="16"/>
      <c r="NUW42" s="16"/>
      <c r="NUX42" s="16"/>
      <c r="NUY42" s="16"/>
      <c r="NUZ42" s="16"/>
      <c r="NVA42" s="16"/>
      <c r="NVB42" s="16"/>
      <c r="NVC42" s="16"/>
      <c r="NVD42" s="16"/>
      <c r="NVE42" s="16"/>
      <c r="NVF42" s="16"/>
      <c r="NVG42" s="16"/>
      <c r="NVH42" s="16"/>
      <c r="NVI42" s="16"/>
      <c r="NVJ42" s="16"/>
      <c r="NVK42" s="16"/>
      <c r="NVL42" s="16"/>
      <c r="NVM42" s="16"/>
      <c r="NVN42" s="16"/>
      <c r="NVO42" s="16"/>
      <c r="NVP42" s="16"/>
      <c r="NVQ42" s="16"/>
      <c r="NVR42" s="16"/>
      <c r="NVS42" s="16"/>
      <c r="NVT42" s="16"/>
      <c r="NVU42" s="16"/>
      <c r="NVV42" s="16"/>
      <c r="NVW42" s="16"/>
      <c r="NVX42" s="16"/>
      <c r="NVY42" s="16"/>
      <c r="NVZ42" s="16"/>
      <c r="NWA42" s="16"/>
      <c r="NWB42" s="16"/>
      <c r="NWC42" s="16"/>
      <c r="NWD42" s="16"/>
      <c r="NWE42" s="16"/>
      <c r="NWF42" s="16"/>
      <c r="NWG42" s="16"/>
      <c r="NWH42" s="16"/>
      <c r="NWI42" s="16"/>
      <c r="NWJ42" s="16"/>
      <c r="NWK42" s="16"/>
      <c r="NWL42" s="16"/>
      <c r="NWM42" s="16"/>
      <c r="NWN42" s="16"/>
      <c r="NWO42" s="16"/>
      <c r="NWP42" s="16"/>
      <c r="NWQ42" s="16"/>
      <c r="NWR42" s="16"/>
      <c r="NWS42" s="16"/>
      <c r="NWT42" s="16"/>
      <c r="NWU42" s="16"/>
      <c r="NWV42" s="16"/>
      <c r="NWW42" s="16"/>
      <c r="NWX42" s="16"/>
      <c r="NWY42" s="16"/>
      <c r="NWZ42" s="16"/>
      <c r="NXA42" s="16"/>
      <c r="NXB42" s="16"/>
      <c r="NXC42" s="16"/>
      <c r="NXD42" s="16"/>
      <c r="NXE42" s="16"/>
      <c r="NXF42" s="16"/>
      <c r="NXG42" s="16"/>
      <c r="NXH42" s="16"/>
      <c r="NXI42" s="16"/>
      <c r="NXJ42" s="16"/>
      <c r="NXK42" s="16"/>
      <c r="NXL42" s="16"/>
      <c r="NXM42" s="16"/>
      <c r="NXN42" s="16"/>
      <c r="NXO42" s="16"/>
      <c r="NXP42" s="16"/>
      <c r="NXQ42" s="16"/>
      <c r="NXR42" s="16"/>
      <c r="NXS42" s="16"/>
      <c r="NXT42" s="16"/>
      <c r="NXU42" s="16"/>
      <c r="NXV42" s="16"/>
      <c r="NXW42" s="16"/>
      <c r="NXX42" s="16"/>
      <c r="NXY42" s="16"/>
      <c r="NXZ42" s="16"/>
      <c r="NYA42" s="16"/>
      <c r="NYB42" s="16"/>
      <c r="NYC42" s="16"/>
      <c r="NYD42" s="16"/>
      <c r="NYE42" s="16"/>
      <c r="NYF42" s="16"/>
      <c r="NYG42" s="16"/>
      <c r="NYH42" s="16"/>
      <c r="NYI42" s="16"/>
      <c r="NYJ42" s="16"/>
      <c r="NYK42" s="16"/>
      <c r="NYL42" s="16"/>
      <c r="NYM42" s="16"/>
      <c r="NYN42" s="16"/>
      <c r="NYO42" s="16"/>
      <c r="NYP42" s="16"/>
      <c r="NYQ42" s="16"/>
      <c r="NYR42" s="16"/>
      <c r="NYS42" s="16"/>
      <c r="NYT42" s="16"/>
      <c r="NYU42" s="16"/>
      <c r="NYV42" s="16"/>
      <c r="NYW42" s="16"/>
      <c r="NYX42" s="16"/>
      <c r="NYY42" s="16"/>
      <c r="NYZ42" s="16"/>
      <c r="NZA42" s="16"/>
      <c r="NZB42" s="16"/>
      <c r="NZC42" s="16"/>
      <c r="NZD42" s="16"/>
      <c r="NZE42" s="16"/>
      <c r="NZF42" s="16"/>
      <c r="NZG42" s="16"/>
      <c r="NZH42" s="16"/>
      <c r="NZI42" s="16"/>
      <c r="NZJ42" s="16"/>
      <c r="NZK42" s="16"/>
      <c r="NZL42" s="16"/>
      <c r="NZM42" s="16"/>
      <c r="NZN42" s="16"/>
      <c r="NZO42" s="16"/>
      <c r="NZP42" s="16"/>
      <c r="NZQ42" s="16"/>
      <c r="NZR42" s="16"/>
      <c r="NZS42" s="16"/>
      <c r="NZT42" s="16"/>
      <c r="NZU42" s="16"/>
      <c r="NZV42" s="16"/>
      <c r="NZW42" s="16"/>
      <c r="NZX42" s="16"/>
      <c r="NZY42" s="16"/>
      <c r="NZZ42" s="16"/>
      <c r="OAA42" s="16"/>
      <c r="OAB42" s="16"/>
      <c r="OAC42" s="16"/>
      <c r="OAD42" s="16"/>
      <c r="OAE42" s="16"/>
      <c r="OAF42" s="16"/>
      <c r="OAG42" s="16"/>
      <c r="OAH42" s="16"/>
      <c r="OAI42" s="16"/>
      <c r="OAJ42" s="16"/>
      <c r="OAK42" s="16"/>
      <c r="OAL42" s="16"/>
      <c r="OAM42" s="16"/>
      <c r="OAN42" s="16"/>
      <c r="OAO42" s="16"/>
      <c r="OAP42" s="16"/>
      <c r="OAQ42" s="16"/>
      <c r="OAR42" s="16"/>
      <c r="OAS42" s="16"/>
      <c r="OAT42" s="16"/>
      <c r="OAU42" s="16"/>
      <c r="OAV42" s="16"/>
      <c r="OAW42" s="16"/>
      <c r="OAX42" s="16"/>
      <c r="OAY42" s="16"/>
      <c r="OAZ42" s="16"/>
      <c r="OBA42" s="16"/>
      <c r="OBB42" s="16"/>
      <c r="OBC42" s="16"/>
      <c r="OBD42" s="16"/>
      <c r="OBE42" s="16"/>
      <c r="OBF42" s="16"/>
      <c r="OBG42" s="16"/>
      <c r="OBH42" s="16"/>
      <c r="OBI42" s="16"/>
      <c r="OBJ42" s="16"/>
      <c r="OBK42" s="16"/>
      <c r="OBL42" s="16"/>
      <c r="OBM42" s="16"/>
      <c r="OBN42" s="16"/>
      <c r="OBO42" s="16"/>
      <c r="OBP42" s="16"/>
      <c r="OBQ42" s="16"/>
      <c r="OBR42" s="16"/>
      <c r="OBS42" s="16"/>
      <c r="OBT42" s="16"/>
      <c r="OBU42" s="16"/>
      <c r="OBV42" s="16"/>
      <c r="OBW42" s="16"/>
      <c r="OBX42" s="16"/>
      <c r="OBY42" s="16"/>
      <c r="OBZ42" s="16"/>
      <c r="OCA42" s="16"/>
      <c r="OCB42" s="16"/>
      <c r="OCC42" s="16"/>
      <c r="OCD42" s="16"/>
      <c r="OCE42" s="16"/>
      <c r="OCF42" s="16"/>
      <c r="OCG42" s="16"/>
      <c r="OCH42" s="16"/>
      <c r="OCI42" s="16"/>
      <c r="OCJ42" s="16"/>
      <c r="OCK42" s="16"/>
      <c r="OCL42" s="16"/>
      <c r="OCM42" s="16"/>
      <c r="OCN42" s="16"/>
      <c r="OCO42" s="16"/>
      <c r="OCP42" s="16"/>
      <c r="OCQ42" s="16"/>
      <c r="OCR42" s="16"/>
      <c r="OCS42" s="16"/>
      <c r="OCT42" s="16"/>
      <c r="OCU42" s="16"/>
      <c r="OCV42" s="16"/>
      <c r="OCW42" s="16"/>
      <c r="OCX42" s="16"/>
      <c r="OCY42" s="16"/>
      <c r="OCZ42" s="16"/>
      <c r="ODA42" s="16"/>
      <c r="ODB42" s="16"/>
      <c r="ODC42" s="16"/>
      <c r="ODD42" s="16"/>
      <c r="ODE42" s="16"/>
      <c r="ODF42" s="16"/>
      <c r="ODG42" s="16"/>
      <c r="ODH42" s="16"/>
      <c r="ODI42" s="16"/>
      <c r="ODJ42" s="16"/>
      <c r="ODK42" s="16"/>
      <c r="ODL42" s="16"/>
      <c r="ODM42" s="16"/>
      <c r="ODN42" s="16"/>
      <c r="ODO42" s="16"/>
      <c r="ODP42" s="16"/>
      <c r="ODQ42" s="16"/>
      <c r="ODR42" s="16"/>
      <c r="ODS42" s="16"/>
      <c r="ODT42" s="16"/>
      <c r="ODU42" s="16"/>
      <c r="ODV42" s="16"/>
      <c r="ODW42" s="16"/>
      <c r="ODX42" s="16"/>
      <c r="ODY42" s="16"/>
      <c r="ODZ42" s="16"/>
      <c r="OEA42" s="16"/>
      <c r="OEB42" s="16"/>
      <c r="OEC42" s="16"/>
      <c r="OED42" s="16"/>
      <c r="OEE42" s="16"/>
      <c r="OEF42" s="16"/>
      <c r="OEG42" s="16"/>
      <c r="OEH42" s="16"/>
      <c r="OEI42" s="16"/>
      <c r="OEJ42" s="16"/>
      <c r="OEK42" s="16"/>
      <c r="OEL42" s="16"/>
      <c r="OEM42" s="16"/>
      <c r="OEN42" s="16"/>
      <c r="OEO42" s="16"/>
      <c r="OEP42" s="16"/>
      <c r="OEQ42" s="16"/>
      <c r="OER42" s="16"/>
      <c r="OES42" s="16"/>
      <c r="OET42" s="16"/>
      <c r="OEU42" s="16"/>
      <c r="OEV42" s="16"/>
      <c r="OEW42" s="16"/>
      <c r="OEX42" s="16"/>
      <c r="OEY42" s="16"/>
      <c r="OEZ42" s="16"/>
      <c r="OFA42" s="16"/>
      <c r="OFB42" s="16"/>
      <c r="OFC42" s="16"/>
      <c r="OFD42" s="16"/>
      <c r="OFE42" s="16"/>
      <c r="OFF42" s="16"/>
      <c r="OFG42" s="16"/>
      <c r="OFH42" s="16"/>
      <c r="OFI42" s="16"/>
      <c r="OFJ42" s="16"/>
      <c r="OFK42" s="16"/>
      <c r="OFL42" s="16"/>
      <c r="OFM42" s="16"/>
      <c r="OFN42" s="16"/>
      <c r="OFO42" s="16"/>
      <c r="OFP42" s="16"/>
      <c r="OFQ42" s="16"/>
      <c r="OFR42" s="16"/>
      <c r="OFS42" s="16"/>
      <c r="OFT42" s="16"/>
      <c r="OFU42" s="16"/>
      <c r="OFV42" s="16"/>
      <c r="OFW42" s="16"/>
      <c r="OFX42" s="16"/>
      <c r="OFY42" s="16"/>
      <c r="OFZ42" s="16"/>
      <c r="OGA42" s="16"/>
      <c r="OGB42" s="16"/>
      <c r="OGC42" s="16"/>
      <c r="OGD42" s="16"/>
      <c r="OGE42" s="16"/>
      <c r="OGF42" s="16"/>
      <c r="OGG42" s="16"/>
      <c r="OGH42" s="16"/>
      <c r="OGI42" s="16"/>
      <c r="OGJ42" s="16"/>
      <c r="OGK42" s="16"/>
      <c r="OGL42" s="16"/>
      <c r="OGM42" s="16"/>
      <c r="OGN42" s="16"/>
      <c r="OGO42" s="16"/>
      <c r="OGP42" s="16"/>
      <c r="OGQ42" s="16"/>
      <c r="OGR42" s="16"/>
      <c r="OGS42" s="16"/>
      <c r="OGT42" s="16"/>
      <c r="OGU42" s="16"/>
      <c r="OGV42" s="16"/>
      <c r="OGW42" s="16"/>
      <c r="OGX42" s="16"/>
      <c r="OGY42" s="16"/>
      <c r="OGZ42" s="16"/>
      <c r="OHA42" s="16"/>
      <c r="OHB42" s="16"/>
      <c r="OHC42" s="16"/>
      <c r="OHD42" s="16"/>
      <c r="OHE42" s="16"/>
      <c r="OHF42" s="16"/>
      <c r="OHG42" s="16"/>
      <c r="OHH42" s="16"/>
      <c r="OHI42" s="16"/>
      <c r="OHJ42" s="16"/>
      <c r="OHK42" s="16"/>
      <c r="OHL42" s="16"/>
      <c r="OHM42" s="16"/>
      <c r="OHN42" s="16"/>
      <c r="OHO42" s="16"/>
      <c r="OHP42" s="16"/>
      <c r="OHQ42" s="16"/>
      <c r="OHR42" s="16"/>
      <c r="OHS42" s="16"/>
      <c r="OHT42" s="16"/>
      <c r="OHU42" s="16"/>
      <c r="OHV42" s="16"/>
      <c r="OHW42" s="16"/>
      <c r="OHX42" s="16"/>
      <c r="OHY42" s="16"/>
      <c r="OHZ42" s="16"/>
      <c r="OIA42" s="16"/>
      <c r="OIB42" s="16"/>
      <c r="OIC42" s="16"/>
      <c r="OID42" s="16"/>
      <c r="OIE42" s="16"/>
      <c r="OIF42" s="16"/>
      <c r="OIG42" s="16"/>
      <c r="OIH42" s="16"/>
      <c r="OII42" s="16"/>
      <c r="OIJ42" s="16"/>
      <c r="OIK42" s="16"/>
      <c r="OIL42" s="16"/>
      <c r="OIM42" s="16"/>
      <c r="OIN42" s="16"/>
      <c r="OIO42" s="16"/>
      <c r="OIP42" s="16"/>
      <c r="OIQ42" s="16"/>
      <c r="OIR42" s="16"/>
      <c r="OIS42" s="16"/>
      <c r="OIT42" s="16"/>
      <c r="OIU42" s="16"/>
      <c r="OIV42" s="16"/>
      <c r="OIW42" s="16"/>
      <c r="OIX42" s="16"/>
      <c r="OIY42" s="16"/>
      <c r="OIZ42" s="16"/>
      <c r="OJA42" s="16"/>
      <c r="OJB42" s="16"/>
      <c r="OJC42" s="16"/>
      <c r="OJD42" s="16"/>
      <c r="OJE42" s="16"/>
      <c r="OJF42" s="16"/>
      <c r="OJG42" s="16"/>
      <c r="OJH42" s="16"/>
      <c r="OJI42" s="16"/>
      <c r="OJJ42" s="16"/>
      <c r="OJK42" s="16"/>
      <c r="OJL42" s="16"/>
      <c r="OJM42" s="16"/>
      <c r="OJN42" s="16"/>
      <c r="OJO42" s="16"/>
      <c r="OJP42" s="16"/>
      <c r="OJQ42" s="16"/>
      <c r="OJR42" s="16"/>
      <c r="OJS42" s="16"/>
      <c r="OJT42" s="16"/>
      <c r="OJU42" s="16"/>
      <c r="OJV42" s="16"/>
      <c r="OJW42" s="16"/>
      <c r="OJX42" s="16"/>
      <c r="OJY42" s="16"/>
      <c r="OJZ42" s="16"/>
      <c r="OKA42" s="16"/>
      <c r="OKB42" s="16"/>
      <c r="OKC42" s="16"/>
      <c r="OKD42" s="16"/>
      <c r="OKE42" s="16"/>
      <c r="OKF42" s="16"/>
      <c r="OKG42" s="16"/>
      <c r="OKH42" s="16"/>
      <c r="OKI42" s="16"/>
      <c r="OKJ42" s="16"/>
      <c r="OKK42" s="16"/>
      <c r="OKL42" s="16"/>
      <c r="OKM42" s="16"/>
      <c r="OKN42" s="16"/>
      <c r="OKO42" s="16"/>
      <c r="OKP42" s="16"/>
      <c r="OKQ42" s="16"/>
      <c r="OKR42" s="16"/>
      <c r="OKS42" s="16"/>
      <c r="OKT42" s="16"/>
      <c r="OKU42" s="16"/>
      <c r="OKV42" s="16"/>
      <c r="OKW42" s="16"/>
      <c r="OKX42" s="16"/>
      <c r="OKY42" s="16"/>
      <c r="OKZ42" s="16"/>
      <c r="OLA42" s="16"/>
      <c r="OLB42" s="16"/>
      <c r="OLC42" s="16"/>
      <c r="OLD42" s="16"/>
      <c r="OLE42" s="16"/>
      <c r="OLF42" s="16"/>
      <c r="OLG42" s="16"/>
      <c r="OLH42" s="16"/>
      <c r="OLI42" s="16"/>
      <c r="OLJ42" s="16"/>
      <c r="OLK42" s="16"/>
      <c r="OLL42" s="16"/>
      <c r="OLM42" s="16"/>
      <c r="OLN42" s="16"/>
      <c r="OLO42" s="16"/>
      <c r="OLP42" s="16"/>
      <c r="OLQ42" s="16"/>
      <c r="OLR42" s="16"/>
      <c r="OLS42" s="16"/>
      <c r="OLT42" s="16"/>
      <c r="OLU42" s="16"/>
      <c r="OLV42" s="16"/>
      <c r="OLW42" s="16"/>
      <c r="OLX42" s="16"/>
      <c r="OLY42" s="16"/>
      <c r="OLZ42" s="16"/>
      <c r="OMA42" s="16"/>
      <c r="OMB42" s="16"/>
      <c r="OMC42" s="16"/>
      <c r="OMD42" s="16"/>
      <c r="OME42" s="16"/>
      <c r="OMF42" s="16"/>
      <c r="OMG42" s="16"/>
      <c r="OMH42" s="16"/>
      <c r="OMI42" s="16"/>
      <c r="OMJ42" s="16"/>
      <c r="OMK42" s="16"/>
      <c r="OML42" s="16"/>
      <c r="OMM42" s="16"/>
      <c r="OMN42" s="16"/>
      <c r="OMO42" s="16"/>
      <c r="OMP42" s="16"/>
      <c r="OMQ42" s="16"/>
      <c r="OMR42" s="16"/>
      <c r="OMS42" s="16"/>
      <c r="OMT42" s="16"/>
      <c r="OMU42" s="16"/>
      <c r="OMV42" s="16"/>
      <c r="OMW42" s="16"/>
      <c r="OMX42" s="16"/>
      <c r="OMY42" s="16"/>
      <c r="OMZ42" s="16"/>
      <c r="ONA42" s="16"/>
      <c r="ONB42" s="16"/>
      <c r="ONC42" s="16"/>
      <c r="OND42" s="16"/>
      <c r="ONE42" s="16"/>
      <c r="ONF42" s="16"/>
      <c r="ONG42" s="16"/>
      <c r="ONH42" s="16"/>
      <c r="ONI42" s="16"/>
      <c r="ONJ42" s="16"/>
      <c r="ONK42" s="16"/>
      <c r="ONL42" s="16"/>
      <c r="ONM42" s="16"/>
      <c r="ONN42" s="16"/>
      <c r="ONO42" s="16"/>
      <c r="ONP42" s="16"/>
      <c r="ONQ42" s="16"/>
      <c r="ONR42" s="16"/>
      <c r="ONS42" s="16"/>
      <c r="ONT42" s="16"/>
      <c r="ONU42" s="16"/>
      <c r="ONV42" s="16"/>
      <c r="ONW42" s="16"/>
      <c r="ONX42" s="16"/>
      <c r="ONY42" s="16"/>
      <c r="ONZ42" s="16"/>
      <c r="OOA42" s="16"/>
      <c r="OOB42" s="16"/>
      <c r="OOC42" s="16"/>
      <c r="OOD42" s="16"/>
      <c r="OOE42" s="16"/>
      <c r="OOF42" s="16"/>
      <c r="OOG42" s="16"/>
      <c r="OOH42" s="16"/>
      <c r="OOI42" s="16"/>
      <c r="OOJ42" s="16"/>
      <c r="OOK42" s="16"/>
      <c r="OOL42" s="16"/>
      <c r="OOM42" s="16"/>
      <c r="OON42" s="16"/>
      <c r="OOO42" s="16"/>
      <c r="OOP42" s="16"/>
      <c r="OOQ42" s="16"/>
      <c r="OOR42" s="16"/>
      <c r="OOS42" s="16"/>
      <c r="OOT42" s="16"/>
      <c r="OOU42" s="16"/>
      <c r="OOV42" s="16"/>
      <c r="OOW42" s="16"/>
      <c r="OOX42" s="16"/>
      <c r="OOY42" s="16"/>
      <c r="OOZ42" s="16"/>
      <c r="OPA42" s="16"/>
      <c r="OPB42" s="16"/>
      <c r="OPC42" s="16"/>
      <c r="OPD42" s="16"/>
      <c r="OPE42" s="16"/>
      <c r="OPF42" s="16"/>
      <c r="OPG42" s="16"/>
      <c r="OPH42" s="16"/>
      <c r="OPI42" s="16"/>
      <c r="OPJ42" s="16"/>
      <c r="OPK42" s="16"/>
      <c r="OPL42" s="16"/>
      <c r="OPM42" s="16"/>
      <c r="OPN42" s="16"/>
      <c r="OPO42" s="16"/>
      <c r="OPP42" s="16"/>
      <c r="OPQ42" s="16"/>
      <c r="OPR42" s="16"/>
      <c r="OPS42" s="16"/>
      <c r="OPT42" s="16"/>
      <c r="OPU42" s="16"/>
      <c r="OPV42" s="16"/>
      <c r="OPW42" s="16"/>
      <c r="OPX42" s="16"/>
      <c r="OPY42" s="16"/>
      <c r="OPZ42" s="16"/>
      <c r="OQA42" s="16"/>
      <c r="OQB42" s="16"/>
      <c r="OQC42" s="16"/>
      <c r="OQD42" s="16"/>
      <c r="OQE42" s="16"/>
      <c r="OQF42" s="16"/>
      <c r="OQG42" s="16"/>
      <c r="OQH42" s="16"/>
      <c r="OQI42" s="16"/>
      <c r="OQJ42" s="16"/>
      <c r="OQK42" s="16"/>
      <c r="OQL42" s="16"/>
      <c r="OQM42" s="16"/>
      <c r="OQN42" s="16"/>
      <c r="OQO42" s="16"/>
      <c r="OQP42" s="16"/>
      <c r="OQQ42" s="16"/>
      <c r="OQR42" s="16"/>
      <c r="OQS42" s="16"/>
      <c r="OQT42" s="16"/>
      <c r="OQU42" s="16"/>
      <c r="OQV42" s="16"/>
      <c r="OQW42" s="16"/>
      <c r="OQX42" s="16"/>
      <c r="OQY42" s="16"/>
      <c r="OQZ42" s="16"/>
      <c r="ORA42" s="16"/>
      <c r="ORB42" s="16"/>
      <c r="ORC42" s="16"/>
      <c r="ORD42" s="16"/>
      <c r="ORE42" s="16"/>
      <c r="ORF42" s="16"/>
      <c r="ORG42" s="16"/>
      <c r="ORH42" s="16"/>
      <c r="ORI42" s="16"/>
      <c r="ORJ42" s="16"/>
      <c r="ORK42" s="16"/>
      <c r="ORL42" s="16"/>
      <c r="ORM42" s="16"/>
      <c r="ORN42" s="16"/>
      <c r="ORO42" s="16"/>
      <c r="ORP42" s="16"/>
      <c r="ORQ42" s="16"/>
      <c r="ORR42" s="16"/>
      <c r="ORS42" s="16"/>
      <c r="ORT42" s="16"/>
      <c r="ORU42" s="16"/>
      <c r="ORV42" s="16"/>
      <c r="ORW42" s="16"/>
      <c r="ORX42" s="16"/>
      <c r="ORY42" s="16"/>
      <c r="ORZ42" s="16"/>
      <c r="OSA42" s="16"/>
      <c r="OSB42" s="16"/>
      <c r="OSC42" s="16"/>
      <c r="OSD42" s="16"/>
      <c r="OSE42" s="16"/>
      <c r="OSF42" s="16"/>
      <c r="OSG42" s="16"/>
      <c r="OSH42" s="16"/>
      <c r="OSI42" s="16"/>
      <c r="OSJ42" s="16"/>
      <c r="OSK42" s="16"/>
      <c r="OSL42" s="16"/>
      <c r="OSM42" s="16"/>
      <c r="OSN42" s="16"/>
      <c r="OSO42" s="16"/>
      <c r="OSP42" s="16"/>
      <c r="OSQ42" s="16"/>
      <c r="OSR42" s="16"/>
      <c r="OSS42" s="16"/>
      <c r="OST42" s="16"/>
      <c r="OSU42" s="16"/>
      <c r="OSV42" s="16"/>
      <c r="OSW42" s="16"/>
      <c r="OSX42" s="16"/>
      <c r="OSY42" s="16"/>
      <c r="OSZ42" s="16"/>
      <c r="OTA42" s="16"/>
      <c r="OTB42" s="16"/>
      <c r="OTC42" s="16"/>
      <c r="OTD42" s="16"/>
      <c r="OTE42" s="16"/>
      <c r="OTF42" s="16"/>
      <c r="OTG42" s="16"/>
      <c r="OTH42" s="16"/>
      <c r="OTI42" s="16"/>
      <c r="OTJ42" s="16"/>
      <c r="OTK42" s="16"/>
      <c r="OTL42" s="16"/>
      <c r="OTM42" s="16"/>
      <c r="OTN42" s="16"/>
      <c r="OTO42" s="16"/>
      <c r="OTP42" s="16"/>
      <c r="OTQ42" s="16"/>
      <c r="OTR42" s="16"/>
      <c r="OTS42" s="16"/>
      <c r="OTT42" s="16"/>
      <c r="OTU42" s="16"/>
      <c r="OTV42" s="16"/>
      <c r="OTW42" s="16"/>
      <c r="OTX42" s="16"/>
      <c r="OTY42" s="16"/>
      <c r="OTZ42" s="16"/>
      <c r="OUA42" s="16"/>
      <c r="OUB42" s="16"/>
      <c r="OUC42" s="16"/>
      <c r="OUD42" s="16"/>
      <c r="OUE42" s="16"/>
      <c r="OUF42" s="16"/>
      <c r="OUG42" s="16"/>
      <c r="OUH42" s="16"/>
      <c r="OUI42" s="16"/>
      <c r="OUJ42" s="16"/>
      <c r="OUK42" s="16"/>
      <c r="OUL42" s="16"/>
      <c r="OUM42" s="16"/>
      <c r="OUN42" s="16"/>
      <c r="OUO42" s="16"/>
      <c r="OUP42" s="16"/>
      <c r="OUQ42" s="16"/>
      <c r="OUR42" s="16"/>
      <c r="OUS42" s="16"/>
      <c r="OUT42" s="16"/>
      <c r="OUU42" s="16"/>
      <c r="OUV42" s="16"/>
      <c r="OUW42" s="16"/>
      <c r="OUX42" s="16"/>
      <c r="OUY42" s="16"/>
      <c r="OUZ42" s="16"/>
      <c r="OVA42" s="16"/>
      <c r="OVB42" s="16"/>
      <c r="OVC42" s="16"/>
      <c r="OVD42" s="16"/>
      <c r="OVE42" s="16"/>
      <c r="OVF42" s="16"/>
      <c r="OVG42" s="16"/>
      <c r="OVH42" s="16"/>
      <c r="OVI42" s="16"/>
      <c r="OVJ42" s="16"/>
      <c r="OVK42" s="16"/>
      <c r="OVL42" s="16"/>
      <c r="OVM42" s="16"/>
      <c r="OVN42" s="16"/>
      <c r="OVO42" s="16"/>
      <c r="OVP42" s="16"/>
      <c r="OVQ42" s="16"/>
      <c r="OVR42" s="16"/>
      <c r="OVS42" s="16"/>
      <c r="OVT42" s="16"/>
      <c r="OVU42" s="16"/>
      <c r="OVV42" s="16"/>
      <c r="OVW42" s="16"/>
      <c r="OVX42" s="16"/>
      <c r="OVY42" s="16"/>
      <c r="OVZ42" s="16"/>
      <c r="OWA42" s="16"/>
      <c r="OWB42" s="16"/>
      <c r="OWC42" s="16"/>
      <c r="OWD42" s="16"/>
      <c r="OWE42" s="16"/>
      <c r="OWF42" s="16"/>
      <c r="OWG42" s="16"/>
      <c r="OWH42" s="16"/>
      <c r="OWI42" s="16"/>
      <c r="OWJ42" s="16"/>
      <c r="OWK42" s="16"/>
      <c r="OWL42" s="16"/>
      <c r="OWM42" s="16"/>
      <c r="OWN42" s="16"/>
      <c r="OWO42" s="16"/>
      <c r="OWP42" s="16"/>
      <c r="OWQ42" s="16"/>
      <c r="OWR42" s="16"/>
      <c r="OWS42" s="16"/>
      <c r="OWT42" s="16"/>
      <c r="OWU42" s="16"/>
      <c r="OWV42" s="16"/>
      <c r="OWW42" s="16"/>
      <c r="OWX42" s="16"/>
      <c r="OWY42" s="16"/>
      <c r="OWZ42" s="16"/>
      <c r="OXA42" s="16"/>
      <c r="OXB42" s="16"/>
      <c r="OXC42" s="16"/>
      <c r="OXD42" s="16"/>
      <c r="OXE42" s="16"/>
      <c r="OXF42" s="16"/>
      <c r="OXG42" s="16"/>
      <c r="OXH42" s="16"/>
      <c r="OXI42" s="16"/>
      <c r="OXJ42" s="16"/>
      <c r="OXK42" s="16"/>
      <c r="OXL42" s="16"/>
      <c r="OXM42" s="16"/>
      <c r="OXN42" s="16"/>
      <c r="OXO42" s="16"/>
      <c r="OXP42" s="16"/>
      <c r="OXQ42" s="16"/>
      <c r="OXR42" s="16"/>
      <c r="OXS42" s="16"/>
      <c r="OXT42" s="16"/>
      <c r="OXU42" s="16"/>
      <c r="OXV42" s="16"/>
      <c r="OXW42" s="16"/>
      <c r="OXX42" s="16"/>
      <c r="OXY42" s="16"/>
      <c r="OXZ42" s="16"/>
      <c r="OYA42" s="16"/>
      <c r="OYB42" s="16"/>
      <c r="OYC42" s="16"/>
      <c r="OYD42" s="16"/>
      <c r="OYE42" s="16"/>
      <c r="OYF42" s="16"/>
      <c r="OYG42" s="16"/>
      <c r="OYH42" s="16"/>
      <c r="OYI42" s="16"/>
      <c r="OYJ42" s="16"/>
      <c r="OYK42" s="16"/>
      <c r="OYL42" s="16"/>
      <c r="OYM42" s="16"/>
      <c r="OYN42" s="16"/>
      <c r="OYO42" s="16"/>
      <c r="OYP42" s="16"/>
      <c r="OYQ42" s="16"/>
      <c r="OYR42" s="16"/>
      <c r="OYS42" s="16"/>
      <c r="OYT42" s="16"/>
      <c r="OYU42" s="16"/>
      <c r="OYV42" s="16"/>
      <c r="OYW42" s="16"/>
      <c r="OYX42" s="16"/>
      <c r="OYY42" s="16"/>
      <c r="OYZ42" s="16"/>
      <c r="OZA42" s="16"/>
      <c r="OZB42" s="16"/>
      <c r="OZC42" s="16"/>
      <c r="OZD42" s="16"/>
      <c r="OZE42" s="16"/>
      <c r="OZF42" s="16"/>
      <c r="OZG42" s="16"/>
      <c r="OZH42" s="16"/>
      <c r="OZI42" s="16"/>
      <c r="OZJ42" s="16"/>
      <c r="OZK42" s="16"/>
      <c r="OZL42" s="16"/>
      <c r="OZM42" s="16"/>
      <c r="OZN42" s="16"/>
      <c r="OZO42" s="16"/>
      <c r="OZP42" s="16"/>
      <c r="OZQ42" s="16"/>
      <c r="OZR42" s="16"/>
      <c r="OZS42" s="16"/>
      <c r="OZT42" s="16"/>
      <c r="OZU42" s="16"/>
      <c r="OZV42" s="16"/>
      <c r="OZW42" s="16"/>
      <c r="OZX42" s="16"/>
      <c r="OZY42" s="16"/>
      <c r="OZZ42" s="16"/>
      <c r="PAA42" s="16"/>
      <c r="PAB42" s="16"/>
      <c r="PAC42" s="16"/>
      <c r="PAD42" s="16"/>
      <c r="PAE42" s="16"/>
      <c r="PAF42" s="16"/>
      <c r="PAG42" s="16"/>
      <c r="PAH42" s="16"/>
      <c r="PAI42" s="16"/>
      <c r="PAJ42" s="16"/>
      <c r="PAK42" s="16"/>
      <c r="PAL42" s="16"/>
      <c r="PAM42" s="16"/>
      <c r="PAN42" s="16"/>
      <c r="PAO42" s="16"/>
      <c r="PAP42" s="16"/>
      <c r="PAQ42" s="16"/>
      <c r="PAR42" s="16"/>
      <c r="PAS42" s="16"/>
      <c r="PAT42" s="16"/>
      <c r="PAU42" s="16"/>
      <c r="PAV42" s="16"/>
      <c r="PAW42" s="16"/>
      <c r="PAX42" s="16"/>
      <c r="PAY42" s="16"/>
      <c r="PAZ42" s="16"/>
      <c r="PBA42" s="16"/>
      <c r="PBB42" s="16"/>
      <c r="PBC42" s="16"/>
      <c r="PBD42" s="16"/>
      <c r="PBE42" s="16"/>
      <c r="PBF42" s="16"/>
      <c r="PBG42" s="16"/>
      <c r="PBH42" s="16"/>
      <c r="PBI42" s="16"/>
      <c r="PBJ42" s="16"/>
      <c r="PBK42" s="16"/>
      <c r="PBL42" s="16"/>
      <c r="PBM42" s="16"/>
      <c r="PBN42" s="16"/>
      <c r="PBO42" s="16"/>
      <c r="PBP42" s="16"/>
      <c r="PBQ42" s="16"/>
      <c r="PBR42" s="16"/>
      <c r="PBS42" s="16"/>
      <c r="PBT42" s="16"/>
      <c r="PBU42" s="16"/>
      <c r="PBV42" s="16"/>
      <c r="PBW42" s="16"/>
      <c r="PBX42" s="16"/>
      <c r="PBY42" s="16"/>
      <c r="PBZ42" s="16"/>
      <c r="PCA42" s="16"/>
      <c r="PCB42" s="16"/>
      <c r="PCC42" s="16"/>
      <c r="PCD42" s="16"/>
      <c r="PCE42" s="16"/>
      <c r="PCF42" s="16"/>
      <c r="PCG42" s="16"/>
      <c r="PCH42" s="16"/>
      <c r="PCI42" s="16"/>
      <c r="PCJ42" s="16"/>
      <c r="PCK42" s="16"/>
      <c r="PCL42" s="16"/>
      <c r="PCM42" s="16"/>
      <c r="PCN42" s="16"/>
      <c r="PCO42" s="16"/>
      <c r="PCP42" s="16"/>
      <c r="PCQ42" s="16"/>
      <c r="PCR42" s="16"/>
      <c r="PCS42" s="16"/>
      <c r="PCT42" s="16"/>
      <c r="PCU42" s="16"/>
      <c r="PCV42" s="16"/>
      <c r="PCW42" s="16"/>
      <c r="PCX42" s="16"/>
      <c r="PCY42" s="16"/>
      <c r="PCZ42" s="16"/>
      <c r="PDA42" s="16"/>
      <c r="PDB42" s="16"/>
      <c r="PDC42" s="16"/>
      <c r="PDD42" s="16"/>
      <c r="PDE42" s="16"/>
      <c r="PDF42" s="16"/>
      <c r="PDG42" s="16"/>
      <c r="PDH42" s="16"/>
      <c r="PDI42" s="16"/>
      <c r="PDJ42" s="16"/>
      <c r="PDK42" s="16"/>
      <c r="PDL42" s="16"/>
      <c r="PDM42" s="16"/>
      <c r="PDN42" s="16"/>
      <c r="PDO42" s="16"/>
      <c r="PDP42" s="16"/>
      <c r="PDQ42" s="16"/>
      <c r="PDR42" s="16"/>
      <c r="PDS42" s="16"/>
      <c r="PDT42" s="16"/>
      <c r="PDU42" s="16"/>
      <c r="PDV42" s="16"/>
      <c r="PDW42" s="16"/>
      <c r="PDX42" s="16"/>
      <c r="PDY42" s="16"/>
      <c r="PDZ42" s="16"/>
      <c r="PEA42" s="16"/>
      <c r="PEB42" s="16"/>
      <c r="PEC42" s="16"/>
      <c r="PED42" s="16"/>
      <c r="PEE42" s="16"/>
      <c r="PEF42" s="16"/>
      <c r="PEG42" s="16"/>
      <c r="PEH42" s="16"/>
      <c r="PEI42" s="16"/>
      <c r="PEJ42" s="16"/>
      <c r="PEK42" s="16"/>
      <c r="PEL42" s="16"/>
      <c r="PEM42" s="16"/>
      <c r="PEN42" s="16"/>
      <c r="PEO42" s="16"/>
      <c r="PEP42" s="16"/>
      <c r="PEQ42" s="16"/>
      <c r="PER42" s="16"/>
      <c r="PES42" s="16"/>
      <c r="PET42" s="16"/>
      <c r="PEU42" s="16"/>
      <c r="PEV42" s="16"/>
      <c r="PEW42" s="16"/>
      <c r="PEX42" s="16"/>
      <c r="PEY42" s="16"/>
      <c r="PEZ42" s="16"/>
      <c r="PFA42" s="16"/>
      <c r="PFB42" s="16"/>
      <c r="PFC42" s="16"/>
      <c r="PFD42" s="16"/>
      <c r="PFE42" s="16"/>
      <c r="PFF42" s="16"/>
      <c r="PFG42" s="16"/>
      <c r="PFH42" s="16"/>
      <c r="PFI42" s="16"/>
      <c r="PFJ42" s="16"/>
      <c r="PFK42" s="16"/>
      <c r="PFL42" s="16"/>
      <c r="PFM42" s="16"/>
      <c r="PFN42" s="16"/>
      <c r="PFO42" s="16"/>
      <c r="PFP42" s="16"/>
      <c r="PFQ42" s="16"/>
      <c r="PFR42" s="16"/>
      <c r="PFS42" s="16"/>
      <c r="PFT42" s="16"/>
      <c r="PFU42" s="16"/>
      <c r="PFV42" s="16"/>
      <c r="PFW42" s="16"/>
      <c r="PFX42" s="16"/>
      <c r="PFY42" s="16"/>
      <c r="PFZ42" s="16"/>
      <c r="PGA42" s="16"/>
      <c r="PGB42" s="16"/>
      <c r="PGC42" s="16"/>
      <c r="PGD42" s="16"/>
      <c r="PGE42" s="16"/>
      <c r="PGF42" s="16"/>
      <c r="PGG42" s="16"/>
      <c r="PGH42" s="16"/>
      <c r="PGI42" s="16"/>
      <c r="PGJ42" s="16"/>
      <c r="PGK42" s="16"/>
      <c r="PGL42" s="16"/>
      <c r="PGM42" s="16"/>
      <c r="PGN42" s="16"/>
      <c r="PGO42" s="16"/>
      <c r="PGP42" s="16"/>
      <c r="PGQ42" s="16"/>
      <c r="PGR42" s="16"/>
      <c r="PGS42" s="16"/>
      <c r="PGT42" s="16"/>
      <c r="PGU42" s="16"/>
      <c r="PGV42" s="16"/>
      <c r="PGW42" s="16"/>
      <c r="PGX42" s="16"/>
      <c r="PGY42" s="16"/>
      <c r="PGZ42" s="16"/>
      <c r="PHA42" s="16"/>
      <c r="PHB42" s="16"/>
      <c r="PHC42" s="16"/>
      <c r="PHD42" s="16"/>
      <c r="PHE42" s="16"/>
      <c r="PHF42" s="16"/>
      <c r="PHG42" s="16"/>
      <c r="PHH42" s="16"/>
      <c r="PHI42" s="16"/>
      <c r="PHJ42" s="16"/>
      <c r="PHK42" s="16"/>
      <c r="PHL42" s="16"/>
      <c r="PHM42" s="16"/>
      <c r="PHN42" s="16"/>
      <c r="PHO42" s="16"/>
      <c r="PHP42" s="16"/>
      <c r="PHQ42" s="16"/>
      <c r="PHR42" s="16"/>
      <c r="PHS42" s="16"/>
      <c r="PHT42" s="16"/>
      <c r="PHU42" s="16"/>
      <c r="PHV42" s="16"/>
      <c r="PHW42" s="16"/>
      <c r="PHX42" s="16"/>
      <c r="PHY42" s="16"/>
      <c r="PHZ42" s="16"/>
      <c r="PIA42" s="16"/>
      <c r="PIB42" s="16"/>
      <c r="PIC42" s="16"/>
      <c r="PID42" s="16"/>
      <c r="PIE42" s="16"/>
      <c r="PIF42" s="16"/>
      <c r="PIG42" s="16"/>
      <c r="PIH42" s="16"/>
      <c r="PII42" s="16"/>
      <c r="PIJ42" s="16"/>
      <c r="PIK42" s="16"/>
      <c r="PIL42" s="16"/>
      <c r="PIM42" s="16"/>
      <c r="PIN42" s="16"/>
      <c r="PIO42" s="16"/>
      <c r="PIP42" s="16"/>
      <c r="PIQ42" s="16"/>
      <c r="PIR42" s="16"/>
      <c r="PIS42" s="16"/>
      <c r="PIT42" s="16"/>
      <c r="PIU42" s="16"/>
      <c r="PIV42" s="16"/>
      <c r="PIW42" s="16"/>
      <c r="PIX42" s="16"/>
      <c r="PIY42" s="16"/>
      <c r="PIZ42" s="16"/>
      <c r="PJA42" s="16"/>
      <c r="PJB42" s="16"/>
      <c r="PJC42" s="16"/>
      <c r="PJD42" s="16"/>
      <c r="PJE42" s="16"/>
      <c r="PJF42" s="16"/>
      <c r="PJG42" s="16"/>
      <c r="PJH42" s="16"/>
      <c r="PJI42" s="16"/>
      <c r="PJJ42" s="16"/>
      <c r="PJK42" s="16"/>
      <c r="PJL42" s="16"/>
      <c r="PJM42" s="16"/>
      <c r="PJN42" s="16"/>
      <c r="PJO42" s="16"/>
      <c r="PJP42" s="16"/>
      <c r="PJQ42" s="16"/>
      <c r="PJR42" s="16"/>
      <c r="PJS42" s="16"/>
      <c r="PJT42" s="16"/>
      <c r="PJU42" s="16"/>
      <c r="PJV42" s="16"/>
      <c r="PJW42" s="16"/>
      <c r="PJX42" s="16"/>
      <c r="PJY42" s="16"/>
      <c r="PJZ42" s="16"/>
      <c r="PKA42" s="16"/>
      <c r="PKB42" s="16"/>
      <c r="PKC42" s="16"/>
      <c r="PKD42" s="16"/>
      <c r="PKE42" s="16"/>
      <c r="PKF42" s="16"/>
      <c r="PKG42" s="16"/>
      <c r="PKH42" s="16"/>
      <c r="PKI42" s="16"/>
      <c r="PKJ42" s="16"/>
      <c r="PKK42" s="16"/>
      <c r="PKL42" s="16"/>
      <c r="PKM42" s="16"/>
      <c r="PKN42" s="16"/>
      <c r="PKO42" s="16"/>
      <c r="PKP42" s="16"/>
      <c r="PKQ42" s="16"/>
      <c r="PKR42" s="16"/>
      <c r="PKS42" s="16"/>
      <c r="PKT42" s="16"/>
      <c r="PKU42" s="16"/>
      <c r="PKV42" s="16"/>
      <c r="PKW42" s="16"/>
      <c r="PKX42" s="16"/>
      <c r="PKY42" s="16"/>
      <c r="PKZ42" s="16"/>
      <c r="PLA42" s="16"/>
      <c r="PLB42" s="16"/>
      <c r="PLC42" s="16"/>
      <c r="PLD42" s="16"/>
      <c r="PLE42" s="16"/>
      <c r="PLF42" s="16"/>
      <c r="PLG42" s="16"/>
      <c r="PLH42" s="16"/>
      <c r="PLI42" s="16"/>
      <c r="PLJ42" s="16"/>
      <c r="PLK42" s="16"/>
      <c r="PLL42" s="16"/>
      <c r="PLM42" s="16"/>
      <c r="PLN42" s="16"/>
      <c r="PLO42" s="16"/>
      <c r="PLP42" s="16"/>
      <c r="PLQ42" s="16"/>
      <c r="PLR42" s="16"/>
      <c r="PLS42" s="16"/>
      <c r="PLT42" s="16"/>
      <c r="PLU42" s="16"/>
      <c r="PLV42" s="16"/>
      <c r="PLW42" s="16"/>
      <c r="PLX42" s="16"/>
      <c r="PLY42" s="16"/>
      <c r="PLZ42" s="16"/>
      <c r="PMA42" s="16"/>
      <c r="PMB42" s="16"/>
      <c r="PMC42" s="16"/>
      <c r="PMD42" s="16"/>
      <c r="PME42" s="16"/>
      <c r="PMF42" s="16"/>
      <c r="PMG42" s="16"/>
      <c r="PMH42" s="16"/>
      <c r="PMI42" s="16"/>
      <c r="PMJ42" s="16"/>
      <c r="PMK42" s="16"/>
      <c r="PML42" s="16"/>
      <c r="PMM42" s="16"/>
      <c r="PMN42" s="16"/>
      <c r="PMO42" s="16"/>
      <c r="PMP42" s="16"/>
      <c r="PMQ42" s="16"/>
      <c r="PMR42" s="16"/>
      <c r="PMS42" s="16"/>
      <c r="PMT42" s="16"/>
      <c r="PMU42" s="16"/>
      <c r="PMV42" s="16"/>
      <c r="PMW42" s="16"/>
      <c r="PMX42" s="16"/>
      <c r="PMY42" s="16"/>
      <c r="PMZ42" s="16"/>
      <c r="PNA42" s="16"/>
      <c r="PNB42" s="16"/>
      <c r="PNC42" s="16"/>
      <c r="PND42" s="16"/>
      <c r="PNE42" s="16"/>
      <c r="PNF42" s="16"/>
      <c r="PNG42" s="16"/>
      <c r="PNH42" s="16"/>
      <c r="PNI42" s="16"/>
      <c r="PNJ42" s="16"/>
      <c r="PNK42" s="16"/>
      <c r="PNL42" s="16"/>
      <c r="PNM42" s="16"/>
      <c r="PNN42" s="16"/>
      <c r="PNO42" s="16"/>
      <c r="PNP42" s="16"/>
      <c r="PNQ42" s="16"/>
      <c r="PNR42" s="16"/>
      <c r="PNS42" s="16"/>
      <c r="PNT42" s="16"/>
      <c r="PNU42" s="16"/>
      <c r="PNV42" s="16"/>
      <c r="PNW42" s="16"/>
      <c r="PNX42" s="16"/>
      <c r="PNY42" s="16"/>
      <c r="PNZ42" s="16"/>
      <c r="POA42" s="16"/>
      <c r="POB42" s="16"/>
      <c r="POC42" s="16"/>
      <c r="POD42" s="16"/>
      <c r="POE42" s="16"/>
      <c r="POF42" s="16"/>
      <c r="POG42" s="16"/>
      <c r="POH42" s="16"/>
      <c r="POI42" s="16"/>
      <c r="POJ42" s="16"/>
      <c r="POK42" s="16"/>
      <c r="POL42" s="16"/>
      <c r="POM42" s="16"/>
      <c r="PON42" s="16"/>
      <c r="POO42" s="16"/>
      <c r="POP42" s="16"/>
      <c r="POQ42" s="16"/>
      <c r="POR42" s="16"/>
      <c r="POS42" s="16"/>
      <c r="POT42" s="16"/>
      <c r="POU42" s="16"/>
      <c r="POV42" s="16"/>
      <c r="POW42" s="16"/>
      <c r="POX42" s="16"/>
      <c r="POY42" s="16"/>
      <c r="POZ42" s="16"/>
      <c r="PPA42" s="16"/>
      <c r="PPB42" s="16"/>
      <c r="PPC42" s="16"/>
      <c r="PPD42" s="16"/>
      <c r="PPE42" s="16"/>
      <c r="PPF42" s="16"/>
      <c r="PPG42" s="16"/>
      <c r="PPH42" s="16"/>
      <c r="PPI42" s="16"/>
      <c r="PPJ42" s="16"/>
      <c r="PPK42" s="16"/>
      <c r="PPL42" s="16"/>
      <c r="PPM42" s="16"/>
      <c r="PPN42" s="16"/>
      <c r="PPO42" s="16"/>
      <c r="PPP42" s="16"/>
      <c r="PPQ42" s="16"/>
      <c r="PPR42" s="16"/>
      <c r="PPS42" s="16"/>
      <c r="PPT42" s="16"/>
      <c r="PPU42" s="16"/>
      <c r="PPV42" s="16"/>
      <c r="PPW42" s="16"/>
      <c r="PPX42" s="16"/>
      <c r="PPY42" s="16"/>
      <c r="PPZ42" s="16"/>
      <c r="PQA42" s="16"/>
      <c r="PQB42" s="16"/>
      <c r="PQC42" s="16"/>
      <c r="PQD42" s="16"/>
      <c r="PQE42" s="16"/>
      <c r="PQF42" s="16"/>
      <c r="PQG42" s="16"/>
      <c r="PQH42" s="16"/>
      <c r="PQI42" s="16"/>
      <c r="PQJ42" s="16"/>
      <c r="PQK42" s="16"/>
      <c r="PQL42" s="16"/>
      <c r="PQM42" s="16"/>
      <c r="PQN42" s="16"/>
      <c r="PQO42" s="16"/>
      <c r="PQP42" s="16"/>
      <c r="PQQ42" s="16"/>
      <c r="PQR42" s="16"/>
      <c r="PQS42" s="16"/>
      <c r="PQT42" s="16"/>
      <c r="PQU42" s="16"/>
      <c r="PQV42" s="16"/>
      <c r="PQW42" s="16"/>
      <c r="PQX42" s="16"/>
      <c r="PQY42" s="16"/>
      <c r="PQZ42" s="16"/>
      <c r="PRA42" s="16"/>
      <c r="PRB42" s="16"/>
      <c r="PRC42" s="16"/>
      <c r="PRD42" s="16"/>
      <c r="PRE42" s="16"/>
      <c r="PRF42" s="16"/>
      <c r="PRG42" s="16"/>
      <c r="PRH42" s="16"/>
      <c r="PRI42" s="16"/>
      <c r="PRJ42" s="16"/>
      <c r="PRK42" s="16"/>
      <c r="PRL42" s="16"/>
      <c r="PRM42" s="16"/>
      <c r="PRN42" s="16"/>
      <c r="PRO42" s="16"/>
      <c r="PRP42" s="16"/>
      <c r="PRQ42" s="16"/>
      <c r="PRR42" s="16"/>
      <c r="PRS42" s="16"/>
      <c r="PRT42" s="16"/>
      <c r="PRU42" s="16"/>
      <c r="PRV42" s="16"/>
      <c r="PRW42" s="16"/>
      <c r="PRX42" s="16"/>
      <c r="PRY42" s="16"/>
      <c r="PRZ42" s="16"/>
      <c r="PSA42" s="16"/>
      <c r="PSB42" s="16"/>
      <c r="PSC42" s="16"/>
      <c r="PSD42" s="16"/>
      <c r="PSE42" s="16"/>
      <c r="PSF42" s="16"/>
      <c r="PSG42" s="16"/>
      <c r="PSH42" s="16"/>
      <c r="PSI42" s="16"/>
      <c r="PSJ42" s="16"/>
      <c r="PSK42" s="16"/>
      <c r="PSL42" s="16"/>
      <c r="PSM42" s="16"/>
      <c r="PSN42" s="16"/>
      <c r="PSO42" s="16"/>
      <c r="PSP42" s="16"/>
      <c r="PSQ42" s="16"/>
      <c r="PSR42" s="16"/>
      <c r="PSS42" s="16"/>
      <c r="PST42" s="16"/>
      <c r="PSU42" s="16"/>
      <c r="PSV42" s="16"/>
      <c r="PSW42" s="16"/>
      <c r="PSX42" s="16"/>
      <c r="PSY42" s="16"/>
      <c r="PSZ42" s="16"/>
      <c r="PTA42" s="16"/>
      <c r="PTB42" s="16"/>
      <c r="PTC42" s="16"/>
      <c r="PTD42" s="16"/>
      <c r="PTE42" s="16"/>
      <c r="PTF42" s="16"/>
      <c r="PTG42" s="16"/>
      <c r="PTH42" s="16"/>
      <c r="PTI42" s="16"/>
      <c r="PTJ42" s="16"/>
      <c r="PTK42" s="16"/>
      <c r="PTL42" s="16"/>
      <c r="PTM42" s="16"/>
      <c r="PTN42" s="16"/>
      <c r="PTO42" s="16"/>
      <c r="PTP42" s="16"/>
      <c r="PTQ42" s="16"/>
      <c r="PTR42" s="16"/>
      <c r="PTS42" s="16"/>
      <c r="PTT42" s="16"/>
      <c r="PTU42" s="16"/>
      <c r="PTV42" s="16"/>
      <c r="PTW42" s="16"/>
      <c r="PTX42" s="16"/>
      <c r="PTY42" s="16"/>
      <c r="PTZ42" s="16"/>
      <c r="PUA42" s="16"/>
      <c r="PUB42" s="16"/>
      <c r="PUC42" s="16"/>
      <c r="PUD42" s="16"/>
      <c r="PUE42" s="16"/>
      <c r="PUF42" s="16"/>
      <c r="PUG42" s="16"/>
      <c r="PUH42" s="16"/>
      <c r="PUI42" s="16"/>
      <c r="PUJ42" s="16"/>
      <c r="PUK42" s="16"/>
      <c r="PUL42" s="16"/>
      <c r="PUM42" s="16"/>
      <c r="PUN42" s="16"/>
      <c r="PUO42" s="16"/>
      <c r="PUP42" s="16"/>
      <c r="PUQ42" s="16"/>
      <c r="PUR42" s="16"/>
      <c r="PUS42" s="16"/>
      <c r="PUT42" s="16"/>
      <c r="PUU42" s="16"/>
      <c r="PUV42" s="16"/>
      <c r="PUW42" s="16"/>
      <c r="PUX42" s="16"/>
      <c r="PUY42" s="16"/>
      <c r="PUZ42" s="16"/>
      <c r="PVA42" s="16"/>
      <c r="PVB42" s="16"/>
      <c r="PVC42" s="16"/>
      <c r="PVD42" s="16"/>
      <c r="PVE42" s="16"/>
      <c r="PVF42" s="16"/>
      <c r="PVG42" s="16"/>
      <c r="PVH42" s="16"/>
      <c r="PVI42" s="16"/>
      <c r="PVJ42" s="16"/>
      <c r="PVK42" s="16"/>
      <c r="PVL42" s="16"/>
      <c r="PVM42" s="16"/>
      <c r="PVN42" s="16"/>
      <c r="PVO42" s="16"/>
      <c r="PVP42" s="16"/>
      <c r="PVQ42" s="16"/>
      <c r="PVR42" s="16"/>
      <c r="PVS42" s="16"/>
      <c r="PVT42" s="16"/>
      <c r="PVU42" s="16"/>
      <c r="PVV42" s="16"/>
      <c r="PVW42" s="16"/>
      <c r="PVX42" s="16"/>
      <c r="PVY42" s="16"/>
      <c r="PVZ42" s="16"/>
      <c r="PWA42" s="16"/>
      <c r="PWB42" s="16"/>
      <c r="PWC42" s="16"/>
      <c r="PWD42" s="16"/>
      <c r="PWE42" s="16"/>
      <c r="PWF42" s="16"/>
      <c r="PWG42" s="16"/>
      <c r="PWH42" s="16"/>
      <c r="PWI42" s="16"/>
      <c r="PWJ42" s="16"/>
      <c r="PWK42" s="16"/>
      <c r="PWL42" s="16"/>
      <c r="PWM42" s="16"/>
      <c r="PWN42" s="16"/>
      <c r="PWO42" s="16"/>
      <c r="PWP42" s="16"/>
      <c r="PWQ42" s="16"/>
      <c r="PWR42" s="16"/>
      <c r="PWS42" s="16"/>
      <c r="PWT42" s="16"/>
      <c r="PWU42" s="16"/>
      <c r="PWV42" s="16"/>
      <c r="PWW42" s="16"/>
      <c r="PWX42" s="16"/>
      <c r="PWY42" s="16"/>
      <c r="PWZ42" s="16"/>
      <c r="PXA42" s="16"/>
      <c r="PXB42" s="16"/>
      <c r="PXC42" s="16"/>
      <c r="PXD42" s="16"/>
      <c r="PXE42" s="16"/>
      <c r="PXF42" s="16"/>
      <c r="PXG42" s="16"/>
      <c r="PXH42" s="16"/>
      <c r="PXI42" s="16"/>
      <c r="PXJ42" s="16"/>
      <c r="PXK42" s="16"/>
      <c r="PXL42" s="16"/>
      <c r="PXM42" s="16"/>
      <c r="PXN42" s="16"/>
      <c r="PXO42" s="16"/>
      <c r="PXP42" s="16"/>
      <c r="PXQ42" s="16"/>
      <c r="PXR42" s="16"/>
      <c r="PXS42" s="16"/>
      <c r="PXT42" s="16"/>
      <c r="PXU42" s="16"/>
      <c r="PXV42" s="16"/>
      <c r="PXW42" s="16"/>
      <c r="PXX42" s="16"/>
      <c r="PXY42" s="16"/>
      <c r="PXZ42" s="16"/>
      <c r="PYA42" s="16"/>
      <c r="PYB42" s="16"/>
      <c r="PYC42" s="16"/>
      <c r="PYD42" s="16"/>
      <c r="PYE42" s="16"/>
      <c r="PYF42" s="16"/>
      <c r="PYG42" s="16"/>
      <c r="PYH42" s="16"/>
      <c r="PYI42" s="16"/>
      <c r="PYJ42" s="16"/>
      <c r="PYK42" s="16"/>
      <c r="PYL42" s="16"/>
      <c r="PYM42" s="16"/>
      <c r="PYN42" s="16"/>
      <c r="PYO42" s="16"/>
      <c r="PYP42" s="16"/>
      <c r="PYQ42" s="16"/>
      <c r="PYR42" s="16"/>
      <c r="PYS42" s="16"/>
      <c r="PYT42" s="16"/>
      <c r="PYU42" s="16"/>
      <c r="PYV42" s="16"/>
      <c r="PYW42" s="16"/>
      <c r="PYX42" s="16"/>
      <c r="PYY42" s="16"/>
      <c r="PYZ42" s="16"/>
      <c r="PZA42" s="16"/>
      <c r="PZB42" s="16"/>
      <c r="PZC42" s="16"/>
      <c r="PZD42" s="16"/>
      <c r="PZE42" s="16"/>
      <c r="PZF42" s="16"/>
      <c r="PZG42" s="16"/>
      <c r="PZH42" s="16"/>
      <c r="PZI42" s="16"/>
      <c r="PZJ42" s="16"/>
      <c r="PZK42" s="16"/>
      <c r="PZL42" s="16"/>
      <c r="PZM42" s="16"/>
      <c r="PZN42" s="16"/>
      <c r="PZO42" s="16"/>
      <c r="PZP42" s="16"/>
      <c r="PZQ42" s="16"/>
      <c r="PZR42" s="16"/>
      <c r="PZS42" s="16"/>
      <c r="PZT42" s="16"/>
      <c r="PZU42" s="16"/>
      <c r="PZV42" s="16"/>
      <c r="PZW42" s="16"/>
      <c r="PZX42" s="16"/>
      <c r="PZY42" s="16"/>
      <c r="PZZ42" s="16"/>
      <c r="QAA42" s="16"/>
      <c r="QAB42" s="16"/>
      <c r="QAC42" s="16"/>
      <c r="QAD42" s="16"/>
      <c r="QAE42" s="16"/>
      <c r="QAF42" s="16"/>
      <c r="QAG42" s="16"/>
      <c r="QAH42" s="16"/>
      <c r="QAI42" s="16"/>
      <c r="QAJ42" s="16"/>
      <c r="QAK42" s="16"/>
      <c r="QAL42" s="16"/>
      <c r="QAM42" s="16"/>
      <c r="QAN42" s="16"/>
      <c r="QAO42" s="16"/>
      <c r="QAP42" s="16"/>
      <c r="QAQ42" s="16"/>
      <c r="QAR42" s="16"/>
      <c r="QAS42" s="16"/>
      <c r="QAT42" s="16"/>
      <c r="QAU42" s="16"/>
      <c r="QAV42" s="16"/>
      <c r="QAW42" s="16"/>
      <c r="QAX42" s="16"/>
      <c r="QAY42" s="16"/>
      <c r="QAZ42" s="16"/>
      <c r="QBA42" s="16"/>
      <c r="QBB42" s="16"/>
      <c r="QBC42" s="16"/>
      <c r="QBD42" s="16"/>
      <c r="QBE42" s="16"/>
      <c r="QBF42" s="16"/>
      <c r="QBG42" s="16"/>
      <c r="QBH42" s="16"/>
      <c r="QBI42" s="16"/>
      <c r="QBJ42" s="16"/>
      <c r="QBK42" s="16"/>
      <c r="QBL42" s="16"/>
      <c r="QBM42" s="16"/>
      <c r="QBN42" s="16"/>
      <c r="QBO42" s="16"/>
      <c r="QBP42" s="16"/>
      <c r="QBQ42" s="16"/>
      <c r="QBR42" s="16"/>
      <c r="QBS42" s="16"/>
      <c r="QBT42" s="16"/>
      <c r="QBU42" s="16"/>
      <c r="QBV42" s="16"/>
      <c r="QBW42" s="16"/>
      <c r="QBX42" s="16"/>
      <c r="QBY42" s="16"/>
      <c r="QBZ42" s="16"/>
      <c r="QCA42" s="16"/>
      <c r="QCB42" s="16"/>
      <c r="QCC42" s="16"/>
      <c r="QCD42" s="16"/>
      <c r="QCE42" s="16"/>
      <c r="QCF42" s="16"/>
      <c r="QCG42" s="16"/>
      <c r="QCH42" s="16"/>
      <c r="QCI42" s="16"/>
      <c r="QCJ42" s="16"/>
      <c r="QCK42" s="16"/>
      <c r="QCL42" s="16"/>
      <c r="QCM42" s="16"/>
      <c r="QCN42" s="16"/>
      <c r="QCO42" s="16"/>
      <c r="QCP42" s="16"/>
      <c r="QCQ42" s="16"/>
      <c r="QCR42" s="16"/>
      <c r="QCS42" s="16"/>
      <c r="QCT42" s="16"/>
      <c r="QCU42" s="16"/>
      <c r="QCV42" s="16"/>
      <c r="QCW42" s="16"/>
      <c r="QCX42" s="16"/>
      <c r="QCY42" s="16"/>
      <c r="QCZ42" s="16"/>
      <c r="QDA42" s="16"/>
      <c r="QDB42" s="16"/>
      <c r="QDC42" s="16"/>
      <c r="QDD42" s="16"/>
      <c r="QDE42" s="16"/>
      <c r="QDF42" s="16"/>
      <c r="QDG42" s="16"/>
      <c r="QDH42" s="16"/>
      <c r="QDI42" s="16"/>
      <c r="QDJ42" s="16"/>
      <c r="QDK42" s="16"/>
      <c r="QDL42" s="16"/>
      <c r="QDM42" s="16"/>
      <c r="QDN42" s="16"/>
      <c r="QDO42" s="16"/>
      <c r="QDP42" s="16"/>
      <c r="QDQ42" s="16"/>
      <c r="QDR42" s="16"/>
      <c r="QDS42" s="16"/>
      <c r="QDT42" s="16"/>
      <c r="QDU42" s="16"/>
      <c r="QDV42" s="16"/>
      <c r="QDW42" s="16"/>
      <c r="QDX42" s="16"/>
      <c r="QDY42" s="16"/>
      <c r="QDZ42" s="16"/>
      <c r="QEA42" s="16"/>
      <c r="QEB42" s="16"/>
      <c r="QEC42" s="16"/>
      <c r="QED42" s="16"/>
      <c r="QEE42" s="16"/>
      <c r="QEF42" s="16"/>
      <c r="QEG42" s="16"/>
      <c r="QEH42" s="16"/>
      <c r="QEI42" s="16"/>
      <c r="QEJ42" s="16"/>
      <c r="QEK42" s="16"/>
      <c r="QEL42" s="16"/>
      <c r="QEM42" s="16"/>
      <c r="QEN42" s="16"/>
      <c r="QEO42" s="16"/>
      <c r="QEP42" s="16"/>
      <c r="QEQ42" s="16"/>
      <c r="QER42" s="16"/>
      <c r="QES42" s="16"/>
      <c r="QET42" s="16"/>
      <c r="QEU42" s="16"/>
      <c r="QEV42" s="16"/>
      <c r="QEW42" s="16"/>
      <c r="QEX42" s="16"/>
      <c r="QEY42" s="16"/>
      <c r="QEZ42" s="16"/>
      <c r="QFA42" s="16"/>
      <c r="QFB42" s="16"/>
      <c r="QFC42" s="16"/>
      <c r="QFD42" s="16"/>
      <c r="QFE42" s="16"/>
      <c r="QFF42" s="16"/>
      <c r="QFG42" s="16"/>
      <c r="QFH42" s="16"/>
      <c r="QFI42" s="16"/>
      <c r="QFJ42" s="16"/>
      <c r="QFK42" s="16"/>
      <c r="QFL42" s="16"/>
      <c r="QFM42" s="16"/>
      <c r="QFN42" s="16"/>
      <c r="QFO42" s="16"/>
      <c r="QFP42" s="16"/>
      <c r="QFQ42" s="16"/>
      <c r="QFR42" s="16"/>
      <c r="QFS42" s="16"/>
      <c r="QFT42" s="16"/>
      <c r="QFU42" s="16"/>
      <c r="QFV42" s="16"/>
      <c r="QFW42" s="16"/>
      <c r="QFX42" s="16"/>
      <c r="QFY42" s="16"/>
      <c r="QFZ42" s="16"/>
      <c r="QGA42" s="16"/>
      <c r="QGB42" s="16"/>
      <c r="QGC42" s="16"/>
      <c r="QGD42" s="16"/>
      <c r="QGE42" s="16"/>
      <c r="QGF42" s="16"/>
      <c r="QGG42" s="16"/>
      <c r="QGH42" s="16"/>
      <c r="QGI42" s="16"/>
      <c r="QGJ42" s="16"/>
      <c r="QGK42" s="16"/>
      <c r="QGL42" s="16"/>
      <c r="QGM42" s="16"/>
      <c r="QGN42" s="16"/>
      <c r="QGO42" s="16"/>
      <c r="QGP42" s="16"/>
      <c r="QGQ42" s="16"/>
      <c r="QGR42" s="16"/>
      <c r="QGS42" s="16"/>
      <c r="QGT42" s="16"/>
      <c r="QGU42" s="16"/>
      <c r="QGV42" s="16"/>
      <c r="QGW42" s="16"/>
      <c r="QGX42" s="16"/>
      <c r="QGY42" s="16"/>
      <c r="QGZ42" s="16"/>
      <c r="QHA42" s="16"/>
      <c r="QHB42" s="16"/>
      <c r="QHC42" s="16"/>
      <c r="QHD42" s="16"/>
      <c r="QHE42" s="16"/>
      <c r="QHF42" s="16"/>
      <c r="QHG42" s="16"/>
      <c r="QHH42" s="16"/>
      <c r="QHI42" s="16"/>
      <c r="QHJ42" s="16"/>
      <c r="QHK42" s="16"/>
      <c r="QHL42" s="16"/>
      <c r="QHM42" s="16"/>
      <c r="QHN42" s="16"/>
      <c r="QHO42" s="16"/>
      <c r="QHP42" s="16"/>
      <c r="QHQ42" s="16"/>
      <c r="QHR42" s="16"/>
      <c r="QHS42" s="16"/>
      <c r="QHT42" s="16"/>
      <c r="QHU42" s="16"/>
      <c r="QHV42" s="16"/>
      <c r="QHW42" s="16"/>
      <c r="QHX42" s="16"/>
      <c r="QHY42" s="16"/>
      <c r="QHZ42" s="16"/>
      <c r="QIA42" s="16"/>
      <c r="QIB42" s="16"/>
      <c r="QIC42" s="16"/>
      <c r="QID42" s="16"/>
      <c r="QIE42" s="16"/>
      <c r="QIF42" s="16"/>
      <c r="QIG42" s="16"/>
      <c r="QIH42" s="16"/>
      <c r="QII42" s="16"/>
      <c r="QIJ42" s="16"/>
      <c r="QIK42" s="16"/>
      <c r="QIL42" s="16"/>
      <c r="QIM42" s="16"/>
      <c r="QIN42" s="16"/>
      <c r="QIO42" s="16"/>
      <c r="QIP42" s="16"/>
      <c r="QIQ42" s="16"/>
      <c r="QIR42" s="16"/>
      <c r="QIS42" s="16"/>
      <c r="QIT42" s="16"/>
      <c r="QIU42" s="16"/>
      <c r="QIV42" s="16"/>
      <c r="QIW42" s="16"/>
      <c r="QIX42" s="16"/>
      <c r="QIY42" s="16"/>
      <c r="QIZ42" s="16"/>
      <c r="QJA42" s="16"/>
      <c r="QJB42" s="16"/>
      <c r="QJC42" s="16"/>
      <c r="QJD42" s="16"/>
      <c r="QJE42" s="16"/>
      <c r="QJF42" s="16"/>
      <c r="QJG42" s="16"/>
      <c r="QJH42" s="16"/>
      <c r="QJI42" s="16"/>
      <c r="QJJ42" s="16"/>
      <c r="QJK42" s="16"/>
      <c r="QJL42" s="16"/>
      <c r="QJM42" s="16"/>
      <c r="QJN42" s="16"/>
      <c r="QJO42" s="16"/>
      <c r="QJP42" s="16"/>
      <c r="QJQ42" s="16"/>
      <c r="QJR42" s="16"/>
      <c r="QJS42" s="16"/>
      <c r="QJT42" s="16"/>
      <c r="QJU42" s="16"/>
      <c r="QJV42" s="16"/>
      <c r="QJW42" s="16"/>
      <c r="QJX42" s="16"/>
      <c r="QJY42" s="16"/>
      <c r="QJZ42" s="16"/>
      <c r="QKA42" s="16"/>
      <c r="QKB42" s="16"/>
      <c r="QKC42" s="16"/>
      <c r="QKD42" s="16"/>
      <c r="QKE42" s="16"/>
      <c r="QKF42" s="16"/>
      <c r="QKG42" s="16"/>
      <c r="QKH42" s="16"/>
      <c r="QKI42" s="16"/>
      <c r="QKJ42" s="16"/>
      <c r="QKK42" s="16"/>
      <c r="QKL42" s="16"/>
      <c r="QKM42" s="16"/>
      <c r="QKN42" s="16"/>
      <c r="QKO42" s="16"/>
      <c r="QKP42" s="16"/>
      <c r="QKQ42" s="16"/>
      <c r="QKR42" s="16"/>
      <c r="QKS42" s="16"/>
      <c r="QKT42" s="16"/>
      <c r="QKU42" s="16"/>
      <c r="QKV42" s="16"/>
      <c r="QKW42" s="16"/>
      <c r="QKX42" s="16"/>
      <c r="QKY42" s="16"/>
      <c r="QKZ42" s="16"/>
      <c r="QLA42" s="16"/>
      <c r="QLB42" s="16"/>
      <c r="QLC42" s="16"/>
      <c r="QLD42" s="16"/>
      <c r="QLE42" s="16"/>
      <c r="QLF42" s="16"/>
      <c r="QLG42" s="16"/>
      <c r="QLH42" s="16"/>
      <c r="QLI42" s="16"/>
      <c r="QLJ42" s="16"/>
      <c r="QLK42" s="16"/>
      <c r="QLL42" s="16"/>
      <c r="QLM42" s="16"/>
      <c r="QLN42" s="16"/>
      <c r="QLO42" s="16"/>
      <c r="QLP42" s="16"/>
      <c r="QLQ42" s="16"/>
      <c r="QLR42" s="16"/>
      <c r="QLS42" s="16"/>
      <c r="QLT42" s="16"/>
      <c r="QLU42" s="16"/>
      <c r="QLV42" s="16"/>
      <c r="QLW42" s="16"/>
      <c r="QLX42" s="16"/>
      <c r="QLY42" s="16"/>
      <c r="QLZ42" s="16"/>
      <c r="QMA42" s="16"/>
      <c r="QMB42" s="16"/>
      <c r="QMC42" s="16"/>
      <c r="QMD42" s="16"/>
      <c r="QME42" s="16"/>
      <c r="QMF42" s="16"/>
      <c r="QMG42" s="16"/>
      <c r="QMH42" s="16"/>
      <c r="QMI42" s="16"/>
      <c r="QMJ42" s="16"/>
      <c r="QMK42" s="16"/>
      <c r="QML42" s="16"/>
      <c r="QMM42" s="16"/>
      <c r="QMN42" s="16"/>
      <c r="QMO42" s="16"/>
      <c r="QMP42" s="16"/>
      <c r="QMQ42" s="16"/>
      <c r="QMR42" s="16"/>
      <c r="QMS42" s="16"/>
      <c r="QMT42" s="16"/>
      <c r="QMU42" s="16"/>
      <c r="QMV42" s="16"/>
      <c r="QMW42" s="16"/>
      <c r="QMX42" s="16"/>
      <c r="QMY42" s="16"/>
      <c r="QMZ42" s="16"/>
      <c r="QNA42" s="16"/>
      <c r="QNB42" s="16"/>
      <c r="QNC42" s="16"/>
      <c r="QND42" s="16"/>
      <c r="QNE42" s="16"/>
      <c r="QNF42" s="16"/>
      <c r="QNG42" s="16"/>
      <c r="QNH42" s="16"/>
      <c r="QNI42" s="16"/>
      <c r="QNJ42" s="16"/>
      <c r="QNK42" s="16"/>
      <c r="QNL42" s="16"/>
      <c r="QNM42" s="16"/>
      <c r="QNN42" s="16"/>
      <c r="QNO42" s="16"/>
      <c r="QNP42" s="16"/>
      <c r="QNQ42" s="16"/>
      <c r="QNR42" s="16"/>
      <c r="QNS42" s="16"/>
      <c r="QNT42" s="16"/>
      <c r="QNU42" s="16"/>
      <c r="QNV42" s="16"/>
      <c r="QNW42" s="16"/>
      <c r="QNX42" s="16"/>
      <c r="QNY42" s="16"/>
      <c r="QNZ42" s="16"/>
      <c r="QOA42" s="16"/>
      <c r="QOB42" s="16"/>
      <c r="QOC42" s="16"/>
      <c r="QOD42" s="16"/>
      <c r="QOE42" s="16"/>
      <c r="QOF42" s="16"/>
      <c r="QOG42" s="16"/>
      <c r="QOH42" s="16"/>
      <c r="QOI42" s="16"/>
      <c r="QOJ42" s="16"/>
      <c r="QOK42" s="16"/>
      <c r="QOL42" s="16"/>
      <c r="QOM42" s="16"/>
      <c r="QON42" s="16"/>
      <c r="QOO42" s="16"/>
      <c r="QOP42" s="16"/>
      <c r="QOQ42" s="16"/>
      <c r="QOR42" s="16"/>
      <c r="QOS42" s="16"/>
      <c r="QOT42" s="16"/>
      <c r="QOU42" s="16"/>
      <c r="QOV42" s="16"/>
      <c r="QOW42" s="16"/>
      <c r="QOX42" s="16"/>
      <c r="QOY42" s="16"/>
      <c r="QOZ42" s="16"/>
      <c r="QPA42" s="16"/>
      <c r="QPB42" s="16"/>
      <c r="QPC42" s="16"/>
      <c r="QPD42" s="16"/>
      <c r="QPE42" s="16"/>
      <c r="QPF42" s="16"/>
      <c r="QPG42" s="16"/>
      <c r="QPH42" s="16"/>
      <c r="QPI42" s="16"/>
      <c r="QPJ42" s="16"/>
      <c r="QPK42" s="16"/>
      <c r="QPL42" s="16"/>
      <c r="QPM42" s="16"/>
      <c r="QPN42" s="16"/>
      <c r="QPO42" s="16"/>
      <c r="QPP42" s="16"/>
      <c r="QPQ42" s="16"/>
      <c r="QPR42" s="16"/>
      <c r="QPS42" s="16"/>
      <c r="QPT42" s="16"/>
      <c r="QPU42" s="16"/>
      <c r="QPV42" s="16"/>
      <c r="QPW42" s="16"/>
      <c r="QPX42" s="16"/>
      <c r="QPY42" s="16"/>
      <c r="QPZ42" s="16"/>
      <c r="QQA42" s="16"/>
      <c r="QQB42" s="16"/>
      <c r="QQC42" s="16"/>
      <c r="QQD42" s="16"/>
      <c r="QQE42" s="16"/>
      <c r="QQF42" s="16"/>
      <c r="QQG42" s="16"/>
      <c r="QQH42" s="16"/>
      <c r="QQI42" s="16"/>
      <c r="QQJ42" s="16"/>
      <c r="QQK42" s="16"/>
      <c r="QQL42" s="16"/>
      <c r="QQM42" s="16"/>
      <c r="QQN42" s="16"/>
      <c r="QQO42" s="16"/>
      <c r="QQP42" s="16"/>
      <c r="QQQ42" s="16"/>
      <c r="QQR42" s="16"/>
      <c r="QQS42" s="16"/>
      <c r="QQT42" s="16"/>
      <c r="QQU42" s="16"/>
      <c r="QQV42" s="16"/>
      <c r="QQW42" s="16"/>
      <c r="QQX42" s="16"/>
      <c r="QQY42" s="16"/>
      <c r="QQZ42" s="16"/>
      <c r="QRA42" s="16"/>
      <c r="QRB42" s="16"/>
      <c r="QRC42" s="16"/>
      <c r="QRD42" s="16"/>
      <c r="QRE42" s="16"/>
      <c r="QRF42" s="16"/>
      <c r="QRG42" s="16"/>
      <c r="QRH42" s="16"/>
      <c r="QRI42" s="16"/>
      <c r="QRJ42" s="16"/>
      <c r="QRK42" s="16"/>
      <c r="QRL42" s="16"/>
      <c r="QRM42" s="16"/>
      <c r="QRN42" s="16"/>
      <c r="QRO42" s="16"/>
      <c r="QRP42" s="16"/>
      <c r="QRQ42" s="16"/>
      <c r="QRR42" s="16"/>
      <c r="QRS42" s="16"/>
      <c r="QRT42" s="16"/>
      <c r="QRU42" s="16"/>
      <c r="QRV42" s="16"/>
      <c r="QRW42" s="16"/>
      <c r="QRX42" s="16"/>
      <c r="QRY42" s="16"/>
      <c r="QRZ42" s="16"/>
      <c r="QSA42" s="16"/>
      <c r="QSB42" s="16"/>
      <c r="QSC42" s="16"/>
      <c r="QSD42" s="16"/>
      <c r="QSE42" s="16"/>
      <c r="QSF42" s="16"/>
      <c r="QSG42" s="16"/>
      <c r="QSH42" s="16"/>
      <c r="QSI42" s="16"/>
      <c r="QSJ42" s="16"/>
      <c r="QSK42" s="16"/>
      <c r="QSL42" s="16"/>
      <c r="QSM42" s="16"/>
      <c r="QSN42" s="16"/>
      <c r="QSO42" s="16"/>
      <c r="QSP42" s="16"/>
      <c r="QSQ42" s="16"/>
      <c r="QSR42" s="16"/>
      <c r="QSS42" s="16"/>
      <c r="QST42" s="16"/>
      <c r="QSU42" s="16"/>
      <c r="QSV42" s="16"/>
      <c r="QSW42" s="16"/>
      <c r="QSX42" s="16"/>
      <c r="QSY42" s="16"/>
      <c r="QSZ42" s="16"/>
      <c r="QTA42" s="16"/>
      <c r="QTB42" s="16"/>
      <c r="QTC42" s="16"/>
      <c r="QTD42" s="16"/>
      <c r="QTE42" s="16"/>
      <c r="QTF42" s="16"/>
      <c r="QTG42" s="16"/>
      <c r="QTH42" s="16"/>
      <c r="QTI42" s="16"/>
      <c r="QTJ42" s="16"/>
      <c r="QTK42" s="16"/>
      <c r="QTL42" s="16"/>
      <c r="QTM42" s="16"/>
      <c r="QTN42" s="16"/>
      <c r="QTO42" s="16"/>
      <c r="QTP42" s="16"/>
      <c r="QTQ42" s="16"/>
      <c r="QTR42" s="16"/>
      <c r="QTS42" s="16"/>
      <c r="QTT42" s="16"/>
      <c r="QTU42" s="16"/>
      <c r="QTV42" s="16"/>
      <c r="QTW42" s="16"/>
      <c r="QTX42" s="16"/>
      <c r="QTY42" s="16"/>
      <c r="QTZ42" s="16"/>
      <c r="QUA42" s="16"/>
      <c r="QUB42" s="16"/>
      <c r="QUC42" s="16"/>
      <c r="QUD42" s="16"/>
      <c r="QUE42" s="16"/>
      <c r="QUF42" s="16"/>
      <c r="QUG42" s="16"/>
      <c r="QUH42" s="16"/>
      <c r="QUI42" s="16"/>
      <c r="QUJ42" s="16"/>
      <c r="QUK42" s="16"/>
      <c r="QUL42" s="16"/>
      <c r="QUM42" s="16"/>
      <c r="QUN42" s="16"/>
      <c r="QUO42" s="16"/>
      <c r="QUP42" s="16"/>
      <c r="QUQ42" s="16"/>
      <c r="QUR42" s="16"/>
      <c r="QUS42" s="16"/>
      <c r="QUT42" s="16"/>
      <c r="QUU42" s="16"/>
      <c r="QUV42" s="16"/>
      <c r="QUW42" s="16"/>
      <c r="QUX42" s="16"/>
      <c r="QUY42" s="16"/>
      <c r="QUZ42" s="16"/>
      <c r="QVA42" s="16"/>
      <c r="QVB42" s="16"/>
      <c r="QVC42" s="16"/>
      <c r="QVD42" s="16"/>
      <c r="QVE42" s="16"/>
      <c r="QVF42" s="16"/>
      <c r="QVG42" s="16"/>
      <c r="QVH42" s="16"/>
      <c r="QVI42" s="16"/>
      <c r="QVJ42" s="16"/>
      <c r="QVK42" s="16"/>
      <c r="QVL42" s="16"/>
      <c r="QVM42" s="16"/>
      <c r="QVN42" s="16"/>
      <c r="QVO42" s="16"/>
      <c r="QVP42" s="16"/>
      <c r="QVQ42" s="16"/>
      <c r="QVR42" s="16"/>
      <c r="QVS42" s="16"/>
      <c r="QVT42" s="16"/>
      <c r="QVU42" s="16"/>
      <c r="QVV42" s="16"/>
      <c r="QVW42" s="16"/>
      <c r="QVX42" s="16"/>
      <c r="QVY42" s="16"/>
      <c r="QVZ42" s="16"/>
      <c r="QWA42" s="16"/>
      <c r="QWB42" s="16"/>
      <c r="QWC42" s="16"/>
      <c r="QWD42" s="16"/>
      <c r="QWE42" s="16"/>
      <c r="QWF42" s="16"/>
      <c r="QWG42" s="16"/>
      <c r="QWH42" s="16"/>
      <c r="QWI42" s="16"/>
      <c r="QWJ42" s="16"/>
      <c r="QWK42" s="16"/>
      <c r="QWL42" s="16"/>
      <c r="QWM42" s="16"/>
      <c r="QWN42" s="16"/>
      <c r="QWO42" s="16"/>
      <c r="QWP42" s="16"/>
      <c r="QWQ42" s="16"/>
      <c r="QWR42" s="16"/>
      <c r="QWS42" s="16"/>
      <c r="QWT42" s="16"/>
      <c r="QWU42" s="16"/>
      <c r="QWV42" s="16"/>
      <c r="QWW42" s="16"/>
      <c r="QWX42" s="16"/>
      <c r="QWY42" s="16"/>
      <c r="QWZ42" s="16"/>
      <c r="QXA42" s="16"/>
      <c r="QXB42" s="16"/>
      <c r="QXC42" s="16"/>
      <c r="QXD42" s="16"/>
      <c r="QXE42" s="16"/>
      <c r="QXF42" s="16"/>
      <c r="QXG42" s="16"/>
      <c r="QXH42" s="16"/>
      <c r="QXI42" s="16"/>
      <c r="QXJ42" s="16"/>
      <c r="QXK42" s="16"/>
      <c r="QXL42" s="16"/>
      <c r="QXM42" s="16"/>
      <c r="QXN42" s="16"/>
      <c r="QXO42" s="16"/>
      <c r="QXP42" s="16"/>
      <c r="QXQ42" s="16"/>
      <c r="QXR42" s="16"/>
      <c r="QXS42" s="16"/>
      <c r="QXT42" s="16"/>
      <c r="QXU42" s="16"/>
      <c r="QXV42" s="16"/>
      <c r="QXW42" s="16"/>
      <c r="QXX42" s="16"/>
      <c r="QXY42" s="16"/>
      <c r="QXZ42" s="16"/>
      <c r="QYA42" s="16"/>
      <c r="QYB42" s="16"/>
      <c r="QYC42" s="16"/>
      <c r="QYD42" s="16"/>
      <c r="QYE42" s="16"/>
      <c r="QYF42" s="16"/>
      <c r="QYG42" s="16"/>
      <c r="QYH42" s="16"/>
      <c r="QYI42" s="16"/>
      <c r="QYJ42" s="16"/>
      <c r="QYK42" s="16"/>
      <c r="QYL42" s="16"/>
      <c r="QYM42" s="16"/>
      <c r="QYN42" s="16"/>
      <c r="QYO42" s="16"/>
      <c r="QYP42" s="16"/>
      <c r="QYQ42" s="16"/>
      <c r="QYR42" s="16"/>
      <c r="QYS42" s="16"/>
      <c r="QYT42" s="16"/>
      <c r="QYU42" s="16"/>
      <c r="QYV42" s="16"/>
      <c r="QYW42" s="16"/>
      <c r="QYX42" s="16"/>
      <c r="QYY42" s="16"/>
      <c r="QYZ42" s="16"/>
      <c r="QZA42" s="16"/>
      <c r="QZB42" s="16"/>
      <c r="QZC42" s="16"/>
      <c r="QZD42" s="16"/>
      <c r="QZE42" s="16"/>
      <c r="QZF42" s="16"/>
      <c r="QZG42" s="16"/>
      <c r="QZH42" s="16"/>
      <c r="QZI42" s="16"/>
      <c r="QZJ42" s="16"/>
      <c r="QZK42" s="16"/>
      <c r="QZL42" s="16"/>
      <c r="QZM42" s="16"/>
      <c r="QZN42" s="16"/>
      <c r="QZO42" s="16"/>
      <c r="QZP42" s="16"/>
      <c r="QZQ42" s="16"/>
      <c r="QZR42" s="16"/>
      <c r="QZS42" s="16"/>
      <c r="QZT42" s="16"/>
      <c r="QZU42" s="16"/>
      <c r="QZV42" s="16"/>
      <c r="QZW42" s="16"/>
      <c r="QZX42" s="16"/>
      <c r="QZY42" s="16"/>
      <c r="QZZ42" s="16"/>
      <c r="RAA42" s="16"/>
      <c r="RAB42" s="16"/>
      <c r="RAC42" s="16"/>
      <c r="RAD42" s="16"/>
      <c r="RAE42" s="16"/>
      <c r="RAF42" s="16"/>
      <c r="RAG42" s="16"/>
      <c r="RAH42" s="16"/>
      <c r="RAI42" s="16"/>
      <c r="RAJ42" s="16"/>
      <c r="RAK42" s="16"/>
      <c r="RAL42" s="16"/>
      <c r="RAM42" s="16"/>
      <c r="RAN42" s="16"/>
      <c r="RAO42" s="16"/>
      <c r="RAP42" s="16"/>
      <c r="RAQ42" s="16"/>
      <c r="RAR42" s="16"/>
      <c r="RAS42" s="16"/>
      <c r="RAT42" s="16"/>
      <c r="RAU42" s="16"/>
      <c r="RAV42" s="16"/>
      <c r="RAW42" s="16"/>
      <c r="RAX42" s="16"/>
      <c r="RAY42" s="16"/>
      <c r="RAZ42" s="16"/>
      <c r="RBA42" s="16"/>
      <c r="RBB42" s="16"/>
      <c r="RBC42" s="16"/>
      <c r="RBD42" s="16"/>
      <c r="RBE42" s="16"/>
      <c r="RBF42" s="16"/>
      <c r="RBG42" s="16"/>
      <c r="RBH42" s="16"/>
      <c r="RBI42" s="16"/>
      <c r="RBJ42" s="16"/>
      <c r="RBK42" s="16"/>
      <c r="RBL42" s="16"/>
      <c r="RBM42" s="16"/>
      <c r="RBN42" s="16"/>
      <c r="RBO42" s="16"/>
      <c r="RBP42" s="16"/>
      <c r="RBQ42" s="16"/>
      <c r="RBR42" s="16"/>
      <c r="RBS42" s="16"/>
      <c r="RBT42" s="16"/>
      <c r="RBU42" s="16"/>
      <c r="RBV42" s="16"/>
      <c r="RBW42" s="16"/>
      <c r="RBX42" s="16"/>
      <c r="RBY42" s="16"/>
      <c r="RBZ42" s="16"/>
      <c r="RCA42" s="16"/>
      <c r="RCB42" s="16"/>
      <c r="RCC42" s="16"/>
      <c r="RCD42" s="16"/>
      <c r="RCE42" s="16"/>
      <c r="RCF42" s="16"/>
      <c r="RCG42" s="16"/>
      <c r="RCH42" s="16"/>
      <c r="RCI42" s="16"/>
      <c r="RCJ42" s="16"/>
      <c r="RCK42" s="16"/>
      <c r="RCL42" s="16"/>
      <c r="RCM42" s="16"/>
      <c r="RCN42" s="16"/>
      <c r="RCO42" s="16"/>
      <c r="RCP42" s="16"/>
      <c r="RCQ42" s="16"/>
      <c r="RCR42" s="16"/>
      <c r="RCS42" s="16"/>
      <c r="RCT42" s="16"/>
      <c r="RCU42" s="16"/>
      <c r="RCV42" s="16"/>
      <c r="RCW42" s="16"/>
      <c r="RCX42" s="16"/>
      <c r="RCY42" s="16"/>
      <c r="RCZ42" s="16"/>
      <c r="RDA42" s="16"/>
      <c r="RDB42" s="16"/>
      <c r="RDC42" s="16"/>
      <c r="RDD42" s="16"/>
      <c r="RDE42" s="16"/>
      <c r="RDF42" s="16"/>
      <c r="RDG42" s="16"/>
      <c r="RDH42" s="16"/>
      <c r="RDI42" s="16"/>
      <c r="RDJ42" s="16"/>
      <c r="RDK42" s="16"/>
      <c r="RDL42" s="16"/>
      <c r="RDM42" s="16"/>
      <c r="RDN42" s="16"/>
      <c r="RDO42" s="16"/>
      <c r="RDP42" s="16"/>
      <c r="RDQ42" s="16"/>
      <c r="RDR42" s="16"/>
      <c r="RDS42" s="16"/>
      <c r="RDT42" s="16"/>
      <c r="RDU42" s="16"/>
      <c r="RDV42" s="16"/>
      <c r="RDW42" s="16"/>
      <c r="RDX42" s="16"/>
      <c r="RDY42" s="16"/>
      <c r="RDZ42" s="16"/>
      <c r="REA42" s="16"/>
      <c r="REB42" s="16"/>
      <c r="REC42" s="16"/>
      <c r="RED42" s="16"/>
      <c r="REE42" s="16"/>
      <c r="REF42" s="16"/>
      <c r="REG42" s="16"/>
      <c r="REH42" s="16"/>
      <c r="REI42" s="16"/>
      <c r="REJ42" s="16"/>
      <c r="REK42" s="16"/>
      <c r="REL42" s="16"/>
      <c r="REM42" s="16"/>
      <c r="REN42" s="16"/>
      <c r="REO42" s="16"/>
      <c r="REP42" s="16"/>
      <c r="REQ42" s="16"/>
      <c r="RER42" s="16"/>
      <c r="RES42" s="16"/>
      <c r="RET42" s="16"/>
      <c r="REU42" s="16"/>
      <c r="REV42" s="16"/>
      <c r="REW42" s="16"/>
      <c r="REX42" s="16"/>
      <c r="REY42" s="16"/>
      <c r="REZ42" s="16"/>
      <c r="RFA42" s="16"/>
      <c r="RFB42" s="16"/>
      <c r="RFC42" s="16"/>
      <c r="RFD42" s="16"/>
      <c r="RFE42" s="16"/>
      <c r="RFF42" s="16"/>
      <c r="RFG42" s="16"/>
      <c r="RFH42" s="16"/>
      <c r="RFI42" s="16"/>
      <c r="RFJ42" s="16"/>
      <c r="RFK42" s="16"/>
      <c r="RFL42" s="16"/>
      <c r="RFM42" s="16"/>
      <c r="RFN42" s="16"/>
      <c r="RFO42" s="16"/>
      <c r="RFP42" s="16"/>
      <c r="RFQ42" s="16"/>
      <c r="RFR42" s="16"/>
      <c r="RFS42" s="16"/>
      <c r="RFT42" s="16"/>
      <c r="RFU42" s="16"/>
      <c r="RFV42" s="16"/>
      <c r="RFW42" s="16"/>
      <c r="RFX42" s="16"/>
      <c r="RFY42" s="16"/>
      <c r="RFZ42" s="16"/>
      <c r="RGA42" s="16"/>
      <c r="RGB42" s="16"/>
      <c r="RGC42" s="16"/>
      <c r="RGD42" s="16"/>
      <c r="RGE42" s="16"/>
      <c r="RGF42" s="16"/>
      <c r="RGG42" s="16"/>
      <c r="RGH42" s="16"/>
      <c r="RGI42" s="16"/>
      <c r="RGJ42" s="16"/>
      <c r="RGK42" s="16"/>
      <c r="RGL42" s="16"/>
      <c r="RGM42" s="16"/>
      <c r="RGN42" s="16"/>
      <c r="RGO42" s="16"/>
      <c r="RGP42" s="16"/>
      <c r="RGQ42" s="16"/>
      <c r="RGR42" s="16"/>
      <c r="RGS42" s="16"/>
      <c r="RGT42" s="16"/>
      <c r="RGU42" s="16"/>
      <c r="RGV42" s="16"/>
      <c r="RGW42" s="16"/>
      <c r="RGX42" s="16"/>
      <c r="RGY42" s="16"/>
      <c r="RGZ42" s="16"/>
      <c r="RHA42" s="16"/>
      <c r="RHB42" s="16"/>
      <c r="RHC42" s="16"/>
      <c r="RHD42" s="16"/>
      <c r="RHE42" s="16"/>
      <c r="RHF42" s="16"/>
      <c r="RHG42" s="16"/>
      <c r="RHH42" s="16"/>
      <c r="RHI42" s="16"/>
      <c r="RHJ42" s="16"/>
      <c r="RHK42" s="16"/>
      <c r="RHL42" s="16"/>
      <c r="RHM42" s="16"/>
      <c r="RHN42" s="16"/>
      <c r="RHO42" s="16"/>
      <c r="RHP42" s="16"/>
      <c r="RHQ42" s="16"/>
      <c r="RHR42" s="16"/>
      <c r="RHS42" s="16"/>
      <c r="RHT42" s="16"/>
      <c r="RHU42" s="16"/>
      <c r="RHV42" s="16"/>
      <c r="RHW42" s="16"/>
      <c r="RHX42" s="16"/>
      <c r="RHY42" s="16"/>
      <c r="RHZ42" s="16"/>
      <c r="RIA42" s="16"/>
      <c r="RIB42" s="16"/>
      <c r="RIC42" s="16"/>
      <c r="RID42" s="16"/>
      <c r="RIE42" s="16"/>
      <c r="RIF42" s="16"/>
      <c r="RIG42" s="16"/>
      <c r="RIH42" s="16"/>
      <c r="RII42" s="16"/>
      <c r="RIJ42" s="16"/>
      <c r="RIK42" s="16"/>
      <c r="RIL42" s="16"/>
      <c r="RIM42" s="16"/>
      <c r="RIN42" s="16"/>
      <c r="RIO42" s="16"/>
      <c r="RIP42" s="16"/>
      <c r="RIQ42" s="16"/>
      <c r="RIR42" s="16"/>
      <c r="RIS42" s="16"/>
      <c r="RIT42" s="16"/>
      <c r="RIU42" s="16"/>
      <c r="RIV42" s="16"/>
      <c r="RIW42" s="16"/>
      <c r="RIX42" s="16"/>
      <c r="RIY42" s="16"/>
      <c r="RIZ42" s="16"/>
      <c r="RJA42" s="16"/>
      <c r="RJB42" s="16"/>
      <c r="RJC42" s="16"/>
      <c r="RJD42" s="16"/>
      <c r="RJE42" s="16"/>
      <c r="RJF42" s="16"/>
      <c r="RJG42" s="16"/>
      <c r="RJH42" s="16"/>
      <c r="RJI42" s="16"/>
      <c r="RJJ42" s="16"/>
      <c r="RJK42" s="16"/>
      <c r="RJL42" s="16"/>
      <c r="RJM42" s="16"/>
      <c r="RJN42" s="16"/>
      <c r="RJO42" s="16"/>
      <c r="RJP42" s="16"/>
      <c r="RJQ42" s="16"/>
      <c r="RJR42" s="16"/>
      <c r="RJS42" s="16"/>
      <c r="RJT42" s="16"/>
      <c r="RJU42" s="16"/>
      <c r="RJV42" s="16"/>
      <c r="RJW42" s="16"/>
      <c r="RJX42" s="16"/>
      <c r="RJY42" s="16"/>
      <c r="RJZ42" s="16"/>
      <c r="RKA42" s="16"/>
      <c r="RKB42" s="16"/>
      <c r="RKC42" s="16"/>
      <c r="RKD42" s="16"/>
      <c r="RKE42" s="16"/>
      <c r="RKF42" s="16"/>
      <c r="RKG42" s="16"/>
      <c r="RKH42" s="16"/>
      <c r="RKI42" s="16"/>
      <c r="RKJ42" s="16"/>
      <c r="RKK42" s="16"/>
      <c r="RKL42" s="16"/>
      <c r="RKM42" s="16"/>
      <c r="RKN42" s="16"/>
      <c r="RKO42" s="16"/>
      <c r="RKP42" s="16"/>
      <c r="RKQ42" s="16"/>
      <c r="RKR42" s="16"/>
      <c r="RKS42" s="16"/>
      <c r="RKT42" s="16"/>
      <c r="RKU42" s="16"/>
      <c r="RKV42" s="16"/>
      <c r="RKW42" s="16"/>
      <c r="RKX42" s="16"/>
      <c r="RKY42" s="16"/>
      <c r="RKZ42" s="16"/>
      <c r="RLA42" s="16"/>
      <c r="RLB42" s="16"/>
      <c r="RLC42" s="16"/>
      <c r="RLD42" s="16"/>
      <c r="RLE42" s="16"/>
      <c r="RLF42" s="16"/>
      <c r="RLG42" s="16"/>
      <c r="RLH42" s="16"/>
      <c r="RLI42" s="16"/>
      <c r="RLJ42" s="16"/>
      <c r="RLK42" s="16"/>
      <c r="RLL42" s="16"/>
      <c r="RLM42" s="16"/>
      <c r="RLN42" s="16"/>
      <c r="RLO42" s="16"/>
      <c r="RLP42" s="16"/>
      <c r="RLQ42" s="16"/>
      <c r="RLR42" s="16"/>
      <c r="RLS42" s="16"/>
      <c r="RLT42" s="16"/>
      <c r="RLU42" s="16"/>
      <c r="RLV42" s="16"/>
      <c r="RLW42" s="16"/>
      <c r="RLX42" s="16"/>
      <c r="RLY42" s="16"/>
      <c r="RLZ42" s="16"/>
      <c r="RMA42" s="16"/>
      <c r="RMB42" s="16"/>
      <c r="RMC42" s="16"/>
      <c r="RMD42" s="16"/>
      <c r="RME42" s="16"/>
      <c r="RMF42" s="16"/>
      <c r="RMG42" s="16"/>
      <c r="RMH42" s="16"/>
      <c r="RMI42" s="16"/>
      <c r="RMJ42" s="16"/>
      <c r="RMK42" s="16"/>
      <c r="RML42" s="16"/>
      <c r="RMM42" s="16"/>
      <c r="RMN42" s="16"/>
      <c r="RMO42" s="16"/>
      <c r="RMP42" s="16"/>
      <c r="RMQ42" s="16"/>
      <c r="RMR42" s="16"/>
      <c r="RMS42" s="16"/>
      <c r="RMT42" s="16"/>
      <c r="RMU42" s="16"/>
      <c r="RMV42" s="16"/>
      <c r="RMW42" s="16"/>
      <c r="RMX42" s="16"/>
      <c r="RMY42" s="16"/>
      <c r="RMZ42" s="16"/>
      <c r="RNA42" s="16"/>
      <c r="RNB42" s="16"/>
      <c r="RNC42" s="16"/>
      <c r="RND42" s="16"/>
      <c r="RNE42" s="16"/>
      <c r="RNF42" s="16"/>
      <c r="RNG42" s="16"/>
      <c r="RNH42" s="16"/>
      <c r="RNI42" s="16"/>
      <c r="RNJ42" s="16"/>
      <c r="RNK42" s="16"/>
      <c r="RNL42" s="16"/>
      <c r="RNM42" s="16"/>
      <c r="RNN42" s="16"/>
      <c r="RNO42" s="16"/>
      <c r="RNP42" s="16"/>
      <c r="RNQ42" s="16"/>
      <c r="RNR42" s="16"/>
      <c r="RNS42" s="16"/>
      <c r="RNT42" s="16"/>
      <c r="RNU42" s="16"/>
      <c r="RNV42" s="16"/>
      <c r="RNW42" s="16"/>
      <c r="RNX42" s="16"/>
      <c r="RNY42" s="16"/>
      <c r="RNZ42" s="16"/>
      <c r="ROA42" s="16"/>
      <c r="ROB42" s="16"/>
      <c r="ROC42" s="16"/>
      <c r="ROD42" s="16"/>
      <c r="ROE42" s="16"/>
      <c r="ROF42" s="16"/>
      <c r="ROG42" s="16"/>
      <c r="ROH42" s="16"/>
      <c r="ROI42" s="16"/>
      <c r="ROJ42" s="16"/>
      <c r="ROK42" s="16"/>
      <c r="ROL42" s="16"/>
      <c r="ROM42" s="16"/>
      <c r="RON42" s="16"/>
      <c r="ROO42" s="16"/>
      <c r="ROP42" s="16"/>
      <c r="ROQ42" s="16"/>
      <c r="ROR42" s="16"/>
      <c r="ROS42" s="16"/>
      <c r="ROT42" s="16"/>
      <c r="ROU42" s="16"/>
      <c r="ROV42" s="16"/>
      <c r="ROW42" s="16"/>
      <c r="ROX42" s="16"/>
      <c r="ROY42" s="16"/>
      <c r="ROZ42" s="16"/>
      <c r="RPA42" s="16"/>
      <c r="RPB42" s="16"/>
      <c r="RPC42" s="16"/>
      <c r="RPD42" s="16"/>
      <c r="RPE42" s="16"/>
      <c r="RPF42" s="16"/>
      <c r="RPG42" s="16"/>
      <c r="RPH42" s="16"/>
      <c r="RPI42" s="16"/>
      <c r="RPJ42" s="16"/>
      <c r="RPK42" s="16"/>
      <c r="RPL42" s="16"/>
      <c r="RPM42" s="16"/>
      <c r="RPN42" s="16"/>
      <c r="RPO42" s="16"/>
      <c r="RPP42" s="16"/>
      <c r="RPQ42" s="16"/>
      <c r="RPR42" s="16"/>
      <c r="RPS42" s="16"/>
      <c r="RPT42" s="16"/>
      <c r="RPU42" s="16"/>
      <c r="RPV42" s="16"/>
      <c r="RPW42" s="16"/>
      <c r="RPX42" s="16"/>
      <c r="RPY42" s="16"/>
      <c r="RPZ42" s="16"/>
      <c r="RQA42" s="16"/>
      <c r="RQB42" s="16"/>
      <c r="RQC42" s="16"/>
      <c r="RQD42" s="16"/>
      <c r="RQE42" s="16"/>
      <c r="RQF42" s="16"/>
      <c r="RQG42" s="16"/>
      <c r="RQH42" s="16"/>
      <c r="RQI42" s="16"/>
      <c r="RQJ42" s="16"/>
      <c r="RQK42" s="16"/>
      <c r="RQL42" s="16"/>
      <c r="RQM42" s="16"/>
      <c r="RQN42" s="16"/>
      <c r="RQO42" s="16"/>
      <c r="RQP42" s="16"/>
      <c r="RQQ42" s="16"/>
      <c r="RQR42" s="16"/>
      <c r="RQS42" s="16"/>
      <c r="RQT42" s="16"/>
      <c r="RQU42" s="16"/>
      <c r="RQV42" s="16"/>
      <c r="RQW42" s="16"/>
      <c r="RQX42" s="16"/>
      <c r="RQY42" s="16"/>
      <c r="RQZ42" s="16"/>
      <c r="RRA42" s="16"/>
      <c r="RRB42" s="16"/>
      <c r="RRC42" s="16"/>
      <c r="RRD42" s="16"/>
      <c r="RRE42" s="16"/>
      <c r="RRF42" s="16"/>
      <c r="RRG42" s="16"/>
      <c r="RRH42" s="16"/>
      <c r="RRI42" s="16"/>
      <c r="RRJ42" s="16"/>
      <c r="RRK42" s="16"/>
      <c r="RRL42" s="16"/>
      <c r="RRM42" s="16"/>
      <c r="RRN42" s="16"/>
      <c r="RRO42" s="16"/>
      <c r="RRP42" s="16"/>
      <c r="RRQ42" s="16"/>
      <c r="RRR42" s="16"/>
      <c r="RRS42" s="16"/>
      <c r="RRT42" s="16"/>
      <c r="RRU42" s="16"/>
      <c r="RRV42" s="16"/>
      <c r="RRW42" s="16"/>
      <c r="RRX42" s="16"/>
      <c r="RRY42" s="16"/>
      <c r="RRZ42" s="16"/>
      <c r="RSA42" s="16"/>
      <c r="RSB42" s="16"/>
      <c r="RSC42" s="16"/>
      <c r="RSD42" s="16"/>
      <c r="RSE42" s="16"/>
      <c r="RSF42" s="16"/>
      <c r="RSG42" s="16"/>
      <c r="RSH42" s="16"/>
      <c r="RSI42" s="16"/>
      <c r="RSJ42" s="16"/>
      <c r="RSK42" s="16"/>
      <c r="RSL42" s="16"/>
      <c r="RSM42" s="16"/>
      <c r="RSN42" s="16"/>
      <c r="RSO42" s="16"/>
      <c r="RSP42" s="16"/>
      <c r="RSQ42" s="16"/>
      <c r="RSR42" s="16"/>
      <c r="RSS42" s="16"/>
      <c r="RST42" s="16"/>
      <c r="RSU42" s="16"/>
      <c r="RSV42" s="16"/>
      <c r="RSW42" s="16"/>
      <c r="RSX42" s="16"/>
      <c r="RSY42" s="16"/>
      <c r="RSZ42" s="16"/>
      <c r="RTA42" s="16"/>
      <c r="RTB42" s="16"/>
      <c r="RTC42" s="16"/>
      <c r="RTD42" s="16"/>
      <c r="RTE42" s="16"/>
      <c r="RTF42" s="16"/>
      <c r="RTG42" s="16"/>
      <c r="RTH42" s="16"/>
      <c r="RTI42" s="16"/>
      <c r="RTJ42" s="16"/>
      <c r="RTK42" s="16"/>
      <c r="RTL42" s="16"/>
      <c r="RTM42" s="16"/>
      <c r="RTN42" s="16"/>
      <c r="RTO42" s="16"/>
      <c r="RTP42" s="16"/>
      <c r="RTQ42" s="16"/>
      <c r="RTR42" s="16"/>
      <c r="RTS42" s="16"/>
      <c r="RTT42" s="16"/>
      <c r="RTU42" s="16"/>
      <c r="RTV42" s="16"/>
      <c r="RTW42" s="16"/>
      <c r="RTX42" s="16"/>
      <c r="RTY42" s="16"/>
      <c r="RTZ42" s="16"/>
      <c r="RUA42" s="16"/>
      <c r="RUB42" s="16"/>
      <c r="RUC42" s="16"/>
      <c r="RUD42" s="16"/>
      <c r="RUE42" s="16"/>
      <c r="RUF42" s="16"/>
      <c r="RUG42" s="16"/>
      <c r="RUH42" s="16"/>
      <c r="RUI42" s="16"/>
      <c r="RUJ42" s="16"/>
      <c r="RUK42" s="16"/>
      <c r="RUL42" s="16"/>
      <c r="RUM42" s="16"/>
      <c r="RUN42" s="16"/>
      <c r="RUO42" s="16"/>
      <c r="RUP42" s="16"/>
      <c r="RUQ42" s="16"/>
      <c r="RUR42" s="16"/>
      <c r="RUS42" s="16"/>
      <c r="RUT42" s="16"/>
      <c r="RUU42" s="16"/>
      <c r="RUV42" s="16"/>
      <c r="RUW42" s="16"/>
      <c r="RUX42" s="16"/>
      <c r="RUY42" s="16"/>
      <c r="RUZ42" s="16"/>
      <c r="RVA42" s="16"/>
      <c r="RVB42" s="16"/>
      <c r="RVC42" s="16"/>
      <c r="RVD42" s="16"/>
      <c r="RVE42" s="16"/>
      <c r="RVF42" s="16"/>
      <c r="RVG42" s="16"/>
      <c r="RVH42" s="16"/>
      <c r="RVI42" s="16"/>
      <c r="RVJ42" s="16"/>
      <c r="RVK42" s="16"/>
      <c r="RVL42" s="16"/>
      <c r="RVM42" s="16"/>
      <c r="RVN42" s="16"/>
      <c r="RVO42" s="16"/>
      <c r="RVP42" s="16"/>
      <c r="RVQ42" s="16"/>
      <c r="RVR42" s="16"/>
      <c r="RVS42" s="16"/>
      <c r="RVT42" s="16"/>
      <c r="RVU42" s="16"/>
      <c r="RVV42" s="16"/>
      <c r="RVW42" s="16"/>
      <c r="RVX42" s="16"/>
      <c r="RVY42" s="16"/>
      <c r="RVZ42" s="16"/>
      <c r="RWA42" s="16"/>
      <c r="RWB42" s="16"/>
      <c r="RWC42" s="16"/>
      <c r="RWD42" s="16"/>
      <c r="RWE42" s="16"/>
      <c r="RWF42" s="16"/>
      <c r="RWG42" s="16"/>
      <c r="RWH42" s="16"/>
      <c r="RWI42" s="16"/>
      <c r="RWJ42" s="16"/>
      <c r="RWK42" s="16"/>
      <c r="RWL42" s="16"/>
      <c r="RWM42" s="16"/>
      <c r="RWN42" s="16"/>
      <c r="RWO42" s="16"/>
      <c r="RWP42" s="16"/>
      <c r="RWQ42" s="16"/>
      <c r="RWR42" s="16"/>
      <c r="RWS42" s="16"/>
      <c r="RWT42" s="16"/>
      <c r="RWU42" s="16"/>
      <c r="RWV42" s="16"/>
      <c r="RWW42" s="16"/>
      <c r="RWX42" s="16"/>
      <c r="RWY42" s="16"/>
      <c r="RWZ42" s="16"/>
      <c r="RXA42" s="16"/>
      <c r="RXB42" s="16"/>
      <c r="RXC42" s="16"/>
      <c r="RXD42" s="16"/>
      <c r="RXE42" s="16"/>
      <c r="RXF42" s="16"/>
      <c r="RXG42" s="16"/>
      <c r="RXH42" s="16"/>
      <c r="RXI42" s="16"/>
      <c r="RXJ42" s="16"/>
      <c r="RXK42" s="16"/>
      <c r="RXL42" s="16"/>
      <c r="RXM42" s="16"/>
      <c r="RXN42" s="16"/>
      <c r="RXO42" s="16"/>
      <c r="RXP42" s="16"/>
      <c r="RXQ42" s="16"/>
      <c r="RXR42" s="16"/>
      <c r="RXS42" s="16"/>
      <c r="RXT42" s="16"/>
      <c r="RXU42" s="16"/>
      <c r="RXV42" s="16"/>
      <c r="RXW42" s="16"/>
      <c r="RXX42" s="16"/>
      <c r="RXY42" s="16"/>
      <c r="RXZ42" s="16"/>
      <c r="RYA42" s="16"/>
      <c r="RYB42" s="16"/>
      <c r="RYC42" s="16"/>
      <c r="RYD42" s="16"/>
      <c r="RYE42" s="16"/>
      <c r="RYF42" s="16"/>
      <c r="RYG42" s="16"/>
      <c r="RYH42" s="16"/>
      <c r="RYI42" s="16"/>
      <c r="RYJ42" s="16"/>
      <c r="RYK42" s="16"/>
      <c r="RYL42" s="16"/>
      <c r="RYM42" s="16"/>
      <c r="RYN42" s="16"/>
      <c r="RYO42" s="16"/>
      <c r="RYP42" s="16"/>
      <c r="RYQ42" s="16"/>
      <c r="RYR42" s="16"/>
      <c r="RYS42" s="16"/>
      <c r="RYT42" s="16"/>
      <c r="RYU42" s="16"/>
      <c r="RYV42" s="16"/>
      <c r="RYW42" s="16"/>
      <c r="RYX42" s="16"/>
      <c r="RYY42" s="16"/>
      <c r="RYZ42" s="16"/>
      <c r="RZA42" s="16"/>
      <c r="RZB42" s="16"/>
      <c r="RZC42" s="16"/>
      <c r="RZD42" s="16"/>
      <c r="RZE42" s="16"/>
      <c r="RZF42" s="16"/>
      <c r="RZG42" s="16"/>
      <c r="RZH42" s="16"/>
      <c r="RZI42" s="16"/>
      <c r="RZJ42" s="16"/>
      <c r="RZK42" s="16"/>
      <c r="RZL42" s="16"/>
      <c r="RZM42" s="16"/>
      <c r="RZN42" s="16"/>
      <c r="RZO42" s="16"/>
      <c r="RZP42" s="16"/>
      <c r="RZQ42" s="16"/>
      <c r="RZR42" s="16"/>
      <c r="RZS42" s="16"/>
      <c r="RZT42" s="16"/>
      <c r="RZU42" s="16"/>
      <c r="RZV42" s="16"/>
      <c r="RZW42" s="16"/>
      <c r="RZX42" s="16"/>
      <c r="RZY42" s="16"/>
      <c r="RZZ42" s="16"/>
      <c r="SAA42" s="16"/>
      <c r="SAB42" s="16"/>
      <c r="SAC42" s="16"/>
      <c r="SAD42" s="16"/>
      <c r="SAE42" s="16"/>
      <c r="SAF42" s="16"/>
      <c r="SAG42" s="16"/>
      <c r="SAH42" s="16"/>
      <c r="SAI42" s="16"/>
      <c r="SAJ42" s="16"/>
      <c r="SAK42" s="16"/>
      <c r="SAL42" s="16"/>
      <c r="SAM42" s="16"/>
      <c r="SAN42" s="16"/>
      <c r="SAO42" s="16"/>
      <c r="SAP42" s="16"/>
      <c r="SAQ42" s="16"/>
      <c r="SAR42" s="16"/>
      <c r="SAS42" s="16"/>
      <c r="SAT42" s="16"/>
      <c r="SAU42" s="16"/>
      <c r="SAV42" s="16"/>
      <c r="SAW42" s="16"/>
      <c r="SAX42" s="16"/>
      <c r="SAY42" s="16"/>
      <c r="SAZ42" s="16"/>
      <c r="SBA42" s="16"/>
      <c r="SBB42" s="16"/>
      <c r="SBC42" s="16"/>
      <c r="SBD42" s="16"/>
      <c r="SBE42" s="16"/>
      <c r="SBF42" s="16"/>
      <c r="SBG42" s="16"/>
      <c r="SBH42" s="16"/>
      <c r="SBI42" s="16"/>
      <c r="SBJ42" s="16"/>
      <c r="SBK42" s="16"/>
      <c r="SBL42" s="16"/>
      <c r="SBM42" s="16"/>
      <c r="SBN42" s="16"/>
      <c r="SBO42" s="16"/>
      <c r="SBP42" s="16"/>
      <c r="SBQ42" s="16"/>
      <c r="SBR42" s="16"/>
      <c r="SBS42" s="16"/>
      <c r="SBT42" s="16"/>
      <c r="SBU42" s="16"/>
      <c r="SBV42" s="16"/>
      <c r="SBW42" s="16"/>
      <c r="SBX42" s="16"/>
      <c r="SBY42" s="16"/>
      <c r="SBZ42" s="16"/>
      <c r="SCA42" s="16"/>
      <c r="SCB42" s="16"/>
      <c r="SCC42" s="16"/>
      <c r="SCD42" s="16"/>
      <c r="SCE42" s="16"/>
      <c r="SCF42" s="16"/>
      <c r="SCG42" s="16"/>
      <c r="SCH42" s="16"/>
      <c r="SCI42" s="16"/>
      <c r="SCJ42" s="16"/>
      <c r="SCK42" s="16"/>
      <c r="SCL42" s="16"/>
      <c r="SCM42" s="16"/>
      <c r="SCN42" s="16"/>
      <c r="SCO42" s="16"/>
      <c r="SCP42" s="16"/>
      <c r="SCQ42" s="16"/>
      <c r="SCR42" s="16"/>
      <c r="SCS42" s="16"/>
      <c r="SCT42" s="16"/>
      <c r="SCU42" s="16"/>
      <c r="SCV42" s="16"/>
      <c r="SCW42" s="16"/>
      <c r="SCX42" s="16"/>
      <c r="SCY42" s="16"/>
      <c r="SCZ42" s="16"/>
      <c r="SDA42" s="16"/>
      <c r="SDB42" s="16"/>
      <c r="SDC42" s="16"/>
      <c r="SDD42" s="16"/>
      <c r="SDE42" s="16"/>
      <c r="SDF42" s="16"/>
      <c r="SDG42" s="16"/>
      <c r="SDH42" s="16"/>
      <c r="SDI42" s="16"/>
      <c r="SDJ42" s="16"/>
      <c r="SDK42" s="16"/>
      <c r="SDL42" s="16"/>
      <c r="SDM42" s="16"/>
      <c r="SDN42" s="16"/>
      <c r="SDO42" s="16"/>
      <c r="SDP42" s="16"/>
      <c r="SDQ42" s="16"/>
      <c r="SDR42" s="16"/>
      <c r="SDS42" s="16"/>
      <c r="SDT42" s="16"/>
      <c r="SDU42" s="16"/>
      <c r="SDV42" s="16"/>
      <c r="SDW42" s="16"/>
      <c r="SDX42" s="16"/>
      <c r="SDY42" s="16"/>
      <c r="SDZ42" s="16"/>
      <c r="SEA42" s="16"/>
      <c r="SEB42" s="16"/>
      <c r="SEC42" s="16"/>
      <c r="SED42" s="16"/>
      <c r="SEE42" s="16"/>
      <c r="SEF42" s="16"/>
      <c r="SEG42" s="16"/>
      <c r="SEH42" s="16"/>
      <c r="SEI42" s="16"/>
      <c r="SEJ42" s="16"/>
      <c r="SEK42" s="16"/>
      <c r="SEL42" s="16"/>
      <c r="SEM42" s="16"/>
      <c r="SEN42" s="16"/>
      <c r="SEO42" s="16"/>
      <c r="SEP42" s="16"/>
      <c r="SEQ42" s="16"/>
      <c r="SER42" s="16"/>
      <c r="SES42" s="16"/>
      <c r="SET42" s="16"/>
      <c r="SEU42" s="16"/>
      <c r="SEV42" s="16"/>
      <c r="SEW42" s="16"/>
      <c r="SEX42" s="16"/>
      <c r="SEY42" s="16"/>
      <c r="SEZ42" s="16"/>
      <c r="SFA42" s="16"/>
      <c r="SFB42" s="16"/>
      <c r="SFC42" s="16"/>
      <c r="SFD42" s="16"/>
      <c r="SFE42" s="16"/>
      <c r="SFF42" s="16"/>
      <c r="SFG42" s="16"/>
      <c r="SFH42" s="16"/>
      <c r="SFI42" s="16"/>
      <c r="SFJ42" s="16"/>
      <c r="SFK42" s="16"/>
      <c r="SFL42" s="16"/>
      <c r="SFM42" s="16"/>
      <c r="SFN42" s="16"/>
      <c r="SFO42" s="16"/>
      <c r="SFP42" s="16"/>
      <c r="SFQ42" s="16"/>
      <c r="SFR42" s="16"/>
      <c r="SFS42" s="16"/>
      <c r="SFT42" s="16"/>
      <c r="SFU42" s="16"/>
      <c r="SFV42" s="16"/>
      <c r="SFW42" s="16"/>
      <c r="SFX42" s="16"/>
      <c r="SFY42" s="16"/>
      <c r="SFZ42" s="16"/>
      <c r="SGA42" s="16"/>
      <c r="SGB42" s="16"/>
      <c r="SGC42" s="16"/>
      <c r="SGD42" s="16"/>
      <c r="SGE42" s="16"/>
      <c r="SGF42" s="16"/>
      <c r="SGG42" s="16"/>
      <c r="SGH42" s="16"/>
      <c r="SGI42" s="16"/>
      <c r="SGJ42" s="16"/>
      <c r="SGK42" s="16"/>
      <c r="SGL42" s="16"/>
      <c r="SGM42" s="16"/>
      <c r="SGN42" s="16"/>
      <c r="SGO42" s="16"/>
      <c r="SGP42" s="16"/>
      <c r="SGQ42" s="16"/>
      <c r="SGR42" s="16"/>
      <c r="SGS42" s="16"/>
      <c r="SGT42" s="16"/>
      <c r="SGU42" s="16"/>
      <c r="SGV42" s="16"/>
      <c r="SGW42" s="16"/>
      <c r="SGX42" s="16"/>
      <c r="SGY42" s="16"/>
      <c r="SGZ42" s="16"/>
      <c r="SHA42" s="16"/>
      <c r="SHB42" s="16"/>
      <c r="SHC42" s="16"/>
      <c r="SHD42" s="16"/>
      <c r="SHE42" s="16"/>
      <c r="SHF42" s="16"/>
      <c r="SHG42" s="16"/>
      <c r="SHH42" s="16"/>
      <c r="SHI42" s="16"/>
      <c r="SHJ42" s="16"/>
      <c r="SHK42" s="16"/>
      <c r="SHL42" s="16"/>
      <c r="SHM42" s="16"/>
      <c r="SHN42" s="16"/>
      <c r="SHO42" s="16"/>
      <c r="SHP42" s="16"/>
      <c r="SHQ42" s="16"/>
      <c r="SHR42" s="16"/>
      <c r="SHS42" s="16"/>
      <c r="SHT42" s="16"/>
      <c r="SHU42" s="16"/>
      <c r="SHV42" s="16"/>
      <c r="SHW42" s="16"/>
      <c r="SHX42" s="16"/>
      <c r="SHY42" s="16"/>
      <c r="SHZ42" s="16"/>
      <c r="SIA42" s="16"/>
      <c r="SIB42" s="16"/>
      <c r="SIC42" s="16"/>
      <c r="SID42" s="16"/>
      <c r="SIE42" s="16"/>
      <c r="SIF42" s="16"/>
      <c r="SIG42" s="16"/>
      <c r="SIH42" s="16"/>
      <c r="SII42" s="16"/>
      <c r="SIJ42" s="16"/>
      <c r="SIK42" s="16"/>
      <c r="SIL42" s="16"/>
      <c r="SIM42" s="16"/>
      <c r="SIN42" s="16"/>
      <c r="SIO42" s="16"/>
      <c r="SIP42" s="16"/>
      <c r="SIQ42" s="16"/>
      <c r="SIR42" s="16"/>
      <c r="SIS42" s="16"/>
      <c r="SIT42" s="16"/>
      <c r="SIU42" s="16"/>
      <c r="SIV42" s="16"/>
      <c r="SIW42" s="16"/>
      <c r="SIX42" s="16"/>
      <c r="SIY42" s="16"/>
      <c r="SIZ42" s="16"/>
      <c r="SJA42" s="16"/>
      <c r="SJB42" s="16"/>
      <c r="SJC42" s="16"/>
      <c r="SJD42" s="16"/>
      <c r="SJE42" s="16"/>
      <c r="SJF42" s="16"/>
      <c r="SJG42" s="16"/>
      <c r="SJH42" s="16"/>
      <c r="SJI42" s="16"/>
      <c r="SJJ42" s="16"/>
      <c r="SJK42" s="16"/>
      <c r="SJL42" s="16"/>
      <c r="SJM42" s="16"/>
      <c r="SJN42" s="16"/>
      <c r="SJO42" s="16"/>
      <c r="SJP42" s="16"/>
      <c r="SJQ42" s="16"/>
      <c r="SJR42" s="16"/>
      <c r="SJS42" s="16"/>
      <c r="SJT42" s="16"/>
      <c r="SJU42" s="16"/>
      <c r="SJV42" s="16"/>
      <c r="SJW42" s="16"/>
      <c r="SJX42" s="16"/>
      <c r="SJY42" s="16"/>
      <c r="SJZ42" s="16"/>
      <c r="SKA42" s="16"/>
      <c r="SKB42" s="16"/>
      <c r="SKC42" s="16"/>
      <c r="SKD42" s="16"/>
      <c r="SKE42" s="16"/>
      <c r="SKF42" s="16"/>
      <c r="SKG42" s="16"/>
      <c r="SKH42" s="16"/>
      <c r="SKI42" s="16"/>
      <c r="SKJ42" s="16"/>
      <c r="SKK42" s="16"/>
      <c r="SKL42" s="16"/>
      <c r="SKM42" s="16"/>
      <c r="SKN42" s="16"/>
      <c r="SKO42" s="16"/>
      <c r="SKP42" s="16"/>
      <c r="SKQ42" s="16"/>
      <c r="SKR42" s="16"/>
      <c r="SKS42" s="16"/>
      <c r="SKT42" s="16"/>
      <c r="SKU42" s="16"/>
      <c r="SKV42" s="16"/>
      <c r="SKW42" s="16"/>
      <c r="SKX42" s="16"/>
      <c r="SKY42" s="16"/>
      <c r="SKZ42" s="16"/>
      <c r="SLA42" s="16"/>
      <c r="SLB42" s="16"/>
      <c r="SLC42" s="16"/>
      <c r="SLD42" s="16"/>
      <c r="SLE42" s="16"/>
      <c r="SLF42" s="16"/>
      <c r="SLG42" s="16"/>
      <c r="SLH42" s="16"/>
      <c r="SLI42" s="16"/>
      <c r="SLJ42" s="16"/>
      <c r="SLK42" s="16"/>
      <c r="SLL42" s="16"/>
      <c r="SLM42" s="16"/>
      <c r="SLN42" s="16"/>
      <c r="SLO42" s="16"/>
      <c r="SLP42" s="16"/>
      <c r="SLQ42" s="16"/>
      <c r="SLR42" s="16"/>
      <c r="SLS42" s="16"/>
      <c r="SLT42" s="16"/>
      <c r="SLU42" s="16"/>
      <c r="SLV42" s="16"/>
      <c r="SLW42" s="16"/>
      <c r="SLX42" s="16"/>
      <c r="SLY42" s="16"/>
      <c r="SLZ42" s="16"/>
      <c r="SMA42" s="16"/>
      <c r="SMB42" s="16"/>
      <c r="SMC42" s="16"/>
      <c r="SMD42" s="16"/>
      <c r="SME42" s="16"/>
      <c r="SMF42" s="16"/>
      <c r="SMG42" s="16"/>
      <c r="SMH42" s="16"/>
      <c r="SMI42" s="16"/>
      <c r="SMJ42" s="16"/>
      <c r="SMK42" s="16"/>
      <c r="SML42" s="16"/>
      <c r="SMM42" s="16"/>
      <c r="SMN42" s="16"/>
      <c r="SMO42" s="16"/>
      <c r="SMP42" s="16"/>
      <c r="SMQ42" s="16"/>
      <c r="SMR42" s="16"/>
      <c r="SMS42" s="16"/>
      <c r="SMT42" s="16"/>
      <c r="SMU42" s="16"/>
      <c r="SMV42" s="16"/>
      <c r="SMW42" s="16"/>
      <c r="SMX42" s="16"/>
      <c r="SMY42" s="16"/>
      <c r="SMZ42" s="16"/>
      <c r="SNA42" s="16"/>
      <c r="SNB42" s="16"/>
      <c r="SNC42" s="16"/>
      <c r="SND42" s="16"/>
      <c r="SNE42" s="16"/>
      <c r="SNF42" s="16"/>
      <c r="SNG42" s="16"/>
      <c r="SNH42" s="16"/>
      <c r="SNI42" s="16"/>
      <c r="SNJ42" s="16"/>
      <c r="SNK42" s="16"/>
      <c r="SNL42" s="16"/>
      <c r="SNM42" s="16"/>
      <c r="SNN42" s="16"/>
      <c r="SNO42" s="16"/>
      <c r="SNP42" s="16"/>
      <c r="SNQ42" s="16"/>
      <c r="SNR42" s="16"/>
      <c r="SNS42" s="16"/>
      <c r="SNT42" s="16"/>
      <c r="SNU42" s="16"/>
      <c r="SNV42" s="16"/>
      <c r="SNW42" s="16"/>
      <c r="SNX42" s="16"/>
      <c r="SNY42" s="16"/>
      <c r="SNZ42" s="16"/>
      <c r="SOA42" s="16"/>
      <c r="SOB42" s="16"/>
      <c r="SOC42" s="16"/>
      <c r="SOD42" s="16"/>
      <c r="SOE42" s="16"/>
      <c r="SOF42" s="16"/>
      <c r="SOG42" s="16"/>
      <c r="SOH42" s="16"/>
      <c r="SOI42" s="16"/>
      <c r="SOJ42" s="16"/>
      <c r="SOK42" s="16"/>
      <c r="SOL42" s="16"/>
      <c r="SOM42" s="16"/>
      <c r="SON42" s="16"/>
      <c r="SOO42" s="16"/>
      <c r="SOP42" s="16"/>
      <c r="SOQ42" s="16"/>
      <c r="SOR42" s="16"/>
      <c r="SOS42" s="16"/>
      <c r="SOT42" s="16"/>
      <c r="SOU42" s="16"/>
      <c r="SOV42" s="16"/>
      <c r="SOW42" s="16"/>
      <c r="SOX42" s="16"/>
      <c r="SOY42" s="16"/>
      <c r="SOZ42" s="16"/>
      <c r="SPA42" s="16"/>
      <c r="SPB42" s="16"/>
      <c r="SPC42" s="16"/>
      <c r="SPD42" s="16"/>
      <c r="SPE42" s="16"/>
      <c r="SPF42" s="16"/>
      <c r="SPG42" s="16"/>
      <c r="SPH42" s="16"/>
      <c r="SPI42" s="16"/>
      <c r="SPJ42" s="16"/>
      <c r="SPK42" s="16"/>
      <c r="SPL42" s="16"/>
      <c r="SPM42" s="16"/>
      <c r="SPN42" s="16"/>
      <c r="SPO42" s="16"/>
      <c r="SPP42" s="16"/>
      <c r="SPQ42" s="16"/>
      <c r="SPR42" s="16"/>
      <c r="SPS42" s="16"/>
      <c r="SPT42" s="16"/>
      <c r="SPU42" s="16"/>
      <c r="SPV42" s="16"/>
      <c r="SPW42" s="16"/>
      <c r="SPX42" s="16"/>
      <c r="SPY42" s="16"/>
      <c r="SPZ42" s="16"/>
      <c r="SQA42" s="16"/>
      <c r="SQB42" s="16"/>
      <c r="SQC42" s="16"/>
      <c r="SQD42" s="16"/>
      <c r="SQE42" s="16"/>
      <c r="SQF42" s="16"/>
      <c r="SQG42" s="16"/>
      <c r="SQH42" s="16"/>
      <c r="SQI42" s="16"/>
      <c r="SQJ42" s="16"/>
      <c r="SQK42" s="16"/>
      <c r="SQL42" s="16"/>
      <c r="SQM42" s="16"/>
      <c r="SQN42" s="16"/>
      <c r="SQO42" s="16"/>
      <c r="SQP42" s="16"/>
      <c r="SQQ42" s="16"/>
      <c r="SQR42" s="16"/>
      <c r="SQS42" s="16"/>
      <c r="SQT42" s="16"/>
      <c r="SQU42" s="16"/>
      <c r="SQV42" s="16"/>
      <c r="SQW42" s="16"/>
      <c r="SQX42" s="16"/>
      <c r="SQY42" s="16"/>
      <c r="SQZ42" s="16"/>
      <c r="SRA42" s="16"/>
      <c r="SRB42" s="16"/>
      <c r="SRC42" s="16"/>
      <c r="SRD42" s="16"/>
      <c r="SRE42" s="16"/>
      <c r="SRF42" s="16"/>
      <c r="SRG42" s="16"/>
      <c r="SRH42" s="16"/>
      <c r="SRI42" s="16"/>
      <c r="SRJ42" s="16"/>
      <c r="SRK42" s="16"/>
      <c r="SRL42" s="16"/>
      <c r="SRM42" s="16"/>
      <c r="SRN42" s="16"/>
      <c r="SRO42" s="16"/>
      <c r="SRP42" s="16"/>
      <c r="SRQ42" s="16"/>
      <c r="SRR42" s="16"/>
      <c r="SRS42" s="16"/>
      <c r="SRT42" s="16"/>
      <c r="SRU42" s="16"/>
      <c r="SRV42" s="16"/>
      <c r="SRW42" s="16"/>
      <c r="SRX42" s="16"/>
      <c r="SRY42" s="16"/>
      <c r="SRZ42" s="16"/>
      <c r="SSA42" s="16"/>
      <c r="SSB42" s="16"/>
      <c r="SSC42" s="16"/>
      <c r="SSD42" s="16"/>
      <c r="SSE42" s="16"/>
      <c r="SSF42" s="16"/>
      <c r="SSG42" s="16"/>
      <c r="SSH42" s="16"/>
      <c r="SSI42" s="16"/>
      <c r="SSJ42" s="16"/>
      <c r="SSK42" s="16"/>
      <c r="SSL42" s="16"/>
      <c r="SSM42" s="16"/>
      <c r="SSN42" s="16"/>
      <c r="SSO42" s="16"/>
      <c r="SSP42" s="16"/>
      <c r="SSQ42" s="16"/>
      <c r="SSR42" s="16"/>
      <c r="SSS42" s="16"/>
      <c r="SST42" s="16"/>
      <c r="SSU42" s="16"/>
      <c r="SSV42" s="16"/>
      <c r="SSW42" s="16"/>
      <c r="SSX42" s="16"/>
      <c r="SSY42" s="16"/>
      <c r="SSZ42" s="16"/>
      <c r="STA42" s="16"/>
      <c r="STB42" s="16"/>
      <c r="STC42" s="16"/>
      <c r="STD42" s="16"/>
      <c r="STE42" s="16"/>
      <c r="STF42" s="16"/>
      <c r="STG42" s="16"/>
      <c r="STH42" s="16"/>
      <c r="STI42" s="16"/>
      <c r="STJ42" s="16"/>
      <c r="STK42" s="16"/>
      <c r="STL42" s="16"/>
      <c r="STM42" s="16"/>
      <c r="STN42" s="16"/>
      <c r="STO42" s="16"/>
      <c r="STP42" s="16"/>
      <c r="STQ42" s="16"/>
      <c r="STR42" s="16"/>
      <c r="STS42" s="16"/>
      <c r="STT42" s="16"/>
      <c r="STU42" s="16"/>
      <c r="STV42" s="16"/>
      <c r="STW42" s="16"/>
      <c r="STX42" s="16"/>
      <c r="STY42" s="16"/>
      <c r="STZ42" s="16"/>
      <c r="SUA42" s="16"/>
      <c r="SUB42" s="16"/>
      <c r="SUC42" s="16"/>
      <c r="SUD42" s="16"/>
      <c r="SUE42" s="16"/>
      <c r="SUF42" s="16"/>
      <c r="SUG42" s="16"/>
      <c r="SUH42" s="16"/>
      <c r="SUI42" s="16"/>
      <c r="SUJ42" s="16"/>
      <c r="SUK42" s="16"/>
      <c r="SUL42" s="16"/>
      <c r="SUM42" s="16"/>
      <c r="SUN42" s="16"/>
      <c r="SUO42" s="16"/>
      <c r="SUP42" s="16"/>
      <c r="SUQ42" s="16"/>
      <c r="SUR42" s="16"/>
      <c r="SUS42" s="16"/>
      <c r="SUT42" s="16"/>
      <c r="SUU42" s="16"/>
      <c r="SUV42" s="16"/>
      <c r="SUW42" s="16"/>
      <c r="SUX42" s="16"/>
      <c r="SUY42" s="16"/>
      <c r="SUZ42" s="16"/>
      <c r="SVA42" s="16"/>
      <c r="SVB42" s="16"/>
      <c r="SVC42" s="16"/>
      <c r="SVD42" s="16"/>
      <c r="SVE42" s="16"/>
      <c r="SVF42" s="16"/>
      <c r="SVG42" s="16"/>
      <c r="SVH42" s="16"/>
      <c r="SVI42" s="16"/>
      <c r="SVJ42" s="16"/>
      <c r="SVK42" s="16"/>
      <c r="SVL42" s="16"/>
      <c r="SVM42" s="16"/>
      <c r="SVN42" s="16"/>
      <c r="SVO42" s="16"/>
      <c r="SVP42" s="16"/>
      <c r="SVQ42" s="16"/>
      <c r="SVR42" s="16"/>
      <c r="SVS42" s="16"/>
      <c r="SVT42" s="16"/>
      <c r="SVU42" s="16"/>
      <c r="SVV42" s="16"/>
      <c r="SVW42" s="16"/>
      <c r="SVX42" s="16"/>
      <c r="SVY42" s="16"/>
      <c r="SVZ42" s="16"/>
      <c r="SWA42" s="16"/>
      <c r="SWB42" s="16"/>
      <c r="SWC42" s="16"/>
      <c r="SWD42" s="16"/>
      <c r="SWE42" s="16"/>
      <c r="SWF42" s="16"/>
      <c r="SWG42" s="16"/>
      <c r="SWH42" s="16"/>
      <c r="SWI42" s="16"/>
      <c r="SWJ42" s="16"/>
      <c r="SWK42" s="16"/>
      <c r="SWL42" s="16"/>
      <c r="SWM42" s="16"/>
      <c r="SWN42" s="16"/>
      <c r="SWO42" s="16"/>
      <c r="SWP42" s="16"/>
      <c r="SWQ42" s="16"/>
      <c r="SWR42" s="16"/>
      <c r="SWS42" s="16"/>
      <c r="SWT42" s="16"/>
      <c r="SWU42" s="16"/>
      <c r="SWV42" s="16"/>
      <c r="SWW42" s="16"/>
      <c r="SWX42" s="16"/>
      <c r="SWY42" s="16"/>
      <c r="SWZ42" s="16"/>
      <c r="SXA42" s="16"/>
      <c r="SXB42" s="16"/>
      <c r="SXC42" s="16"/>
      <c r="SXD42" s="16"/>
      <c r="SXE42" s="16"/>
      <c r="SXF42" s="16"/>
      <c r="SXG42" s="16"/>
      <c r="SXH42" s="16"/>
      <c r="SXI42" s="16"/>
      <c r="SXJ42" s="16"/>
      <c r="SXK42" s="16"/>
      <c r="SXL42" s="16"/>
      <c r="SXM42" s="16"/>
      <c r="SXN42" s="16"/>
      <c r="SXO42" s="16"/>
      <c r="SXP42" s="16"/>
      <c r="SXQ42" s="16"/>
      <c r="SXR42" s="16"/>
      <c r="SXS42" s="16"/>
      <c r="SXT42" s="16"/>
      <c r="SXU42" s="16"/>
      <c r="SXV42" s="16"/>
      <c r="SXW42" s="16"/>
      <c r="SXX42" s="16"/>
      <c r="SXY42" s="16"/>
      <c r="SXZ42" s="16"/>
      <c r="SYA42" s="16"/>
      <c r="SYB42" s="16"/>
      <c r="SYC42" s="16"/>
      <c r="SYD42" s="16"/>
      <c r="SYE42" s="16"/>
      <c r="SYF42" s="16"/>
      <c r="SYG42" s="16"/>
      <c r="SYH42" s="16"/>
      <c r="SYI42" s="16"/>
      <c r="SYJ42" s="16"/>
      <c r="SYK42" s="16"/>
      <c r="SYL42" s="16"/>
      <c r="SYM42" s="16"/>
      <c r="SYN42" s="16"/>
      <c r="SYO42" s="16"/>
      <c r="SYP42" s="16"/>
      <c r="SYQ42" s="16"/>
      <c r="SYR42" s="16"/>
      <c r="SYS42" s="16"/>
      <c r="SYT42" s="16"/>
      <c r="SYU42" s="16"/>
      <c r="SYV42" s="16"/>
      <c r="SYW42" s="16"/>
      <c r="SYX42" s="16"/>
      <c r="SYY42" s="16"/>
      <c r="SYZ42" s="16"/>
      <c r="SZA42" s="16"/>
      <c r="SZB42" s="16"/>
      <c r="SZC42" s="16"/>
      <c r="SZD42" s="16"/>
      <c r="SZE42" s="16"/>
      <c r="SZF42" s="16"/>
      <c r="SZG42" s="16"/>
      <c r="SZH42" s="16"/>
      <c r="SZI42" s="16"/>
      <c r="SZJ42" s="16"/>
      <c r="SZK42" s="16"/>
      <c r="SZL42" s="16"/>
      <c r="SZM42" s="16"/>
      <c r="SZN42" s="16"/>
      <c r="SZO42" s="16"/>
      <c r="SZP42" s="16"/>
      <c r="SZQ42" s="16"/>
      <c r="SZR42" s="16"/>
      <c r="SZS42" s="16"/>
      <c r="SZT42" s="16"/>
      <c r="SZU42" s="16"/>
      <c r="SZV42" s="16"/>
      <c r="SZW42" s="16"/>
      <c r="SZX42" s="16"/>
      <c r="SZY42" s="16"/>
      <c r="SZZ42" s="16"/>
      <c r="TAA42" s="16"/>
      <c r="TAB42" s="16"/>
      <c r="TAC42" s="16"/>
      <c r="TAD42" s="16"/>
      <c r="TAE42" s="16"/>
      <c r="TAF42" s="16"/>
      <c r="TAG42" s="16"/>
      <c r="TAH42" s="16"/>
      <c r="TAI42" s="16"/>
      <c r="TAJ42" s="16"/>
      <c r="TAK42" s="16"/>
      <c r="TAL42" s="16"/>
      <c r="TAM42" s="16"/>
      <c r="TAN42" s="16"/>
      <c r="TAO42" s="16"/>
      <c r="TAP42" s="16"/>
      <c r="TAQ42" s="16"/>
      <c r="TAR42" s="16"/>
      <c r="TAS42" s="16"/>
      <c r="TAT42" s="16"/>
      <c r="TAU42" s="16"/>
      <c r="TAV42" s="16"/>
      <c r="TAW42" s="16"/>
      <c r="TAX42" s="16"/>
      <c r="TAY42" s="16"/>
      <c r="TAZ42" s="16"/>
      <c r="TBA42" s="16"/>
      <c r="TBB42" s="16"/>
      <c r="TBC42" s="16"/>
      <c r="TBD42" s="16"/>
      <c r="TBE42" s="16"/>
      <c r="TBF42" s="16"/>
      <c r="TBG42" s="16"/>
      <c r="TBH42" s="16"/>
      <c r="TBI42" s="16"/>
      <c r="TBJ42" s="16"/>
      <c r="TBK42" s="16"/>
      <c r="TBL42" s="16"/>
      <c r="TBM42" s="16"/>
      <c r="TBN42" s="16"/>
      <c r="TBO42" s="16"/>
      <c r="TBP42" s="16"/>
      <c r="TBQ42" s="16"/>
      <c r="TBR42" s="16"/>
      <c r="TBS42" s="16"/>
      <c r="TBT42" s="16"/>
      <c r="TBU42" s="16"/>
      <c r="TBV42" s="16"/>
      <c r="TBW42" s="16"/>
      <c r="TBX42" s="16"/>
      <c r="TBY42" s="16"/>
      <c r="TBZ42" s="16"/>
      <c r="TCA42" s="16"/>
      <c r="TCB42" s="16"/>
      <c r="TCC42" s="16"/>
      <c r="TCD42" s="16"/>
      <c r="TCE42" s="16"/>
      <c r="TCF42" s="16"/>
      <c r="TCG42" s="16"/>
      <c r="TCH42" s="16"/>
      <c r="TCI42" s="16"/>
      <c r="TCJ42" s="16"/>
      <c r="TCK42" s="16"/>
      <c r="TCL42" s="16"/>
      <c r="TCM42" s="16"/>
      <c r="TCN42" s="16"/>
      <c r="TCO42" s="16"/>
      <c r="TCP42" s="16"/>
      <c r="TCQ42" s="16"/>
      <c r="TCR42" s="16"/>
      <c r="TCS42" s="16"/>
      <c r="TCT42" s="16"/>
      <c r="TCU42" s="16"/>
      <c r="TCV42" s="16"/>
      <c r="TCW42" s="16"/>
      <c r="TCX42" s="16"/>
      <c r="TCY42" s="16"/>
      <c r="TCZ42" s="16"/>
      <c r="TDA42" s="16"/>
      <c r="TDB42" s="16"/>
      <c r="TDC42" s="16"/>
      <c r="TDD42" s="16"/>
      <c r="TDE42" s="16"/>
      <c r="TDF42" s="16"/>
      <c r="TDG42" s="16"/>
      <c r="TDH42" s="16"/>
      <c r="TDI42" s="16"/>
      <c r="TDJ42" s="16"/>
      <c r="TDK42" s="16"/>
      <c r="TDL42" s="16"/>
      <c r="TDM42" s="16"/>
      <c r="TDN42" s="16"/>
      <c r="TDO42" s="16"/>
      <c r="TDP42" s="16"/>
      <c r="TDQ42" s="16"/>
      <c r="TDR42" s="16"/>
      <c r="TDS42" s="16"/>
      <c r="TDT42" s="16"/>
      <c r="TDU42" s="16"/>
      <c r="TDV42" s="16"/>
      <c r="TDW42" s="16"/>
      <c r="TDX42" s="16"/>
      <c r="TDY42" s="16"/>
      <c r="TDZ42" s="16"/>
      <c r="TEA42" s="16"/>
      <c r="TEB42" s="16"/>
      <c r="TEC42" s="16"/>
      <c r="TED42" s="16"/>
      <c r="TEE42" s="16"/>
      <c r="TEF42" s="16"/>
      <c r="TEG42" s="16"/>
      <c r="TEH42" s="16"/>
      <c r="TEI42" s="16"/>
      <c r="TEJ42" s="16"/>
      <c r="TEK42" s="16"/>
      <c r="TEL42" s="16"/>
      <c r="TEM42" s="16"/>
      <c r="TEN42" s="16"/>
      <c r="TEO42" s="16"/>
      <c r="TEP42" s="16"/>
      <c r="TEQ42" s="16"/>
      <c r="TER42" s="16"/>
      <c r="TES42" s="16"/>
      <c r="TET42" s="16"/>
      <c r="TEU42" s="16"/>
      <c r="TEV42" s="16"/>
      <c r="TEW42" s="16"/>
      <c r="TEX42" s="16"/>
      <c r="TEY42" s="16"/>
      <c r="TEZ42" s="16"/>
      <c r="TFA42" s="16"/>
      <c r="TFB42" s="16"/>
      <c r="TFC42" s="16"/>
      <c r="TFD42" s="16"/>
      <c r="TFE42" s="16"/>
      <c r="TFF42" s="16"/>
      <c r="TFG42" s="16"/>
      <c r="TFH42" s="16"/>
      <c r="TFI42" s="16"/>
      <c r="TFJ42" s="16"/>
      <c r="TFK42" s="16"/>
      <c r="TFL42" s="16"/>
      <c r="TFM42" s="16"/>
      <c r="TFN42" s="16"/>
      <c r="TFO42" s="16"/>
      <c r="TFP42" s="16"/>
      <c r="TFQ42" s="16"/>
      <c r="TFR42" s="16"/>
      <c r="TFS42" s="16"/>
      <c r="TFT42" s="16"/>
      <c r="TFU42" s="16"/>
      <c r="TFV42" s="16"/>
      <c r="TFW42" s="16"/>
      <c r="TFX42" s="16"/>
      <c r="TFY42" s="16"/>
      <c r="TFZ42" s="16"/>
      <c r="TGA42" s="16"/>
      <c r="TGB42" s="16"/>
      <c r="TGC42" s="16"/>
      <c r="TGD42" s="16"/>
      <c r="TGE42" s="16"/>
      <c r="TGF42" s="16"/>
      <c r="TGG42" s="16"/>
      <c r="TGH42" s="16"/>
      <c r="TGI42" s="16"/>
      <c r="TGJ42" s="16"/>
      <c r="TGK42" s="16"/>
      <c r="TGL42" s="16"/>
      <c r="TGM42" s="16"/>
      <c r="TGN42" s="16"/>
      <c r="TGO42" s="16"/>
      <c r="TGP42" s="16"/>
      <c r="TGQ42" s="16"/>
      <c r="TGR42" s="16"/>
      <c r="TGS42" s="16"/>
      <c r="TGT42" s="16"/>
      <c r="TGU42" s="16"/>
      <c r="TGV42" s="16"/>
      <c r="TGW42" s="16"/>
      <c r="TGX42" s="16"/>
      <c r="TGY42" s="16"/>
      <c r="TGZ42" s="16"/>
      <c r="THA42" s="16"/>
      <c r="THB42" s="16"/>
      <c r="THC42" s="16"/>
      <c r="THD42" s="16"/>
      <c r="THE42" s="16"/>
      <c r="THF42" s="16"/>
      <c r="THG42" s="16"/>
      <c r="THH42" s="16"/>
      <c r="THI42" s="16"/>
      <c r="THJ42" s="16"/>
      <c r="THK42" s="16"/>
      <c r="THL42" s="16"/>
      <c r="THM42" s="16"/>
      <c r="THN42" s="16"/>
      <c r="THO42" s="16"/>
      <c r="THP42" s="16"/>
      <c r="THQ42" s="16"/>
      <c r="THR42" s="16"/>
      <c r="THS42" s="16"/>
      <c r="THT42" s="16"/>
      <c r="THU42" s="16"/>
      <c r="THV42" s="16"/>
      <c r="THW42" s="16"/>
      <c r="THX42" s="16"/>
      <c r="THY42" s="16"/>
      <c r="THZ42" s="16"/>
      <c r="TIA42" s="16"/>
      <c r="TIB42" s="16"/>
      <c r="TIC42" s="16"/>
      <c r="TID42" s="16"/>
      <c r="TIE42" s="16"/>
      <c r="TIF42" s="16"/>
      <c r="TIG42" s="16"/>
      <c r="TIH42" s="16"/>
      <c r="TII42" s="16"/>
      <c r="TIJ42" s="16"/>
      <c r="TIK42" s="16"/>
      <c r="TIL42" s="16"/>
      <c r="TIM42" s="16"/>
      <c r="TIN42" s="16"/>
      <c r="TIO42" s="16"/>
      <c r="TIP42" s="16"/>
      <c r="TIQ42" s="16"/>
      <c r="TIR42" s="16"/>
      <c r="TIS42" s="16"/>
      <c r="TIT42" s="16"/>
      <c r="TIU42" s="16"/>
      <c r="TIV42" s="16"/>
      <c r="TIW42" s="16"/>
      <c r="TIX42" s="16"/>
      <c r="TIY42" s="16"/>
      <c r="TIZ42" s="16"/>
      <c r="TJA42" s="16"/>
      <c r="TJB42" s="16"/>
      <c r="TJC42" s="16"/>
      <c r="TJD42" s="16"/>
      <c r="TJE42" s="16"/>
      <c r="TJF42" s="16"/>
      <c r="TJG42" s="16"/>
      <c r="TJH42" s="16"/>
      <c r="TJI42" s="16"/>
      <c r="TJJ42" s="16"/>
      <c r="TJK42" s="16"/>
      <c r="TJL42" s="16"/>
      <c r="TJM42" s="16"/>
      <c r="TJN42" s="16"/>
      <c r="TJO42" s="16"/>
      <c r="TJP42" s="16"/>
      <c r="TJQ42" s="16"/>
      <c r="TJR42" s="16"/>
      <c r="TJS42" s="16"/>
      <c r="TJT42" s="16"/>
      <c r="TJU42" s="16"/>
      <c r="TJV42" s="16"/>
      <c r="TJW42" s="16"/>
      <c r="TJX42" s="16"/>
      <c r="TJY42" s="16"/>
      <c r="TJZ42" s="16"/>
      <c r="TKA42" s="16"/>
      <c r="TKB42" s="16"/>
      <c r="TKC42" s="16"/>
      <c r="TKD42" s="16"/>
      <c r="TKE42" s="16"/>
      <c r="TKF42" s="16"/>
      <c r="TKG42" s="16"/>
      <c r="TKH42" s="16"/>
      <c r="TKI42" s="16"/>
      <c r="TKJ42" s="16"/>
      <c r="TKK42" s="16"/>
      <c r="TKL42" s="16"/>
      <c r="TKM42" s="16"/>
      <c r="TKN42" s="16"/>
      <c r="TKO42" s="16"/>
      <c r="TKP42" s="16"/>
      <c r="TKQ42" s="16"/>
      <c r="TKR42" s="16"/>
      <c r="TKS42" s="16"/>
      <c r="TKT42" s="16"/>
      <c r="TKU42" s="16"/>
      <c r="TKV42" s="16"/>
      <c r="TKW42" s="16"/>
      <c r="TKX42" s="16"/>
      <c r="TKY42" s="16"/>
      <c r="TKZ42" s="16"/>
      <c r="TLA42" s="16"/>
      <c r="TLB42" s="16"/>
      <c r="TLC42" s="16"/>
      <c r="TLD42" s="16"/>
      <c r="TLE42" s="16"/>
      <c r="TLF42" s="16"/>
      <c r="TLG42" s="16"/>
      <c r="TLH42" s="16"/>
      <c r="TLI42" s="16"/>
      <c r="TLJ42" s="16"/>
      <c r="TLK42" s="16"/>
      <c r="TLL42" s="16"/>
      <c r="TLM42" s="16"/>
      <c r="TLN42" s="16"/>
      <c r="TLO42" s="16"/>
      <c r="TLP42" s="16"/>
      <c r="TLQ42" s="16"/>
      <c r="TLR42" s="16"/>
      <c r="TLS42" s="16"/>
      <c r="TLT42" s="16"/>
      <c r="TLU42" s="16"/>
      <c r="TLV42" s="16"/>
      <c r="TLW42" s="16"/>
      <c r="TLX42" s="16"/>
      <c r="TLY42" s="16"/>
      <c r="TLZ42" s="16"/>
      <c r="TMA42" s="16"/>
      <c r="TMB42" s="16"/>
      <c r="TMC42" s="16"/>
      <c r="TMD42" s="16"/>
      <c r="TME42" s="16"/>
      <c r="TMF42" s="16"/>
      <c r="TMG42" s="16"/>
      <c r="TMH42" s="16"/>
      <c r="TMI42" s="16"/>
      <c r="TMJ42" s="16"/>
      <c r="TMK42" s="16"/>
      <c r="TML42" s="16"/>
      <c r="TMM42" s="16"/>
      <c r="TMN42" s="16"/>
      <c r="TMO42" s="16"/>
      <c r="TMP42" s="16"/>
      <c r="TMQ42" s="16"/>
      <c r="TMR42" s="16"/>
      <c r="TMS42" s="16"/>
      <c r="TMT42" s="16"/>
      <c r="TMU42" s="16"/>
      <c r="TMV42" s="16"/>
      <c r="TMW42" s="16"/>
      <c r="TMX42" s="16"/>
      <c r="TMY42" s="16"/>
      <c r="TMZ42" s="16"/>
      <c r="TNA42" s="16"/>
      <c r="TNB42" s="16"/>
      <c r="TNC42" s="16"/>
      <c r="TND42" s="16"/>
      <c r="TNE42" s="16"/>
      <c r="TNF42" s="16"/>
      <c r="TNG42" s="16"/>
      <c r="TNH42" s="16"/>
      <c r="TNI42" s="16"/>
      <c r="TNJ42" s="16"/>
      <c r="TNK42" s="16"/>
      <c r="TNL42" s="16"/>
      <c r="TNM42" s="16"/>
      <c r="TNN42" s="16"/>
      <c r="TNO42" s="16"/>
      <c r="TNP42" s="16"/>
      <c r="TNQ42" s="16"/>
      <c r="TNR42" s="16"/>
      <c r="TNS42" s="16"/>
      <c r="TNT42" s="16"/>
      <c r="TNU42" s="16"/>
      <c r="TNV42" s="16"/>
      <c r="TNW42" s="16"/>
      <c r="TNX42" s="16"/>
      <c r="TNY42" s="16"/>
      <c r="TNZ42" s="16"/>
      <c r="TOA42" s="16"/>
      <c r="TOB42" s="16"/>
      <c r="TOC42" s="16"/>
      <c r="TOD42" s="16"/>
      <c r="TOE42" s="16"/>
      <c r="TOF42" s="16"/>
      <c r="TOG42" s="16"/>
      <c r="TOH42" s="16"/>
      <c r="TOI42" s="16"/>
      <c r="TOJ42" s="16"/>
      <c r="TOK42" s="16"/>
      <c r="TOL42" s="16"/>
      <c r="TOM42" s="16"/>
      <c r="TON42" s="16"/>
      <c r="TOO42" s="16"/>
      <c r="TOP42" s="16"/>
      <c r="TOQ42" s="16"/>
      <c r="TOR42" s="16"/>
      <c r="TOS42" s="16"/>
      <c r="TOT42" s="16"/>
      <c r="TOU42" s="16"/>
      <c r="TOV42" s="16"/>
      <c r="TOW42" s="16"/>
      <c r="TOX42" s="16"/>
      <c r="TOY42" s="16"/>
      <c r="TOZ42" s="16"/>
      <c r="TPA42" s="16"/>
      <c r="TPB42" s="16"/>
      <c r="TPC42" s="16"/>
      <c r="TPD42" s="16"/>
      <c r="TPE42" s="16"/>
      <c r="TPF42" s="16"/>
      <c r="TPG42" s="16"/>
      <c r="TPH42" s="16"/>
      <c r="TPI42" s="16"/>
      <c r="TPJ42" s="16"/>
      <c r="TPK42" s="16"/>
      <c r="TPL42" s="16"/>
      <c r="TPM42" s="16"/>
      <c r="TPN42" s="16"/>
      <c r="TPO42" s="16"/>
      <c r="TPP42" s="16"/>
      <c r="TPQ42" s="16"/>
      <c r="TPR42" s="16"/>
      <c r="TPS42" s="16"/>
      <c r="TPT42" s="16"/>
      <c r="TPU42" s="16"/>
      <c r="TPV42" s="16"/>
      <c r="TPW42" s="16"/>
      <c r="TPX42" s="16"/>
      <c r="TPY42" s="16"/>
      <c r="TPZ42" s="16"/>
      <c r="TQA42" s="16"/>
      <c r="TQB42" s="16"/>
      <c r="TQC42" s="16"/>
      <c r="TQD42" s="16"/>
      <c r="TQE42" s="16"/>
      <c r="TQF42" s="16"/>
      <c r="TQG42" s="16"/>
      <c r="TQH42" s="16"/>
      <c r="TQI42" s="16"/>
      <c r="TQJ42" s="16"/>
      <c r="TQK42" s="16"/>
      <c r="TQL42" s="16"/>
      <c r="TQM42" s="16"/>
      <c r="TQN42" s="16"/>
      <c r="TQO42" s="16"/>
      <c r="TQP42" s="16"/>
      <c r="TQQ42" s="16"/>
      <c r="TQR42" s="16"/>
      <c r="TQS42" s="16"/>
      <c r="TQT42" s="16"/>
      <c r="TQU42" s="16"/>
      <c r="TQV42" s="16"/>
      <c r="TQW42" s="16"/>
      <c r="TQX42" s="16"/>
      <c r="TQY42" s="16"/>
      <c r="TQZ42" s="16"/>
      <c r="TRA42" s="16"/>
      <c r="TRB42" s="16"/>
      <c r="TRC42" s="16"/>
      <c r="TRD42" s="16"/>
      <c r="TRE42" s="16"/>
      <c r="TRF42" s="16"/>
      <c r="TRG42" s="16"/>
      <c r="TRH42" s="16"/>
      <c r="TRI42" s="16"/>
      <c r="TRJ42" s="16"/>
      <c r="TRK42" s="16"/>
      <c r="TRL42" s="16"/>
      <c r="TRM42" s="16"/>
      <c r="TRN42" s="16"/>
      <c r="TRO42" s="16"/>
      <c r="TRP42" s="16"/>
      <c r="TRQ42" s="16"/>
      <c r="TRR42" s="16"/>
      <c r="TRS42" s="16"/>
      <c r="TRT42" s="16"/>
      <c r="TRU42" s="16"/>
      <c r="TRV42" s="16"/>
      <c r="TRW42" s="16"/>
      <c r="TRX42" s="16"/>
      <c r="TRY42" s="16"/>
      <c r="TRZ42" s="16"/>
      <c r="TSA42" s="16"/>
      <c r="TSB42" s="16"/>
      <c r="TSC42" s="16"/>
      <c r="TSD42" s="16"/>
      <c r="TSE42" s="16"/>
      <c r="TSF42" s="16"/>
      <c r="TSG42" s="16"/>
      <c r="TSH42" s="16"/>
      <c r="TSI42" s="16"/>
      <c r="TSJ42" s="16"/>
      <c r="TSK42" s="16"/>
      <c r="TSL42" s="16"/>
      <c r="TSM42" s="16"/>
      <c r="TSN42" s="16"/>
      <c r="TSO42" s="16"/>
      <c r="TSP42" s="16"/>
      <c r="TSQ42" s="16"/>
      <c r="TSR42" s="16"/>
      <c r="TSS42" s="16"/>
      <c r="TST42" s="16"/>
      <c r="TSU42" s="16"/>
      <c r="TSV42" s="16"/>
      <c r="TSW42" s="16"/>
      <c r="TSX42" s="16"/>
      <c r="TSY42" s="16"/>
      <c r="TSZ42" s="16"/>
      <c r="TTA42" s="16"/>
      <c r="TTB42" s="16"/>
      <c r="TTC42" s="16"/>
      <c r="TTD42" s="16"/>
      <c r="TTE42" s="16"/>
      <c r="TTF42" s="16"/>
      <c r="TTG42" s="16"/>
      <c r="TTH42" s="16"/>
      <c r="TTI42" s="16"/>
      <c r="TTJ42" s="16"/>
      <c r="TTK42" s="16"/>
      <c r="TTL42" s="16"/>
      <c r="TTM42" s="16"/>
      <c r="TTN42" s="16"/>
      <c r="TTO42" s="16"/>
      <c r="TTP42" s="16"/>
      <c r="TTQ42" s="16"/>
      <c r="TTR42" s="16"/>
      <c r="TTS42" s="16"/>
      <c r="TTT42" s="16"/>
      <c r="TTU42" s="16"/>
      <c r="TTV42" s="16"/>
      <c r="TTW42" s="16"/>
      <c r="TTX42" s="16"/>
      <c r="TTY42" s="16"/>
      <c r="TTZ42" s="16"/>
      <c r="TUA42" s="16"/>
      <c r="TUB42" s="16"/>
      <c r="TUC42" s="16"/>
      <c r="TUD42" s="16"/>
      <c r="TUE42" s="16"/>
      <c r="TUF42" s="16"/>
      <c r="TUG42" s="16"/>
      <c r="TUH42" s="16"/>
      <c r="TUI42" s="16"/>
      <c r="TUJ42" s="16"/>
      <c r="TUK42" s="16"/>
      <c r="TUL42" s="16"/>
      <c r="TUM42" s="16"/>
      <c r="TUN42" s="16"/>
      <c r="TUO42" s="16"/>
      <c r="TUP42" s="16"/>
      <c r="TUQ42" s="16"/>
      <c r="TUR42" s="16"/>
      <c r="TUS42" s="16"/>
      <c r="TUT42" s="16"/>
      <c r="TUU42" s="16"/>
      <c r="TUV42" s="16"/>
      <c r="TUW42" s="16"/>
      <c r="TUX42" s="16"/>
      <c r="TUY42" s="16"/>
      <c r="TUZ42" s="16"/>
      <c r="TVA42" s="16"/>
      <c r="TVB42" s="16"/>
      <c r="TVC42" s="16"/>
      <c r="TVD42" s="16"/>
      <c r="TVE42" s="16"/>
      <c r="TVF42" s="16"/>
      <c r="TVG42" s="16"/>
      <c r="TVH42" s="16"/>
      <c r="TVI42" s="16"/>
      <c r="TVJ42" s="16"/>
      <c r="TVK42" s="16"/>
      <c r="TVL42" s="16"/>
      <c r="TVM42" s="16"/>
      <c r="TVN42" s="16"/>
      <c r="TVO42" s="16"/>
      <c r="TVP42" s="16"/>
      <c r="TVQ42" s="16"/>
      <c r="TVR42" s="16"/>
      <c r="TVS42" s="16"/>
      <c r="TVT42" s="16"/>
      <c r="TVU42" s="16"/>
      <c r="TVV42" s="16"/>
      <c r="TVW42" s="16"/>
      <c r="TVX42" s="16"/>
      <c r="TVY42" s="16"/>
      <c r="TVZ42" s="16"/>
      <c r="TWA42" s="16"/>
      <c r="TWB42" s="16"/>
      <c r="TWC42" s="16"/>
      <c r="TWD42" s="16"/>
      <c r="TWE42" s="16"/>
      <c r="TWF42" s="16"/>
      <c r="TWG42" s="16"/>
      <c r="TWH42" s="16"/>
      <c r="TWI42" s="16"/>
      <c r="TWJ42" s="16"/>
      <c r="TWK42" s="16"/>
      <c r="TWL42" s="16"/>
      <c r="TWM42" s="16"/>
      <c r="TWN42" s="16"/>
      <c r="TWO42" s="16"/>
      <c r="TWP42" s="16"/>
      <c r="TWQ42" s="16"/>
      <c r="TWR42" s="16"/>
      <c r="TWS42" s="16"/>
      <c r="TWT42" s="16"/>
      <c r="TWU42" s="16"/>
      <c r="TWV42" s="16"/>
      <c r="TWW42" s="16"/>
      <c r="TWX42" s="16"/>
      <c r="TWY42" s="16"/>
      <c r="TWZ42" s="16"/>
      <c r="TXA42" s="16"/>
      <c r="TXB42" s="16"/>
      <c r="TXC42" s="16"/>
      <c r="TXD42" s="16"/>
      <c r="TXE42" s="16"/>
      <c r="TXF42" s="16"/>
      <c r="TXG42" s="16"/>
      <c r="TXH42" s="16"/>
      <c r="TXI42" s="16"/>
      <c r="TXJ42" s="16"/>
      <c r="TXK42" s="16"/>
      <c r="TXL42" s="16"/>
      <c r="TXM42" s="16"/>
      <c r="TXN42" s="16"/>
      <c r="TXO42" s="16"/>
      <c r="TXP42" s="16"/>
      <c r="TXQ42" s="16"/>
      <c r="TXR42" s="16"/>
      <c r="TXS42" s="16"/>
      <c r="TXT42" s="16"/>
      <c r="TXU42" s="16"/>
      <c r="TXV42" s="16"/>
      <c r="TXW42" s="16"/>
      <c r="TXX42" s="16"/>
      <c r="TXY42" s="16"/>
      <c r="TXZ42" s="16"/>
      <c r="TYA42" s="16"/>
      <c r="TYB42" s="16"/>
      <c r="TYC42" s="16"/>
      <c r="TYD42" s="16"/>
      <c r="TYE42" s="16"/>
      <c r="TYF42" s="16"/>
      <c r="TYG42" s="16"/>
      <c r="TYH42" s="16"/>
      <c r="TYI42" s="16"/>
      <c r="TYJ42" s="16"/>
      <c r="TYK42" s="16"/>
      <c r="TYL42" s="16"/>
      <c r="TYM42" s="16"/>
      <c r="TYN42" s="16"/>
      <c r="TYO42" s="16"/>
      <c r="TYP42" s="16"/>
      <c r="TYQ42" s="16"/>
      <c r="TYR42" s="16"/>
      <c r="TYS42" s="16"/>
      <c r="TYT42" s="16"/>
      <c r="TYU42" s="16"/>
      <c r="TYV42" s="16"/>
      <c r="TYW42" s="16"/>
      <c r="TYX42" s="16"/>
      <c r="TYY42" s="16"/>
      <c r="TYZ42" s="16"/>
      <c r="TZA42" s="16"/>
      <c r="TZB42" s="16"/>
      <c r="TZC42" s="16"/>
      <c r="TZD42" s="16"/>
      <c r="TZE42" s="16"/>
      <c r="TZF42" s="16"/>
      <c r="TZG42" s="16"/>
      <c r="TZH42" s="16"/>
      <c r="TZI42" s="16"/>
      <c r="TZJ42" s="16"/>
      <c r="TZK42" s="16"/>
      <c r="TZL42" s="16"/>
      <c r="TZM42" s="16"/>
      <c r="TZN42" s="16"/>
      <c r="TZO42" s="16"/>
      <c r="TZP42" s="16"/>
      <c r="TZQ42" s="16"/>
      <c r="TZR42" s="16"/>
      <c r="TZS42" s="16"/>
      <c r="TZT42" s="16"/>
      <c r="TZU42" s="16"/>
      <c r="TZV42" s="16"/>
      <c r="TZW42" s="16"/>
      <c r="TZX42" s="16"/>
      <c r="TZY42" s="16"/>
      <c r="TZZ42" s="16"/>
      <c r="UAA42" s="16"/>
      <c r="UAB42" s="16"/>
      <c r="UAC42" s="16"/>
      <c r="UAD42" s="16"/>
      <c r="UAE42" s="16"/>
      <c r="UAF42" s="16"/>
      <c r="UAG42" s="16"/>
      <c r="UAH42" s="16"/>
      <c r="UAI42" s="16"/>
      <c r="UAJ42" s="16"/>
      <c r="UAK42" s="16"/>
      <c r="UAL42" s="16"/>
      <c r="UAM42" s="16"/>
      <c r="UAN42" s="16"/>
      <c r="UAO42" s="16"/>
      <c r="UAP42" s="16"/>
      <c r="UAQ42" s="16"/>
      <c r="UAR42" s="16"/>
      <c r="UAS42" s="16"/>
      <c r="UAT42" s="16"/>
      <c r="UAU42" s="16"/>
      <c r="UAV42" s="16"/>
      <c r="UAW42" s="16"/>
      <c r="UAX42" s="16"/>
      <c r="UAY42" s="16"/>
      <c r="UAZ42" s="16"/>
      <c r="UBA42" s="16"/>
      <c r="UBB42" s="16"/>
      <c r="UBC42" s="16"/>
      <c r="UBD42" s="16"/>
      <c r="UBE42" s="16"/>
      <c r="UBF42" s="16"/>
      <c r="UBG42" s="16"/>
      <c r="UBH42" s="16"/>
      <c r="UBI42" s="16"/>
      <c r="UBJ42" s="16"/>
      <c r="UBK42" s="16"/>
      <c r="UBL42" s="16"/>
      <c r="UBM42" s="16"/>
      <c r="UBN42" s="16"/>
      <c r="UBO42" s="16"/>
      <c r="UBP42" s="16"/>
      <c r="UBQ42" s="16"/>
      <c r="UBR42" s="16"/>
      <c r="UBS42" s="16"/>
      <c r="UBT42" s="16"/>
      <c r="UBU42" s="16"/>
      <c r="UBV42" s="16"/>
      <c r="UBW42" s="16"/>
      <c r="UBX42" s="16"/>
      <c r="UBY42" s="16"/>
      <c r="UBZ42" s="16"/>
      <c r="UCA42" s="16"/>
      <c r="UCB42" s="16"/>
      <c r="UCC42" s="16"/>
      <c r="UCD42" s="16"/>
      <c r="UCE42" s="16"/>
      <c r="UCF42" s="16"/>
      <c r="UCG42" s="16"/>
      <c r="UCH42" s="16"/>
      <c r="UCI42" s="16"/>
      <c r="UCJ42" s="16"/>
      <c r="UCK42" s="16"/>
      <c r="UCL42" s="16"/>
      <c r="UCM42" s="16"/>
      <c r="UCN42" s="16"/>
      <c r="UCO42" s="16"/>
      <c r="UCP42" s="16"/>
      <c r="UCQ42" s="16"/>
      <c r="UCR42" s="16"/>
      <c r="UCS42" s="16"/>
      <c r="UCT42" s="16"/>
      <c r="UCU42" s="16"/>
      <c r="UCV42" s="16"/>
      <c r="UCW42" s="16"/>
      <c r="UCX42" s="16"/>
      <c r="UCY42" s="16"/>
      <c r="UCZ42" s="16"/>
      <c r="UDA42" s="16"/>
      <c r="UDB42" s="16"/>
      <c r="UDC42" s="16"/>
      <c r="UDD42" s="16"/>
      <c r="UDE42" s="16"/>
      <c r="UDF42" s="16"/>
      <c r="UDG42" s="16"/>
      <c r="UDH42" s="16"/>
      <c r="UDI42" s="16"/>
      <c r="UDJ42" s="16"/>
      <c r="UDK42" s="16"/>
      <c r="UDL42" s="16"/>
      <c r="UDM42" s="16"/>
      <c r="UDN42" s="16"/>
      <c r="UDO42" s="16"/>
      <c r="UDP42" s="16"/>
      <c r="UDQ42" s="16"/>
      <c r="UDR42" s="16"/>
      <c r="UDS42" s="16"/>
      <c r="UDT42" s="16"/>
      <c r="UDU42" s="16"/>
      <c r="UDV42" s="16"/>
      <c r="UDW42" s="16"/>
      <c r="UDX42" s="16"/>
      <c r="UDY42" s="16"/>
      <c r="UDZ42" s="16"/>
      <c r="UEA42" s="16"/>
      <c r="UEB42" s="16"/>
      <c r="UEC42" s="16"/>
      <c r="UED42" s="16"/>
      <c r="UEE42" s="16"/>
      <c r="UEF42" s="16"/>
      <c r="UEG42" s="16"/>
      <c r="UEH42" s="16"/>
      <c r="UEI42" s="16"/>
      <c r="UEJ42" s="16"/>
      <c r="UEK42" s="16"/>
      <c r="UEL42" s="16"/>
      <c r="UEM42" s="16"/>
      <c r="UEN42" s="16"/>
      <c r="UEO42" s="16"/>
      <c r="UEP42" s="16"/>
      <c r="UEQ42" s="16"/>
      <c r="UER42" s="16"/>
      <c r="UES42" s="16"/>
      <c r="UET42" s="16"/>
      <c r="UEU42" s="16"/>
      <c r="UEV42" s="16"/>
      <c r="UEW42" s="16"/>
      <c r="UEX42" s="16"/>
      <c r="UEY42" s="16"/>
      <c r="UEZ42" s="16"/>
      <c r="UFA42" s="16"/>
      <c r="UFB42" s="16"/>
      <c r="UFC42" s="16"/>
      <c r="UFD42" s="16"/>
      <c r="UFE42" s="16"/>
      <c r="UFF42" s="16"/>
      <c r="UFG42" s="16"/>
      <c r="UFH42" s="16"/>
      <c r="UFI42" s="16"/>
      <c r="UFJ42" s="16"/>
      <c r="UFK42" s="16"/>
      <c r="UFL42" s="16"/>
      <c r="UFM42" s="16"/>
      <c r="UFN42" s="16"/>
      <c r="UFO42" s="16"/>
      <c r="UFP42" s="16"/>
      <c r="UFQ42" s="16"/>
      <c r="UFR42" s="16"/>
      <c r="UFS42" s="16"/>
      <c r="UFT42" s="16"/>
      <c r="UFU42" s="16"/>
      <c r="UFV42" s="16"/>
      <c r="UFW42" s="16"/>
      <c r="UFX42" s="16"/>
      <c r="UFY42" s="16"/>
      <c r="UFZ42" s="16"/>
      <c r="UGA42" s="16"/>
      <c r="UGB42" s="16"/>
      <c r="UGC42" s="16"/>
      <c r="UGD42" s="16"/>
      <c r="UGE42" s="16"/>
      <c r="UGF42" s="16"/>
      <c r="UGG42" s="16"/>
      <c r="UGH42" s="16"/>
      <c r="UGI42" s="16"/>
      <c r="UGJ42" s="16"/>
      <c r="UGK42" s="16"/>
      <c r="UGL42" s="16"/>
      <c r="UGM42" s="16"/>
      <c r="UGN42" s="16"/>
      <c r="UGO42" s="16"/>
      <c r="UGP42" s="16"/>
      <c r="UGQ42" s="16"/>
      <c r="UGR42" s="16"/>
      <c r="UGS42" s="16"/>
      <c r="UGT42" s="16"/>
      <c r="UGU42" s="16"/>
      <c r="UGV42" s="16"/>
      <c r="UGW42" s="16"/>
      <c r="UGX42" s="16"/>
      <c r="UGY42" s="16"/>
      <c r="UGZ42" s="16"/>
      <c r="UHA42" s="16"/>
      <c r="UHB42" s="16"/>
      <c r="UHC42" s="16"/>
      <c r="UHD42" s="16"/>
      <c r="UHE42" s="16"/>
      <c r="UHF42" s="16"/>
      <c r="UHG42" s="16"/>
      <c r="UHH42" s="16"/>
      <c r="UHI42" s="16"/>
      <c r="UHJ42" s="16"/>
      <c r="UHK42" s="16"/>
      <c r="UHL42" s="16"/>
      <c r="UHM42" s="16"/>
      <c r="UHN42" s="16"/>
      <c r="UHO42" s="16"/>
      <c r="UHP42" s="16"/>
      <c r="UHQ42" s="16"/>
      <c r="UHR42" s="16"/>
      <c r="UHS42" s="16"/>
      <c r="UHT42" s="16"/>
      <c r="UHU42" s="16"/>
      <c r="UHV42" s="16"/>
      <c r="UHW42" s="16"/>
      <c r="UHX42" s="16"/>
      <c r="UHY42" s="16"/>
      <c r="UHZ42" s="16"/>
      <c r="UIA42" s="16"/>
      <c r="UIB42" s="16"/>
      <c r="UIC42" s="16"/>
      <c r="UID42" s="16"/>
      <c r="UIE42" s="16"/>
      <c r="UIF42" s="16"/>
      <c r="UIG42" s="16"/>
      <c r="UIH42" s="16"/>
      <c r="UII42" s="16"/>
      <c r="UIJ42" s="16"/>
      <c r="UIK42" s="16"/>
      <c r="UIL42" s="16"/>
      <c r="UIM42" s="16"/>
      <c r="UIN42" s="16"/>
      <c r="UIO42" s="16"/>
      <c r="UIP42" s="16"/>
      <c r="UIQ42" s="16"/>
      <c r="UIR42" s="16"/>
      <c r="UIS42" s="16"/>
      <c r="UIT42" s="16"/>
      <c r="UIU42" s="16"/>
      <c r="UIV42" s="16"/>
      <c r="UIW42" s="16"/>
      <c r="UIX42" s="16"/>
      <c r="UIY42" s="16"/>
      <c r="UIZ42" s="16"/>
      <c r="UJA42" s="16"/>
      <c r="UJB42" s="16"/>
      <c r="UJC42" s="16"/>
      <c r="UJD42" s="16"/>
      <c r="UJE42" s="16"/>
      <c r="UJF42" s="16"/>
      <c r="UJG42" s="16"/>
      <c r="UJH42" s="16"/>
      <c r="UJI42" s="16"/>
      <c r="UJJ42" s="16"/>
      <c r="UJK42" s="16"/>
      <c r="UJL42" s="16"/>
      <c r="UJM42" s="16"/>
      <c r="UJN42" s="16"/>
      <c r="UJO42" s="16"/>
      <c r="UJP42" s="16"/>
      <c r="UJQ42" s="16"/>
      <c r="UJR42" s="16"/>
      <c r="UJS42" s="16"/>
      <c r="UJT42" s="16"/>
      <c r="UJU42" s="16"/>
      <c r="UJV42" s="16"/>
      <c r="UJW42" s="16"/>
      <c r="UJX42" s="16"/>
      <c r="UJY42" s="16"/>
      <c r="UJZ42" s="16"/>
      <c r="UKA42" s="16"/>
      <c r="UKB42" s="16"/>
      <c r="UKC42" s="16"/>
      <c r="UKD42" s="16"/>
      <c r="UKE42" s="16"/>
      <c r="UKF42" s="16"/>
      <c r="UKG42" s="16"/>
      <c r="UKH42" s="16"/>
      <c r="UKI42" s="16"/>
      <c r="UKJ42" s="16"/>
      <c r="UKK42" s="16"/>
      <c r="UKL42" s="16"/>
      <c r="UKM42" s="16"/>
      <c r="UKN42" s="16"/>
      <c r="UKO42" s="16"/>
      <c r="UKP42" s="16"/>
      <c r="UKQ42" s="16"/>
      <c r="UKR42" s="16"/>
      <c r="UKS42" s="16"/>
      <c r="UKT42" s="16"/>
      <c r="UKU42" s="16"/>
      <c r="UKV42" s="16"/>
      <c r="UKW42" s="16"/>
      <c r="UKX42" s="16"/>
      <c r="UKY42" s="16"/>
      <c r="UKZ42" s="16"/>
      <c r="ULA42" s="16"/>
      <c r="ULB42" s="16"/>
      <c r="ULC42" s="16"/>
      <c r="ULD42" s="16"/>
      <c r="ULE42" s="16"/>
      <c r="ULF42" s="16"/>
      <c r="ULG42" s="16"/>
      <c r="ULH42" s="16"/>
      <c r="ULI42" s="16"/>
      <c r="ULJ42" s="16"/>
      <c r="ULK42" s="16"/>
      <c r="ULL42" s="16"/>
      <c r="ULM42" s="16"/>
      <c r="ULN42" s="16"/>
      <c r="ULO42" s="16"/>
      <c r="ULP42" s="16"/>
      <c r="ULQ42" s="16"/>
      <c r="ULR42" s="16"/>
      <c r="ULS42" s="16"/>
      <c r="ULT42" s="16"/>
      <c r="ULU42" s="16"/>
      <c r="ULV42" s="16"/>
      <c r="ULW42" s="16"/>
      <c r="ULX42" s="16"/>
      <c r="ULY42" s="16"/>
      <c r="ULZ42" s="16"/>
      <c r="UMA42" s="16"/>
      <c r="UMB42" s="16"/>
      <c r="UMC42" s="16"/>
      <c r="UMD42" s="16"/>
      <c r="UME42" s="16"/>
      <c r="UMF42" s="16"/>
      <c r="UMG42" s="16"/>
      <c r="UMH42" s="16"/>
      <c r="UMI42" s="16"/>
      <c r="UMJ42" s="16"/>
      <c r="UMK42" s="16"/>
      <c r="UML42" s="16"/>
      <c r="UMM42" s="16"/>
      <c r="UMN42" s="16"/>
      <c r="UMO42" s="16"/>
      <c r="UMP42" s="16"/>
      <c r="UMQ42" s="16"/>
      <c r="UMR42" s="16"/>
      <c r="UMS42" s="16"/>
      <c r="UMT42" s="16"/>
      <c r="UMU42" s="16"/>
      <c r="UMV42" s="16"/>
      <c r="UMW42" s="16"/>
      <c r="UMX42" s="16"/>
      <c r="UMY42" s="16"/>
      <c r="UMZ42" s="16"/>
      <c r="UNA42" s="16"/>
      <c r="UNB42" s="16"/>
      <c r="UNC42" s="16"/>
      <c r="UND42" s="16"/>
      <c r="UNE42" s="16"/>
      <c r="UNF42" s="16"/>
      <c r="UNG42" s="16"/>
      <c r="UNH42" s="16"/>
      <c r="UNI42" s="16"/>
      <c r="UNJ42" s="16"/>
      <c r="UNK42" s="16"/>
      <c r="UNL42" s="16"/>
      <c r="UNM42" s="16"/>
      <c r="UNN42" s="16"/>
      <c r="UNO42" s="16"/>
      <c r="UNP42" s="16"/>
      <c r="UNQ42" s="16"/>
      <c r="UNR42" s="16"/>
      <c r="UNS42" s="16"/>
      <c r="UNT42" s="16"/>
      <c r="UNU42" s="16"/>
      <c r="UNV42" s="16"/>
      <c r="UNW42" s="16"/>
      <c r="UNX42" s="16"/>
      <c r="UNY42" s="16"/>
      <c r="UNZ42" s="16"/>
      <c r="UOA42" s="16"/>
      <c r="UOB42" s="16"/>
      <c r="UOC42" s="16"/>
      <c r="UOD42" s="16"/>
      <c r="UOE42" s="16"/>
      <c r="UOF42" s="16"/>
      <c r="UOG42" s="16"/>
      <c r="UOH42" s="16"/>
      <c r="UOI42" s="16"/>
      <c r="UOJ42" s="16"/>
      <c r="UOK42" s="16"/>
      <c r="UOL42" s="16"/>
      <c r="UOM42" s="16"/>
      <c r="UON42" s="16"/>
      <c r="UOO42" s="16"/>
      <c r="UOP42" s="16"/>
      <c r="UOQ42" s="16"/>
      <c r="UOR42" s="16"/>
      <c r="UOS42" s="16"/>
      <c r="UOT42" s="16"/>
      <c r="UOU42" s="16"/>
      <c r="UOV42" s="16"/>
      <c r="UOW42" s="16"/>
      <c r="UOX42" s="16"/>
      <c r="UOY42" s="16"/>
      <c r="UOZ42" s="16"/>
      <c r="UPA42" s="16"/>
      <c r="UPB42" s="16"/>
      <c r="UPC42" s="16"/>
      <c r="UPD42" s="16"/>
      <c r="UPE42" s="16"/>
      <c r="UPF42" s="16"/>
      <c r="UPG42" s="16"/>
      <c r="UPH42" s="16"/>
      <c r="UPI42" s="16"/>
      <c r="UPJ42" s="16"/>
      <c r="UPK42" s="16"/>
      <c r="UPL42" s="16"/>
      <c r="UPM42" s="16"/>
      <c r="UPN42" s="16"/>
      <c r="UPO42" s="16"/>
      <c r="UPP42" s="16"/>
      <c r="UPQ42" s="16"/>
      <c r="UPR42" s="16"/>
      <c r="UPS42" s="16"/>
      <c r="UPT42" s="16"/>
      <c r="UPU42" s="16"/>
      <c r="UPV42" s="16"/>
      <c r="UPW42" s="16"/>
      <c r="UPX42" s="16"/>
      <c r="UPY42" s="16"/>
      <c r="UPZ42" s="16"/>
      <c r="UQA42" s="16"/>
      <c r="UQB42" s="16"/>
      <c r="UQC42" s="16"/>
      <c r="UQD42" s="16"/>
      <c r="UQE42" s="16"/>
      <c r="UQF42" s="16"/>
      <c r="UQG42" s="16"/>
      <c r="UQH42" s="16"/>
      <c r="UQI42" s="16"/>
      <c r="UQJ42" s="16"/>
      <c r="UQK42" s="16"/>
      <c r="UQL42" s="16"/>
      <c r="UQM42" s="16"/>
      <c r="UQN42" s="16"/>
      <c r="UQO42" s="16"/>
      <c r="UQP42" s="16"/>
      <c r="UQQ42" s="16"/>
      <c r="UQR42" s="16"/>
      <c r="UQS42" s="16"/>
      <c r="UQT42" s="16"/>
      <c r="UQU42" s="16"/>
      <c r="UQV42" s="16"/>
      <c r="UQW42" s="16"/>
      <c r="UQX42" s="16"/>
      <c r="UQY42" s="16"/>
      <c r="UQZ42" s="16"/>
      <c r="URA42" s="16"/>
      <c r="URB42" s="16"/>
      <c r="URC42" s="16"/>
      <c r="URD42" s="16"/>
      <c r="URE42" s="16"/>
      <c r="URF42" s="16"/>
      <c r="URG42" s="16"/>
      <c r="URH42" s="16"/>
      <c r="URI42" s="16"/>
      <c r="URJ42" s="16"/>
      <c r="URK42" s="16"/>
      <c r="URL42" s="16"/>
      <c r="URM42" s="16"/>
      <c r="URN42" s="16"/>
      <c r="URO42" s="16"/>
      <c r="URP42" s="16"/>
      <c r="URQ42" s="16"/>
      <c r="URR42" s="16"/>
      <c r="URS42" s="16"/>
      <c r="URT42" s="16"/>
      <c r="URU42" s="16"/>
      <c r="URV42" s="16"/>
      <c r="URW42" s="16"/>
      <c r="URX42" s="16"/>
      <c r="URY42" s="16"/>
      <c r="URZ42" s="16"/>
      <c r="USA42" s="16"/>
      <c r="USB42" s="16"/>
      <c r="USC42" s="16"/>
      <c r="USD42" s="16"/>
      <c r="USE42" s="16"/>
      <c r="USF42" s="16"/>
      <c r="USG42" s="16"/>
      <c r="USH42" s="16"/>
      <c r="USI42" s="16"/>
      <c r="USJ42" s="16"/>
      <c r="USK42" s="16"/>
      <c r="USL42" s="16"/>
      <c r="USM42" s="16"/>
      <c r="USN42" s="16"/>
      <c r="USO42" s="16"/>
      <c r="USP42" s="16"/>
      <c r="USQ42" s="16"/>
      <c r="USR42" s="16"/>
      <c r="USS42" s="16"/>
      <c r="UST42" s="16"/>
      <c r="USU42" s="16"/>
      <c r="USV42" s="16"/>
      <c r="USW42" s="16"/>
      <c r="USX42" s="16"/>
      <c r="USY42" s="16"/>
      <c r="USZ42" s="16"/>
      <c r="UTA42" s="16"/>
      <c r="UTB42" s="16"/>
      <c r="UTC42" s="16"/>
      <c r="UTD42" s="16"/>
      <c r="UTE42" s="16"/>
      <c r="UTF42" s="16"/>
      <c r="UTG42" s="16"/>
      <c r="UTH42" s="16"/>
      <c r="UTI42" s="16"/>
      <c r="UTJ42" s="16"/>
      <c r="UTK42" s="16"/>
      <c r="UTL42" s="16"/>
      <c r="UTM42" s="16"/>
      <c r="UTN42" s="16"/>
      <c r="UTO42" s="16"/>
      <c r="UTP42" s="16"/>
      <c r="UTQ42" s="16"/>
      <c r="UTR42" s="16"/>
      <c r="UTS42" s="16"/>
      <c r="UTT42" s="16"/>
      <c r="UTU42" s="16"/>
      <c r="UTV42" s="16"/>
      <c r="UTW42" s="16"/>
      <c r="UTX42" s="16"/>
      <c r="UTY42" s="16"/>
      <c r="UTZ42" s="16"/>
      <c r="UUA42" s="16"/>
      <c r="UUB42" s="16"/>
      <c r="UUC42" s="16"/>
      <c r="UUD42" s="16"/>
      <c r="UUE42" s="16"/>
      <c r="UUF42" s="16"/>
      <c r="UUG42" s="16"/>
      <c r="UUH42" s="16"/>
      <c r="UUI42" s="16"/>
      <c r="UUJ42" s="16"/>
      <c r="UUK42" s="16"/>
      <c r="UUL42" s="16"/>
      <c r="UUM42" s="16"/>
      <c r="UUN42" s="16"/>
      <c r="UUO42" s="16"/>
      <c r="UUP42" s="16"/>
      <c r="UUQ42" s="16"/>
      <c r="UUR42" s="16"/>
      <c r="UUS42" s="16"/>
      <c r="UUT42" s="16"/>
      <c r="UUU42" s="16"/>
      <c r="UUV42" s="16"/>
      <c r="UUW42" s="16"/>
      <c r="UUX42" s="16"/>
      <c r="UUY42" s="16"/>
      <c r="UUZ42" s="16"/>
      <c r="UVA42" s="16"/>
      <c r="UVB42" s="16"/>
      <c r="UVC42" s="16"/>
      <c r="UVD42" s="16"/>
      <c r="UVE42" s="16"/>
      <c r="UVF42" s="16"/>
      <c r="UVG42" s="16"/>
      <c r="UVH42" s="16"/>
      <c r="UVI42" s="16"/>
      <c r="UVJ42" s="16"/>
      <c r="UVK42" s="16"/>
      <c r="UVL42" s="16"/>
      <c r="UVM42" s="16"/>
      <c r="UVN42" s="16"/>
      <c r="UVO42" s="16"/>
      <c r="UVP42" s="16"/>
      <c r="UVQ42" s="16"/>
      <c r="UVR42" s="16"/>
      <c r="UVS42" s="16"/>
      <c r="UVT42" s="16"/>
      <c r="UVU42" s="16"/>
      <c r="UVV42" s="16"/>
      <c r="UVW42" s="16"/>
      <c r="UVX42" s="16"/>
      <c r="UVY42" s="16"/>
      <c r="UVZ42" s="16"/>
      <c r="UWA42" s="16"/>
      <c r="UWB42" s="16"/>
      <c r="UWC42" s="16"/>
      <c r="UWD42" s="16"/>
      <c r="UWE42" s="16"/>
      <c r="UWF42" s="16"/>
      <c r="UWG42" s="16"/>
      <c r="UWH42" s="16"/>
      <c r="UWI42" s="16"/>
      <c r="UWJ42" s="16"/>
      <c r="UWK42" s="16"/>
      <c r="UWL42" s="16"/>
      <c r="UWM42" s="16"/>
      <c r="UWN42" s="16"/>
      <c r="UWO42" s="16"/>
      <c r="UWP42" s="16"/>
      <c r="UWQ42" s="16"/>
      <c r="UWR42" s="16"/>
      <c r="UWS42" s="16"/>
      <c r="UWT42" s="16"/>
      <c r="UWU42" s="16"/>
      <c r="UWV42" s="16"/>
      <c r="UWW42" s="16"/>
      <c r="UWX42" s="16"/>
      <c r="UWY42" s="16"/>
      <c r="UWZ42" s="16"/>
      <c r="UXA42" s="16"/>
      <c r="UXB42" s="16"/>
      <c r="UXC42" s="16"/>
      <c r="UXD42" s="16"/>
      <c r="UXE42" s="16"/>
      <c r="UXF42" s="16"/>
      <c r="UXG42" s="16"/>
      <c r="UXH42" s="16"/>
      <c r="UXI42" s="16"/>
      <c r="UXJ42" s="16"/>
      <c r="UXK42" s="16"/>
      <c r="UXL42" s="16"/>
      <c r="UXM42" s="16"/>
      <c r="UXN42" s="16"/>
      <c r="UXO42" s="16"/>
      <c r="UXP42" s="16"/>
      <c r="UXQ42" s="16"/>
      <c r="UXR42" s="16"/>
      <c r="UXS42" s="16"/>
      <c r="UXT42" s="16"/>
      <c r="UXU42" s="16"/>
      <c r="UXV42" s="16"/>
      <c r="UXW42" s="16"/>
      <c r="UXX42" s="16"/>
      <c r="UXY42" s="16"/>
      <c r="UXZ42" s="16"/>
      <c r="UYA42" s="16"/>
      <c r="UYB42" s="16"/>
      <c r="UYC42" s="16"/>
      <c r="UYD42" s="16"/>
      <c r="UYE42" s="16"/>
      <c r="UYF42" s="16"/>
      <c r="UYG42" s="16"/>
      <c r="UYH42" s="16"/>
      <c r="UYI42" s="16"/>
      <c r="UYJ42" s="16"/>
      <c r="UYK42" s="16"/>
      <c r="UYL42" s="16"/>
      <c r="UYM42" s="16"/>
      <c r="UYN42" s="16"/>
      <c r="UYO42" s="16"/>
      <c r="UYP42" s="16"/>
      <c r="UYQ42" s="16"/>
      <c r="UYR42" s="16"/>
      <c r="UYS42" s="16"/>
      <c r="UYT42" s="16"/>
      <c r="UYU42" s="16"/>
      <c r="UYV42" s="16"/>
      <c r="UYW42" s="16"/>
      <c r="UYX42" s="16"/>
      <c r="UYY42" s="16"/>
      <c r="UYZ42" s="16"/>
      <c r="UZA42" s="16"/>
      <c r="UZB42" s="16"/>
      <c r="UZC42" s="16"/>
      <c r="UZD42" s="16"/>
      <c r="UZE42" s="16"/>
      <c r="UZF42" s="16"/>
      <c r="UZG42" s="16"/>
      <c r="UZH42" s="16"/>
      <c r="UZI42" s="16"/>
      <c r="UZJ42" s="16"/>
      <c r="UZK42" s="16"/>
      <c r="UZL42" s="16"/>
      <c r="UZM42" s="16"/>
      <c r="UZN42" s="16"/>
      <c r="UZO42" s="16"/>
      <c r="UZP42" s="16"/>
      <c r="UZQ42" s="16"/>
      <c r="UZR42" s="16"/>
      <c r="UZS42" s="16"/>
      <c r="UZT42" s="16"/>
      <c r="UZU42" s="16"/>
      <c r="UZV42" s="16"/>
      <c r="UZW42" s="16"/>
      <c r="UZX42" s="16"/>
      <c r="UZY42" s="16"/>
      <c r="UZZ42" s="16"/>
      <c r="VAA42" s="16"/>
      <c r="VAB42" s="16"/>
      <c r="VAC42" s="16"/>
      <c r="VAD42" s="16"/>
      <c r="VAE42" s="16"/>
      <c r="VAF42" s="16"/>
      <c r="VAG42" s="16"/>
      <c r="VAH42" s="16"/>
      <c r="VAI42" s="16"/>
      <c r="VAJ42" s="16"/>
      <c r="VAK42" s="16"/>
      <c r="VAL42" s="16"/>
      <c r="VAM42" s="16"/>
      <c r="VAN42" s="16"/>
      <c r="VAO42" s="16"/>
      <c r="VAP42" s="16"/>
      <c r="VAQ42" s="16"/>
      <c r="VAR42" s="16"/>
      <c r="VAS42" s="16"/>
      <c r="VAT42" s="16"/>
      <c r="VAU42" s="16"/>
      <c r="VAV42" s="16"/>
      <c r="VAW42" s="16"/>
      <c r="VAX42" s="16"/>
      <c r="VAY42" s="16"/>
      <c r="VAZ42" s="16"/>
      <c r="VBA42" s="16"/>
      <c r="VBB42" s="16"/>
      <c r="VBC42" s="16"/>
      <c r="VBD42" s="16"/>
      <c r="VBE42" s="16"/>
      <c r="VBF42" s="16"/>
      <c r="VBG42" s="16"/>
      <c r="VBH42" s="16"/>
      <c r="VBI42" s="16"/>
      <c r="VBJ42" s="16"/>
      <c r="VBK42" s="16"/>
      <c r="VBL42" s="16"/>
      <c r="VBM42" s="16"/>
      <c r="VBN42" s="16"/>
      <c r="VBO42" s="16"/>
    </row>
    <row r="43" spans="1:14939" x14ac:dyDescent="0.25">
      <c r="B43" s="1159"/>
      <c r="C43" s="665" t="s">
        <v>70</v>
      </c>
      <c r="D43" s="682">
        <f>SUM(D45:D46)</f>
        <v>0</v>
      </c>
      <c r="E43" s="666" t="s">
        <v>14</v>
      </c>
      <c r="F43" s="631">
        <f>'[24]Januari 24'!AL39</f>
        <v>1537641</v>
      </c>
      <c r="G43" s="631">
        <f>'[30]Februari - 24'!$AL$39</f>
        <v>398670</v>
      </c>
      <c r="H43" s="631">
        <f t="shared" ref="H43:Q43" si="10">H45+H46</f>
        <v>0</v>
      </c>
      <c r="I43" s="631">
        <f>'[24]April 24'!AL39</f>
        <v>0</v>
      </c>
      <c r="J43" s="631">
        <f>'[24]Mei 24'!AL39</f>
        <v>0</v>
      </c>
      <c r="K43" s="631">
        <f t="shared" si="10"/>
        <v>0</v>
      </c>
      <c r="L43" s="631">
        <f>'[24]July 24'!AL39</f>
        <v>0</v>
      </c>
      <c r="M43" s="631">
        <f t="shared" si="10"/>
        <v>0</v>
      </c>
      <c r="N43" s="631">
        <f t="shared" si="10"/>
        <v>0</v>
      </c>
      <c r="O43" s="631">
        <f>'[24]Oktober 24'!AL39</f>
        <v>0</v>
      </c>
      <c r="P43" s="631">
        <f>'[24]November 24'!AL39</f>
        <v>0</v>
      </c>
      <c r="Q43" s="631">
        <f t="shared" si="10"/>
        <v>0</v>
      </c>
      <c r="R43" s="911"/>
      <c r="S43" s="66">
        <f>S45+S46</f>
        <v>1936311</v>
      </c>
      <c r="T43" s="859">
        <f>T45+T46</f>
        <v>24558000</v>
      </c>
      <c r="U43" s="970">
        <f t="shared" si="5"/>
        <v>7.884644515025653</v>
      </c>
      <c r="V43" s="71"/>
      <c r="W43" s="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R43" s="71"/>
      <c r="AT43" s="639"/>
      <c r="AU43" s="639"/>
      <c r="AV43" s="1"/>
      <c r="AW43" s="1"/>
      <c r="AX43" s="154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52"/>
      <c r="BY43" s="1"/>
      <c r="DA43" s="1"/>
      <c r="DF43" s="5"/>
      <c r="DG43" s="152">
        <v>2136</v>
      </c>
      <c r="DH43" s="152"/>
      <c r="DI43" s="152"/>
      <c r="DJ43" s="152"/>
      <c r="FM43" s="152"/>
      <c r="JH43" s="152"/>
      <c r="JI43" s="152"/>
      <c r="JJ43" s="152"/>
      <c r="JK43" s="152"/>
      <c r="OO43" s="152"/>
      <c r="OP43" s="152"/>
      <c r="OR43" s="152"/>
      <c r="PF43" s="155"/>
      <c r="PJ43" s="152"/>
      <c r="RM43" s="155"/>
      <c r="AGV43" s="151"/>
      <c r="AIK43" s="151"/>
      <c r="AIL43" s="151"/>
      <c r="AIM43" s="151"/>
    </row>
    <row r="44" spans="1:14939" x14ac:dyDescent="0.25">
      <c r="B44" s="1159"/>
      <c r="C44" s="665" t="s">
        <v>69</v>
      </c>
      <c r="D44" s="682"/>
      <c r="E44" s="666" t="s">
        <v>14</v>
      </c>
      <c r="F44" s="631">
        <f>'[24]Januari 24'!AL40</f>
        <v>0</v>
      </c>
      <c r="G44" s="631"/>
      <c r="H44" s="631">
        <f>'[24]Maret 24'!AL40</f>
        <v>0</v>
      </c>
      <c r="I44" s="631">
        <f>'[24]April 24'!AL40</f>
        <v>0</v>
      </c>
      <c r="J44" s="631">
        <f>'[24]Mei 24'!AL40</f>
        <v>0</v>
      </c>
      <c r="K44" s="631">
        <f>'[24]Juny 24'!AL40</f>
        <v>0</v>
      </c>
      <c r="L44" s="631">
        <f>'[24]July 24'!AL40</f>
        <v>0</v>
      </c>
      <c r="M44" s="631">
        <f>'[24]Agustus 24'!AL40</f>
        <v>0</v>
      </c>
      <c r="N44" s="631">
        <f>'[24]September 24'!AL40</f>
        <v>0</v>
      </c>
      <c r="O44" s="631">
        <f>'[24]Oktober 24'!AL40</f>
        <v>0</v>
      </c>
      <c r="P44" s="631"/>
      <c r="Q44" s="631">
        <f>'[24]Desember 24'!AL40</f>
        <v>0</v>
      </c>
      <c r="R44" s="911"/>
      <c r="S44" s="66">
        <f>SUM(F44:Q44)</f>
        <v>0</v>
      </c>
      <c r="T44" s="863">
        <f>SUM(F44:Q44)</f>
        <v>0</v>
      </c>
      <c r="U44" s="973">
        <f>SUM(H44:S44)</f>
        <v>0</v>
      </c>
      <c r="V44" s="71"/>
      <c r="W44" s="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R44" s="71"/>
      <c r="AT44" s="639"/>
      <c r="AU44" s="639"/>
      <c r="AV44" s="1"/>
      <c r="AW44" s="1"/>
      <c r="AX44" s="154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52"/>
      <c r="BY44" s="1"/>
      <c r="DA44" s="1"/>
      <c r="DF44" s="5"/>
      <c r="DG44" s="152"/>
      <c r="DH44" s="152"/>
      <c r="DI44" s="152"/>
      <c r="DJ44" s="152"/>
      <c r="FM44" s="152"/>
      <c r="JH44" s="152"/>
      <c r="JI44" s="152"/>
      <c r="JJ44" s="152"/>
      <c r="JK44" s="152"/>
      <c r="OO44" s="152"/>
      <c r="OP44" s="152"/>
      <c r="OR44" s="152"/>
      <c r="PF44" s="155"/>
      <c r="PJ44" s="152"/>
      <c r="RM44" s="155"/>
      <c r="AGV44" s="151"/>
      <c r="AIK44" s="151"/>
      <c r="AIL44" s="151"/>
      <c r="AIM44" s="151"/>
    </row>
    <row r="45" spans="1:14939" x14ac:dyDescent="0.25">
      <c r="B45" s="1159"/>
      <c r="C45" s="665" t="s">
        <v>68</v>
      </c>
      <c r="D45" s="682"/>
      <c r="E45" s="666" t="s">
        <v>14</v>
      </c>
      <c r="F45" s="631">
        <f>'[24]Januari 24'!AL41</f>
        <v>923976</v>
      </c>
      <c r="G45" s="631">
        <f>'[30]Februari - 24'!$AL$41</f>
        <v>248300</v>
      </c>
      <c r="H45" s="631">
        <f>'[24]Maret 24'!AL41</f>
        <v>0</v>
      </c>
      <c r="I45" s="631">
        <f>'[24]April 24'!AL41</f>
        <v>0</v>
      </c>
      <c r="J45" s="631">
        <f>'[24]Mei 24'!AL41</f>
        <v>0</v>
      </c>
      <c r="K45" s="631">
        <f>'[24]Juny 24'!AL41</f>
        <v>0</v>
      </c>
      <c r="L45" s="631">
        <f>'[24]July 24'!AL41</f>
        <v>0</v>
      </c>
      <c r="M45" s="631">
        <f>'[24]Agustus 24'!AL41</f>
        <v>0</v>
      </c>
      <c r="N45" s="631">
        <f>'[24]September 24'!AL41</f>
        <v>0</v>
      </c>
      <c r="O45" s="631">
        <f>'[24]Oktober 24'!AL41</f>
        <v>0</v>
      </c>
      <c r="P45" s="631">
        <f>'[24]November 24'!AL41</f>
        <v>0</v>
      </c>
      <c r="Q45" s="631">
        <f>'[24]Desember 24'!AL41</f>
        <v>0</v>
      </c>
      <c r="R45" s="911"/>
      <c r="S45" s="66">
        <f>SUM(F45:Q45)</f>
        <v>1172276</v>
      </c>
      <c r="T45" s="863">
        <v>14736000</v>
      </c>
      <c r="U45" s="970">
        <f t="shared" si="5"/>
        <v>7.9551845819761127</v>
      </c>
      <c r="V45" s="71"/>
      <c r="W45" s="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R45" s="71"/>
      <c r="AT45" s="639"/>
      <c r="AU45" s="639"/>
      <c r="AV45" s="3"/>
      <c r="AW45" s="1"/>
      <c r="AX45" s="152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52"/>
      <c r="BY45" s="1"/>
      <c r="DA45" s="1"/>
      <c r="DF45" s="5"/>
      <c r="DG45" s="152">
        <v>1796</v>
      </c>
      <c r="DH45" s="152"/>
      <c r="DI45" s="152"/>
      <c r="DJ45" s="152"/>
      <c r="FM45" s="152"/>
      <c r="JH45" s="152"/>
      <c r="JI45" s="152"/>
      <c r="JJ45" s="152"/>
      <c r="JK45" s="152"/>
      <c r="OO45" s="152"/>
      <c r="OP45" s="152"/>
      <c r="OR45" s="152"/>
      <c r="PF45" s="155"/>
      <c r="PJ45" s="152"/>
      <c r="RM45" s="155"/>
      <c r="AGV45" s="151"/>
      <c r="AIK45" s="151"/>
      <c r="AIL45" s="151"/>
      <c r="AIM45" s="151"/>
    </row>
    <row r="46" spans="1:14939" x14ac:dyDescent="0.25">
      <c r="B46" s="1159"/>
      <c r="C46" s="665" t="s">
        <v>67</v>
      </c>
      <c r="D46" s="682"/>
      <c r="E46" s="666" t="s">
        <v>14</v>
      </c>
      <c r="F46" s="631">
        <f>'[24]Januari 24'!AL42</f>
        <v>613665</v>
      </c>
      <c r="G46" s="631">
        <f>'[30]Februari - 24'!$AL$42</f>
        <v>150370</v>
      </c>
      <c r="H46" s="631">
        <f>'[24]Maret 24'!AL42</f>
        <v>0</v>
      </c>
      <c r="I46" s="631">
        <f>'[24]April 24'!AL42</f>
        <v>0</v>
      </c>
      <c r="J46" s="631">
        <f>'[24]Mei 24'!AL42</f>
        <v>0</v>
      </c>
      <c r="K46" s="631">
        <f>'[24]Juny 24'!AL42</f>
        <v>0</v>
      </c>
      <c r="L46" s="631">
        <f>'[24]July 24'!AL42</f>
        <v>0</v>
      </c>
      <c r="M46" s="631">
        <f>'[24]Agustus 24'!AL42</f>
        <v>0</v>
      </c>
      <c r="N46" s="631">
        <f>'[24]September 24'!AL42</f>
        <v>0</v>
      </c>
      <c r="O46" s="631">
        <f>'[24]Oktober 24'!AL42</f>
        <v>0</v>
      </c>
      <c r="P46" s="631">
        <f>'[24]November 24'!AL42</f>
        <v>0</v>
      </c>
      <c r="Q46" s="631">
        <f>'[24]Desember 24'!AL42</f>
        <v>0</v>
      </c>
      <c r="R46" s="911"/>
      <c r="S46" s="66">
        <f>SUM(F46:Q46)</f>
        <v>764035</v>
      </c>
      <c r="T46" s="863">
        <v>9822000</v>
      </c>
      <c r="U46" s="970">
        <f>S46/T46*100</f>
        <v>7.7788128690694363</v>
      </c>
      <c r="V46" s="71"/>
      <c r="W46" s="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R46" s="71"/>
      <c r="AT46" s="639"/>
      <c r="AU46" s="639"/>
      <c r="AV46" s="3"/>
      <c r="AW46" s="1"/>
      <c r="AX46" s="156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52"/>
      <c r="BY46" s="1"/>
      <c r="DA46" s="1"/>
      <c r="DF46" s="5"/>
      <c r="DG46" s="152">
        <f>DG43/DG45*100</f>
        <v>118.93095768374164</v>
      </c>
      <c r="DH46" s="152"/>
      <c r="DI46" s="152"/>
      <c r="DJ46" s="152"/>
      <c r="FM46" s="152"/>
      <c r="JH46" s="152"/>
      <c r="JI46" s="152"/>
      <c r="JJ46" s="152"/>
      <c r="JK46" s="152"/>
      <c r="OO46" s="152"/>
      <c r="OP46" s="152"/>
      <c r="OR46" s="152"/>
      <c r="PF46" s="155"/>
      <c r="PJ46" s="152"/>
      <c r="RM46" s="155"/>
      <c r="AGV46" s="151"/>
      <c r="AIK46" s="151"/>
      <c r="AIL46" s="151"/>
      <c r="AIM46" s="151"/>
    </row>
    <row r="47" spans="1:14939" s="699" customFormat="1" x14ac:dyDescent="0.25">
      <c r="B47" s="1159"/>
      <c r="C47" s="11" t="s">
        <v>114</v>
      </c>
      <c r="D47" s="700"/>
      <c r="E47" s="701"/>
      <c r="F47" s="705">
        <f>'[24]Januari 24'!AL43</f>
        <v>17.423640322580646</v>
      </c>
      <c r="G47" s="705">
        <f>'[30]Februari - 24'!$AL$43</f>
        <v>13.04905322580645</v>
      </c>
      <c r="H47" s="705">
        <f>'[24]Maret 24'!AL43</f>
        <v>2.8945161290322581</v>
      </c>
      <c r="I47" s="705">
        <f>'[24]April 24'!AL43</f>
        <v>0</v>
      </c>
      <c r="J47" s="705">
        <f>'[26]Mei - 24'!$AL$44</f>
        <v>0</v>
      </c>
      <c r="K47" s="705">
        <f>'[27]Juni - 24'!$AL$44</f>
        <v>12.523845161290323</v>
      </c>
      <c r="L47" s="706">
        <f>(L38+L34+L29+L25)/(60000000)</f>
        <v>0.19476771666666667</v>
      </c>
      <c r="M47" s="706">
        <f t="shared" ref="M47:Q47" si="11">(M38+M34+M29+M25)/(60000000)</f>
        <v>0.4010126</v>
      </c>
      <c r="N47" s="706">
        <f t="shared" si="11"/>
        <v>0</v>
      </c>
      <c r="O47" s="706">
        <f t="shared" si="11"/>
        <v>0</v>
      </c>
      <c r="P47" s="706">
        <f t="shared" si="11"/>
        <v>0</v>
      </c>
      <c r="Q47" s="706">
        <f t="shared" si="11"/>
        <v>0</v>
      </c>
      <c r="R47" s="912"/>
      <c r="S47" s="93">
        <f>+AVERAGE(F47:O47)</f>
        <v>4.6486835155376349</v>
      </c>
      <c r="T47" s="868"/>
      <c r="U47" s="974"/>
      <c r="V47" s="71"/>
      <c r="W47" s="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R47" s="71"/>
      <c r="AT47" s="1002"/>
      <c r="AU47" s="1002"/>
      <c r="AV47" s="388"/>
      <c r="AW47" s="71"/>
      <c r="AX47" s="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V47" s="71"/>
      <c r="BW47" s="71"/>
      <c r="BX47" s="153"/>
      <c r="BY47" s="71"/>
      <c r="DA47" s="71"/>
      <c r="DF47" s="703"/>
      <c r="DG47" s="153"/>
      <c r="DH47" s="153"/>
      <c r="DI47" s="153"/>
      <c r="DJ47" s="153"/>
      <c r="FM47" s="153"/>
      <c r="JH47" s="153"/>
      <c r="JI47" s="153"/>
      <c r="JJ47" s="153"/>
      <c r="JK47" s="153"/>
      <c r="OO47" s="153"/>
      <c r="OP47" s="153"/>
      <c r="OR47" s="153"/>
      <c r="PF47" s="162"/>
      <c r="PJ47" s="153"/>
      <c r="RM47" s="162"/>
      <c r="AGV47" s="153"/>
      <c r="AIK47" s="153"/>
      <c r="AIL47" s="153"/>
      <c r="AIM47" s="153"/>
    </row>
    <row r="48" spans="1:14939" s="699" customFormat="1" x14ac:dyDescent="0.25">
      <c r="B48" s="1159"/>
      <c r="C48" s="11" t="s">
        <v>374</v>
      </c>
      <c r="D48" s="700"/>
      <c r="E48" s="701"/>
      <c r="F48" s="705">
        <f>(F43+F38+F34+F30+F26)/F49*100</f>
        <v>53.914268304115495</v>
      </c>
      <c r="G48" s="705">
        <f t="shared" ref="G48:Q48" si="12">(G43+G38+G34+G30+G26)/G49*100</f>
        <v>13.116556569641233</v>
      </c>
      <c r="H48" s="705">
        <f t="shared" si="12"/>
        <v>4.8445092322643344</v>
      </c>
      <c r="I48" s="705"/>
      <c r="J48" s="705">
        <f t="shared" si="12"/>
        <v>0</v>
      </c>
      <c r="K48" s="705">
        <f t="shared" si="12"/>
        <v>22.670784367894381</v>
      </c>
      <c r="L48" s="705">
        <f t="shared" si="12"/>
        <v>34.514749091231003</v>
      </c>
      <c r="M48" s="705">
        <f>(M43+M38+M34+M30+M25)/M49*100</f>
        <v>70.250017386770963</v>
      </c>
      <c r="N48" s="705">
        <f t="shared" si="12"/>
        <v>0</v>
      </c>
      <c r="O48" s="705">
        <f t="shared" si="12"/>
        <v>0</v>
      </c>
      <c r="P48" s="705">
        <f t="shared" si="12"/>
        <v>0</v>
      </c>
      <c r="Q48" s="705">
        <f t="shared" si="12"/>
        <v>0</v>
      </c>
      <c r="R48" s="912"/>
      <c r="S48" s="93">
        <f t="shared" ref="S48" si="13">+AVERAGE(F48:O48)</f>
        <v>22.14565388354638</v>
      </c>
      <c r="T48" s="868"/>
      <c r="U48" s="974"/>
      <c r="V48" s="71"/>
      <c r="W48" s="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R48" s="71"/>
      <c r="AT48" s="1002"/>
      <c r="AU48" s="1002"/>
      <c r="AV48" s="388"/>
      <c r="AW48" s="71"/>
      <c r="AX48" s="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V48" s="71"/>
      <c r="BW48" s="71"/>
      <c r="BX48" s="153"/>
      <c r="BY48" s="71"/>
      <c r="DA48" s="71"/>
      <c r="DF48" s="703"/>
      <c r="DG48" s="153"/>
      <c r="DH48" s="153"/>
      <c r="DI48" s="153"/>
      <c r="DJ48" s="153"/>
      <c r="FM48" s="153"/>
      <c r="JH48" s="153"/>
      <c r="JI48" s="153"/>
      <c r="JJ48" s="153"/>
      <c r="JK48" s="153"/>
      <c r="OO48" s="153"/>
      <c r="OP48" s="153"/>
      <c r="OR48" s="153"/>
      <c r="PF48" s="162"/>
      <c r="PJ48" s="153"/>
      <c r="RM48" s="162"/>
      <c r="AGV48" s="153"/>
      <c r="AIK48" s="153"/>
      <c r="AIL48" s="153"/>
      <c r="AIM48" s="153"/>
    </row>
    <row r="49" spans="2:923" s="699" customFormat="1" x14ac:dyDescent="0.25">
      <c r="B49" s="1159"/>
      <c r="C49" s="11" t="s">
        <v>375</v>
      </c>
      <c r="D49" s="700"/>
      <c r="E49" s="701"/>
      <c r="F49" s="932">
        <v>10667000</v>
      </c>
      <c r="G49" s="932">
        <v>42841000</v>
      </c>
      <c r="H49" s="932">
        <v>37044000</v>
      </c>
      <c r="I49" s="932"/>
      <c r="J49" s="932">
        <f>'[26]Mei - 24'!$D$19</f>
        <v>34250178</v>
      </c>
      <c r="K49" s="932">
        <f>'[27]Juni - 24'!$D$19</f>
        <v>34250178</v>
      </c>
      <c r="L49" s="932">
        <f>'[27]Juni - 24'!$D$19</f>
        <v>34250178</v>
      </c>
      <c r="M49" s="932">
        <f>'[27]Juni - 24'!$D$19</f>
        <v>34250178</v>
      </c>
      <c r="N49" s="705">
        <f>'[27]Juni - 24'!$D$19</f>
        <v>34250178</v>
      </c>
      <c r="O49" s="705">
        <f>'[27]Juni - 24'!$D$19</f>
        <v>34250178</v>
      </c>
      <c r="P49" s="705">
        <f>'[27]Juni - 24'!$D$19</f>
        <v>34250178</v>
      </c>
      <c r="Q49" s="705">
        <f>'[27]Juni - 24'!$D$19</f>
        <v>34250178</v>
      </c>
      <c r="R49" s="912"/>
      <c r="S49" s="707">
        <f>SUM(F49:O49)</f>
        <v>296053068</v>
      </c>
      <c r="T49" s="868"/>
      <c r="U49" s="974"/>
      <c r="V49" s="71"/>
      <c r="W49" s="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R49" s="71"/>
      <c r="AT49" s="1002"/>
      <c r="AU49" s="1002"/>
      <c r="AV49" s="388"/>
      <c r="AW49" s="71"/>
      <c r="AX49" s="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V49" s="71"/>
      <c r="BW49" s="71"/>
      <c r="BX49" s="153"/>
      <c r="BY49" s="71"/>
      <c r="DA49" s="71"/>
      <c r="DF49" s="703"/>
      <c r="DG49" s="153"/>
      <c r="DH49" s="153"/>
      <c r="DI49" s="153"/>
      <c r="DJ49" s="153"/>
      <c r="FM49" s="153"/>
      <c r="JH49" s="153"/>
      <c r="JI49" s="153"/>
      <c r="JJ49" s="153"/>
      <c r="JK49" s="153"/>
      <c r="OO49" s="153"/>
      <c r="OP49" s="153"/>
      <c r="OR49" s="153"/>
      <c r="PF49" s="162"/>
      <c r="PJ49" s="153"/>
      <c r="RM49" s="162"/>
      <c r="AGV49" s="153"/>
      <c r="AIK49" s="153"/>
      <c r="AIL49" s="153"/>
      <c r="AIM49" s="153"/>
    </row>
    <row r="50" spans="2:923" x14ac:dyDescent="0.25">
      <c r="B50" s="1159"/>
      <c r="C50" s="708" t="s">
        <v>66</v>
      </c>
      <c r="D50" s="85"/>
      <c r="E50" s="85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911"/>
      <c r="S50" s="906" t="s">
        <v>129</v>
      </c>
      <c r="T50" s="869" t="s">
        <v>129</v>
      </c>
      <c r="U50" s="975" t="s">
        <v>129</v>
      </c>
      <c r="V50" s="71"/>
      <c r="W50" s="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R50" s="7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"/>
      <c r="BY50" s="1"/>
      <c r="CF50" s="1" t="s">
        <v>223</v>
      </c>
      <c r="DA50" s="1"/>
      <c r="OP50" s="151">
        <v>678</v>
      </c>
    </row>
    <row r="51" spans="2:923" x14ac:dyDescent="0.25">
      <c r="B51" s="1159"/>
      <c r="C51" s="710" t="s">
        <v>65</v>
      </c>
      <c r="D51" s="650">
        <v>94.2</v>
      </c>
      <c r="E51" s="701" t="s">
        <v>25</v>
      </c>
      <c r="F51" s="711">
        <f t="shared" ref="F51:Q51" si="14">(F19/(F11))*100</f>
        <v>94.537593327246256</v>
      </c>
      <c r="G51" s="627">
        <f t="shared" si="14"/>
        <v>94.281617778941538</v>
      </c>
      <c r="H51" s="627">
        <f t="shared" si="14"/>
        <v>94.870709880681062</v>
      </c>
      <c r="I51" s="627" t="e">
        <f t="shared" si="14"/>
        <v>#DIV/0!</v>
      </c>
      <c r="J51" s="627" t="e">
        <f t="shared" si="14"/>
        <v>#DIV/0!</v>
      </c>
      <c r="K51" s="627">
        <f t="shared" si="14"/>
        <v>94.544904150811391</v>
      </c>
      <c r="L51" s="627">
        <f t="shared" si="14"/>
        <v>90.001937359460953</v>
      </c>
      <c r="M51" s="627">
        <f t="shared" si="14"/>
        <v>95.997637480592928</v>
      </c>
      <c r="N51" s="627" t="e">
        <f t="shared" si="14"/>
        <v>#DIV/0!</v>
      </c>
      <c r="O51" s="627" t="e">
        <f t="shared" si="14"/>
        <v>#DIV/0!</v>
      </c>
      <c r="P51" s="627" t="e">
        <f t="shared" si="14"/>
        <v>#DIV/0!</v>
      </c>
      <c r="Q51" s="627" t="e">
        <f t="shared" si="14"/>
        <v>#DIV/0!</v>
      </c>
      <c r="R51" s="912"/>
      <c r="S51" s="712">
        <f>(S19/(S11))*100</f>
        <v>93.992159863092141</v>
      </c>
      <c r="T51" s="713">
        <f>(T19/(T11))*100</f>
        <v>94.769966822822482</v>
      </c>
      <c r="U51" s="976"/>
      <c r="V51" s="1012"/>
      <c r="W51" s="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R51" s="7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"/>
      <c r="BY51" s="1"/>
      <c r="DA51" s="1"/>
      <c r="OP51" s="151">
        <v>420</v>
      </c>
      <c r="OR51" s="668">
        <f>OP51/OP50*100</f>
        <v>61.946902654867252</v>
      </c>
    </row>
    <row r="52" spans="2:923" x14ac:dyDescent="0.25">
      <c r="B52" s="1159"/>
      <c r="C52" s="710" t="s">
        <v>64</v>
      </c>
      <c r="D52" s="650">
        <v>5</v>
      </c>
      <c r="E52" s="701" t="s">
        <v>25</v>
      </c>
      <c r="F52" s="711">
        <f t="shared" ref="F52:Q52" si="15">(F20/(F11))*100</f>
        <v>4.777311844384835</v>
      </c>
      <c r="G52" s="627">
        <f t="shared" si="15"/>
        <v>5.0597452638229523</v>
      </c>
      <c r="H52" s="627">
        <f t="shared" si="15"/>
        <v>4.447002588509493</v>
      </c>
      <c r="I52" s="627" t="e">
        <f t="shared" si="15"/>
        <v>#DIV/0!</v>
      </c>
      <c r="J52" s="627" t="e">
        <f t="shared" si="15"/>
        <v>#DIV/0!</v>
      </c>
      <c r="K52" s="627">
        <f t="shared" si="15"/>
        <v>4.8500653644601215</v>
      </c>
      <c r="L52" s="627">
        <f t="shared" si="15"/>
        <v>4.4613156077341589</v>
      </c>
      <c r="M52" s="627">
        <f t="shared" si="15"/>
        <v>4.1059370412586302</v>
      </c>
      <c r="N52" s="627" t="e">
        <f t="shared" si="15"/>
        <v>#DIV/0!</v>
      </c>
      <c r="O52" s="627" t="e">
        <f t="shared" si="15"/>
        <v>#DIV/0!</v>
      </c>
      <c r="P52" s="627" t="e">
        <f t="shared" si="15"/>
        <v>#DIV/0!</v>
      </c>
      <c r="Q52" s="627" t="e">
        <f t="shared" si="15"/>
        <v>#DIV/0!</v>
      </c>
      <c r="R52" s="912"/>
      <c r="S52" s="712">
        <f>(S20/(S11))*100</f>
        <v>4.5417824568504894</v>
      </c>
      <c r="T52" s="713">
        <f>(T20/(T11))*100</f>
        <v>4.5147541139225487</v>
      </c>
      <c r="U52" s="976"/>
      <c r="V52" s="1012"/>
      <c r="W52" s="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R52" s="7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V52" s="1"/>
      <c r="BW52" s="1"/>
      <c r="BX52" s="1"/>
      <c r="BY52" s="1"/>
      <c r="DA52" s="1"/>
      <c r="OP52" s="151">
        <f>OP50-OP51</f>
        <v>258</v>
      </c>
      <c r="OR52" s="668">
        <f>OP52/OP50*100</f>
        <v>38.053097345132741</v>
      </c>
    </row>
    <row r="53" spans="2:923" x14ac:dyDescent="0.25">
      <c r="B53" s="1159"/>
      <c r="C53" s="710" t="s">
        <v>63</v>
      </c>
      <c r="D53" s="650">
        <v>82</v>
      </c>
      <c r="E53" s="701" t="s">
        <v>25</v>
      </c>
      <c r="F53" s="711">
        <f t="shared" ref="F53:Q53" si="16">(F26/F25)*100</f>
        <v>83.343365213977492</v>
      </c>
      <c r="G53" s="627">
        <f t="shared" si="16"/>
        <v>83.685979829938688</v>
      </c>
      <c r="H53" s="627" t="e">
        <f t="shared" si="16"/>
        <v>#DIV/0!</v>
      </c>
      <c r="I53" s="627" t="e">
        <f t="shared" si="16"/>
        <v>#DIV/0!</v>
      </c>
      <c r="J53" s="627" t="e">
        <f t="shared" si="16"/>
        <v>#DIV/0!</v>
      </c>
      <c r="K53" s="627" t="e">
        <f t="shared" si="16"/>
        <v>#DIV/0!</v>
      </c>
      <c r="L53" s="627" t="e">
        <f t="shared" si="16"/>
        <v>#DIV/0!</v>
      </c>
      <c r="M53" s="627">
        <f>M26/(M26+M27)*100</f>
        <v>82.049419646987658</v>
      </c>
      <c r="N53" s="627" t="e">
        <f t="shared" si="16"/>
        <v>#DIV/0!</v>
      </c>
      <c r="O53" s="627" t="e">
        <f t="shared" si="16"/>
        <v>#DIV/0!</v>
      </c>
      <c r="P53" s="627" t="e">
        <f t="shared" si="16"/>
        <v>#DIV/0!</v>
      </c>
      <c r="Q53" s="627" t="e">
        <f t="shared" si="16"/>
        <v>#DIV/0!</v>
      </c>
      <c r="R53" s="912"/>
      <c r="S53" s="712">
        <f>(S26/S25)*100</f>
        <v>82.25939639802958</v>
      </c>
      <c r="T53" s="713">
        <f>(T26/T25)*100</f>
        <v>82.036627687232993</v>
      </c>
      <c r="U53" s="976"/>
      <c r="V53" s="1012"/>
      <c r="W53" s="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R53" s="7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V53" s="1"/>
      <c r="BW53" s="1"/>
      <c r="BX53" s="1"/>
      <c r="BY53" s="1"/>
      <c r="DA53" s="1"/>
    </row>
    <row r="54" spans="2:923" x14ac:dyDescent="0.25">
      <c r="B54" s="1159"/>
      <c r="C54" s="710" t="s">
        <v>62</v>
      </c>
      <c r="D54" s="650">
        <v>18</v>
      </c>
      <c r="E54" s="701" t="s">
        <v>25</v>
      </c>
      <c r="F54" s="711">
        <f t="shared" ref="F54:Q54" si="17">(F27/F25)*100</f>
        <v>16.656634786022508</v>
      </c>
      <c r="G54" s="627">
        <f t="shared" si="17"/>
        <v>16.314020170061301</v>
      </c>
      <c r="H54" s="627" t="e">
        <f t="shared" si="17"/>
        <v>#DIV/0!</v>
      </c>
      <c r="I54" s="627" t="e">
        <f t="shared" si="17"/>
        <v>#DIV/0!</v>
      </c>
      <c r="J54" s="627" t="e">
        <f t="shared" si="17"/>
        <v>#DIV/0!</v>
      </c>
      <c r="K54" s="627" t="e">
        <f t="shared" si="17"/>
        <v>#DIV/0!</v>
      </c>
      <c r="L54" s="627" t="e">
        <f t="shared" si="17"/>
        <v>#DIV/0!</v>
      </c>
      <c r="M54" s="627">
        <f>M27/(M27+M26)*100</f>
        <v>17.950580353012345</v>
      </c>
      <c r="N54" s="627" t="e">
        <f t="shared" si="17"/>
        <v>#DIV/0!</v>
      </c>
      <c r="O54" s="627" t="e">
        <f t="shared" si="17"/>
        <v>#DIV/0!</v>
      </c>
      <c r="P54" s="627" t="e">
        <f t="shared" si="17"/>
        <v>#DIV/0!</v>
      </c>
      <c r="Q54" s="627" t="e">
        <f t="shared" si="17"/>
        <v>#DIV/0!</v>
      </c>
      <c r="R54" s="912"/>
      <c r="S54" s="712">
        <f>(S27/S25)*100</f>
        <v>17.74060360197042</v>
      </c>
      <c r="T54" s="713">
        <f>(T27/T25)*100</f>
        <v>17.963372312767007</v>
      </c>
      <c r="U54" s="976"/>
      <c r="V54" s="1012"/>
      <c r="W54" s="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R54" s="7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V54" s="1"/>
      <c r="BW54" s="1"/>
      <c r="BX54" s="1"/>
      <c r="BY54" s="1"/>
      <c r="DA54" s="1"/>
    </row>
    <row r="55" spans="2:923" x14ac:dyDescent="0.25">
      <c r="B55" s="1159"/>
      <c r="C55" s="710" t="s">
        <v>107</v>
      </c>
      <c r="D55" s="714">
        <v>75</v>
      </c>
      <c r="E55" s="701" t="s">
        <v>25</v>
      </c>
      <c r="F55" s="627">
        <f t="shared" ref="F55:Q55" si="18">(F30/F29)*100</f>
        <v>78.878780366969167</v>
      </c>
      <c r="G55" s="627">
        <f t="shared" si="18"/>
        <v>71.680253771769571</v>
      </c>
      <c r="H55" s="627" t="e">
        <f t="shared" si="18"/>
        <v>#DIV/0!</v>
      </c>
      <c r="I55" s="627" t="e">
        <f t="shared" si="18"/>
        <v>#DIV/0!</v>
      </c>
      <c r="J55" s="627" t="e">
        <f t="shared" si="18"/>
        <v>#DIV/0!</v>
      </c>
      <c r="K55" s="627" t="e">
        <f t="shared" si="18"/>
        <v>#DIV/0!</v>
      </c>
      <c r="L55" s="627" t="e">
        <f t="shared" si="18"/>
        <v>#DIV/0!</v>
      </c>
      <c r="M55" s="627" t="e">
        <f t="shared" si="18"/>
        <v>#DIV/0!</v>
      </c>
      <c r="N55" s="627" t="e">
        <f t="shared" si="18"/>
        <v>#DIV/0!</v>
      </c>
      <c r="O55" s="627" t="e">
        <f t="shared" si="18"/>
        <v>#DIV/0!</v>
      </c>
      <c r="P55" s="627" t="e">
        <f t="shared" si="18"/>
        <v>#DIV/0!</v>
      </c>
      <c r="Q55" s="627" t="e">
        <f t="shared" si="18"/>
        <v>#DIV/0!</v>
      </c>
      <c r="R55" s="912"/>
      <c r="S55" s="712">
        <f>(S30/S29)*100</f>
        <v>73.705371550088159</v>
      </c>
      <c r="T55" s="713">
        <v>75</v>
      </c>
      <c r="U55" s="976"/>
      <c r="V55" s="1012"/>
      <c r="W55" s="324"/>
      <c r="X55" s="1007"/>
      <c r="Y55" s="1007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R55" s="7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V55" s="1"/>
      <c r="BW55" s="1"/>
      <c r="BX55" s="1"/>
      <c r="BY55" s="1"/>
      <c r="DA55" s="1"/>
    </row>
    <row r="56" spans="2:923" x14ac:dyDescent="0.25">
      <c r="B56" s="1159"/>
      <c r="C56" s="710" t="s">
        <v>62</v>
      </c>
      <c r="D56" s="714">
        <v>25</v>
      </c>
      <c r="E56" s="701" t="s">
        <v>25</v>
      </c>
      <c r="F56" s="627">
        <f t="shared" ref="F56:Q56" si="19">(F31/F29)*100</f>
        <v>21.121219633030833</v>
      </c>
      <c r="G56" s="627">
        <f t="shared" si="19"/>
        <v>28.319746228230418</v>
      </c>
      <c r="H56" s="627" t="e">
        <f t="shared" si="19"/>
        <v>#DIV/0!</v>
      </c>
      <c r="I56" s="627" t="e">
        <f t="shared" si="19"/>
        <v>#DIV/0!</v>
      </c>
      <c r="J56" s="627" t="e">
        <f t="shared" si="19"/>
        <v>#DIV/0!</v>
      </c>
      <c r="K56" s="627" t="e">
        <f t="shared" si="19"/>
        <v>#DIV/0!</v>
      </c>
      <c r="L56" s="627" t="e">
        <f t="shared" si="19"/>
        <v>#DIV/0!</v>
      </c>
      <c r="M56" s="627" t="e">
        <f t="shared" si="19"/>
        <v>#DIV/0!</v>
      </c>
      <c r="N56" s="627" t="e">
        <f t="shared" si="19"/>
        <v>#DIV/0!</v>
      </c>
      <c r="O56" s="627" t="e">
        <f t="shared" si="19"/>
        <v>#DIV/0!</v>
      </c>
      <c r="P56" s="627" t="e">
        <f t="shared" si="19"/>
        <v>#DIV/0!</v>
      </c>
      <c r="Q56" s="627" t="e">
        <f t="shared" si="19"/>
        <v>#DIV/0!</v>
      </c>
      <c r="R56" s="912"/>
      <c r="S56" s="712">
        <f>(S31/S29)*100</f>
        <v>26.294628449911841</v>
      </c>
      <c r="T56" s="713">
        <v>25</v>
      </c>
      <c r="U56" s="976"/>
      <c r="V56" s="1012"/>
      <c r="W56" s="324"/>
      <c r="X56" s="1007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R56" s="7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"/>
      <c r="BY56" s="1"/>
      <c r="DA56" s="1"/>
    </row>
    <row r="57" spans="2:923" x14ac:dyDescent="0.25">
      <c r="B57" s="1159"/>
      <c r="C57" s="710" t="s">
        <v>109</v>
      </c>
      <c r="D57" s="650">
        <v>75</v>
      </c>
      <c r="E57" s="701" t="s">
        <v>25</v>
      </c>
      <c r="F57" s="627" t="e">
        <f t="shared" ref="F57:Q57" si="20">F35/F34*100</f>
        <v>#DIV/0!</v>
      </c>
      <c r="G57" s="627" t="e">
        <f t="shared" si="20"/>
        <v>#DIV/0!</v>
      </c>
      <c r="H57" s="627">
        <f t="shared" si="20"/>
        <v>75.204214896142147</v>
      </c>
      <c r="I57" s="627" t="e">
        <f t="shared" si="20"/>
        <v>#DIV/0!</v>
      </c>
      <c r="J57" s="627" t="e">
        <f t="shared" si="20"/>
        <v>#DIV/0!</v>
      </c>
      <c r="K57" s="627" t="e">
        <f t="shared" si="20"/>
        <v>#DIV/0!</v>
      </c>
      <c r="L57" s="627" t="e">
        <f t="shared" si="20"/>
        <v>#DIV/0!</v>
      </c>
      <c r="M57" s="627" t="e">
        <f t="shared" si="20"/>
        <v>#DIV/0!</v>
      </c>
      <c r="N57" s="627" t="e">
        <f t="shared" si="20"/>
        <v>#DIV/0!</v>
      </c>
      <c r="O57" s="627" t="e">
        <f t="shared" si="20"/>
        <v>#DIV/0!</v>
      </c>
      <c r="P57" s="627" t="e">
        <f t="shared" si="20"/>
        <v>#DIV/0!</v>
      </c>
      <c r="Q57" s="627" t="e">
        <f t="shared" si="20"/>
        <v>#DIV/0!</v>
      </c>
      <c r="R57" s="912" t="s">
        <v>223</v>
      </c>
      <c r="S57" s="712">
        <f>(S35/S34)*100</f>
        <v>75.204214896142147</v>
      </c>
      <c r="T57" s="713">
        <v>75</v>
      </c>
      <c r="U57" s="976"/>
      <c r="V57" s="1012"/>
      <c r="W57" s="150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R57" s="7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V57" s="1"/>
      <c r="BW57" s="1"/>
      <c r="BX57" s="1"/>
      <c r="BY57" s="1"/>
      <c r="DA57" s="1"/>
    </row>
    <row r="58" spans="2:923" x14ac:dyDescent="0.25">
      <c r="B58" s="1159"/>
      <c r="C58" s="710" t="s">
        <v>62</v>
      </c>
      <c r="D58" s="650">
        <v>25</v>
      </c>
      <c r="E58" s="701" t="s">
        <v>25</v>
      </c>
      <c r="F58" s="627" t="e">
        <f t="shared" ref="F58:Q58" si="21">F36/F34*100</f>
        <v>#DIV/0!</v>
      </c>
      <c r="G58" s="627" t="e">
        <f t="shared" si="21"/>
        <v>#DIV/0!</v>
      </c>
      <c r="H58" s="627">
        <f t="shared" si="21"/>
        <v>24.795785103857863</v>
      </c>
      <c r="I58" s="627" t="e">
        <f t="shared" si="21"/>
        <v>#DIV/0!</v>
      </c>
      <c r="J58" s="627" t="e">
        <f t="shared" si="21"/>
        <v>#DIV/0!</v>
      </c>
      <c r="K58" s="627" t="e">
        <f t="shared" si="21"/>
        <v>#DIV/0!</v>
      </c>
      <c r="L58" s="627" t="e">
        <f t="shared" si="21"/>
        <v>#DIV/0!</v>
      </c>
      <c r="M58" s="627" t="e">
        <f t="shared" si="21"/>
        <v>#DIV/0!</v>
      </c>
      <c r="N58" s="627" t="e">
        <f t="shared" si="21"/>
        <v>#DIV/0!</v>
      </c>
      <c r="O58" s="627" t="e">
        <f t="shared" si="21"/>
        <v>#DIV/0!</v>
      </c>
      <c r="P58" s="627" t="e">
        <f t="shared" si="21"/>
        <v>#DIV/0!</v>
      </c>
      <c r="Q58" s="627" t="e">
        <f t="shared" si="21"/>
        <v>#DIV/0!</v>
      </c>
      <c r="R58" s="713"/>
      <c r="S58" s="712">
        <f>(S36/S34)*100</f>
        <v>24.795785103857863</v>
      </c>
      <c r="T58" s="713">
        <v>25</v>
      </c>
      <c r="U58" s="976"/>
      <c r="V58" s="1012"/>
      <c r="W58" s="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R58" s="7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DA58" s="1"/>
      <c r="FN58" s="1">
        <v>95.03</v>
      </c>
    </row>
    <row r="59" spans="2:923" x14ac:dyDescent="0.25">
      <c r="B59" s="1159"/>
      <c r="C59" s="710" t="s">
        <v>112</v>
      </c>
      <c r="D59" s="650">
        <v>70</v>
      </c>
      <c r="E59" s="701" t="s">
        <v>25</v>
      </c>
      <c r="F59" s="627" t="e">
        <f t="shared" ref="F59:O59" si="22">(F39/F38)*100</f>
        <v>#DIV/0!</v>
      </c>
      <c r="G59" s="627" t="e">
        <f t="shared" si="22"/>
        <v>#DIV/0!</v>
      </c>
      <c r="H59" s="627">
        <f t="shared" si="22"/>
        <v>67.524050365957223</v>
      </c>
      <c r="I59" s="627" t="e">
        <f t="shared" si="22"/>
        <v>#DIV/0!</v>
      </c>
      <c r="J59" s="627" t="e">
        <f t="shared" si="22"/>
        <v>#DIV/0!</v>
      </c>
      <c r="K59" s="627">
        <f t="shared" si="22"/>
        <v>70.815298918810882</v>
      </c>
      <c r="L59" s="627">
        <f>'[28]Juli - 2024 ( Revisi )'!$AL$51</f>
        <v>70.680524643702526</v>
      </c>
      <c r="M59" s="627">
        <f>'Agustus - 2024'!AN57</f>
        <v>71.075444754193811</v>
      </c>
      <c r="N59" s="627" t="e">
        <f t="shared" si="22"/>
        <v>#DIV/0!</v>
      </c>
      <c r="O59" s="627" t="e">
        <f t="shared" si="22"/>
        <v>#DIV/0!</v>
      </c>
      <c r="P59" s="627"/>
      <c r="Q59" s="627" t="e">
        <f>(Q39/Q38)*100</f>
        <v>#DIV/0!</v>
      </c>
      <c r="R59" s="713"/>
      <c r="S59" s="712">
        <f>(S39/S38)*100</f>
        <v>70.677419817111513</v>
      </c>
      <c r="T59" s="713">
        <v>70</v>
      </c>
      <c r="U59" s="976"/>
      <c r="V59" s="1012"/>
      <c r="W59" s="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R59" s="7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  <c r="FN59" s="1"/>
    </row>
    <row r="60" spans="2:923" x14ac:dyDescent="0.25">
      <c r="B60" s="1159"/>
      <c r="C60" s="710" t="s">
        <v>62</v>
      </c>
      <c r="D60" s="650">
        <v>30</v>
      </c>
      <c r="E60" s="701" t="s">
        <v>25</v>
      </c>
      <c r="F60" s="627" t="e">
        <f t="shared" ref="F60:O60" si="23">(F40/F38)*100</f>
        <v>#DIV/0!</v>
      </c>
      <c r="G60" s="627" t="e">
        <f t="shared" si="23"/>
        <v>#DIV/0!</v>
      </c>
      <c r="H60" s="627">
        <f t="shared" si="23"/>
        <v>32.475949634042777</v>
      </c>
      <c r="I60" s="627" t="e">
        <f t="shared" si="23"/>
        <v>#DIV/0!</v>
      </c>
      <c r="J60" s="627" t="e">
        <f t="shared" si="23"/>
        <v>#DIV/0!</v>
      </c>
      <c r="K60" s="627">
        <f t="shared" si="23"/>
        <v>29.184701081189125</v>
      </c>
      <c r="L60" s="627">
        <f>'[28]Juli - 2024 ( Revisi )'!$AL$52</f>
        <v>29.319475356297481</v>
      </c>
      <c r="M60" s="627">
        <f>'Agustus - 2024'!AN58</f>
        <v>28.924555245806182</v>
      </c>
      <c r="N60" s="627" t="e">
        <f t="shared" si="23"/>
        <v>#DIV/0!</v>
      </c>
      <c r="O60" s="627" t="e">
        <f t="shared" si="23"/>
        <v>#DIV/0!</v>
      </c>
      <c r="P60" s="627"/>
      <c r="Q60" s="627" t="e">
        <f>(Q40/Q38)*100</f>
        <v>#DIV/0!</v>
      </c>
      <c r="R60" s="713"/>
      <c r="S60" s="712">
        <f>(S40/S38)*100</f>
        <v>29.32258018288848</v>
      </c>
      <c r="T60" s="713">
        <v>30</v>
      </c>
      <c r="U60" s="976"/>
      <c r="V60" s="1012"/>
      <c r="W60" s="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R60" s="7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  <c r="FN60" s="1"/>
    </row>
    <row r="61" spans="2:923" x14ac:dyDescent="0.25">
      <c r="B61" s="1159"/>
      <c r="C61" s="710" t="s">
        <v>61</v>
      </c>
      <c r="D61" s="650">
        <v>60</v>
      </c>
      <c r="E61" s="701" t="s">
        <v>25</v>
      </c>
      <c r="F61" s="711">
        <f t="shared" ref="F61:Q61" si="24">F45/F43*100</f>
        <v>60.090489262448123</v>
      </c>
      <c r="G61" s="627">
        <f t="shared" si="24"/>
        <v>62.282087942408502</v>
      </c>
      <c r="H61" s="627" t="e">
        <f t="shared" si="24"/>
        <v>#DIV/0!</v>
      </c>
      <c r="I61" s="627" t="e">
        <f t="shared" si="24"/>
        <v>#DIV/0!</v>
      </c>
      <c r="J61" s="627" t="e">
        <f t="shared" si="24"/>
        <v>#DIV/0!</v>
      </c>
      <c r="K61" s="627" t="e">
        <f t="shared" si="24"/>
        <v>#DIV/0!</v>
      </c>
      <c r="L61" s="627" t="e">
        <f t="shared" si="24"/>
        <v>#DIV/0!</v>
      </c>
      <c r="M61" s="627" t="e">
        <f t="shared" si="24"/>
        <v>#DIV/0!</v>
      </c>
      <c r="N61" s="627" t="e">
        <f t="shared" si="24"/>
        <v>#DIV/0!</v>
      </c>
      <c r="O61" s="627" t="e">
        <f t="shared" si="24"/>
        <v>#DIV/0!</v>
      </c>
      <c r="P61" s="627" t="e">
        <f t="shared" si="24"/>
        <v>#DIV/0!</v>
      </c>
      <c r="Q61" s="627" t="e">
        <f t="shared" si="24"/>
        <v>#DIV/0!</v>
      </c>
      <c r="R61" s="912"/>
      <c r="S61" s="712">
        <f>(S45/S43)*100</f>
        <v>60.541720828937088</v>
      </c>
      <c r="T61" s="713">
        <f>T45/T43*100</f>
        <v>60.00488639139995</v>
      </c>
      <c r="U61" s="976"/>
      <c r="V61" s="1012"/>
      <c r="W61" s="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R61" s="7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  <c r="FN61" s="1">
        <v>4.2300000000000004</v>
      </c>
      <c r="OR61" s="151">
        <f>OR62/94.2%</f>
        <v>1307.8556263269638</v>
      </c>
      <c r="OS61" s="1" t="s">
        <v>376</v>
      </c>
    </row>
    <row r="62" spans="2:923" x14ac:dyDescent="0.25">
      <c r="B62" s="1160"/>
      <c r="C62" s="710" t="s">
        <v>60</v>
      </c>
      <c r="D62" s="650">
        <v>40</v>
      </c>
      <c r="E62" s="701" t="s">
        <v>25</v>
      </c>
      <c r="F62" s="711">
        <f t="shared" ref="F62:Q62" si="25">F46/F43*100</f>
        <v>39.909510737551877</v>
      </c>
      <c r="G62" s="627">
        <f t="shared" si="25"/>
        <v>37.717912057591491</v>
      </c>
      <c r="H62" s="627" t="e">
        <f t="shared" si="25"/>
        <v>#DIV/0!</v>
      </c>
      <c r="I62" s="627" t="e">
        <f t="shared" si="25"/>
        <v>#DIV/0!</v>
      </c>
      <c r="J62" s="627" t="e">
        <f t="shared" si="25"/>
        <v>#DIV/0!</v>
      </c>
      <c r="K62" s="627" t="e">
        <f t="shared" si="25"/>
        <v>#DIV/0!</v>
      </c>
      <c r="L62" s="627" t="e">
        <f t="shared" si="25"/>
        <v>#DIV/0!</v>
      </c>
      <c r="M62" s="627" t="e">
        <f t="shared" si="25"/>
        <v>#DIV/0!</v>
      </c>
      <c r="N62" s="627" t="e">
        <f t="shared" si="25"/>
        <v>#DIV/0!</v>
      </c>
      <c r="O62" s="627" t="e">
        <f t="shared" si="25"/>
        <v>#DIV/0!</v>
      </c>
      <c r="P62" s="627" t="e">
        <f t="shared" si="25"/>
        <v>#DIV/0!</v>
      </c>
      <c r="Q62" s="627" t="e">
        <f t="shared" si="25"/>
        <v>#DIV/0!</v>
      </c>
      <c r="R62" s="713"/>
      <c r="S62" s="715">
        <f>(S46/S43)*100</f>
        <v>39.458279171062912</v>
      </c>
      <c r="T62" s="713">
        <f>T46/T43*100</f>
        <v>39.99511360860005</v>
      </c>
      <c r="U62" s="977"/>
      <c r="V62" s="1012"/>
      <c r="W62" s="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R62" s="7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  <c r="FN62" s="1">
        <f>100-FN58-FN61</f>
        <v>0.73999999999999844</v>
      </c>
      <c r="OR62" s="151">
        <f>22*56</f>
        <v>1232</v>
      </c>
      <c r="OS62" s="1" t="s">
        <v>377</v>
      </c>
    </row>
    <row r="63" spans="2:923" x14ac:dyDescent="0.25">
      <c r="B63" s="1158">
        <v>3</v>
      </c>
      <c r="C63" s="716" t="s">
        <v>59</v>
      </c>
      <c r="D63" s="85"/>
      <c r="E63" s="85"/>
      <c r="F63" s="58"/>
      <c r="G63" s="56"/>
      <c r="H63" s="717"/>
      <c r="I63" s="56"/>
      <c r="J63" s="56"/>
      <c r="K63" s="56"/>
      <c r="L63" s="56"/>
      <c r="M63" s="56"/>
      <c r="N63" s="56"/>
      <c r="O63" s="56"/>
      <c r="P63" s="56"/>
      <c r="Q63" s="56"/>
      <c r="R63" s="911"/>
      <c r="S63" s="788" t="s">
        <v>130</v>
      </c>
      <c r="T63" s="870" t="s">
        <v>130</v>
      </c>
      <c r="U63" s="978" t="s">
        <v>130</v>
      </c>
      <c r="V63" s="71"/>
      <c r="W63" s="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R63" s="71"/>
      <c r="AT63" s="1"/>
      <c r="AU63" s="1"/>
      <c r="AV63" s="1"/>
      <c r="AW63" s="1"/>
      <c r="AX63" s="3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51"/>
      <c r="BT63" s="1"/>
      <c r="BV63" s="1"/>
      <c r="BW63" s="1"/>
      <c r="BX63" s="1"/>
      <c r="BY63" s="1"/>
      <c r="DA63" s="1"/>
      <c r="OR63" s="151">
        <f>16.5*OR61</f>
        <v>21579.617834394903</v>
      </c>
    </row>
    <row r="64" spans="2:923" x14ac:dyDescent="0.25">
      <c r="B64" s="1159"/>
      <c r="C64" s="649" t="s">
        <v>58</v>
      </c>
      <c r="D64" s="650">
        <v>8</v>
      </c>
      <c r="E64" s="683" t="s">
        <v>56</v>
      </c>
      <c r="F64" s="718">
        <f>'[24]Januari 24'!AL58</f>
        <v>128586</v>
      </c>
      <c r="G64" s="626">
        <f>'[30]Februari - 24'!$AL$58</f>
        <v>148066</v>
      </c>
      <c r="H64" s="719">
        <f>'[24]Maret 24'!AL58</f>
        <v>29654</v>
      </c>
      <c r="I64" s="626">
        <f>'[25]April - 24'!$AK$59</f>
        <v>0</v>
      </c>
      <c r="J64" s="626">
        <f>'[26]Mei - 24'!$AL$59</f>
        <v>0</v>
      </c>
      <c r="K64" s="626">
        <f>'[27]Juni - 24'!$AL$59</f>
        <v>88126</v>
      </c>
      <c r="L64" s="626">
        <f>'[28]Juli - 2024 ( Revisi )'!$AL$56</f>
        <v>162476</v>
      </c>
      <c r="M64" s="626">
        <f>'Agustus - 2024'!AN62</f>
        <v>256409</v>
      </c>
      <c r="N64" s="626">
        <f>'[24]September 24'!AL58</f>
        <v>0</v>
      </c>
      <c r="O64" s="626">
        <f>'[24]Oktober 24'!AL58</f>
        <v>0</v>
      </c>
      <c r="P64" s="626">
        <f>'[24]November 24'!AL58</f>
        <v>0</v>
      </c>
      <c r="Q64" s="626">
        <f>'[24]Desember 24'!AL58</f>
        <v>0</v>
      </c>
      <c r="R64" s="911"/>
      <c r="S64" s="637">
        <f>SUM(F64:Q64)</f>
        <v>813317</v>
      </c>
      <c r="T64" s="860">
        <v>2767753</v>
      </c>
      <c r="U64" s="970">
        <f>S64/T64*100</f>
        <v>29.38546178072971</v>
      </c>
      <c r="V64" s="71"/>
      <c r="W64" s="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R64" s="71"/>
      <c r="AT64" s="1"/>
      <c r="AU64" s="1"/>
      <c r="AV64" s="1"/>
      <c r="AW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51"/>
      <c r="BT64" s="1"/>
      <c r="BV64" s="1"/>
      <c r="BW64" s="1"/>
      <c r="BX64" s="1"/>
      <c r="BY64" s="1"/>
      <c r="DA64" s="1"/>
    </row>
    <row r="65" spans="2:936" x14ac:dyDescent="0.25">
      <c r="B65" s="1159"/>
      <c r="C65" s="720"/>
      <c r="D65" s="663"/>
      <c r="E65" s="683" t="s">
        <v>25</v>
      </c>
      <c r="F65" s="711">
        <f>'[24]Januari 24'!AL59</f>
        <v>1.2503461047274416</v>
      </c>
      <c r="G65" s="627">
        <f t="shared" ref="G65:L65" si="26">G64/(G12)*100</f>
        <v>1.3601743162497901</v>
      </c>
      <c r="H65" s="627">
        <f t="shared" si="26"/>
        <v>1.0253964352272298</v>
      </c>
      <c r="I65" s="627" t="e">
        <f t="shared" si="26"/>
        <v>#DIV/0!</v>
      </c>
      <c r="J65" s="627" t="e">
        <f t="shared" si="26"/>
        <v>#DIV/0!</v>
      </c>
      <c r="K65" s="627">
        <f t="shared" si="26"/>
        <v>0.98804603990035011</v>
      </c>
      <c r="L65" s="627">
        <f t="shared" si="26"/>
        <v>1.0157289957319953</v>
      </c>
      <c r="M65" s="627">
        <f>M64/(M11)*100</f>
        <v>1.1111806417284995</v>
      </c>
      <c r="N65" s="627" t="e">
        <f>N64/(N12)*100</f>
        <v>#DIV/0!</v>
      </c>
      <c r="O65" s="627" t="e">
        <f>O64/(O12)*100</f>
        <v>#DIV/0!</v>
      </c>
      <c r="P65" s="627" t="e">
        <f>P64/(P12)*100</f>
        <v>#DIV/0!</v>
      </c>
      <c r="Q65" s="627" t="e">
        <f>Q64/(Q12)*100</f>
        <v>#DIV/0!</v>
      </c>
      <c r="R65" s="911"/>
      <c r="S65" s="712">
        <f>S64/(S11)*100</f>
        <v>1.0880944923087053</v>
      </c>
      <c r="T65" s="871">
        <v>0.8</v>
      </c>
      <c r="U65" s="979">
        <v>0</v>
      </c>
      <c r="V65" s="1007"/>
      <c r="W65" s="1"/>
      <c r="X65" s="71"/>
      <c r="Y65" s="71"/>
      <c r="Z65" s="1007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R65" s="71"/>
      <c r="AT65" s="1"/>
      <c r="AU65" s="1"/>
      <c r="AV65" s="1"/>
      <c r="AW65" s="1"/>
      <c r="AX65" s="150">
        <f>S65*10</f>
        <v>10.880944923087053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4"/>
      <c r="BT65" s="1"/>
      <c r="BV65" s="1"/>
      <c r="BW65" s="1"/>
      <c r="BX65" s="1"/>
      <c r="BY65" s="1"/>
      <c r="DA65" s="1"/>
      <c r="FN65" s="668" t="e">
        <f>#REF!*10</f>
        <v>#REF!</v>
      </c>
      <c r="OO65" s="668"/>
      <c r="OR65" s="151">
        <f>OR61+(S42/1000)</f>
        <v>3351.3387541404163</v>
      </c>
      <c r="OS65" s="151" t="s">
        <v>378</v>
      </c>
    </row>
    <row r="66" spans="2:936" x14ac:dyDescent="0.25">
      <c r="B66" s="1159"/>
      <c r="C66" s="721" t="s">
        <v>57</v>
      </c>
      <c r="D66" s="722">
        <v>16</v>
      </c>
      <c r="E66" s="723" t="s">
        <v>56</v>
      </c>
      <c r="F66" s="724">
        <f>'[24]Januari 24'!AL60</f>
        <v>25923</v>
      </c>
      <c r="G66" s="725">
        <f>'[30]Februari - 24'!$AL$60</f>
        <v>15015</v>
      </c>
      <c r="H66" s="726">
        <f>'[24]Maret 24'!AL60</f>
        <v>2901</v>
      </c>
      <c r="I66" s="725">
        <f>'[24]April 24'!AL60</f>
        <v>0</v>
      </c>
      <c r="J66" s="725">
        <f>'[24]Mei 24'!AL60</f>
        <v>0</v>
      </c>
      <c r="K66" s="725">
        <f>'[24]Juny 24'!AL60</f>
        <v>0</v>
      </c>
      <c r="L66" s="725">
        <f>'[28]Juli - 2024 ( Revisi )'!$AL$58</f>
        <v>0</v>
      </c>
      <c r="M66" s="725">
        <f>'Agustus - 2024'!AN64</f>
        <v>2930</v>
      </c>
      <c r="N66" s="725">
        <f>'[24]September 24'!AL60</f>
        <v>0</v>
      </c>
      <c r="O66" s="725">
        <f>'[24]Oktober 24'!AL60</f>
        <v>0</v>
      </c>
      <c r="P66" s="725">
        <f>'[24]November 24'!AL60</f>
        <v>0</v>
      </c>
      <c r="Q66" s="725">
        <f>'[24]Desember 24'!AL60</f>
        <v>0</v>
      </c>
      <c r="R66" s="911"/>
      <c r="S66" s="727">
        <f>SUM(F66:Q66)</f>
        <v>46769</v>
      </c>
      <c r="T66" s="872">
        <v>1357284</v>
      </c>
      <c r="U66" s="970">
        <f>S66/T66*100</f>
        <v>3.4457784811432246</v>
      </c>
      <c r="V66" s="71"/>
      <c r="W66" s="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R66" s="71"/>
      <c r="AT66" s="620"/>
      <c r="AU66" s="620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51"/>
      <c r="BY66" s="1"/>
      <c r="DA66" s="1"/>
      <c r="DF66" s="5"/>
      <c r="DG66" s="151"/>
      <c r="DH66" s="151"/>
      <c r="DI66" s="151"/>
      <c r="DJ66" s="151"/>
      <c r="FM66" s="151"/>
      <c r="FN66" s="668"/>
      <c r="JH66" s="151"/>
      <c r="JI66" s="151"/>
      <c r="JJ66" s="151"/>
      <c r="JK66" s="151"/>
      <c r="OO66" s="151"/>
      <c r="OP66" s="151"/>
      <c r="OR66" s="151">
        <f>OR63+S66</f>
        <v>68348.6178343949</v>
      </c>
      <c r="OS66" s="151" t="s">
        <v>379</v>
      </c>
      <c r="PF66" s="668"/>
      <c r="PJ66" s="151"/>
      <c r="RM66" s="668"/>
      <c r="AGV66" s="151"/>
      <c r="AIK66" s="151"/>
      <c r="AIL66" s="151"/>
      <c r="AIM66" s="151"/>
    </row>
    <row r="67" spans="2:936" x14ac:dyDescent="0.25">
      <c r="B67" s="1159"/>
      <c r="C67" s="728"/>
      <c r="D67" s="729"/>
      <c r="E67" s="730" t="s">
        <v>25</v>
      </c>
      <c r="F67" s="731">
        <f>'[24]Januari 24'!AL61</f>
        <v>1.5981564323182909</v>
      </c>
      <c r="G67" s="732">
        <f t="shared" ref="G67:Q67" si="27">G66/(G13)*100</f>
        <v>1.7429299763806896</v>
      </c>
      <c r="H67" s="732">
        <f t="shared" si="27"/>
        <v>1.3749509860024054</v>
      </c>
      <c r="I67" s="732" t="e">
        <f t="shared" si="27"/>
        <v>#DIV/0!</v>
      </c>
      <c r="J67" s="732" t="e">
        <f t="shared" si="27"/>
        <v>#DIV/0!</v>
      </c>
      <c r="K67" s="732" t="e">
        <f t="shared" si="27"/>
        <v>#DIV/0!</v>
      </c>
      <c r="L67" s="732" t="e">
        <f t="shared" si="27"/>
        <v>#DIV/0!</v>
      </c>
      <c r="M67" s="732">
        <f t="shared" si="27"/>
        <v>1.586399198678903</v>
      </c>
      <c r="N67" s="732" t="e">
        <f t="shared" si="27"/>
        <v>#DIV/0!</v>
      </c>
      <c r="O67" s="732" t="e">
        <f t="shared" si="27"/>
        <v>#DIV/0!</v>
      </c>
      <c r="P67" s="732" t="e">
        <f t="shared" si="27"/>
        <v>#DIV/0!</v>
      </c>
      <c r="Q67" s="732" t="e">
        <f t="shared" si="27"/>
        <v>#DIV/0!</v>
      </c>
      <c r="R67" s="911"/>
      <c r="S67" s="901">
        <f>S66/(S13)*100</f>
        <v>1.62436285831335</v>
      </c>
      <c r="T67" s="873">
        <v>1.8</v>
      </c>
      <c r="U67" s="980">
        <v>0</v>
      </c>
      <c r="V67" s="1007"/>
      <c r="W67" s="1"/>
      <c r="X67" s="71"/>
      <c r="Y67" s="71"/>
      <c r="Z67" s="1007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R67" s="71"/>
      <c r="AT67" s="620"/>
      <c r="AU67" s="620"/>
      <c r="AV67" s="1"/>
      <c r="AW67" s="1"/>
      <c r="AX67" s="150">
        <f>S67*10</f>
        <v>16.2436285831335</v>
      </c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4"/>
      <c r="BT67" s="1"/>
      <c r="BV67" s="1"/>
      <c r="BW67" s="1"/>
      <c r="BX67" s="151"/>
      <c r="BY67" s="1"/>
      <c r="DA67" s="1"/>
      <c r="DF67" s="5"/>
      <c r="DG67" s="151"/>
      <c r="DH67" s="151"/>
      <c r="DI67" s="151"/>
      <c r="DJ67" s="151"/>
      <c r="FM67" s="151"/>
      <c r="FN67" s="668"/>
      <c r="JH67" s="151"/>
      <c r="JI67" s="151"/>
      <c r="JJ67" s="151"/>
      <c r="JK67" s="151"/>
      <c r="OO67" s="668"/>
      <c r="OP67" s="151"/>
      <c r="OR67" s="733">
        <f>OR66/OR65</f>
        <v>20.394422303610312</v>
      </c>
      <c r="OS67" s="734" t="s">
        <v>256</v>
      </c>
      <c r="PF67" s="668"/>
      <c r="PJ67" s="151"/>
      <c r="RM67" s="668"/>
      <c r="AGV67" s="151"/>
      <c r="AIK67" s="151"/>
      <c r="AIL67" s="151"/>
      <c r="AIM67" s="151"/>
    </row>
    <row r="68" spans="2:936" x14ac:dyDescent="0.25">
      <c r="B68" s="1159"/>
      <c r="C68" s="649" t="s">
        <v>55</v>
      </c>
      <c r="D68" s="650">
        <v>0.55000000000000004</v>
      </c>
      <c r="E68" s="683" t="s">
        <v>14</v>
      </c>
      <c r="F68" s="718">
        <f>'[24]Januari 24'!AL62</f>
        <v>6664.8560000000007</v>
      </c>
      <c r="G68" s="626">
        <f>'[30]Februari - 24'!$AL$62</f>
        <v>6551.9319999999989</v>
      </c>
      <c r="H68" s="719">
        <f>'[24]Maret 24'!AL62</f>
        <v>1744.336</v>
      </c>
      <c r="I68" s="626">
        <f>'[25]April - 24'!$AK$63</f>
        <v>0</v>
      </c>
      <c r="J68" s="626">
        <f>'[26]Mei - 24'!$AL$63</f>
        <v>0</v>
      </c>
      <c r="K68" s="626">
        <f>'[27]Juni - 24'!$AL$63</f>
        <v>4040.197999999999</v>
      </c>
      <c r="L68" s="626">
        <f>'[28]Juli - 2024 ( Revisi )'!$AL$60</f>
        <v>7823.7820000000002</v>
      </c>
      <c r="M68" s="626">
        <f>'Agustus - 2024'!AN66</f>
        <v>11739.24</v>
      </c>
      <c r="N68" s="626">
        <f>'[24]September 24'!AL62</f>
        <v>0</v>
      </c>
      <c r="O68" s="626">
        <f>'[24]Oktober 24'!AL62</f>
        <v>0</v>
      </c>
      <c r="P68" s="626">
        <f>'[24]November 24'!AL62</f>
        <v>0</v>
      </c>
      <c r="Q68" s="626">
        <f>'[24]Desember 24'!AL62</f>
        <v>0</v>
      </c>
      <c r="R68" s="911"/>
      <c r="S68" s="727">
        <f>SUM(F68:Q68)</f>
        <v>38564.343999999997</v>
      </c>
      <c r="T68" s="872">
        <v>252824</v>
      </c>
      <c r="U68" s="981">
        <f>SUM(H68:S68)</f>
        <v>63911.899999999994</v>
      </c>
      <c r="V68" s="703"/>
      <c r="W68" s="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R68" s="71"/>
      <c r="AT68" s="1"/>
      <c r="AU68" s="1"/>
      <c r="AV68" s="1"/>
      <c r="AW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V68" s="1"/>
      <c r="BW68" s="1"/>
      <c r="BX68" s="1"/>
      <c r="BY68" s="1"/>
      <c r="DA68" s="1"/>
      <c r="FN68" s="668"/>
      <c r="OR68" s="668">
        <v>16</v>
      </c>
      <c r="OS68" s="1" t="s">
        <v>380</v>
      </c>
    </row>
    <row r="69" spans="2:936" x14ac:dyDescent="0.25">
      <c r="B69" s="1160"/>
      <c r="C69" s="735"/>
      <c r="D69" s="663"/>
      <c r="E69" s="736" t="s">
        <v>25</v>
      </c>
      <c r="F69" s="737">
        <f>'[24]Januari 24'!AL63</f>
        <v>5.597855013514514E-2</v>
      </c>
      <c r="G69" s="738">
        <f t="shared" ref="G69:L69" si="28">G68/(G11)*100</f>
        <v>5.577398227387062E-2</v>
      </c>
      <c r="H69" s="738">
        <f t="shared" si="28"/>
        <v>5.6215516619055966E-2</v>
      </c>
      <c r="I69" s="738" t="e">
        <f t="shared" si="28"/>
        <v>#DIV/0!</v>
      </c>
      <c r="J69" s="738" t="e">
        <f t="shared" si="28"/>
        <v>#DIV/0!</v>
      </c>
      <c r="K69" s="738">
        <f t="shared" si="28"/>
        <v>4.5297660557761771E-2</v>
      </c>
      <c r="L69" s="738">
        <f t="shared" si="28"/>
        <v>4.8910868273997765E-2</v>
      </c>
      <c r="M69" s="738">
        <f>'Agustus - 2024'!AN67</f>
        <v>5.087347260277475E-2</v>
      </c>
      <c r="N69" s="738" t="e">
        <f>N68/(N11)*100</f>
        <v>#DIV/0!</v>
      </c>
      <c r="O69" s="738" t="e">
        <f>O68/(O11)*100</f>
        <v>#DIV/0!</v>
      </c>
      <c r="P69" s="738" t="e">
        <f>P68/(P11)*100</f>
        <v>#DIV/0!</v>
      </c>
      <c r="Q69" s="738" t="e">
        <f>Q68/(Q11)*100</f>
        <v>#DIV/0!</v>
      </c>
      <c r="R69" s="914"/>
      <c r="S69" s="320">
        <f>S68/(S11+71450)*100</f>
        <v>5.1543958615825822E-2</v>
      </c>
      <c r="T69" s="874">
        <v>0.06</v>
      </c>
      <c r="U69" s="982">
        <f>U68/(U11+71450)*100</f>
        <v>89.449602976453093</v>
      </c>
      <c r="V69" s="71"/>
      <c r="W69" s="1"/>
      <c r="X69" s="71"/>
      <c r="Y69" s="71"/>
      <c r="Z69" s="1007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R69" s="71"/>
      <c r="AT69" s="1"/>
      <c r="AU69" s="1"/>
      <c r="AV69" s="1"/>
      <c r="AW69" s="1"/>
      <c r="AX69" s="150">
        <f>S69*10</f>
        <v>0.51543958615825824</v>
      </c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V69" s="1"/>
      <c r="BW69" s="1"/>
      <c r="BX69" s="1"/>
      <c r="BY69" s="1"/>
      <c r="DA69" s="1"/>
      <c r="FN69" s="668" t="e">
        <f>P69*10</f>
        <v>#DIV/0!</v>
      </c>
      <c r="OO69" s="668"/>
      <c r="OR69" s="668">
        <f>OR67-OR68</f>
        <v>4.3944223036103125</v>
      </c>
      <c r="OS69" s="1" t="s">
        <v>381</v>
      </c>
    </row>
    <row r="70" spans="2:936" x14ac:dyDescent="0.25">
      <c r="B70" s="915">
        <v>4</v>
      </c>
      <c r="C70" s="739" t="s">
        <v>382</v>
      </c>
      <c r="D70" s="740">
        <v>0.8</v>
      </c>
      <c r="E70" s="686" t="s">
        <v>25</v>
      </c>
      <c r="F70" s="741">
        <f t="shared" ref="F70:Q70" si="29">((SUM(F19:F20))-(SUM(F11)))/(SUM(F11))*100</f>
        <v>-0.68509482836891278</v>
      </c>
      <c r="G70" s="742">
        <f t="shared" si="29"/>
        <v>-0.6586369572355022</v>
      </c>
      <c r="H70" s="742">
        <f t="shared" si="29"/>
        <v>-0.68228753080945059</v>
      </c>
      <c r="I70" s="742" t="e">
        <f t="shared" si="29"/>
        <v>#DIV/0!</v>
      </c>
      <c r="J70" s="742" t="e">
        <f t="shared" si="29"/>
        <v>#DIV/0!</v>
      </c>
      <c r="K70" s="742">
        <f t="shared" si="29"/>
        <v>-0.6050304847284852</v>
      </c>
      <c r="L70" s="742">
        <f t="shared" si="29"/>
        <v>-5.5367470328048913</v>
      </c>
      <c r="M70" s="742">
        <f t="shared" si="29"/>
        <v>0.10357452185156785</v>
      </c>
      <c r="N70" s="742" t="e">
        <f t="shared" si="29"/>
        <v>#DIV/0!</v>
      </c>
      <c r="O70" s="742" t="e">
        <f t="shared" si="29"/>
        <v>#DIV/0!</v>
      </c>
      <c r="P70" s="742" t="e">
        <f t="shared" si="29"/>
        <v>#DIV/0!</v>
      </c>
      <c r="Q70" s="742" t="e">
        <f t="shared" si="29"/>
        <v>#DIV/0!</v>
      </c>
      <c r="R70" s="916"/>
      <c r="S70" s="321">
        <f>((SUM(S19:S20))-(SUM(S11)))/(SUM(S11))*100</f>
        <v>-1.4660576800573748</v>
      </c>
      <c r="T70" s="875">
        <f>((SUM(T19:T20))-(SUM(T11)))/(SUM(T11))*100</f>
        <v>-0.71527906325497059</v>
      </c>
      <c r="U70" s="968">
        <f>S70/T70*100</f>
        <v>204.96303546001866</v>
      </c>
      <c r="V70" s="1012"/>
      <c r="W70" s="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R70" s="71"/>
      <c r="AT70" s="1002"/>
      <c r="AU70" s="1002"/>
      <c r="AV70" s="1"/>
      <c r="AW70" s="1"/>
      <c r="AX70" s="147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V70" s="1"/>
      <c r="BW70" s="1"/>
      <c r="BX70" s="153"/>
      <c r="BY70" s="1"/>
      <c r="DA70" s="1"/>
      <c r="DF70" s="703"/>
      <c r="DG70" s="153"/>
      <c r="DH70" s="153"/>
      <c r="DI70" s="153"/>
      <c r="DJ70" s="153"/>
      <c r="FM70" s="153"/>
      <c r="JH70" s="153"/>
      <c r="JI70" s="153"/>
      <c r="JJ70" s="153"/>
      <c r="JK70" s="153"/>
      <c r="OO70" s="153"/>
      <c r="OP70" s="153"/>
      <c r="OR70" s="668"/>
      <c r="PF70" s="162"/>
      <c r="PJ70" s="153"/>
      <c r="RM70" s="162"/>
      <c r="AGV70" s="153"/>
      <c r="AIK70" s="153"/>
      <c r="AIL70" s="153"/>
      <c r="AIM70" s="153"/>
    </row>
    <row r="71" spans="2:936" x14ac:dyDescent="0.25">
      <c r="B71" s="917"/>
      <c r="C71" s="710" t="s">
        <v>54</v>
      </c>
      <c r="D71" s="743">
        <v>22</v>
      </c>
      <c r="E71" s="701" t="s">
        <v>25</v>
      </c>
      <c r="F71" s="627">
        <f>'[31]Januari - 24'!$AL$65</f>
        <v>21.923529411764708</v>
      </c>
      <c r="G71" s="627">
        <f>'[30]Februari - 24'!$AL$65</f>
        <v>21.991000000000003</v>
      </c>
      <c r="H71" s="627">
        <f>'[24]Maret 24'!AL65</f>
        <v>21.957999999999998</v>
      </c>
      <c r="I71" s="627">
        <f>'[25]April - 24'!$AK$66</f>
        <v>0</v>
      </c>
      <c r="J71" s="627">
        <f>'[26]Mei - 24'!$AL$66</f>
        <v>0</v>
      </c>
      <c r="K71" s="627">
        <f>'[27]Juni - 24'!$AL$66</f>
        <v>21.886470588235294</v>
      </c>
      <c r="L71" s="627">
        <f>'[28]Juli - 2024 ( Revisi )'!$AL$64</f>
        <v>21.912727272727277</v>
      </c>
      <c r="M71" s="627">
        <f>'Agustus - 2024'!AN70</f>
        <v>21.70071428571428</v>
      </c>
      <c r="N71" s="627" t="e">
        <f>'[24]September 24'!AK62</f>
        <v>#REF!</v>
      </c>
      <c r="O71" s="627"/>
      <c r="P71" s="627" t="e">
        <f>'[24]November 24'!AL65</f>
        <v>#DIV/0!</v>
      </c>
      <c r="Q71" s="627" t="e">
        <f>'[24]Desember 24'!AL65</f>
        <v>#DIV/0!</v>
      </c>
      <c r="R71" s="912"/>
      <c r="S71" s="93">
        <f>AVERAGE(F71:L71)</f>
        <v>15.667389610389611</v>
      </c>
      <c r="T71" s="876">
        <v>22</v>
      </c>
      <c r="U71" s="974" t="e">
        <f>AVERAGE(H71:S71)</f>
        <v>#REF!</v>
      </c>
      <c r="V71" s="71"/>
      <c r="W71" s="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R71" s="71"/>
      <c r="AT71" s="1002"/>
      <c r="AU71" s="1002"/>
      <c r="AV71" s="1"/>
      <c r="AW71" s="1"/>
      <c r="AX71" s="7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V71" s="1"/>
      <c r="BW71" s="1"/>
      <c r="BX71" s="153"/>
      <c r="BY71" s="1"/>
      <c r="DA71" s="1"/>
      <c r="DF71" s="703"/>
      <c r="DG71" s="153"/>
      <c r="DH71" s="153"/>
      <c r="DI71" s="153"/>
      <c r="DJ71" s="153"/>
      <c r="FM71" s="153"/>
      <c r="JH71" s="153"/>
      <c r="JI71" s="153"/>
      <c r="JJ71" s="153"/>
      <c r="JK71" s="153"/>
      <c r="OO71" s="153"/>
      <c r="OP71" s="153"/>
      <c r="OR71" s="153"/>
      <c r="PF71" s="162"/>
      <c r="PJ71" s="153"/>
      <c r="RM71" s="162"/>
      <c r="AGV71" s="153"/>
      <c r="AIK71" s="153"/>
      <c r="AIL71" s="153"/>
      <c r="AIM71" s="153"/>
    </row>
    <row r="72" spans="2:936" x14ac:dyDescent="0.25">
      <c r="B72" s="918"/>
      <c r="C72" s="744" t="s">
        <v>53</v>
      </c>
      <c r="D72" s="663"/>
      <c r="E72" s="745" t="s">
        <v>14</v>
      </c>
      <c r="F72" s="627">
        <f t="shared" ref="F72:Q72" si="30">SUM(F64,F66)+(F71%*SUM(F64,F66))</f>
        <v>188382.82605882353</v>
      </c>
      <c r="G72" s="627">
        <f t="shared" si="30"/>
        <v>198944.14270999999</v>
      </c>
      <c r="H72" s="627">
        <f t="shared" si="30"/>
        <v>39703.426899999999</v>
      </c>
      <c r="I72" s="627">
        <f t="shared" si="30"/>
        <v>0</v>
      </c>
      <c r="J72" s="627">
        <f t="shared" si="30"/>
        <v>0</v>
      </c>
      <c r="K72" s="627">
        <f t="shared" si="30"/>
        <v>107413.67107058823</v>
      </c>
      <c r="L72" s="627">
        <f t="shared" si="30"/>
        <v>198078.92276363636</v>
      </c>
      <c r="M72" s="627">
        <f>'Agustus - 2024'!AN71</f>
        <v>315617.41542142857</v>
      </c>
      <c r="N72" s="627" t="e">
        <f t="shared" si="30"/>
        <v>#REF!</v>
      </c>
      <c r="O72" s="627">
        <f t="shared" si="30"/>
        <v>0</v>
      </c>
      <c r="P72" s="627" t="e">
        <f t="shared" si="30"/>
        <v>#DIV/0!</v>
      </c>
      <c r="Q72" s="627" t="e">
        <f t="shared" si="30"/>
        <v>#DIV/0!</v>
      </c>
      <c r="R72" s="912"/>
      <c r="S72" s="746">
        <f>SUM(S64,S66)+(S71%*SUM(S64,S66))</f>
        <v>994839.02460441564</v>
      </c>
      <c r="T72" s="877">
        <v>7811279</v>
      </c>
      <c r="U72" s="983" t="e">
        <f>SUM(U64,U66)+(U71%*SUM(U64,U66))</f>
        <v>#REF!</v>
      </c>
      <c r="V72" s="1013"/>
      <c r="W72" s="6"/>
      <c r="X72" s="71"/>
      <c r="Y72" s="100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R72" s="71"/>
      <c r="AX72" s="71"/>
      <c r="BG72" s="153"/>
      <c r="BH72" s="153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CK72" s="153"/>
      <c r="DA72" s="1"/>
      <c r="DS72" s="703"/>
      <c r="DT72" s="153"/>
      <c r="DU72" s="153"/>
      <c r="DV72" s="153"/>
      <c r="DW72" s="153"/>
      <c r="FZ72" s="153"/>
      <c r="GA72" s="388">
        <f>W72+400</f>
        <v>400</v>
      </c>
      <c r="JU72" s="153"/>
      <c r="JV72" s="153"/>
      <c r="JW72" s="153"/>
      <c r="JX72" s="153"/>
      <c r="PB72" s="153"/>
      <c r="PC72" s="153"/>
      <c r="PE72" s="153"/>
      <c r="PS72" s="162"/>
      <c r="PW72" s="153"/>
      <c r="RZ72" s="162"/>
      <c r="AHI72" s="153"/>
      <c r="AIX72" s="153"/>
      <c r="AIY72" s="153"/>
      <c r="AIZ72" s="153"/>
    </row>
    <row r="73" spans="2:936" hidden="1" x14ac:dyDescent="0.25">
      <c r="B73" s="919">
        <v>5</v>
      </c>
      <c r="C73" s="605" t="s">
        <v>52</v>
      </c>
      <c r="D73" s="54"/>
      <c r="E73" s="54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3"/>
      <c r="S73" s="709" t="s">
        <v>131</v>
      </c>
      <c r="T73" s="869" t="s">
        <v>131</v>
      </c>
      <c r="U73" s="975" t="s">
        <v>131</v>
      </c>
      <c r="W73" s="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R73" s="71"/>
      <c r="AX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DA73" s="1"/>
      <c r="FX73" s="3">
        <v>17292</v>
      </c>
      <c r="OY73" s="151" t="e">
        <f>#REF!-FX73</f>
        <v>#REF!</v>
      </c>
    </row>
    <row r="74" spans="2:936" hidden="1" x14ac:dyDescent="0.25">
      <c r="B74" s="920"/>
      <c r="C74" s="747" t="s">
        <v>51</v>
      </c>
      <c r="D74" s="748"/>
      <c r="E74" s="12" t="s">
        <v>14</v>
      </c>
      <c r="F74" s="749">
        <f>'[24]Januari 24'!AL68</f>
        <v>845858</v>
      </c>
      <c r="G74" s="749" t="e">
        <f>'[24]Februari 24'!AI68</f>
        <v>#REF!</v>
      </c>
      <c r="H74" s="749">
        <f>'[24]Maret 24'!AL68</f>
        <v>0</v>
      </c>
      <c r="I74" s="749">
        <f>'[24]April 24'!AL68</f>
        <v>0</v>
      </c>
      <c r="J74" s="749">
        <f>'[24]Mei 24'!AL68</f>
        <v>0</v>
      </c>
      <c r="K74" s="749">
        <f>'[24]Juny 24'!AL68</f>
        <v>0</v>
      </c>
      <c r="L74" s="749">
        <f>'[24]July 24'!AL68</f>
        <v>0</v>
      </c>
      <c r="M74" s="749">
        <f>'[24]Agustus 24'!AL68</f>
        <v>0</v>
      </c>
      <c r="N74" s="749">
        <f>'[24]September 24'!AL68</f>
        <v>0</v>
      </c>
      <c r="O74" s="749">
        <f>'[24]Oktober 24'!AL68</f>
        <v>0</v>
      </c>
      <c r="P74" s="749">
        <f>'[24]November 24'!AL68</f>
        <v>0</v>
      </c>
      <c r="Q74" s="749">
        <f>'[24]Desember 24'!AL68</f>
        <v>0</v>
      </c>
      <c r="R74" s="27"/>
      <c r="S74" s="98" t="e">
        <f>SUM(F74:Q74)</f>
        <v>#REF!</v>
      </c>
      <c r="T74" s="878" t="e">
        <f>SUM(G74:R74)</f>
        <v>#REF!</v>
      </c>
      <c r="U74" s="968" t="e">
        <f>(S74/T74)*100</f>
        <v>#REF!</v>
      </c>
      <c r="W74" s="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R74" s="71"/>
      <c r="AX74" s="2"/>
      <c r="BD74" s="156"/>
      <c r="BE74" s="156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CH74" s="156"/>
      <c r="DA74" s="1"/>
      <c r="DP74" s="622"/>
      <c r="DQ74" s="156"/>
      <c r="DR74" s="156"/>
      <c r="DS74" s="156"/>
      <c r="DT74" s="156"/>
      <c r="FW74" s="156"/>
      <c r="JR74" s="156"/>
      <c r="JS74" s="156"/>
      <c r="JT74" s="156"/>
      <c r="JU74" s="156"/>
      <c r="OY74" s="156"/>
      <c r="OZ74" s="156"/>
      <c r="PB74" s="156"/>
      <c r="PP74" s="750"/>
      <c r="PT74" s="156"/>
      <c r="RW74" s="750"/>
      <c r="AHF74" s="161"/>
      <c r="AIU74" s="161"/>
      <c r="AIV74" s="161"/>
      <c r="AIW74" s="161"/>
    </row>
    <row r="75" spans="2:936" hidden="1" x14ac:dyDescent="0.25">
      <c r="B75" s="921"/>
      <c r="C75" s="751" t="s">
        <v>46</v>
      </c>
      <c r="D75" s="752"/>
      <c r="E75" s="753" t="s">
        <v>14</v>
      </c>
      <c r="F75" s="754">
        <f>'[24]Januari 24'!AL69</f>
        <v>399021.27999999997</v>
      </c>
      <c r="G75" s="754" t="e">
        <f>'[24]Februari 24'!AI69</f>
        <v>#REF!</v>
      </c>
      <c r="H75" s="754">
        <f>'[24]Maret 24'!AL69</f>
        <v>0</v>
      </c>
      <c r="I75" s="754">
        <f>'[24]April 24'!AL69</f>
        <v>0</v>
      </c>
      <c r="J75" s="754">
        <f>'[24]Mei 24'!AL69</f>
        <v>0</v>
      </c>
      <c r="K75" s="754">
        <f>'[24]Juny 24'!AL69</f>
        <v>0</v>
      </c>
      <c r="L75" s="754">
        <f>'[24]July 24'!AL69</f>
        <v>0</v>
      </c>
      <c r="M75" s="754">
        <f>'[24]Agustus 24'!AL69</f>
        <v>0</v>
      </c>
      <c r="N75" s="754">
        <f>'[24]September 24'!AL69</f>
        <v>0</v>
      </c>
      <c r="O75" s="754">
        <f>'[24]Oktober 24'!AL69</f>
        <v>0</v>
      </c>
      <c r="P75" s="754">
        <f>'[24]November 24'!AL69</f>
        <v>0</v>
      </c>
      <c r="Q75" s="754">
        <f>'[24]Desember 24'!AL69</f>
        <v>0</v>
      </c>
      <c r="R75" s="922"/>
      <c r="S75" s="98" t="e">
        <f>SUM(S76:S78)</f>
        <v>#REF!</v>
      </c>
      <c r="T75" s="878" t="e">
        <f>SUM(T76:T78)</f>
        <v>#REF!</v>
      </c>
      <c r="U75" s="968" t="e">
        <f>(S75/T75)*100</f>
        <v>#REF!</v>
      </c>
      <c r="W75" s="1023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"/>
      <c r="AY75" s="184"/>
      <c r="AZ75" s="184"/>
      <c r="BA75" s="184"/>
      <c r="BB75" s="184"/>
      <c r="BC75" s="184"/>
      <c r="BD75" s="184"/>
      <c r="BE75" s="184"/>
      <c r="BF75" s="184"/>
      <c r="BG75" s="184"/>
      <c r="BH75" s="184"/>
      <c r="BI75" s="184"/>
      <c r="BJ75" s="184"/>
      <c r="BK75" s="184"/>
      <c r="BL75" s="184"/>
      <c r="BM75" s="184"/>
      <c r="BN75" s="184"/>
      <c r="BO75" s="184"/>
      <c r="BP75" s="184"/>
      <c r="BQ75" s="184"/>
      <c r="BR75" s="184"/>
      <c r="BS75" s="184"/>
      <c r="BT75" s="184"/>
      <c r="BU75" s="184"/>
      <c r="BV75" s="184"/>
      <c r="BW75" s="184"/>
      <c r="BX75" s="184"/>
      <c r="BY75" s="184"/>
      <c r="BZ75" s="184"/>
      <c r="CA75" s="184"/>
      <c r="CB75" s="184"/>
      <c r="CC75" s="184"/>
      <c r="CD75" s="184"/>
      <c r="CF75" s="184"/>
      <c r="CG75" s="184"/>
      <c r="CH75" s="184"/>
      <c r="CI75" s="184"/>
      <c r="CJ75" s="184"/>
      <c r="CK75" s="184"/>
      <c r="CL75" s="184"/>
      <c r="CM75" s="184"/>
      <c r="CN75" s="184"/>
      <c r="CO75" s="184"/>
      <c r="CP75" s="184"/>
      <c r="CQ75" s="184"/>
      <c r="CR75" s="184"/>
      <c r="CS75" s="184"/>
      <c r="CT75" s="184"/>
      <c r="CU75" s="184"/>
      <c r="CV75" s="184"/>
      <c r="CW75" s="184"/>
      <c r="CX75" s="184"/>
      <c r="CY75" s="184"/>
      <c r="CZ75" s="184"/>
      <c r="DA75" s="184"/>
      <c r="DB75" s="184"/>
      <c r="DC75" s="184"/>
      <c r="DD75" s="184"/>
      <c r="DE75" s="184"/>
      <c r="DF75" s="184"/>
      <c r="DG75" s="184"/>
      <c r="DH75" s="184"/>
      <c r="DI75" s="184"/>
      <c r="DJ75" s="184"/>
      <c r="DK75" s="184"/>
      <c r="DL75" s="184"/>
      <c r="DM75" s="184"/>
      <c r="DN75" s="184"/>
      <c r="DO75" s="184"/>
      <c r="DP75" s="755"/>
      <c r="DQ75" s="184"/>
      <c r="DR75" s="184"/>
      <c r="DS75" s="184"/>
      <c r="DT75" s="184"/>
      <c r="DU75" s="184"/>
      <c r="DV75" s="184"/>
      <c r="DW75" s="184"/>
      <c r="DX75" s="184"/>
      <c r="DY75" s="184"/>
      <c r="DZ75" s="184"/>
      <c r="EA75" s="184"/>
      <c r="EB75" s="184"/>
      <c r="EC75" s="184"/>
      <c r="ED75" s="184"/>
      <c r="EE75" s="184"/>
      <c r="EF75" s="184"/>
      <c r="EG75" s="184"/>
      <c r="EH75" s="184"/>
      <c r="EI75" s="184"/>
      <c r="EJ75" s="184"/>
      <c r="EK75" s="184"/>
      <c r="EL75" s="184"/>
      <c r="EM75" s="184"/>
      <c r="EN75" s="184"/>
      <c r="EO75" s="184"/>
      <c r="EP75" s="184"/>
      <c r="EQ75" s="184"/>
      <c r="ER75" s="184"/>
      <c r="ES75" s="184"/>
      <c r="ET75" s="184"/>
      <c r="EU75" s="184"/>
      <c r="EV75" s="184"/>
      <c r="EW75" s="184"/>
      <c r="EX75" s="184"/>
      <c r="EY75" s="184"/>
      <c r="EZ75" s="184"/>
      <c r="FA75" s="184"/>
      <c r="FB75" s="184"/>
      <c r="FC75" s="184"/>
      <c r="FD75" s="184"/>
      <c r="FE75" s="184"/>
      <c r="FF75" s="184"/>
      <c r="FG75" s="184"/>
      <c r="FH75" s="184"/>
      <c r="FI75" s="184"/>
      <c r="FJ75" s="184"/>
      <c r="FK75" s="184"/>
      <c r="FL75" s="184"/>
      <c r="FM75" s="184"/>
      <c r="FN75" s="184"/>
      <c r="FO75" s="184"/>
      <c r="FP75" s="184"/>
      <c r="FQ75" s="184"/>
      <c r="FR75" s="184"/>
      <c r="FS75" s="184"/>
      <c r="FT75" s="184"/>
      <c r="FU75" s="184"/>
      <c r="FV75" s="184"/>
      <c r="FW75" s="184"/>
      <c r="FX75" s="184"/>
      <c r="FY75" s="184"/>
      <c r="FZ75" s="184"/>
      <c r="GA75" s="184"/>
      <c r="GB75" s="184"/>
      <c r="GC75" s="184"/>
      <c r="GD75" s="184"/>
      <c r="GE75" s="184"/>
      <c r="GF75" s="184"/>
      <c r="GG75" s="184"/>
      <c r="GH75" s="184"/>
      <c r="GI75" s="184"/>
      <c r="GJ75" s="184"/>
      <c r="GK75" s="184"/>
      <c r="GL75" s="184"/>
      <c r="GM75" s="184"/>
      <c r="GN75" s="184"/>
      <c r="GO75" s="184"/>
      <c r="GP75" s="184"/>
      <c r="GQ75" s="184"/>
      <c r="GR75" s="184"/>
      <c r="GS75" s="184"/>
      <c r="GT75" s="184"/>
      <c r="GU75" s="184"/>
      <c r="GV75" s="184"/>
      <c r="GW75" s="184"/>
      <c r="GX75" s="184"/>
      <c r="GY75" s="184"/>
      <c r="GZ75" s="184"/>
      <c r="HA75" s="184"/>
      <c r="HB75" s="184"/>
      <c r="HC75" s="184"/>
      <c r="HD75" s="184"/>
      <c r="HE75" s="184"/>
      <c r="HF75" s="184"/>
      <c r="HG75" s="184"/>
      <c r="HH75" s="184"/>
      <c r="HI75" s="184"/>
      <c r="HJ75" s="184"/>
      <c r="HK75" s="184"/>
      <c r="HL75" s="184"/>
      <c r="HM75" s="184"/>
      <c r="HN75" s="184"/>
      <c r="HO75" s="184"/>
      <c r="HP75" s="184"/>
      <c r="HQ75" s="184"/>
      <c r="HR75" s="184"/>
      <c r="HS75" s="184"/>
      <c r="HT75" s="184"/>
      <c r="HU75" s="184"/>
      <c r="HV75" s="184"/>
      <c r="HW75" s="184"/>
      <c r="HX75" s="184"/>
      <c r="HY75" s="184"/>
      <c r="HZ75" s="184"/>
      <c r="IA75" s="184"/>
      <c r="IB75" s="184"/>
      <c r="IC75" s="184"/>
      <c r="ID75" s="184"/>
      <c r="IE75" s="184"/>
      <c r="IF75" s="184"/>
      <c r="IG75" s="184"/>
      <c r="IH75" s="184"/>
      <c r="II75" s="184"/>
      <c r="IJ75" s="184"/>
      <c r="IK75" s="184"/>
      <c r="IL75" s="184"/>
      <c r="IM75" s="184"/>
      <c r="IN75" s="184"/>
      <c r="IO75" s="184"/>
      <c r="IP75" s="184"/>
      <c r="IQ75" s="184"/>
      <c r="IR75" s="184"/>
      <c r="IS75" s="184"/>
      <c r="IT75" s="184"/>
      <c r="IU75" s="184"/>
      <c r="IV75" s="184"/>
      <c r="IW75" s="184"/>
      <c r="IX75" s="184"/>
      <c r="IY75" s="184"/>
      <c r="IZ75" s="184"/>
      <c r="JA75" s="184"/>
      <c r="JB75" s="184"/>
      <c r="JC75" s="184"/>
      <c r="JD75" s="184"/>
      <c r="JE75" s="184"/>
      <c r="JF75" s="184"/>
      <c r="JG75" s="184"/>
      <c r="JH75" s="184"/>
      <c r="JI75" s="184"/>
      <c r="JJ75" s="184"/>
      <c r="JK75" s="184"/>
      <c r="JL75" s="184"/>
      <c r="JM75" s="184"/>
      <c r="JN75" s="184"/>
      <c r="JO75" s="184"/>
      <c r="JP75" s="184"/>
      <c r="JQ75" s="184"/>
      <c r="JR75" s="184"/>
      <c r="JS75" s="184"/>
      <c r="JT75" s="184"/>
      <c r="JU75" s="184"/>
      <c r="JV75" s="184"/>
      <c r="JW75" s="184"/>
      <c r="JX75" s="184"/>
      <c r="JY75" s="184"/>
      <c r="JZ75" s="184"/>
      <c r="KA75" s="184"/>
      <c r="KB75" s="184"/>
      <c r="KC75" s="184"/>
      <c r="KD75" s="184"/>
      <c r="KE75" s="184"/>
      <c r="KF75" s="184"/>
      <c r="KG75" s="184"/>
      <c r="KH75" s="184"/>
      <c r="KI75" s="184"/>
      <c r="KJ75" s="184"/>
      <c r="KK75" s="184"/>
      <c r="KL75" s="184"/>
      <c r="KM75" s="184"/>
      <c r="KN75" s="184"/>
      <c r="KO75" s="184"/>
      <c r="KP75" s="184"/>
      <c r="KQ75" s="184"/>
      <c r="KR75" s="184"/>
      <c r="KS75" s="184"/>
      <c r="KT75" s="184"/>
      <c r="KU75" s="184"/>
      <c r="KV75" s="184"/>
      <c r="KW75" s="184"/>
      <c r="KX75" s="184"/>
      <c r="KY75" s="184"/>
      <c r="KZ75" s="184"/>
      <c r="LA75" s="184"/>
      <c r="LB75" s="184"/>
      <c r="LC75" s="184"/>
      <c r="LD75" s="184"/>
      <c r="LE75" s="184"/>
      <c r="LF75" s="184"/>
      <c r="LG75" s="184"/>
      <c r="LH75" s="184"/>
      <c r="LI75" s="184"/>
      <c r="LJ75" s="184"/>
      <c r="LK75" s="184"/>
      <c r="LL75" s="184"/>
      <c r="LM75" s="184"/>
      <c r="LN75" s="184"/>
      <c r="LO75" s="184"/>
      <c r="LP75" s="184"/>
      <c r="LQ75" s="184"/>
      <c r="LR75" s="184"/>
      <c r="LS75" s="184"/>
      <c r="LT75" s="184"/>
      <c r="LU75" s="184"/>
      <c r="LV75" s="184"/>
      <c r="LW75" s="184"/>
      <c r="LX75" s="184"/>
      <c r="LY75" s="184"/>
      <c r="LZ75" s="184"/>
      <c r="MA75" s="184"/>
      <c r="MB75" s="184"/>
      <c r="MC75" s="184"/>
      <c r="MD75" s="184"/>
      <c r="ME75" s="184"/>
      <c r="MF75" s="184"/>
      <c r="MG75" s="184"/>
      <c r="MH75" s="184"/>
      <c r="MI75" s="184"/>
      <c r="MJ75" s="184"/>
      <c r="MK75" s="184"/>
      <c r="ML75" s="184"/>
      <c r="MM75" s="184"/>
      <c r="MN75" s="184"/>
      <c r="MO75" s="184"/>
      <c r="MP75" s="184"/>
      <c r="MQ75" s="184"/>
      <c r="MR75" s="184"/>
      <c r="MS75" s="184"/>
      <c r="MT75" s="184"/>
      <c r="MU75" s="184"/>
      <c r="MV75" s="184"/>
      <c r="MW75" s="184"/>
      <c r="MX75" s="184"/>
      <c r="MY75" s="184"/>
      <c r="MZ75" s="184"/>
      <c r="NA75" s="184"/>
      <c r="NB75" s="184"/>
      <c r="NC75" s="184"/>
      <c r="ND75" s="184"/>
      <c r="NE75" s="184"/>
      <c r="NF75" s="184"/>
      <c r="NG75" s="184"/>
      <c r="NH75" s="184"/>
      <c r="NI75" s="184"/>
      <c r="NJ75" s="184"/>
      <c r="NK75" s="184"/>
      <c r="NL75" s="184"/>
      <c r="NM75" s="184"/>
      <c r="NN75" s="184"/>
      <c r="NO75" s="184"/>
      <c r="NP75" s="184"/>
      <c r="NQ75" s="184"/>
      <c r="NR75" s="184"/>
      <c r="NS75" s="184"/>
      <c r="NT75" s="184"/>
      <c r="NU75" s="184"/>
      <c r="NV75" s="184"/>
      <c r="NW75" s="184"/>
      <c r="NX75" s="184"/>
      <c r="NY75" s="184"/>
      <c r="NZ75" s="184"/>
      <c r="OA75" s="184"/>
      <c r="OB75" s="184"/>
      <c r="OC75" s="184"/>
      <c r="OD75" s="184"/>
      <c r="OE75" s="184"/>
      <c r="OF75" s="184"/>
      <c r="OG75" s="184"/>
      <c r="OH75" s="184"/>
      <c r="OI75" s="184"/>
      <c r="OJ75" s="184"/>
      <c r="OK75" s="184"/>
      <c r="OL75" s="184"/>
      <c r="OM75" s="184"/>
      <c r="ON75" s="184"/>
      <c r="OO75" s="184"/>
      <c r="OP75" s="184"/>
      <c r="OQ75" s="184"/>
      <c r="OR75" s="184"/>
      <c r="OS75" s="184"/>
      <c r="OT75" s="184"/>
      <c r="OU75" s="184"/>
      <c r="OV75" s="184"/>
      <c r="OW75" s="184"/>
      <c r="OX75" s="184"/>
      <c r="OY75" s="184"/>
      <c r="OZ75" s="184"/>
      <c r="PA75" s="184"/>
      <c r="PB75" s="184"/>
      <c r="PC75" s="184"/>
      <c r="PD75" s="184"/>
      <c r="PE75" s="184"/>
      <c r="PF75" s="184"/>
      <c r="PG75" s="184"/>
      <c r="PH75" s="184"/>
      <c r="PI75" s="184"/>
      <c r="PJ75" s="184"/>
      <c r="PK75" s="184"/>
      <c r="PL75" s="184"/>
      <c r="PM75" s="184"/>
      <c r="PN75" s="184"/>
      <c r="PO75" s="184"/>
      <c r="PP75" s="184"/>
      <c r="PQ75" s="184"/>
      <c r="PR75" s="184"/>
      <c r="PS75" s="184"/>
      <c r="PT75" s="184"/>
      <c r="PU75" s="184"/>
      <c r="PV75" s="184"/>
      <c r="PW75" s="184"/>
      <c r="PX75" s="184"/>
      <c r="PY75" s="184"/>
      <c r="PZ75" s="184"/>
      <c r="QA75" s="184"/>
      <c r="QB75" s="184"/>
      <c r="QC75" s="184"/>
      <c r="QD75" s="184"/>
      <c r="QE75" s="184"/>
      <c r="QF75" s="184"/>
      <c r="QG75" s="184"/>
      <c r="QH75" s="184"/>
      <c r="QI75" s="184"/>
      <c r="QJ75" s="184"/>
      <c r="QK75" s="184"/>
      <c r="QL75" s="184"/>
      <c r="QM75" s="184"/>
      <c r="QN75" s="184"/>
      <c r="QO75" s="184"/>
      <c r="QP75" s="184"/>
      <c r="QQ75" s="184"/>
      <c r="QR75" s="184"/>
      <c r="QS75" s="184"/>
      <c r="QT75" s="184"/>
      <c r="QU75" s="184"/>
      <c r="QV75" s="184"/>
      <c r="QW75" s="184"/>
      <c r="QX75" s="184"/>
      <c r="QY75" s="184"/>
      <c r="QZ75" s="184"/>
      <c r="RA75" s="184"/>
      <c r="RB75" s="184"/>
      <c r="RC75" s="184"/>
      <c r="RD75" s="184"/>
      <c r="RE75" s="184"/>
      <c r="RF75" s="184"/>
      <c r="RG75" s="184"/>
      <c r="RH75" s="184"/>
      <c r="RI75" s="184"/>
      <c r="RJ75" s="184"/>
      <c r="RK75" s="184"/>
      <c r="RL75" s="184"/>
      <c r="RM75" s="184"/>
      <c r="RN75" s="184"/>
      <c r="RO75" s="184"/>
      <c r="RP75" s="184"/>
      <c r="RQ75" s="184"/>
      <c r="RR75" s="184"/>
      <c r="RS75" s="184"/>
      <c r="RT75" s="184"/>
      <c r="RU75" s="184"/>
      <c r="RV75" s="184"/>
      <c r="RW75" s="184"/>
      <c r="RX75" s="184"/>
      <c r="RY75" s="184"/>
      <c r="RZ75" s="184"/>
      <c r="SA75" s="184"/>
      <c r="SB75" s="184"/>
      <c r="SC75" s="184"/>
      <c r="SD75" s="184"/>
      <c r="SE75" s="184"/>
      <c r="SF75" s="184"/>
      <c r="SG75" s="184"/>
      <c r="SH75" s="184"/>
      <c r="SI75" s="184"/>
      <c r="SJ75" s="184"/>
      <c r="SK75" s="184"/>
      <c r="SL75" s="184"/>
      <c r="SM75" s="184"/>
      <c r="SN75" s="184"/>
      <c r="SO75" s="184"/>
      <c r="SP75" s="184"/>
      <c r="SQ75" s="184"/>
      <c r="SR75" s="184"/>
      <c r="SS75" s="184"/>
      <c r="ST75" s="184"/>
      <c r="SU75" s="184"/>
      <c r="SV75" s="184"/>
      <c r="SW75" s="184"/>
      <c r="SX75" s="184"/>
      <c r="SY75" s="184"/>
      <c r="SZ75" s="184"/>
      <c r="TA75" s="184"/>
      <c r="TB75" s="184"/>
      <c r="TC75" s="184"/>
      <c r="TD75" s="184"/>
      <c r="TE75" s="184"/>
      <c r="TF75" s="184"/>
      <c r="TG75" s="184"/>
      <c r="TH75" s="184"/>
      <c r="TI75" s="184"/>
      <c r="TJ75" s="184"/>
      <c r="TK75" s="184"/>
      <c r="TL75" s="184"/>
      <c r="TM75" s="184"/>
      <c r="TN75" s="184"/>
      <c r="TO75" s="184"/>
      <c r="TP75" s="184"/>
      <c r="TQ75" s="184"/>
      <c r="TR75" s="184"/>
      <c r="TS75" s="184"/>
      <c r="TT75" s="184"/>
      <c r="TU75" s="184"/>
      <c r="TV75" s="184"/>
      <c r="TW75" s="184"/>
      <c r="TX75" s="184"/>
      <c r="TY75" s="184"/>
      <c r="TZ75" s="184"/>
      <c r="UA75" s="184"/>
      <c r="UB75" s="184"/>
      <c r="UC75" s="184"/>
      <c r="UD75" s="184"/>
      <c r="UE75" s="184"/>
      <c r="UF75" s="184"/>
      <c r="UG75" s="184"/>
      <c r="UH75" s="184"/>
      <c r="UI75" s="184"/>
      <c r="UJ75" s="184"/>
      <c r="UK75" s="184"/>
      <c r="UL75" s="184"/>
      <c r="UM75" s="184"/>
      <c r="UN75" s="184"/>
      <c r="UO75" s="184"/>
      <c r="UP75" s="184"/>
      <c r="UQ75" s="184"/>
      <c r="UR75" s="184"/>
      <c r="US75" s="184"/>
      <c r="UT75" s="184"/>
      <c r="UU75" s="184"/>
      <c r="UV75" s="184"/>
      <c r="UW75" s="184"/>
      <c r="UX75" s="184"/>
      <c r="UY75" s="184"/>
      <c r="UZ75" s="184"/>
      <c r="VA75" s="184"/>
      <c r="VB75" s="184"/>
      <c r="VC75" s="184"/>
      <c r="VD75" s="184"/>
      <c r="VE75" s="184"/>
      <c r="VF75" s="184"/>
      <c r="VG75" s="184"/>
      <c r="VH75" s="184"/>
      <c r="VI75" s="184"/>
      <c r="VJ75" s="184"/>
      <c r="VK75" s="184"/>
      <c r="VL75" s="184"/>
      <c r="VM75" s="184"/>
      <c r="VN75" s="184"/>
      <c r="VO75" s="184"/>
      <c r="VP75" s="184"/>
      <c r="VQ75" s="184"/>
      <c r="VR75" s="184"/>
      <c r="VS75" s="184"/>
      <c r="VT75" s="184"/>
      <c r="VU75" s="184"/>
      <c r="VV75" s="184"/>
      <c r="VW75" s="184"/>
      <c r="VX75" s="184"/>
      <c r="VY75" s="184"/>
      <c r="VZ75" s="184"/>
      <c r="WA75" s="184"/>
      <c r="WB75" s="184"/>
      <c r="WC75" s="184"/>
      <c r="WD75" s="184"/>
      <c r="WE75" s="184"/>
      <c r="WF75" s="184"/>
      <c r="WG75" s="184"/>
      <c r="WH75" s="184"/>
      <c r="WI75" s="184"/>
      <c r="WJ75" s="184"/>
      <c r="WK75" s="184"/>
      <c r="WL75" s="184"/>
      <c r="WM75" s="184"/>
      <c r="WN75" s="184"/>
      <c r="WO75" s="184"/>
      <c r="WP75" s="184"/>
      <c r="WQ75" s="184"/>
      <c r="WR75" s="184"/>
      <c r="WS75" s="184"/>
      <c r="WT75" s="184"/>
      <c r="WU75" s="184"/>
      <c r="WV75" s="184"/>
      <c r="WW75" s="184"/>
      <c r="WX75" s="184"/>
      <c r="WY75" s="184"/>
      <c r="WZ75" s="184"/>
      <c r="XA75" s="184"/>
      <c r="XB75" s="184"/>
      <c r="XC75" s="184"/>
      <c r="XD75" s="184"/>
      <c r="XE75" s="184"/>
      <c r="XF75" s="184"/>
      <c r="XG75" s="184"/>
      <c r="XH75" s="184"/>
      <c r="XI75" s="184"/>
      <c r="XJ75" s="184"/>
      <c r="XK75" s="184"/>
      <c r="XL75" s="184"/>
      <c r="XM75" s="184"/>
      <c r="XN75" s="184"/>
      <c r="XO75" s="184"/>
      <c r="XP75" s="184"/>
      <c r="XQ75" s="184"/>
      <c r="XR75" s="184"/>
      <c r="XS75" s="184"/>
      <c r="XT75" s="184"/>
      <c r="XU75" s="184"/>
      <c r="XV75" s="184"/>
      <c r="XW75" s="184"/>
      <c r="XX75" s="184"/>
      <c r="XY75" s="184"/>
      <c r="XZ75" s="184"/>
      <c r="YA75" s="184"/>
      <c r="YB75" s="184"/>
      <c r="YC75" s="184"/>
      <c r="YD75" s="184"/>
      <c r="YE75" s="184"/>
      <c r="YF75" s="184"/>
      <c r="YG75" s="184"/>
      <c r="YH75" s="184"/>
      <c r="YI75" s="184"/>
      <c r="YJ75" s="184"/>
      <c r="YK75" s="184"/>
      <c r="YL75" s="184"/>
      <c r="YM75" s="184"/>
      <c r="YN75" s="184"/>
      <c r="YO75" s="184"/>
      <c r="YP75" s="184"/>
      <c r="YQ75" s="184"/>
      <c r="YR75" s="184"/>
      <c r="YS75" s="184"/>
      <c r="YT75" s="184"/>
      <c r="YU75" s="184"/>
      <c r="YV75" s="184"/>
      <c r="YW75" s="184"/>
      <c r="YX75" s="184"/>
      <c r="YY75" s="184"/>
      <c r="YZ75" s="184"/>
      <c r="ZA75" s="184"/>
      <c r="ZB75" s="184"/>
      <c r="ZC75" s="184"/>
      <c r="ZD75" s="184"/>
      <c r="ZE75" s="184"/>
      <c r="ZF75" s="184"/>
      <c r="ZG75" s="184"/>
      <c r="ZH75" s="184"/>
      <c r="ZI75" s="184"/>
      <c r="ZJ75" s="184"/>
      <c r="ZK75" s="184"/>
      <c r="ZL75" s="184"/>
      <c r="ZM75" s="184"/>
      <c r="ZN75" s="184"/>
      <c r="ZO75" s="184"/>
      <c r="ZP75" s="184"/>
      <c r="ZQ75" s="184"/>
      <c r="ZR75" s="184"/>
      <c r="ZS75" s="184"/>
      <c r="ZT75" s="184"/>
      <c r="ZU75" s="184"/>
      <c r="ZV75" s="184"/>
      <c r="ZW75" s="184"/>
      <c r="ZX75" s="184"/>
      <c r="ZY75" s="184"/>
      <c r="ZZ75" s="184"/>
      <c r="AAA75" s="184"/>
      <c r="AAB75" s="184"/>
      <c r="AAC75" s="184"/>
      <c r="AAD75" s="184"/>
      <c r="AAE75" s="184"/>
      <c r="AAF75" s="184"/>
      <c r="AAG75" s="184"/>
      <c r="AAH75" s="184"/>
      <c r="AAI75" s="184"/>
      <c r="AAJ75" s="184"/>
      <c r="AAK75" s="184"/>
      <c r="AAL75" s="184"/>
      <c r="AAM75" s="184"/>
      <c r="AAN75" s="184"/>
      <c r="AAO75" s="184"/>
      <c r="AAP75" s="184"/>
      <c r="AAQ75" s="184"/>
      <c r="AAR75" s="184"/>
      <c r="AAS75" s="184"/>
      <c r="AAT75" s="184"/>
      <c r="AAU75" s="184"/>
      <c r="AAV75" s="184"/>
      <c r="AAW75" s="184"/>
      <c r="AAX75" s="184"/>
      <c r="AAY75" s="184"/>
      <c r="AAZ75" s="184"/>
      <c r="ABA75" s="184"/>
      <c r="ABB75" s="184"/>
      <c r="ABC75" s="184"/>
      <c r="ABD75" s="184"/>
      <c r="ABE75" s="184"/>
      <c r="ABF75" s="184"/>
      <c r="ABG75" s="184"/>
      <c r="ABH75" s="184"/>
      <c r="ABI75" s="184"/>
      <c r="ABJ75" s="184"/>
      <c r="ABK75" s="184"/>
      <c r="ABL75" s="184"/>
      <c r="ABM75" s="184"/>
      <c r="ABN75" s="184"/>
      <c r="ABO75" s="184"/>
      <c r="ABP75" s="184"/>
      <c r="ABQ75" s="184"/>
      <c r="ABR75" s="184"/>
      <c r="ABS75" s="184"/>
      <c r="ABT75" s="184"/>
      <c r="ABU75" s="184"/>
      <c r="ABV75" s="184"/>
      <c r="ABW75" s="184"/>
      <c r="ABX75" s="184"/>
      <c r="ABY75" s="184"/>
      <c r="ABZ75" s="184"/>
      <c r="ACA75" s="184"/>
      <c r="ACB75" s="184"/>
      <c r="ACC75" s="184"/>
      <c r="ACD75" s="184"/>
      <c r="ACE75" s="184"/>
      <c r="ACF75" s="184"/>
      <c r="ACG75" s="184"/>
      <c r="ACH75" s="184"/>
      <c r="ACI75" s="184"/>
      <c r="ACJ75" s="184"/>
      <c r="ACK75" s="184"/>
      <c r="ACL75" s="184"/>
      <c r="ACM75" s="184"/>
      <c r="ACN75" s="184"/>
      <c r="ACO75" s="184"/>
      <c r="ACP75" s="184"/>
      <c r="ACQ75" s="184"/>
      <c r="ACR75" s="184"/>
      <c r="ACS75" s="184"/>
      <c r="ACT75" s="184"/>
      <c r="ACU75" s="184"/>
      <c r="ACV75" s="184"/>
      <c r="ACW75" s="184"/>
      <c r="ACX75" s="184"/>
      <c r="ACY75" s="184"/>
      <c r="ACZ75" s="184"/>
      <c r="ADA75" s="184"/>
      <c r="ADB75" s="184"/>
      <c r="ADC75" s="184"/>
      <c r="ADD75" s="184"/>
      <c r="ADE75" s="184"/>
      <c r="ADF75" s="184"/>
      <c r="ADG75" s="184"/>
      <c r="ADH75" s="184"/>
      <c r="ADI75" s="184"/>
      <c r="ADJ75" s="184"/>
      <c r="ADK75" s="184"/>
      <c r="ADL75" s="184"/>
      <c r="ADM75" s="184"/>
      <c r="ADN75" s="184"/>
      <c r="ADO75" s="184"/>
      <c r="ADP75" s="184"/>
      <c r="ADQ75" s="184"/>
      <c r="ADR75" s="184"/>
      <c r="ADS75" s="184"/>
      <c r="ADT75" s="184"/>
      <c r="ADU75" s="184"/>
      <c r="ADV75" s="184"/>
      <c r="ADW75" s="184"/>
      <c r="ADX75" s="184"/>
      <c r="ADY75" s="184"/>
      <c r="ADZ75" s="184"/>
      <c r="AEA75" s="184"/>
      <c r="AEB75" s="184"/>
      <c r="AEC75" s="184"/>
      <c r="AED75" s="184"/>
      <c r="AEE75" s="184"/>
      <c r="AEF75" s="184"/>
      <c r="AEG75" s="184"/>
      <c r="AEH75" s="184"/>
      <c r="AEI75" s="184"/>
      <c r="AEJ75" s="184"/>
      <c r="AEK75" s="184"/>
      <c r="AEL75" s="184"/>
      <c r="AEM75" s="184"/>
      <c r="AEN75" s="184"/>
      <c r="AEO75" s="184"/>
      <c r="AEP75" s="184"/>
      <c r="AEQ75" s="184"/>
      <c r="AER75" s="184"/>
      <c r="AES75" s="184"/>
      <c r="AET75" s="184"/>
      <c r="AEU75" s="184"/>
      <c r="AEV75" s="184"/>
      <c r="AEW75" s="184"/>
      <c r="AEX75" s="184"/>
      <c r="AEY75" s="184"/>
      <c r="AEZ75" s="184"/>
      <c r="AFA75" s="184"/>
      <c r="AFB75" s="184"/>
      <c r="AFC75" s="184"/>
      <c r="AFD75" s="184"/>
      <c r="AFE75" s="184"/>
      <c r="AFF75" s="184"/>
      <c r="AFG75" s="184"/>
      <c r="AFH75" s="184"/>
      <c r="AFI75" s="184"/>
      <c r="AFJ75" s="184"/>
      <c r="AFK75" s="184"/>
      <c r="AFL75" s="184"/>
      <c r="AFM75" s="184"/>
      <c r="AFN75" s="184"/>
      <c r="AFO75" s="184"/>
      <c r="AFP75" s="184"/>
      <c r="AFQ75" s="184"/>
      <c r="AFR75" s="162" t="s">
        <v>14</v>
      </c>
      <c r="AFS75" s="184" t="s">
        <v>383</v>
      </c>
    </row>
    <row r="76" spans="2:936" hidden="1" x14ac:dyDescent="0.25">
      <c r="B76" s="923"/>
      <c r="C76" s="756" t="s">
        <v>39</v>
      </c>
      <c r="D76" s="663"/>
      <c r="E76" s="683" t="s">
        <v>14</v>
      </c>
      <c r="F76" s="757">
        <f t="shared" ref="F76:K76" si="31">SUM(F80:F81)*10.86</f>
        <v>400256.16</v>
      </c>
      <c r="G76" s="757" t="e">
        <f t="shared" si="31"/>
        <v>#REF!</v>
      </c>
      <c r="H76" s="757">
        <f t="shared" si="31"/>
        <v>0</v>
      </c>
      <c r="I76" s="758">
        <f>'[24]April 24'!AL70</f>
        <v>0</v>
      </c>
      <c r="J76" s="758">
        <f t="shared" si="31"/>
        <v>0</v>
      </c>
      <c r="K76" s="758">
        <f t="shared" si="31"/>
        <v>0</v>
      </c>
      <c r="L76" s="758">
        <f t="shared" ref="L76:Q76" si="32">SUM(L80:L81)*10.86</f>
        <v>0</v>
      </c>
      <c r="M76" s="758">
        <f t="shared" si="32"/>
        <v>0</v>
      </c>
      <c r="N76" s="758">
        <f t="shared" si="32"/>
        <v>0</v>
      </c>
      <c r="O76" s="758">
        <f t="shared" si="32"/>
        <v>0</v>
      </c>
      <c r="P76" s="758">
        <f>SUM(P80:P81)*10.86</f>
        <v>0</v>
      </c>
      <c r="Q76" s="758">
        <f t="shared" si="32"/>
        <v>0</v>
      </c>
      <c r="R76" s="911"/>
      <c r="S76" s="902" t="e">
        <f>SUM(S80:S81)*10.86</f>
        <v>#REF!</v>
      </c>
      <c r="T76" s="879">
        <f>SUM(T80:T81)*10.86</f>
        <v>32269045.619999997</v>
      </c>
      <c r="U76" s="968" t="e">
        <f t="shared" ref="U76:U77" si="33">(S76/T76)*100</f>
        <v>#REF!</v>
      </c>
      <c r="V76" s="324"/>
      <c r="W76" s="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R76" s="71"/>
      <c r="AX76" s="1"/>
      <c r="BD76" s="152"/>
      <c r="BE76" s="152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CH76" s="152"/>
      <c r="DA76" s="1"/>
      <c r="DP76" s="5"/>
      <c r="DQ76" s="152"/>
      <c r="DR76" s="152"/>
      <c r="DS76" s="152"/>
      <c r="DT76" s="152"/>
      <c r="FW76" s="152"/>
      <c r="FX76" s="150" t="e">
        <f>#REF!/1000</f>
        <v>#REF!</v>
      </c>
      <c r="JR76" s="152"/>
      <c r="JS76" s="152"/>
      <c r="JT76" s="152"/>
      <c r="JU76" s="152"/>
      <c r="OY76" s="152">
        <v>4696</v>
      </c>
      <c r="OZ76" s="155" t="e">
        <f>FX76/OY76*100</f>
        <v>#REF!</v>
      </c>
      <c r="PB76" s="152"/>
      <c r="PP76" s="155"/>
      <c r="PT76" s="152"/>
      <c r="RW76" s="155"/>
      <c r="AHF76" s="151"/>
      <c r="AIU76" s="151"/>
      <c r="AIV76" s="151"/>
      <c r="AIW76" s="151"/>
    </row>
    <row r="77" spans="2:936" hidden="1" x14ac:dyDescent="0.25">
      <c r="B77" s="923"/>
      <c r="C77" s="756" t="s">
        <v>38</v>
      </c>
      <c r="D77" s="663"/>
      <c r="E77" s="683" t="s">
        <v>14</v>
      </c>
      <c r="F77" s="627">
        <f>F75-F76</f>
        <v>-1234.8800000000047</v>
      </c>
      <c r="G77" s="627" t="e">
        <f>G75-G76</f>
        <v>#REF!</v>
      </c>
      <c r="H77" s="627">
        <f>H75-H76</f>
        <v>0</v>
      </c>
      <c r="I77" s="627">
        <f>'[24]April 24'!AL71</f>
        <v>0</v>
      </c>
      <c r="J77" s="627">
        <f>J75-J76</f>
        <v>0</v>
      </c>
      <c r="K77" s="627">
        <f t="shared" ref="K77:Q77" si="34">K75-K76</f>
        <v>0</v>
      </c>
      <c r="L77" s="627">
        <f t="shared" si="34"/>
        <v>0</v>
      </c>
      <c r="M77" s="627">
        <f t="shared" si="34"/>
        <v>0</v>
      </c>
      <c r="N77" s="627">
        <f t="shared" si="34"/>
        <v>0</v>
      </c>
      <c r="O77" s="627">
        <f>O75-O76</f>
        <v>0</v>
      </c>
      <c r="P77" s="627">
        <f>P75-P76</f>
        <v>0</v>
      </c>
      <c r="Q77" s="627">
        <f t="shared" si="34"/>
        <v>0</v>
      </c>
      <c r="R77" s="911"/>
      <c r="S77" s="67" t="e">
        <f>SUM(F77:Q77)</f>
        <v>#REF!</v>
      </c>
      <c r="T77" s="861" t="e">
        <f>SUM(G77:R77)</f>
        <v>#REF!</v>
      </c>
      <c r="U77" s="968" t="e">
        <f t="shared" si="33"/>
        <v>#REF!</v>
      </c>
      <c r="V77" s="150"/>
      <c r="W77" s="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R77" s="71"/>
      <c r="AX77" s="1"/>
      <c r="BD77" s="152"/>
      <c r="BE77" s="152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H77" s="152"/>
      <c r="DA77" s="1"/>
      <c r="DP77" s="5"/>
      <c r="DQ77" s="152"/>
      <c r="DR77" s="152"/>
      <c r="DS77" s="152"/>
      <c r="DT77" s="152"/>
      <c r="FW77" s="152"/>
      <c r="FX77" s="668" t="e">
        <f>#REF!/1000</f>
        <v>#REF!</v>
      </c>
      <c r="JR77" s="152"/>
      <c r="JS77" s="152"/>
      <c r="JT77" s="152"/>
      <c r="JU77" s="152"/>
      <c r="OY77" s="152">
        <v>565</v>
      </c>
      <c r="OZ77" s="155" t="e">
        <f>FX77/OY77*100</f>
        <v>#REF!</v>
      </c>
      <c r="PB77" s="152"/>
      <c r="PP77" s="155"/>
      <c r="PT77" s="152"/>
      <c r="RW77" s="155"/>
      <c r="AHF77" s="151"/>
      <c r="AIU77" s="151"/>
      <c r="AIV77" s="151"/>
      <c r="AIW77" s="151"/>
    </row>
    <row r="78" spans="2:936" hidden="1" x14ac:dyDescent="0.25">
      <c r="B78" s="923"/>
      <c r="C78" s="756" t="s">
        <v>50</v>
      </c>
      <c r="D78" s="663"/>
      <c r="E78" s="651" t="s">
        <v>14</v>
      </c>
      <c r="F78" s="627">
        <f>'[24]Januari 24'!AL72</f>
        <v>0</v>
      </c>
      <c r="G78" s="627">
        <f>'[24]Februari 24'!AI72</f>
        <v>0</v>
      </c>
      <c r="H78" s="627">
        <f>'[24]Maret 24'!AL72</f>
        <v>0</v>
      </c>
      <c r="I78" s="627">
        <f>'[24]April 24'!AL72</f>
        <v>0</v>
      </c>
      <c r="J78" s="627"/>
      <c r="K78" s="627"/>
      <c r="L78" s="627"/>
      <c r="M78" s="627"/>
      <c r="N78" s="627"/>
      <c r="O78" s="627"/>
      <c r="P78" s="627">
        <v>0</v>
      </c>
      <c r="Q78" s="627">
        <v>0</v>
      </c>
      <c r="R78" s="911"/>
      <c r="S78" s="67">
        <f t="shared" ref="S78:T78" si="35">SUM(F78:Q78)</f>
        <v>0</v>
      </c>
      <c r="T78" s="861">
        <f t="shared" si="35"/>
        <v>0</v>
      </c>
      <c r="U78" s="968"/>
      <c r="W78" s="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R78" s="71"/>
      <c r="AX78" s="1"/>
      <c r="BD78" s="152"/>
      <c r="BE78" s="152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CH78" s="152"/>
      <c r="DA78" s="1"/>
      <c r="DP78" s="5"/>
      <c r="DQ78" s="152"/>
      <c r="DR78" s="152"/>
      <c r="DS78" s="152"/>
      <c r="DT78" s="152"/>
      <c r="FW78" s="152"/>
      <c r="JR78" s="152"/>
      <c r="JS78" s="152"/>
      <c r="JT78" s="152"/>
      <c r="JU78" s="152"/>
      <c r="OY78" s="152"/>
      <c r="OZ78" s="152"/>
      <c r="PB78" s="152"/>
      <c r="PP78" s="155"/>
      <c r="PT78" s="152"/>
      <c r="RW78" s="155"/>
      <c r="AHF78" s="151"/>
      <c r="AIU78" s="151"/>
      <c r="AIV78" s="151"/>
      <c r="AIW78" s="151"/>
    </row>
    <row r="79" spans="2:936" hidden="1" x14ac:dyDescent="0.25">
      <c r="B79" s="923"/>
      <c r="C79" s="756" t="s">
        <v>29</v>
      </c>
      <c r="D79" s="663"/>
      <c r="E79" s="651"/>
      <c r="F79" s="626"/>
      <c r="G79" s="626"/>
      <c r="H79" s="626"/>
      <c r="I79" s="626"/>
      <c r="J79" s="626"/>
      <c r="K79" s="626"/>
      <c r="L79" s="626"/>
      <c r="M79" s="626"/>
      <c r="N79" s="626"/>
      <c r="O79" s="626"/>
      <c r="P79" s="626"/>
      <c r="Q79" s="626"/>
      <c r="R79" s="911"/>
      <c r="S79" s="72" t="s">
        <v>29</v>
      </c>
      <c r="T79" s="880" t="s">
        <v>29</v>
      </c>
      <c r="U79" s="984" t="s">
        <v>29</v>
      </c>
      <c r="W79" s="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R79" s="71"/>
      <c r="AX79" s="1"/>
      <c r="BD79" s="152"/>
      <c r="BE79" s="152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CH79" s="152"/>
      <c r="DA79" s="1"/>
      <c r="DP79" s="5"/>
      <c r="DQ79" s="152"/>
      <c r="DR79" s="152"/>
      <c r="DS79" s="152"/>
      <c r="DT79" s="152"/>
      <c r="FW79" s="152"/>
      <c r="JR79" s="152"/>
      <c r="JS79" s="152"/>
      <c r="JT79" s="152"/>
      <c r="JU79" s="152"/>
      <c r="OY79" s="152"/>
      <c r="OZ79" s="152"/>
      <c r="PB79" s="152"/>
      <c r="PP79" s="155"/>
      <c r="PT79" s="152"/>
      <c r="RW79" s="155"/>
      <c r="AHF79" s="151"/>
      <c r="AIU79" s="151"/>
      <c r="AIV79" s="151"/>
      <c r="AIW79" s="151"/>
    </row>
    <row r="80" spans="2:936" hidden="1" x14ac:dyDescent="0.25">
      <c r="B80" s="924"/>
      <c r="C80" s="759" t="s">
        <v>49</v>
      </c>
      <c r="D80" s="624"/>
      <c r="E80" s="760" t="s">
        <v>31</v>
      </c>
      <c r="F80" s="297">
        <f>'[24]Januari 24'!AL74</f>
        <v>17197</v>
      </c>
      <c r="G80" s="297" t="e">
        <f>'[24]Februari 24'!AI74</f>
        <v>#REF!</v>
      </c>
      <c r="H80" s="297">
        <f>'[24]Maret 24'!AL74</f>
        <v>0</v>
      </c>
      <c r="I80" s="297">
        <f>'[24]April 24'!AL74</f>
        <v>0</v>
      </c>
      <c r="J80" s="297">
        <f>'[24]Mei 24'!AL74</f>
        <v>0</v>
      </c>
      <c r="K80" s="297">
        <f>'[24]Juny 24'!AL74</f>
        <v>0</v>
      </c>
      <c r="L80" s="297">
        <f>'[24]July 24'!AL74</f>
        <v>0</v>
      </c>
      <c r="M80" s="297">
        <f>'[24]Agustus 24'!AL74</f>
        <v>0</v>
      </c>
      <c r="N80" s="297">
        <f>'[24]September 24'!AL74</f>
        <v>0</v>
      </c>
      <c r="O80" s="297">
        <f>'[24]Oktober 24'!AL74</f>
        <v>0</v>
      </c>
      <c r="P80" s="297">
        <f>'[24]November 24'!AL74</f>
        <v>0</v>
      </c>
      <c r="Q80" s="297">
        <f>'[24]Desember 24'!AL74</f>
        <v>0</v>
      </c>
      <c r="R80" s="913"/>
      <c r="S80" s="63" t="e">
        <f>SUM(F80:Q80)</f>
        <v>#REF!</v>
      </c>
      <c r="T80" s="858">
        <v>1254577</v>
      </c>
      <c r="U80" s="968" t="e">
        <f>(S80/T80)*100</f>
        <v>#REF!</v>
      </c>
      <c r="W80" s="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R80" s="71"/>
      <c r="AX80" s="16"/>
      <c r="BD80" s="158"/>
      <c r="BE80" s="158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CH80" s="158"/>
      <c r="DA80" s="1"/>
      <c r="DP80" s="704"/>
      <c r="DQ80" s="158"/>
      <c r="DR80" s="158"/>
      <c r="DS80" s="158"/>
      <c r="DT80" s="158"/>
      <c r="FW80" s="158"/>
      <c r="JR80" s="158"/>
      <c r="JS80" s="158"/>
      <c r="JT80" s="158"/>
      <c r="JU80" s="158"/>
      <c r="OY80" s="158"/>
      <c r="OZ80" s="158"/>
      <c r="PB80" s="158"/>
      <c r="PP80" s="761"/>
      <c r="PT80" s="158"/>
      <c r="RW80" s="761"/>
      <c r="AHF80" s="154"/>
      <c r="AIU80" s="154"/>
      <c r="AIV80" s="154"/>
      <c r="AIW80" s="154"/>
    </row>
    <row r="81" spans="2:936" hidden="1" x14ac:dyDescent="0.25">
      <c r="B81" s="924"/>
      <c r="C81" s="759" t="s">
        <v>48</v>
      </c>
      <c r="D81" s="624"/>
      <c r="E81" s="760" t="s">
        <v>31</v>
      </c>
      <c r="F81" s="297">
        <f>'[24]Januari 24'!AL75</f>
        <v>19659</v>
      </c>
      <c r="G81" s="297" t="e">
        <f>'[24]Februari 24'!AI75</f>
        <v>#REF!</v>
      </c>
      <c r="H81" s="297">
        <f>'[24]Maret 24'!AL75</f>
        <v>0</v>
      </c>
      <c r="I81" s="297">
        <f>'[24]April 24'!AL75</f>
        <v>0</v>
      </c>
      <c r="J81" s="297">
        <f>'[24]Mei 24'!AL75</f>
        <v>0</v>
      </c>
      <c r="K81" s="297">
        <f>'[24]Juny 24'!AL75</f>
        <v>0</v>
      </c>
      <c r="L81" s="297">
        <f>'[24]July 24'!AL75</f>
        <v>0</v>
      </c>
      <c r="M81" s="297">
        <f>'[24]Agustus 24'!AL75</f>
        <v>0</v>
      </c>
      <c r="N81" s="297">
        <f>'[24]September 24'!AL75</f>
        <v>0</v>
      </c>
      <c r="O81" s="297">
        <f>'[24]Oktober 24'!AL75</f>
        <v>0</v>
      </c>
      <c r="P81" s="297">
        <f>'[24]November 24'!AL75</f>
        <v>0</v>
      </c>
      <c r="Q81" s="297">
        <f>'[24]Desember 24'!AL75</f>
        <v>0</v>
      </c>
      <c r="R81" s="913"/>
      <c r="S81" s="63" t="e">
        <f t="shared" ref="S81" si="36">SUM(F81:Q81)</f>
        <v>#REF!</v>
      </c>
      <c r="T81" s="858">
        <v>1716790</v>
      </c>
      <c r="U81" s="968" t="e">
        <f>(S81/T81)*100</f>
        <v>#REF!</v>
      </c>
      <c r="W81" s="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R81" s="71"/>
      <c r="AX81" s="16"/>
      <c r="BD81" s="158"/>
      <c r="BE81" s="158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CH81" s="158"/>
      <c r="DA81" s="1"/>
      <c r="DP81" s="704"/>
      <c r="DQ81" s="158"/>
      <c r="DR81" s="158"/>
      <c r="DS81" s="158"/>
      <c r="DT81" s="158"/>
      <c r="FW81" s="158"/>
      <c r="JR81" s="158"/>
      <c r="JS81" s="158"/>
      <c r="JT81" s="158"/>
      <c r="JU81" s="158"/>
      <c r="OY81" s="158"/>
      <c r="OZ81" s="158"/>
      <c r="PB81" s="158"/>
      <c r="PP81" s="761"/>
      <c r="PT81" s="158"/>
      <c r="RW81" s="761"/>
      <c r="AHF81" s="154"/>
      <c r="AIU81" s="154"/>
      <c r="AIV81" s="154"/>
      <c r="AIW81" s="154"/>
    </row>
    <row r="82" spans="2:936" hidden="1" x14ac:dyDescent="0.25">
      <c r="B82" s="923"/>
      <c r="C82" s="756" t="s">
        <v>28</v>
      </c>
      <c r="D82" s="663"/>
      <c r="E82" s="651"/>
      <c r="F82" s="626"/>
      <c r="G82" s="626"/>
      <c r="H82" s="626"/>
      <c r="I82" s="626"/>
      <c r="J82" s="626"/>
      <c r="K82" s="626"/>
      <c r="L82" s="626"/>
      <c r="M82" s="626"/>
      <c r="N82" s="626"/>
      <c r="O82" s="626"/>
      <c r="P82" s="626"/>
      <c r="Q82" s="626"/>
      <c r="R82" s="911"/>
      <c r="S82" s="72" t="s">
        <v>28</v>
      </c>
      <c r="T82" s="880" t="s">
        <v>28</v>
      </c>
      <c r="U82" s="984" t="s">
        <v>28</v>
      </c>
      <c r="W82" s="6"/>
      <c r="X82" s="71"/>
      <c r="Y82" s="100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R82" s="71"/>
      <c r="AX82" s="1"/>
      <c r="BG82" s="152"/>
      <c r="BH82" s="152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K82" s="152"/>
      <c r="DA82" s="1"/>
      <c r="DS82" s="5"/>
      <c r="DT82" s="152"/>
      <c r="DU82" s="152"/>
      <c r="DV82" s="152"/>
      <c r="DW82" s="152"/>
      <c r="FZ82" s="152"/>
      <c r="JU82" s="152"/>
      <c r="JV82" s="152"/>
      <c r="JW82" s="152"/>
      <c r="JX82" s="152"/>
      <c r="PB82" s="152"/>
      <c r="PC82" s="152"/>
      <c r="PE82" s="152"/>
      <c r="PS82" s="155"/>
      <c r="PW82" s="152"/>
      <c r="RZ82" s="155"/>
      <c r="AHI82" s="151"/>
      <c r="AIX82" s="151"/>
      <c r="AIY82" s="151"/>
      <c r="AIZ82" s="151"/>
    </row>
    <row r="83" spans="2:936" hidden="1" x14ac:dyDescent="0.25">
      <c r="B83" s="923"/>
      <c r="C83" s="649" t="s">
        <v>49</v>
      </c>
      <c r="D83" s="663"/>
      <c r="E83" s="683" t="s">
        <v>28</v>
      </c>
      <c r="F83" s="626">
        <f>F80*12</f>
        <v>206364</v>
      </c>
      <c r="G83" s="626" t="e">
        <f>G80*12</f>
        <v>#REF!</v>
      </c>
      <c r="H83" s="626">
        <f>H80*12</f>
        <v>0</v>
      </c>
      <c r="I83" s="626">
        <f t="shared" ref="I83:Q83" si="37">I80*12</f>
        <v>0</v>
      </c>
      <c r="J83" s="626">
        <f t="shared" si="37"/>
        <v>0</v>
      </c>
      <c r="K83" s="626">
        <f t="shared" si="37"/>
        <v>0</v>
      </c>
      <c r="L83" s="626">
        <f t="shared" si="37"/>
        <v>0</v>
      </c>
      <c r="M83" s="626">
        <f t="shared" si="37"/>
        <v>0</v>
      </c>
      <c r="N83" s="626">
        <f t="shared" si="37"/>
        <v>0</v>
      </c>
      <c r="O83" s="626">
        <f t="shared" si="37"/>
        <v>0</v>
      </c>
      <c r="P83" s="626">
        <f t="shared" si="37"/>
        <v>0</v>
      </c>
      <c r="Q83" s="626">
        <f t="shared" si="37"/>
        <v>0</v>
      </c>
      <c r="R83" s="911"/>
      <c r="S83" s="63" t="e">
        <f>S80*12</f>
        <v>#REF!</v>
      </c>
      <c r="T83" s="858">
        <f>T80*12</f>
        <v>15054924</v>
      </c>
      <c r="U83" s="968" t="e">
        <f>(S83/T83)*100</f>
        <v>#REF!</v>
      </c>
      <c r="W83" s="6"/>
      <c r="X83" s="71"/>
      <c r="Y83" s="100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R83" s="71"/>
      <c r="AX83" s="1"/>
      <c r="BG83" s="152"/>
      <c r="BH83" s="152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K83" s="152"/>
      <c r="DA83" s="1"/>
      <c r="DS83" s="5"/>
      <c r="DT83" s="152"/>
      <c r="DU83" s="152"/>
      <c r="DV83" s="152"/>
      <c r="DW83" s="152"/>
      <c r="FZ83" s="152"/>
      <c r="JU83" s="152"/>
      <c r="JV83" s="152"/>
      <c r="JW83" s="152"/>
      <c r="JX83" s="152"/>
      <c r="PB83" s="152"/>
      <c r="PC83" s="152"/>
      <c r="PE83" s="152"/>
      <c r="PS83" s="155"/>
      <c r="PW83" s="152"/>
      <c r="RZ83" s="155"/>
      <c r="AHI83" s="151"/>
      <c r="AIX83" s="151"/>
      <c r="AIY83" s="151"/>
      <c r="AIZ83" s="151"/>
    </row>
    <row r="84" spans="2:936" hidden="1" x14ac:dyDescent="0.25">
      <c r="B84" s="923"/>
      <c r="C84" s="649" t="s">
        <v>48</v>
      </c>
      <c r="D84" s="663"/>
      <c r="E84" s="683" t="s">
        <v>28</v>
      </c>
      <c r="F84" s="626">
        <f>F81*6</f>
        <v>117954</v>
      </c>
      <c r="G84" s="626" t="e">
        <f>G81*6</f>
        <v>#REF!</v>
      </c>
      <c r="H84" s="626">
        <f>H81*6</f>
        <v>0</v>
      </c>
      <c r="I84" s="626">
        <f t="shared" ref="I84:Q84" si="38">I81*6</f>
        <v>0</v>
      </c>
      <c r="J84" s="626">
        <f t="shared" si="38"/>
        <v>0</v>
      </c>
      <c r="K84" s="626">
        <f t="shared" si="38"/>
        <v>0</v>
      </c>
      <c r="L84" s="626">
        <f t="shared" si="38"/>
        <v>0</v>
      </c>
      <c r="M84" s="626">
        <f t="shared" si="38"/>
        <v>0</v>
      </c>
      <c r="N84" s="626">
        <f t="shared" si="38"/>
        <v>0</v>
      </c>
      <c r="O84" s="626">
        <f t="shared" si="38"/>
        <v>0</v>
      </c>
      <c r="P84" s="626">
        <f>P81*6</f>
        <v>0</v>
      </c>
      <c r="Q84" s="626">
        <f t="shared" si="38"/>
        <v>0</v>
      </c>
      <c r="R84" s="911"/>
      <c r="S84" s="63" t="e">
        <f>S81*6</f>
        <v>#REF!</v>
      </c>
      <c r="T84" s="858">
        <f>T81*6</f>
        <v>10300740</v>
      </c>
      <c r="U84" s="968" t="e">
        <f>(S84/T84)*100</f>
        <v>#REF!</v>
      </c>
      <c r="W84" s="6"/>
      <c r="X84" s="71"/>
      <c r="Y84" s="100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R84" s="71"/>
      <c r="AX84" s="1"/>
      <c r="BG84" s="152"/>
      <c r="BH84" s="152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K84" s="152"/>
      <c r="DA84" s="1"/>
      <c r="DS84" s="5"/>
      <c r="DT84" s="152"/>
      <c r="DU84" s="152"/>
      <c r="DV84" s="152"/>
      <c r="DW84" s="152"/>
      <c r="FZ84" s="152"/>
      <c r="JU84" s="152"/>
      <c r="JV84" s="152"/>
      <c r="JW84" s="152"/>
      <c r="JX84" s="152"/>
      <c r="PB84" s="152"/>
      <c r="PC84" s="152"/>
      <c r="PE84" s="152"/>
      <c r="PS84" s="155"/>
      <c r="PW84" s="152"/>
      <c r="RZ84" s="155"/>
      <c r="AHI84" s="151"/>
      <c r="AIX84" s="151"/>
      <c r="AIY84" s="151"/>
      <c r="AIZ84" s="151"/>
    </row>
    <row r="85" spans="2:936" hidden="1" x14ac:dyDescent="0.25">
      <c r="B85" s="923"/>
      <c r="C85" s="756" t="s">
        <v>36</v>
      </c>
      <c r="D85" s="663"/>
      <c r="E85" s="683" t="s">
        <v>35</v>
      </c>
      <c r="F85" s="762">
        <f>(F75*45)/1700</f>
        <v>10562.328</v>
      </c>
      <c r="G85" s="763" t="e">
        <f>(G75*45)/1700</f>
        <v>#REF!</v>
      </c>
      <c r="H85" s="763">
        <f>(H75*45)/1700</f>
        <v>0</v>
      </c>
      <c r="I85" s="762">
        <f>(I75*45)/1700</f>
        <v>0</v>
      </c>
      <c r="J85" s="762">
        <f t="shared" ref="J85:Q85" si="39">(J75*45)/1700</f>
        <v>0</v>
      </c>
      <c r="K85" s="762">
        <f t="shared" si="39"/>
        <v>0</v>
      </c>
      <c r="L85" s="762">
        <f t="shared" si="39"/>
        <v>0</v>
      </c>
      <c r="M85" s="762">
        <f t="shared" si="39"/>
        <v>0</v>
      </c>
      <c r="N85" s="762">
        <f t="shared" si="39"/>
        <v>0</v>
      </c>
      <c r="O85" s="762">
        <f t="shared" si="39"/>
        <v>0</v>
      </c>
      <c r="P85" s="762">
        <f>(P75*45)/1700</f>
        <v>0</v>
      </c>
      <c r="Q85" s="762">
        <f t="shared" si="39"/>
        <v>0</v>
      </c>
      <c r="R85" s="911"/>
      <c r="S85" s="63" t="e">
        <f t="shared" ref="S85:S86" si="40">SUM(F85:Q85)</f>
        <v>#REF!</v>
      </c>
      <c r="T85" s="762" t="e">
        <f>(T75*45)/1700</f>
        <v>#REF!</v>
      </c>
      <c r="U85" s="968" t="e">
        <f>(S85/T85)*100</f>
        <v>#REF!</v>
      </c>
      <c r="W85" s="6"/>
      <c r="X85" s="71"/>
      <c r="Y85" s="100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R85" s="71"/>
      <c r="AX85" s="1"/>
      <c r="BG85" s="152"/>
      <c r="BH85" s="152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K85" s="152"/>
      <c r="DA85" s="1"/>
      <c r="DS85" s="5"/>
      <c r="DT85" s="152"/>
      <c r="DU85" s="152"/>
      <c r="DV85" s="152"/>
      <c r="DW85" s="152"/>
      <c r="FZ85" s="152"/>
      <c r="JU85" s="152"/>
      <c r="JV85" s="152"/>
      <c r="JW85" s="152"/>
      <c r="JX85" s="152"/>
      <c r="PB85" s="152"/>
      <c r="PC85" s="152"/>
      <c r="PE85" s="152"/>
      <c r="PS85" s="155"/>
      <c r="PW85" s="152"/>
      <c r="RZ85" s="155"/>
      <c r="AHI85" s="151"/>
      <c r="AIX85" s="151"/>
      <c r="AIY85" s="151"/>
      <c r="AIZ85" s="151"/>
    </row>
    <row r="86" spans="2:936" hidden="1" x14ac:dyDescent="0.25">
      <c r="B86" s="923"/>
      <c r="C86" s="756" t="s">
        <v>34</v>
      </c>
      <c r="D86" s="663"/>
      <c r="E86" s="683" t="s">
        <v>33</v>
      </c>
      <c r="F86" s="626">
        <f>SUM(F80:F81)/500</f>
        <v>73.712000000000003</v>
      </c>
      <c r="G86" s="626" t="e">
        <f>SUM(G80:G81)/500</f>
        <v>#REF!</v>
      </c>
      <c r="H86" s="626">
        <f>SUM(H80:H81)/500</f>
        <v>0</v>
      </c>
      <c r="I86" s="626">
        <f t="shared" ref="I86:Q86" si="41">SUM(I80:I81)/500</f>
        <v>0</v>
      </c>
      <c r="J86" s="626">
        <f t="shared" si="41"/>
        <v>0</v>
      </c>
      <c r="K86" s="626">
        <f t="shared" si="41"/>
        <v>0</v>
      </c>
      <c r="L86" s="626">
        <f t="shared" si="41"/>
        <v>0</v>
      </c>
      <c r="M86" s="626">
        <f t="shared" si="41"/>
        <v>0</v>
      </c>
      <c r="N86" s="626">
        <f t="shared" si="41"/>
        <v>0</v>
      </c>
      <c r="O86" s="626">
        <f t="shared" si="41"/>
        <v>0</v>
      </c>
      <c r="P86" s="626">
        <f t="shared" si="41"/>
        <v>0</v>
      </c>
      <c r="Q86" s="626">
        <f t="shared" si="41"/>
        <v>0</v>
      </c>
      <c r="R86" s="911"/>
      <c r="S86" s="63" t="e">
        <f t="shared" si="40"/>
        <v>#REF!</v>
      </c>
      <c r="T86" s="719">
        <f t="shared" ref="T86" si="42">SUM(T80:T81)/500</f>
        <v>5942.7340000000004</v>
      </c>
      <c r="U86" s="968" t="e">
        <f>(S86/T86)*100</f>
        <v>#REF!</v>
      </c>
      <c r="W86" s="6"/>
      <c r="X86" s="71"/>
      <c r="Y86" s="100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R86" s="71"/>
      <c r="AX86" s="1"/>
      <c r="BG86" s="152"/>
      <c r="BH86" s="152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K86" s="152"/>
      <c r="DA86" s="1"/>
      <c r="DS86" s="5"/>
      <c r="DT86" s="152"/>
      <c r="DU86" s="152"/>
      <c r="DV86" s="152"/>
      <c r="DW86" s="152"/>
      <c r="FZ86" s="152"/>
      <c r="JU86" s="152"/>
      <c r="JV86" s="152"/>
      <c r="JW86" s="152"/>
      <c r="JX86" s="152"/>
      <c r="PB86" s="152"/>
      <c r="PC86" s="152"/>
      <c r="PE86" s="152"/>
      <c r="PS86" s="155"/>
      <c r="PW86" s="152"/>
      <c r="RZ86" s="155"/>
      <c r="AHI86" s="151"/>
      <c r="AIX86" s="151"/>
      <c r="AIY86" s="151"/>
      <c r="AIZ86" s="151"/>
    </row>
    <row r="87" spans="2:936" hidden="1" x14ac:dyDescent="0.25">
      <c r="B87" s="920"/>
      <c r="C87" s="605" t="s">
        <v>32</v>
      </c>
      <c r="D87" s="54"/>
      <c r="E87" s="54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3"/>
      <c r="S87" s="709" t="s">
        <v>132</v>
      </c>
      <c r="T87" s="869" t="s">
        <v>132</v>
      </c>
      <c r="U87" s="975" t="s">
        <v>132</v>
      </c>
      <c r="X87" s="71"/>
      <c r="Y87" s="100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R87" s="71"/>
      <c r="AX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DA87" s="1"/>
    </row>
    <row r="88" spans="2:936" hidden="1" x14ac:dyDescent="0.25">
      <c r="B88" s="923"/>
      <c r="C88" s="756" t="s">
        <v>29</v>
      </c>
      <c r="D88" s="663"/>
      <c r="E88" s="651"/>
      <c r="F88" s="626"/>
      <c r="G88" s="626"/>
      <c r="H88" s="626"/>
      <c r="I88" s="626"/>
      <c r="J88" s="626"/>
      <c r="K88" s="626"/>
      <c r="L88" s="626"/>
      <c r="M88" s="626"/>
      <c r="N88" s="626"/>
      <c r="O88" s="626"/>
      <c r="P88" s="626"/>
      <c r="Q88" s="626"/>
      <c r="R88" s="911"/>
      <c r="S88" s="72" t="s">
        <v>29</v>
      </c>
      <c r="T88" s="880" t="s">
        <v>29</v>
      </c>
      <c r="U88" s="984" t="s">
        <v>29</v>
      </c>
      <c r="W88" s="6"/>
      <c r="X88" s="71"/>
      <c r="Y88" s="100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R88" s="71"/>
      <c r="AX88" s="1"/>
      <c r="BG88" s="152"/>
      <c r="BH88" s="152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52"/>
      <c r="DA88" s="1"/>
      <c r="DS88" s="5"/>
      <c r="DT88" s="152"/>
      <c r="DU88" s="152"/>
      <c r="DV88" s="152"/>
      <c r="DW88" s="152"/>
      <c r="FZ88" s="152"/>
      <c r="JU88" s="152"/>
      <c r="JV88" s="152"/>
      <c r="JW88" s="152"/>
      <c r="JX88" s="152"/>
      <c r="PB88" s="152"/>
      <c r="PC88" s="152"/>
      <c r="PE88" s="152"/>
      <c r="PS88" s="155"/>
      <c r="PW88" s="152"/>
      <c r="RZ88" s="155"/>
      <c r="AHI88" s="151"/>
      <c r="AIX88" s="151"/>
      <c r="AIY88" s="151"/>
      <c r="AIZ88" s="151"/>
    </row>
    <row r="89" spans="2:936" hidden="1" x14ac:dyDescent="0.25">
      <c r="B89" s="923"/>
      <c r="C89" s="649" t="s">
        <v>49</v>
      </c>
      <c r="D89" s="663"/>
      <c r="E89" s="683" t="s">
        <v>31</v>
      </c>
      <c r="F89" s="33">
        <f>'[24]Januari 24'!AL74</f>
        <v>17197</v>
      </c>
      <c r="G89" s="33" t="e">
        <f>'[24]Februari 24'!AI83</f>
        <v>#REF!</v>
      </c>
      <c r="H89" s="33">
        <f>'[24]Maret 24'!AL83</f>
        <v>0</v>
      </c>
      <c r="I89" s="33">
        <f>'[24]April 24'!AL83</f>
        <v>0</v>
      </c>
      <c r="J89" s="33">
        <f>'[24]Mei 24'!AL83</f>
        <v>0</v>
      </c>
      <c r="K89" s="33">
        <f>'[24]Juny 24'!AL83</f>
        <v>0</v>
      </c>
      <c r="L89" s="33">
        <f>'[24]July 24'!AL83</f>
        <v>0</v>
      </c>
      <c r="M89" s="33">
        <f>'[24]Agustus 24'!AL83</f>
        <v>0</v>
      </c>
      <c r="N89" s="33">
        <f>'[24]September 24'!AL83</f>
        <v>0</v>
      </c>
      <c r="O89" s="33">
        <f>'[24]Oktober 24'!AL83</f>
        <v>0</v>
      </c>
      <c r="P89" s="33">
        <f>'[24]November 24'!AL83</f>
        <v>0</v>
      </c>
      <c r="Q89" s="33">
        <f>'[24]Desember 24'!AL83</f>
        <v>0</v>
      </c>
      <c r="R89" s="911"/>
      <c r="S89" s="63" t="e">
        <f t="shared" ref="S89:U90" si="43">SUM(F89:Q89)</f>
        <v>#REF!</v>
      </c>
      <c r="T89" s="858" t="e">
        <f t="shared" si="43"/>
        <v>#REF!</v>
      </c>
      <c r="U89" s="985" t="e">
        <f t="shared" si="43"/>
        <v>#REF!</v>
      </c>
      <c r="W89" s="6"/>
      <c r="X89" s="71"/>
      <c r="Y89" s="100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R89" s="71"/>
      <c r="AX89" s="1"/>
      <c r="BG89" s="152"/>
      <c r="BH89" s="152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K89" s="152"/>
      <c r="DA89" s="1"/>
      <c r="DS89" s="5"/>
      <c r="DT89" s="152"/>
      <c r="DU89" s="152"/>
      <c r="DV89" s="152"/>
      <c r="DW89" s="152"/>
      <c r="FZ89" s="152"/>
      <c r="JU89" s="152"/>
      <c r="JV89" s="152"/>
      <c r="JW89" s="152"/>
      <c r="JX89" s="152"/>
      <c r="PB89" s="152"/>
      <c r="PC89" s="152"/>
      <c r="PE89" s="152"/>
      <c r="PS89" s="155"/>
      <c r="PW89" s="152"/>
      <c r="RZ89" s="155"/>
      <c r="AHI89" s="151"/>
      <c r="AIX89" s="151"/>
      <c r="AIY89" s="151"/>
      <c r="AIZ89" s="151"/>
    </row>
    <row r="90" spans="2:936" hidden="1" x14ac:dyDescent="0.25">
      <c r="B90" s="923"/>
      <c r="C90" s="649" t="s">
        <v>48</v>
      </c>
      <c r="D90" s="663"/>
      <c r="E90" s="683" t="s">
        <v>31</v>
      </c>
      <c r="F90" s="33">
        <f>'[24]Januari 24'!AL75</f>
        <v>19659</v>
      </c>
      <c r="G90" s="33" t="e">
        <f>'[24]Februari 24'!AI84</f>
        <v>#REF!</v>
      </c>
      <c r="H90" s="33">
        <f>'[24]Maret 24'!AL84</f>
        <v>0</v>
      </c>
      <c r="I90" s="33">
        <f>'[24]April 24'!AL84</f>
        <v>0</v>
      </c>
      <c r="J90" s="33">
        <f>'[24]Mei 24'!AL84</f>
        <v>0</v>
      </c>
      <c r="K90" s="33">
        <f>'[24]Juny 24'!AL84</f>
        <v>0</v>
      </c>
      <c r="L90" s="33">
        <f>'[24]July 24'!AL84</f>
        <v>0</v>
      </c>
      <c r="M90" s="33">
        <f>'[24]Agustus 24'!AL84</f>
        <v>0</v>
      </c>
      <c r="N90" s="33">
        <f>'[24]September 24'!AL84</f>
        <v>0</v>
      </c>
      <c r="O90" s="33">
        <f>'[24]Oktober 24'!AL84</f>
        <v>0</v>
      </c>
      <c r="P90" s="33">
        <f>'[24]November 24'!AL84</f>
        <v>0</v>
      </c>
      <c r="Q90" s="33">
        <f>'[24]Desember 24'!AL84</f>
        <v>0</v>
      </c>
      <c r="R90" s="911"/>
      <c r="S90" s="63" t="e">
        <f t="shared" si="43"/>
        <v>#REF!</v>
      </c>
      <c r="T90" s="858" t="e">
        <f t="shared" si="43"/>
        <v>#REF!</v>
      </c>
      <c r="U90" s="985" t="e">
        <f t="shared" si="43"/>
        <v>#REF!</v>
      </c>
      <c r="W90" s="6"/>
      <c r="X90" s="71"/>
      <c r="Y90" s="100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R90" s="71"/>
      <c r="AX90" s="1"/>
      <c r="BG90" s="152"/>
      <c r="BH90" s="152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52"/>
      <c r="DA90" s="1"/>
      <c r="DS90" s="5"/>
      <c r="DT90" s="152"/>
      <c r="DU90" s="152"/>
      <c r="DV90" s="152"/>
      <c r="DW90" s="152"/>
      <c r="FZ90" s="152"/>
      <c r="JU90" s="152"/>
      <c r="JV90" s="152"/>
      <c r="JW90" s="152"/>
      <c r="JX90" s="152"/>
      <c r="PB90" s="152"/>
      <c r="PC90" s="152"/>
      <c r="PE90" s="152"/>
      <c r="PS90" s="155"/>
      <c r="PW90" s="152"/>
      <c r="RZ90" s="155"/>
      <c r="AHI90" s="151"/>
      <c r="AIX90" s="151"/>
      <c r="AIY90" s="151"/>
      <c r="AIZ90" s="151"/>
    </row>
    <row r="91" spans="2:936" hidden="1" x14ac:dyDescent="0.25">
      <c r="B91" s="923"/>
      <c r="C91" s="756" t="s">
        <v>28</v>
      </c>
      <c r="D91" s="663"/>
      <c r="E91" s="651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911"/>
      <c r="S91" s="72" t="s">
        <v>28</v>
      </c>
      <c r="T91" s="880" t="s">
        <v>28</v>
      </c>
      <c r="U91" s="984" t="s">
        <v>28</v>
      </c>
      <c r="W91" s="6"/>
      <c r="X91" s="71"/>
      <c r="Y91" s="100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1002"/>
      <c r="AK91" s="1002"/>
      <c r="AL91" s="1002"/>
      <c r="AM91" s="1002"/>
      <c r="AN91" s="1002"/>
      <c r="AO91" s="1002"/>
      <c r="AP91" s="1002"/>
      <c r="AQ91" s="1002"/>
      <c r="AR91" s="1002"/>
      <c r="AS91" s="1002"/>
      <c r="AX91" s="1"/>
      <c r="BG91" s="152"/>
      <c r="BH91" s="152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52"/>
      <c r="DA91" s="1"/>
      <c r="DS91" s="5"/>
      <c r="DT91" s="152"/>
      <c r="DU91" s="152"/>
      <c r="DV91" s="152"/>
      <c r="DW91" s="152"/>
      <c r="FZ91" s="152"/>
      <c r="JU91" s="152"/>
      <c r="JV91" s="152"/>
      <c r="JW91" s="152"/>
      <c r="JX91" s="152"/>
      <c r="PB91" s="152"/>
      <c r="PC91" s="152"/>
      <c r="PE91" s="152"/>
      <c r="PS91" s="155"/>
      <c r="PW91" s="152"/>
      <c r="RZ91" s="155"/>
      <c r="AHI91" s="151"/>
      <c r="AIX91" s="151"/>
      <c r="AIY91" s="151"/>
      <c r="AIZ91" s="151"/>
    </row>
    <row r="92" spans="2:936" hidden="1" x14ac:dyDescent="0.25">
      <c r="B92" s="923"/>
      <c r="C92" s="649" t="s">
        <v>49</v>
      </c>
      <c r="D92" s="663"/>
      <c r="E92" s="683" t="s">
        <v>28</v>
      </c>
      <c r="F92" s="764">
        <f>F89*12</f>
        <v>206364</v>
      </c>
      <c r="G92" s="764" t="e">
        <f>G89*12</f>
        <v>#REF!</v>
      </c>
      <c r="H92" s="764">
        <f>H89*12</f>
        <v>0</v>
      </c>
      <c r="I92" s="764">
        <f>I89*12</f>
        <v>0</v>
      </c>
      <c r="J92" s="764">
        <f t="shared" ref="J92:Q92" si="44">J89*12</f>
        <v>0</v>
      </c>
      <c r="K92" s="764">
        <f t="shared" si="44"/>
        <v>0</v>
      </c>
      <c r="L92" s="764">
        <f t="shared" si="44"/>
        <v>0</v>
      </c>
      <c r="M92" s="764">
        <f t="shared" si="44"/>
        <v>0</v>
      </c>
      <c r="N92" s="764">
        <f t="shared" si="44"/>
        <v>0</v>
      </c>
      <c r="O92" s="764">
        <f t="shared" si="44"/>
        <v>0</v>
      </c>
      <c r="P92" s="764">
        <f t="shared" si="44"/>
        <v>0</v>
      </c>
      <c r="Q92" s="764">
        <f t="shared" si="44"/>
        <v>0</v>
      </c>
      <c r="R92" s="911"/>
      <c r="S92" s="63" t="e">
        <f t="shared" ref="S92:U93" si="45">SUM(F92:Q92)</f>
        <v>#REF!</v>
      </c>
      <c r="T92" s="858" t="e">
        <f t="shared" si="45"/>
        <v>#REF!</v>
      </c>
      <c r="U92" s="985" t="e">
        <f t="shared" si="45"/>
        <v>#REF!</v>
      </c>
      <c r="W92" s="6"/>
      <c r="X92" s="71"/>
      <c r="Y92" s="100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1014"/>
      <c r="AK92" s="1002"/>
      <c r="AL92" s="1002"/>
      <c r="AM92" s="1002"/>
      <c r="AN92" s="1015"/>
      <c r="AO92" s="1002"/>
      <c r="AP92" s="1002"/>
      <c r="AQ92" s="1002"/>
      <c r="AR92" s="1002"/>
      <c r="AS92" s="1002"/>
      <c r="AX92" s="1"/>
      <c r="BG92" s="152"/>
      <c r="BH92" s="152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K92" s="152"/>
      <c r="DA92" s="1"/>
      <c r="DS92" s="5"/>
      <c r="DT92" s="152"/>
      <c r="DU92" s="152"/>
      <c r="DV92" s="152"/>
      <c r="DW92" s="152"/>
      <c r="FZ92" s="152"/>
      <c r="JU92" s="152"/>
      <c r="JV92" s="152"/>
      <c r="JW92" s="152"/>
      <c r="JX92" s="152"/>
      <c r="PB92" s="152"/>
      <c r="PC92" s="152"/>
      <c r="PE92" s="152"/>
      <c r="PS92" s="155"/>
      <c r="PW92" s="152"/>
      <c r="RZ92" s="155"/>
      <c r="AHI92" s="151"/>
      <c r="AIX92" s="151"/>
      <c r="AIY92" s="151"/>
      <c r="AIZ92" s="151"/>
    </row>
    <row r="93" spans="2:936" hidden="1" x14ac:dyDescent="0.25">
      <c r="B93" s="923"/>
      <c r="C93" s="649" t="s">
        <v>48</v>
      </c>
      <c r="D93" s="663"/>
      <c r="E93" s="683" t="s">
        <v>28</v>
      </c>
      <c r="F93" s="764">
        <f>F90*6</f>
        <v>117954</v>
      </c>
      <c r="G93" s="764" t="e">
        <f>G90*6</f>
        <v>#REF!</v>
      </c>
      <c r="H93" s="764">
        <f>H90*6</f>
        <v>0</v>
      </c>
      <c r="I93" s="764">
        <f>I90*6</f>
        <v>0</v>
      </c>
      <c r="J93" s="764">
        <f t="shared" ref="J93:Q93" si="46">J90*6</f>
        <v>0</v>
      </c>
      <c r="K93" s="764">
        <f t="shared" si="46"/>
        <v>0</v>
      </c>
      <c r="L93" s="764">
        <f t="shared" si="46"/>
        <v>0</v>
      </c>
      <c r="M93" s="764">
        <f t="shared" si="46"/>
        <v>0</v>
      </c>
      <c r="N93" s="764">
        <f t="shared" si="46"/>
        <v>0</v>
      </c>
      <c r="O93" s="764">
        <f t="shared" si="46"/>
        <v>0</v>
      </c>
      <c r="P93" s="764">
        <f t="shared" si="46"/>
        <v>0</v>
      </c>
      <c r="Q93" s="764">
        <f t="shared" si="46"/>
        <v>0</v>
      </c>
      <c r="R93" s="911"/>
      <c r="S93" s="63" t="e">
        <f t="shared" si="45"/>
        <v>#REF!</v>
      </c>
      <c r="T93" s="858" t="e">
        <f t="shared" si="45"/>
        <v>#REF!</v>
      </c>
      <c r="U93" s="985" t="e">
        <f t="shared" si="45"/>
        <v>#REF!</v>
      </c>
      <c r="W93" s="6"/>
      <c r="X93" s="71"/>
      <c r="Y93" s="100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1002"/>
      <c r="AK93" s="1002"/>
      <c r="AL93" s="1002"/>
      <c r="AM93" s="1002"/>
      <c r="AN93" s="1002"/>
      <c r="AO93" s="1002"/>
      <c r="AP93" s="1002"/>
      <c r="AQ93" s="1002"/>
      <c r="AR93" s="1002"/>
      <c r="AS93" s="1002"/>
      <c r="AX93" s="1"/>
      <c r="BG93" s="152"/>
      <c r="BH93" s="152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52"/>
      <c r="DA93" s="1"/>
      <c r="DS93" s="5"/>
      <c r="DT93" s="152"/>
      <c r="DU93" s="152"/>
      <c r="DV93" s="152"/>
      <c r="DW93" s="152"/>
      <c r="FZ93" s="152"/>
      <c r="JU93" s="152"/>
      <c r="JV93" s="152"/>
      <c r="JW93" s="152"/>
      <c r="JX93" s="152"/>
      <c r="PB93" s="152"/>
      <c r="PC93" s="152"/>
      <c r="PE93" s="152"/>
      <c r="PS93" s="155"/>
      <c r="PW93" s="152"/>
      <c r="RZ93" s="155"/>
      <c r="AHI93" s="151"/>
      <c r="AIX93" s="151"/>
      <c r="AIY93" s="151"/>
      <c r="AIZ93" s="151"/>
    </row>
    <row r="94" spans="2:936" hidden="1" x14ac:dyDescent="0.25">
      <c r="B94" s="920"/>
      <c r="C94" s="605" t="s">
        <v>30</v>
      </c>
      <c r="D94" s="54"/>
      <c r="E94" s="54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3"/>
      <c r="S94" s="709" t="s">
        <v>132</v>
      </c>
      <c r="T94" s="869" t="s">
        <v>132</v>
      </c>
      <c r="U94" s="975" t="s">
        <v>132</v>
      </c>
      <c r="X94" s="71"/>
      <c r="Y94" s="100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1002"/>
      <c r="AK94" s="1002"/>
      <c r="AL94" s="1002"/>
      <c r="AM94" s="1002"/>
      <c r="AN94" s="1002"/>
      <c r="AO94" s="1002"/>
      <c r="AP94" s="1002"/>
      <c r="AQ94" s="1002"/>
      <c r="AR94" s="1002"/>
      <c r="AS94" s="1002"/>
      <c r="AX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DA94" s="1"/>
    </row>
    <row r="95" spans="2:936" hidden="1" x14ac:dyDescent="0.25">
      <c r="B95" s="923"/>
      <c r="C95" s="756" t="s">
        <v>29</v>
      </c>
      <c r="D95" s="663"/>
      <c r="E95" s="651"/>
      <c r="F95" s="626"/>
      <c r="G95" s="626"/>
      <c r="H95" s="626"/>
      <c r="I95" s="626"/>
      <c r="J95" s="626"/>
      <c r="K95" s="626"/>
      <c r="L95" s="626"/>
      <c r="M95" s="626"/>
      <c r="N95" s="626"/>
      <c r="O95" s="626"/>
      <c r="P95" s="626"/>
      <c r="Q95" s="626"/>
      <c r="R95" s="911"/>
      <c r="S95" s="72" t="s">
        <v>29</v>
      </c>
      <c r="T95" s="880" t="s">
        <v>29</v>
      </c>
      <c r="U95" s="984" t="s">
        <v>29</v>
      </c>
      <c r="W95" s="6"/>
      <c r="X95" s="71"/>
      <c r="Y95" s="100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1002"/>
      <c r="AK95" s="1002"/>
      <c r="AL95" s="1002"/>
      <c r="AM95" s="1002"/>
      <c r="AN95" s="1002"/>
      <c r="AO95" s="1002"/>
      <c r="AP95" s="1002"/>
      <c r="AQ95" s="1002"/>
      <c r="AR95" s="1002"/>
      <c r="AS95" s="1002"/>
      <c r="AX95" s="1"/>
      <c r="BG95" s="152"/>
      <c r="BH95" s="152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52"/>
      <c r="DA95" s="1"/>
      <c r="DS95" s="5"/>
      <c r="DT95" s="152"/>
      <c r="DU95" s="152"/>
      <c r="DV95" s="152"/>
      <c r="DW95" s="152"/>
      <c r="FZ95" s="152"/>
      <c r="JU95" s="152"/>
      <c r="JV95" s="152"/>
      <c r="JW95" s="152"/>
      <c r="JX95" s="152"/>
      <c r="PB95" s="152"/>
      <c r="PC95" s="152"/>
      <c r="PE95" s="152"/>
      <c r="PS95" s="155"/>
      <c r="PW95" s="152"/>
      <c r="RZ95" s="155"/>
      <c r="AHI95" s="151"/>
      <c r="AIX95" s="151"/>
      <c r="AIY95" s="151"/>
      <c r="AIZ95" s="151"/>
    </row>
    <row r="96" spans="2:936" hidden="1" x14ac:dyDescent="0.25">
      <c r="B96" s="923"/>
      <c r="C96" s="649" t="s">
        <v>49</v>
      </c>
      <c r="D96" s="650">
        <v>0.3</v>
      </c>
      <c r="E96" s="683" t="s">
        <v>25</v>
      </c>
      <c r="F96" s="627">
        <f t="shared" ref="F96:Q97" si="47">F89/F80*100</f>
        <v>100</v>
      </c>
      <c r="G96" s="627" t="e">
        <f t="shared" si="47"/>
        <v>#REF!</v>
      </c>
      <c r="H96" s="627" t="e">
        <f t="shared" si="47"/>
        <v>#DIV/0!</v>
      </c>
      <c r="I96" s="765" t="e">
        <f t="shared" si="47"/>
        <v>#DIV/0!</v>
      </c>
      <c r="J96" s="765" t="e">
        <f t="shared" si="47"/>
        <v>#DIV/0!</v>
      </c>
      <c r="K96" s="765" t="e">
        <f t="shared" si="47"/>
        <v>#DIV/0!</v>
      </c>
      <c r="L96" s="765" t="e">
        <f t="shared" si="47"/>
        <v>#DIV/0!</v>
      </c>
      <c r="M96" s="765" t="e">
        <f>M89/M80*100</f>
        <v>#DIV/0!</v>
      </c>
      <c r="N96" s="765" t="e">
        <f t="shared" si="47"/>
        <v>#DIV/0!</v>
      </c>
      <c r="O96" s="765" t="e">
        <f t="shared" si="47"/>
        <v>#DIV/0!</v>
      </c>
      <c r="P96" s="765" t="e">
        <f>P89/P80*100</f>
        <v>#DIV/0!</v>
      </c>
      <c r="Q96" s="765" t="e">
        <f t="shared" si="47"/>
        <v>#DIV/0!</v>
      </c>
      <c r="R96" s="911"/>
      <c r="S96" s="67" t="e">
        <f t="shared" ref="S96:U97" si="48">S89/S80*100</f>
        <v>#REF!</v>
      </c>
      <c r="T96" s="861" t="e">
        <f t="shared" si="48"/>
        <v>#REF!</v>
      </c>
      <c r="U96" s="968" t="e">
        <f t="shared" si="48"/>
        <v>#REF!</v>
      </c>
      <c r="W96" s="6"/>
      <c r="X96" s="71"/>
      <c r="Y96" s="100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1002"/>
      <c r="AK96" s="1002"/>
      <c r="AL96" s="1002"/>
      <c r="AM96" s="1002"/>
      <c r="AN96" s="1002"/>
      <c r="AO96" s="1002"/>
      <c r="AP96" s="1002"/>
      <c r="AQ96" s="1002"/>
      <c r="AR96" s="1002"/>
      <c r="AS96" s="1002"/>
      <c r="AX96" s="1"/>
      <c r="BG96" s="152"/>
      <c r="BH96" s="152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52"/>
      <c r="DA96" s="1"/>
      <c r="DS96" s="5"/>
      <c r="DT96" s="152"/>
      <c r="DU96" s="152"/>
      <c r="DV96" s="152"/>
      <c r="DW96" s="152"/>
      <c r="FZ96" s="152"/>
      <c r="JU96" s="152"/>
      <c r="JV96" s="152"/>
      <c r="JW96" s="152"/>
      <c r="JX96" s="152"/>
      <c r="PB96" s="152"/>
      <c r="PC96" s="152"/>
      <c r="PE96" s="152"/>
      <c r="PS96" s="155"/>
      <c r="PW96" s="152"/>
      <c r="RZ96" s="155"/>
      <c r="AHI96" s="151"/>
      <c r="AIX96" s="151"/>
      <c r="AIY96" s="151"/>
      <c r="AIZ96" s="151"/>
    </row>
    <row r="97" spans="2:936" hidden="1" x14ac:dyDescent="0.25">
      <c r="B97" s="923"/>
      <c r="C97" s="649" t="s">
        <v>48</v>
      </c>
      <c r="D97" s="650">
        <v>0.3</v>
      </c>
      <c r="E97" s="683" t="s">
        <v>25</v>
      </c>
      <c r="F97" s="627">
        <f t="shared" si="47"/>
        <v>100</v>
      </c>
      <c r="G97" s="627" t="e">
        <f t="shared" si="47"/>
        <v>#REF!</v>
      </c>
      <c r="H97" s="627" t="e">
        <f t="shared" si="47"/>
        <v>#DIV/0!</v>
      </c>
      <c r="I97" s="765" t="e">
        <f t="shared" si="47"/>
        <v>#DIV/0!</v>
      </c>
      <c r="J97" s="765" t="e">
        <f t="shared" si="47"/>
        <v>#DIV/0!</v>
      </c>
      <c r="K97" s="765" t="e">
        <f t="shared" si="47"/>
        <v>#DIV/0!</v>
      </c>
      <c r="L97" s="765" t="e">
        <f t="shared" si="47"/>
        <v>#DIV/0!</v>
      </c>
      <c r="M97" s="765" t="e">
        <f t="shared" si="47"/>
        <v>#DIV/0!</v>
      </c>
      <c r="N97" s="765" t="e">
        <f t="shared" si="47"/>
        <v>#DIV/0!</v>
      </c>
      <c r="O97" s="765" t="e">
        <f t="shared" si="47"/>
        <v>#DIV/0!</v>
      </c>
      <c r="P97" s="765" t="e">
        <f t="shared" si="47"/>
        <v>#DIV/0!</v>
      </c>
      <c r="Q97" s="765" t="e">
        <f t="shared" si="47"/>
        <v>#DIV/0!</v>
      </c>
      <c r="R97" s="911"/>
      <c r="S97" s="67" t="e">
        <f t="shared" si="48"/>
        <v>#REF!</v>
      </c>
      <c r="T97" s="861" t="e">
        <f t="shared" si="48"/>
        <v>#REF!</v>
      </c>
      <c r="U97" s="968" t="e">
        <f t="shared" si="48"/>
        <v>#REF!</v>
      </c>
      <c r="W97" s="6"/>
      <c r="X97" s="71"/>
      <c r="Y97" s="100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1002"/>
      <c r="AK97" s="1002"/>
      <c r="AL97" s="1002"/>
      <c r="AM97" s="1002"/>
      <c r="AN97" s="1002"/>
      <c r="AO97" s="1002"/>
      <c r="AP97" s="1002"/>
      <c r="AQ97" s="1002"/>
      <c r="AR97" s="1002"/>
      <c r="AS97" s="1002"/>
      <c r="AX97" s="1"/>
      <c r="BG97" s="152"/>
      <c r="BH97" s="152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52"/>
      <c r="DA97" s="1"/>
      <c r="DS97" s="5"/>
      <c r="DT97" s="152"/>
      <c r="DU97" s="152"/>
      <c r="DV97" s="152"/>
      <c r="DW97" s="152"/>
      <c r="FZ97" s="152"/>
      <c r="JU97" s="152"/>
      <c r="JV97" s="152"/>
      <c r="JW97" s="152"/>
      <c r="JX97" s="152"/>
      <c r="PB97" s="152"/>
      <c r="PC97" s="152"/>
      <c r="PE97" s="152"/>
      <c r="PS97" s="155"/>
      <c r="PW97" s="152"/>
      <c r="RZ97" s="155"/>
      <c r="AHI97" s="151"/>
      <c r="AIX97" s="151"/>
      <c r="AIY97" s="151"/>
      <c r="AIZ97" s="151"/>
    </row>
    <row r="98" spans="2:936" hidden="1" x14ac:dyDescent="0.25">
      <c r="B98" s="923"/>
      <c r="C98" s="756" t="s">
        <v>28</v>
      </c>
      <c r="D98" s="650"/>
      <c r="E98" s="651"/>
      <c r="F98" s="627"/>
      <c r="G98" s="627"/>
      <c r="H98" s="627"/>
      <c r="I98" s="627"/>
      <c r="J98" s="627"/>
      <c r="K98" s="627"/>
      <c r="L98" s="627"/>
      <c r="M98" s="627"/>
      <c r="N98" s="627"/>
      <c r="O98" s="627"/>
      <c r="P98" s="627"/>
      <c r="Q98" s="627"/>
      <c r="R98" s="911"/>
      <c r="S98" s="72" t="s">
        <v>28</v>
      </c>
      <c r="T98" s="880" t="s">
        <v>28</v>
      </c>
      <c r="U98" s="984" t="s">
        <v>28</v>
      </c>
      <c r="W98" s="6"/>
      <c r="X98" s="71"/>
      <c r="Y98" s="100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1002"/>
      <c r="AK98" s="1002"/>
      <c r="AL98" s="1002"/>
      <c r="AM98" s="1002"/>
      <c r="AN98" s="1002"/>
      <c r="AO98" s="1002"/>
      <c r="AP98" s="1002"/>
      <c r="AQ98" s="1002"/>
      <c r="AR98" s="1002"/>
      <c r="AS98" s="1002"/>
      <c r="AX98" s="1"/>
      <c r="BG98" s="152"/>
      <c r="BH98" s="152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52"/>
      <c r="DA98" s="1"/>
      <c r="DS98" s="5"/>
      <c r="DT98" s="152"/>
      <c r="DU98" s="152"/>
      <c r="DV98" s="152"/>
      <c r="DW98" s="152"/>
      <c r="FZ98" s="152"/>
      <c r="JU98" s="152"/>
      <c r="JV98" s="152"/>
      <c r="JW98" s="152"/>
      <c r="JX98" s="152"/>
      <c r="PB98" s="152"/>
      <c r="PC98" s="152"/>
      <c r="PE98" s="152"/>
      <c r="PS98" s="155"/>
      <c r="PW98" s="152"/>
      <c r="RZ98" s="155"/>
      <c r="AHI98" s="151"/>
      <c r="AIX98" s="151"/>
      <c r="AIY98" s="151"/>
      <c r="AIZ98" s="151"/>
    </row>
    <row r="99" spans="2:936" hidden="1" x14ac:dyDescent="0.25">
      <c r="B99" s="923"/>
      <c r="C99" s="649" t="s">
        <v>49</v>
      </c>
      <c r="D99" s="650">
        <v>0.5</v>
      </c>
      <c r="E99" s="683" t="s">
        <v>25</v>
      </c>
      <c r="F99" s="627">
        <f t="shared" ref="F99:Q100" si="49">F92/F83*100</f>
        <v>100</v>
      </c>
      <c r="G99" s="627" t="e">
        <f t="shared" si="49"/>
        <v>#REF!</v>
      </c>
      <c r="H99" s="627" t="e">
        <f t="shared" si="49"/>
        <v>#DIV/0!</v>
      </c>
      <c r="I99" s="765" t="e">
        <f t="shared" si="49"/>
        <v>#DIV/0!</v>
      </c>
      <c r="J99" s="765" t="e">
        <f t="shared" si="49"/>
        <v>#DIV/0!</v>
      </c>
      <c r="K99" s="765" t="e">
        <f t="shared" si="49"/>
        <v>#DIV/0!</v>
      </c>
      <c r="L99" s="765" t="e">
        <f t="shared" si="49"/>
        <v>#DIV/0!</v>
      </c>
      <c r="M99" s="765" t="e">
        <f t="shared" si="49"/>
        <v>#DIV/0!</v>
      </c>
      <c r="N99" s="765" t="e">
        <f t="shared" si="49"/>
        <v>#DIV/0!</v>
      </c>
      <c r="O99" s="765" t="e">
        <f t="shared" si="49"/>
        <v>#DIV/0!</v>
      </c>
      <c r="P99" s="765" t="e">
        <f t="shared" si="49"/>
        <v>#DIV/0!</v>
      </c>
      <c r="Q99" s="765" t="e">
        <f t="shared" si="49"/>
        <v>#DIV/0!</v>
      </c>
      <c r="R99" s="911"/>
      <c r="S99" s="67" t="e">
        <f t="shared" ref="S99:U100" si="50">S92/S83*100</f>
        <v>#REF!</v>
      </c>
      <c r="T99" s="861" t="e">
        <f t="shared" si="50"/>
        <v>#REF!</v>
      </c>
      <c r="U99" s="968" t="e">
        <f t="shared" si="50"/>
        <v>#REF!</v>
      </c>
      <c r="W99" s="6"/>
      <c r="X99" s="71"/>
      <c r="Y99" s="100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1002"/>
      <c r="AK99" s="1002"/>
      <c r="AL99" s="1002"/>
      <c r="AM99" s="1002"/>
      <c r="AN99" s="1002"/>
      <c r="AO99" s="1002"/>
      <c r="AP99" s="1002"/>
      <c r="AQ99" s="1002"/>
      <c r="AR99" s="1002"/>
      <c r="AS99" s="1002"/>
      <c r="AX99" s="1"/>
      <c r="BG99" s="152"/>
      <c r="BH99" s="152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52"/>
      <c r="DA99" s="1"/>
      <c r="DS99" s="5"/>
      <c r="DT99" s="152"/>
      <c r="DU99" s="152"/>
      <c r="DV99" s="152"/>
      <c r="DW99" s="152"/>
      <c r="FZ99" s="152"/>
      <c r="JU99" s="152"/>
      <c r="JV99" s="152"/>
      <c r="JW99" s="152"/>
      <c r="JX99" s="152"/>
      <c r="PB99" s="152"/>
      <c r="PC99" s="152"/>
      <c r="PE99" s="152"/>
      <c r="PS99" s="155"/>
      <c r="PW99" s="152"/>
      <c r="RZ99" s="155"/>
      <c r="AHI99" s="151"/>
      <c r="AIX99" s="151"/>
      <c r="AIY99" s="151"/>
      <c r="AIZ99" s="151"/>
    </row>
    <row r="100" spans="2:936" hidden="1" x14ac:dyDescent="0.25">
      <c r="B100" s="923"/>
      <c r="C100" s="649" t="s">
        <v>48</v>
      </c>
      <c r="D100" s="650">
        <v>0.5</v>
      </c>
      <c r="E100" s="683" t="s">
        <v>25</v>
      </c>
      <c r="F100" s="627">
        <f t="shared" si="49"/>
        <v>100</v>
      </c>
      <c r="G100" s="627" t="e">
        <f t="shared" si="49"/>
        <v>#REF!</v>
      </c>
      <c r="H100" s="627" t="e">
        <f t="shared" si="49"/>
        <v>#DIV/0!</v>
      </c>
      <c r="I100" s="765" t="e">
        <f t="shared" si="49"/>
        <v>#DIV/0!</v>
      </c>
      <c r="J100" s="765" t="e">
        <f t="shared" si="49"/>
        <v>#DIV/0!</v>
      </c>
      <c r="K100" s="765" t="e">
        <f t="shared" si="49"/>
        <v>#DIV/0!</v>
      </c>
      <c r="L100" s="765" t="e">
        <f t="shared" si="49"/>
        <v>#DIV/0!</v>
      </c>
      <c r="M100" s="765" t="e">
        <f t="shared" si="49"/>
        <v>#DIV/0!</v>
      </c>
      <c r="N100" s="765" t="e">
        <f t="shared" si="49"/>
        <v>#DIV/0!</v>
      </c>
      <c r="O100" s="765" t="e">
        <f t="shared" si="49"/>
        <v>#DIV/0!</v>
      </c>
      <c r="P100" s="765" t="e">
        <f t="shared" si="49"/>
        <v>#DIV/0!</v>
      </c>
      <c r="Q100" s="765" t="e">
        <f t="shared" si="49"/>
        <v>#DIV/0!</v>
      </c>
      <c r="R100" s="911"/>
      <c r="S100" s="67" t="e">
        <f t="shared" si="50"/>
        <v>#REF!</v>
      </c>
      <c r="T100" s="861" t="e">
        <f t="shared" si="50"/>
        <v>#REF!</v>
      </c>
      <c r="U100" s="968" t="e">
        <f t="shared" si="50"/>
        <v>#REF!</v>
      </c>
      <c r="W100" s="6"/>
      <c r="X100" s="71"/>
      <c r="Y100" s="100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1002"/>
      <c r="AK100" s="1002"/>
      <c r="AL100" s="1002"/>
      <c r="AM100" s="1002"/>
      <c r="AN100" s="1002"/>
      <c r="AO100" s="1002"/>
      <c r="AP100" s="1002"/>
      <c r="AQ100" s="1002"/>
      <c r="AR100" s="1002"/>
      <c r="AS100" s="1002"/>
      <c r="AX100" s="1"/>
      <c r="BG100" s="152"/>
      <c r="BH100" s="152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52"/>
      <c r="DA100" s="1"/>
      <c r="DS100" s="5"/>
      <c r="DT100" s="152"/>
      <c r="DU100" s="152"/>
      <c r="DV100" s="152"/>
      <c r="DW100" s="152"/>
      <c r="FZ100" s="152"/>
      <c r="JU100" s="152"/>
      <c r="JV100" s="152"/>
      <c r="JW100" s="152"/>
      <c r="JX100" s="152"/>
      <c r="PB100" s="152"/>
      <c r="PC100" s="152"/>
      <c r="PE100" s="152"/>
      <c r="PS100" s="155"/>
      <c r="PW100" s="152"/>
      <c r="RZ100" s="155"/>
      <c r="AHI100" s="151"/>
      <c r="AIX100" s="151"/>
      <c r="AIY100" s="151"/>
      <c r="AIZ100" s="151"/>
    </row>
    <row r="101" spans="2:936" hidden="1" x14ac:dyDescent="0.25">
      <c r="B101" s="919">
        <v>6</v>
      </c>
      <c r="C101" s="605" t="s">
        <v>47</v>
      </c>
      <c r="D101" s="54"/>
      <c r="E101" s="54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3"/>
      <c r="S101" s="709" t="s">
        <v>131</v>
      </c>
      <c r="T101" s="869" t="s">
        <v>131</v>
      </c>
      <c r="U101" s="975" t="s">
        <v>131</v>
      </c>
      <c r="W101" s="6"/>
      <c r="X101" s="71"/>
      <c r="Y101" s="100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1002"/>
      <c r="AK101" s="1002"/>
      <c r="AL101" s="1002"/>
      <c r="AM101" s="1002"/>
      <c r="AN101" s="1002"/>
      <c r="AO101" s="1002"/>
      <c r="AP101" s="1002"/>
      <c r="AQ101" s="1002"/>
      <c r="AR101" s="1002"/>
      <c r="AS101" s="1002"/>
      <c r="AX101" s="1"/>
      <c r="BG101" s="151"/>
      <c r="BH101" s="15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51"/>
      <c r="DA101" s="1"/>
      <c r="DS101" s="5"/>
      <c r="DT101" s="151"/>
      <c r="DU101" s="151"/>
      <c r="DV101" s="151"/>
      <c r="DW101" s="151"/>
      <c r="FZ101" s="151"/>
      <c r="JU101" s="151"/>
      <c r="JV101" s="151"/>
      <c r="JW101" s="151"/>
      <c r="JX101" s="151"/>
      <c r="PB101" s="151"/>
      <c r="PC101" s="151"/>
      <c r="PE101" s="151"/>
      <c r="PS101" s="668"/>
      <c r="PW101" s="151"/>
      <c r="RZ101" s="668"/>
      <c r="AHI101" s="151"/>
      <c r="AIX101" s="151"/>
      <c r="AIY101" s="151"/>
      <c r="AIZ101" s="151"/>
    </row>
    <row r="102" spans="2:936" hidden="1" x14ac:dyDescent="0.25">
      <c r="B102" s="920"/>
      <c r="C102" s="766" t="s">
        <v>46</v>
      </c>
      <c r="D102" s="767"/>
      <c r="E102" s="20" t="s">
        <v>14</v>
      </c>
      <c r="F102" s="768">
        <f>'[24]Januari 24'!AL96</f>
        <v>461724.07999999996</v>
      </c>
      <c r="G102" s="769" t="e">
        <f>'[24]Februari 24'!AI96</f>
        <v>#REF!</v>
      </c>
      <c r="H102" s="768">
        <f>'[24]Maret 24'!AL96</f>
        <v>0</v>
      </c>
      <c r="I102" s="768">
        <f>'[24]April 24'!AL96</f>
        <v>0</v>
      </c>
      <c r="J102" s="768">
        <f>'[24]Mei 24'!AL96</f>
        <v>0</v>
      </c>
      <c r="K102" s="768">
        <f>'[24]Juny 24'!AL96</f>
        <v>0</v>
      </c>
      <c r="L102" s="768">
        <f>'[24]July 24'!AL96</f>
        <v>0</v>
      </c>
      <c r="M102" s="768">
        <f>'[24]Agustus 24'!AL96</f>
        <v>0</v>
      </c>
      <c r="N102" s="768">
        <f>'[24]September 24'!AL96</f>
        <v>0</v>
      </c>
      <c r="O102" s="768">
        <f>'[24]Oktober 24'!AL96</f>
        <v>0</v>
      </c>
      <c r="P102" s="768">
        <f>'[24]November 24'!AL96</f>
        <v>0</v>
      </c>
      <c r="Q102" s="768">
        <f>'[24]Desember 24'!AL96</f>
        <v>0</v>
      </c>
      <c r="R102" s="925"/>
      <c r="S102" s="98" t="e">
        <f>SUM(S103:S104)</f>
        <v>#REF!</v>
      </c>
      <c r="T102" s="878" t="e">
        <f>SUM(T103:T104)</f>
        <v>#REF!</v>
      </c>
      <c r="U102" s="986" t="e">
        <f>SUM(U103:U104)</f>
        <v>#REF!</v>
      </c>
      <c r="W102" s="1016"/>
      <c r="X102" s="71"/>
      <c r="Y102" s="100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1014"/>
      <c r="AK102" s="1014"/>
      <c r="AL102" s="1014"/>
      <c r="AM102" s="1014"/>
      <c r="AN102" s="1014"/>
      <c r="AO102" s="1014"/>
      <c r="AP102" s="1014"/>
      <c r="AQ102" s="1014"/>
      <c r="AR102" s="1014"/>
      <c r="AS102" s="1014"/>
      <c r="AX102" s="1"/>
      <c r="BG102" s="156"/>
      <c r="BH102" s="156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56"/>
      <c r="DA102" s="1"/>
      <c r="DS102" s="622"/>
      <c r="DT102" s="156"/>
      <c r="DU102" s="156"/>
      <c r="DV102" s="156"/>
      <c r="DW102" s="156"/>
      <c r="FZ102" s="156"/>
      <c r="JU102" s="156"/>
      <c r="JV102" s="156"/>
      <c r="JW102" s="156"/>
      <c r="JX102" s="156"/>
      <c r="PB102" s="156"/>
      <c r="PC102" s="156"/>
      <c r="PE102" s="156"/>
      <c r="PS102" s="750"/>
      <c r="PW102" s="156"/>
      <c r="RZ102" s="750"/>
      <c r="AHI102" s="161"/>
      <c r="AIX102" s="161"/>
      <c r="AIY102" s="161"/>
      <c r="AIZ102" s="161"/>
    </row>
    <row r="103" spans="2:936" hidden="1" x14ac:dyDescent="0.25">
      <c r="B103" s="923"/>
      <c r="C103" s="756" t="s">
        <v>39</v>
      </c>
      <c r="D103" s="663"/>
      <c r="E103" s="683" t="s">
        <v>14</v>
      </c>
      <c r="F103" s="627">
        <f>SUM(F107:F108)*10.86</f>
        <v>463439.63999999996</v>
      </c>
      <c r="G103" s="713">
        <f>SUM(G107:G108)*10.86</f>
        <v>0</v>
      </c>
      <c r="H103" s="711">
        <f>'[24]Maret 24'!AL97</f>
        <v>0</v>
      </c>
      <c r="I103" s="627">
        <f t="shared" ref="I103:Q103" si="51">SUM(I107:I108)*10.86</f>
        <v>0</v>
      </c>
      <c r="J103" s="713">
        <f>'[24]Mei 24'!AL97</f>
        <v>0</v>
      </c>
      <c r="K103" s="627">
        <f t="shared" si="51"/>
        <v>0</v>
      </c>
      <c r="L103" s="713">
        <f t="shared" si="51"/>
        <v>0</v>
      </c>
      <c r="M103" s="627">
        <f t="shared" si="51"/>
        <v>0</v>
      </c>
      <c r="N103" s="713">
        <f t="shared" si="51"/>
        <v>0</v>
      </c>
      <c r="O103" s="627">
        <f t="shared" si="51"/>
        <v>0</v>
      </c>
      <c r="P103" s="713">
        <f t="shared" si="51"/>
        <v>0</v>
      </c>
      <c r="Q103" s="627">
        <f t="shared" si="51"/>
        <v>0</v>
      </c>
      <c r="R103" s="911"/>
      <c r="S103" s="67">
        <f t="shared" ref="S103:U104" si="52">SUM(F103:Q103)</f>
        <v>463439.63999999996</v>
      </c>
      <c r="T103" s="861">
        <f t="shared" si="52"/>
        <v>0</v>
      </c>
      <c r="U103" s="968">
        <f t="shared" si="52"/>
        <v>463439.63999999996</v>
      </c>
      <c r="W103" s="6"/>
      <c r="X103" s="71"/>
      <c r="Y103" s="100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1017"/>
      <c r="AK103" s="1014"/>
      <c r="AL103" s="1014"/>
      <c r="AM103" s="1014"/>
      <c r="AN103" s="1014"/>
      <c r="AO103" s="1014"/>
      <c r="AP103" s="1002"/>
      <c r="AQ103" s="1002"/>
      <c r="AR103" s="1002"/>
      <c r="AS103" s="1002"/>
      <c r="AX103" s="1"/>
      <c r="BG103" s="152"/>
      <c r="BH103" s="152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52"/>
      <c r="DA103" s="1"/>
      <c r="DS103" s="5"/>
      <c r="DT103" s="152"/>
      <c r="DU103" s="152"/>
      <c r="DV103" s="152"/>
      <c r="DW103" s="152"/>
      <c r="FZ103" s="152"/>
      <c r="JU103" s="152"/>
      <c r="JV103" s="152"/>
      <c r="JW103" s="152"/>
      <c r="JX103" s="152"/>
      <c r="PB103" s="152"/>
      <c r="PC103" s="770"/>
      <c r="PE103" s="152"/>
      <c r="PS103" s="155"/>
      <c r="PW103" s="152"/>
      <c r="RZ103" s="155"/>
      <c r="AHI103" s="151"/>
      <c r="AIX103" s="151"/>
      <c r="AIY103" s="151"/>
      <c r="AIZ103" s="151"/>
    </row>
    <row r="104" spans="2:936" hidden="1" x14ac:dyDescent="0.25">
      <c r="B104" s="923"/>
      <c r="C104" s="756" t="s">
        <v>38</v>
      </c>
      <c r="D104" s="663"/>
      <c r="E104" s="683" t="s">
        <v>14</v>
      </c>
      <c r="F104" s="627">
        <f t="shared" ref="F104:Q104" si="53">F102-F103</f>
        <v>-1715.5599999999977</v>
      </c>
      <c r="G104" s="711" t="e">
        <f t="shared" si="53"/>
        <v>#REF!</v>
      </c>
      <c r="H104" s="711">
        <f>'[24]Maret 24'!AL98</f>
        <v>0</v>
      </c>
      <c r="I104" s="627">
        <f t="shared" si="53"/>
        <v>0</v>
      </c>
      <c r="J104" s="713">
        <f t="shared" si="53"/>
        <v>0</v>
      </c>
      <c r="K104" s="627">
        <f t="shared" si="53"/>
        <v>0</v>
      </c>
      <c r="L104" s="713">
        <f t="shared" si="53"/>
        <v>0</v>
      </c>
      <c r="M104" s="627">
        <f t="shared" si="53"/>
        <v>0</v>
      </c>
      <c r="N104" s="713">
        <f t="shared" si="53"/>
        <v>0</v>
      </c>
      <c r="O104" s="627">
        <f t="shared" si="53"/>
        <v>0</v>
      </c>
      <c r="P104" s="713">
        <f t="shared" si="53"/>
        <v>0</v>
      </c>
      <c r="Q104" s="627">
        <f t="shared" si="53"/>
        <v>0</v>
      </c>
      <c r="R104" s="911"/>
      <c r="S104" s="67" t="e">
        <f>SUM(F104:Q104)</f>
        <v>#REF!</v>
      </c>
      <c r="T104" s="861" t="e">
        <f t="shared" si="52"/>
        <v>#REF!</v>
      </c>
      <c r="U104" s="968" t="e">
        <f t="shared" si="52"/>
        <v>#REF!</v>
      </c>
      <c r="W104" s="6"/>
      <c r="X104" s="71"/>
      <c r="Y104" s="100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1002"/>
      <c r="AK104" s="1002"/>
      <c r="AL104" s="1002"/>
      <c r="AM104" s="1002"/>
      <c r="AN104" s="1002"/>
      <c r="AO104" s="1002"/>
      <c r="AP104" s="1002"/>
      <c r="AQ104" s="1002"/>
      <c r="AR104" s="1002"/>
      <c r="AS104" s="1002"/>
      <c r="AX104" s="1"/>
      <c r="BG104" s="152"/>
      <c r="BH104" s="152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52"/>
      <c r="DA104" s="1"/>
      <c r="DS104" s="5"/>
      <c r="DT104" s="152"/>
      <c r="DU104" s="152"/>
      <c r="DV104" s="152"/>
      <c r="DW104" s="152"/>
      <c r="FZ104" s="152"/>
      <c r="JU104" s="152"/>
      <c r="JV104" s="152"/>
      <c r="JW104" s="152"/>
      <c r="JX104" s="152"/>
      <c r="PB104" s="152"/>
      <c r="PC104" s="152"/>
      <c r="PE104" s="152"/>
      <c r="PS104" s="155"/>
      <c r="PW104" s="152"/>
      <c r="RZ104" s="155"/>
      <c r="AHI104" s="151"/>
      <c r="AIX104" s="151"/>
      <c r="AIY104" s="151"/>
      <c r="AIZ104" s="151"/>
    </row>
    <row r="105" spans="2:936" hidden="1" x14ac:dyDescent="0.25">
      <c r="B105" s="923"/>
      <c r="C105" s="756" t="s">
        <v>50</v>
      </c>
      <c r="D105" s="663"/>
      <c r="E105" s="683" t="s">
        <v>14</v>
      </c>
      <c r="F105" s="627"/>
      <c r="G105" s="711">
        <v>0</v>
      </c>
      <c r="H105" s="627">
        <f>'[24]Maret 24'!AL99</f>
        <v>0</v>
      </c>
      <c r="I105" s="627"/>
      <c r="J105" s="627"/>
      <c r="K105" s="627"/>
      <c r="L105" s="627"/>
      <c r="M105" s="627"/>
      <c r="N105" s="627"/>
      <c r="O105" s="627"/>
      <c r="P105" s="627"/>
      <c r="Q105" s="627"/>
      <c r="R105" s="911"/>
      <c r="S105" s="67"/>
      <c r="T105" s="861"/>
      <c r="U105" s="968"/>
      <c r="W105" s="6"/>
      <c r="X105" s="71"/>
      <c r="Y105" s="100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1002"/>
      <c r="AK105" s="1002"/>
      <c r="AL105" s="1002"/>
      <c r="AM105" s="1002"/>
      <c r="AN105" s="1002"/>
      <c r="AO105" s="1002"/>
      <c r="AP105" s="1002"/>
      <c r="AQ105" s="1002"/>
      <c r="AR105" s="1002"/>
      <c r="AS105" s="1002"/>
      <c r="AX105" s="1"/>
      <c r="BG105" s="152"/>
      <c r="BH105" s="152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52"/>
      <c r="DA105" s="1"/>
      <c r="DS105" s="5"/>
      <c r="DT105" s="152"/>
      <c r="DU105" s="152"/>
      <c r="DV105" s="152"/>
      <c r="DW105" s="152"/>
      <c r="FZ105" s="152"/>
      <c r="JU105" s="152"/>
      <c r="JV105" s="152"/>
      <c r="JW105" s="152"/>
      <c r="JX105" s="152"/>
      <c r="PB105" s="152"/>
      <c r="PC105" s="152"/>
      <c r="PE105" s="152"/>
      <c r="PS105" s="155"/>
      <c r="PW105" s="152"/>
      <c r="RZ105" s="155"/>
      <c r="AHI105" s="151"/>
      <c r="AIX105" s="151"/>
      <c r="AIY105" s="151"/>
      <c r="AIZ105" s="151"/>
    </row>
    <row r="106" spans="2:936" hidden="1" x14ac:dyDescent="0.25">
      <c r="B106" s="923"/>
      <c r="C106" s="756" t="s">
        <v>29</v>
      </c>
      <c r="D106" s="663"/>
      <c r="E106" s="651"/>
      <c r="F106" s="626"/>
      <c r="G106" s="626"/>
      <c r="H106" s="626"/>
      <c r="I106" s="626"/>
      <c r="J106" s="626"/>
      <c r="K106" s="626"/>
      <c r="L106" s="626"/>
      <c r="M106" s="626"/>
      <c r="N106" s="626"/>
      <c r="O106" s="626"/>
      <c r="P106" s="626"/>
      <c r="Q106" s="626"/>
      <c r="R106" s="911"/>
      <c r="S106" s="72" t="s">
        <v>29</v>
      </c>
      <c r="T106" s="880" t="s">
        <v>29</v>
      </c>
      <c r="U106" s="984" t="s">
        <v>29</v>
      </c>
      <c r="W106" s="6"/>
      <c r="X106" s="71"/>
      <c r="Y106" s="100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1002"/>
      <c r="AK106" s="1002"/>
      <c r="AL106" s="1002"/>
      <c r="AM106" s="1002"/>
      <c r="AN106" s="1002"/>
      <c r="AO106" s="1002"/>
      <c r="AP106" s="1002"/>
      <c r="AQ106" s="1002"/>
      <c r="AR106" s="1002"/>
      <c r="AS106" s="1002"/>
      <c r="AX106" s="1"/>
      <c r="BG106" s="152"/>
      <c r="BH106" s="15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52"/>
      <c r="DA106" s="1"/>
      <c r="DS106" s="5"/>
      <c r="DT106" s="152"/>
      <c r="DU106" s="152"/>
      <c r="DV106" s="152"/>
      <c r="DW106" s="152"/>
      <c r="FZ106" s="152"/>
      <c r="JU106" s="152"/>
      <c r="JV106" s="152"/>
      <c r="JW106" s="152"/>
      <c r="JX106" s="152"/>
      <c r="PB106" s="152"/>
      <c r="PC106" s="152"/>
      <c r="PE106" s="152"/>
      <c r="PS106" s="155"/>
      <c r="PW106" s="152"/>
      <c r="RZ106" s="155"/>
      <c r="AHI106" s="151"/>
      <c r="AIX106" s="151"/>
      <c r="AIY106" s="151"/>
      <c r="AIZ106" s="151"/>
    </row>
    <row r="107" spans="2:936" hidden="1" x14ac:dyDescent="0.25">
      <c r="B107" s="924"/>
      <c r="C107" s="623" t="s">
        <v>45</v>
      </c>
      <c r="D107" s="624"/>
      <c r="E107" s="760" t="s">
        <v>31</v>
      </c>
      <c r="F107" s="297">
        <f>'[24]Januari 24'!AL101</f>
        <v>7439</v>
      </c>
      <c r="G107" s="297">
        <f>'[24]Februari 24'!AI101</f>
        <v>0</v>
      </c>
      <c r="H107" s="297">
        <f>'[24]Maret 24'!AL101</f>
        <v>0</v>
      </c>
      <c r="I107" s="297">
        <f>'[24]April 24'!AL101</f>
        <v>0</v>
      </c>
      <c r="J107" s="297">
        <f>'[24]Mei 24'!AL101</f>
        <v>0</v>
      </c>
      <c r="K107" s="297">
        <f>'[24]Juny 24'!AL101</f>
        <v>0</v>
      </c>
      <c r="L107" s="297">
        <f>'[24]July 24'!AL101</f>
        <v>0</v>
      </c>
      <c r="M107" s="297">
        <f>'[24]Agustus 24'!AL101</f>
        <v>0</v>
      </c>
      <c r="N107" s="297">
        <f>'[24]September 24'!AL101</f>
        <v>0</v>
      </c>
      <c r="O107" s="297">
        <f>'[24]Oktober 24'!AL101</f>
        <v>0</v>
      </c>
      <c r="P107" s="297">
        <f>'[24]November 24'!AL101</f>
        <v>0</v>
      </c>
      <c r="Q107" s="297">
        <f>'[24]Desember 24'!AL101</f>
        <v>0</v>
      </c>
      <c r="R107" s="913"/>
      <c r="S107" s="100">
        <f t="shared" ref="S107:S108" si="54">SUM(F107:Q107)</f>
        <v>7439</v>
      </c>
      <c r="T107" s="881">
        <v>1518699</v>
      </c>
      <c r="U107" s="968">
        <f>(S107/T107)*100</f>
        <v>0.48982714810505573</v>
      </c>
      <c r="W107" s="38"/>
      <c r="X107" s="71"/>
      <c r="Y107" s="100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1018"/>
      <c r="AK107" s="1018"/>
      <c r="AL107" s="1018"/>
      <c r="AM107" s="1018"/>
      <c r="AN107" s="1018"/>
      <c r="AO107" s="1018"/>
      <c r="AP107" s="1018"/>
      <c r="AQ107" s="1018"/>
      <c r="AR107" s="1018"/>
      <c r="AS107" s="1018"/>
      <c r="AX107" s="16"/>
      <c r="BG107" s="158"/>
      <c r="BH107" s="158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58"/>
      <c r="DA107" s="1"/>
      <c r="DS107" s="704"/>
      <c r="DT107" s="158"/>
      <c r="DU107" s="158"/>
      <c r="DV107" s="158"/>
      <c r="DW107" s="158"/>
      <c r="FZ107" s="158"/>
      <c r="JU107" s="158"/>
      <c r="JV107" s="158"/>
      <c r="JW107" s="158"/>
      <c r="JX107" s="158"/>
      <c r="PB107" s="158"/>
      <c r="PC107" s="158"/>
      <c r="PE107" s="158"/>
      <c r="PS107" s="761"/>
      <c r="PW107" s="158"/>
      <c r="RZ107" s="761"/>
      <c r="AHI107" s="154"/>
      <c r="AIX107" s="154"/>
      <c r="AIY107" s="154"/>
      <c r="AIZ107" s="154"/>
    </row>
    <row r="108" spans="2:936" hidden="1" x14ac:dyDescent="0.25">
      <c r="B108" s="924"/>
      <c r="C108" s="623" t="s">
        <v>44</v>
      </c>
      <c r="D108" s="624"/>
      <c r="E108" s="760" t="s">
        <v>31</v>
      </c>
      <c r="F108" s="297">
        <f>'[24]Januari 24'!AL102</f>
        <v>35235</v>
      </c>
      <c r="G108" s="297">
        <f>'[24]Februari 24'!AI102</f>
        <v>0</v>
      </c>
      <c r="H108" s="297">
        <f>'[24]Maret 24'!AL102</f>
        <v>0</v>
      </c>
      <c r="I108" s="297">
        <f>'[24]April 24'!AL102</f>
        <v>0</v>
      </c>
      <c r="J108" s="297">
        <f>'[24]Mei 24'!AL102</f>
        <v>0</v>
      </c>
      <c r="K108" s="297">
        <f>'[24]Juny 24'!AL102</f>
        <v>0</v>
      </c>
      <c r="L108" s="297">
        <f>'[24]July 24'!AL102</f>
        <v>0</v>
      </c>
      <c r="M108" s="297">
        <f>'[24]Agustus 24'!AL102</f>
        <v>0</v>
      </c>
      <c r="N108" s="297">
        <f>'[24]September 24'!AL102</f>
        <v>0</v>
      </c>
      <c r="O108" s="297">
        <f>'[24]Oktober 24'!AL102</f>
        <v>0</v>
      </c>
      <c r="P108" s="297">
        <f>'[24]November 24'!AL102</f>
        <v>0</v>
      </c>
      <c r="Q108" s="297">
        <f>'[24]Desember 24'!AL102</f>
        <v>0</v>
      </c>
      <c r="R108" s="913"/>
      <c r="S108" s="100">
        <f t="shared" si="54"/>
        <v>35235</v>
      </c>
      <c r="T108" s="881">
        <v>2112972</v>
      </c>
      <c r="U108" s="968">
        <f>(S108/T108)*100</f>
        <v>1.6675564086982695</v>
      </c>
      <c r="W108" s="38"/>
      <c r="X108" s="71"/>
      <c r="Y108" s="100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1018"/>
      <c r="AK108" s="1018"/>
      <c r="AL108" s="1018"/>
      <c r="AM108" s="1018"/>
      <c r="AN108" s="1018"/>
      <c r="AO108" s="1018"/>
      <c r="AP108" s="1018"/>
      <c r="AQ108" s="1018"/>
      <c r="AR108" s="1018"/>
      <c r="AS108" s="1018"/>
      <c r="AX108" s="16"/>
      <c r="BG108" s="158"/>
      <c r="BH108" s="158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58"/>
      <c r="DA108" s="1"/>
      <c r="DS108" s="704"/>
      <c r="DT108" s="158"/>
      <c r="DU108" s="158"/>
      <c r="DV108" s="158"/>
      <c r="DW108" s="158"/>
      <c r="FZ108" s="158"/>
      <c r="JU108" s="158"/>
      <c r="JV108" s="158"/>
      <c r="JW108" s="158"/>
      <c r="JX108" s="158"/>
      <c r="PB108" s="158"/>
      <c r="PC108" s="158"/>
      <c r="PE108" s="158"/>
      <c r="PS108" s="761"/>
      <c r="PW108" s="158"/>
      <c r="RZ108" s="761"/>
      <c r="AHI108" s="154"/>
      <c r="AIX108" s="154"/>
      <c r="AIY108" s="154"/>
      <c r="AIZ108" s="154"/>
    </row>
    <row r="109" spans="2:936" hidden="1" x14ac:dyDescent="0.25">
      <c r="B109" s="923"/>
      <c r="C109" s="756" t="s">
        <v>28</v>
      </c>
      <c r="D109" s="663"/>
      <c r="E109" s="651"/>
      <c r="F109" s="626"/>
      <c r="G109" s="626"/>
      <c r="H109" s="626"/>
      <c r="I109" s="626"/>
      <c r="J109" s="626"/>
      <c r="K109" s="626"/>
      <c r="L109" s="626"/>
      <c r="M109" s="626"/>
      <c r="N109" s="626"/>
      <c r="O109" s="626"/>
      <c r="P109" s="626"/>
      <c r="Q109" s="626"/>
      <c r="R109" s="911"/>
      <c r="S109" s="72" t="s">
        <v>28</v>
      </c>
      <c r="T109" s="880" t="s">
        <v>28</v>
      </c>
      <c r="U109" s="984" t="s">
        <v>28</v>
      </c>
      <c r="W109" s="6"/>
      <c r="X109" s="71"/>
      <c r="Y109" s="100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1002"/>
      <c r="AK109" s="1002"/>
      <c r="AL109" s="1002"/>
      <c r="AM109" s="1002"/>
      <c r="AN109" s="1002"/>
      <c r="AO109" s="1002"/>
      <c r="AP109" s="1002"/>
      <c r="AQ109" s="1002"/>
      <c r="AR109" s="1002"/>
      <c r="AS109" s="1002"/>
      <c r="AX109" s="1"/>
      <c r="BG109" s="152"/>
      <c r="BH109" s="152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52"/>
      <c r="DA109" s="1"/>
      <c r="DS109" s="5"/>
      <c r="DT109" s="152"/>
      <c r="DU109" s="152"/>
      <c r="DV109" s="152"/>
      <c r="DW109" s="152"/>
      <c r="FZ109" s="152"/>
      <c r="JU109" s="152"/>
      <c r="JV109" s="152"/>
      <c r="JW109" s="152"/>
      <c r="JX109" s="152"/>
      <c r="PB109" s="152"/>
      <c r="PC109" s="152"/>
      <c r="PE109" s="152"/>
      <c r="PS109" s="155"/>
      <c r="PW109" s="152"/>
      <c r="RZ109" s="155"/>
      <c r="AHI109" s="151"/>
      <c r="AIX109" s="151"/>
      <c r="AIY109" s="151"/>
      <c r="AIZ109" s="151"/>
    </row>
    <row r="110" spans="2:936" hidden="1" x14ac:dyDescent="0.25">
      <c r="B110" s="923"/>
      <c r="C110" s="623" t="s">
        <v>45</v>
      </c>
      <c r="D110" s="663"/>
      <c r="E110" s="683" t="s">
        <v>28</v>
      </c>
      <c r="F110" s="626">
        <f>F107*12</f>
        <v>89268</v>
      </c>
      <c r="G110" s="626">
        <f>G107*12</f>
        <v>0</v>
      </c>
      <c r="H110" s="626">
        <f>H107*12</f>
        <v>0</v>
      </c>
      <c r="I110" s="626">
        <f>I107*12</f>
        <v>0</v>
      </c>
      <c r="J110" s="626">
        <f t="shared" ref="J110:Q110" si="55">J107*12</f>
        <v>0</v>
      </c>
      <c r="K110" s="626">
        <f t="shared" si="55"/>
        <v>0</v>
      </c>
      <c r="L110" s="626">
        <f t="shared" si="55"/>
        <v>0</v>
      </c>
      <c r="M110" s="626">
        <f t="shared" si="55"/>
        <v>0</v>
      </c>
      <c r="N110" s="626">
        <f t="shared" si="55"/>
        <v>0</v>
      </c>
      <c r="O110" s="626">
        <f t="shared" si="55"/>
        <v>0</v>
      </c>
      <c r="P110" s="626">
        <f>P107*12</f>
        <v>0</v>
      </c>
      <c r="Q110" s="626">
        <f t="shared" si="55"/>
        <v>0</v>
      </c>
      <c r="R110" s="911"/>
      <c r="S110" s="63">
        <f>S107*12</f>
        <v>89268</v>
      </c>
      <c r="T110" s="858">
        <f>T107*12</f>
        <v>18224388</v>
      </c>
      <c r="U110" s="985">
        <f>U107*12</f>
        <v>5.8779257772606686</v>
      </c>
      <c r="W110" s="6"/>
      <c r="X110" s="71"/>
      <c r="Y110" s="100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1002"/>
      <c r="AK110" s="1002"/>
      <c r="AL110" s="1002"/>
      <c r="AM110" s="1002"/>
      <c r="AN110" s="1002"/>
      <c r="AO110" s="1002"/>
      <c r="AP110" s="1002"/>
      <c r="AQ110" s="1002"/>
      <c r="AR110" s="1002"/>
      <c r="AS110" s="1002"/>
      <c r="AX110" s="1"/>
      <c r="BG110" s="152"/>
      <c r="BH110" s="152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52"/>
      <c r="DA110" s="1"/>
      <c r="DS110" s="5"/>
      <c r="DT110" s="152"/>
      <c r="DU110" s="152"/>
      <c r="DV110" s="152"/>
      <c r="DW110" s="152"/>
      <c r="FZ110" s="152"/>
      <c r="JU110" s="152"/>
      <c r="JV110" s="152"/>
      <c r="JW110" s="152"/>
      <c r="JX110" s="152"/>
      <c r="PB110" s="152"/>
      <c r="PC110" s="152"/>
      <c r="PE110" s="152"/>
      <c r="PS110" s="155"/>
      <c r="PW110" s="152"/>
      <c r="RZ110" s="155"/>
      <c r="AHI110" s="151"/>
      <c r="AIX110" s="151"/>
      <c r="AIY110" s="151"/>
      <c r="AIZ110" s="151"/>
    </row>
    <row r="111" spans="2:936" hidden="1" x14ac:dyDescent="0.25">
      <c r="B111" s="923"/>
      <c r="C111" s="623" t="s">
        <v>44</v>
      </c>
      <c r="D111" s="663"/>
      <c r="E111" s="683" t="s">
        <v>28</v>
      </c>
      <c r="F111" s="626">
        <f>F108*6</f>
        <v>211410</v>
      </c>
      <c r="G111" s="626">
        <f>G108*6</f>
        <v>0</v>
      </c>
      <c r="H111" s="626">
        <f>H108*6</f>
        <v>0</v>
      </c>
      <c r="I111" s="626">
        <f>I108*6</f>
        <v>0</v>
      </c>
      <c r="J111" s="626">
        <f t="shared" ref="J111:Q111" si="56">J108*6</f>
        <v>0</v>
      </c>
      <c r="K111" s="626">
        <f t="shared" si="56"/>
        <v>0</v>
      </c>
      <c r="L111" s="626">
        <f t="shared" si="56"/>
        <v>0</v>
      </c>
      <c r="M111" s="626">
        <f t="shared" si="56"/>
        <v>0</v>
      </c>
      <c r="N111" s="626">
        <f t="shared" si="56"/>
        <v>0</v>
      </c>
      <c r="O111" s="626">
        <f t="shared" si="56"/>
        <v>0</v>
      </c>
      <c r="P111" s="626">
        <f t="shared" si="56"/>
        <v>0</v>
      </c>
      <c r="Q111" s="626">
        <f t="shared" si="56"/>
        <v>0</v>
      </c>
      <c r="R111" s="911"/>
      <c r="S111" s="63">
        <f>S108*6</f>
        <v>211410</v>
      </c>
      <c r="T111" s="858">
        <f>T108*6</f>
        <v>12677832</v>
      </c>
      <c r="U111" s="985">
        <f>U108*6</f>
        <v>10.005338452189617</v>
      </c>
      <c r="W111" s="6"/>
      <c r="X111" s="71"/>
      <c r="Y111" s="100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1002"/>
      <c r="AK111" s="1002"/>
      <c r="AL111" s="1002"/>
      <c r="AM111" s="1002"/>
      <c r="AN111" s="1002"/>
      <c r="AO111" s="1002"/>
      <c r="AP111" s="1002"/>
      <c r="AQ111" s="1002"/>
      <c r="AR111" s="1002"/>
      <c r="AS111" s="1002"/>
      <c r="AX111" s="1"/>
      <c r="BG111" s="152"/>
      <c r="BH111" s="152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52"/>
      <c r="DA111" s="1"/>
      <c r="DS111" s="5"/>
      <c r="DT111" s="152"/>
      <c r="DU111" s="152"/>
      <c r="DV111" s="152"/>
      <c r="DW111" s="152"/>
      <c r="FZ111" s="152"/>
      <c r="JU111" s="152"/>
      <c r="JV111" s="152"/>
      <c r="JW111" s="152"/>
      <c r="JX111" s="152"/>
      <c r="PB111" s="152"/>
      <c r="PC111" s="152"/>
      <c r="PE111" s="152"/>
      <c r="PS111" s="155"/>
      <c r="PW111" s="152"/>
      <c r="RZ111" s="155"/>
      <c r="AHI111" s="151"/>
      <c r="AIX111" s="151"/>
      <c r="AIY111" s="151"/>
      <c r="AIZ111" s="151"/>
    </row>
    <row r="112" spans="2:936" hidden="1" x14ac:dyDescent="0.25">
      <c r="B112" s="923"/>
      <c r="C112" s="756" t="s">
        <v>36</v>
      </c>
      <c r="D112" s="663"/>
      <c r="E112" s="683" t="s">
        <v>35</v>
      </c>
      <c r="F112" s="626">
        <f>(F102*45)/1700</f>
        <v>12222.107999999998</v>
      </c>
      <c r="G112" s="626" t="e">
        <f>(G102*45)/1700</f>
        <v>#REF!</v>
      </c>
      <c r="H112" s="626">
        <f>(H102*45)/1700</f>
        <v>0</v>
      </c>
      <c r="I112" s="762">
        <f>(I102*45)/1700</f>
        <v>0</v>
      </c>
      <c r="J112" s="762">
        <f t="shared" ref="J112:Q112" si="57">(J102*45)/1700</f>
        <v>0</v>
      </c>
      <c r="K112" s="762">
        <f t="shared" si="57"/>
        <v>0</v>
      </c>
      <c r="L112" s="762">
        <f t="shared" si="57"/>
        <v>0</v>
      </c>
      <c r="M112" s="762">
        <f t="shared" si="57"/>
        <v>0</v>
      </c>
      <c r="N112" s="762">
        <f t="shared" si="57"/>
        <v>0</v>
      </c>
      <c r="O112" s="762">
        <f t="shared" si="57"/>
        <v>0</v>
      </c>
      <c r="P112" s="762">
        <f>(P102*45)/1700</f>
        <v>0</v>
      </c>
      <c r="Q112" s="762">
        <f t="shared" si="57"/>
        <v>0</v>
      </c>
      <c r="R112" s="911"/>
      <c r="S112" s="771" t="e">
        <f t="shared" ref="S112:U113" si="58">SUM(F112:Q112)</f>
        <v>#REF!</v>
      </c>
      <c r="T112" s="882" t="e">
        <f t="shared" si="58"/>
        <v>#REF!</v>
      </c>
      <c r="U112" s="987" t="e">
        <f>SUM(H112:S112)</f>
        <v>#REF!</v>
      </c>
      <c r="W112" s="6"/>
      <c r="X112" s="71"/>
      <c r="Y112" s="100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1002"/>
      <c r="AK112" s="1002"/>
      <c r="AL112" s="1002"/>
      <c r="AM112" s="1002"/>
      <c r="AN112" s="1002"/>
      <c r="AO112" s="1002"/>
      <c r="AP112" s="1002"/>
      <c r="AQ112" s="1002"/>
      <c r="AR112" s="1002"/>
      <c r="AS112" s="1002"/>
      <c r="AX112" s="1"/>
      <c r="BG112" s="152"/>
      <c r="BH112" s="152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52"/>
      <c r="DA112" s="1"/>
      <c r="DS112" s="5"/>
      <c r="DT112" s="152"/>
      <c r="DU112" s="152"/>
      <c r="DV112" s="152"/>
      <c r="DW112" s="152"/>
      <c r="FZ112" s="152"/>
      <c r="JU112" s="152"/>
      <c r="JV112" s="152"/>
      <c r="JW112" s="152"/>
      <c r="JX112" s="152"/>
      <c r="PB112" s="152"/>
      <c r="PC112" s="152"/>
      <c r="PE112" s="152"/>
      <c r="PS112" s="155"/>
      <c r="PW112" s="152"/>
      <c r="RZ112" s="155"/>
      <c r="AHI112" s="151"/>
      <c r="AIX112" s="151"/>
      <c r="AIY112" s="151"/>
      <c r="AIZ112" s="151"/>
    </row>
    <row r="113" spans="2:936" hidden="1" x14ac:dyDescent="0.25">
      <c r="B113" s="923"/>
      <c r="C113" s="756" t="s">
        <v>34</v>
      </c>
      <c r="D113" s="663"/>
      <c r="E113" s="683" t="s">
        <v>33</v>
      </c>
      <c r="F113" s="626">
        <f>SUM(F107:F108)/500</f>
        <v>85.347999999999999</v>
      </c>
      <c r="G113" s="626">
        <f>SUM(G107:G108)/500</f>
        <v>0</v>
      </c>
      <c r="H113" s="626">
        <f>SUM(H107:H108)/500</f>
        <v>0</v>
      </c>
      <c r="I113" s="626">
        <f>SUM(I107:I108)/500</f>
        <v>0</v>
      </c>
      <c r="J113" s="626">
        <f t="shared" ref="J113:Q113" si="59">SUM(J107:J108)/500</f>
        <v>0</v>
      </c>
      <c r="K113" s="626">
        <f>SUM(K107:K108)/500</f>
        <v>0</v>
      </c>
      <c r="L113" s="626">
        <f>SUM(L107:L108)/500</f>
        <v>0</v>
      </c>
      <c r="M113" s="626">
        <f>SUM(M107:M108)/500</f>
        <v>0</v>
      </c>
      <c r="N113" s="626">
        <f t="shared" si="59"/>
        <v>0</v>
      </c>
      <c r="O113" s="626">
        <f t="shared" si="59"/>
        <v>0</v>
      </c>
      <c r="P113" s="626">
        <f t="shared" si="59"/>
        <v>0</v>
      </c>
      <c r="Q113" s="626">
        <f t="shared" si="59"/>
        <v>0</v>
      </c>
      <c r="R113" s="911"/>
      <c r="S113" s="771">
        <f t="shared" si="58"/>
        <v>85.347999999999999</v>
      </c>
      <c r="T113" s="882">
        <f t="shared" si="58"/>
        <v>0</v>
      </c>
      <c r="U113" s="987">
        <f t="shared" si="58"/>
        <v>85.347999999999999</v>
      </c>
      <c r="W113" s="6"/>
      <c r="X113" s="71"/>
      <c r="Y113" s="100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1002"/>
      <c r="AK113" s="1002"/>
      <c r="AL113" s="1002"/>
      <c r="AM113" s="1002"/>
      <c r="AN113" s="1002"/>
      <c r="AO113" s="1002"/>
      <c r="AP113" s="1002"/>
      <c r="AQ113" s="1002"/>
      <c r="AR113" s="1002"/>
      <c r="AS113" s="1002"/>
      <c r="AX113" s="1"/>
      <c r="BG113" s="152"/>
      <c r="BH113" s="152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52"/>
      <c r="DA113" s="1"/>
      <c r="DS113" s="5"/>
      <c r="DT113" s="152"/>
      <c r="DU113" s="152"/>
      <c r="DV113" s="152"/>
      <c r="DW113" s="152"/>
      <c r="FZ113" s="152"/>
      <c r="JU113" s="152"/>
      <c r="JV113" s="152"/>
      <c r="JW113" s="152"/>
      <c r="JX113" s="152"/>
      <c r="PB113" s="152"/>
      <c r="PC113" s="152"/>
      <c r="PE113" s="152"/>
      <c r="PS113" s="155"/>
      <c r="PW113" s="152"/>
      <c r="RZ113" s="155"/>
      <c r="AHI113" s="151"/>
      <c r="AIX113" s="151"/>
      <c r="AIY113" s="151"/>
      <c r="AIZ113" s="151"/>
    </row>
    <row r="114" spans="2:936" hidden="1" x14ac:dyDescent="0.25">
      <c r="B114" s="920"/>
      <c r="C114" s="605" t="s">
        <v>32</v>
      </c>
      <c r="D114" s="54"/>
      <c r="E114" s="54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3"/>
      <c r="S114" s="709" t="s">
        <v>132</v>
      </c>
      <c r="T114" s="869" t="s">
        <v>132</v>
      </c>
      <c r="U114" s="975" t="s">
        <v>132</v>
      </c>
      <c r="W114" s="6"/>
      <c r="X114" s="71"/>
      <c r="Y114" s="100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1002"/>
      <c r="AK114" s="1002"/>
      <c r="AL114" s="1002"/>
      <c r="AM114" s="1002"/>
      <c r="AN114" s="1002"/>
      <c r="AO114" s="1002"/>
      <c r="AP114" s="1002"/>
      <c r="AQ114" s="1002"/>
      <c r="AR114" s="1002"/>
      <c r="AS114" s="1002"/>
      <c r="AX114" s="1"/>
      <c r="BG114" s="151"/>
      <c r="BH114" s="15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51"/>
      <c r="DA114" s="1"/>
      <c r="DS114" s="5"/>
      <c r="DT114" s="151"/>
      <c r="DU114" s="151"/>
      <c r="DV114" s="151"/>
      <c r="DW114" s="151"/>
      <c r="FZ114" s="151"/>
      <c r="JU114" s="151"/>
      <c r="JV114" s="151"/>
      <c r="JW114" s="151"/>
      <c r="JX114" s="151"/>
      <c r="PB114" s="151"/>
      <c r="PC114" s="151"/>
      <c r="PE114" s="151"/>
      <c r="PS114" s="668"/>
      <c r="PW114" s="151"/>
      <c r="RZ114" s="668"/>
      <c r="AHI114" s="151"/>
      <c r="AIX114" s="151"/>
      <c r="AIY114" s="151"/>
      <c r="AIZ114" s="151"/>
    </row>
    <row r="115" spans="2:936" hidden="1" x14ac:dyDescent="0.25">
      <c r="B115" s="923"/>
      <c r="C115" s="756" t="s">
        <v>29</v>
      </c>
      <c r="D115" s="663"/>
      <c r="E115" s="651"/>
      <c r="F115" s="626"/>
      <c r="G115" s="626"/>
      <c r="H115" s="626"/>
      <c r="I115" s="626"/>
      <c r="J115" s="626"/>
      <c r="K115" s="626"/>
      <c r="L115" s="626"/>
      <c r="M115" s="626"/>
      <c r="N115" s="626"/>
      <c r="O115" s="626"/>
      <c r="P115" s="626"/>
      <c r="Q115" s="626"/>
      <c r="R115" s="911"/>
      <c r="S115" s="72" t="s">
        <v>29</v>
      </c>
      <c r="T115" s="880" t="s">
        <v>29</v>
      </c>
      <c r="U115" s="984" t="s">
        <v>29</v>
      </c>
      <c r="W115" s="6"/>
      <c r="X115" s="71"/>
      <c r="Y115" s="100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R115" s="71"/>
      <c r="AX115" s="1"/>
      <c r="BG115" s="152"/>
      <c r="BH115" s="152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52"/>
      <c r="DA115" s="1"/>
      <c r="DS115" s="5"/>
      <c r="DT115" s="152"/>
      <c r="DU115" s="152"/>
      <c r="DV115" s="152"/>
      <c r="DW115" s="152"/>
      <c r="FZ115" s="152"/>
      <c r="JU115" s="152"/>
      <c r="JV115" s="152"/>
      <c r="JW115" s="152"/>
      <c r="JX115" s="152"/>
      <c r="PB115" s="152"/>
      <c r="PC115" s="152"/>
      <c r="PE115" s="152"/>
      <c r="PS115" s="155"/>
      <c r="PW115" s="152"/>
      <c r="RZ115" s="155"/>
      <c r="AHI115" s="151"/>
      <c r="AIX115" s="151"/>
      <c r="AIY115" s="151"/>
      <c r="AIZ115" s="151"/>
    </row>
    <row r="116" spans="2:936" hidden="1" x14ac:dyDescent="0.25">
      <c r="B116" s="923"/>
      <c r="C116" s="623" t="s">
        <v>45</v>
      </c>
      <c r="D116" s="663"/>
      <c r="E116" s="683" t="s">
        <v>31</v>
      </c>
      <c r="F116" s="33">
        <f>'[24]Januari 24'!AL104</f>
        <v>89268</v>
      </c>
      <c r="G116" s="33">
        <f>'[24]Februari 24'!AI110</f>
        <v>0</v>
      </c>
      <c r="H116" s="33">
        <f>'[24]Maret 24'!AL101</f>
        <v>0</v>
      </c>
      <c r="I116" s="33">
        <f>'[24]April 24'!AL101</f>
        <v>0</v>
      </c>
      <c r="J116" s="33">
        <f>'[24]Mei 24'!AL110</f>
        <v>0</v>
      </c>
      <c r="K116" s="33">
        <f>'[24]Juny 24'!AL110</f>
        <v>0</v>
      </c>
      <c r="L116" s="33">
        <f>'[24]July 24'!AL110</f>
        <v>0</v>
      </c>
      <c r="M116" s="33">
        <f>'[24]Agustus 24'!AL83</f>
        <v>0</v>
      </c>
      <c r="N116" s="33">
        <f>'[24]September 24'!AL110</f>
        <v>0</v>
      </c>
      <c r="O116" s="33">
        <f>'[24]Oktober 24'!AL110</f>
        <v>0</v>
      </c>
      <c r="P116" s="33">
        <f>'[24]November 24'!AL110</f>
        <v>0</v>
      </c>
      <c r="Q116" s="33">
        <f>'[24]Desember 24'!AL110</f>
        <v>0</v>
      </c>
      <c r="R116" s="911"/>
      <c r="S116" s="63">
        <f t="shared" ref="S116:U117" si="60">SUM(F116:Q116)</f>
        <v>89268</v>
      </c>
      <c r="T116" s="858">
        <f t="shared" si="60"/>
        <v>0</v>
      </c>
      <c r="U116" s="985">
        <f t="shared" si="60"/>
        <v>89268</v>
      </c>
      <c r="W116" s="6"/>
      <c r="X116" s="71"/>
      <c r="Y116" s="100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R116" s="71"/>
      <c r="AX116" s="1"/>
      <c r="BG116" s="152"/>
      <c r="BH116" s="152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52"/>
      <c r="DA116" s="1"/>
      <c r="DS116" s="5"/>
      <c r="DT116" s="152"/>
      <c r="DU116" s="152"/>
      <c r="DV116" s="152"/>
      <c r="DW116" s="152"/>
      <c r="FZ116" s="152"/>
      <c r="JU116" s="152"/>
      <c r="JV116" s="152"/>
      <c r="JW116" s="152"/>
      <c r="JX116" s="152"/>
      <c r="PB116" s="152"/>
      <c r="PC116" s="152"/>
      <c r="PE116" s="152"/>
      <c r="PS116" s="155"/>
      <c r="PW116" s="152"/>
      <c r="RZ116" s="155"/>
      <c r="AHI116" s="151"/>
      <c r="AIX116" s="151"/>
      <c r="AIY116" s="151"/>
      <c r="AIZ116" s="151"/>
    </row>
    <row r="117" spans="2:936" hidden="1" x14ac:dyDescent="0.25">
      <c r="B117" s="923"/>
      <c r="C117" s="623" t="s">
        <v>44</v>
      </c>
      <c r="D117" s="663"/>
      <c r="E117" s="683" t="s">
        <v>31</v>
      </c>
      <c r="F117" s="33">
        <f>'[24]Januari 24'!AL105</f>
        <v>211410</v>
      </c>
      <c r="G117" s="33">
        <f>'[24]Februari 24'!AI111</f>
        <v>0</v>
      </c>
      <c r="H117" s="33">
        <f>'[24]Maret 24'!AL102</f>
        <v>0</v>
      </c>
      <c r="I117" s="33">
        <f>'[24]April 24'!AL102</f>
        <v>0</v>
      </c>
      <c r="J117" s="33">
        <f>'[24]Mei 24'!AL111</f>
        <v>0</v>
      </c>
      <c r="K117" s="33">
        <f>'[24]Juny 24'!AL111</f>
        <v>0</v>
      </c>
      <c r="L117" s="33">
        <f>'[24]July 24'!AL111</f>
        <v>0</v>
      </c>
      <c r="M117" s="33">
        <f>'[24]Agustus 24'!AL84</f>
        <v>0</v>
      </c>
      <c r="N117" s="33">
        <f>'[24]September 24'!AL111</f>
        <v>0</v>
      </c>
      <c r="O117" s="33">
        <f>'[24]Oktober 24'!AL111</f>
        <v>0</v>
      </c>
      <c r="P117" s="33">
        <f>'[24]November 24'!AL111</f>
        <v>0</v>
      </c>
      <c r="Q117" s="33">
        <f>'[24]Desember 24'!AL111</f>
        <v>0</v>
      </c>
      <c r="R117" s="911"/>
      <c r="S117" s="63">
        <f t="shared" si="60"/>
        <v>211410</v>
      </c>
      <c r="T117" s="858">
        <f t="shared" si="60"/>
        <v>0</v>
      </c>
      <c r="U117" s="985">
        <f t="shared" si="60"/>
        <v>211410</v>
      </c>
      <c r="W117" s="6"/>
      <c r="X117" s="71"/>
      <c r="Y117" s="100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R117" s="71"/>
      <c r="AX117" s="1"/>
      <c r="BG117" s="152"/>
      <c r="BH117" s="152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52"/>
      <c r="DA117" s="1"/>
      <c r="DS117" s="5"/>
      <c r="DT117" s="152"/>
      <c r="DU117" s="152"/>
      <c r="DV117" s="152"/>
      <c r="DW117" s="152"/>
      <c r="FZ117" s="152"/>
      <c r="JU117" s="152"/>
      <c r="JV117" s="152"/>
      <c r="JW117" s="152"/>
      <c r="JX117" s="152"/>
      <c r="PB117" s="152"/>
      <c r="PC117" s="152"/>
      <c r="PE117" s="152"/>
      <c r="PS117" s="155"/>
      <c r="PW117" s="152"/>
      <c r="RZ117" s="155"/>
      <c r="AHI117" s="151"/>
      <c r="AIX117" s="151"/>
      <c r="AIY117" s="151"/>
      <c r="AIZ117" s="151"/>
    </row>
    <row r="118" spans="2:936" hidden="1" x14ac:dyDescent="0.25">
      <c r="B118" s="923"/>
      <c r="C118" s="756" t="s">
        <v>28</v>
      </c>
      <c r="D118" s="663"/>
      <c r="E118" s="651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911"/>
      <c r="S118" s="72" t="s">
        <v>28</v>
      </c>
      <c r="T118" s="880" t="s">
        <v>28</v>
      </c>
      <c r="U118" s="984" t="s">
        <v>28</v>
      </c>
      <c r="W118" s="6"/>
      <c r="X118" s="71"/>
      <c r="Y118" s="100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R118" s="71"/>
      <c r="AX118" s="1"/>
      <c r="BG118" s="152"/>
      <c r="BH118" s="152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52"/>
      <c r="DA118" s="1"/>
      <c r="DS118" s="5"/>
      <c r="DT118" s="152"/>
      <c r="DU118" s="152"/>
      <c r="DV118" s="152"/>
      <c r="DW118" s="152"/>
      <c r="FZ118" s="152"/>
      <c r="JU118" s="152"/>
      <c r="JV118" s="152"/>
      <c r="JW118" s="152"/>
      <c r="JX118" s="152"/>
      <c r="PB118" s="152"/>
      <c r="PC118" s="152"/>
      <c r="PE118" s="152"/>
      <c r="PS118" s="155"/>
      <c r="PW118" s="152"/>
      <c r="RZ118" s="155"/>
      <c r="AHI118" s="151"/>
      <c r="AIX118" s="151"/>
      <c r="AIY118" s="151"/>
      <c r="AIZ118" s="151"/>
    </row>
    <row r="119" spans="2:936" hidden="1" x14ac:dyDescent="0.25">
      <c r="B119" s="923"/>
      <c r="C119" s="623" t="s">
        <v>45</v>
      </c>
      <c r="D119" s="663"/>
      <c r="E119" s="683" t="s">
        <v>28</v>
      </c>
      <c r="F119" s="764">
        <f>F116*12</f>
        <v>1071216</v>
      </c>
      <c r="G119" s="764">
        <f t="shared" ref="G119:Q120" si="61">G116*12</f>
        <v>0</v>
      </c>
      <c r="H119" s="764">
        <f t="shared" si="61"/>
        <v>0</v>
      </c>
      <c r="I119" s="764" t="e">
        <f>'[24]April 24'!AK114</f>
        <v>#REF!</v>
      </c>
      <c r="J119" s="764">
        <f t="shared" si="61"/>
        <v>0</v>
      </c>
      <c r="K119" s="764">
        <f t="shared" si="61"/>
        <v>0</v>
      </c>
      <c r="L119" s="764">
        <f t="shared" si="61"/>
        <v>0</v>
      </c>
      <c r="M119" s="764">
        <f t="shared" si="61"/>
        <v>0</v>
      </c>
      <c r="N119" s="764">
        <f t="shared" si="61"/>
        <v>0</v>
      </c>
      <c r="O119" s="764">
        <f t="shared" si="61"/>
        <v>0</v>
      </c>
      <c r="P119" s="764">
        <f t="shared" si="61"/>
        <v>0</v>
      </c>
      <c r="Q119" s="764">
        <f t="shared" si="61"/>
        <v>0</v>
      </c>
      <c r="R119" s="911"/>
      <c r="S119" s="63" t="e">
        <f t="shared" ref="S119:U120" si="62">SUM(F119:Q119)</f>
        <v>#REF!</v>
      </c>
      <c r="T119" s="858" t="e">
        <f t="shared" si="62"/>
        <v>#REF!</v>
      </c>
      <c r="U119" s="985" t="e">
        <f t="shared" si="62"/>
        <v>#REF!</v>
      </c>
      <c r="W119" s="6"/>
      <c r="X119" s="71"/>
      <c r="Y119" s="100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R119" s="71"/>
      <c r="AX119" s="1"/>
      <c r="BG119" s="152"/>
      <c r="BH119" s="15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52"/>
      <c r="DA119" s="1"/>
      <c r="DS119" s="5"/>
      <c r="DT119" s="152"/>
      <c r="DU119" s="152"/>
      <c r="DV119" s="152"/>
      <c r="DW119" s="152"/>
      <c r="FZ119" s="152"/>
      <c r="JU119" s="152"/>
      <c r="JV119" s="152"/>
      <c r="JW119" s="152"/>
      <c r="JX119" s="152"/>
      <c r="PB119" s="152"/>
      <c r="PC119" s="152"/>
      <c r="PE119" s="152"/>
      <c r="PS119" s="155"/>
      <c r="PW119" s="152"/>
      <c r="RZ119" s="155"/>
      <c r="AHI119" s="151"/>
      <c r="AIX119" s="151"/>
      <c r="AIY119" s="151"/>
      <c r="AIZ119" s="151"/>
    </row>
    <row r="120" spans="2:936" hidden="1" x14ac:dyDescent="0.25">
      <c r="B120" s="923"/>
      <c r="C120" s="623" t="s">
        <v>44</v>
      </c>
      <c r="D120" s="663"/>
      <c r="E120" s="683" t="s">
        <v>28</v>
      </c>
      <c r="F120" s="764">
        <f>F117*6</f>
        <v>1268460</v>
      </c>
      <c r="G120" s="764">
        <f>G117*6</f>
        <v>0</v>
      </c>
      <c r="H120" s="764">
        <f>H117*6</f>
        <v>0</v>
      </c>
      <c r="I120" s="764" t="e">
        <f>'[24]April 24'!AK115</f>
        <v>#REF!</v>
      </c>
      <c r="J120" s="764">
        <f t="shared" si="61"/>
        <v>0</v>
      </c>
      <c r="K120" s="764">
        <f t="shared" si="61"/>
        <v>0</v>
      </c>
      <c r="L120" s="764">
        <f t="shared" si="61"/>
        <v>0</v>
      </c>
      <c r="M120" s="764">
        <f t="shared" si="61"/>
        <v>0</v>
      </c>
      <c r="N120" s="764">
        <f t="shared" si="61"/>
        <v>0</v>
      </c>
      <c r="O120" s="764">
        <f t="shared" si="61"/>
        <v>0</v>
      </c>
      <c r="P120" s="764">
        <f t="shared" si="61"/>
        <v>0</v>
      </c>
      <c r="Q120" s="764">
        <f t="shared" si="61"/>
        <v>0</v>
      </c>
      <c r="R120" s="911"/>
      <c r="S120" s="63" t="e">
        <f t="shared" si="62"/>
        <v>#REF!</v>
      </c>
      <c r="T120" s="858" t="e">
        <f t="shared" si="62"/>
        <v>#REF!</v>
      </c>
      <c r="U120" s="985" t="e">
        <f t="shared" si="62"/>
        <v>#REF!</v>
      </c>
      <c r="W120" s="6"/>
      <c r="X120" s="71"/>
      <c r="Y120" s="100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R120" s="71"/>
      <c r="AX120" s="1"/>
      <c r="BG120" s="152"/>
      <c r="BH120" s="152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52"/>
      <c r="DA120" s="1"/>
      <c r="DS120" s="5"/>
      <c r="DT120" s="152"/>
      <c r="DU120" s="152"/>
      <c r="DV120" s="152"/>
      <c r="DW120" s="152"/>
      <c r="FZ120" s="152"/>
      <c r="JU120" s="152"/>
      <c r="JV120" s="152"/>
      <c r="JW120" s="152"/>
      <c r="JX120" s="152"/>
      <c r="PB120" s="152"/>
      <c r="PC120" s="152"/>
      <c r="PE120" s="152"/>
      <c r="PS120" s="155"/>
      <c r="PW120" s="152"/>
      <c r="RZ120" s="155"/>
      <c r="AHI120" s="151"/>
      <c r="AIX120" s="151"/>
      <c r="AIY120" s="151"/>
      <c r="AIZ120" s="151"/>
    </row>
    <row r="121" spans="2:936" hidden="1" x14ac:dyDescent="0.25">
      <c r="B121" s="920"/>
      <c r="C121" s="605" t="s">
        <v>30</v>
      </c>
      <c r="D121" s="54"/>
      <c r="E121" s="54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3"/>
      <c r="S121" s="709" t="s">
        <v>132</v>
      </c>
      <c r="T121" s="869" t="s">
        <v>132</v>
      </c>
      <c r="U121" s="975" t="s">
        <v>132</v>
      </c>
      <c r="W121" s="6"/>
      <c r="X121" s="71"/>
      <c r="Y121" s="100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R121" s="71"/>
      <c r="AX121" s="1"/>
      <c r="BG121" s="151"/>
      <c r="BH121" s="15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51"/>
      <c r="DA121" s="1"/>
      <c r="DS121" s="5"/>
      <c r="DT121" s="151"/>
      <c r="DU121" s="151"/>
      <c r="DV121" s="151"/>
      <c r="DW121" s="151"/>
      <c r="FZ121" s="151"/>
      <c r="JU121" s="151"/>
      <c r="JV121" s="151"/>
      <c r="JW121" s="151"/>
      <c r="JX121" s="151"/>
      <c r="PB121" s="151"/>
      <c r="PC121" s="151"/>
      <c r="PE121" s="151"/>
      <c r="PS121" s="668"/>
      <c r="PW121" s="151"/>
      <c r="RZ121" s="668"/>
      <c r="AHI121" s="151"/>
      <c r="AIX121" s="151"/>
      <c r="AIY121" s="151"/>
      <c r="AIZ121" s="151"/>
    </row>
    <row r="122" spans="2:936" hidden="1" x14ac:dyDescent="0.25">
      <c r="B122" s="923"/>
      <c r="C122" s="756" t="s">
        <v>29</v>
      </c>
      <c r="D122" s="663"/>
      <c r="E122" s="651"/>
      <c r="F122" s="626"/>
      <c r="G122" s="626"/>
      <c r="H122" s="626"/>
      <c r="I122" s="626"/>
      <c r="J122" s="626"/>
      <c r="K122" s="626"/>
      <c r="L122" s="626"/>
      <c r="M122" s="626"/>
      <c r="N122" s="626"/>
      <c r="O122" s="626"/>
      <c r="P122" s="626"/>
      <c r="Q122" s="626"/>
      <c r="R122" s="911"/>
      <c r="S122" s="72" t="s">
        <v>29</v>
      </c>
      <c r="T122" s="880" t="s">
        <v>29</v>
      </c>
      <c r="U122" s="984" t="s">
        <v>29</v>
      </c>
      <c r="W122" s="6"/>
      <c r="X122" s="71"/>
      <c r="Y122" s="100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R122" s="71"/>
      <c r="AX122" s="1"/>
      <c r="BG122" s="152"/>
      <c r="BH122" s="152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52"/>
      <c r="DA122" s="1"/>
      <c r="DS122" s="5"/>
      <c r="DT122" s="152"/>
      <c r="DU122" s="152"/>
      <c r="DV122" s="152"/>
      <c r="DW122" s="152"/>
      <c r="FZ122" s="152"/>
      <c r="JU122" s="152"/>
      <c r="JV122" s="152"/>
      <c r="JW122" s="152"/>
      <c r="JX122" s="152"/>
      <c r="PB122" s="152"/>
      <c r="PC122" s="152"/>
      <c r="PE122" s="152"/>
      <c r="PS122" s="155"/>
      <c r="PW122" s="152"/>
      <c r="RZ122" s="155"/>
      <c r="AHI122" s="151"/>
      <c r="AIX122" s="151"/>
      <c r="AIY122" s="151"/>
      <c r="AIZ122" s="151"/>
    </row>
    <row r="123" spans="2:936" hidden="1" x14ac:dyDescent="0.25">
      <c r="B123" s="923"/>
      <c r="C123" s="623" t="s">
        <v>45</v>
      </c>
      <c r="D123" s="650">
        <v>0.3</v>
      </c>
      <c r="E123" s="683" t="s">
        <v>25</v>
      </c>
      <c r="F123" s="627">
        <f>F116/F107*100</f>
        <v>1200</v>
      </c>
      <c r="G123" s="627" t="e">
        <f t="shared" ref="F123:H124" si="63">G116/G107*100</f>
        <v>#DIV/0!</v>
      </c>
      <c r="H123" s="627" t="e">
        <f>H116/H107*100</f>
        <v>#DIV/0!</v>
      </c>
      <c r="I123" s="627" t="e">
        <f t="shared" ref="I123:Q124" si="64">I116/I107*100</f>
        <v>#DIV/0!</v>
      </c>
      <c r="J123" s="627" t="e">
        <f>J116/J107*100</f>
        <v>#DIV/0!</v>
      </c>
      <c r="K123" s="627" t="e">
        <f t="shared" si="64"/>
        <v>#DIV/0!</v>
      </c>
      <c r="L123" s="627" t="e">
        <f>L116/L107*100</f>
        <v>#DIV/0!</v>
      </c>
      <c r="M123" s="627" t="e">
        <f t="shared" si="64"/>
        <v>#DIV/0!</v>
      </c>
      <c r="N123" s="627" t="e">
        <f t="shared" si="64"/>
        <v>#DIV/0!</v>
      </c>
      <c r="O123" s="627" t="e">
        <f>O116/O107*100</f>
        <v>#DIV/0!</v>
      </c>
      <c r="P123" s="627" t="e">
        <f t="shared" si="64"/>
        <v>#DIV/0!</v>
      </c>
      <c r="Q123" s="627" t="e">
        <f t="shared" si="64"/>
        <v>#DIV/0!</v>
      </c>
      <c r="R123" s="911"/>
      <c r="S123" s="67">
        <f t="shared" ref="S123:U124" si="65">S116/S107*100</f>
        <v>1200</v>
      </c>
      <c r="T123" s="861">
        <f t="shared" si="65"/>
        <v>0</v>
      </c>
      <c r="U123" s="968">
        <f t="shared" si="65"/>
        <v>18224388</v>
      </c>
      <c r="W123" s="6"/>
      <c r="X123" s="71"/>
      <c r="Y123" s="100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R123" s="71"/>
      <c r="AX123" s="1"/>
      <c r="BG123" s="152"/>
      <c r="BH123" s="152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52"/>
      <c r="DA123" s="1"/>
      <c r="DS123" s="5"/>
      <c r="DT123" s="152"/>
      <c r="DU123" s="152"/>
      <c r="DV123" s="152"/>
      <c r="DW123" s="152"/>
      <c r="FZ123" s="152"/>
      <c r="JU123" s="152"/>
      <c r="JV123" s="152"/>
      <c r="JW123" s="152"/>
      <c r="JX123" s="152"/>
      <c r="PB123" s="152"/>
      <c r="PC123" s="152"/>
      <c r="PE123" s="152"/>
      <c r="PS123" s="155"/>
      <c r="PW123" s="152"/>
      <c r="RZ123" s="155"/>
      <c r="AHI123" s="151"/>
      <c r="AIX123" s="151"/>
      <c r="AIY123" s="151"/>
      <c r="AIZ123" s="151"/>
    </row>
    <row r="124" spans="2:936" hidden="1" x14ac:dyDescent="0.25">
      <c r="B124" s="923"/>
      <c r="C124" s="623" t="s">
        <v>44</v>
      </c>
      <c r="D124" s="650">
        <v>0.3</v>
      </c>
      <c r="E124" s="683" t="s">
        <v>25</v>
      </c>
      <c r="F124" s="627">
        <f t="shared" si="63"/>
        <v>600</v>
      </c>
      <c r="G124" s="627" t="e">
        <f t="shared" si="63"/>
        <v>#DIV/0!</v>
      </c>
      <c r="H124" s="627" t="e">
        <f t="shared" si="63"/>
        <v>#DIV/0!</v>
      </c>
      <c r="I124" s="627" t="e">
        <f t="shared" si="64"/>
        <v>#DIV/0!</v>
      </c>
      <c r="J124" s="627" t="e">
        <f>J117/J108*100</f>
        <v>#DIV/0!</v>
      </c>
      <c r="K124" s="627" t="e">
        <f t="shared" si="64"/>
        <v>#DIV/0!</v>
      </c>
      <c r="L124" s="627" t="e">
        <f>L117/L108*100</f>
        <v>#DIV/0!</v>
      </c>
      <c r="M124" s="627" t="e">
        <f t="shared" si="64"/>
        <v>#DIV/0!</v>
      </c>
      <c r="N124" s="627" t="e">
        <f t="shared" si="64"/>
        <v>#DIV/0!</v>
      </c>
      <c r="O124" s="627" t="e">
        <f t="shared" si="64"/>
        <v>#DIV/0!</v>
      </c>
      <c r="P124" s="627" t="e">
        <f t="shared" si="64"/>
        <v>#DIV/0!</v>
      </c>
      <c r="Q124" s="627" t="e">
        <f t="shared" si="64"/>
        <v>#DIV/0!</v>
      </c>
      <c r="R124" s="911"/>
      <c r="S124" s="67">
        <f t="shared" si="65"/>
        <v>600</v>
      </c>
      <c r="T124" s="861">
        <f t="shared" si="65"/>
        <v>0</v>
      </c>
      <c r="U124" s="968">
        <f t="shared" si="65"/>
        <v>12677832</v>
      </c>
      <c r="W124" s="6"/>
      <c r="X124" s="71"/>
      <c r="Y124" s="100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R124" s="71"/>
      <c r="AX124" s="1"/>
      <c r="BG124" s="152"/>
      <c r="BH124" s="152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52"/>
      <c r="DA124" s="1"/>
      <c r="DS124" s="5"/>
      <c r="DT124" s="152"/>
      <c r="DU124" s="152"/>
      <c r="DV124" s="152"/>
      <c r="DW124" s="152"/>
      <c r="FZ124" s="152"/>
      <c r="JU124" s="152"/>
      <c r="JV124" s="152"/>
      <c r="JW124" s="152"/>
      <c r="JX124" s="152"/>
      <c r="PB124" s="152"/>
      <c r="PC124" s="152"/>
      <c r="PE124" s="152"/>
      <c r="PS124" s="155"/>
      <c r="PW124" s="152"/>
      <c r="RZ124" s="155"/>
      <c r="AHI124" s="151"/>
      <c r="AIX124" s="151"/>
      <c r="AIY124" s="151"/>
      <c r="AIZ124" s="151"/>
    </row>
    <row r="125" spans="2:936" hidden="1" x14ac:dyDescent="0.25">
      <c r="B125" s="923"/>
      <c r="C125" s="756" t="s">
        <v>28</v>
      </c>
      <c r="D125" s="650"/>
      <c r="E125" s="651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911"/>
      <c r="S125" s="72" t="s">
        <v>28</v>
      </c>
      <c r="T125" s="880" t="s">
        <v>28</v>
      </c>
      <c r="U125" s="984" t="s">
        <v>28</v>
      </c>
      <c r="W125" s="6"/>
      <c r="X125" s="71"/>
      <c r="Y125" s="100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R125" s="71"/>
      <c r="AX125" s="1"/>
      <c r="BG125" s="152"/>
      <c r="BH125" s="152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52"/>
      <c r="DA125" s="1"/>
      <c r="DS125" s="5"/>
      <c r="DT125" s="152"/>
      <c r="DU125" s="152"/>
      <c r="DV125" s="152"/>
      <c r="DW125" s="152"/>
      <c r="FZ125" s="152"/>
      <c r="JU125" s="152"/>
      <c r="JV125" s="152"/>
      <c r="JW125" s="152"/>
      <c r="JX125" s="152"/>
      <c r="PB125" s="152"/>
      <c r="PC125" s="152"/>
      <c r="PE125" s="152"/>
      <c r="PS125" s="155"/>
      <c r="PW125" s="152"/>
      <c r="RZ125" s="155"/>
      <c r="AHI125" s="151"/>
      <c r="AIX125" s="151"/>
      <c r="AIY125" s="151"/>
      <c r="AIZ125" s="151"/>
    </row>
    <row r="126" spans="2:936" hidden="1" x14ac:dyDescent="0.25">
      <c r="B126" s="923"/>
      <c r="C126" s="623" t="s">
        <v>45</v>
      </c>
      <c r="D126" s="650">
        <v>0.5</v>
      </c>
      <c r="E126" s="683" t="s">
        <v>25</v>
      </c>
      <c r="F126" s="627">
        <f t="shared" ref="F126:Q127" si="66">F119/F110*100</f>
        <v>1200</v>
      </c>
      <c r="G126" s="627" t="e">
        <f t="shared" si="66"/>
        <v>#DIV/0!</v>
      </c>
      <c r="H126" s="627" t="e">
        <f t="shared" si="66"/>
        <v>#DIV/0!</v>
      </c>
      <c r="I126" s="627" t="e">
        <f t="shared" si="66"/>
        <v>#REF!</v>
      </c>
      <c r="J126" s="627" t="e">
        <f t="shared" si="66"/>
        <v>#DIV/0!</v>
      </c>
      <c r="K126" s="627" t="e">
        <f t="shared" si="66"/>
        <v>#DIV/0!</v>
      </c>
      <c r="L126" s="627" t="e">
        <f t="shared" si="66"/>
        <v>#DIV/0!</v>
      </c>
      <c r="M126" s="627" t="e">
        <f t="shared" si="66"/>
        <v>#DIV/0!</v>
      </c>
      <c r="N126" s="627" t="e">
        <f t="shared" si="66"/>
        <v>#DIV/0!</v>
      </c>
      <c r="O126" s="627" t="e">
        <f t="shared" si="66"/>
        <v>#DIV/0!</v>
      </c>
      <c r="P126" s="627" t="e">
        <f t="shared" si="66"/>
        <v>#DIV/0!</v>
      </c>
      <c r="Q126" s="627" t="e">
        <f t="shared" si="66"/>
        <v>#DIV/0!</v>
      </c>
      <c r="R126" s="911"/>
      <c r="S126" s="67" t="e">
        <f t="shared" ref="S126:U127" si="67">S119/S110*100</f>
        <v>#REF!</v>
      </c>
      <c r="T126" s="861" t="e">
        <f t="shared" si="67"/>
        <v>#REF!</v>
      </c>
      <c r="U126" s="968" t="e">
        <f t="shared" si="67"/>
        <v>#REF!</v>
      </c>
      <c r="W126" s="6"/>
      <c r="X126" s="71"/>
      <c r="Y126" s="100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R126" s="71"/>
      <c r="AX126" s="1"/>
      <c r="BG126" s="152"/>
      <c r="BH126" s="15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52"/>
      <c r="DA126" s="1"/>
      <c r="DS126" s="5"/>
      <c r="DT126" s="152"/>
      <c r="DU126" s="152"/>
      <c r="DV126" s="152"/>
      <c r="DW126" s="152"/>
      <c r="FZ126" s="152"/>
      <c r="JU126" s="152"/>
      <c r="JV126" s="152"/>
      <c r="JW126" s="152"/>
      <c r="JX126" s="152"/>
      <c r="PB126" s="152"/>
      <c r="PC126" s="152"/>
      <c r="PE126" s="152"/>
      <c r="PS126" s="155"/>
      <c r="PW126" s="152"/>
      <c r="RZ126" s="155"/>
      <c r="AHI126" s="151"/>
      <c r="AIX126" s="151"/>
      <c r="AIY126" s="151"/>
      <c r="AIZ126" s="151"/>
    </row>
    <row r="127" spans="2:936" hidden="1" x14ac:dyDescent="0.25">
      <c r="B127" s="923"/>
      <c r="C127" s="623" t="s">
        <v>44</v>
      </c>
      <c r="D127" s="650">
        <v>0.5</v>
      </c>
      <c r="E127" s="683" t="s">
        <v>25</v>
      </c>
      <c r="F127" s="627">
        <f t="shared" si="66"/>
        <v>600</v>
      </c>
      <c r="G127" s="627" t="e">
        <f t="shared" si="66"/>
        <v>#DIV/0!</v>
      </c>
      <c r="H127" s="627" t="e">
        <f t="shared" si="66"/>
        <v>#DIV/0!</v>
      </c>
      <c r="I127" s="627" t="e">
        <f t="shared" si="66"/>
        <v>#REF!</v>
      </c>
      <c r="J127" s="627" t="e">
        <f t="shared" si="66"/>
        <v>#DIV/0!</v>
      </c>
      <c r="K127" s="627" t="e">
        <f t="shared" si="66"/>
        <v>#DIV/0!</v>
      </c>
      <c r="L127" s="627" t="e">
        <f t="shared" si="66"/>
        <v>#DIV/0!</v>
      </c>
      <c r="M127" s="627" t="e">
        <f t="shared" si="66"/>
        <v>#DIV/0!</v>
      </c>
      <c r="N127" s="627" t="e">
        <f t="shared" si="66"/>
        <v>#DIV/0!</v>
      </c>
      <c r="O127" s="627" t="e">
        <f t="shared" si="66"/>
        <v>#DIV/0!</v>
      </c>
      <c r="P127" s="627" t="e">
        <f t="shared" si="66"/>
        <v>#DIV/0!</v>
      </c>
      <c r="Q127" s="627" t="e">
        <f t="shared" si="66"/>
        <v>#DIV/0!</v>
      </c>
      <c r="R127" s="911"/>
      <c r="S127" s="67" t="e">
        <f t="shared" si="67"/>
        <v>#REF!</v>
      </c>
      <c r="T127" s="861" t="e">
        <f t="shared" si="67"/>
        <v>#REF!</v>
      </c>
      <c r="U127" s="968" t="e">
        <f t="shared" si="67"/>
        <v>#REF!</v>
      </c>
      <c r="W127" s="6"/>
      <c r="X127" s="71"/>
      <c r="Y127" s="100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R127" s="71"/>
      <c r="AX127" s="1"/>
      <c r="BG127" s="152"/>
      <c r="BH127" s="152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52"/>
      <c r="DA127" s="1"/>
      <c r="DS127" s="5"/>
      <c r="DT127" s="152"/>
      <c r="DU127" s="152"/>
      <c r="DV127" s="152"/>
      <c r="DW127" s="152"/>
      <c r="FZ127" s="152"/>
      <c r="JU127" s="152"/>
      <c r="JV127" s="152"/>
      <c r="JW127" s="152"/>
      <c r="JX127" s="152"/>
      <c r="PB127" s="152"/>
      <c r="PC127" s="152"/>
      <c r="PE127" s="152"/>
      <c r="PS127" s="155"/>
      <c r="PW127" s="152"/>
      <c r="RZ127" s="155"/>
      <c r="AHI127" s="151"/>
      <c r="AIX127" s="151"/>
      <c r="AIY127" s="151"/>
      <c r="AIZ127" s="151"/>
    </row>
    <row r="128" spans="2:936" hidden="1" x14ac:dyDescent="0.25">
      <c r="B128" s="919">
        <v>7</v>
      </c>
      <c r="C128" s="605" t="s">
        <v>43</v>
      </c>
      <c r="D128" s="54"/>
      <c r="E128" s="54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3"/>
      <c r="S128" s="709" t="s">
        <v>131</v>
      </c>
      <c r="T128" s="869" t="s">
        <v>131</v>
      </c>
      <c r="U128" s="975" t="s">
        <v>131</v>
      </c>
      <c r="W128" s="6"/>
      <c r="X128" s="71"/>
      <c r="Y128" s="100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1002"/>
      <c r="AK128" s="1002"/>
      <c r="AL128" s="1002"/>
      <c r="AM128" s="1002"/>
      <c r="AN128" s="1002"/>
      <c r="AO128" s="1002"/>
      <c r="AP128" s="1002"/>
      <c r="AQ128" s="1002"/>
      <c r="AR128" s="1002"/>
      <c r="AS128" s="1002"/>
      <c r="AX128" s="1"/>
      <c r="BG128" s="151"/>
      <c r="BH128" s="15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51"/>
      <c r="DA128" s="1"/>
      <c r="DS128" s="5"/>
      <c r="DT128" s="151"/>
      <c r="DU128" s="151"/>
      <c r="DV128" s="151"/>
      <c r="DW128" s="151"/>
      <c r="FZ128" s="151"/>
      <c r="JU128" s="151"/>
      <c r="JV128" s="151"/>
      <c r="JW128" s="151"/>
      <c r="JX128" s="151"/>
      <c r="PB128" s="151"/>
      <c r="PC128" s="151"/>
      <c r="PE128" s="151"/>
      <c r="PS128" s="668"/>
      <c r="PW128" s="151"/>
      <c r="RZ128" s="668"/>
      <c r="AHI128" s="151"/>
      <c r="AIX128" s="151"/>
      <c r="AIY128" s="151"/>
      <c r="AIZ128" s="151"/>
    </row>
    <row r="129" spans="2:936" hidden="1" x14ac:dyDescent="0.25">
      <c r="B129" s="920"/>
      <c r="C129" s="766" t="s">
        <v>115</v>
      </c>
      <c r="D129" s="767"/>
      <c r="E129" s="20" t="s">
        <v>14</v>
      </c>
      <c r="F129" s="772">
        <f>'[24]Januari 24'!AL123</f>
        <v>534116</v>
      </c>
      <c r="G129" s="773" t="e">
        <f>'[24]Februari 24'!AI123</f>
        <v>#REF!</v>
      </c>
      <c r="H129" s="926">
        <f>'[24]Maret 24'!AL123</f>
        <v>0</v>
      </c>
      <c r="I129" s="768">
        <f>'[24]April 24'!AL123</f>
        <v>0</v>
      </c>
      <c r="J129" s="768">
        <f>'[24]Mei 24'!AL123</f>
        <v>0</v>
      </c>
      <c r="K129" s="768">
        <f>'[24]Juny 24'!AL123</f>
        <v>0</v>
      </c>
      <c r="L129" s="768">
        <f>'[24]July 24'!AL123</f>
        <v>0</v>
      </c>
      <c r="M129" s="927">
        <f>'[24]Agustus 24'!AL123</f>
        <v>0</v>
      </c>
      <c r="N129" s="768">
        <f>'[24]September 24'!AL123</f>
        <v>0</v>
      </c>
      <c r="O129" s="768">
        <f>'[24]Oktober 24'!AL123</f>
        <v>0</v>
      </c>
      <c r="P129" s="768">
        <f>'[24]November 24'!AL123</f>
        <v>0</v>
      </c>
      <c r="Q129" s="768">
        <f>'[24]Desember 24'!AL123</f>
        <v>0</v>
      </c>
      <c r="R129" s="925"/>
      <c r="S129" s="98" t="e">
        <f>SUM(S131:S132)</f>
        <v>#REF!</v>
      </c>
      <c r="T129" s="878" t="e">
        <f>SUM(T131:T132)</f>
        <v>#REF!</v>
      </c>
      <c r="U129" s="986" t="e">
        <f>SUM(U131:U132)</f>
        <v>#REF!</v>
      </c>
      <c r="W129" s="1016"/>
      <c r="X129" s="71"/>
      <c r="Y129" s="100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1014"/>
      <c r="AK129" s="1014"/>
      <c r="AL129" s="1014"/>
      <c r="AM129" s="1014"/>
      <c r="AN129" s="1014"/>
      <c r="AO129" s="1014"/>
      <c r="AP129" s="1014"/>
      <c r="AQ129" s="1014"/>
      <c r="AR129" s="1014"/>
      <c r="AS129" s="1014"/>
      <c r="AX129" s="1"/>
      <c r="BG129" s="156"/>
      <c r="BH129" s="156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56"/>
      <c r="DA129" s="1"/>
      <c r="DS129" s="622"/>
      <c r="DT129" s="156"/>
      <c r="DU129" s="156"/>
      <c r="DV129" s="156"/>
      <c r="DW129" s="156"/>
      <c r="FZ129" s="156"/>
      <c r="JU129" s="156"/>
      <c r="JV129" s="156"/>
      <c r="JW129" s="156"/>
      <c r="JX129" s="156"/>
      <c r="PB129" s="156"/>
      <c r="PC129" s="156"/>
      <c r="PE129" s="156"/>
      <c r="PS129" s="750"/>
      <c r="PW129" s="156"/>
      <c r="RZ129" s="750"/>
      <c r="AHI129" s="161"/>
      <c r="AIX129" s="161"/>
      <c r="AIY129" s="161"/>
      <c r="AIZ129" s="161"/>
    </row>
    <row r="130" spans="2:936" hidden="1" x14ac:dyDescent="0.25">
      <c r="B130" s="920"/>
      <c r="C130" s="766" t="s">
        <v>116</v>
      </c>
      <c r="D130" s="767"/>
      <c r="E130" s="20" t="s">
        <v>14</v>
      </c>
      <c r="F130" s="768">
        <f>'[24]Januari 24'!AL124</f>
        <v>524483.80000000005</v>
      </c>
      <c r="G130" s="768" t="e">
        <f>'[24]Februari 24'!AI124</f>
        <v>#REF!</v>
      </c>
      <c r="H130" s="768">
        <f>'[24]Maret 24'!AL124</f>
        <v>0</v>
      </c>
      <c r="I130" s="768">
        <f>'[24]April 24'!AL124</f>
        <v>0</v>
      </c>
      <c r="J130" s="768">
        <f>'[24]Mei 24'!AL124</f>
        <v>0</v>
      </c>
      <c r="K130" s="768">
        <f>'[24]Juny 24'!AL124</f>
        <v>0</v>
      </c>
      <c r="L130" s="768">
        <f>'[24]July 24'!AL124</f>
        <v>0</v>
      </c>
      <c r="M130" s="768">
        <f>'[24]Agustus 24'!AL124</f>
        <v>0</v>
      </c>
      <c r="N130" s="768">
        <f>'[24]September 24'!AL124</f>
        <v>0</v>
      </c>
      <c r="O130" s="768">
        <f>'[24]Oktober 24'!AL124</f>
        <v>0</v>
      </c>
      <c r="P130" s="768">
        <f>'[24]November 24'!AL124</f>
        <v>0</v>
      </c>
      <c r="Q130" s="297">
        <f>'[24]Desember 24'!AL124</f>
        <v>0</v>
      </c>
      <c r="R130" s="925"/>
      <c r="S130" s="98" t="e">
        <f>SUM(S131:S132)</f>
        <v>#REF!</v>
      </c>
      <c r="T130" s="878" t="e">
        <f>SUM(T131:T132)</f>
        <v>#REF!</v>
      </c>
      <c r="U130" s="986" t="e">
        <f>SUM(U131:U132)</f>
        <v>#REF!</v>
      </c>
      <c r="W130" s="1016"/>
      <c r="X130" s="71"/>
      <c r="Y130" s="100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1014"/>
      <c r="AK130" s="1014"/>
      <c r="AL130" s="1014"/>
      <c r="AM130" s="1014"/>
      <c r="AN130" s="1014"/>
      <c r="AO130" s="1014"/>
      <c r="AP130" s="1014"/>
      <c r="AQ130" s="1014"/>
      <c r="AR130" s="1014"/>
      <c r="AS130" s="1014"/>
      <c r="AX130" s="1"/>
      <c r="BG130" s="156"/>
      <c r="BH130" s="156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56"/>
      <c r="DA130" s="1"/>
      <c r="DS130" s="622"/>
      <c r="DT130" s="156"/>
      <c r="DU130" s="156"/>
      <c r="DV130" s="156"/>
      <c r="DW130" s="156"/>
      <c r="FZ130" s="156"/>
      <c r="JU130" s="156"/>
      <c r="JV130" s="156"/>
      <c r="JW130" s="156"/>
      <c r="JX130" s="156"/>
      <c r="PB130" s="156"/>
      <c r="PC130" s="156"/>
      <c r="PE130" s="156"/>
      <c r="PS130" s="750"/>
      <c r="PW130" s="156"/>
      <c r="RZ130" s="750"/>
      <c r="AHI130" s="161"/>
      <c r="AIX130" s="161"/>
      <c r="AIY130" s="161"/>
      <c r="AIZ130" s="161"/>
    </row>
    <row r="131" spans="2:936" hidden="1" x14ac:dyDescent="0.25">
      <c r="B131" s="923"/>
      <c r="C131" s="756" t="s">
        <v>39</v>
      </c>
      <c r="D131" s="663"/>
      <c r="E131" s="683" t="s">
        <v>14</v>
      </c>
      <c r="F131" s="627">
        <f t="shared" ref="F131:Q131" si="68">SUM(F134:F135)*9.75348</f>
        <v>525527.25587999995</v>
      </c>
      <c r="G131" s="627" t="e">
        <f t="shared" si="68"/>
        <v>#REF!</v>
      </c>
      <c r="H131" s="627">
        <f t="shared" si="68"/>
        <v>0</v>
      </c>
      <c r="I131" s="627">
        <f t="shared" si="68"/>
        <v>0</v>
      </c>
      <c r="J131" s="627">
        <f t="shared" si="68"/>
        <v>0</v>
      </c>
      <c r="K131" s="627">
        <f t="shared" si="68"/>
        <v>0</v>
      </c>
      <c r="L131" s="627">
        <f t="shared" si="68"/>
        <v>0</v>
      </c>
      <c r="M131" s="627">
        <f t="shared" si="68"/>
        <v>0</v>
      </c>
      <c r="N131" s="627">
        <f t="shared" si="68"/>
        <v>0</v>
      </c>
      <c r="O131" s="627">
        <f t="shared" si="68"/>
        <v>0</v>
      </c>
      <c r="P131" s="627">
        <f t="shared" si="68"/>
        <v>0</v>
      </c>
      <c r="Q131" s="627">
        <f t="shared" si="68"/>
        <v>0</v>
      </c>
      <c r="R131" s="911"/>
      <c r="S131" s="67" t="e">
        <f t="shared" ref="S131:U132" si="69">SUM(F131:Q131)</f>
        <v>#REF!</v>
      </c>
      <c r="T131" s="861" t="e">
        <f t="shared" si="69"/>
        <v>#REF!</v>
      </c>
      <c r="U131" s="968" t="e">
        <f t="shared" si="69"/>
        <v>#REF!</v>
      </c>
      <c r="W131" s="6"/>
      <c r="X131" s="71"/>
      <c r="Y131" s="100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1017"/>
      <c r="AK131" s="1014"/>
      <c r="AL131" s="1014"/>
      <c r="AM131" s="1014"/>
      <c r="AN131" s="1014"/>
      <c r="AO131" s="1014"/>
      <c r="AP131" s="1002"/>
      <c r="AQ131" s="1002"/>
      <c r="AR131" s="1002"/>
      <c r="AS131" s="1002"/>
      <c r="AX131" s="1"/>
      <c r="BG131" s="152"/>
      <c r="BH131" s="152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52"/>
      <c r="DA131" s="1"/>
      <c r="DS131" s="5"/>
      <c r="DT131" s="152"/>
      <c r="DU131" s="152"/>
      <c r="DV131" s="152"/>
      <c r="DW131" s="152"/>
      <c r="FZ131" s="152"/>
      <c r="JU131" s="152"/>
      <c r="JV131" s="152"/>
      <c r="JW131" s="152"/>
      <c r="JX131" s="152"/>
      <c r="PB131" s="152"/>
      <c r="PC131" s="152"/>
      <c r="PE131" s="152"/>
      <c r="PS131" s="155"/>
      <c r="PW131" s="152"/>
      <c r="RZ131" s="155"/>
      <c r="AHI131" s="151"/>
      <c r="AIX131" s="151"/>
      <c r="AIY131" s="151"/>
      <c r="AIZ131" s="151"/>
    </row>
    <row r="132" spans="2:936" hidden="1" x14ac:dyDescent="0.25">
      <c r="B132" s="923"/>
      <c r="C132" s="756" t="s">
        <v>38</v>
      </c>
      <c r="D132" s="663"/>
      <c r="E132" s="683" t="s">
        <v>14</v>
      </c>
      <c r="F132" s="627">
        <f>F130-F131</f>
        <v>-1043.4558799999068</v>
      </c>
      <c r="G132" s="627" t="e">
        <f>G130-G131</f>
        <v>#REF!</v>
      </c>
      <c r="H132" s="627">
        <f>H130-H131</f>
        <v>0</v>
      </c>
      <c r="I132" s="627">
        <f>I130-I131</f>
        <v>0</v>
      </c>
      <c r="J132" s="627">
        <f>J130-J131</f>
        <v>0</v>
      </c>
      <c r="K132" s="627">
        <f t="shared" ref="K132:Q132" si="70">K130-K131</f>
        <v>0</v>
      </c>
      <c r="L132" s="627">
        <f t="shared" si="70"/>
        <v>0</v>
      </c>
      <c r="M132" s="627">
        <f t="shared" si="70"/>
        <v>0</v>
      </c>
      <c r="N132" s="627">
        <f t="shared" si="70"/>
        <v>0</v>
      </c>
      <c r="O132" s="627">
        <f t="shared" si="70"/>
        <v>0</v>
      </c>
      <c r="P132" s="627">
        <f t="shared" si="70"/>
        <v>0</v>
      </c>
      <c r="Q132" s="627">
        <f t="shared" si="70"/>
        <v>0</v>
      </c>
      <c r="R132" s="911"/>
      <c r="S132" s="67" t="e">
        <f t="shared" si="69"/>
        <v>#REF!</v>
      </c>
      <c r="T132" s="861" t="e">
        <f t="shared" si="69"/>
        <v>#REF!</v>
      </c>
      <c r="U132" s="968" t="e">
        <f t="shared" si="69"/>
        <v>#REF!</v>
      </c>
      <c r="W132" s="6"/>
      <c r="X132" s="71"/>
      <c r="Y132" s="100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1002"/>
      <c r="AK132" s="1002"/>
      <c r="AL132" s="1002"/>
      <c r="AM132" s="1002"/>
      <c r="AN132" s="1002"/>
      <c r="AO132" s="1002"/>
      <c r="AP132" s="1002"/>
      <c r="AQ132" s="1002"/>
      <c r="AR132" s="1002"/>
      <c r="AS132" s="1002"/>
      <c r="AX132" s="1"/>
      <c r="BG132" s="152"/>
      <c r="BH132" s="152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52"/>
      <c r="DA132" s="1"/>
      <c r="DS132" s="5"/>
      <c r="DT132" s="152"/>
      <c r="DU132" s="152"/>
      <c r="DV132" s="152"/>
      <c r="DW132" s="152"/>
      <c r="FZ132" s="152"/>
      <c r="GA132" s="1">
        <f>0.9*12</f>
        <v>10.8</v>
      </c>
      <c r="JU132" s="152"/>
      <c r="JV132" s="152"/>
      <c r="JW132" s="152"/>
      <c r="JX132" s="152"/>
      <c r="PB132" s="152"/>
      <c r="PC132" s="152"/>
      <c r="PE132" s="152"/>
      <c r="PS132" s="155"/>
      <c r="PW132" s="152"/>
      <c r="RZ132" s="155"/>
      <c r="AHI132" s="151"/>
      <c r="AIX132" s="151"/>
      <c r="AIY132" s="151"/>
      <c r="AIZ132" s="151"/>
    </row>
    <row r="133" spans="2:936" hidden="1" x14ac:dyDescent="0.25">
      <c r="B133" s="923"/>
      <c r="C133" s="756" t="s">
        <v>29</v>
      </c>
      <c r="D133" s="663"/>
      <c r="E133" s="651"/>
      <c r="F133" s="626"/>
      <c r="G133" s="626"/>
      <c r="H133" s="626"/>
      <c r="I133" s="626"/>
      <c r="J133" s="626"/>
      <c r="K133" s="626"/>
      <c r="L133" s="626"/>
      <c r="M133" s="626"/>
      <c r="N133" s="626"/>
      <c r="O133" s="626"/>
      <c r="P133" s="626"/>
      <c r="Q133" s="626"/>
      <c r="R133" s="911"/>
      <c r="S133" s="72" t="s">
        <v>29</v>
      </c>
      <c r="T133" s="880" t="s">
        <v>29</v>
      </c>
      <c r="U133" s="984" t="s">
        <v>29</v>
      </c>
      <c r="W133" s="6"/>
      <c r="X133" s="71"/>
      <c r="Y133" s="100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1002"/>
      <c r="AK133" s="1002"/>
      <c r="AL133" s="1002"/>
      <c r="AM133" s="1002"/>
      <c r="AN133" s="1002"/>
      <c r="AO133" s="1002"/>
      <c r="AP133" s="1002"/>
      <c r="AQ133" s="1002"/>
      <c r="AR133" s="1002"/>
      <c r="AS133" s="1002"/>
      <c r="AX133" s="1"/>
      <c r="BG133" s="152"/>
      <c r="BH133" s="15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52"/>
      <c r="DA133" s="1"/>
      <c r="DS133" s="5"/>
      <c r="DT133" s="152"/>
      <c r="DU133" s="152"/>
      <c r="DV133" s="152"/>
      <c r="DW133" s="152"/>
      <c r="FZ133" s="152"/>
      <c r="JU133" s="152"/>
      <c r="JV133" s="152"/>
      <c r="JW133" s="152"/>
      <c r="JX133" s="152"/>
      <c r="PB133" s="152"/>
      <c r="PC133" s="152"/>
      <c r="PE133" s="152"/>
      <c r="PS133" s="155"/>
      <c r="PW133" s="152"/>
      <c r="RZ133" s="155"/>
      <c r="AHI133" s="151"/>
      <c r="AIX133" s="151"/>
      <c r="AIY133" s="151"/>
      <c r="AIZ133" s="151"/>
    </row>
    <row r="134" spans="2:936" hidden="1" x14ac:dyDescent="0.25">
      <c r="B134" s="924"/>
      <c r="C134" s="623" t="s">
        <v>42</v>
      </c>
      <c r="D134" s="624"/>
      <c r="E134" s="760" t="s">
        <v>31</v>
      </c>
      <c r="F134" s="297">
        <f>'[24]Januari 24'!AL128</f>
        <v>48858</v>
      </c>
      <c r="G134" s="297" t="e">
        <f>'[24]Februari 24'!AI128</f>
        <v>#REF!</v>
      </c>
      <c r="H134" s="297">
        <f>'[24]Maret 24'!AL128</f>
        <v>0</v>
      </c>
      <c r="I134" s="297">
        <f>'[24]April 24'!AL128</f>
        <v>0</v>
      </c>
      <c r="J134" s="297">
        <f>'[24]Mei 24'!AL128</f>
        <v>0</v>
      </c>
      <c r="K134" s="297">
        <f>'[24]Juny 24'!AL128</f>
        <v>0</v>
      </c>
      <c r="L134" s="297">
        <f>'[24]July 24'!AL128</f>
        <v>0</v>
      </c>
      <c r="M134" s="297">
        <f>'[24]Agustus 24'!AL128</f>
        <v>0</v>
      </c>
      <c r="N134" s="297">
        <f>'[24]September 24'!AL128</f>
        <v>0</v>
      </c>
      <c r="O134" s="297">
        <f>'[24]Oktober 24'!AL128</f>
        <v>0</v>
      </c>
      <c r="P134" s="297">
        <f>'[24]November 24'!AL128</f>
        <v>0</v>
      </c>
      <c r="Q134" s="297">
        <f>'[24]Desember 24'!AL128</f>
        <v>0</v>
      </c>
      <c r="R134" s="913"/>
      <c r="S134" s="100" t="e">
        <f t="shared" ref="S134:U135" si="71">SUM(F134:Q134)</f>
        <v>#REF!</v>
      </c>
      <c r="T134" s="881">
        <v>296194</v>
      </c>
      <c r="U134" s="988" t="e">
        <f t="shared" si="71"/>
        <v>#REF!</v>
      </c>
      <c r="W134" s="38"/>
      <c r="X134" s="71"/>
      <c r="Y134" s="100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1018"/>
      <c r="AK134" s="1018"/>
      <c r="AL134" s="1018"/>
      <c r="AM134" s="1018"/>
      <c r="AN134" s="1018"/>
      <c r="AO134" s="1018"/>
      <c r="AP134" s="1018"/>
      <c r="AQ134" s="1018"/>
      <c r="AR134" s="1018"/>
      <c r="AS134" s="1018"/>
      <c r="AX134" s="1"/>
      <c r="BG134" s="158"/>
      <c r="BH134" s="158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58"/>
      <c r="DA134" s="1"/>
      <c r="DS134" s="704"/>
      <c r="DT134" s="158"/>
      <c r="DU134" s="158"/>
      <c r="DV134" s="158"/>
      <c r="DW134" s="158"/>
      <c r="FZ134" s="158"/>
      <c r="JU134" s="158"/>
      <c r="JV134" s="158"/>
      <c r="JW134" s="158"/>
      <c r="JX134" s="158"/>
      <c r="PB134" s="158"/>
      <c r="PC134" s="158"/>
      <c r="PE134" s="158"/>
      <c r="PS134" s="761"/>
      <c r="PW134" s="158"/>
      <c r="RZ134" s="761"/>
      <c r="AHI134" s="154"/>
      <c r="AIX134" s="154"/>
      <c r="AIY134" s="154"/>
      <c r="AIZ134" s="154"/>
    </row>
    <row r="135" spans="2:936" hidden="1" x14ac:dyDescent="0.25">
      <c r="B135" s="924"/>
      <c r="C135" s="623" t="s">
        <v>41</v>
      </c>
      <c r="D135" s="624"/>
      <c r="E135" s="760" t="s">
        <v>31</v>
      </c>
      <c r="F135" s="297">
        <f>'[24]Januari 24'!AL129</f>
        <v>5023</v>
      </c>
      <c r="G135" s="297" t="e">
        <f>'[24]Februari 24'!AI129</f>
        <v>#REF!</v>
      </c>
      <c r="H135" s="297">
        <f>'[24]Maret 24'!AL129</f>
        <v>0</v>
      </c>
      <c r="I135" s="297">
        <f>'[24]April 24'!AL129</f>
        <v>0</v>
      </c>
      <c r="J135" s="297">
        <f>'[24]Mei 24'!AL129</f>
        <v>0</v>
      </c>
      <c r="K135" s="2">
        <f>'[24]Juny 24'!AL129</f>
        <v>0</v>
      </c>
      <c r="L135" s="297">
        <f>'[24]July 24'!AL129</f>
        <v>0</v>
      </c>
      <c r="M135" s="297">
        <f>'[24]Agustus 24'!AL129</f>
        <v>0</v>
      </c>
      <c r="N135" s="297">
        <f>'[24]September 24'!AL129</f>
        <v>0</v>
      </c>
      <c r="O135" s="297">
        <f>'[24]Oktober 24'!AL129</f>
        <v>0</v>
      </c>
      <c r="P135" s="297">
        <f>'[24]November 24'!AL129</f>
        <v>0</v>
      </c>
      <c r="Q135" s="297">
        <f>'[24]Desember 24'!AL129</f>
        <v>0</v>
      </c>
      <c r="R135" s="913"/>
      <c r="S135" s="100" t="e">
        <f t="shared" si="71"/>
        <v>#REF!</v>
      </c>
      <c r="T135" s="881">
        <v>626151</v>
      </c>
      <c r="U135" s="988" t="e">
        <f t="shared" si="71"/>
        <v>#REF!</v>
      </c>
      <c r="W135" s="38"/>
      <c r="X135" s="71"/>
      <c r="Y135" s="100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1018"/>
      <c r="AK135" s="1018"/>
      <c r="AL135" s="1018"/>
      <c r="AM135" s="1018"/>
      <c r="AN135" s="1018"/>
      <c r="AO135" s="1018"/>
      <c r="AP135" s="1018"/>
      <c r="AQ135" s="1018"/>
      <c r="AR135" s="1018"/>
      <c r="AS135" s="1018"/>
      <c r="AX135" s="1"/>
      <c r="BG135" s="158"/>
      <c r="BH135" s="158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58"/>
      <c r="DA135" s="1"/>
      <c r="DS135" s="704"/>
      <c r="DT135" s="158"/>
      <c r="DU135" s="158"/>
      <c r="DV135" s="158"/>
      <c r="DW135" s="158"/>
      <c r="FZ135" s="158"/>
      <c r="JU135" s="158"/>
      <c r="JV135" s="158"/>
      <c r="JW135" s="158"/>
      <c r="JX135" s="158"/>
      <c r="PB135" s="158"/>
      <c r="PC135" s="158"/>
      <c r="PE135" s="158"/>
      <c r="PS135" s="761"/>
      <c r="PW135" s="158"/>
      <c r="RZ135" s="761"/>
      <c r="AHI135" s="154"/>
      <c r="AIX135" s="154"/>
      <c r="AIY135" s="154"/>
      <c r="AIZ135" s="154"/>
    </row>
    <row r="136" spans="2:936" hidden="1" x14ac:dyDescent="0.25">
      <c r="B136" s="923"/>
      <c r="C136" s="756" t="s">
        <v>28</v>
      </c>
      <c r="D136" s="663"/>
      <c r="E136" s="651"/>
      <c r="F136" s="626"/>
      <c r="G136" s="626"/>
      <c r="H136" s="626"/>
      <c r="I136" s="626"/>
      <c r="J136" s="626"/>
      <c r="K136" s="626"/>
      <c r="L136" s="626"/>
      <c r="M136" s="626"/>
      <c r="N136" s="626"/>
      <c r="O136" s="626"/>
      <c r="P136" s="626"/>
      <c r="Q136" s="626"/>
      <c r="R136" s="911"/>
      <c r="S136" s="72" t="s">
        <v>28</v>
      </c>
      <c r="T136" s="880" t="s">
        <v>28</v>
      </c>
      <c r="U136" s="984" t="s">
        <v>28</v>
      </c>
      <c r="W136" s="6"/>
      <c r="X136" s="71"/>
      <c r="Y136" s="100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1002"/>
      <c r="AK136" s="1002"/>
      <c r="AL136" s="1002"/>
      <c r="AM136" s="1002"/>
      <c r="AN136" s="1002"/>
      <c r="AO136" s="1002"/>
      <c r="AP136" s="1002"/>
      <c r="AQ136" s="1002"/>
      <c r="AR136" s="1002"/>
      <c r="AS136" s="1002"/>
      <c r="AX136" s="1"/>
      <c r="BG136" s="152"/>
      <c r="BH136" s="152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52"/>
      <c r="DA136" s="1"/>
      <c r="DS136" s="5"/>
      <c r="DT136" s="152"/>
      <c r="DU136" s="152"/>
      <c r="DV136" s="152"/>
      <c r="DW136" s="152"/>
      <c r="FZ136" s="152"/>
      <c r="JU136" s="152"/>
      <c r="JV136" s="152"/>
      <c r="JW136" s="152"/>
      <c r="JX136" s="152"/>
      <c r="PB136" s="152"/>
      <c r="PC136" s="152"/>
      <c r="PE136" s="152"/>
      <c r="PS136" s="155"/>
      <c r="PW136" s="152"/>
      <c r="RZ136" s="155"/>
      <c r="AHI136" s="151"/>
      <c r="AIX136" s="151"/>
      <c r="AIY136" s="151"/>
      <c r="AIZ136" s="151"/>
    </row>
    <row r="137" spans="2:936" hidden="1" x14ac:dyDescent="0.25">
      <c r="B137" s="923"/>
      <c r="C137" s="623" t="s">
        <v>42</v>
      </c>
      <c r="D137" s="663"/>
      <c r="E137" s="683" t="s">
        <v>28</v>
      </c>
      <c r="F137" s="626">
        <f t="shared" ref="F137:Q137" si="72">F134*12</f>
        <v>586296</v>
      </c>
      <c r="G137" s="626" t="e">
        <f t="shared" si="72"/>
        <v>#REF!</v>
      </c>
      <c r="H137" s="626">
        <f t="shared" si="72"/>
        <v>0</v>
      </c>
      <c r="I137" s="626">
        <f t="shared" si="72"/>
        <v>0</v>
      </c>
      <c r="J137" s="626">
        <f t="shared" si="72"/>
        <v>0</v>
      </c>
      <c r="K137" s="626">
        <f t="shared" si="72"/>
        <v>0</v>
      </c>
      <c r="L137" s="626">
        <f t="shared" si="72"/>
        <v>0</v>
      </c>
      <c r="M137" s="626">
        <f t="shared" si="72"/>
        <v>0</v>
      </c>
      <c r="N137" s="626">
        <f t="shared" si="72"/>
        <v>0</v>
      </c>
      <c r="O137" s="626">
        <f t="shared" si="72"/>
        <v>0</v>
      </c>
      <c r="P137" s="626">
        <f t="shared" si="72"/>
        <v>0</v>
      </c>
      <c r="Q137" s="626">
        <f t="shared" si="72"/>
        <v>0</v>
      </c>
      <c r="R137" s="911"/>
      <c r="S137" s="63" t="e">
        <f>S134*12</f>
        <v>#REF!</v>
      </c>
      <c r="T137" s="858">
        <f>T134*12</f>
        <v>3554328</v>
      </c>
      <c r="U137" s="985" t="e">
        <f>U134*12</f>
        <v>#REF!</v>
      </c>
      <c r="W137" s="6"/>
      <c r="X137" s="71"/>
      <c r="Y137" s="100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1002"/>
      <c r="AK137" s="1002"/>
      <c r="AL137" s="1002"/>
      <c r="AM137" s="1002"/>
      <c r="AN137" s="1002"/>
      <c r="AO137" s="1002"/>
      <c r="AP137" s="1002"/>
      <c r="AQ137" s="1002"/>
      <c r="AR137" s="1002"/>
      <c r="AS137" s="1002"/>
      <c r="AX137" s="1"/>
      <c r="BG137" s="152"/>
      <c r="BH137" s="152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52"/>
      <c r="DA137" s="1"/>
      <c r="DS137" s="5"/>
      <c r="DT137" s="152"/>
      <c r="DU137" s="152"/>
      <c r="DV137" s="152"/>
      <c r="DW137" s="152"/>
      <c r="FZ137" s="152"/>
      <c r="JU137" s="152"/>
      <c r="JV137" s="152"/>
      <c r="JW137" s="152"/>
      <c r="JX137" s="152"/>
      <c r="PB137" s="152"/>
      <c r="PC137" s="152"/>
      <c r="PE137" s="152"/>
      <c r="PS137" s="155"/>
      <c r="PW137" s="152"/>
      <c r="RZ137" s="155"/>
      <c r="AHI137" s="151"/>
      <c r="AIX137" s="151"/>
      <c r="AIY137" s="151"/>
      <c r="AIZ137" s="151"/>
    </row>
    <row r="138" spans="2:936" hidden="1" x14ac:dyDescent="0.25">
      <c r="B138" s="923"/>
      <c r="C138" s="623" t="s">
        <v>41</v>
      </c>
      <c r="D138" s="663"/>
      <c r="E138" s="683" t="s">
        <v>28</v>
      </c>
      <c r="F138" s="626">
        <f t="shared" ref="F138:Q138" si="73">F135*6</f>
        <v>30138</v>
      </c>
      <c r="G138" s="626" t="e">
        <f t="shared" si="73"/>
        <v>#REF!</v>
      </c>
      <c r="H138" s="626">
        <f t="shared" si="73"/>
        <v>0</v>
      </c>
      <c r="I138" s="626">
        <f t="shared" si="73"/>
        <v>0</v>
      </c>
      <c r="J138" s="626">
        <f t="shared" si="73"/>
        <v>0</v>
      </c>
      <c r="K138" s="626">
        <f t="shared" si="73"/>
        <v>0</v>
      </c>
      <c r="L138" s="626">
        <f t="shared" si="73"/>
        <v>0</v>
      </c>
      <c r="M138" s="626">
        <f t="shared" si="73"/>
        <v>0</v>
      </c>
      <c r="N138" s="626">
        <f t="shared" si="73"/>
        <v>0</v>
      </c>
      <c r="O138" s="626">
        <f t="shared" si="73"/>
        <v>0</v>
      </c>
      <c r="P138" s="626">
        <f t="shared" si="73"/>
        <v>0</v>
      </c>
      <c r="Q138" s="626">
        <f t="shared" si="73"/>
        <v>0</v>
      </c>
      <c r="R138" s="911"/>
      <c r="S138" s="63" t="e">
        <f>S135*6</f>
        <v>#REF!</v>
      </c>
      <c r="T138" s="858">
        <f>T135*6</f>
        <v>3756906</v>
      </c>
      <c r="U138" s="985" t="e">
        <f>U135*6</f>
        <v>#REF!</v>
      </c>
      <c r="W138" s="6"/>
      <c r="X138" s="71"/>
      <c r="Y138" s="100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1002"/>
      <c r="AK138" s="1002"/>
      <c r="AL138" s="1002"/>
      <c r="AM138" s="1002"/>
      <c r="AN138" s="1002"/>
      <c r="AO138" s="1002"/>
      <c r="AP138" s="1002"/>
      <c r="AQ138" s="1002"/>
      <c r="AR138" s="1002"/>
      <c r="AS138" s="1002"/>
      <c r="AX138" s="1"/>
      <c r="BG138" s="152"/>
      <c r="BH138" s="152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52"/>
      <c r="DA138" s="1"/>
      <c r="DS138" s="5"/>
      <c r="DT138" s="152"/>
      <c r="DU138" s="152"/>
      <c r="DV138" s="152"/>
      <c r="DW138" s="152"/>
      <c r="FZ138" s="152"/>
      <c r="JU138" s="152"/>
      <c r="JV138" s="152"/>
      <c r="JW138" s="152"/>
      <c r="JX138" s="152"/>
      <c r="PB138" s="152"/>
      <c r="PC138" s="152"/>
      <c r="PE138" s="152"/>
      <c r="PS138" s="155"/>
      <c r="PW138" s="152"/>
      <c r="RZ138" s="155"/>
      <c r="AHI138" s="151"/>
      <c r="AIX138" s="151"/>
      <c r="AIY138" s="151"/>
      <c r="AIZ138" s="151"/>
    </row>
    <row r="139" spans="2:936" hidden="1" x14ac:dyDescent="0.25">
      <c r="B139" s="923"/>
      <c r="C139" s="756" t="s">
        <v>36</v>
      </c>
      <c r="D139" s="663"/>
      <c r="E139" s="683" t="s">
        <v>35</v>
      </c>
      <c r="F139" s="626">
        <f>(F130*45)/1700</f>
        <v>13883.394705882356</v>
      </c>
      <c r="G139" s="626" t="e">
        <f>(G130*45)/1700</f>
        <v>#REF!</v>
      </c>
      <c r="H139" s="626">
        <f>(H130*45)/1700</f>
        <v>0</v>
      </c>
      <c r="I139" s="626">
        <f>(I130*45)/1700</f>
        <v>0</v>
      </c>
      <c r="J139" s="626">
        <f>(J130*45)/1700</f>
        <v>0</v>
      </c>
      <c r="K139" s="626">
        <f>K130*45/1700</f>
        <v>0</v>
      </c>
      <c r="L139" s="626">
        <f t="shared" ref="L139:Q139" si="74">L130*45/1700</f>
        <v>0</v>
      </c>
      <c r="M139" s="626">
        <f t="shared" si="74"/>
        <v>0</v>
      </c>
      <c r="N139" s="626">
        <f t="shared" si="74"/>
        <v>0</v>
      </c>
      <c r="O139" s="626">
        <f t="shared" si="74"/>
        <v>0</v>
      </c>
      <c r="P139" s="626">
        <f t="shared" si="74"/>
        <v>0</v>
      </c>
      <c r="Q139" s="626">
        <f t="shared" si="74"/>
        <v>0</v>
      </c>
      <c r="R139" s="911"/>
      <c r="S139" s="63" t="e">
        <f t="shared" ref="S139:U140" si="75">SUM(F139:Q139)</f>
        <v>#REF!</v>
      </c>
      <c r="T139" s="858" t="e">
        <f t="shared" si="75"/>
        <v>#REF!</v>
      </c>
      <c r="U139" s="985" t="e">
        <f t="shared" si="75"/>
        <v>#REF!</v>
      </c>
      <c r="W139" s="6"/>
      <c r="X139" s="71"/>
      <c r="Y139" s="100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1002"/>
      <c r="AK139" s="1002"/>
      <c r="AL139" s="1002"/>
      <c r="AM139" s="1002"/>
      <c r="AN139" s="1002"/>
      <c r="AO139" s="1002"/>
      <c r="AP139" s="1002"/>
      <c r="AQ139" s="1002"/>
      <c r="AR139" s="1002"/>
      <c r="AS139" s="1002"/>
      <c r="AX139" s="1"/>
      <c r="BG139" s="152"/>
      <c r="BH139" s="152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52"/>
      <c r="DA139" s="1"/>
      <c r="DS139" s="5"/>
      <c r="DT139" s="152"/>
      <c r="DU139" s="152"/>
      <c r="DV139" s="152"/>
      <c r="DW139" s="152"/>
      <c r="FZ139" s="152"/>
      <c r="JU139" s="152"/>
      <c r="JV139" s="152"/>
      <c r="JW139" s="152"/>
      <c r="JX139" s="152"/>
      <c r="PB139" s="152"/>
      <c r="PC139" s="152"/>
      <c r="PE139" s="152"/>
      <c r="PS139" s="155"/>
      <c r="PW139" s="152"/>
      <c r="RZ139" s="155"/>
      <c r="AHI139" s="151"/>
      <c r="AIX139" s="151"/>
      <c r="AIY139" s="151"/>
      <c r="AIZ139" s="151"/>
    </row>
    <row r="140" spans="2:936" hidden="1" x14ac:dyDescent="0.25">
      <c r="B140" s="923"/>
      <c r="C140" s="756" t="s">
        <v>34</v>
      </c>
      <c r="D140" s="663"/>
      <c r="E140" s="683" t="s">
        <v>33</v>
      </c>
      <c r="F140" s="626">
        <f t="shared" ref="F140:L140" si="76">SUM(F134:F135)/500</f>
        <v>107.762</v>
      </c>
      <c r="G140" s="626" t="e">
        <f t="shared" si="76"/>
        <v>#REF!</v>
      </c>
      <c r="H140" s="626">
        <f t="shared" si="76"/>
        <v>0</v>
      </c>
      <c r="I140" s="626">
        <f t="shared" si="76"/>
        <v>0</v>
      </c>
      <c r="J140" s="626">
        <f t="shared" si="76"/>
        <v>0</v>
      </c>
      <c r="K140" s="774">
        <f t="shared" si="76"/>
        <v>0</v>
      </c>
      <c r="L140" s="774">
        <f t="shared" si="76"/>
        <v>0</v>
      </c>
      <c r="M140" s="774">
        <f>SUM(M134:M135)/500</f>
        <v>0</v>
      </c>
      <c r="N140" s="774">
        <f>SUM(N134:N135)/500</f>
        <v>0</v>
      </c>
      <c r="O140" s="774">
        <f>SUM(O134:O135)/500</f>
        <v>0</v>
      </c>
      <c r="P140" s="774">
        <f>SUM(P134:P135)/500</f>
        <v>0</v>
      </c>
      <c r="Q140" s="774">
        <f>SUM(Q134:Q135)/500</f>
        <v>0</v>
      </c>
      <c r="R140" s="911"/>
      <c r="S140" s="63" t="e">
        <f t="shared" si="75"/>
        <v>#REF!</v>
      </c>
      <c r="T140" s="858" t="e">
        <f t="shared" si="75"/>
        <v>#REF!</v>
      </c>
      <c r="U140" s="985" t="e">
        <f t="shared" si="75"/>
        <v>#REF!</v>
      </c>
      <c r="W140" s="6"/>
      <c r="X140" s="71"/>
      <c r="Y140" s="100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1002"/>
      <c r="AK140" s="1002"/>
      <c r="AL140" s="1002"/>
      <c r="AM140" s="1002"/>
      <c r="AN140" s="1002"/>
      <c r="AO140" s="1002"/>
      <c r="AP140" s="1002"/>
      <c r="AQ140" s="1002"/>
      <c r="AR140" s="1002"/>
      <c r="AS140" s="1002"/>
      <c r="AX140" s="1"/>
      <c r="BG140" s="152"/>
      <c r="BH140" s="152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52"/>
      <c r="DA140" s="1"/>
      <c r="DS140" s="5"/>
      <c r="DT140" s="152"/>
      <c r="DU140" s="152"/>
      <c r="DV140" s="152"/>
      <c r="DW140" s="152"/>
      <c r="FZ140" s="152"/>
      <c r="JU140" s="152"/>
      <c r="JV140" s="152"/>
      <c r="JW140" s="152"/>
      <c r="JX140" s="152"/>
      <c r="PB140" s="152"/>
      <c r="PC140" s="152"/>
      <c r="PE140" s="152"/>
      <c r="PS140" s="155"/>
      <c r="PW140" s="152"/>
      <c r="RZ140" s="155"/>
      <c r="AHI140" s="151"/>
      <c r="AIX140" s="151"/>
      <c r="AIY140" s="151"/>
      <c r="AIZ140" s="151"/>
    </row>
    <row r="141" spans="2:936" hidden="1" x14ac:dyDescent="0.25">
      <c r="B141" s="920"/>
      <c r="C141" s="605" t="s">
        <v>32</v>
      </c>
      <c r="D141" s="54"/>
      <c r="E141" s="54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3"/>
      <c r="S141" s="709" t="s">
        <v>132</v>
      </c>
      <c r="T141" s="869" t="s">
        <v>132</v>
      </c>
      <c r="U141" s="975" t="s">
        <v>132</v>
      </c>
      <c r="W141" s="1"/>
      <c r="X141" s="71"/>
      <c r="Y141" s="71"/>
      <c r="Z141" s="71"/>
      <c r="AA141" s="71"/>
      <c r="AB141" s="71"/>
      <c r="AC141" s="71"/>
      <c r="AD141" s="71"/>
      <c r="AE141" s="71"/>
      <c r="AF141" s="71"/>
      <c r="AG141" s="1002"/>
      <c r="AH141" s="1002"/>
      <c r="AI141" s="1002"/>
      <c r="AJ141" s="1002"/>
      <c r="AK141" s="1002"/>
      <c r="AL141" s="1002"/>
      <c r="AM141" s="1002"/>
      <c r="AN141" s="1002"/>
      <c r="AO141" s="1002"/>
      <c r="AP141" s="1002"/>
      <c r="AR141" s="71"/>
      <c r="AX141" s="1"/>
      <c r="BD141" s="151"/>
      <c r="BE141" s="15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H141" s="151"/>
      <c r="DA141" s="1"/>
      <c r="DP141" s="5"/>
      <c r="DQ141" s="151"/>
      <c r="DR141" s="151"/>
      <c r="DS141" s="151"/>
      <c r="DT141" s="151"/>
      <c r="FW141" s="151"/>
      <c r="JR141" s="151"/>
      <c r="JS141" s="151"/>
      <c r="JT141" s="151"/>
      <c r="JU141" s="151"/>
      <c r="OY141" s="151"/>
      <c r="OZ141" s="151"/>
      <c r="PB141" s="151"/>
      <c r="PP141" s="668"/>
      <c r="PT141" s="151"/>
      <c r="RW141" s="668"/>
      <c r="AHF141" s="151"/>
      <c r="AIU141" s="151"/>
      <c r="AIV141" s="151"/>
      <c r="AIW141" s="151"/>
    </row>
    <row r="142" spans="2:936" hidden="1" x14ac:dyDescent="0.25">
      <c r="B142" s="923"/>
      <c r="C142" s="756" t="s">
        <v>29</v>
      </c>
      <c r="D142" s="663"/>
      <c r="E142" s="651"/>
      <c r="F142" s="626"/>
      <c r="G142" s="626"/>
      <c r="H142" s="626"/>
      <c r="I142" s="626"/>
      <c r="J142" s="626"/>
      <c r="K142" s="626"/>
      <c r="L142" s="626"/>
      <c r="M142" s="626"/>
      <c r="N142" s="626"/>
      <c r="O142" s="626"/>
      <c r="P142" s="626"/>
      <c r="Q142" s="626"/>
      <c r="R142" s="911"/>
      <c r="S142" s="72" t="s">
        <v>29</v>
      </c>
      <c r="T142" s="880" t="s">
        <v>29</v>
      </c>
      <c r="U142" s="984" t="s">
        <v>29</v>
      </c>
      <c r="W142" s="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R142" s="71"/>
      <c r="AX142" s="1"/>
      <c r="BD142" s="152"/>
      <c r="BE142" s="152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H142" s="152"/>
      <c r="DA142" s="1"/>
      <c r="DP142" s="5"/>
      <c r="DQ142" s="152"/>
      <c r="DR142" s="152"/>
      <c r="DS142" s="152"/>
      <c r="DT142" s="152"/>
      <c r="FW142" s="152"/>
      <c r="JR142" s="152"/>
      <c r="JS142" s="152"/>
      <c r="JT142" s="152"/>
      <c r="JU142" s="152"/>
      <c r="OY142" s="152"/>
      <c r="OZ142" s="152"/>
      <c r="PB142" s="152"/>
      <c r="PP142" s="155"/>
      <c r="PT142" s="152"/>
      <c r="RW142" s="155"/>
      <c r="AHF142" s="151"/>
      <c r="AIU142" s="151"/>
      <c r="AIV142" s="151"/>
      <c r="AIW142" s="151"/>
    </row>
    <row r="143" spans="2:936" hidden="1" x14ac:dyDescent="0.25">
      <c r="B143" s="923"/>
      <c r="C143" s="623" t="s">
        <v>42</v>
      </c>
      <c r="D143" s="663"/>
      <c r="E143" s="683" t="s">
        <v>31</v>
      </c>
      <c r="F143" s="33">
        <f>'[24]Januari 24'!AL131</f>
        <v>586296</v>
      </c>
      <c r="G143" s="33" t="e">
        <f>'[24]Februari 24'!AI137</f>
        <v>#REF!</v>
      </c>
      <c r="H143" s="33">
        <f>'[24]Maret 24'!AL137</f>
        <v>0</v>
      </c>
      <c r="I143" s="33">
        <f>'[24]April 24'!AL137</f>
        <v>0</v>
      </c>
      <c r="J143" s="33">
        <f>'[24]Mei 24'!AL137</f>
        <v>0</v>
      </c>
      <c r="K143" s="33">
        <f>'[24]Juny 24'!AL137</f>
        <v>0</v>
      </c>
      <c r="L143" s="33">
        <f>'[24]July 24'!AL137</f>
        <v>0</v>
      </c>
      <c r="M143" s="33">
        <f>'[24]Agustus 24'!AL110</f>
        <v>0</v>
      </c>
      <c r="N143" s="33">
        <f>'[24]September 24'!AL137</f>
        <v>0</v>
      </c>
      <c r="O143" s="33">
        <f>'[24]Oktober 24'!AL137</f>
        <v>0</v>
      </c>
      <c r="P143" s="33">
        <f>'[24]November 24'!AL137</f>
        <v>0</v>
      </c>
      <c r="Q143" s="33">
        <f>'[24]Desember 24'!AL137</f>
        <v>0</v>
      </c>
      <c r="R143" s="911"/>
      <c r="S143" s="63" t="e">
        <f t="shared" ref="S143:U144" si="77">SUM(F143:Q143)</f>
        <v>#REF!</v>
      </c>
      <c r="T143" s="858" t="e">
        <f t="shared" si="77"/>
        <v>#REF!</v>
      </c>
      <c r="U143" s="985" t="e">
        <f t="shared" si="77"/>
        <v>#REF!</v>
      </c>
      <c r="W143" s="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R143" s="71"/>
      <c r="AX143" s="1"/>
      <c r="BD143" s="152"/>
      <c r="BE143" s="152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H143" s="152"/>
      <c r="DA143" s="1"/>
      <c r="DP143" s="5"/>
      <c r="DQ143" s="152"/>
      <c r="DR143" s="152"/>
      <c r="DS143" s="152"/>
      <c r="DT143" s="152"/>
      <c r="FW143" s="152"/>
      <c r="JR143" s="152"/>
      <c r="JS143" s="152"/>
      <c r="JT143" s="152"/>
      <c r="JU143" s="152"/>
      <c r="OY143" s="152"/>
      <c r="OZ143" s="152"/>
      <c r="PB143" s="152"/>
      <c r="PP143" s="155"/>
      <c r="PT143" s="152"/>
      <c r="RW143" s="155"/>
      <c r="AHF143" s="151"/>
      <c r="AIU143" s="151"/>
      <c r="AIV143" s="151"/>
      <c r="AIW143" s="151"/>
    </row>
    <row r="144" spans="2:936" hidden="1" x14ac:dyDescent="0.25">
      <c r="B144" s="923"/>
      <c r="C144" s="623" t="s">
        <v>41</v>
      </c>
      <c r="D144" s="663"/>
      <c r="E144" s="683" t="s">
        <v>31</v>
      </c>
      <c r="F144" s="33">
        <f>'[24]Januari 24'!AL132</f>
        <v>30138</v>
      </c>
      <c r="G144" s="33" t="e">
        <f>'[24]Februari 24'!AI138</f>
        <v>#REF!</v>
      </c>
      <c r="H144" s="33">
        <f>'[24]Maret 24'!AL138</f>
        <v>0</v>
      </c>
      <c r="I144" s="33">
        <f>'[24]April 24'!AL138</f>
        <v>0</v>
      </c>
      <c r="J144" s="33">
        <f>'[24]Mei 24'!AL138</f>
        <v>0</v>
      </c>
      <c r="K144" s="33">
        <f>'[24]Juny 24'!AL129</f>
        <v>0</v>
      </c>
      <c r="L144" s="33">
        <f>'[24]July 24'!AL138</f>
        <v>0</v>
      </c>
      <c r="M144" s="33">
        <f>'[24]Agustus 24'!AL111</f>
        <v>0</v>
      </c>
      <c r="N144" s="33">
        <f>'[24]September 24'!AL138</f>
        <v>0</v>
      </c>
      <c r="O144" s="33">
        <f>'[24]Oktober 24'!AL138</f>
        <v>0</v>
      </c>
      <c r="P144" s="33">
        <f>'[24]November 24'!AL138</f>
        <v>0</v>
      </c>
      <c r="Q144" s="33">
        <f>'[24]Desember 24'!AL138</f>
        <v>0</v>
      </c>
      <c r="R144" s="911"/>
      <c r="S144" s="63" t="e">
        <f t="shared" si="77"/>
        <v>#REF!</v>
      </c>
      <c r="T144" s="858" t="e">
        <f t="shared" si="77"/>
        <v>#REF!</v>
      </c>
      <c r="U144" s="985" t="e">
        <f t="shared" si="77"/>
        <v>#REF!</v>
      </c>
      <c r="W144" s="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R144" s="71"/>
      <c r="AX144" s="1"/>
      <c r="BD144" s="152"/>
      <c r="BE144" s="152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H144" s="152"/>
      <c r="DA144" s="1"/>
      <c r="DP144" s="5"/>
      <c r="DQ144" s="152"/>
      <c r="DR144" s="152"/>
      <c r="DS144" s="152"/>
      <c r="DT144" s="152"/>
      <c r="FW144" s="152"/>
      <c r="JR144" s="152"/>
      <c r="JS144" s="152"/>
      <c r="JT144" s="152"/>
      <c r="JU144" s="152"/>
      <c r="OY144" s="152"/>
      <c r="OZ144" s="152"/>
      <c r="PB144" s="152"/>
      <c r="PP144" s="155"/>
      <c r="PT144" s="152"/>
      <c r="RW144" s="155"/>
      <c r="AHF144" s="151"/>
      <c r="AIU144" s="151"/>
      <c r="AIV144" s="151"/>
      <c r="AIW144" s="151"/>
    </row>
    <row r="145" spans="2:933" hidden="1" x14ac:dyDescent="0.25">
      <c r="B145" s="923"/>
      <c r="C145" s="756" t="s">
        <v>28</v>
      </c>
      <c r="D145" s="663"/>
      <c r="E145" s="651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911"/>
      <c r="S145" s="72" t="s">
        <v>28</v>
      </c>
      <c r="T145" s="880" t="s">
        <v>28</v>
      </c>
      <c r="U145" s="984" t="s">
        <v>28</v>
      </c>
      <c r="W145" s="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R145" s="71"/>
      <c r="AX145" s="1"/>
      <c r="BD145" s="152"/>
      <c r="BE145" s="152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H145" s="152"/>
      <c r="DA145" s="1"/>
      <c r="DP145" s="5"/>
      <c r="DQ145" s="152"/>
      <c r="DR145" s="152"/>
      <c r="DS145" s="152"/>
      <c r="DT145" s="152"/>
      <c r="FW145" s="152"/>
      <c r="JR145" s="152"/>
      <c r="JS145" s="152"/>
      <c r="JT145" s="152"/>
      <c r="JU145" s="152"/>
      <c r="OY145" s="152"/>
      <c r="OZ145" s="152"/>
      <c r="PB145" s="152"/>
      <c r="PP145" s="155"/>
      <c r="PT145" s="152"/>
      <c r="RW145" s="155"/>
      <c r="AHF145" s="151"/>
      <c r="AIU145" s="151"/>
      <c r="AIV145" s="151"/>
      <c r="AIW145" s="151"/>
    </row>
    <row r="146" spans="2:933" hidden="1" x14ac:dyDescent="0.25">
      <c r="B146" s="923"/>
      <c r="C146" s="623" t="str">
        <f>C143</f>
        <v xml:space="preserve">INL SP 900 mL  </v>
      </c>
      <c r="D146" s="663"/>
      <c r="E146" s="683" t="s">
        <v>28</v>
      </c>
      <c r="F146" s="33">
        <f t="shared" ref="F146:L146" si="78">F143*12</f>
        <v>7035552</v>
      </c>
      <c r="G146" s="33" t="e">
        <f t="shared" si="78"/>
        <v>#REF!</v>
      </c>
      <c r="H146" s="33">
        <f t="shared" si="78"/>
        <v>0</v>
      </c>
      <c r="I146" s="33">
        <f t="shared" si="78"/>
        <v>0</v>
      </c>
      <c r="J146" s="33">
        <f t="shared" si="78"/>
        <v>0</v>
      </c>
      <c r="K146" s="33">
        <f t="shared" si="78"/>
        <v>0</v>
      </c>
      <c r="L146" s="33">
        <f t="shared" si="78"/>
        <v>0</v>
      </c>
      <c r="M146" s="33">
        <f>M143*12</f>
        <v>0</v>
      </c>
      <c r="N146" s="33">
        <f>N143*12</f>
        <v>0</v>
      </c>
      <c r="O146" s="33">
        <f>O143*12</f>
        <v>0</v>
      </c>
      <c r="P146" s="33">
        <f>P143*12</f>
        <v>0</v>
      </c>
      <c r="Q146" s="33">
        <f>Q143*12</f>
        <v>0</v>
      </c>
      <c r="R146" s="911"/>
      <c r="S146" s="63" t="e">
        <f t="shared" ref="S146:U147" si="79">SUM(F146:Q146)</f>
        <v>#REF!</v>
      </c>
      <c r="T146" s="858" t="e">
        <f t="shared" si="79"/>
        <v>#REF!</v>
      </c>
      <c r="U146" s="985" t="e">
        <f t="shared" si="79"/>
        <v>#REF!</v>
      </c>
      <c r="W146" s="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R146" s="71"/>
      <c r="AX146" s="1"/>
      <c r="BD146" s="152"/>
      <c r="BE146" s="152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H146" s="152"/>
      <c r="DA146" s="1"/>
      <c r="DP146" s="5"/>
      <c r="DQ146" s="152"/>
      <c r="DR146" s="152"/>
      <c r="DS146" s="152"/>
      <c r="DT146" s="152"/>
      <c r="FW146" s="152"/>
      <c r="JR146" s="152"/>
      <c r="JS146" s="152"/>
      <c r="JT146" s="152"/>
      <c r="JU146" s="152"/>
      <c r="OY146" s="152"/>
      <c r="OZ146" s="152"/>
      <c r="PB146" s="152"/>
      <c r="PP146" s="155"/>
      <c r="PT146" s="152"/>
      <c r="RW146" s="155"/>
      <c r="AHF146" s="151"/>
      <c r="AIU146" s="151"/>
      <c r="AIV146" s="151"/>
      <c r="AIW146" s="151"/>
    </row>
    <row r="147" spans="2:933" hidden="1" x14ac:dyDescent="0.25">
      <c r="B147" s="923"/>
      <c r="C147" s="623" t="str">
        <f>C144</f>
        <v>INL SP 1,8 L</v>
      </c>
      <c r="D147" s="663"/>
      <c r="E147" s="683" t="s">
        <v>28</v>
      </c>
      <c r="F147" s="33">
        <f t="shared" ref="F147:L147" si="80">F144*6</f>
        <v>180828</v>
      </c>
      <c r="G147" s="33" t="e">
        <f t="shared" si="80"/>
        <v>#REF!</v>
      </c>
      <c r="H147" s="33">
        <f t="shared" si="80"/>
        <v>0</v>
      </c>
      <c r="I147" s="33">
        <f t="shared" si="80"/>
        <v>0</v>
      </c>
      <c r="J147" s="33">
        <f t="shared" si="80"/>
        <v>0</v>
      </c>
      <c r="K147" s="33">
        <f t="shared" si="80"/>
        <v>0</v>
      </c>
      <c r="L147" s="33">
        <f t="shared" si="80"/>
        <v>0</v>
      </c>
      <c r="M147" s="33">
        <f>M144*6</f>
        <v>0</v>
      </c>
      <c r="N147" s="33">
        <f>N144*6</f>
        <v>0</v>
      </c>
      <c r="O147" s="33">
        <f>O144*6</f>
        <v>0</v>
      </c>
      <c r="P147" s="33">
        <f>P144*6</f>
        <v>0</v>
      </c>
      <c r="Q147" s="33">
        <f>Q144*6</f>
        <v>0</v>
      </c>
      <c r="R147" s="911"/>
      <c r="S147" s="63" t="e">
        <f t="shared" si="79"/>
        <v>#REF!</v>
      </c>
      <c r="T147" s="858" t="e">
        <f t="shared" si="79"/>
        <v>#REF!</v>
      </c>
      <c r="U147" s="985" t="e">
        <f t="shared" si="79"/>
        <v>#REF!</v>
      </c>
      <c r="W147" s="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R147" s="71"/>
      <c r="AX147" s="1"/>
      <c r="BD147" s="152"/>
      <c r="BE147" s="152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H147" s="152"/>
      <c r="DA147" s="1"/>
      <c r="DP147" s="5"/>
      <c r="DQ147" s="152"/>
      <c r="DR147" s="152"/>
      <c r="DS147" s="152"/>
      <c r="DT147" s="152"/>
      <c r="FW147" s="152"/>
      <c r="JR147" s="152"/>
      <c r="JS147" s="152"/>
      <c r="JT147" s="152"/>
      <c r="JU147" s="152"/>
      <c r="OY147" s="152"/>
      <c r="OZ147" s="152"/>
      <c r="PB147" s="152"/>
      <c r="PP147" s="155"/>
      <c r="PT147" s="152"/>
      <c r="RW147" s="155"/>
      <c r="AHF147" s="151"/>
      <c r="AIU147" s="151"/>
      <c r="AIV147" s="151"/>
      <c r="AIW147" s="151"/>
    </row>
    <row r="148" spans="2:933" hidden="1" x14ac:dyDescent="0.25">
      <c r="B148" s="923"/>
      <c r="C148" s="605" t="s">
        <v>30</v>
      </c>
      <c r="D148" s="85"/>
      <c r="E148" s="775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776"/>
      <c r="S148" s="104"/>
      <c r="T148" s="883"/>
      <c r="U148" s="989"/>
      <c r="W148" s="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R148" s="71"/>
      <c r="AX148" s="1"/>
      <c r="BD148" s="152"/>
      <c r="BE148" s="152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H148" s="152"/>
      <c r="DA148" s="1"/>
      <c r="DP148" s="5"/>
      <c r="DQ148" s="152"/>
      <c r="DR148" s="152"/>
      <c r="DS148" s="152"/>
      <c r="DT148" s="152"/>
      <c r="FW148" s="152"/>
      <c r="JR148" s="152"/>
      <c r="JS148" s="152"/>
      <c r="JT148" s="152"/>
      <c r="JU148" s="152"/>
      <c r="OY148" s="152"/>
      <c r="OZ148" s="152"/>
      <c r="PB148" s="152"/>
      <c r="PP148" s="155"/>
      <c r="PT148" s="152"/>
      <c r="RW148" s="155"/>
      <c r="AHF148" s="151"/>
      <c r="AIU148" s="151"/>
      <c r="AIV148" s="151"/>
      <c r="AIW148" s="151"/>
    </row>
    <row r="149" spans="2:933" hidden="1" x14ac:dyDescent="0.25">
      <c r="B149" s="923"/>
      <c r="C149" s="756" t="s">
        <v>29</v>
      </c>
      <c r="D149" s="663"/>
      <c r="E149" s="68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911"/>
      <c r="S149" s="63"/>
      <c r="T149" s="858"/>
      <c r="U149" s="985"/>
      <c r="W149" s="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R149" s="71"/>
      <c r="AX149" s="1"/>
      <c r="BD149" s="152"/>
      <c r="BE149" s="152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52"/>
      <c r="DA149" s="1"/>
      <c r="DP149" s="5"/>
      <c r="DQ149" s="152"/>
      <c r="DR149" s="152"/>
      <c r="DS149" s="152"/>
      <c r="DT149" s="152"/>
      <c r="FW149" s="152"/>
      <c r="JR149" s="152"/>
      <c r="JS149" s="152"/>
      <c r="JT149" s="152"/>
      <c r="JU149" s="152"/>
      <c r="OY149" s="152"/>
      <c r="OZ149" s="152"/>
      <c r="PB149" s="152"/>
      <c r="PP149" s="155"/>
      <c r="PT149" s="152"/>
      <c r="RW149" s="155"/>
      <c r="AHF149" s="151"/>
      <c r="AIU149" s="151"/>
      <c r="AIV149" s="151"/>
      <c r="AIW149" s="151"/>
    </row>
    <row r="150" spans="2:933" hidden="1" x14ac:dyDescent="0.25">
      <c r="B150" s="923"/>
      <c r="C150" s="623" t="s">
        <v>42</v>
      </c>
      <c r="D150" s="663"/>
      <c r="E150" s="683" t="s">
        <v>25</v>
      </c>
      <c r="F150" s="627">
        <f>F143/F134*100</f>
        <v>1200</v>
      </c>
      <c r="G150" s="627" t="e">
        <f>G143/G134*100</f>
        <v>#REF!</v>
      </c>
      <c r="H150" s="627" t="e">
        <f t="shared" ref="H150:Q151" si="81">H143/H134*100</f>
        <v>#DIV/0!</v>
      </c>
      <c r="I150" s="627" t="e">
        <f>I143/I134*100</f>
        <v>#DIV/0!</v>
      </c>
      <c r="J150" s="627" t="e">
        <f t="shared" si="81"/>
        <v>#DIV/0!</v>
      </c>
      <c r="K150" s="627" t="e">
        <f t="shared" si="81"/>
        <v>#DIV/0!</v>
      </c>
      <c r="L150" s="627" t="e">
        <f t="shared" si="81"/>
        <v>#DIV/0!</v>
      </c>
      <c r="M150" s="627" t="e">
        <f t="shared" si="81"/>
        <v>#DIV/0!</v>
      </c>
      <c r="N150" s="627" t="e">
        <f t="shared" si="81"/>
        <v>#DIV/0!</v>
      </c>
      <c r="O150" s="627" t="e">
        <f t="shared" si="81"/>
        <v>#DIV/0!</v>
      </c>
      <c r="P150" s="627" t="e">
        <f t="shared" si="81"/>
        <v>#DIV/0!</v>
      </c>
      <c r="Q150" s="627" t="e">
        <f t="shared" si="81"/>
        <v>#DIV/0!</v>
      </c>
      <c r="R150" s="911"/>
      <c r="S150" s="67" t="e">
        <f t="shared" ref="S150:S151" si="82">S143/S134*100</f>
        <v>#REF!</v>
      </c>
      <c r="T150" s="858"/>
      <c r="U150" s="985"/>
      <c r="W150" s="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R150" s="71"/>
      <c r="AX150" s="1"/>
      <c r="BD150" s="152"/>
      <c r="BE150" s="152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52"/>
      <c r="DA150" s="1"/>
      <c r="DP150" s="5"/>
      <c r="DQ150" s="152"/>
      <c r="DR150" s="152"/>
      <c r="DS150" s="152"/>
      <c r="DT150" s="152"/>
      <c r="FW150" s="152"/>
      <c r="JR150" s="152"/>
      <c r="JS150" s="152"/>
      <c r="JT150" s="152"/>
      <c r="JU150" s="152"/>
      <c r="OY150" s="152"/>
      <c r="OZ150" s="152"/>
      <c r="PB150" s="152"/>
      <c r="PP150" s="155"/>
      <c r="PT150" s="152"/>
      <c r="RW150" s="155"/>
      <c r="AHF150" s="151"/>
      <c r="AIU150" s="151"/>
      <c r="AIV150" s="151"/>
      <c r="AIW150" s="151"/>
    </row>
    <row r="151" spans="2:933" hidden="1" x14ac:dyDescent="0.25">
      <c r="B151" s="923"/>
      <c r="C151" s="623" t="s">
        <v>41</v>
      </c>
      <c r="D151" s="663"/>
      <c r="E151" s="683" t="s">
        <v>25</v>
      </c>
      <c r="F151" s="627">
        <f>F144/F135*100</f>
        <v>600</v>
      </c>
      <c r="G151" s="627" t="e">
        <f>G144/G135*100</f>
        <v>#REF!</v>
      </c>
      <c r="H151" s="627" t="e">
        <f t="shared" si="81"/>
        <v>#DIV/0!</v>
      </c>
      <c r="I151" s="627" t="e">
        <f t="shared" si="81"/>
        <v>#DIV/0!</v>
      </c>
      <c r="J151" s="627" t="e">
        <f t="shared" si="81"/>
        <v>#DIV/0!</v>
      </c>
      <c r="K151" s="627" t="e">
        <f t="shared" si="81"/>
        <v>#DIV/0!</v>
      </c>
      <c r="L151" s="627" t="e">
        <f t="shared" si="81"/>
        <v>#DIV/0!</v>
      </c>
      <c r="M151" s="627" t="e">
        <f t="shared" si="81"/>
        <v>#DIV/0!</v>
      </c>
      <c r="N151" s="627" t="e">
        <f t="shared" si="81"/>
        <v>#DIV/0!</v>
      </c>
      <c r="O151" s="627" t="e">
        <f t="shared" si="81"/>
        <v>#DIV/0!</v>
      </c>
      <c r="P151" s="627" t="e">
        <f t="shared" si="81"/>
        <v>#DIV/0!</v>
      </c>
      <c r="Q151" s="627" t="e">
        <f t="shared" si="81"/>
        <v>#DIV/0!</v>
      </c>
      <c r="R151" s="911"/>
      <c r="S151" s="67" t="e">
        <f t="shared" si="82"/>
        <v>#REF!</v>
      </c>
      <c r="T151" s="858"/>
      <c r="U151" s="985"/>
      <c r="W151" s="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R151" s="71"/>
      <c r="AX151" s="1"/>
      <c r="BD151" s="152"/>
      <c r="BE151" s="152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52"/>
      <c r="DA151" s="1"/>
      <c r="DP151" s="5"/>
      <c r="DQ151" s="152"/>
      <c r="DR151" s="152"/>
      <c r="DS151" s="152"/>
      <c r="DT151" s="152"/>
      <c r="FW151" s="152"/>
      <c r="JR151" s="152"/>
      <c r="JS151" s="152"/>
      <c r="JT151" s="152"/>
      <c r="JU151" s="152"/>
      <c r="OY151" s="152"/>
      <c r="OZ151" s="152"/>
      <c r="PB151" s="152"/>
      <c r="PP151" s="155"/>
      <c r="PT151" s="152"/>
      <c r="RW151" s="155"/>
      <c r="AHF151" s="151"/>
      <c r="AIU151" s="151"/>
      <c r="AIV151" s="151"/>
      <c r="AIW151" s="151"/>
    </row>
    <row r="152" spans="2:933" hidden="1" x14ac:dyDescent="0.25">
      <c r="B152" s="923"/>
      <c r="C152" s="756" t="s">
        <v>28</v>
      </c>
      <c r="D152" s="663"/>
      <c r="E152" s="68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911"/>
      <c r="S152" s="63"/>
      <c r="T152" s="858"/>
      <c r="U152" s="985"/>
      <c r="W152" s="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R152" s="71"/>
      <c r="AX152" s="1"/>
      <c r="BD152" s="152"/>
      <c r="BE152" s="152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52"/>
      <c r="DA152" s="1"/>
      <c r="DP152" s="5"/>
      <c r="DQ152" s="152"/>
      <c r="DR152" s="152"/>
      <c r="DS152" s="152"/>
      <c r="DT152" s="152"/>
      <c r="FW152" s="152"/>
      <c r="JR152" s="152"/>
      <c r="JS152" s="152"/>
      <c r="JT152" s="152"/>
      <c r="JU152" s="152"/>
      <c r="OY152" s="152"/>
      <c r="OZ152" s="152"/>
      <c r="PB152" s="152"/>
      <c r="PP152" s="155"/>
      <c r="PT152" s="152"/>
      <c r="RW152" s="155"/>
      <c r="AHF152" s="151"/>
      <c r="AIU152" s="151"/>
      <c r="AIV152" s="151"/>
      <c r="AIW152" s="151"/>
    </row>
    <row r="153" spans="2:933" hidden="1" x14ac:dyDescent="0.25">
      <c r="B153" s="923"/>
      <c r="C153" s="623" t="s">
        <v>42</v>
      </c>
      <c r="D153" s="663"/>
      <c r="E153" s="683" t="s">
        <v>25</v>
      </c>
      <c r="F153" s="627">
        <f>F146/F137*100</f>
        <v>1200</v>
      </c>
      <c r="G153" s="627" t="e">
        <f>G146/G137*100</f>
        <v>#REF!</v>
      </c>
      <c r="H153" s="627" t="e">
        <f t="shared" ref="H153:Q154" si="83">H146/H137*100</f>
        <v>#DIV/0!</v>
      </c>
      <c r="I153" s="627" t="e">
        <f t="shared" si="83"/>
        <v>#DIV/0!</v>
      </c>
      <c r="J153" s="627" t="e">
        <f t="shared" si="83"/>
        <v>#DIV/0!</v>
      </c>
      <c r="K153" s="627" t="e">
        <f t="shared" si="83"/>
        <v>#DIV/0!</v>
      </c>
      <c r="L153" s="627" t="e">
        <f t="shared" si="83"/>
        <v>#DIV/0!</v>
      </c>
      <c r="M153" s="627" t="e">
        <f t="shared" si="83"/>
        <v>#DIV/0!</v>
      </c>
      <c r="N153" s="627" t="e">
        <f t="shared" si="83"/>
        <v>#DIV/0!</v>
      </c>
      <c r="O153" s="627" t="e">
        <f t="shared" si="83"/>
        <v>#DIV/0!</v>
      </c>
      <c r="P153" s="627" t="e">
        <f t="shared" si="83"/>
        <v>#DIV/0!</v>
      </c>
      <c r="Q153" s="627" t="e">
        <f t="shared" si="83"/>
        <v>#DIV/0!</v>
      </c>
      <c r="R153" s="911"/>
      <c r="S153" s="67" t="e">
        <f>S146/S137*100</f>
        <v>#REF!</v>
      </c>
      <c r="T153" s="858"/>
      <c r="U153" s="985"/>
      <c r="W153" s="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R153" s="71"/>
      <c r="AX153" s="1"/>
      <c r="BD153" s="152"/>
      <c r="BE153" s="152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52"/>
      <c r="DA153" s="1"/>
      <c r="DP153" s="5"/>
      <c r="DQ153" s="152"/>
      <c r="DR153" s="152"/>
      <c r="DS153" s="152"/>
      <c r="DT153" s="152"/>
      <c r="FW153" s="152"/>
      <c r="JR153" s="152"/>
      <c r="JS153" s="152"/>
      <c r="JT153" s="152"/>
      <c r="JU153" s="152"/>
      <c r="OY153" s="152"/>
      <c r="OZ153" s="152"/>
      <c r="PB153" s="152"/>
      <c r="PP153" s="155"/>
      <c r="PT153" s="152"/>
      <c r="RW153" s="155"/>
      <c r="AHF153" s="151"/>
      <c r="AIU153" s="151"/>
      <c r="AIV153" s="151"/>
      <c r="AIW153" s="151"/>
    </row>
    <row r="154" spans="2:933" hidden="1" x14ac:dyDescent="0.25">
      <c r="B154" s="923"/>
      <c r="C154" s="623" t="s">
        <v>41</v>
      </c>
      <c r="D154" s="663"/>
      <c r="E154" s="683" t="s">
        <v>25</v>
      </c>
      <c r="F154" s="627">
        <f>F147/F138*100</f>
        <v>600</v>
      </c>
      <c r="G154" s="627" t="e">
        <f>G147/G138*100</f>
        <v>#REF!</v>
      </c>
      <c r="H154" s="627" t="e">
        <f t="shared" si="83"/>
        <v>#DIV/0!</v>
      </c>
      <c r="I154" s="627" t="e">
        <f t="shared" si="83"/>
        <v>#DIV/0!</v>
      </c>
      <c r="J154" s="627" t="e">
        <f t="shared" si="83"/>
        <v>#DIV/0!</v>
      </c>
      <c r="K154" s="627" t="e">
        <f t="shared" si="83"/>
        <v>#DIV/0!</v>
      </c>
      <c r="L154" s="627" t="e">
        <f t="shared" si="83"/>
        <v>#DIV/0!</v>
      </c>
      <c r="M154" s="627" t="e">
        <f t="shared" si="83"/>
        <v>#DIV/0!</v>
      </c>
      <c r="N154" s="627" t="e">
        <f t="shared" si="83"/>
        <v>#DIV/0!</v>
      </c>
      <c r="O154" s="627" t="e">
        <f t="shared" si="83"/>
        <v>#DIV/0!</v>
      </c>
      <c r="P154" s="627" t="e">
        <f t="shared" si="83"/>
        <v>#DIV/0!</v>
      </c>
      <c r="Q154" s="627" t="e">
        <f t="shared" si="83"/>
        <v>#DIV/0!</v>
      </c>
      <c r="R154" s="911"/>
      <c r="S154" s="67" t="e">
        <f>S147/S138*100</f>
        <v>#REF!</v>
      </c>
      <c r="T154" s="858"/>
      <c r="U154" s="985"/>
      <c r="W154" s="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R154" s="71"/>
      <c r="AX154" s="1"/>
      <c r="BD154" s="152"/>
      <c r="BE154" s="152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52"/>
      <c r="DA154" s="1"/>
      <c r="DP154" s="5"/>
      <c r="DQ154" s="152"/>
      <c r="DR154" s="152"/>
      <c r="DS154" s="152"/>
      <c r="DT154" s="152"/>
      <c r="FW154" s="152"/>
      <c r="JR154" s="152"/>
      <c r="JS154" s="152"/>
      <c r="JT154" s="152"/>
      <c r="JU154" s="152"/>
      <c r="OY154" s="152"/>
      <c r="OZ154" s="152"/>
      <c r="PB154" s="152"/>
      <c r="PP154" s="155"/>
      <c r="PT154" s="152"/>
      <c r="RW154" s="155"/>
      <c r="AHF154" s="151"/>
      <c r="AIU154" s="151"/>
      <c r="AIV154" s="151"/>
      <c r="AIW154" s="151"/>
    </row>
    <row r="155" spans="2:933" hidden="1" x14ac:dyDescent="0.25">
      <c r="B155" s="919">
        <v>8</v>
      </c>
      <c r="C155" s="605" t="s">
        <v>40</v>
      </c>
      <c r="D155" s="54"/>
      <c r="E155" s="54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3"/>
      <c r="S155" s="709" t="s">
        <v>131</v>
      </c>
      <c r="T155" s="869" t="s">
        <v>131</v>
      </c>
      <c r="U155" s="975" t="s">
        <v>131</v>
      </c>
      <c r="W155" s="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R155" s="71"/>
      <c r="AX155" s="1"/>
      <c r="BD155" s="151"/>
      <c r="BE155" s="15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51"/>
      <c r="DA155" s="1"/>
      <c r="DP155" s="5"/>
      <c r="DQ155" s="151"/>
      <c r="DR155" s="151"/>
      <c r="DS155" s="151"/>
      <c r="DT155" s="151"/>
      <c r="FW155" s="151"/>
      <c r="JR155" s="151"/>
      <c r="JS155" s="151"/>
      <c r="JT155" s="151"/>
      <c r="JU155" s="151"/>
      <c r="OY155" s="151"/>
      <c r="OZ155" s="151"/>
      <c r="PB155" s="151"/>
      <c r="PP155" s="668"/>
      <c r="PT155" s="151"/>
      <c r="RW155" s="668"/>
      <c r="AHF155" s="151"/>
      <c r="AIU155" s="151"/>
      <c r="AIV155" s="151"/>
      <c r="AIW155" s="151"/>
    </row>
    <row r="156" spans="2:933" hidden="1" x14ac:dyDescent="0.25">
      <c r="B156" s="923"/>
      <c r="C156" s="766" t="s">
        <v>116</v>
      </c>
      <c r="D156" s="767"/>
      <c r="E156" s="20" t="s">
        <v>14</v>
      </c>
      <c r="F156" s="777">
        <f>'[24]Januari 24'!AL150</f>
        <v>0</v>
      </c>
      <c r="G156" s="777" t="e">
        <f>'[24]Februari 24'!AI150</f>
        <v>#REF!</v>
      </c>
      <c r="H156" s="777">
        <f>'[24]Maret 24'!AL150</f>
        <v>0</v>
      </c>
      <c r="I156" s="777">
        <f>'[24]April 24'!AL150</f>
        <v>0</v>
      </c>
      <c r="J156" s="777">
        <f>'[24]Mei 24'!AL150</f>
        <v>0</v>
      </c>
      <c r="K156" s="777" t="e">
        <f>'[24]July 24'!AM107</f>
        <v>#REF!</v>
      </c>
      <c r="L156" s="777">
        <f>'[24]July 24'!AL150</f>
        <v>0</v>
      </c>
      <c r="M156" s="777">
        <f>'[24]Agustus 24'!AL150</f>
        <v>0</v>
      </c>
      <c r="N156" s="777">
        <f>'[24]September 24'!AL150</f>
        <v>0</v>
      </c>
      <c r="O156" s="777">
        <f>'[24]Oktober 24'!AL150</f>
        <v>0</v>
      </c>
      <c r="P156" s="777">
        <f>'[24]November 24'!AL150</f>
        <v>0</v>
      </c>
      <c r="Q156" s="777">
        <f>'[24]Desember 24'!AL156</f>
        <v>0</v>
      </c>
      <c r="R156" s="925"/>
      <c r="S156" s="98" t="e">
        <f>SUM(S157:S158)</f>
        <v>#REF!</v>
      </c>
      <c r="T156" s="878" t="e">
        <f>SUM(T157:T158)</f>
        <v>#REF!</v>
      </c>
      <c r="U156" s="986" t="e">
        <f>SUM(U157:U158)</f>
        <v>#REF!</v>
      </c>
      <c r="W156" s="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R156" s="71"/>
      <c r="AX156" s="1"/>
      <c r="BD156" s="152"/>
      <c r="BE156" s="152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52"/>
      <c r="DA156" s="1"/>
      <c r="DP156" s="5"/>
      <c r="DQ156" s="152"/>
      <c r="DR156" s="152"/>
      <c r="DS156" s="152"/>
      <c r="DT156" s="152"/>
      <c r="FW156" s="152"/>
      <c r="JR156" s="152"/>
      <c r="JS156" s="152"/>
      <c r="JT156" s="152"/>
      <c r="JU156" s="152"/>
      <c r="OY156" s="152"/>
      <c r="OZ156" s="152"/>
      <c r="PB156" s="152"/>
      <c r="PP156" s="155"/>
      <c r="PT156" s="152"/>
      <c r="RW156" s="155"/>
      <c r="AHF156" s="151"/>
      <c r="AIU156" s="151"/>
      <c r="AIV156" s="151"/>
      <c r="AIW156" s="151"/>
    </row>
    <row r="157" spans="2:933" hidden="1" x14ac:dyDescent="0.25">
      <c r="B157" s="923"/>
      <c r="C157" s="756" t="s">
        <v>39</v>
      </c>
      <c r="D157" s="663"/>
      <c r="E157" s="683" t="s">
        <v>14</v>
      </c>
      <c r="F157" s="627">
        <f t="shared" ref="F157:Q157" si="84">SUM(F161:F163)*9.75348</f>
        <v>0</v>
      </c>
      <c r="G157" s="627">
        <f t="shared" si="84"/>
        <v>63348.852599999998</v>
      </c>
      <c r="H157" s="627">
        <f>'[24]Maret 24'!AL151</f>
        <v>0</v>
      </c>
      <c r="I157" s="627">
        <f>'[24]April 24'!AL151</f>
        <v>0</v>
      </c>
      <c r="J157" s="627">
        <f t="shared" si="84"/>
        <v>0</v>
      </c>
      <c r="K157" s="627">
        <f t="shared" si="84"/>
        <v>0</v>
      </c>
      <c r="L157" s="627">
        <f t="shared" si="84"/>
        <v>0</v>
      </c>
      <c r="M157" s="627">
        <f>'[24]Agustus 24'!AL124</f>
        <v>0</v>
      </c>
      <c r="N157" s="627">
        <f t="shared" si="84"/>
        <v>0</v>
      </c>
      <c r="O157" s="627">
        <f>SUM(O160:O163)*9.75348</f>
        <v>0</v>
      </c>
      <c r="P157" s="627" t="e">
        <f t="shared" si="84"/>
        <v>#REF!</v>
      </c>
      <c r="Q157" s="627">
        <f t="shared" si="84"/>
        <v>0</v>
      </c>
      <c r="R157" s="911"/>
      <c r="S157" s="67" t="e">
        <f t="shared" ref="S157:U158" si="85">SUM(F157:Q157)</f>
        <v>#REF!</v>
      </c>
      <c r="T157" s="861" t="e">
        <f t="shared" si="85"/>
        <v>#REF!</v>
      </c>
      <c r="U157" s="968" t="e">
        <f t="shared" si="85"/>
        <v>#REF!</v>
      </c>
      <c r="W157" s="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R157" s="71"/>
      <c r="AX157" s="1"/>
      <c r="BD157" s="152"/>
      <c r="BE157" s="152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52"/>
      <c r="DA157" s="1"/>
      <c r="DP157" s="5"/>
      <c r="DQ157" s="152"/>
      <c r="DR157" s="152"/>
      <c r="DS157" s="152"/>
      <c r="DT157" s="152"/>
      <c r="FW157" s="152"/>
      <c r="JR157" s="152"/>
      <c r="JS157" s="152"/>
      <c r="JT157" s="152"/>
      <c r="JU157" s="152"/>
      <c r="OY157" s="152"/>
      <c r="OZ157" s="152"/>
      <c r="PB157" s="152"/>
      <c r="PP157" s="155"/>
      <c r="PT157" s="152"/>
      <c r="RW157" s="155"/>
      <c r="AHF157" s="151"/>
      <c r="AIU157" s="151"/>
      <c r="AIV157" s="151"/>
      <c r="AIW157" s="151"/>
    </row>
    <row r="158" spans="2:933" hidden="1" x14ac:dyDescent="0.25">
      <c r="B158" s="923"/>
      <c r="C158" s="756" t="s">
        <v>38</v>
      </c>
      <c r="D158" s="663"/>
      <c r="E158" s="683" t="s">
        <v>14</v>
      </c>
      <c r="F158" s="627">
        <f>F156-F157</f>
        <v>0</v>
      </c>
      <c r="G158" s="627" t="e">
        <f t="shared" ref="G158:Q158" si="86">G156-G157</f>
        <v>#REF!</v>
      </c>
      <c r="H158" s="627">
        <f t="shared" si="86"/>
        <v>0</v>
      </c>
      <c r="I158" s="627">
        <f t="shared" si="86"/>
        <v>0</v>
      </c>
      <c r="J158" s="627">
        <f t="shared" si="86"/>
        <v>0</v>
      </c>
      <c r="K158" s="627" t="e">
        <f t="shared" si="86"/>
        <v>#REF!</v>
      </c>
      <c r="L158" s="627">
        <f t="shared" si="86"/>
        <v>0</v>
      </c>
      <c r="M158" s="627">
        <f t="shared" si="86"/>
        <v>0</v>
      </c>
      <c r="N158" s="626">
        <f t="shared" si="86"/>
        <v>0</v>
      </c>
      <c r="O158" s="627">
        <f t="shared" si="86"/>
        <v>0</v>
      </c>
      <c r="P158" s="627" t="e">
        <f t="shared" si="86"/>
        <v>#REF!</v>
      </c>
      <c r="Q158" s="627">
        <f t="shared" si="86"/>
        <v>0</v>
      </c>
      <c r="R158" s="911"/>
      <c r="S158" s="67" t="e">
        <f t="shared" si="85"/>
        <v>#REF!</v>
      </c>
      <c r="T158" s="861" t="e">
        <f t="shared" si="85"/>
        <v>#REF!</v>
      </c>
      <c r="U158" s="968" t="e">
        <f t="shared" si="85"/>
        <v>#REF!</v>
      </c>
      <c r="W158" s="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R158" s="71"/>
      <c r="AX158" s="1"/>
      <c r="BD158" s="152"/>
      <c r="BE158" s="152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52"/>
      <c r="DA158" s="1"/>
      <c r="DP158" s="5"/>
      <c r="DQ158" s="152"/>
      <c r="DR158" s="152"/>
      <c r="DS158" s="152"/>
      <c r="DT158" s="152"/>
      <c r="FW158" s="152"/>
      <c r="JR158" s="152"/>
      <c r="JS158" s="152"/>
      <c r="JT158" s="152"/>
      <c r="JU158" s="152"/>
      <c r="OY158" s="152"/>
      <c r="OZ158" s="152"/>
      <c r="PB158" s="152"/>
      <c r="PP158" s="155"/>
      <c r="PT158" s="152"/>
      <c r="RW158" s="155"/>
      <c r="AHF158" s="151"/>
      <c r="AIU158" s="151"/>
      <c r="AIV158" s="151"/>
      <c r="AIW158" s="151"/>
    </row>
    <row r="159" spans="2:933" hidden="1" x14ac:dyDescent="0.25">
      <c r="B159" s="923"/>
      <c r="C159" s="756" t="s">
        <v>29</v>
      </c>
      <c r="D159" s="663"/>
      <c r="E159" s="651"/>
      <c r="F159" s="626"/>
      <c r="G159" s="626" t="s">
        <v>384</v>
      </c>
      <c r="H159" s="626"/>
      <c r="I159" s="626"/>
      <c r="J159" s="626"/>
      <c r="K159" s="626"/>
      <c r="L159" s="626"/>
      <c r="M159" s="626"/>
      <c r="N159" s="626"/>
      <c r="O159" s="626"/>
      <c r="P159" s="626"/>
      <c r="Q159" s="626"/>
      <c r="R159" s="911"/>
      <c r="S159" s="72" t="s">
        <v>29</v>
      </c>
      <c r="T159" s="880" t="s">
        <v>29</v>
      </c>
      <c r="U159" s="984" t="s">
        <v>29</v>
      </c>
      <c r="W159" s="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R159" s="71"/>
      <c r="AX159" s="1"/>
      <c r="BD159" s="152"/>
      <c r="BE159" s="152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52"/>
      <c r="DA159" s="1"/>
      <c r="DP159" s="5"/>
      <c r="DQ159" s="152"/>
      <c r="DR159" s="152"/>
      <c r="DS159" s="152"/>
      <c r="DT159" s="152"/>
      <c r="FW159" s="152"/>
      <c r="JR159" s="152"/>
      <c r="JS159" s="152"/>
      <c r="JT159" s="152"/>
      <c r="JU159" s="152"/>
      <c r="OY159" s="152"/>
      <c r="OZ159" s="152"/>
      <c r="PB159" s="152"/>
      <c r="PP159" s="155"/>
      <c r="PT159" s="152"/>
      <c r="RW159" s="155"/>
      <c r="AHF159" s="151"/>
      <c r="AIU159" s="151"/>
      <c r="AIV159" s="151"/>
      <c r="AIW159" s="151"/>
    </row>
    <row r="160" spans="2:933" hidden="1" x14ac:dyDescent="0.25">
      <c r="B160" s="923"/>
      <c r="C160" s="623" t="s">
        <v>117</v>
      </c>
      <c r="D160" s="663"/>
      <c r="E160" s="760" t="s">
        <v>31</v>
      </c>
      <c r="F160" s="626">
        <f>'[24]Januari 24'!AL154</f>
        <v>0</v>
      </c>
      <c r="G160" s="626">
        <f>'[24]Februari 24'!AL154</f>
        <v>202</v>
      </c>
      <c r="H160" s="626">
        <f>'[24]Maret 24'!AL154</f>
        <v>0</v>
      </c>
      <c r="I160" s="626">
        <f>'[24]April 24'!AL154</f>
        <v>0</v>
      </c>
      <c r="J160" s="626">
        <f>'[24]Mei 24'!AL154</f>
        <v>0</v>
      </c>
      <c r="K160" s="626">
        <f>'[24]Juny 24'!AL154</f>
        <v>0</v>
      </c>
      <c r="L160" s="626">
        <f>'[24]July 24'!AL154</f>
        <v>0</v>
      </c>
      <c r="M160" s="626">
        <f>'[24]Agustus 24'!AL154</f>
        <v>0</v>
      </c>
      <c r="N160" s="626">
        <f>'[24]September 24'!AL154</f>
        <v>0</v>
      </c>
      <c r="O160" s="626">
        <f>'[24]Oktober 24'!AL154</f>
        <v>0</v>
      </c>
      <c r="P160" s="626"/>
      <c r="Q160" s="626"/>
      <c r="R160" s="911"/>
      <c r="S160" s="72"/>
      <c r="T160" s="880">
        <v>11326</v>
      </c>
      <c r="U160" s="984"/>
      <c r="W160" s="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R160" s="71"/>
      <c r="AX160" s="1"/>
      <c r="BD160" s="152"/>
      <c r="BE160" s="15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52"/>
      <c r="DA160" s="1"/>
      <c r="DP160" s="5"/>
      <c r="DQ160" s="152"/>
      <c r="DR160" s="152"/>
      <c r="DS160" s="152"/>
      <c r="DT160" s="152"/>
      <c r="FW160" s="152"/>
      <c r="JR160" s="152"/>
      <c r="JS160" s="152"/>
      <c r="JT160" s="152"/>
      <c r="JU160" s="152"/>
      <c r="OY160" s="152"/>
      <c r="OZ160" s="152"/>
      <c r="PB160" s="152"/>
      <c r="PP160" s="155"/>
      <c r="PT160" s="152"/>
      <c r="RW160" s="155"/>
      <c r="AHF160" s="151"/>
      <c r="AIU160" s="151"/>
      <c r="AIV160" s="151"/>
      <c r="AIW160" s="151"/>
    </row>
    <row r="161" spans="2:933" hidden="1" x14ac:dyDescent="0.25">
      <c r="B161" s="924"/>
      <c r="C161" s="623" t="s">
        <v>27</v>
      </c>
      <c r="D161" s="624"/>
      <c r="E161" s="760" t="s">
        <v>31</v>
      </c>
      <c r="F161" s="297">
        <f>'[24]Januari 24'!AL155</f>
        <v>0</v>
      </c>
      <c r="G161" s="297">
        <f>'[24]Februari 24'!AL155</f>
        <v>1126</v>
      </c>
      <c r="H161" s="297">
        <f>'[24]Maret 24'!AL155</f>
        <v>0</v>
      </c>
      <c r="I161" s="297">
        <f>'[24]April 24'!AL155</f>
        <v>0</v>
      </c>
      <c r="J161" s="297">
        <f>'[24]Mei 24'!AL155</f>
        <v>0</v>
      </c>
      <c r="K161" s="297">
        <f>'[24]Juny 24'!AL155</f>
        <v>0</v>
      </c>
      <c r="L161" s="297">
        <f>'[24]July 24'!AL155</f>
        <v>0</v>
      </c>
      <c r="M161" s="297">
        <f>'[24]Agustus 24'!AL155</f>
        <v>0</v>
      </c>
      <c r="N161" s="297">
        <f>'[24]September 24'!AL155</f>
        <v>0</v>
      </c>
      <c r="O161" s="297">
        <f>'[24]Oktober 24'!AL155</f>
        <v>0</v>
      </c>
      <c r="P161" s="297" t="e">
        <f>'[24]November 24'!AK159</f>
        <v>#REF!</v>
      </c>
      <c r="Q161" s="297">
        <f>'[24]Desember 24'!AL160</f>
        <v>0</v>
      </c>
      <c r="R161" s="913"/>
      <c r="S161" s="100" t="e">
        <f t="shared" ref="S161:U163" si="87">SUM(F161:Q161)</f>
        <v>#REF!</v>
      </c>
      <c r="T161" s="881">
        <v>62922</v>
      </c>
      <c r="U161" s="988" t="e">
        <f t="shared" si="87"/>
        <v>#REF!</v>
      </c>
      <c r="W161" s="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R161" s="71"/>
      <c r="AX161" s="16"/>
      <c r="BD161" s="158"/>
      <c r="BE161" s="158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58"/>
      <c r="DA161" s="1"/>
      <c r="DP161" s="704"/>
      <c r="DQ161" s="158"/>
      <c r="DR161" s="158"/>
      <c r="DS161" s="158"/>
      <c r="DT161" s="158"/>
      <c r="FW161" s="158"/>
      <c r="JR161" s="158"/>
      <c r="JS161" s="158"/>
      <c r="JT161" s="158"/>
      <c r="JU161" s="158"/>
      <c r="OY161" s="158"/>
      <c r="OZ161" s="158"/>
      <c r="PB161" s="158"/>
      <c r="PP161" s="761"/>
      <c r="PT161" s="158"/>
      <c r="RW161" s="761"/>
      <c r="AHF161" s="154"/>
      <c r="AIU161" s="154"/>
      <c r="AIV161" s="154"/>
      <c r="AIW161" s="154"/>
    </row>
    <row r="162" spans="2:933" hidden="1" x14ac:dyDescent="0.25">
      <c r="B162" s="924"/>
      <c r="C162" s="623" t="s">
        <v>26</v>
      </c>
      <c r="D162" s="624"/>
      <c r="E162" s="760" t="s">
        <v>31</v>
      </c>
      <c r="F162" s="297">
        <f>'[24]Januari 24'!AL156</f>
        <v>0</v>
      </c>
      <c r="G162" s="297">
        <f>'[24]Februari 24'!AL156</f>
        <v>5369</v>
      </c>
      <c r="H162" s="297">
        <f>'[24]Maret 24'!AL156</f>
        <v>0</v>
      </c>
      <c r="I162" s="297">
        <f>'[24]April 24'!AL156</f>
        <v>0</v>
      </c>
      <c r="J162" s="297">
        <f>'[24]Mei 24'!AL156</f>
        <v>0</v>
      </c>
      <c r="K162" s="297">
        <f>'[24]Juny 24'!AL156</f>
        <v>0</v>
      </c>
      <c r="L162" s="297">
        <f>'[24]July 24'!AL156</f>
        <v>0</v>
      </c>
      <c r="M162" s="297">
        <f>'[24]Agustus 24'!AL156</f>
        <v>0</v>
      </c>
      <c r="N162" s="297">
        <f>'[24]September 24'!AL156</f>
        <v>0</v>
      </c>
      <c r="O162" s="297">
        <f>'[24]Oktober 24'!AL156</f>
        <v>0</v>
      </c>
      <c r="P162" s="297" t="e">
        <f>'[24]November 24'!AK160</f>
        <v>#REF!</v>
      </c>
      <c r="Q162" s="297">
        <f>'[24]Desember 24'!AL161</f>
        <v>0</v>
      </c>
      <c r="R162" s="913"/>
      <c r="S162" s="100" t="e">
        <f t="shared" si="87"/>
        <v>#REF!</v>
      </c>
      <c r="T162" s="881">
        <v>172089</v>
      </c>
      <c r="U162" s="988" t="e">
        <f t="shared" si="87"/>
        <v>#REF!</v>
      </c>
      <c r="W162" s="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R162" s="71"/>
      <c r="AX162" s="16"/>
      <c r="BD162" s="158"/>
      <c r="BE162" s="158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58"/>
      <c r="DA162" s="1"/>
      <c r="DP162" s="704"/>
      <c r="DQ162" s="158"/>
      <c r="DR162" s="158"/>
      <c r="DS162" s="158"/>
      <c r="DT162" s="158"/>
      <c r="FW162" s="158"/>
      <c r="JR162" s="158"/>
      <c r="JS162" s="158"/>
      <c r="JT162" s="158"/>
      <c r="JU162" s="158"/>
      <c r="OY162" s="158"/>
      <c r="OZ162" s="158"/>
      <c r="PB162" s="158"/>
      <c r="PP162" s="761"/>
      <c r="PT162" s="158"/>
      <c r="RW162" s="761"/>
      <c r="AHF162" s="154"/>
      <c r="AIU162" s="154"/>
      <c r="AIV162" s="154"/>
      <c r="AIW162" s="154"/>
    </row>
    <row r="163" spans="2:933" hidden="1" x14ac:dyDescent="0.25">
      <c r="B163" s="924"/>
      <c r="C163" s="623" t="s">
        <v>37</v>
      </c>
      <c r="D163" s="624"/>
      <c r="E163" s="760" t="s">
        <v>31</v>
      </c>
      <c r="F163" s="297">
        <f>'[24]Januari 24'!AL157</f>
        <v>0</v>
      </c>
      <c r="G163" s="297">
        <f>'[24]Februari 24'!AL157</f>
        <v>0</v>
      </c>
      <c r="H163" s="297">
        <f>'[24]Maret 24'!AL157</f>
        <v>0</v>
      </c>
      <c r="I163" s="297">
        <f>'[24]April 24'!AL157</f>
        <v>0</v>
      </c>
      <c r="J163" s="297">
        <f>'[24]Mei 24'!AL157</f>
        <v>0</v>
      </c>
      <c r="K163" s="297">
        <f>'[24]Juny 24'!AL157</f>
        <v>0</v>
      </c>
      <c r="L163" s="297">
        <f>'[24]July 24'!AL157</f>
        <v>0</v>
      </c>
      <c r="M163" s="297">
        <f>'[24]Agustus 24'!AL157</f>
        <v>0</v>
      </c>
      <c r="N163" s="297">
        <f>'[24]September 24'!AL157</f>
        <v>0</v>
      </c>
      <c r="O163" s="297">
        <f>'[24]Oktober 24'!AL157</f>
        <v>0</v>
      </c>
      <c r="P163" s="297" t="e">
        <f>'[24]November 24'!AK161</f>
        <v>#REF!</v>
      </c>
      <c r="Q163" s="297">
        <f>'[24]Desember 24'!AL162</f>
        <v>0</v>
      </c>
      <c r="R163" s="913"/>
      <c r="S163" s="100" t="e">
        <f t="shared" si="87"/>
        <v>#REF!</v>
      </c>
      <c r="T163" s="881" t="e">
        <f t="shared" si="87"/>
        <v>#REF!</v>
      </c>
      <c r="U163" s="988" t="e">
        <f t="shared" si="87"/>
        <v>#REF!</v>
      </c>
      <c r="W163" s="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R163" s="71"/>
      <c r="AX163" s="16"/>
      <c r="BD163" s="158"/>
      <c r="BE163" s="158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58"/>
      <c r="DA163" s="1"/>
      <c r="DP163" s="704"/>
      <c r="DQ163" s="158"/>
      <c r="DR163" s="158"/>
      <c r="DS163" s="158"/>
      <c r="DT163" s="158"/>
      <c r="FW163" s="158"/>
      <c r="JR163" s="158"/>
      <c r="JS163" s="158"/>
      <c r="JT163" s="158"/>
      <c r="JU163" s="158"/>
      <c r="OY163" s="158"/>
      <c r="OZ163" s="158"/>
      <c r="PB163" s="158"/>
      <c r="PP163" s="761"/>
      <c r="PT163" s="158"/>
      <c r="RW163" s="761"/>
      <c r="AHF163" s="154"/>
      <c r="AIU163" s="154"/>
      <c r="AIV163" s="154"/>
      <c r="AIW163" s="154"/>
    </row>
    <row r="164" spans="2:933" hidden="1" x14ac:dyDescent="0.25">
      <c r="B164" s="923"/>
      <c r="C164" s="756" t="s">
        <v>28</v>
      </c>
      <c r="D164" s="663"/>
      <c r="E164" s="651"/>
      <c r="F164" s="626"/>
      <c r="G164" s="626"/>
      <c r="H164" s="626"/>
      <c r="I164" s="626"/>
      <c r="J164" s="626"/>
      <c r="K164" s="626"/>
      <c r="L164" s="626"/>
      <c r="M164" s="626"/>
      <c r="N164" s="626"/>
      <c r="O164" s="626"/>
      <c r="P164" s="626"/>
      <c r="Q164" s="626"/>
      <c r="R164" s="911"/>
      <c r="S164" s="72" t="s">
        <v>28</v>
      </c>
      <c r="T164" s="880" t="s">
        <v>28</v>
      </c>
      <c r="U164" s="984" t="s">
        <v>28</v>
      </c>
      <c r="W164" s="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R164" s="71"/>
      <c r="AX164" s="1"/>
      <c r="BD164" s="152"/>
      <c r="BE164" s="152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52"/>
      <c r="DA164" s="1"/>
      <c r="DP164" s="5"/>
      <c r="DQ164" s="152"/>
      <c r="DR164" s="152"/>
      <c r="DS164" s="152"/>
      <c r="DT164" s="152"/>
      <c r="FW164" s="152"/>
      <c r="JR164" s="152"/>
      <c r="JS164" s="152"/>
      <c r="JT164" s="152"/>
      <c r="JU164" s="152"/>
      <c r="OY164" s="152"/>
      <c r="OZ164" s="152"/>
      <c r="PB164" s="152"/>
      <c r="PP164" s="155"/>
      <c r="PT164" s="152"/>
      <c r="RW164" s="155"/>
      <c r="AHF164" s="151"/>
      <c r="AIU164" s="151"/>
      <c r="AIV164" s="151"/>
      <c r="AIW164" s="151"/>
    </row>
    <row r="165" spans="2:933" hidden="1" x14ac:dyDescent="0.25">
      <c r="B165" s="923"/>
      <c r="C165" s="623" t="s">
        <v>27</v>
      </c>
      <c r="D165" s="663"/>
      <c r="E165" s="683" t="s">
        <v>28</v>
      </c>
      <c r="F165" s="626">
        <f>F161*24</f>
        <v>0</v>
      </c>
      <c r="G165" s="626">
        <f t="shared" ref="G165:Q165" si="88">G161*24</f>
        <v>27024</v>
      </c>
      <c r="H165" s="626">
        <f t="shared" si="88"/>
        <v>0</v>
      </c>
      <c r="I165" s="626">
        <f t="shared" si="88"/>
        <v>0</v>
      </c>
      <c r="J165" s="626">
        <f t="shared" si="88"/>
        <v>0</v>
      </c>
      <c r="K165" s="626">
        <f t="shared" si="88"/>
        <v>0</v>
      </c>
      <c r="L165" s="626">
        <f t="shared" si="88"/>
        <v>0</v>
      </c>
      <c r="M165" s="626">
        <f t="shared" si="88"/>
        <v>0</v>
      </c>
      <c r="N165" s="626">
        <f t="shared" si="88"/>
        <v>0</v>
      </c>
      <c r="O165" s="626">
        <f t="shared" si="88"/>
        <v>0</v>
      </c>
      <c r="P165" s="626" t="e">
        <f t="shared" si="88"/>
        <v>#REF!</v>
      </c>
      <c r="Q165" s="626">
        <f t="shared" si="88"/>
        <v>0</v>
      </c>
      <c r="R165" s="911"/>
      <c r="S165" s="63" t="e">
        <f>S161*24</f>
        <v>#REF!</v>
      </c>
      <c r="T165" s="858">
        <f>T161*24</f>
        <v>1510128</v>
      </c>
      <c r="U165" s="985" t="e">
        <f>U161*24</f>
        <v>#REF!</v>
      </c>
      <c r="W165" s="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R165" s="71"/>
      <c r="AX165" s="1"/>
      <c r="BD165" s="152"/>
      <c r="BE165" s="152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52"/>
      <c r="DA165" s="1"/>
      <c r="DP165" s="5"/>
      <c r="DQ165" s="152"/>
      <c r="DR165" s="152"/>
      <c r="DS165" s="152"/>
      <c r="DT165" s="152"/>
      <c r="FW165" s="152"/>
      <c r="JR165" s="152"/>
      <c r="JS165" s="152"/>
      <c r="JT165" s="152"/>
      <c r="JU165" s="152"/>
      <c r="OY165" s="152"/>
      <c r="OZ165" s="152"/>
      <c r="PB165" s="152"/>
      <c r="PP165" s="155"/>
      <c r="PT165" s="152"/>
      <c r="RW165" s="155"/>
      <c r="AHF165" s="151"/>
      <c r="AIU165" s="151"/>
      <c r="AIV165" s="151"/>
      <c r="AIW165" s="151"/>
    </row>
    <row r="166" spans="2:933" hidden="1" x14ac:dyDescent="0.25">
      <c r="B166" s="923"/>
      <c r="C166" s="623" t="s">
        <v>26</v>
      </c>
      <c r="D166" s="663"/>
      <c r="E166" s="683" t="s">
        <v>28</v>
      </c>
      <c r="F166" s="626">
        <f>F162*12</f>
        <v>0</v>
      </c>
      <c r="G166" s="626">
        <f t="shared" ref="G166:Q166" si="89">G162*12</f>
        <v>64428</v>
      </c>
      <c r="H166" s="626">
        <f t="shared" si="89"/>
        <v>0</v>
      </c>
      <c r="I166" s="626">
        <f t="shared" si="89"/>
        <v>0</v>
      </c>
      <c r="J166" s="626">
        <f t="shared" si="89"/>
        <v>0</v>
      </c>
      <c r="K166" s="626">
        <f t="shared" si="89"/>
        <v>0</v>
      </c>
      <c r="L166" s="626">
        <f t="shared" si="89"/>
        <v>0</v>
      </c>
      <c r="M166" s="626">
        <f t="shared" si="89"/>
        <v>0</v>
      </c>
      <c r="N166" s="626">
        <f t="shared" si="89"/>
        <v>0</v>
      </c>
      <c r="O166" s="626">
        <f t="shared" si="89"/>
        <v>0</v>
      </c>
      <c r="P166" s="626" t="e">
        <f t="shared" si="89"/>
        <v>#REF!</v>
      </c>
      <c r="Q166" s="626">
        <f t="shared" si="89"/>
        <v>0</v>
      </c>
      <c r="R166" s="911"/>
      <c r="S166" s="63" t="e">
        <f>S162*12</f>
        <v>#REF!</v>
      </c>
      <c r="T166" s="858">
        <f>T162*12</f>
        <v>2065068</v>
      </c>
      <c r="U166" s="985" t="e">
        <f>U162*12</f>
        <v>#REF!</v>
      </c>
      <c r="W166" s="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R166" s="71"/>
      <c r="AX166" s="1"/>
      <c r="BD166" s="152"/>
      <c r="BE166" s="152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52"/>
      <c r="DA166" s="1"/>
      <c r="DP166" s="5"/>
      <c r="DQ166" s="152"/>
      <c r="DR166" s="152"/>
      <c r="DS166" s="152"/>
      <c r="DT166" s="152"/>
      <c r="FW166" s="152"/>
      <c r="JR166" s="152"/>
      <c r="JS166" s="152"/>
      <c r="JT166" s="152"/>
      <c r="JU166" s="152"/>
      <c r="OY166" s="152"/>
      <c r="OZ166" s="152"/>
      <c r="PB166" s="152"/>
      <c r="PP166" s="155"/>
      <c r="PT166" s="152"/>
      <c r="RW166" s="155"/>
      <c r="AHF166" s="151"/>
      <c r="AIU166" s="151"/>
      <c r="AIV166" s="151"/>
      <c r="AIW166" s="151"/>
    </row>
    <row r="167" spans="2:933" hidden="1" x14ac:dyDescent="0.25">
      <c r="B167" s="923"/>
      <c r="C167" s="623" t="s">
        <v>37</v>
      </c>
      <c r="D167" s="663"/>
      <c r="E167" s="683" t="s">
        <v>28</v>
      </c>
      <c r="F167" s="626">
        <f>F163*6</f>
        <v>0</v>
      </c>
      <c r="G167" s="626">
        <f t="shared" ref="G167:Q167" si="90">G163*6</f>
        <v>0</v>
      </c>
      <c r="H167" s="626">
        <f t="shared" si="90"/>
        <v>0</v>
      </c>
      <c r="I167" s="626">
        <f t="shared" si="90"/>
        <v>0</v>
      </c>
      <c r="J167" s="626">
        <f t="shared" si="90"/>
        <v>0</v>
      </c>
      <c r="K167" s="626">
        <f t="shared" si="90"/>
        <v>0</v>
      </c>
      <c r="L167" s="626">
        <f t="shared" si="90"/>
        <v>0</v>
      </c>
      <c r="M167" s="626">
        <f t="shared" si="90"/>
        <v>0</v>
      </c>
      <c r="N167" s="626">
        <f t="shared" si="90"/>
        <v>0</v>
      </c>
      <c r="O167" s="626">
        <f t="shared" si="90"/>
        <v>0</v>
      </c>
      <c r="P167" s="626" t="e">
        <f t="shared" si="90"/>
        <v>#REF!</v>
      </c>
      <c r="Q167" s="626">
        <f t="shared" si="90"/>
        <v>0</v>
      </c>
      <c r="R167" s="911"/>
      <c r="S167" s="63" t="e">
        <f>S163*6</f>
        <v>#REF!</v>
      </c>
      <c r="T167" s="858" t="e">
        <f>T163*6</f>
        <v>#REF!</v>
      </c>
      <c r="U167" s="985" t="e">
        <f>U163*6</f>
        <v>#REF!</v>
      </c>
      <c r="W167" s="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R167" s="71"/>
      <c r="AX167" s="1"/>
      <c r="BD167" s="152"/>
      <c r="BE167" s="152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52"/>
      <c r="DA167" s="1"/>
      <c r="DP167" s="5"/>
      <c r="DQ167" s="152"/>
      <c r="DR167" s="152"/>
      <c r="DS167" s="152"/>
      <c r="DT167" s="152"/>
      <c r="FW167" s="152"/>
      <c r="JR167" s="152"/>
      <c r="JS167" s="152"/>
      <c r="JT167" s="152"/>
      <c r="JU167" s="152"/>
      <c r="OY167" s="152"/>
      <c r="OZ167" s="152"/>
      <c r="PB167" s="152"/>
      <c r="PP167" s="155"/>
      <c r="PT167" s="152"/>
      <c r="RW167" s="155"/>
      <c r="AHF167" s="151"/>
      <c r="AIU167" s="151"/>
      <c r="AIV167" s="151"/>
      <c r="AIW167" s="151"/>
    </row>
    <row r="168" spans="2:933" hidden="1" x14ac:dyDescent="0.25">
      <c r="B168" s="923"/>
      <c r="C168" s="756" t="s">
        <v>36</v>
      </c>
      <c r="D168" s="663"/>
      <c r="E168" s="683" t="s">
        <v>35</v>
      </c>
      <c r="F168" s="626">
        <f t="shared" ref="F168:Q168" si="91">F156*45/1700</f>
        <v>0</v>
      </c>
      <c r="G168" s="626" t="e">
        <f t="shared" si="91"/>
        <v>#REF!</v>
      </c>
      <c r="H168" s="626">
        <f t="shared" si="91"/>
        <v>0</v>
      </c>
      <c r="I168" s="626">
        <f t="shared" si="91"/>
        <v>0</v>
      </c>
      <c r="J168" s="626">
        <f t="shared" si="91"/>
        <v>0</v>
      </c>
      <c r="K168" s="626" t="e">
        <f t="shared" si="91"/>
        <v>#REF!</v>
      </c>
      <c r="L168" s="626">
        <f t="shared" si="91"/>
        <v>0</v>
      </c>
      <c r="M168" s="626">
        <f t="shared" si="91"/>
        <v>0</v>
      </c>
      <c r="N168" s="626">
        <f t="shared" si="91"/>
        <v>0</v>
      </c>
      <c r="O168" s="626">
        <f t="shared" si="91"/>
        <v>0</v>
      </c>
      <c r="P168" s="626">
        <f t="shared" si="91"/>
        <v>0</v>
      </c>
      <c r="Q168" s="626">
        <f t="shared" si="91"/>
        <v>0</v>
      </c>
      <c r="R168" s="911"/>
      <c r="S168" s="63" t="e">
        <f t="shared" ref="S168:U169" si="92">SUM(F168:Q168)</f>
        <v>#REF!</v>
      </c>
      <c r="T168" s="858" t="e">
        <f t="shared" si="92"/>
        <v>#REF!</v>
      </c>
      <c r="U168" s="985" t="e">
        <f t="shared" si="92"/>
        <v>#REF!</v>
      </c>
      <c r="W168" s="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R168" s="71"/>
      <c r="AX168" s="1"/>
      <c r="BD168" s="152"/>
      <c r="BE168" s="152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52"/>
      <c r="DA168" s="1"/>
      <c r="DP168" s="5"/>
      <c r="DQ168" s="152"/>
      <c r="DR168" s="152"/>
      <c r="DS168" s="152"/>
      <c r="DT168" s="152"/>
      <c r="FW168" s="152"/>
      <c r="JR168" s="152"/>
      <c r="JS168" s="152"/>
      <c r="JT168" s="152"/>
      <c r="JU168" s="152"/>
      <c r="OY168" s="152"/>
      <c r="OZ168" s="152"/>
      <c r="PB168" s="152"/>
      <c r="PP168" s="155"/>
      <c r="PT168" s="152"/>
      <c r="RW168" s="155"/>
      <c r="AHF168" s="151"/>
      <c r="AIU168" s="151"/>
      <c r="AIV168" s="151"/>
      <c r="AIW168" s="151"/>
    </row>
    <row r="169" spans="2:933" hidden="1" x14ac:dyDescent="0.25">
      <c r="B169" s="923"/>
      <c r="C169" s="756" t="s">
        <v>34</v>
      </c>
      <c r="D169" s="663"/>
      <c r="E169" s="683" t="s">
        <v>33</v>
      </c>
      <c r="F169" s="626">
        <f t="shared" ref="F169:Q169" si="93">SUM(F161:F163)/500</f>
        <v>0</v>
      </c>
      <c r="G169" s="626">
        <f t="shared" si="93"/>
        <v>12.99</v>
      </c>
      <c r="H169" s="626">
        <f t="shared" si="93"/>
        <v>0</v>
      </c>
      <c r="I169" s="626">
        <f t="shared" si="93"/>
        <v>0</v>
      </c>
      <c r="J169" s="626">
        <f t="shared" si="93"/>
        <v>0</v>
      </c>
      <c r="K169" s="626">
        <f t="shared" si="93"/>
        <v>0</v>
      </c>
      <c r="L169" s="626">
        <f t="shared" si="93"/>
        <v>0</v>
      </c>
      <c r="M169" s="626">
        <f t="shared" si="93"/>
        <v>0</v>
      </c>
      <c r="N169" s="626">
        <f t="shared" si="93"/>
        <v>0</v>
      </c>
      <c r="O169" s="626">
        <f t="shared" si="93"/>
        <v>0</v>
      </c>
      <c r="P169" s="626" t="e">
        <f t="shared" si="93"/>
        <v>#REF!</v>
      </c>
      <c r="Q169" s="626">
        <f t="shared" si="93"/>
        <v>0</v>
      </c>
      <c r="R169" s="911"/>
      <c r="S169" s="63" t="e">
        <f t="shared" si="92"/>
        <v>#REF!</v>
      </c>
      <c r="T169" s="858" t="e">
        <f t="shared" si="92"/>
        <v>#REF!</v>
      </c>
      <c r="U169" s="985" t="e">
        <f t="shared" si="92"/>
        <v>#REF!</v>
      </c>
      <c r="W169" s="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R169" s="71"/>
      <c r="AX169" s="1"/>
      <c r="BD169" s="152"/>
      <c r="BE169" s="152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52"/>
      <c r="DA169" s="1"/>
      <c r="DP169" s="5"/>
      <c r="DQ169" s="152"/>
      <c r="DR169" s="152"/>
      <c r="DS169" s="152"/>
      <c r="DT169" s="152"/>
      <c r="FW169" s="152"/>
      <c r="JR169" s="152"/>
      <c r="JS169" s="152"/>
      <c r="JT169" s="152"/>
      <c r="JU169" s="152"/>
      <c r="OY169" s="152"/>
      <c r="OZ169" s="152"/>
      <c r="PB169" s="152"/>
      <c r="PP169" s="155"/>
      <c r="PT169" s="152"/>
      <c r="RW169" s="155"/>
      <c r="AHF169" s="151"/>
      <c r="AIU169" s="151"/>
      <c r="AIV169" s="151"/>
      <c r="AIW169" s="151"/>
    </row>
    <row r="170" spans="2:933" hidden="1" x14ac:dyDescent="0.25">
      <c r="B170" s="920"/>
      <c r="C170" s="605" t="s">
        <v>32</v>
      </c>
      <c r="D170" s="54"/>
      <c r="E170" s="54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3"/>
      <c r="S170" s="709" t="s">
        <v>132</v>
      </c>
      <c r="T170" s="869" t="s">
        <v>132</v>
      </c>
      <c r="U170" s="975" t="s">
        <v>132</v>
      </c>
      <c r="W170" s="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R170" s="71"/>
      <c r="AX170" s="1"/>
      <c r="BD170" s="151"/>
      <c r="BE170" s="15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51"/>
      <c r="DA170" s="1"/>
      <c r="DP170" s="5"/>
      <c r="DQ170" s="151"/>
      <c r="DR170" s="151"/>
      <c r="DS170" s="151"/>
      <c r="DT170" s="151"/>
      <c r="FW170" s="151"/>
      <c r="JR170" s="151"/>
      <c r="JS170" s="151"/>
      <c r="JT170" s="151"/>
      <c r="JU170" s="151"/>
      <c r="OY170" s="151"/>
      <c r="OZ170" s="151"/>
      <c r="PB170" s="151"/>
      <c r="PP170" s="668"/>
      <c r="PT170" s="151"/>
      <c r="RW170" s="668"/>
      <c r="AHF170" s="151"/>
      <c r="AIU170" s="151"/>
      <c r="AIV170" s="151"/>
      <c r="AIW170" s="151"/>
    </row>
    <row r="171" spans="2:933" hidden="1" x14ac:dyDescent="0.25">
      <c r="B171" s="923"/>
      <c r="C171" s="756" t="s">
        <v>29</v>
      </c>
      <c r="D171" s="663"/>
      <c r="E171" s="651"/>
      <c r="F171" s="626"/>
      <c r="G171" s="626"/>
      <c r="H171" s="626"/>
      <c r="I171" s="626"/>
      <c r="J171" s="626"/>
      <c r="K171" s="626"/>
      <c r="L171" s="626"/>
      <c r="M171" s="626"/>
      <c r="N171" s="626"/>
      <c r="O171" s="626"/>
      <c r="P171" s="626"/>
      <c r="Q171" s="626"/>
      <c r="R171" s="911"/>
      <c r="S171" s="72" t="s">
        <v>29</v>
      </c>
      <c r="T171" s="880" t="s">
        <v>29</v>
      </c>
      <c r="U171" s="984" t="s">
        <v>29</v>
      </c>
      <c r="W171" s="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R171" s="71"/>
      <c r="AX171" s="1"/>
      <c r="BD171" s="152"/>
      <c r="BE171" s="152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52"/>
      <c r="DA171" s="1"/>
      <c r="DP171" s="5"/>
      <c r="DQ171" s="152"/>
      <c r="DR171" s="152"/>
      <c r="DS171" s="152"/>
      <c r="DT171" s="152"/>
      <c r="FW171" s="152"/>
      <c r="JR171" s="152"/>
      <c r="JS171" s="152"/>
      <c r="JT171" s="152"/>
      <c r="JU171" s="152"/>
      <c r="OY171" s="152"/>
      <c r="OZ171" s="152"/>
      <c r="PB171" s="152"/>
      <c r="PP171" s="155"/>
      <c r="PT171" s="152"/>
      <c r="RW171" s="155"/>
      <c r="AHF171" s="151"/>
      <c r="AIU171" s="151"/>
      <c r="AIV171" s="151"/>
      <c r="AIW171" s="151"/>
    </row>
    <row r="172" spans="2:933" hidden="1" x14ac:dyDescent="0.25">
      <c r="B172" s="923"/>
      <c r="C172" s="623" t="s">
        <v>117</v>
      </c>
      <c r="D172" s="663"/>
      <c r="E172" s="683" t="s">
        <v>31</v>
      </c>
      <c r="F172" s="626"/>
      <c r="G172" s="626" t="e">
        <f>'[24]Februari 24'!AL167</f>
        <v>#REF!</v>
      </c>
      <c r="H172" s="626" t="e">
        <f>'[24]Maret 24'!AL167</f>
        <v>#REF!</v>
      </c>
      <c r="I172" s="626" t="e">
        <f>'[24]April 24'!AL167</f>
        <v>#REF!</v>
      </c>
      <c r="J172" s="626" t="e">
        <f>'[24]Mei 24'!AL167</f>
        <v>#REF!</v>
      </c>
      <c r="K172" s="626" t="e">
        <f>'[24]Juny 24'!AL167</f>
        <v>#REF!</v>
      </c>
      <c r="L172" s="626" t="e">
        <f>'[24]July 24'!AL167</f>
        <v>#REF!</v>
      </c>
      <c r="M172" s="626" t="e">
        <f>'[24]Agustus 24'!AL167</f>
        <v>#REF!</v>
      </c>
      <c r="N172" s="626" t="e">
        <f>'[24]September 24'!AL167</f>
        <v>#REF!</v>
      </c>
      <c r="O172" s="626">
        <f>'[24]Oktober 24'!AL159</f>
        <v>0</v>
      </c>
      <c r="P172" s="626"/>
      <c r="Q172" s="626"/>
      <c r="R172" s="911"/>
      <c r="S172" s="72"/>
      <c r="T172" s="880"/>
      <c r="U172" s="984"/>
      <c r="W172" s="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R172" s="71"/>
      <c r="AX172" s="1"/>
      <c r="BD172" s="152"/>
      <c r="BE172" s="152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52"/>
      <c r="DA172" s="1"/>
      <c r="DP172" s="5"/>
      <c r="DQ172" s="152"/>
      <c r="DR172" s="152"/>
      <c r="DS172" s="152"/>
      <c r="DT172" s="152"/>
      <c r="FW172" s="152"/>
      <c r="JR172" s="152"/>
      <c r="JS172" s="152"/>
      <c r="JT172" s="152"/>
      <c r="JU172" s="152"/>
      <c r="OY172" s="152"/>
      <c r="OZ172" s="152"/>
      <c r="PB172" s="152"/>
      <c r="PP172" s="155"/>
      <c r="PT172" s="152"/>
      <c r="RW172" s="155"/>
      <c r="AHF172" s="151"/>
      <c r="AIU172" s="151"/>
      <c r="AIV172" s="151"/>
      <c r="AIW172" s="151"/>
    </row>
    <row r="173" spans="2:933" hidden="1" x14ac:dyDescent="0.25">
      <c r="B173" s="923"/>
      <c r="C173" s="623" t="s">
        <v>27</v>
      </c>
      <c r="D173" s="663"/>
      <c r="E173" s="683" t="s">
        <v>31</v>
      </c>
      <c r="F173" s="626">
        <v>0</v>
      </c>
      <c r="G173" s="626">
        <f>'[24]Februari 24'!AL168</f>
        <v>9</v>
      </c>
      <c r="H173" s="626">
        <f>'[24]Maret 24'!AL168</f>
        <v>0</v>
      </c>
      <c r="I173" s="626">
        <f>'[24]April 24'!AL168</f>
        <v>0</v>
      </c>
      <c r="J173" s="626">
        <f>'[24]Mei 24'!AL168</f>
        <v>0</v>
      </c>
      <c r="K173" s="626">
        <f>'[24]Juny 24'!AL168</f>
        <v>0</v>
      </c>
      <c r="L173" s="626">
        <f>'[24]July 24'!AL168</f>
        <v>0</v>
      </c>
      <c r="M173" s="626">
        <f>'[24]Agustus 24'!AL168</f>
        <v>0</v>
      </c>
      <c r="N173" s="626">
        <f>'[24]September 24'!AL168</f>
        <v>0</v>
      </c>
      <c r="O173" s="626">
        <f>'[24]Oktober 24'!AL160</f>
        <v>0</v>
      </c>
      <c r="P173" s="626" t="e">
        <f>'[24]November 24'!AK159</f>
        <v>#REF!</v>
      </c>
      <c r="Q173" s="626" t="e">
        <f>'[24]Desember 24'!AL171</f>
        <v>#REF!</v>
      </c>
      <c r="R173" s="911"/>
      <c r="S173" s="63" t="e">
        <f t="shared" ref="S173:U174" si="94">SUM(F173:Q173)</f>
        <v>#REF!</v>
      </c>
      <c r="T173" s="858" t="e">
        <f t="shared" si="94"/>
        <v>#REF!</v>
      </c>
      <c r="U173" s="985" t="e">
        <f t="shared" si="94"/>
        <v>#REF!</v>
      </c>
      <c r="W173" s="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R173" s="71"/>
      <c r="AX173" s="1"/>
      <c r="BD173" s="152"/>
      <c r="BE173" s="152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52"/>
      <c r="DA173" s="1"/>
      <c r="DP173" s="5"/>
      <c r="DQ173" s="152"/>
      <c r="DR173" s="152"/>
      <c r="DS173" s="152"/>
      <c r="DT173" s="152"/>
      <c r="FW173" s="152"/>
      <c r="JR173" s="152"/>
      <c r="JS173" s="152"/>
      <c r="JT173" s="152"/>
      <c r="JU173" s="152"/>
      <c r="OY173" s="152"/>
      <c r="OZ173" s="152"/>
      <c r="PB173" s="152"/>
      <c r="PP173" s="155"/>
      <c r="PT173" s="152"/>
      <c r="RW173" s="155"/>
      <c r="AHF173" s="151"/>
      <c r="AIU173" s="151"/>
      <c r="AIV173" s="151"/>
      <c r="AIW173" s="151"/>
    </row>
    <row r="174" spans="2:933" hidden="1" x14ac:dyDescent="0.25">
      <c r="B174" s="923"/>
      <c r="C174" s="623" t="s">
        <v>26</v>
      </c>
      <c r="D174" s="663"/>
      <c r="E174" s="683" t="s">
        <v>31</v>
      </c>
      <c r="F174" s="626">
        <v>0</v>
      </c>
      <c r="G174" s="626">
        <f>'[24]Februari 24'!AL169</f>
        <v>86</v>
      </c>
      <c r="H174" s="626">
        <f>'[24]Maret 24'!AL169</f>
        <v>0</v>
      </c>
      <c r="I174" s="626">
        <f>'[24]April 24'!AL169</f>
        <v>0</v>
      </c>
      <c r="J174" s="626">
        <f>'[24]Mei 24'!AL169</f>
        <v>0</v>
      </c>
      <c r="K174" s="626">
        <f>'[24]Juny 24'!AL169</f>
        <v>0</v>
      </c>
      <c r="L174" s="626">
        <f>'[24]July 24'!AL169</f>
        <v>0</v>
      </c>
      <c r="M174" s="626">
        <f>'[24]Agustus 24'!AL169</f>
        <v>0</v>
      </c>
      <c r="N174" s="626">
        <f>'[24]September 24'!AL169</f>
        <v>0</v>
      </c>
      <c r="O174" s="626">
        <f>'[24]Oktober 24'!AL162</f>
        <v>0</v>
      </c>
      <c r="P174" s="626" t="e">
        <f>'[24]November 24'!AK160</f>
        <v>#REF!</v>
      </c>
      <c r="Q174" s="626" t="e">
        <f>'[24]Desember 24'!AL172</f>
        <v>#DIV/0!</v>
      </c>
      <c r="R174" s="911"/>
      <c r="S174" s="63" t="e">
        <f t="shared" si="94"/>
        <v>#REF!</v>
      </c>
      <c r="T174" s="858" t="e">
        <f t="shared" si="94"/>
        <v>#REF!</v>
      </c>
      <c r="U174" s="985" t="e">
        <f t="shared" si="94"/>
        <v>#REF!</v>
      </c>
      <c r="W174" s="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R174" s="71"/>
      <c r="AX174" s="1"/>
      <c r="BD174" s="152"/>
      <c r="BE174" s="152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52"/>
      <c r="DA174" s="1"/>
      <c r="DP174" s="5"/>
      <c r="DQ174" s="152"/>
      <c r="DR174" s="152"/>
      <c r="DS174" s="152"/>
      <c r="DT174" s="152"/>
      <c r="FW174" s="152"/>
      <c r="JR174" s="152"/>
      <c r="JS174" s="152"/>
      <c r="JT174" s="152"/>
      <c r="JU174" s="152"/>
      <c r="OY174" s="152"/>
      <c r="OZ174" s="152"/>
      <c r="PB174" s="152"/>
      <c r="PP174" s="155"/>
      <c r="PT174" s="152"/>
      <c r="RW174" s="155"/>
      <c r="AHF174" s="151"/>
      <c r="AIU174" s="151"/>
      <c r="AIV174" s="151"/>
      <c r="AIW174" s="151"/>
    </row>
    <row r="175" spans="2:933" hidden="1" x14ac:dyDescent="0.25">
      <c r="B175" s="923"/>
      <c r="C175" s="623" t="s">
        <v>37</v>
      </c>
      <c r="D175" s="663"/>
      <c r="E175" s="760" t="s">
        <v>31</v>
      </c>
      <c r="F175" s="626"/>
      <c r="G175" s="626"/>
      <c r="H175" s="626"/>
      <c r="I175" s="626"/>
      <c r="J175" s="626"/>
      <c r="K175" s="626"/>
      <c r="L175" s="626"/>
      <c r="M175" s="626">
        <f>'[24]Agustus 24'!AL129</f>
        <v>0</v>
      </c>
      <c r="N175" s="626"/>
      <c r="O175" s="626">
        <f>'[24]Oktober 24'!AL163</f>
        <v>0</v>
      </c>
      <c r="P175" s="626" t="e">
        <f>'[24]November 24'!AK161</f>
        <v>#REF!</v>
      </c>
      <c r="Q175" s="626" t="e">
        <f>'[24]Desember 24'!AL173</f>
        <v>#DIV/0!</v>
      </c>
      <c r="R175" s="911"/>
      <c r="S175" s="63"/>
      <c r="T175" s="858"/>
      <c r="U175" s="985"/>
      <c r="W175" s="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R175" s="71"/>
      <c r="AX175" s="1"/>
      <c r="BD175" s="152"/>
      <c r="BE175" s="15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52"/>
      <c r="DA175" s="1"/>
      <c r="DP175" s="5"/>
      <c r="DQ175" s="152"/>
      <c r="DR175" s="152"/>
      <c r="DS175" s="152"/>
      <c r="DT175" s="152"/>
      <c r="FW175" s="152"/>
      <c r="JR175" s="152"/>
      <c r="JS175" s="152"/>
      <c r="JT175" s="152"/>
      <c r="JU175" s="152"/>
      <c r="OY175" s="152"/>
      <c r="OZ175" s="152"/>
      <c r="PB175" s="152"/>
      <c r="PP175" s="155"/>
      <c r="PT175" s="152"/>
      <c r="RW175" s="155"/>
      <c r="AHF175" s="151"/>
      <c r="AIU175" s="151"/>
      <c r="AIV175" s="151"/>
      <c r="AIW175" s="151"/>
    </row>
    <row r="176" spans="2:933" hidden="1" x14ac:dyDescent="0.25">
      <c r="B176" s="923"/>
      <c r="C176" s="756" t="s">
        <v>28</v>
      </c>
      <c r="D176" s="663"/>
      <c r="E176" s="651"/>
      <c r="F176" s="626"/>
      <c r="G176" s="626"/>
      <c r="H176" s="626"/>
      <c r="I176" s="626"/>
      <c r="J176" s="626"/>
      <c r="K176" s="626"/>
      <c r="L176" s="626"/>
      <c r="M176" s="626"/>
      <c r="N176" s="626"/>
      <c r="O176" s="626"/>
      <c r="P176" s="626"/>
      <c r="Q176" s="626"/>
      <c r="R176" s="911"/>
      <c r="S176" s="72" t="s">
        <v>28</v>
      </c>
      <c r="T176" s="880" t="s">
        <v>28</v>
      </c>
      <c r="U176" s="984" t="s">
        <v>28</v>
      </c>
      <c r="W176" s="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R176" s="71"/>
      <c r="AX176" s="1"/>
      <c r="BD176" s="152"/>
      <c r="BE176" s="152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52"/>
      <c r="DA176" s="1"/>
      <c r="DP176" s="5"/>
      <c r="DQ176" s="152"/>
      <c r="DR176" s="152"/>
      <c r="DS176" s="152"/>
      <c r="DT176" s="152"/>
      <c r="FW176" s="152"/>
      <c r="JR176" s="152"/>
      <c r="JS176" s="152"/>
      <c r="JT176" s="152"/>
      <c r="JU176" s="152"/>
      <c r="OY176" s="152"/>
      <c r="OZ176" s="152"/>
      <c r="PB176" s="152"/>
      <c r="PP176" s="155"/>
      <c r="PT176" s="152"/>
      <c r="RW176" s="155"/>
      <c r="AHF176" s="151"/>
      <c r="AIU176" s="151"/>
      <c r="AIV176" s="151"/>
      <c r="AIW176" s="151"/>
    </row>
    <row r="177" spans="2:933" hidden="1" x14ac:dyDescent="0.25">
      <c r="B177" s="923"/>
      <c r="C177" s="623" t="s">
        <v>27</v>
      </c>
      <c r="D177" s="663"/>
      <c r="E177" s="683" t="s">
        <v>28</v>
      </c>
      <c r="F177" s="626">
        <v>0</v>
      </c>
      <c r="G177" s="626">
        <v>0</v>
      </c>
      <c r="H177" s="626">
        <v>0</v>
      </c>
      <c r="I177" s="626">
        <v>0</v>
      </c>
      <c r="J177" s="626">
        <v>0</v>
      </c>
      <c r="K177" s="626">
        <f t="shared" ref="K177:Q177" si="95">K173*24</f>
        <v>0</v>
      </c>
      <c r="L177" s="626">
        <f t="shared" si="95"/>
        <v>0</v>
      </c>
      <c r="M177" s="626">
        <f t="shared" si="95"/>
        <v>0</v>
      </c>
      <c r="N177" s="626">
        <f t="shared" si="95"/>
        <v>0</v>
      </c>
      <c r="O177" s="626">
        <f t="shared" si="95"/>
        <v>0</v>
      </c>
      <c r="P177" s="626" t="e">
        <f t="shared" si="95"/>
        <v>#REF!</v>
      </c>
      <c r="Q177" s="626" t="e">
        <f t="shared" si="95"/>
        <v>#REF!</v>
      </c>
      <c r="R177" s="911"/>
      <c r="S177" s="63" t="e">
        <f t="shared" ref="S177:U179" si="96">SUM(F177:Q177)</f>
        <v>#REF!</v>
      </c>
      <c r="T177" s="858" t="e">
        <f t="shared" si="96"/>
        <v>#REF!</v>
      </c>
      <c r="U177" s="985" t="e">
        <f t="shared" si="96"/>
        <v>#REF!</v>
      </c>
      <c r="W177" s="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R177" s="71"/>
      <c r="AX177" s="1"/>
      <c r="BD177" s="152"/>
      <c r="BE177" s="152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52"/>
      <c r="DA177" s="1"/>
      <c r="DP177" s="5"/>
      <c r="DQ177" s="152"/>
      <c r="DR177" s="152"/>
      <c r="DS177" s="152"/>
      <c r="DT177" s="152"/>
      <c r="FW177" s="152"/>
      <c r="JR177" s="152"/>
      <c r="JS177" s="152"/>
      <c r="JT177" s="152"/>
      <c r="JU177" s="152"/>
      <c r="OY177" s="152"/>
      <c r="OZ177" s="152"/>
      <c r="PB177" s="152"/>
      <c r="PP177" s="155"/>
      <c r="PT177" s="152"/>
      <c r="RW177" s="155"/>
      <c r="AHF177" s="151"/>
      <c r="AIU177" s="151"/>
      <c r="AIV177" s="151"/>
      <c r="AIW177" s="151"/>
    </row>
    <row r="178" spans="2:933" hidden="1" x14ac:dyDescent="0.25">
      <c r="B178" s="923"/>
      <c r="C178" s="623" t="s">
        <v>26</v>
      </c>
      <c r="D178" s="663"/>
      <c r="E178" s="683" t="s">
        <v>28</v>
      </c>
      <c r="F178" s="626">
        <v>0</v>
      </c>
      <c r="G178" s="626">
        <v>0</v>
      </c>
      <c r="H178" s="626">
        <v>0</v>
      </c>
      <c r="I178" s="626">
        <v>0</v>
      </c>
      <c r="J178" s="626">
        <v>0</v>
      </c>
      <c r="K178" s="626">
        <f t="shared" ref="K178:Q178" si="97">K174*12</f>
        <v>0</v>
      </c>
      <c r="L178" s="626">
        <f t="shared" si="97"/>
        <v>0</v>
      </c>
      <c r="M178" s="626">
        <f t="shared" si="97"/>
        <v>0</v>
      </c>
      <c r="N178" s="626">
        <f t="shared" si="97"/>
        <v>0</v>
      </c>
      <c r="O178" s="626">
        <f t="shared" si="97"/>
        <v>0</v>
      </c>
      <c r="P178" s="626" t="e">
        <f t="shared" si="97"/>
        <v>#REF!</v>
      </c>
      <c r="Q178" s="626" t="e">
        <f t="shared" si="97"/>
        <v>#DIV/0!</v>
      </c>
      <c r="R178" s="911"/>
      <c r="S178" s="63" t="e">
        <f t="shared" si="96"/>
        <v>#REF!</v>
      </c>
      <c r="T178" s="858" t="e">
        <f t="shared" si="96"/>
        <v>#REF!</v>
      </c>
      <c r="U178" s="985" t="e">
        <f t="shared" si="96"/>
        <v>#REF!</v>
      </c>
      <c r="W178" s="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R178" s="71"/>
      <c r="AX178" s="1"/>
      <c r="BD178" s="152"/>
      <c r="BE178" s="152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52"/>
      <c r="DA178" s="1"/>
      <c r="DP178" s="5"/>
      <c r="DQ178" s="152"/>
      <c r="DR178" s="152"/>
      <c r="DS178" s="152"/>
      <c r="DT178" s="152"/>
      <c r="FW178" s="152"/>
      <c r="JR178" s="152"/>
      <c r="JS178" s="152"/>
      <c r="JT178" s="152"/>
      <c r="JU178" s="152"/>
      <c r="OY178" s="152"/>
      <c r="OZ178" s="152"/>
      <c r="PB178" s="152"/>
      <c r="PP178" s="155"/>
      <c r="PT178" s="152"/>
      <c r="RW178" s="155"/>
      <c r="AHF178" s="151"/>
      <c r="AIU178" s="151"/>
      <c r="AIV178" s="151"/>
      <c r="AIW178" s="151"/>
    </row>
    <row r="179" spans="2:933" hidden="1" x14ac:dyDescent="0.25">
      <c r="B179" s="923"/>
      <c r="C179" s="623" t="s">
        <v>37</v>
      </c>
      <c r="D179" s="663"/>
      <c r="E179" s="683" t="s">
        <v>28</v>
      </c>
      <c r="F179" s="626"/>
      <c r="G179" s="626"/>
      <c r="H179" s="626"/>
      <c r="I179" s="626"/>
      <c r="J179" s="626"/>
      <c r="K179" s="626">
        <f t="shared" ref="K179:Q179" si="98">K175*6</f>
        <v>0</v>
      </c>
      <c r="L179" s="626">
        <f t="shared" si="98"/>
        <v>0</v>
      </c>
      <c r="M179" s="626">
        <f t="shared" si="98"/>
        <v>0</v>
      </c>
      <c r="N179" s="626">
        <f t="shared" si="98"/>
        <v>0</v>
      </c>
      <c r="O179" s="626">
        <f t="shared" si="98"/>
        <v>0</v>
      </c>
      <c r="P179" s="626" t="e">
        <f t="shared" si="98"/>
        <v>#REF!</v>
      </c>
      <c r="Q179" s="626" t="e">
        <f t="shared" si="98"/>
        <v>#DIV/0!</v>
      </c>
      <c r="R179" s="911"/>
      <c r="S179" s="63" t="e">
        <f t="shared" si="96"/>
        <v>#REF!</v>
      </c>
      <c r="T179" s="858" t="e">
        <f t="shared" si="96"/>
        <v>#REF!</v>
      </c>
      <c r="U179" s="985" t="e">
        <f t="shared" si="96"/>
        <v>#REF!</v>
      </c>
      <c r="W179" s="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R179" s="71"/>
      <c r="AX179" s="1"/>
      <c r="BD179" s="152"/>
      <c r="BE179" s="152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52"/>
      <c r="DA179" s="1"/>
      <c r="DP179" s="5"/>
      <c r="DQ179" s="152"/>
      <c r="DR179" s="152"/>
      <c r="DS179" s="152"/>
      <c r="DT179" s="152"/>
      <c r="FW179" s="152"/>
      <c r="JR179" s="152"/>
      <c r="JS179" s="152"/>
      <c r="JT179" s="152"/>
      <c r="JU179" s="152"/>
      <c r="OY179" s="152"/>
      <c r="OZ179" s="152"/>
      <c r="PB179" s="152"/>
      <c r="PP179" s="155"/>
      <c r="PT179" s="152"/>
      <c r="RW179" s="155"/>
      <c r="AHF179" s="151"/>
      <c r="AIU179" s="151"/>
      <c r="AIV179" s="151"/>
      <c r="AIW179" s="151"/>
    </row>
    <row r="180" spans="2:933" hidden="1" x14ac:dyDescent="0.25">
      <c r="B180" s="920"/>
      <c r="C180" s="605" t="s">
        <v>30</v>
      </c>
      <c r="D180" s="54"/>
      <c r="E180" s="54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3"/>
      <c r="S180" s="709" t="s">
        <v>132</v>
      </c>
      <c r="T180" s="869" t="s">
        <v>132</v>
      </c>
      <c r="U180" s="975" t="s">
        <v>132</v>
      </c>
      <c r="W180" s="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R180" s="71"/>
      <c r="AX180" s="1"/>
      <c r="BD180" s="151"/>
      <c r="BE180" s="15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51"/>
      <c r="DA180" s="1"/>
      <c r="DP180" s="5"/>
      <c r="DQ180" s="151"/>
      <c r="DR180" s="151"/>
      <c r="DS180" s="151"/>
      <c r="DT180" s="151"/>
      <c r="FW180" s="151"/>
      <c r="JR180" s="151"/>
      <c r="JS180" s="151"/>
      <c r="JT180" s="151"/>
      <c r="JU180" s="151"/>
      <c r="OY180" s="151"/>
      <c r="OZ180" s="151"/>
      <c r="PB180" s="151"/>
      <c r="PP180" s="668"/>
      <c r="PT180" s="151"/>
      <c r="RW180" s="668"/>
      <c r="AHF180" s="151"/>
      <c r="AIU180" s="151"/>
      <c r="AIV180" s="151"/>
      <c r="AIW180" s="151"/>
    </row>
    <row r="181" spans="2:933" hidden="1" x14ac:dyDescent="0.25">
      <c r="B181" s="923"/>
      <c r="C181" s="756" t="s">
        <v>29</v>
      </c>
      <c r="D181" s="663"/>
      <c r="E181" s="651"/>
      <c r="F181" s="626"/>
      <c r="G181" s="626"/>
      <c r="H181" s="626"/>
      <c r="I181" s="626"/>
      <c r="J181" s="626"/>
      <c r="K181" s="626"/>
      <c r="L181" s="626"/>
      <c r="M181" s="626"/>
      <c r="N181" s="626"/>
      <c r="O181" s="626"/>
      <c r="P181" s="626"/>
      <c r="Q181" s="626"/>
      <c r="R181" s="911"/>
      <c r="S181" s="72" t="s">
        <v>29</v>
      </c>
      <c r="T181" s="880" t="s">
        <v>29</v>
      </c>
      <c r="U181" s="984" t="s">
        <v>29</v>
      </c>
      <c r="W181" s="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R181" s="71"/>
      <c r="AX181" s="1"/>
      <c r="BD181" s="152"/>
      <c r="BE181" s="152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52"/>
      <c r="DA181" s="1"/>
      <c r="DP181" s="5"/>
      <c r="DQ181" s="152"/>
      <c r="DR181" s="152"/>
      <c r="DS181" s="152"/>
      <c r="DT181" s="152"/>
      <c r="FW181" s="152"/>
      <c r="JR181" s="152"/>
      <c r="JS181" s="152"/>
      <c r="JT181" s="152"/>
      <c r="JU181" s="152"/>
      <c r="OY181" s="152"/>
      <c r="OZ181" s="152"/>
      <c r="PB181" s="152"/>
      <c r="PP181" s="155"/>
      <c r="PT181" s="152"/>
      <c r="RW181" s="155"/>
      <c r="AHF181" s="151"/>
      <c r="AIU181" s="151"/>
      <c r="AIV181" s="151"/>
      <c r="AIW181" s="151"/>
    </row>
    <row r="182" spans="2:933" hidden="1" x14ac:dyDescent="0.25">
      <c r="B182" s="923"/>
      <c r="C182" s="623" t="s">
        <v>27</v>
      </c>
      <c r="D182" s="650">
        <v>0.3</v>
      </c>
      <c r="E182" s="683" t="s">
        <v>25</v>
      </c>
      <c r="F182" s="627" t="e">
        <f>F173/F161*100</f>
        <v>#DIV/0!</v>
      </c>
      <c r="G182" s="627">
        <f t="shared" ref="G182:Q184" si="99">G173/G161*100</f>
        <v>0.79928952042628776</v>
      </c>
      <c r="H182" s="627" t="e">
        <f>H173/H161*100</f>
        <v>#DIV/0!</v>
      </c>
      <c r="I182" s="627" t="e">
        <f t="shared" si="99"/>
        <v>#DIV/0!</v>
      </c>
      <c r="J182" s="627" t="e">
        <f t="shared" si="99"/>
        <v>#DIV/0!</v>
      </c>
      <c r="K182" s="627" t="e">
        <f t="shared" si="99"/>
        <v>#DIV/0!</v>
      </c>
      <c r="L182" s="627" t="e">
        <f t="shared" si="99"/>
        <v>#DIV/0!</v>
      </c>
      <c r="M182" s="627" t="e">
        <f t="shared" si="99"/>
        <v>#DIV/0!</v>
      </c>
      <c r="N182" s="627" t="e">
        <f t="shared" si="99"/>
        <v>#DIV/0!</v>
      </c>
      <c r="O182" s="627" t="e">
        <f t="shared" si="99"/>
        <v>#DIV/0!</v>
      </c>
      <c r="P182" s="627" t="e">
        <f t="shared" si="99"/>
        <v>#REF!</v>
      </c>
      <c r="Q182" s="627" t="e">
        <f t="shared" si="99"/>
        <v>#REF!</v>
      </c>
      <c r="R182" s="911"/>
      <c r="S182" s="67" t="e">
        <f>S173/S161*100</f>
        <v>#REF!</v>
      </c>
      <c r="T182" s="861" t="e">
        <f>T173/T161*100</f>
        <v>#REF!</v>
      </c>
      <c r="U182" s="968" t="e">
        <f>U173/U161*100</f>
        <v>#REF!</v>
      </c>
      <c r="W182" s="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R182" s="71"/>
      <c r="AX182" s="1"/>
      <c r="BD182" s="152"/>
      <c r="BE182" s="152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52"/>
      <c r="DA182" s="1"/>
      <c r="DP182" s="5"/>
      <c r="DQ182" s="152"/>
      <c r="DR182" s="152"/>
      <c r="DS182" s="152"/>
      <c r="DT182" s="152"/>
      <c r="FW182" s="152"/>
      <c r="JR182" s="152"/>
      <c r="JS182" s="152"/>
      <c r="JT182" s="152"/>
      <c r="JU182" s="152"/>
      <c r="OY182" s="152"/>
      <c r="OZ182" s="152"/>
      <c r="PB182" s="152"/>
      <c r="PP182" s="155"/>
      <c r="PT182" s="152"/>
      <c r="RW182" s="155"/>
      <c r="AHF182" s="151"/>
      <c r="AIU182" s="151"/>
      <c r="AIV182" s="151"/>
      <c r="AIW182" s="151"/>
    </row>
    <row r="183" spans="2:933" hidden="1" x14ac:dyDescent="0.25">
      <c r="B183" s="923"/>
      <c r="C183" s="623" t="s">
        <v>26</v>
      </c>
      <c r="D183" s="650">
        <v>0.3</v>
      </c>
      <c r="E183" s="683" t="s">
        <v>25</v>
      </c>
      <c r="F183" s="627" t="e">
        <f>F174/F162*100</f>
        <v>#DIV/0!</v>
      </c>
      <c r="G183" s="627">
        <f t="shared" si="99"/>
        <v>1.6017880424660087</v>
      </c>
      <c r="H183" s="627" t="e">
        <f t="shared" si="99"/>
        <v>#DIV/0!</v>
      </c>
      <c r="I183" s="627" t="e">
        <f t="shared" si="99"/>
        <v>#DIV/0!</v>
      </c>
      <c r="J183" s="627" t="e">
        <f>J174/J162*100</f>
        <v>#DIV/0!</v>
      </c>
      <c r="K183" s="627" t="e">
        <f t="shared" si="99"/>
        <v>#DIV/0!</v>
      </c>
      <c r="L183" s="627" t="e">
        <f t="shared" si="99"/>
        <v>#DIV/0!</v>
      </c>
      <c r="M183" s="627" t="e">
        <f t="shared" si="99"/>
        <v>#DIV/0!</v>
      </c>
      <c r="N183" s="627" t="e">
        <f t="shared" si="99"/>
        <v>#DIV/0!</v>
      </c>
      <c r="O183" s="627" t="e">
        <f t="shared" si="99"/>
        <v>#DIV/0!</v>
      </c>
      <c r="P183" s="627" t="e">
        <f t="shared" si="99"/>
        <v>#REF!</v>
      </c>
      <c r="Q183" s="627" t="e">
        <f t="shared" si="99"/>
        <v>#DIV/0!</v>
      </c>
      <c r="R183" s="911"/>
      <c r="S183" s="67" t="e">
        <f>S174/S163*100</f>
        <v>#REF!</v>
      </c>
      <c r="T183" s="861" t="e">
        <f>T174/T163*100</f>
        <v>#REF!</v>
      </c>
      <c r="U183" s="968" t="e">
        <f>U174/U163*100</f>
        <v>#REF!</v>
      </c>
      <c r="W183" s="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R183" s="71"/>
      <c r="AX183" s="1"/>
      <c r="BD183" s="152"/>
      <c r="BE183" s="152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52"/>
      <c r="DA183" s="1"/>
      <c r="DP183" s="5"/>
      <c r="DQ183" s="152"/>
      <c r="DR183" s="152"/>
      <c r="DS183" s="152"/>
      <c r="DT183" s="152"/>
      <c r="FW183" s="152"/>
      <c r="JR183" s="152"/>
      <c r="JS183" s="152"/>
      <c r="JT183" s="152"/>
      <c r="JU183" s="152"/>
      <c r="OY183" s="152"/>
      <c r="OZ183" s="152"/>
      <c r="PB183" s="152"/>
      <c r="PP183" s="155"/>
      <c r="PT183" s="152"/>
      <c r="RW183" s="155"/>
      <c r="AHF183" s="151"/>
      <c r="AIU183" s="151"/>
      <c r="AIV183" s="151"/>
      <c r="AIW183" s="151"/>
    </row>
    <row r="184" spans="2:933" hidden="1" x14ac:dyDescent="0.25">
      <c r="B184" s="923"/>
      <c r="C184" s="623" t="s">
        <v>37</v>
      </c>
      <c r="D184" s="650">
        <v>0.3</v>
      </c>
      <c r="E184" s="683" t="s">
        <v>25</v>
      </c>
      <c r="F184" s="627" t="e">
        <f>F175/F163*100</f>
        <v>#DIV/0!</v>
      </c>
      <c r="G184" s="627" t="e">
        <f t="shared" si="99"/>
        <v>#DIV/0!</v>
      </c>
      <c r="H184" s="627" t="e">
        <f t="shared" si="99"/>
        <v>#DIV/0!</v>
      </c>
      <c r="I184" s="627" t="e">
        <f t="shared" si="99"/>
        <v>#DIV/0!</v>
      </c>
      <c r="J184" s="627" t="e">
        <f t="shared" si="99"/>
        <v>#DIV/0!</v>
      </c>
      <c r="K184" s="627" t="e">
        <f t="shared" si="99"/>
        <v>#DIV/0!</v>
      </c>
      <c r="L184" s="627" t="e">
        <f t="shared" si="99"/>
        <v>#DIV/0!</v>
      </c>
      <c r="M184" s="627" t="e">
        <f t="shared" si="99"/>
        <v>#DIV/0!</v>
      </c>
      <c r="N184" s="627" t="e">
        <f t="shared" si="99"/>
        <v>#DIV/0!</v>
      </c>
      <c r="O184" s="627" t="e">
        <f t="shared" si="99"/>
        <v>#DIV/0!</v>
      </c>
      <c r="P184" s="627" t="e">
        <f t="shared" si="99"/>
        <v>#REF!</v>
      </c>
      <c r="Q184" s="627" t="e">
        <f t="shared" si="99"/>
        <v>#DIV/0!</v>
      </c>
      <c r="R184" s="911"/>
      <c r="S184" s="67"/>
      <c r="T184" s="861"/>
      <c r="U184" s="968"/>
      <c r="W184" s="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R184" s="71"/>
      <c r="AX184" s="1"/>
      <c r="BD184" s="152"/>
      <c r="BE184" s="152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52"/>
      <c r="DA184" s="1"/>
      <c r="DP184" s="5"/>
      <c r="DQ184" s="152"/>
      <c r="DR184" s="152"/>
      <c r="DS184" s="152"/>
      <c r="DT184" s="152"/>
      <c r="FW184" s="152"/>
      <c r="JR184" s="152"/>
      <c r="JS184" s="152"/>
      <c r="JT184" s="152"/>
      <c r="JU184" s="152"/>
      <c r="OY184" s="152"/>
      <c r="OZ184" s="152"/>
      <c r="PB184" s="152"/>
      <c r="PP184" s="155"/>
      <c r="PT184" s="152"/>
      <c r="RW184" s="155"/>
      <c r="AHF184" s="151"/>
      <c r="AIU184" s="151"/>
      <c r="AIV184" s="151"/>
      <c r="AIW184" s="151"/>
    </row>
    <row r="185" spans="2:933" hidden="1" x14ac:dyDescent="0.25">
      <c r="B185" s="923"/>
      <c r="C185" s="756" t="s">
        <v>28</v>
      </c>
      <c r="D185" s="650"/>
      <c r="E185" s="651"/>
      <c r="F185" s="627"/>
      <c r="G185" s="627"/>
      <c r="H185" s="627"/>
      <c r="I185" s="627"/>
      <c r="J185" s="627"/>
      <c r="K185" s="627"/>
      <c r="L185" s="627"/>
      <c r="M185" s="627"/>
      <c r="N185" s="627"/>
      <c r="O185" s="627"/>
      <c r="P185" s="627"/>
      <c r="Q185" s="627"/>
      <c r="R185" s="911"/>
      <c r="S185" s="72" t="s">
        <v>28</v>
      </c>
      <c r="T185" s="880" t="s">
        <v>28</v>
      </c>
      <c r="U185" s="984" t="s">
        <v>28</v>
      </c>
      <c r="W185" s="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R185" s="71"/>
      <c r="AX185" s="1"/>
      <c r="BD185" s="152"/>
      <c r="BE185" s="15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52"/>
      <c r="DA185" s="1"/>
      <c r="DP185" s="5"/>
      <c r="DQ185" s="152"/>
      <c r="DR185" s="152"/>
      <c r="DS185" s="152"/>
      <c r="DT185" s="152"/>
      <c r="FW185" s="152"/>
      <c r="JR185" s="152"/>
      <c r="JS185" s="152"/>
      <c r="JT185" s="152"/>
      <c r="JU185" s="152"/>
      <c r="OY185" s="152"/>
      <c r="OZ185" s="152"/>
      <c r="PB185" s="152"/>
      <c r="PP185" s="155"/>
      <c r="PT185" s="152"/>
      <c r="RW185" s="155"/>
      <c r="AHF185" s="151"/>
      <c r="AIU185" s="151"/>
      <c r="AIV185" s="151"/>
      <c r="AIW185" s="151"/>
    </row>
    <row r="186" spans="2:933" hidden="1" x14ac:dyDescent="0.25">
      <c r="B186" s="923"/>
      <c r="C186" s="623" t="s">
        <v>27</v>
      </c>
      <c r="D186" s="650">
        <v>0.5</v>
      </c>
      <c r="E186" s="683" t="s">
        <v>25</v>
      </c>
      <c r="F186" s="627" t="e">
        <f>F177/F165*100</f>
        <v>#DIV/0!</v>
      </c>
      <c r="G186" s="627">
        <f t="shared" ref="G186:Q188" si="100">G177/G165*100</f>
        <v>0</v>
      </c>
      <c r="H186" s="627" t="e">
        <f t="shared" si="100"/>
        <v>#DIV/0!</v>
      </c>
      <c r="I186" s="627" t="e">
        <f t="shared" si="100"/>
        <v>#DIV/0!</v>
      </c>
      <c r="J186" s="627" t="e">
        <f t="shared" si="100"/>
        <v>#DIV/0!</v>
      </c>
      <c r="K186" s="627" t="e">
        <f t="shared" si="100"/>
        <v>#DIV/0!</v>
      </c>
      <c r="L186" s="627" t="e">
        <f t="shared" si="100"/>
        <v>#DIV/0!</v>
      </c>
      <c r="M186" s="627" t="e">
        <f t="shared" si="100"/>
        <v>#DIV/0!</v>
      </c>
      <c r="N186" s="627" t="e">
        <f t="shared" si="100"/>
        <v>#DIV/0!</v>
      </c>
      <c r="O186" s="627" t="e">
        <f t="shared" si="100"/>
        <v>#DIV/0!</v>
      </c>
      <c r="P186" s="627" t="e">
        <f t="shared" si="100"/>
        <v>#REF!</v>
      </c>
      <c r="Q186" s="627" t="e">
        <f t="shared" si="100"/>
        <v>#REF!</v>
      </c>
      <c r="R186" s="911"/>
      <c r="S186" s="67" t="e">
        <f>S177/S165*100</f>
        <v>#REF!</v>
      </c>
      <c r="T186" s="861" t="e">
        <f>T177/T165*100</f>
        <v>#REF!</v>
      </c>
      <c r="U186" s="968" t="e">
        <f>U177/U165*100</f>
        <v>#REF!</v>
      </c>
      <c r="W186" s="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R186" s="71"/>
      <c r="AX186" s="1"/>
      <c r="BD186" s="152"/>
      <c r="BE186" s="152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52"/>
      <c r="DA186" s="1"/>
      <c r="DP186" s="5"/>
      <c r="DQ186" s="152"/>
      <c r="DR186" s="152"/>
      <c r="DS186" s="152"/>
      <c r="DT186" s="152"/>
      <c r="FW186" s="152"/>
      <c r="JR186" s="152"/>
      <c r="JS186" s="152"/>
      <c r="JT186" s="152"/>
      <c r="JU186" s="152"/>
      <c r="OY186" s="152"/>
      <c r="OZ186" s="152"/>
      <c r="PB186" s="152"/>
      <c r="PP186" s="155"/>
      <c r="PT186" s="152"/>
      <c r="RW186" s="155"/>
      <c r="AHF186" s="151"/>
      <c r="AIU186" s="151"/>
      <c r="AIV186" s="151"/>
      <c r="AIW186" s="151"/>
    </row>
    <row r="187" spans="2:933" hidden="1" x14ac:dyDescent="0.25">
      <c r="B187" s="923"/>
      <c r="C187" s="623" t="s">
        <v>26</v>
      </c>
      <c r="D187" s="650">
        <v>0.5</v>
      </c>
      <c r="E187" s="683" t="s">
        <v>25</v>
      </c>
      <c r="F187" s="627" t="e">
        <f>F178/F166*100</f>
        <v>#DIV/0!</v>
      </c>
      <c r="G187" s="627">
        <f t="shared" si="100"/>
        <v>0</v>
      </c>
      <c r="H187" s="627" t="e">
        <f t="shared" si="100"/>
        <v>#DIV/0!</v>
      </c>
      <c r="I187" s="627" t="e">
        <f t="shared" si="100"/>
        <v>#DIV/0!</v>
      </c>
      <c r="J187" s="627" t="e">
        <f t="shared" si="100"/>
        <v>#DIV/0!</v>
      </c>
      <c r="K187" s="627" t="e">
        <f t="shared" si="100"/>
        <v>#DIV/0!</v>
      </c>
      <c r="L187" s="627" t="e">
        <f t="shared" si="100"/>
        <v>#DIV/0!</v>
      </c>
      <c r="M187" s="627" t="e">
        <f t="shared" si="100"/>
        <v>#DIV/0!</v>
      </c>
      <c r="N187" s="627" t="e">
        <f t="shared" si="100"/>
        <v>#DIV/0!</v>
      </c>
      <c r="O187" s="627" t="e">
        <f t="shared" si="100"/>
        <v>#DIV/0!</v>
      </c>
      <c r="P187" s="627" t="e">
        <f t="shared" si="100"/>
        <v>#REF!</v>
      </c>
      <c r="Q187" s="627" t="e">
        <f t="shared" si="100"/>
        <v>#DIV/0!</v>
      </c>
      <c r="R187" s="911"/>
      <c r="S187" s="67" t="e">
        <f>S178/S167*100</f>
        <v>#REF!</v>
      </c>
      <c r="T187" s="861" t="e">
        <f>T178/T167*100</f>
        <v>#REF!</v>
      </c>
      <c r="U187" s="968" t="e">
        <f>U178/U167*100</f>
        <v>#REF!</v>
      </c>
      <c r="W187" s="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R187" s="71"/>
      <c r="AX187" s="1"/>
      <c r="BD187" s="152"/>
      <c r="BE187" s="152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52"/>
      <c r="DA187" s="1"/>
      <c r="DP187" s="5"/>
      <c r="DQ187" s="152"/>
      <c r="DR187" s="152"/>
      <c r="DS187" s="152"/>
      <c r="DT187" s="152"/>
      <c r="FW187" s="152"/>
      <c r="JR187" s="152"/>
      <c r="JS187" s="152"/>
      <c r="JT187" s="152"/>
      <c r="JU187" s="152"/>
      <c r="OY187" s="152"/>
      <c r="OZ187" s="152"/>
      <c r="PB187" s="152"/>
      <c r="PP187" s="155"/>
      <c r="PT187" s="152"/>
      <c r="RW187" s="155"/>
      <c r="AHF187" s="151"/>
      <c r="AIU187" s="151"/>
      <c r="AIV187" s="151"/>
      <c r="AIW187" s="151"/>
    </row>
    <row r="188" spans="2:933" hidden="1" x14ac:dyDescent="0.25">
      <c r="B188" s="923"/>
      <c r="C188" s="623" t="s">
        <v>37</v>
      </c>
      <c r="D188" s="650">
        <v>0.5</v>
      </c>
      <c r="E188" s="683" t="s">
        <v>25</v>
      </c>
      <c r="F188" s="627" t="e">
        <f>F179/F167*100</f>
        <v>#DIV/0!</v>
      </c>
      <c r="G188" s="627" t="e">
        <f t="shared" si="100"/>
        <v>#DIV/0!</v>
      </c>
      <c r="H188" s="627" t="e">
        <f t="shared" si="100"/>
        <v>#DIV/0!</v>
      </c>
      <c r="I188" s="627" t="e">
        <f t="shared" si="100"/>
        <v>#DIV/0!</v>
      </c>
      <c r="J188" s="627" t="e">
        <f t="shared" si="100"/>
        <v>#DIV/0!</v>
      </c>
      <c r="K188" s="627" t="e">
        <f t="shared" si="100"/>
        <v>#DIV/0!</v>
      </c>
      <c r="L188" s="627" t="e">
        <f t="shared" si="100"/>
        <v>#DIV/0!</v>
      </c>
      <c r="M188" s="627" t="e">
        <f t="shared" si="100"/>
        <v>#DIV/0!</v>
      </c>
      <c r="N188" s="627" t="e">
        <f t="shared" si="100"/>
        <v>#DIV/0!</v>
      </c>
      <c r="O188" s="627" t="e">
        <f t="shared" si="100"/>
        <v>#DIV/0!</v>
      </c>
      <c r="P188" s="627" t="e">
        <f t="shared" si="100"/>
        <v>#REF!</v>
      </c>
      <c r="Q188" s="627" t="e">
        <f t="shared" si="100"/>
        <v>#DIV/0!</v>
      </c>
      <c r="R188" s="911"/>
      <c r="S188" s="67"/>
      <c r="T188" s="861"/>
      <c r="U188" s="968"/>
      <c r="W188" s="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R188" s="71"/>
      <c r="AX188" s="1"/>
      <c r="BD188" s="152"/>
      <c r="BE188" s="152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52"/>
      <c r="DA188" s="1"/>
      <c r="DP188" s="5"/>
      <c r="DQ188" s="152"/>
      <c r="DR188" s="152"/>
      <c r="DS188" s="152"/>
      <c r="DT188" s="152"/>
      <c r="FW188" s="152"/>
      <c r="JR188" s="152"/>
      <c r="JS188" s="152"/>
      <c r="JT188" s="152"/>
      <c r="JU188" s="152"/>
      <c r="OY188" s="152"/>
      <c r="OZ188" s="152"/>
      <c r="PB188" s="152"/>
      <c r="PP188" s="155"/>
      <c r="PT188" s="152"/>
      <c r="RW188" s="155"/>
      <c r="AHF188" s="151"/>
      <c r="AIU188" s="151"/>
      <c r="AIV188" s="151"/>
      <c r="AIW188" s="151"/>
    </row>
    <row r="189" spans="2:933" hidden="1" x14ac:dyDescent="0.25">
      <c r="B189" s="923"/>
      <c r="C189" s="778" t="s">
        <v>88</v>
      </c>
      <c r="D189" s="779"/>
      <c r="E189" s="775"/>
      <c r="F189" s="780"/>
      <c r="G189" s="780"/>
      <c r="H189" s="780"/>
      <c r="I189" s="780"/>
      <c r="J189" s="780"/>
      <c r="K189" s="780"/>
      <c r="L189" s="780"/>
      <c r="M189" s="780"/>
      <c r="N189" s="780"/>
      <c r="O189" s="780"/>
      <c r="P189" s="780"/>
      <c r="Q189" s="780"/>
      <c r="R189" s="911"/>
      <c r="S189" s="709" t="s">
        <v>131</v>
      </c>
      <c r="T189" s="869" t="s">
        <v>131</v>
      </c>
      <c r="U189" s="975" t="s">
        <v>131</v>
      </c>
      <c r="W189" s="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R189" s="71"/>
      <c r="AX189" s="1"/>
      <c r="BD189" s="152"/>
      <c r="BE189" s="152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52"/>
      <c r="DA189" s="1"/>
      <c r="DP189" s="5"/>
      <c r="DQ189" s="152"/>
      <c r="DR189" s="152"/>
      <c r="DS189" s="152"/>
      <c r="DT189" s="152"/>
      <c r="FW189" s="152"/>
      <c r="JR189" s="152"/>
      <c r="JS189" s="152"/>
      <c r="JT189" s="152"/>
      <c r="JU189" s="152"/>
      <c r="OY189" s="152"/>
      <c r="OZ189" s="152"/>
      <c r="PB189" s="152"/>
      <c r="PP189" s="155"/>
      <c r="PT189" s="152"/>
      <c r="RW189" s="155"/>
      <c r="AHF189" s="151"/>
      <c r="AIU189" s="151"/>
      <c r="AIV189" s="151"/>
      <c r="AIW189" s="151"/>
    </row>
    <row r="190" spans="2:933" hidden="1" x14ac:dyDescent="0.25">
      <c r="B190" s="923"/>
      <c r="C190" s="781" t="s">
        <v>93</v>
      </c>
      <c r="D190" s="650"/>
      <c r="E190" s="20" t="s">
        <v>14</v>
      </c>
      <c r="F190" s="777">
        <f>'[24]Januari 24'!AL184</f>
        <v>356139</v>
      </c>
      <c r="G190" s="777">
        <f>'[24]Februari 24'!AL184</f>
        <v>0</v>
      </c>
      <c r="H190" s="777">
        <f>'[24]Maret 24'!AL184</f>
        <v>0</v>
      </c>
      <c r="I190" s="777">
        <f>'[24]April 24'!AL184</f>
        <v>0</v>
      </c>
      <c r="J190" s="777">
        <f>'[24]Mei 24'!AL184</f>
        <v>0</v>
      </c>
      <c r="K190" s="777">
        <f>'[24]Juny 24'!AL184</f>
        <v>0</v>
      </c>
      <c r="L190" s="777">
        <f>'[24]July 24'!AL184</f>
        <v>0</v>
      </c>
      <c r="M190" s="777">
        <f>'[24]Agustus 24'!AL184</f>
        <v>0</v>
      </c>
      <c r="N190" s="777">
        <f>'[24]September 24'!AL184</f>
        <v>0</v>
      </c>
      <c r="O190" s="777">
        <f>'[24]Oktober 24'!AL184</f>
        <v>0</v>
      </c>
      <c r="P190" s="777">
        <f>'[24]November 24'!AL184</f>
        <v>0</v>
      </c>
      <c r="Q190" s="777">
        <f>'[24]Desember 24'!AL184</f>
        <v>0</v>
      </c>
      <c r="R190" s="911"/>
      <c r="S190" s="98">
        <f>SUM(F190:Q190)</f>
        <v>356139</v>
      </c>
      <c r="T190" s="878">
        <f>SUM(G190:R190)</f>
        <v>0</v>
      </c>
      <c r="U190" s="986">
        <f>SUM(H190:S190)</f>
        <v>356139</v>
      </c>
      <c r="W190" s="1"/>
      <c r="X190" s="71"/>
      <c r="Y190" s="703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R190" s="71"/>
      <c r="AX190" s="1"/>
      <c r="BD190" s="152"/>
      <c r="BE190" s="152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52"/>
      <c r="DA190" s="1"/>
      <c r="DP190" s="5"/>
      <c r="DQ190" s="152"/>
      <c r="DR190" s="152"/>
      <c r="DS190" s="152"/>
      <c r="DT190" s="152"/>
      <c r="FW190" s="152"/>
      <c r="JR190" s="152"/>
      <c r="JS190" s="152"/>
      <c r="JT190" s="152"/>
      <c r="JU190" s="152"/>
      <c r="OY190" s="152"/>
      <c r="OZ190" s="152"/>
      <c r="PB190" s="152"/>
      <c r="PP190" s="155"/>
      <c r="PT190" s="152"/>
      <c r="RW190" s="155"/>
      <c r="AHF190" s="151"/>
      <c r="AIU190" s="151"/>
      <c r="AIV190" s="151"/>
      <c r="AIW190" s="151"/>
    </row>
    <row r="191" spans="2:933" hidden="1" x14ac:dyDescent="0.25">
      <c r="B191" s="923"/>
      <c r="C191" s="781" t="s">
        <v>94</v>
      </c>
      <c r="D191" s="650"/>
      <c r="E191" s="20" t="s">
        <v>14</v>
      </c>
      <c r="F191" s="777">
        <f>'[24]Januari 24'!AL185</f>
        <v>364427.63</v>
      </c>
      <c r="G191" s="777" t="e">
        <f>'[24]Februari 24'!AI179</f>
        <v>#REF!</v>
      </c>
      <c r="H191" s="777">
        <f>'[24]Maret 24'!AL185</f>
        <v>0</v>
      </c>
      <c r="I191" s="777">
        <f>'[24]April 24'!AL185</f>
        <v>0</v>
      </c>
      <c r="J191" s="777">
        <f>'[24]Mei 24'!AL185</f>
        <v>0</v>
      </c>
      <c r="K191" s="777">
        <f>'[24]Juny 24'!AL185</f>
        <v>0</v>
      </c>
      <c r="L191" s="777">
        <f>'[24]July 24'!AL185</f>
        <v>0</v>
      </c>
      <c r="M191" s="777">
        <f>'[24]Agustus 24'!AL185</f>
        <v>0</v>
      </c>
      <c r="N191" s="777">
        <f>'[24]September 24'!AL185</f>
        <v>0</v>
      </c>
      <c r="O191" s="777">
        <f>'[24]Oktober 24'!AL185</f>
        <v>0</v>
      </c>
      <c r="P191" s="777">
        <f>'[24]November 24'!AL185</f>
        <v>0</v>
      </c>
      <c r="Q191" s="777">
        <f>'[24]Desember 24'!AL185</f>
        <v>0</v>
      </c>
      <c r="R191" s="911"/>
      <c r="S191" s="98" t="e">
        <f>SUM(S192:S193)</f>
        <v>#REF!</v>
      </c>
      <c r="T191" s="878" t="e">
        <f>SUM(T192:T193)</f>
        <v>#REF!</v>
      </c>
      <c r="U191" s="986" t="e">
        <f>SUM(U192:U193)</f>
        <v>#REF!</v>
      </c>
      <c r="W191" s="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R191" s="71"/>
      <c r="AX191" s="1"/>
      <c r="BD191" s="152"/>
      <c r="BE191" s="152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52"/>
      <c r="DA191" s="1"/>
      <c r="DP191" s="5"/>
      <c r="DQ191" s="152"/>
      <c r="DR191" s="152"/>
      <c r="DS191" s="152"/>
      <c r="DT191" s="152"/>
      <c r="FW191" s="152"/>
      <c r="JR191" s="152"/>
      <c r="JS191" s="152"/>
      <c r="JT191" s="152"/>
      <c r="JU191" s="152"/>
      <c r="OY191" s="152"/>
      <c r="OZ191" s="152"/>
      <c r="PB191" s="152"/>
      <c r="PP191" s="155"/>
      <c r="PT191" s="152"/>
      <c r="RW191" s="155"/>
      <c r="AHF191" s="151"/>
      <c r="AIU191" s="151"/>
      <c r="AIV191" s="151"/>
      <c r="AIW191" s="151"/>
    </row>
    <row r="192" spans="2:933" hidden="1" x14ac:dyDescent="0.25">
      <c r="B192" s="923"/>
      <c r="C192" s="782" t="s">
        <v>39</v>
      </c>
      <c r="D192" s="650"/>
      <c r="E192" s="683" t="s">
        <v>14</v>
      </c>
      <c r="F192" s="765">
        <f>SUM(F196:F197)*10.83</f>
        <v>364007.13</v>
      </c>
      <c r="G192" s="765">
        <f>SUM(G196:G197)*10.83</f>
        <v>162.44999999999999</v>
      </c>
      <c r="H192" s="765">
        <f>'[24]Maret 24'!AL186</f>
        <v>0</v>
      </c>
      <c r="I192" s="765">
        <f t="shared" ref="I192:Q192" si="101">SUM(I196:I197)*10.83</f>
        <v>0</v>
      </c>
      <c r="J192" s="765">
        <f t="shared" si="101"/>
        <v>0</v>
      </c>
      <c r="K192" s="765">
        <f t="shared" si="101"/>
        <v>0</v>
      </c>
      <c r="L192" s="765">
        <f t="shared" si="101"/>
        <v>0</v>
      </c>
      <c r="M192" s="765">
        <f t="shared" si="101"/>
        <v>0</v>
      </c>
      <c r="N192" s="765">
        <f t="shared" si="101"/>
        <v>0</v>
      </c>
      <c r="O192" s="765">
        <f t="shared" si="101"/>
        <v>0</v>
      </c>
      <c r="P192" s="765">
        <f t="shared" si="101"/>
        <v>0</v>
      </c>
      <c r="Q192" s="765">
        <f t="shared" si="101"/>
        <v>0</v>
      </c>
      <c r="R192" s="911"/>
      <c r="S192" s="67">
        <f>SUM(F192:Q192)</f>
        <v>364169.58</v>
      </c>
      <c r="T192" s="861">
        <f t="shared" ref="S192:U193" si="102">SUM(G192:R192)</f>
        <v>162.44999999999999</v>
      </c>
      <c r="U192" s="968">
        <f t="shared" si="102"/>
        <v>364169.58</v>
      </c>
      <c r="W192" s="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R192" s="71"/>
      <c r="AX192" s="1"/>
      <c r="BD192" s="152"/>
      <c r="BE192" s="152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52"/>
      <c r="DA192" s="1"/>
      <c r="DP192" s="5"/>
      <c r="DQ192" s="152"/>
      <c r="DR192" s="152"/>
      <c r="DS192" s="152"/>
      <c r="DT192" s="152"/>
      <c r="FW192" s="152"/>
      <c r="JR192" s="152"/>
      <c r="JS192" s="152"/>
      <c r="JT192" s="152"/>
      <c r="JU192" s="152"/>
      <c r="OY192" s="152"/>
      <c r="OZ192" s="152"/>
      <c r="PB192" s="152"/>
      <c r="PP192" s="155"/>
      <c r="PT192" s="152"/>
      <c r="RW192" s="155"/>
      <c r="AHF192" s="151"/>
      <c r="AIU192" s="151"/>
      <c r="AIV192" s="151"/>
      <c r="AIW192" s="151"/>
    </row>
    <row r="193" spans="2:933" hidden="1" x14ac:dyDescent="0.25">
      <c r="B193" s="923"/>
      <c r="C193" s="782" t="s">
        <v>38</v>
      </c>
      <c r="D193" s="650"/>
      <c r="E193" s="683" t="s">
        <v>14</v>
      </c>
      <c r="F193" s="765">
        <f>F191-F192</f>
        <v>420.5</v>
      </c>
      <c r="G193" s="765" t="e">
        <f>G191-G192</f>
        <v>#REF!</v>
      </c>
      <c r="H193" s="765">
        <f>'[24]Maret 24'!AL187</f>
        <v>0</v>
      </c>
      <c r="I193" s="765">
        <f t="shared" ref="I193:Q193" si="103">I191-I192</f>
        <v>0</v>
      </c>
      <c r="J193" s="765">
        <f t="shared" si="103"/>
        <v>0</v>
      </c>
      <c r="K193" s="765">
        <f t="shared" si="103"/>
        <v>0</v>
      </c>
      <c r="L193" s="765">
        <f t="shared" si="103"/>
        <v>0</v>
      </c>
      <c r="M193" s="765">
        <f>M191-M192</f>
        <v>0</v>
      </c>
      <c r="N193" s="765">
        <f t="shared" si="103"/>
        <v>0</v>
      </c>
      <c r="O193" s="765">
        <f t="shared" si="103"/>
        <v>0</v>
      </c>
      <c r="P193" s="765">
        <f t="shared" si="103"/>
        <v>0</v>
      </c>
      <c r="Q193" s="765">
        <f t="shared" si="103"/>
        <v>0</v>
      </c>
      <c r="R193" s="911"/>
      <c r="S193" s="67" t="e">
        <f t="shared" si="102"/>
        <v>#REF!</v>
      </c>
      <c r="T193" s="861" t="e">
        <f t="shared" si="102"/>
        <v>#REF!</v>
      </c>
      <c r="U193" s="968" t="e">
        <f t="shared" si="102"/>
        <v>#REF!</v>
      </c>
      <c r="W193" s="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R193" s="71"/>
      <c r="AX193" s="1"/>
      <c r="BD193" s="152"/>
      <c r="BE193" s="152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52"/>
      <c r="DA193" s="1"/>
      <c r="DP193" s="5"/>
      <c r="DQ193" s="152"/>
      <c r="DR193" s="152"/>
      <c r="DS193" s="152"/>
      <c r="DT193" s="152"/>
      <c r="FW193" s="152"/>
      <c r="JR193" s="152"/>
      <c r="JS193" s="152"/>
      <c r="JT193" s="152"/>
      <c r="JU193" s="152"/>
      <c r="OY193" s="152"/>
      <c r="OZ193" s="152"/>
      <c r="PB193" s="152"/>
      <c r="PP193" s="155"/>
      <c r="PT193" s="152"/>
      <c r="RW193" s="155"/>
      <c r="AHF193" s="151"/>
      <c r="AIU193" s="151"/>
      <c r="AIV193" s="151"/>
      <c r="AIW193" s="151"/>
    </row>
    <row r="194" spans="2:933" hidden="1" x14ac:dyDescent="0.25">
      <c r="B194" s="923"/>
      <c r="C194" s="783" t="s">
        <v>50</v>
      </c>
      <c r="D194" s="650"/>
      <c r="E194" s="683" t="s">
        <v>14</v>
      </c>
      <c r="F194" s="765"/>
      <c r="G194" s="765"/>
      <c r="H194" s="765">
        <f>'[24]Maret 24'!AL188</f>
        <v>0</v>
      </c>
      <c r="I194" s="765"/>
      <c r="J194" s="765"/>
      <c r="K194" s="765"/>
      <c r="L194" s="765"/>
      <c r="M194" s="765"/>
      <c r="N194" s="765"/>
      <c r="O194" s="765"/>
      <c r="P194" s="765"/>
      <c r="Q194" s="765"/>
      <c r="R194" s="911"/>
      <c r="S194" s="67"/>
      <c r="T194" s="861"/>
      <c r="U194" s="968"/>
      <c r="W194" s="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R194" s="71"/>
      <c r="AX194" s="1"/>
      <c r="BD194" s="152"/>
      <c r="BE194" s="152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52"/>
      <c r="DA194" s="1"/>
      <c r="DP194" s="5"/>
      <c r="DQ194" s="152"/>
      <c r="DR194" s="152"/>
      <c r="DS194" s="152"/>
      <c r="DT194" s="152"/>
      <c r="FW194" s="152"/>
      <c r="JR194" s="152"/>
      <c r="JS194" s="152"/>
      <c r="JT194" s="152"/>
      <c r="JU194" s="152"/>
      <c r="OY194" s="152"/>
      <c r="OZ194" s="152"/>
      <c r="PB194" s="152"/>
      <c r="PP194" s="155"/>
      <c r="PT194" s="152"/>
      <c r="RW194" s="155"/>
      <c r="AHF194" s="151"/>
      <c r="AIU194" s="151"/>
      <c r="AIV194" s="151"/>
      <c r="AIW194" s="151"/>
    </row>
    <row r="195" spans="2:933" hidden="1" x14ac:dyDescent="0.25">
      <c r="B195" s="923"/>
      <c r="C195" s="782" t="s">
        <v>29</v>
      </c>
      <c r="D195" s="650"/>
      <c r="E195" s="683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R195" s="911"/>
      <c r="S195" s="67"/>
      <c r="T195" s="861"/>
      <c r="U195" s="968"/>
      <c r="W195" s="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R195" s="71"/>
      <c r="AX195" s="1"/>
      <c r="BD195" s="152"/>
      <c r="BE195" s="152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52"/>
      <c r="DA195" s="1"/>
      <c r="DP195" s="5"/>
      <c r="DQ195" s="152"/>
      <c r="DR195" s="152"/>
      <c r="DS195" s="152"/>
      <c r="DT195" s="152"/>
      <c r="FW195" s="152"/>
      <c r="JR195" s="152"/>
      <c r="JS195" s="152"/>
      <c r="JT195" s="152"/>
      <c r="JU195" s="152"/>
      <c r="OY195" s="152"/>
      <c r="OZ195" s="152"/>
      <c r="PB195" s="152"/>
      <c r="PP195" s="155"/>
      <c r="PT195" s="152"/>
      <c r="RW195" s="155"/>
      <c r="AHF195" s="151"/>
      <c r="AIU195" s="151"/>
      <c r="AIV195" s="151"/>
      <c r="AIW195" s="151"/>
    </row>
    <row r="196" spans="2:933" hidden="1" x14ac:dyDescent="0.25">
      <c r="B196" s="923"/>
      <c r="C196" s="782" t="s">
        <v>89</v>
      </c>
      <c r="D196" s="650"/>
      <c r="E196" s="683" t="s">
        <v>31</v>
      </c>
      <c r="F196" s="784">
        <f>'[24]Januari 24'!AL190</f>
        <v>25527</v>
      </c>
      <c r="G196" s="784">
        <f>'[24]Februari 24'!AL190</f>
        <v>15</v>
      </c>
      <c r="H196" s="784">
        <f>'[24]Maret 24'!AL190</f>
        <v>0</v>
      </c>
      <c r="I196" s="784">
        <f>'[24]April 24'!AL190</f>
        <v>0</v>
      </c>
      <c r="J196" s="784">
        <f>'[24]Mei 24'!AL190</f>
        <v>0</v>
      </c>
      <c r="K196" s="784">
        <f>'[24]Juny 24'!AL190</f>
        <v>0</v>
      </c>
      <c r="L196" s="784">
        <f>'[24]July 24'!AL190</f>
        <v>0</v>
      </c>
      <c r="M196" s="784">
        <f>'[24]Agustus 24'!AL190</f>
        <v>0</v>
      </c>
      <c r="N196" s="784">
        <f>'[24]September 24'!AL190</f>
        <v>0</v>
      </c>
      <c r="O196" s="784">
        <f>'[24]Oktober 24'!AL190</f>
        <v>0</v>
      </c>
      <c r="P196" s="784">
        <f>'[24]November 24'!AL190</f>
        <v>0</v>
      </c>
      <c r="Q196" s="784">
        <f>'[24]Desember 24'!AL190</f>
        <v>0</v>
      </c>
      <c r="R196" s="911"/>
      <c r="S196" s="100">
        <f>SUM(F196:Q196)</f>
        <v>25542</v>
      </c>
      <c r="T196" s="861">
        <v>2048803</v>
      </c>
      <c r="U196" s="968"/>
      <c r="W196" s="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R196" s="71"/>
      <c r="AX196" s="1"/>
      <c r="BD196" s="152"/>
      <c r="BE196" s="152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52"/>
      <c r="DA196" s="1"/>
      <c r="DP196" s="5"/>
      <c r="DQ196" s="152"/>
      <c r="DR196" s="152"/>
      <c r="DS196" s="152"/>
      <c r="DT196" s="152"/>
      <c r="FW196" s="152"/>
      <c r="JR196" s="152"/>
      <c r="JS196" s="152"/>
      <c r="JT196" s="152"/>
      <c r="JU196" s="152"/>
      <c r="OY196" s="152"/>
      <c r="OZ196" s="152"/>
      <c r="PB196" s="152"/>
      <c r="PP196" s="155"/>
      <c r="PT196" s="152"/>
      <c r="RW196" s="155"/>
      <c r="AHF196" s="151"/>
      <c r="AIU196" s="151"/>
      <c r="AIV196" s="151"/>
      <c r="AIW196" s="151"/>
    </row>
    <row r="197" spans="2:933" hidden="1" x14ac:dyDescent="0.25">
      <c r="B197" s="923"/>
      <c r="C197" s="782" t="s">
        <v>118</v>
      </c>
      <c r="D197" s="650"/>
      <c r="E197" s="683" t="s">
        <v>31</v>
      </c>
      <c r="F197" s="784">
        <f>'[24]Januari 24'!AL191</f>
        <v>8084</v>
      </c>
      <c r="G197" s="784">
        <f>'[24]Februari 24'!AL191</f>
        <v>0</v>
      </c>
      <c r="H197" s="784">
        <f>'[24]Maret 24'!AL191</f>
        <v>0</v>
      </c>
      <c r="I197" s="784">
        <f>'[24]April 24'!AL191</f>
        <v>0</v>
      </c>
      <c r="J197" s="784">
        <f>'[24]Mei 24'!AL191</f>
        <v>0</v>
      </c>
      <c r="K197" s="784">
        <f>'[24]Juny 24'!AL191</f>
        <v>0</v>
      </c>
      <c r="L197" s="784">
        <f>'[24]July 24'!AL191</f>
        <v>0</v>
      </c>
      <c r="M197" s="784">
        <f>'[24]Agustus 24'!AL191</f>
        <v>0</v>
      </c>
      <c r="N197" s="784">
        <f>'[24]September 24'!AL191</f>
        <v>0</v>
      </c>
      <c r="O197" s="784">
        <f>'[24]Oktober 24'!AL191</f>
        <v>0</v>
      </c>
      <c r="P197" s="784">
        <f>'[24]November 24'!AL191</f>
        <v>0</v>
      </c>
      <c r="Q197" s="784">
        <f>'[24]Desember 24'!AL191</f>
        <v>0</v>
      </c>
      <c r="R197" s="911"/>
      <c r="S197" s="100">
        <f>SUM(F197:Q197)</f>
        <v>8084</v>
      </c>
      <c r="T197" s="861"/>
      <c r="U197" s="968"/>
      <c r="W197" s="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R197" s="71"/>
      <c r="AX197" s="1"/>
      <c r="BD197" s="152"/>
      <c r="BE197" s="152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52"/>
      <c r="DA197" s="1"/>
      <c r="DP197" s="5"/>
      <c r="DQ197" s="152"/>
      <c r="DR197" s="152"/>
      <c r="DS197" s="152"/>
      <c r="DT197" s="152"/>
      <c r="FW197" s="152"/>
      <c r="JR197" s="152"/>
      <c r="JS197" s="152"/>
      <c r="JT197" s="152"/>
      <c r="JU197" s="152"/>
      <c r="OY197" s="152"/>
      <c r="OZ197" s="152"/>
      <c r="PB197" s="152"/>
      <c r="PP197" s="155"/>
      <c r="PT197" s="152"/>
      <c r="RW197" s="155"/>
      <c r="AHF197" s="151"/>
      <c r="AIU197" s="151"/>
      <c r="AIV197" s="151"/>
      <c r="AIW197" s="151"/>
    </row>
    <row r="198" spans="2:933" hidden="1" x14ac:dyDescent="0.25">
      <c r="B198" s="923"/>
      <c r="C198" s="782" t="s">
        <v>28</v>
      </c>
      <c r="D198" s="650"/>
      <c r="E198" s="683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R198" s="911"/>
      <c r="S198" s="67"/>
      <c r="T198" s="861"/>
      <c r="U198" s="968"/>
      <c r="W198" s="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R198" s="71"/>
      <c r="AX198" s="1"/>
      <c r="BD198" s="152"/>
      <c r="BE198" s="152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52"/>
      <c r="DA198" s="1"/>
      <c r="DP198" s="5"/>
      <c r="DQ198" s="152"/>
      <c r="DR198" s="152"/>
      <c r="DS198" s="152"/>
      <c r="DT198" s="152"/>
      <c r="FW198" s="152"/>
      <c r="JR198" s="152"/>
      <c r="JS198" s="152"/>
      <c r="JT198" s="152"/>
      <c r="JU198" s="152"/>
      <c r="OY198" s="152"/>
      <c r="OZ198" s="152"/>
      <c r="PB198" s="152"/>
      <c r="PP198" s="155"/>
      <c r="PT198" s="152"/>
      <c r="RW198" s="155"/>
      <c r="AHF198" s="151"/>
      <c r="AIU198" s="151"/>
      <c r="AIV198" s="151"/>
      <c r="AIW198" s="151"/>
    </row>
    <row r="199" spans="2:933" hidden="1" x14ac:dyDescent="0.25">
      <c r="B199" s="923"/>
      <c r="C199" s="782" t="s">
        <v>118</v>
      </c>
      <c r="D199" s="650"/>
      <c r="E199" s="683" t="s">
        <v>28</v>
      </c>
      <c r="F199" s="785">
        <f t="shared" ref="F199:Q200" si="104">F196*12</f>
        <v>306324</v>
      </c>
      <c r="G199" s="785">
        <f t="shared" si="104"/>
        <v>180</v>
      </c>
      <c r="H199" s="785">
        <f t="shared" si="104"/>
        <v>0</v>
      </c>
      <c r="I199" s="785">
        <f t="shared" si="104"/>
        <v>0</v>
      </c>
      <c r="J199" s="785">
        <f t="shared" si="104"/>
        <v>0</v>
      </c>
      <c r="K199" s="785">
        <f t="shared" si="104"/>
        <v>0</v>
      </c>
      <c r="L199" s="785">
        <f t="shared" si="104"/>
        <v>0</v>
      </c>
      <c r="M199" s="785">
        <f t="shared" si="104"/>
        <v>0</v>
      </c>
      <c r="N199" s="785">
        <f t="shared" si="104"/>
        <v>0</v>
      </c>
      <c r="O199" s="785">
        <f t="shared" si="104"/>
        <v>0</v>
      </c>
      <c r="P199" s="785">
        <f t="shared" si="104"/>
        <v>0</v>
      </c>
      <c r="Q199" s="785">
        <f t="shared" si="104"/>
        <v>0</v>
      </c>
      <c r="R199" s="911"/>
      <c r="S199" s="100">
        <f>SUM(F199:Q199)</f>
        <v>306504</v>
      </c>
      <c r="T199" s="861"/>
      <c r="U199" s="968"/>
      <c r="W199" s="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R199" s="71"/>
      <c r="AX199" s="1"/>
      <c r="BD199" s="152"/>
      <c r="BE199" s="152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52"/>
      <c r="DA199" s="1"/>
      <c r="DP199" s="5"/>
      <c r="DQ199" s="152"/>
      <c r="DR199" s="152"/>
      <c r="DS199" s="152"/>
      <c r="DT199" s="152"/>
      <c r="FW199" s="152"/>
      <c r="JR199" s="152"/>
      <c r="JS199" s="152"/>
      <c r="JT199" s="152"/>
      <c r="JU199" s="152"/>
      <c r="OY199" s="152"/>
      <c r="OZ199" s="152"/>
      <c r="PB199" s="152"/>
      <c r="PP199" s="155"/>
      <c r="PT199" s="152"/>
      <c r="RW199" s="155"/>
      <c r="AHF199" s="151"/>
      <c r="AIU199" s="151"/>
      <c r="AIV199" s="151"/>
      <c r="AIW199" s="151"/>
    </row>
    <row r="200" spans="2:933" hidden="1" x14ac:dyDescent="0.25">
      <c r="B200" s="923"/>
      <c r="C200" s="782" t="s">
        <v>89</v>
      </c>
      <c r="D200" s="650"/>
      <c r="E200" s="683" t="s">
        <v>28</v>
      </c>
      <c r="F200" s="785"/>
      <c r="G200" s="785">
        <f>G197*12</f>
        <v>0</v>
      </c>
      <c r="H200" s="785">
        <f t="shared" si="104"/>
        <v>0</v>
      </c>
      <c r="I200" s="785">
        <f t="shared" si="104"/>
        <v>0</v>
      </c>
      <c r="J200" s="785">
        <f t="shared" si="104"/>
        <v>0</v>
      </c>
      <c r="K200" s="785">
        <f t="shared" si="104"/>
        <v>0</v>
      </c>
      <c r="L200" s="785">
        <f t="shared" si="104"/>
        <v>0</v>
      </c>
      <c r="M200" s="785">
        <f t="shared" si="104"/>
        <v>0</v>
      </c>
      <c r="N200" s="785">
        <f t="shared" si="104"/>
        <v>0</v>
      </c>
      <c r="O200" s="785">
        <f t="shared" si="104"/>
        <v>0</v>
      </c>
      <c r="P200" s="785">
        <f t="shared" si="104"/>
        <v>0</v>
      </c>
      <c r="Q200" s="785">
        <f t="shared" si="104"/>
        <v>0</v>
      </c>
      <c r="R200" s="911"/>
      <c r="S200" s="100">
        <f>SUM(F200:Q200)</f>
        <v>0</v>
      </c>
      <c r="T200" s="861"/>
      <c r="U200" s="968"/>
      <c r="W200" s="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R200" s="71"/>
      <c r="AX200" s="1"/>
      <c r="BD200" s="152"/>
      <c r="BE200" s="152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52"/>
      <c r="DA200" s="1"/>
      <c r="DP200" s="5"/>
      <c r="DQ200" s="152"/>
      <c r="DR200" s="152"/>
      <c r="DS200" s="152"/>
      <c r="DT200" s="152"/>
      <c r="FW200" s="152"/>
      <c r="JR200" s="152"/>
      <c r="JS200" s="152"/>
      <c r="JT200" s="152"/>
      <c r="JU200" s="152"/>
      <c r="OY200" s="152"/>
      <c r="OZ200" s="152"/>
      <c r="PB200" s="152"/>
      <c r="PP200" s="155"/>
      <c r="PT200" s="152"/>
      <c r="RW200" s="155"/>
      <c r="AHF200" s="151"/>
      <c r="AIU200" s="151"/>
      <c r="AIV200" s="151"/>
      <c r="AIW200" s="151"/>
    </row>
    <row r="201" spans="2:933" hidden="1" x14ac:dyDescent="0.25">
      <c r="B201" s="923"/>
      <c r="C201" s="782" t="s">
        <v>36</v>
      </c>
      <c r="D201" s="650"/>
      <c r="E201" s="683"/>
      <c r="F201" s="785">
        <f t="shared" ref="F201:Q201" si="105">F196*45/1700</f>
        <v>675.71470588235297</v>
      </c>
      <c r="G201" s="785">
        <f t="shared" si="105"/>
        <v>0.39705882352941174</v>
      </c>
      <c r="H201" s="785">
        <f t="shared" si="105"/>
        <v>0</v>
      </c>
      <c r="I201" s="785">
        <f t="shared" si="105"/>
        <v>0</v>
      </c>
      <c r="J201" s="785">
        <f t="shared" si="105"/>
        <v>0</v>
      </c>
      <c r="K201" s="785">
        <f t="shared" si="105"/>
        <v>0</v>
      </c>
      <c r="L201" s="785">
        <f t="shared" si="105"/>
        <v>0</v>
      </c>
      <c r="M201" s="785">
        <f t="shared" si="105"/>
        <v>0</v>
      </c>
      <c r="N201" s="785">
        <f t="shared" si="105"/>
        <v>0</v>
      </c>
      <c r="O201" s="785">
        <f t="shared" si="105"/>
        <v>0</v>
      </c>
      <c r="P201" s="785">
        <f t="shared" si="105"/>
        <v>0</v>
      </c>
      <c r="Q201" s="785">
        <f t="shared" si="105"/>
        <v>0</v>
      </c>
      <c r="R201" s="911"/>
      <c r="S201" s="100">
        <f>SUM(F201:Q201)</f>
        <v>676.11176470588236</v>
      </c>
      <c r="T201" s="861"/>
      <c r="U201" s="968"/>
      <c r="W201" s="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R201" s="71"/>
      <c r="AX201" s="1"/>
      <c r="BD201" s="152"/>
      <c r="BE201" s="152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52"/>
      <c r="DA201" s="1"/>
      <c r="DP201" s="5"/>
      <c r="DQ201" s="152"/>
      <c r="DR201" s="152"/>
      <c r="DS201" s="152"/>
      <c r="DT201" s="152"/>
      <c r="FW201" s="152"/>
      <c r="JR201" s="152"/>
      <c r="JS201" s="152"/>
      <c r="JT201" s="152"/>
      <c r="JU201" s="152"/>
      <c r="OY201" s="152"/>
      <c r="OZ201" s="152"/>
      <c r="PB201" s="152"/>
      <c r="PP201" s="155"/>
      <c r="PT201" s="152"/>
      <c r="RW201" s="155"/>
      <c r="AHF201" s="151"/>
      <c r="AIU201" s="151"/>
      <c r="AIV201" s="151"/>
      <c r="AIW201" s="151"/>
    </row>
    <row r="202" spans="2:933" hidden="1" x14ac:dyDescent="0.25">
      <c r="B202" s="923"/>
      <c r="C202" s="782" t="s">
        <v>34</v>
      </c>
      <c r="D202" s="650"/>
      <c r="E202" s="683"/>
      <c r="F202" s="785">
        <f t="shared" ref="F202:Q202" si="106">SUM(F196)/500</f>
        <v>51.054000000000002</v>
      </c>
      <c r="G202" s="785">
        <f t="shared" si="106"/>
        <v>0.03</v>
      </c>
      <c r="H202" s="785">
        <f t="shared" si="106"/>
        <v>0</v>
      </c>
      <c r="I202" s="785">
        <f t="shared" si="106"/>
        <v>0</v>
      </c>
      <c r="J202" s="785">
        <f t="shared" si="106"/>
        <v>0</v>
      </c>
      <c r="K202" s="785">
        <f t="shared" si="106"/>
        <v>0</v>
      </c>
      <c r="L202" s="785">
        <f t="shared" si="106"/>
        <v>0</v>
      </c>
      <c r="M202" s="785">
        <f t="shared" si="106"/>
        <v>0</v>
      </c>
      <c r="N202" s="785">
        <f t="shared" si="106"/>
        <v>0</v>
      </c>
      <c r="O202" s="785">
        <f t="shared" si="106"/>
        <v>0</v>
      </c>
      <c r="P202" s="785">
        <f t="shared" si="106"/>
        <v>0</v>
      </c>
      <c r="Q202" s="785">
        <f t="shared" si="106"/>
        <v>0</v>
      </c>
      <c r="R202" s="911"/>
      <c r="S202" s="100">
        <f>SUM(F202:Q202)</f>
        <v>51.084000000000003</v>
      </c>
      <c r="T202" s="861"/>
      <c r="U202" s="968"/>
      <c r="W202" s="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R202" s="71"/>
      <c r="AX202" s="1"/>
      <c r="BD202" s="152"/>
      <c r="BE202" s="152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52"/>
      <c r="DA202" s="1"/>
      <c r="DP202" s="5"/>
      <c r="DQ202" s="152"/>
      <c r="DR202" s="152"/>
      <c r="DS202" s="152"/>
      <c r="DT202" s="152"/>
      <c r="FW202" s="152"/>
      <c r="JR202" s="152"/>
      <c r="JS202" s="152"/>
      <c r="JT202" s="152"/>
      <c r="JU202" s="152"/>
      <c r="OY202" s="152"/>
      <c r="OZ202" s="152"/>
      <c r="PB202" s="152"/>
      <c r="PP202" s="155"/>
      <c r="PT202" s="152"/>
      <c r="RW202" s="155"/>
      <c r="AHF202" s="151"/>
      <c r="AIU202" s="151"/>
      <c r="AIV202" s="151"/>
      <c r="AIW202" s="151"/>
    </row>
    <row r="203" spans="2:933" hidden="1" x14ac:dyDescent="0.25">
      <c r="B203" s="923"/>
      <c r="C203" s="778" t="s">
        <v>32</v>
      </c>
      <c r="D203" s="779"/>
      <c r="E203" s="775"/>
      <c r="F203" s="780"/>
      <c r="G203" s="780"/>
      <c r="H203" s="780"/>
      <c r="I203" s="780"/>
      <c r="J203" s="780"/>
      <c r="K203" s="780"/>
      <c r="L203" s="780"/>
      <c r="M203" s="780"/>
      <c r="N203" s="780"/>
      <c r="O203" s="780"/>
      <c r="P203" s="780"/>
      <c r="Q203" s="780"/>
      <c r="R203" s="911"/>
      <c r="S203" s="709" t="s">
        <v>132</v>
      </c>
      <c r="T203" s="869" t="s">
        <v>132</v>
      </c>
      <c r="U203" s="975" t="s">
        <v>132</v>
      </c>
      <c r="W203" s="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R203" s="71"/>
      <c r="AX203" s="1"/>
      <c r="BD203" s="152"/>
      <c r="BE203" s="152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52"/>
      <c r="DA203" s="1"/>
      <c r="DP203" s="5"/>
      <c r="DQ203" s="152"/>
      <c r="DR203" s="152"/>
      <c r="DS203" s="152"/>
      <c r="DT203" s="152"/>
      <c r="FW203" s="152"/>
      <c r="JR203" s="152"/>
      <c r="JS203" s="152"/>
      <c r="JT203" s="152"/>
      <c r="JU203" s="152"/>
      <c r="OY203" s="152"/>
      <c r="OZ203" s="152"/>
      <c r="PB203" s="152"/>
      <c r="PP203" s="155"/>
      <c r="PT203" s="152"/>
      <c r="RW203" s="155"/>
      <c r="AHF203" s="151"/>
      <c r="AIU203" s="151"/>
      <c r="AIV203" s="151"/>
      <c r="AIW203" s="151"/>
    </row>
    <row r="204" spans="2:933" hidden="1" x14ac:dyDescent="0.25">
      <c r="B204" s="923"/>
      <c r="C204" s="782" t="s">
        <v>29</v>
      </c>
      <c r="D204" s="650"/>
      <c r="E204" s="683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R204" s="911"/>
      <c r="S204" s="67"/>
      <c r="T204" s="861"/>
      <c r="U204" s="968"/>
      <c r="W204" s="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R204" s="71"/>
      <c r="AX204" s="1"/>
      <c r="BD204" s="152"/>
      <c r="BE204" s="152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52"/>
      <c r="DA204" s="1"/>
      <c r="DP204" s="5"/>
      <c r="DQ204" s="152"/>
      <c r="DR204" s="152"/>
      <c r="DS204" s="152"/>
      <c r="DT204" s="152"/>
      <c r="FW204" s="152"/>
      <c r="JR204" s="152"/>
      <c r="JS204" s="152"/>
      <c r="JT204" s="152"/>
      <c r="JU204" s="152"/>
      <c r="OY204" s="152"/>
      <c r="OZ204" s="152"/>
      <c r="PB204" s="152"/>
      <c r="PP204" s="155"/>
      <c r="PT204" s="152"/>
      <c r="RW204" s="155"/>
      <c r="AHF204" s="151"/>
      <c r="AIU204" s="151"/>
      <c r="AIV204" s="151"/>
      <c r="AIW204" s="151"/>
    </row>
    <row r="205" spans="2:933" hidden="1" x14ac:dyDescent="0.25">
      <c r="B205" s="923"/>
      <c r="C205" s="782" t="s">
        <v>89</v>
      </c>
      <c r="D205" s="650"/>
      <c r="E205" s="683" t="s">
        <v>31</v>
      </c>
      <c r="F205" s="627">
        <f>'[24]Januari 24'!AL185</f>
        <v>364427.63</v>
      </c>
      <c r="G205" s="626">
        <f>'[24]Februari 24'!AL199</f>
        <v>0</v>
      </c>
      <c r="H205" s="626">
        <f>'[24]Maret 24'!AL199</f>
        <v>0</v>
      </c>
      <c r="I205" s="626">
        <f>'[24]April 24'!AL199</f>
        <v>0</v>
      </c>
      <c r="J205" s="626">
        <f>'[24]Mei 24'!AL199</f>
        <v>0</v>
      </c>
      <c r="K205" s="626">
        <f>'[24]Juny 24'!AL190</f>
        <v>0</v>
      </c>
      <c r="L205" s="626">
        <f>'[24]July 24'!AL199</f>
        <v>0</v>
      </c>
      <c r="M205" s="627">
        <f>'[24]Agustus 24'!AL199</f>
        <v>0</v>
      </c>
      <c r="N205" s="627">
        <f>'[24]September 24'!AL199</f>
        <v>0</v>
      </c>
      <c r="O205" s="627">
        <f>'[24]Oktober 24'!AL199</f>
        <v>0</v>
      </c>
      <c r="P205" s="627">
        <f>'[24]November 24'!AL199</f>
        <v>0</v>
      </c>
      <c r="Q205" s="627">
        <f>'[24]Desember 24'!AL199</f>
        <v>0</v>
      </c>
      <c r="R205" s="911"/>
      <c r="S205" s="100">
        <f>SUM(F205:Q205)</f>
        <v>364427.63</v>
      </c>
      <c r="T205" s="881"/>
      <c r="U205" s="968"/>
      <c r="W205" s="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R205" s="71"/>
      <c r="AX205" s="1"/>
      <c r="BD205" s="152"/>
      <c r="BE205" s="152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52"/>
      <c r="DA205" s="1"/>
      <c r="DP205" s="5"/>
      <c r="DQ205" s="152"/>
      <c r="DR205" s="152"/>
      <c r="DS205" s="152"/>
      <c r="DT205" s="152"/>
      <c r="FW205" s="152"/>
      <c r="JR205" s="152"/>
      <c r="JS205" s="152"/>
      <c r="JT205" s="152"/>
      <c r="JU205" s="152"/>
      <c r="OY205" s="152"/>
      <c r="OZ205" s="152"/>
      <c r="PB205" s="152"/>
      <c r="PP205" s="155"/>
      <c r="PT205" s="152"/>
      <c r="RW205" s="155"/>
      <c r="AHF205" s="151"/>
      <c r="AIU205" s="151"/>
      <c r="AIV205" s="151"/>
      <c r="AIW205" s="151"/>
    </row>
    <row r="206" spans="2:933" hidden="1" x14ac:dyDescent="0.25">
      <c r="B206" s="923"/>
      <c r="C206" s="782" t="s">
        <v>118</v>
      </c>
      <c r="D206" s="650"/>
      <c r="E206" s="683" t="s">
        <v>31</v>
      </c>
      <c r="F206" s="627"/>
      <c r="G206" s="626">
        <f>'[24]Februari 24'!AL200</f>
        <v>0</v>
      </c>
      <c r="H206" s="626">
        <f>'[24]Maret 24'!AL200</f>
        <v>0</v>
      </c>
      <c r="I206" s="627">
        <f>'[24]April 24'!AL200</f>
        <v>0</v>
      </c>
      <c r="J206" s="627">
        <f>'[24]Mei 24'!AL200</f>
        <v>0</v>
      </c>
      <c r="K206" s="626">
        <f>'[24]Juny 24'!AL191</f>
        <v>0</v>
      </c>
      <c r="L206" s="626">
        <f>'[24]July 24'!AL200</f>
        <v>0</v>
      </c>
      <c r="M206" s="627">
        <f>'[24]Agustus 24'!AL200</f>
        <v>0</v>
      </c>
      <c r="N206" s="627">
        <f>'[24]September 24'!AL200</f>
        <v>0</v>
      </c>
      <c r="O206" s="627">
        <f>'[24]Oktober 24'!AL200</f>
        <v>0</v>
      </c>
      <c r="P206" s="627">
        <f>'[24]November 24'!AL200</f>
        <v>0</v>
      </c>
      <c r="Q206" s="627">
        <f>'[24]Desember 24'!AL200</f>
        <v>0</v>
      </c>
      <c r="R206" s="911"/>
      <c r="S206" s="100">
        <f>SUM(F206:Q206)</f>
        <v>0</v>
      </c>
      <c r="T206" s="881"/>
      <c r="U206" s="968"/>
      <c r="W206" s="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R206" s="71"/>
      <c r="AX206" s="1"/>
      <c r="BD206" s="152"/>
      <c r="BE206" s="152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52"/>
      <c r="DA206" s="1"/>
      <c r="DP206" s="5"/>
      <c r="DQ206" s="152"/>
      <c r="DR206" s="152"/>
      <c r="DS206" s="152"/>
      <c r="DT206" s="152"/>
      <c r="FW206" s="152"/>
      <c r="JR206" s="152"/>
      <c r="JS206" s="152"/>
      <c r="JT206" s="152"/>
      <c r="JU206" s="152"/>
      <c r="OY206" s="152"/>
      <c r="OZ206" s="152"/>
      <c r="PB206" s="152"/>
      <c r="PP206" s="155"/>
      <c r="PT206" s="152"/>
      <c r="RW206" s="155"/>
      <c r="AHF206" s="151"/>
      <c r="AIU206" s="151"/>
      <c r="AIV206" s="151"/>
      <c r="AIW206" s="151"/>
    </row>
    <row r="207" spans="2:933" hidden="1" x14ac:dyDescent="0.25">
      <c r="B207" s="923"/>
      <c r="C207" s="782" t="s">
        <v>28</v>
      </c>
      <c r="D207" s="650"/>
      <c r="E207" s="683"/>
      <c r="F207" s="627"/>
      <c r="G207" s="627"/>
      <c r="H207" s="626"/>
      <c r="I207" s="627"/>
      <c r="J207" s="627"/>
      <c r="K207" s="627"/>
      <c r="L207" s="627"/>
      <c r="M207" s="627"/>
      <c r="N207" s="627"/>
      <c r="O207" s="627"/>
      <c r="P207" s="627"/>
      <c r="Q207" s="627"/>
      <c r="R207" s="911"/>
      <c r="S207" s="100">
        <f>SUM(F207:Q207)</f>
        <v>0</v>
      </c>
      <c r="T207" s="861"/>
      <c r="U207" s="968"/>
      <c r="W207" s="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R207" s="71"/>
      <c r="AX207" s="1"/>
      <c r="BD207" s="152"/>
      <c r="BE207" s="152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52"/>
      <c r="DA207" s="1"/>
      <c r="DP207" s="5"/>
      <c r="DQ207" s="152"/>
      <c r="DR207" s="152"/>
      <c r="DS207" s="152"/>
      <c r="DT207" s="152"/>
      <c r="FW207" s="152"/>
      <c r="JR207" s="152"/>
      <c r="JS207" s="152"/>
      <c r="JT207" s="152"/>
      <c r="JU207" s="152"/>
      <c r="OY207" s="152"/>
      <c r="OZ207" s="152"/>
      <c r="PB207" s="152"/>
      <c r="PP207" s="155"/>
      <c r="PT207" s="152"/>
      <c r="RW207" s="155"/>
      <c r="AHF207" s="151"/>
      <c r="AIU207" s="151"/>
      <c r="AIV207" s="151"/>
      <c r="AIW207" s="151"/>
    </row>
    <row r="208" spans="2:933" hidden="1" x14ac:dyDescent="0.25">
      <c r="B208" s="923"/>
      <c r="C208" s="782" t="s">
        <v>89</v>
      </c>
      <c r="D208" s="650"/>
      <c r="E208" s="683" t="s">
        <v>28</v>
      </c>
      <c r="F208" s="626">
        <f t="shared" ref="F208:Q208" si="107">F205*12</f>
        <v>4373131.5600000005</v>
      </c>
      <c r="G208" s="626">
        <f t="shared" si="107"/>
        <v>0</v>
      </c>
      <c r="H208" s="626">
        <f t="shared" si="107"/>
        <v>0</v>
      </c>
      <c r="I208" s="626">
        <f t="shared" si="107"/>
        <v>0</v>
      </c>
      <c r="J208" s="626">
        <f t="shared" si="107"/>
        <v>0</v>
      </c>
      <c r="K208" s="626">
        <f t="shared" si="107"/>
        <v>0</v>
      </c>
      <c r="L208" s="626">
        <f t="shared" si="107"/>
        <v>0</v>
      </c>
      <c r="M208" s="626">
        <f t="shared" si="107"/>
        <v>0</v>
      </c>
      <c r="N208" s="626">
        <f t="shared" si="107"/>
        <v>0</v>
      </c>
      <c r="O208" s="626">
        <f t="shared" si="107"/>
        <v>0</v>
      </c>
      <c r="P208" s="626">
        <f t="shared" si="107"/>
        <v>0</v>
      </c>
      <c r="Q208" s="626">
        <f t="shared" si="107"/>
        <v>0</v>
      </c>
      <c r="R208" s="911"/>
      <c r="S208" s="100">
        <f>SUM(F208:Q208)</f>
        <v>4373131.5600000005</v>
      </c>
      <c r="T208" s="861"/>
      <c r="U208" s="990"/>
      <c r="W208" s="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R208" s="71"/>
      <c r="AX208" s="1"/>
      <c r="BD208" s="152"/>
      <c r="BE208" s="152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52"/>
      <c r="DA208" s="1"/>
      <c r="DP208" s="5"/>
      <c r="DQ208" s="152"/>
      <c r="DR208" s="152"/>
      <c r="DS208" s="152"/>
      <c r="DT208" s="152"/>
      <c r="FW208" s="152"/>
      <c r="JR208" s="152"/>
      <c r="JS208" s="152"/>
      <c r="JT208" s="152"/>
      <c r="JU208" s="152"/>
      <c r="OY208" s="152"/>
      <c r="OZ208" s="152"/>
      <c r="PB208" s="152"/>
      <c r="PP208" s="155"/>
      <c r="PT208" s="152"/>
      <c r="RW208" s="155"/>
      <c r="AHF208" s="151"/>
      <c r="AIU208" s="151"/>
      <c r="AIV208" s="151"/>
      <c r="AIW208" s="151"/>
    </row>
    <row r="209" spans="2:933" hidden="1" x14ac:dyDescent="0.25">
      <c r="B209" s="923"/>
      <c r="C209" s="782" t="s">
        <v>118</v>
      </c>
      <c r="D209" s="786"/>
      <c r="E209" s="683" t="s">
        <v>28</v>
      </c>
      <c r="F209" s="626">
        <f t="shared" ref="F209:Q209" si="108">F206*6</f>
        <v>0</v>
      </c>
      <c r="G209" s="626">
        <f t="shared" si="108"/>
        <v>0</v>
      </c>
      <c r="H209" s="626">
        <f t="shared" si="108"/>
        <v>0</v>
      </c>
      <c r="I209" s="626">
        <f t="shared" si="108"/>
        <v>0</v>
      </c>
      <c r="J209" s="626">
        <f t="shared" si="108"/>
        <v>0</v>
      </c>
      <c r="K209" s="626">
        <f t="shared" si="108"/>
        <v>0</v>
      </c>
      <c r="L209" s="626">
        <f t="shared" si="108"/>
        <v>0</v>
      </c>
      <c r="M209" s="626">
        <f t="shared" si="108"/>
        <v>0</v>
      </c>
      <c r="N209" s="626">
        <f t="shared" si="108"/>
        <v>0</v>
      </c>
      <c r="O209" s="626">
        <f t="shared" si="108"/>
        <v>0</v>
      </c>
      <c r="P209" s="626">
        <f t="shared" si="108"/>
        <v>0</v>
      </c>
      <c r="Q209" s="626">
        <f t="shared" si="108"/>
        <v>0</v>
      </c>
      <c r="R209" s="911"/>
      <c r="S209" s="100">
        <f>SUM(F209:Q209)</f>
        <v>0</v>
      </c>
      <c r="T209" s="861"/>
      <c r="U209" s="968"/>
      <c r="W209" s="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R209" s="71"/>
      <c r="AX209" s="1"/>
      <c r="BD209" s="152"/>
      <c r="BE209" s="152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52"/>
      <c r="DA209" s="1"/>
      <c r="DP209" s="5"/>
      <c r="DQ209" s="152"/>
      <c r="DR209" s="152"/>
      <c r="DS209" s="152"/>
      <c r="DT209" s="152"/>
      <c r="FW209" s="152"/>
      <c r="JR209" s="152"/>
      <c r="JS209" s="152"/>
      <c r="JT209" s="152"/>
      <c r="JU209" s="152"/>
      <c r="OY209" s="152"/>
      <c r="OZ209" s="152"/>
      <c r="PB209" s="152"/>
      <c r="PP209" s="155"/>
      <c r="PT209" s="152"/>
      <c r="RW209" s="155"/>
      <c r="AHF209" s="151"/>
      <c r="AIU209" s="151"/>
      <c r="AIV209" s="151"/>
      <c r="AIW209" s="151"/>
    </row>
    <row r="210" spans="2:933" hidden="1" x14ac:dyDescent="0.25">
      <c r="B210" s="923"/>
      <c r="C210" s="605" t="s">
        <v>30</v>
      </c>
      <c r="D210" s="787"/>
      <c r="E210" s="775"/>
      <c r="F210" s="780"/>
      <c r="G210" s="780"/>
      <c r="H210" s="780"/>
      <c r="I210" s="780"/>
      <c r="J210" s="780"/>
      <c r="K210" s="780"/>
      <c r="L210" s="780"/>
      <c r="M210" s="780"/>
      <c r="N210" s="780"/>
      <c r="O210" s="56"/>
      <c r="P210" s="780"/>
      <c r="Q210" s="780"/>
      <c r="R210" s="911"/>
      <c r="S210" s="788" t="s">
        <v>30</v>
      </c>
      <c r="T210" s="884" t="s">
        <v>30</v>
      </c>
      <c r="U210" s="991" t="s">
        <v>30</v>
      </c>
      <c r="W210" s="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R210" s="71"/>
      <c r="AX210" s="1"/>
      <c r="BD210" s="152"/>
      <c r="BE210" s="152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52"/>
      <c r="DA210" s="1"/>
      <c r="DP210" s="5"/>
      <c r="DQ210" s="152"/>
      <c r="DR210" s="152"/>
      <c r="DS210" s="152"/>
      <c r="DT210" s="152"/>
      <c r="FW210" s="152"/>
      <c r="JR210" s="152"/>
      <c r="JS210" s="152"/>
      <c r="JT210" s="152"/>
      <c r="JU210" s="152"/>
      <c r="OY210" s="152"/>
      <c r="OZ210" s="152"/>
      <c r="PB210" s="152"/>
      <c r="PP210" s="155"/>
      <c r="PT210" s="152"/>
      <c r="RW210" s="155"/>
      <c r="AHF210" s="151"/>
      <c r="AIU210" s="151"/>
      <c r="AIV210" s="151"/>
      <c r="AIW210" s="151"/>
    </row>
    <row r="211" spans="2:933" hidden="1" x14ac:dyDescent="0.25">
      <c r="B211" s="923"/>
      <c r="C211" s="756" t="s">
        <v>29</v>
      </c>
      <c r="D211" s="786"/>
      <c r="E211" s="683"/>
      <c r="F211" s="627"/>
      <c r="G211" s="627"/>
      <c r="H211" s="627"/>
      <c r="I211" s="627"/>
      <c r="J211" s="627"/>
      <c r="K211" s="627"/>
      <c r="L211" s="627"/>
      <c r="M211" s="627"/>
      <c r="N211" s="627"/>
      <c r="O211" s="626"/>
      <c r="P211" s="627"/>
      <c r="Q211" s="627"/>
      <c r="R211" s="911"/>
      <c r="S211" s="67"/>
      <c r="T211" s="861"/>
      <c r="U211" s="968"/>
      <c r="W211" s="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R211" s="71"/>
      <c r="AX211" s="1"/>
      <c r="BD211" s="152"/>
      <c r="BE211" s="152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52"/>
      <c r="DA211" s="1"/>
      <c r="DP211" s="5"/>
      <c r="DQ211" s="152"/>
      <c r="DR211" s="152"/>
      <c r="DS211" s="152"/>
      <c r="DT211" s="152"/>
      <c r="FW211" s="152"/>
      <c r="JR211" s="152"/>
      <c r="JS211" s="152"/>
      <c r="JT211" s="152"/>
      <c r="JU211" s="152"/>
      <c r="OY211" s="152"/>
      <c r="OZ211" s="152"/>
      <c r="PB211" s="152"/>
      <c r="PP211" s="155"/>
      <c r="PT211" s="152"/>
      <c r="RW211" s="155"/>
      <c r="AHF211" s="151"/>
      <c r="AIU211" s="151"/>
      <c r="AIV211" s="151"/>
      <c r="AIW211" s="151"/>
    </row>
    <row r="212" spans="2:933" hidden="1" x14ac:dyDescent="0.25">
      <c r="B212" s="923"/>
      <c r="C212" s="782" t="s">
        <v>89</v>
      </c>
      <c r="D212" s="714">
        <v>0.3</v>
      </c>
      <c r="E212" s="683" t="s">
        <v>25</v>
      </c>
      <c r="F212" s="627">
        <f>F205/F196*100</f>
        <v>1427.6163669839777</v>
      </c>
      <c r="G212" s="627">
        <f>G205/G196*100</f>
        <v>0</v>
      </c>
      <c r="H212" s="627" t="e">
        <f t="shared" ref="G212:Q213" si="109">H205/H196*100</f>
        <v>#DIV/0!</v>
      </c>
      <c r="I212" s="627" t="e">
        <f t="shared" si="109"/>
        <v>#DIV/0!</v>
      </c>
      <c r="J212" s="627" t="e">
        <f t="shared" si="109"/>
        <v>#DIV/0!</v>
      </c>
      <c r="K212" s="627" t="e">
        <f t="shared" si="109"/>
        <v>#DIV/0!</v>
      </c>
      <c r="L212" s="627" t="e">
        <f t="shared" si="109"/>
        <v>#DIV/0!</v>
      </c>
      <c r="M212" s="627" t="e">
        <f t="shared" si="109"/>
        <v>#DIV/0!</v>
      </c>
      <c r="N212" s="627" t="e">
        <f t="shared" si="109"/>
        <v>#DIV/0!</v>
      </c>
      <c r="O212" s="627" t="e">
        <f t="shared" si="109"/>
        <v>#DIV/0!</v>
      </c>
      <c r="P212" s="627" t="e">
        <f t="shared" si="109"/>
        <v>#DIV/0!</v>
      </c>
      <c r="Q212" s="627" t="e">
        <f t="shared" si="109"/>
        <v>#DIV/0!</v>
      </c>
      <c r="R212" s="911"/>
      <c r="S212" s="712">
        <f>S205/S196*100</f>
        <v>1426.7779735337874</v>
      </c>
      <c r="T212" s="861"/>
      <c r="U212" s="968"/>
      <c r="W212" s="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R212" s="71"/>
      <c r="AX212" s="1"/>
      <c r="BD212" s="152"/>
      <c r="BE212" s="152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52"/>
      <c r="DA212" s="1"/>
      <c r="DP212" s="5"/>
      <c r="DQ212" s="152"/>
      <c r="DR212" s="152"/>
      <c r="DS212" s="152"/>
      <c r="DT212" s="152"/>
      <c r="FW212" s="152"/>
      <c r="JR212" s="152"/>
      <c r="JS212" s="152"/>
      <c r="JT212" s="152"/>
      <c r="JU212" s="152"/>
      <c r="OY212" s="152"/>
      <c r="OZ212" s="152"/>
      <c r="PB212" s="152"/>
      <c r="PP212" s="155"/>
      <c r="PT212" s="152"/>
      <c r="RW212" s="155"/>
      <c r="AHF212" s="151"/>
      <c r="AIU212" s="151"/>
      <c r="AIV212" s="151"/>
      <c r="AIW212" s="151"/>
    </row>
    <row r="213" spans="2:933" hidden="1" x14ac:dyDescent="0.25">
      <c r="B213" s="923"/>
      <c r="C213" s="782" t="s">
        <v>118</v>
      </c>
      <c r="D213" s="714">
        <v>0.3</v>
      </c>
      <c r="E213" s="683" t="s">
        <v>25</v>
      </c>
      <c r="F213" s="627">
        <f>F206/F197*100</f>
        <v>0</v>
      </c>
      <c r="G213" s="627" t="e">
        <f t="shared" si="109"/>
        <v>#DIV/0!</v>
      </c>
      <c r="H213" s="627" t="e">
        <f t="shared" si="109"/>
        <v>#DIV/0!</v>
      </c>
      <c r="I213" s="627" t="e">
        <f t="shared" si="109"/>
        <v>#DIV/0!</v>
      </c>
      <c r="J213" s="627" t="e">
        <f t="shared" si="109"/>
        <v>#DIV/0!</v>
      </c>
      <c r="K213" s="627" t="e">
        <f>K206/K197*100</f>
        <v>#DIV/0!</v>
      </c>
      <c r="L213" s="627" t="e">
        <f t="shared" si="109"/>
        <v>#DIV/0!</v>
      </c>
      <c r="M213" s="627" t="e">
        <f t="shared" si="109"/>
        <v>#DIV/0!</v>
      </c>
      <c r="N213" s="627" t="e">
        <f t="shared" si="109"/>
        <v>#DIV/0!</v>
      </c>
      <c r="O213" s="627" t="e">
        <f t="shared" si="109"/>
        <v>#DIV/0!</v>
      </c>
      <c r="P213" s="627" t="e">
        <f t="shared" si="109"/>
        <v>#DIV/0!</v>
      </c>
      <c r="Q213" s="627" t="e">
        <f t="shared" si="109"/>
        <v>#DIV/0!</v>
      </c>
      <c r="R213" s="911"/>
      <c r="S213" s="712">
        <f>S206/S197*100</f>
        <v>0</v>
      </c>
      <c r="T213" s="861"/>
      <c r="U213" s="968"/>
      <c r="W213" s="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R213" s="71"/>
      <c r="AX213" s="1"/>
      <c r="BD213" s="152"/>
      <c r="BE213" s="152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52"/>
      <c r="DA213" s="1"/>
      <c r="DP213" s="5"/>
      <c r="DQ213" s="152"/>
      <c r="DR213" s="152"/>
      <c r="DS213" s="152"/>
      <c r="DT213" s="152"/>
      <c r="FW213" s="152"/>
      <c r="JR213" s="152"/>
      <c r="JS213" s="152"/>
      <c r="JT213" s="152"/>
      <c r="JU213" s="152"/>
      <c r="OY213" s="152"/>
      <c r="OZ213" s="152"/>
      <c r="PB213" s="152"/>
      <c r="PP213" s="155"/>
      <c r="PT213" s="152"/>
      <c r="RW213" s="155"/>
      <c r="AHF213" s="151"/>
      <c r="AIU213" s="151"/>
      <c r="AIV213" s="151"/>
      <c r="AIW213" s="151"/>
    </row>
    <row r="214" spans="2:933" hidden="1" x14ac:dyDescent="0.25">
      <c r="B214" s="923"/>
      <c r="C214" s="756" t="s">
        <v>28</v>
      </c>
      <c r="D214" s="714"/>
      <c r="E214" s="683"/>
      <c r="F214" s="627"/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R214" s="911"/>
      <c r="S214" s="712"/>
      <c r="T214" s="861"/>
      <c r="U214" s="968"/>
      <c r="W214" s="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R214" s="71"/>
      <c r="AX214" s="1"/>
      <c r="BD214" s="152"/>
      <c r="BE214" s="152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52"/>
      <c r="DA214" s="1"/>
      <c r="DP214" s="5"/>
      <c r="DQ214" s="152"/>
      <c r="DR214" s="152"/>
      <c r="DS214" s="152"/>
      <c r="DT214" s="152"/>
      <c r="FW214" s="152"/>
      <c r="JR214" s="152"/>
      <c r="JS214" s="152"/>
      <c r="JT214" s="152"/>
      <c r="JU214" s="152"/>
      <c r="OY214" s="152"/>
      <c r="OZ214" s="152"/>
      <c r="PB214" s="152"/>
      <c r="PP214" s="155"/>
      <c r="PT214" s="152"/>
      <c r="RW214" s="155"/>
      <c r="AHF214" s="151"/>
      <c r="AIU214" s="151"/>
      <c r="AIV214" s="151"/>
      <c r="AIW214" s="151"/>
    </row>
    <row r="215" spans="2:933" hidden="1" x14ac:dyDescent="0.25">
      <c r="B215" s="923"/>
      <c r="C215" s="782" t="s">
        <v>89</v>
      </c>
      <c r="D215" s="714">
        <v>0.5</v>
      </c>
      <c r="E215" s="683" t="s">
        <v>25</v>
      </c>
      <c r="F215" s="627">
        <f t="shared" ref="F215:Q216" si="110">F208/F196*100</f>
        <v>17131.396403807736</v>
      </c>
      <c r="G215" s="627">
        <f t="shared" si="110"/>
        <v>0</v>
      </c>
      <c r="H215" s="627" t="e">
        <f t="shared" si="110"/>
        <v>#DIV/0!</v>
      </c>
      <c r="I215" s="627" t="e">
        <f t="shared" si="110"/>
        <v>#DIV/0!</v>
      </c>
      <c r="J215" s="627" t="e">
        <f t="shared" si="110"/>
        <v>#DIV/0!</v>
      </c>
      <c r="K215" s="627" t="e">
        <f t="shared" si="110"/>
        <v>#DIV/0!</v>
      </c>
      <c r="L215" s="627" t="e">
        <f t="shared" si="110"/>
        <v>#DIV/0!</v>
      </c>
      <c r="M215" s="627" t="e">
        <f t="shared" si="110"/>
        <v>#DIV/0!</v>
      </c>
      <c r="N215" s="627" t="e">
        <f t="shared" si="110"/>
        <v>#DIV/0!</v>
      </c>
      <c r="O215" s="627" t="e">
        <f t="shared" si="110"/>
        <v>#DIV/0!</v>
      </c>
      <c r="P215" s="627" t="e">
        <f t="shared" si="110"/>
        <v>#DIV/0!</v>
      </c>
      <c r="Q215" s="627" t="e">
        <f t="shared" si="110"/>
        <v>#DIV/0!</v>
      </c>
      <c r="R215" s="911"/>
      <c r="S215" s="712">
        <f>S208/S196*100</f>
        <v>17121.335682405454</v>
      </c>
      <c r="T215" s="861"/>
      <c r="U215" s="990"/>
      <c r="W215" s="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R215" s="71"/>
      <c r="AX215" s="1"/>
      <c r="BD215" s="152"/>
      <c r="BE215" s="152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52"/>
      <c r="DA215" s="1"/>
      <c r="DP215" s="5"/>
      <c r="DQ215" s="152"/>
      <c r="DR215" s="152"/>
      <c r="DS215" s="152"/>
      <c r="DT215" s="152"/>
      <c r="FW215" s="152"/>
      <c r="JR215" s="152"/>
      <c r="JS215" s="152"/>
      <c r="JT215" s="152"/>
      <c r="JU215" s="152"/>
      <c r="OY215" s="152"/>
      <c r="OZ215" s="152"/>
      <c r="PB215" s="152"/>
      <c r="PP215" s="155"/>
      <c r="PT215" s="152"/>
      <c r="RW215" s="155"/>
      <c r="AHF215" s="151"/>
      <c r="AIU215" s="151"/>
      <c r="AIV215" s="151"/>
      <c r="AIW215" s="151"/>
    </row>
    <row r="216" spans="2:933" hidden="1" x14ac:dyDescent="0.25">
      <c r="B216" s="923"/>
      <c r="C216" s="782" t="s">
        <v>118</v>
      </c>
      <c r="D216" s="714">
        <v>0.5</v>
      </c>
      <c r="E216" s="683" t="s">
        <v>25</v>
      </c>
      <c r="F216" s="627">
        <f t="shared" si="110"/>
        <v>0</v>
      </c>
      <c r="G216" s="627" t="e">
        <f t="shared" si="110"/>
        <v>#DIV/0!</v>
      </c>
      <c r="H216" s="627" t="e">
        <f t="shared" si="110"/>
        <v>#DIV/0!</v>
      </c>
      <c r="I216" s="627" t="e">
        <f t="shared" si="110"/>
        <v>#DIV/0!</v>
      </c>
      <c r="J216" s="627" t="e">
        <f t="shared" si="110"/>
        <v>#DIV/0!</v>
      </c>
      <c r="K216" s="627" t="e">
        <f t="shared" si="110"/>
        <v>#DIV/0!</v>
      </c>
      <c r="L216" s="627" t="e">
        <f t="shared" si="110"/>
        <v>#DIV/0!</v>
      </c>
      <c r="M216" s="627" t="e">
        <f t="shared" si="110"/>
        <v>#DIV/0!</v>
      </c>
      <c r="N216" s="627" t="e">
        <f t="shared" si="110"/>
        <v>#DIV/0!</v>
      </c>
      <c r="O216" s="627" t="e">
        <f t="shared" si="110"/>
        <v>#DIV/0!</v>
      </c>
      <c r="P216" s="627" t="e">
        <f t="shared" si="110"/>
        <v>#DIV/0!</v>
      </c>
      <c r="Q216" s="627" t="e">
        <f t="shared" si="110"/>
        <v>#DIV/0!</v>
      </c>
      <c r="R216" s="911"/>
      <c r="S216" s="715">
        <f>S209/S197*100</f>
        <v>0</v>
      </c>
      <c r="T216" s="861"/>
      <c r="U216" s="990"/>
      <c r="W216" s="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R216" s="71"/>
      <c r="AX216" s="1"/>
      <c r="BD216" s="152"/>
      <c r="BE216" s="152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52"/>
      <c r="DA216" s="1"/>
      <c r="DP216" s="5"/>
      <c r="DQ216" s="152"/>
      <c r="DR216" s="152"/>
      <c r="DS216" s="152"/>
      <c r="DT216" s="152"/>
      <c r="FW216" s="152"/>
      <c r="JR216" s="152"/>
      <c r="JS216" s="152"/>
      <c r="JT216" s="152"/>
      <c r="JU216" s="152"/>
      <c r="OY216" s="152"/>
      <c r="OZ216" s="152"/>
      <c r="PB216" s="152"/>
      <c r="PP216" s="155"/>
      <c r="PT216" s="152"/>
      <c r="RW216" s="155"/>
      <c r="AHF216" s="151"/>
      <c r="AIU216" s="151"/>
      <c r="AIV216" s="151"/>
      <c r="AIW216" s="151"/>
    </row>
    <row r="217" spans="2:933" hidden="1" x14ac:dyDescent="0.25">
      <c r="B217" s="923"/>
      <c r="C217" s="789" t="s">
        <v>95</v>
      </c>
      <c r="D217" s="790"/>
      <c r="E217" s="791"/>
      <c r="F217" s="792">
        <f>'[24]Januari 24'!AL211</f>
        <v>356139</v>
      </c>
      <c r="G217" s="792">
        <f>'[24]Februari 24'!AL211</f>
        <v>0</v>
      </c>
      <c r="H217" s="792">
        <f>'[24]Maret 24'!AL211</f>
        <v>0</v>
      </c>
      <c r="I217" s="792">
        <f>'[24]April 24'!AL211</f>
        <v>0</v>
      </c>
      <c r="J217" s="792">
        <f>'[24]Mei 24'!AL211</f>
        <v>0</v>
      </c>
      <c r="K217" s="792">
        <f>'[24]Juny 24'!AL211</f>
        <v>0</v>
      </c>
      <c r="L217" s="792">
        <f>'[24]July 24'!AL211</f>
        <v>0</v>
      </c>
      <c r="M217" s="792">
        <f>'[24]Agustus 24'!AL211</f>
        <v>0</v>
      </c>
      <c r="N217" s="792">
        <f>'[24]September 24'!AL211</f>
        <v>0</v>
      </c>
      <c r="O217" s="793">
        <f>'[24]Oktober 24'!AL211</f>
        <v>0</v>
      </c>
      <c r="P217" s="792">
        <f>'[24]November 24'!AL211</f>
        <v>0</v>
      </c>
      <c r="Q217" s="792">
        <f>'[24]Desember 24'!AL211</f>
        <v>0</v>
      </c>
      <c r="R217" s="912"/>
      <c r="S217" s="794">
        <f>SUM(F217:Q217)</f>
        <v>356139</v>
      </c>
      <c r="T217" s="885">
        <v>22250000</v>
      </c>
      <c r="U217" s="992">
        <f>S217/T217*100</f>
        <v>1.6006247191011236</v>
      </c>
      <c r="W217" s="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R217" s="71"/>
      <c r="AX217" s="1"/>
      <c r="BD217" s="152"/>
      <c r="BE217" s="152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52"/>
      <c r="DA217" s="1"/>
      <c r="DP217" s="5"/>
      <c r="DQ217" s="152"/>
      <c r="DR217" s="152"/>
      <c r="DS217" s="152"/>
      <c r="DT217" s="152"/>
      <c r="FW217" s="152"/>
      <c r="JR217" s="152"/>
      <c r="JS217" s="152"/>
      <c r="JT217" s="152"/>
      <c r="JU217" s="152"/>
      <c r="OY217" s="152"/>
      <c r="OZ217" s="152"/>
      <c r="PB217" s="152"/>
      <c r="PP217" s="155"/>
      <c r="PT217" s="152"/>
      <c r="RW217" s="155"/>
      <c r="AHF217" s="151"/>
      <c r="AIU217" s="151"/>
      <c r="AIV217" s="151"/>
      <c r="AIW217" s="151"/>
    </row>
    <row r="218" spans="2:933" hidden="1" x14ac:dyDescent="0.25">
      <c r="B218" s="923"/>
      <c r="C218" s="789" t="s">
        <v>119</v>
      </c>
      <c r="D218" s="790"/>
      <c r="E218" s="791"/>
      <c r="F218" s="792">
        <f>'[24]Januari 24'!AL212</f>
        <v>534116</v>
      </c>
      <c r="G218" s="792">
        <f>'[24]Februari 24'!AL212</f>
        <v>542142</v>
      </c>
      <c r="H218" s="792">
        <f>'[24]Maret 24'!AL212</f>
        <v>0</v>
      </c>
      <c r="I218" s="792">
        <f>'[24]April 24'!AL212</f>
        <v>0</v>
      </c>
      <c r="J218" s="795">
        <f>'[24]Mei 24'!AL212</f>
        <v>0</v>
      </c>
      <c r="K218" s="795">
        <f>'[24]Juny 24'!AL212</f>
        <v>0</v>
      </c>
      <c r="L218" s="795">
        <f>'[24]July 24'!AL212</f>
        <v>0</v>
      </c>
      <c r="M218" s="796">
        <f>'[24]Agustus 24'!AL212</f>
        <v>0</v>
      </c>
      <c r="N218" s="795">
        <f>'[24]September 24'!AL212</f>
        <v>0</v>
      </c>
      <c r="O218" s="797">
        <f>'[24]Oktober 24'!AL212</f>
        <v>0</v>
      </c>
      <c r="P218" s="795">
        <f>'[24]November 24'!AL212</f>
        <v>0</v>
      </c>
      <c r="Q218" s="795">
        <f>'[24]Desember 24'!AL212</f>
        <v>0</v>
      </c>
      <c r="R218" s="912"/>
      <c r="S218" s="794">
        <f>SUM(F218:Q218)</f>
        <v>1076258</v>
      </c>
      <c r="T218" s="885">
        <v>11435000</v>
      </c>
      <c r="U218" s="992">
        <f t="shared" ref="U218:U221" si="111">S218/T218*100</f>
        <v>9.4119632706602534</v>
      </c>
      <c r="W218" s="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R218" s="71"/>
      <c r="AX218" s="1"/>
      <c r="BD218" s="152"/>
      <c r="BE218" s="152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52"/>
      <c r="DA218" s="1"/>
      <c r="DP218" s="5"/>
      <c r="DQ218" s="152"/>
      <c r="DR218" s="152"/>
      <c r="DS218" s="152"/>
      <c r="DT218" s="152"/>
      <c r="FW218" s="152"/>
      <c r="JR218" s="152"/>
      <c r="JS218" s="152"/>
      <c r="JT218" s="152"/>
      <c r="JU218" s="152"/>
      <c r="OY218" s="152"/>
      <c r="OZ218" s="152"/>
      <c r="PB218" s="152"/>
      <c r="PP218" s="155"/>
      <c r="PT218" s="152"/>
      <c r="RW218" s="155"/>
      <c r="AHF218" s="151"/>
      <c r="AIU218" s="151"/>
      <c r="AIV218" s="151"/>
      <c r="AIW218" s="151"/>
    </row>
    <row r="219" spans="2:933" hidden="1" x14ac:dyDescent="0.25">
      <c r="B219" s="923"/>
      <c r="C219" s="798" t="s">
        <v>90</v>
      </c>
      <c r="D219" s="790"/>
      <c r="E219" s="791"/>
      <c r="F219" s="792">
        <f>'[24]Januari 24'!AL213</f>
        <v>845858</v>
      </c>
      <c r="G219" s="792">
        <f>'[24]Februari 24'!AL213</f>
        <v>192009</v>
      </c>
      <c r="H219" s="792">
        <f>'[24]Maret 24'!AL213</f>
        <v>0</v>
      </c>
      <c r="I219" s="792">
        <f>'[24]April 24'!AL213</f>
        <v>0</v>
      </c>
      <c r="J219" s="792">
        <f>'[24]Mei 24'!AL213</f>
        <v>0</v>
      </c>
      <c r="K219" s="792">
        <f>'[24]Juny 24'!AL213</f>
        <v>0</v>
      </c>
      <c r="L219" s="792">
        <f>'[24]July 24'!AL213</f>
        <v>0</v>
      </c>
      <c r="M219" s="796">
        <f>'[24]Agustus 24'!AL213</f>
        <v>0</v>
      </c>
      <c r="N219" s="792">
        <f>'[24]September 24'!AL213</f>
        <v>0</v>
      </c>
      <c r="O219" s="799">
        <f>'[24]Oktober 24'!AL213</f>
        <v>0</v>
      </c>
      <c r="P219" s="796">
        <f>'[24]November 24'!AL213</f>
        <v>0</v>
      </c>
      <c r="Q219" s="796">
        <f>'[24]Desember 24'!AL213</f>
        <v>0</v>
      </c>
      <c r="R219" s="912"/>
      <c r="S219" s="794">
        <f>SUM(F219:Q219)</f>
        <v>1037867</v>
      </c>
      <c r="T219" s="886">
        <v>71709000</v>
      </c>
      <c r="U219" s="992">
        <f t="shared" si="111"/>
        <v>1.4473315762317143</v>
      </c>
      <c r="W219" s="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R219" s="71"/>
      <c r="AX219" s="1"/>
      <c r="BD219" s="152"/>
      <c r="BE219" s="152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52"/>
      <c r="DA219" s="1"/>
      <c r="DP219" s="5"/>
      <c r="DQ219" s="152"/>
      <c r="DR219" s="152"/>
      <c r="DS219" s="152"/>
      <c r="DT219" s="152"/>
      <c r="FW219" s="152"/>
      <c r="JR219" s="152"/>
      <c r="JS219" s="152"/>
      <c r="JT219" s="152"/>
      <c r="JU219" s="152"/>
      <c r="OY219" s="152"/>
      <c r="OZ219" s="152"/>
      <c r="PB219" s="152"/>
      <c r="PP219" s="155"/>
      <c r="PT219" s="152"/>
      <c r="RW219" s="155"/>
      <c r="AHF219" s="151"/>
      <c r="AIU219" s="151"/>
      <c r="AIV219" s="151"/>
      <c r="AIW219" s="151"/>
    </row>
    <row r="220" spans="2:933" s="806" customFormat="1" hidden="1" x14ac:dyDescent="0.25">
      <c r="B220" s="920"/>
      <c r="C220" s="800" t="s">
        <v>91</v>
      </c>
      <c r="D220" s="801"/>
      <c r="E220" s="117"/>
      <c r="F220" s="802">
        <f>'[24]Januari 24'!AL214</f>
        <v>1736113</v>
      </c>
      <c r="G220" s="802">
        <f>'[24]Februari 24'!AL214</f>
        <v>734151</v>
      </c>
      <c r="H220" s="802">
        <f>'[24]Maret 24'!AL214</f>
        <v>0</v>
      </c>
      <c r="I220" s="802">
        <f>'[24]April 24'!AL214</f>
        <v>0</v>
      </c>
      <c r="J220" s="803">
        <f>'[24]Mei 24'!AL214</f>
        <v>0</v>
      </c>
      <c r="K220" s="803">
        <f>'[24]Juny 24'!AL214</f>
        <v>0</v>
      </c>
      <c r="L220" s="803">
        <f>'[24]July 24'!AL214</f>
        <v>0</v>
      </c>
      <c r="M220" s="802">
        <f>'[24]Agustus 24'!AL214</f>
        <v>0</v>
      </c>
      <c r="N220" s="804">
        <f>'[24]September 24'!AL214</f>
        <v>0</v>
      </c>
      <c r="O220" s="805">
        <f>'[24]Oktober 24'!AL214</f>
        <v>0</v>
      </c>
      <c r="P220" s="802">
        <f>'[24]November 24'!AL214</f>
        <v>0</v>
      </c>
      <c r="Q220" s="802">
        <f>'[24]Desember 24'!AL214</f>
        <v>0</v>
      </c>
      <c r="R220" s="928"/>
      <c r="S220" s="794">
        <f>SUM(F220:Q220)</f>
        <v>2470264</v>
      </c>
      <c r="T220" s="877">
        <f>SUM(T217:T219)</f>
        <v>105394000</v>
      </c>
      <c r="U220" s="992">
        <f t="shared" si="111"/>
        <v>2.3438374100992467</v>
      </c>
      <c r="W220" s="2"/>
      <c r="X220" s="1008"/>
      <c r="Y220" s="1008"/>
      <c r="Z220" s="1008"/>
      <c r="AA220" s="1008"/>
      <c r="AB220" s="1008"/>
      <c r="AC220" s="1008"/>
      <c r="AD220" s="1008"/>
      <c r="AE220" s="1008"/>
      <c r="AF220" s="1008"/>
      <c r="AG220" s="1008"/>
      <c r="AH220" s="1008"/>
      <c r="AI220" s="1008"/>
      <c r="AJ220" s="1008"/>
      <c r="AK220" s="1008"/>
      <c r="AL220" s="1008"/>
      <c r="AM220" s="1008"/>
      <c r="AN220" s="1008"/>
      <c r="AO220" s="1008"/>
      <c r="AP220" s="1008"/>
      <c r="AR220" s="1008"/>
      <c r="AX220" s="1"/>
      <c r="BD220" s="156"/>
      <c r="BE220" s="156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CH220" s="156"/>
      <c r="DA220" s="2"/>
      <c r="DP220" s="622"/>
      <c r="DQ220" s="156"/>
      <c r="DR220" s="156"/>
      <c r="DS220" s="156"/>
      <c r="DT220" s="156"/>
      <c r="FW220" s="156"/>
      <c r="JR220" s="156"/>
      <c r="JS220" s="156"/>
      <c r="JT220" s="156"/>
      <c r="JU220" s="156"/>
      <c r="OY220" s="156"/>
      <c r="OZ220" s="156"/>
      <c r="PB220" s="156"/>
      <c r="PP220" s="750"/>
      <c r="PT220" s="156"/>
      <c r="RW220" s="750"/>
      <c r="AHF220" s="161"/>
      <c r="AIU220" s="161"/>
      <c r="AIV220" s="161"/>
      <c r="AIW220" s="161"/>
    </row>
    <row r="221" spans="2:933" s="806" customFormat="1" hidden="1" x14ac:dyDescent="0.25">
      <c r="B221" s="920"/>
      <c r="C221" s="800" t="s">
        <v>96</v>
      </c>
      <c r="D221" s="801"/>
      <c r="E221" s="117"/>
      <c r="F221" s="802">
        <f>'[24]Januari 24'!AL215</f>
        <v>1749656.7900000003</v>
      </c>
      <c r="G221" s="802">
        <f>'[24]Februari 24'!AL215</f>
        <v>649233.52999999991</v>
      </c>
      <c r="H221" s="802">
        <f>'[24]Maret 24'!AL215</f>
        <v>0</v>
      </c>
      <c r="I221" s="802">
        <f>'[24]April 24'!AL215</f>
        <v>0</v>
      </c>
      <c r="J221" s="802">
        <f>'[24]Mei 24'!AL215</f>
        <v>0</v>
      </c>
      <c r="K221" s="802">
        <f>'[24]Juny 24'!AL215</f>
        <v>0</v>
      </c>
      <c r="L221" s="802">
        <f>'[24]July 24'!AL215</f>
        <v>0</v>
      </c>
      <c r="M221" s="802">
        <f>'[24]Agustus 24'!AL215</f>
        <v>0</v>
      </c>
      <c r="N221" s="802">
        <f>'[24]September 24'!AL215</f>
        <v>0</v>
      </c>
      <c r="O221" s="802">
        <f>'[24]Oktober 24'!AL215</f>
        <v>0</v>
      </c>
      <c r="P221" s="802">
        <f t="shared" ref="P221:Q221" si="112">SUM(P75+P102+P130+P191+P156)</f>
        <v>0</v>
      </c>
      <c r="Q221" s="802">
        <f t="shared" si="112"/>
        <v>0</v>
      </c>
      <c r="R221" s="928"/>
      <c r="S221" s="807">
        <f>SUM(F221:Q221)</f>
        <v>2398890.3200000003</v>
      </c>
      <c r="T221" s="887">
        <f>SUM(T217:T219)</f>
        <v>105394000</v>
      </c>
      <c r="U221" s="992">
        <f t="shared" si="111"/>
        <v>2.2761165910772911</v>
      </c>
      <c r="W221" s="2"/>
      <c r="X221" s="1008"/>
      <c r="Y221" s="1008"/>
      <c r="Z221" s="1008"/>
      <c r="AA221" s="1008"/>
      <c r="AB221" s="1008"/>
      <c r="AC221" s="1008"/>
      <c r="AD221" s="1008"/>
      <c r="AE221" s="1008"/>
      <c r="AF221" s="1008"/>
      <c r="AG221" s="1008"/>
      <c r="AH221" s="1008"/>
      <c r="AI221" s="1008"/>
      <c r="AJ221" s="1008"/>
      <c r="AK221" s="1008"/>
      <c r="AL221" s="1008"/>
      <c r="AM221" s="1008"/>
      <c r="AN221" s="1008"/>
      <c r="AO221" s="1008"/>
      <c r="AP221" s="1008"/>
      <c r="AR221" s="1008"/>
      <c r="AX221" s="1"/>
      <c r="BD221" s="156"/>
      <c r="BE221" s="156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CH221" s="156"/>
      <c r="DA221" s="2"/>
      <c r="DP221" s="622"/>
      <c r="DQ221" s="156"/>
      <c r="DR221" s="156"/>
      <c r="DS221" s="156"/>
      <c r="DT221" s="156"/>
      <c r="FW221" s="156"/>
      <c r="JR221" s="156"/>
      <c r="JS221" s="156"/>
      <c r="JT221" s="156"/>
      <c r="JU221" s="156"/>
      <c r="OY221" s="156"/>
      <c r="OZ221" s="156"/>
      <c r="PB221" s="156"/>
      <c r="PP221" s="750"/>
      <c r="PT221" s="156"/>
      <c r="RW221" s="750"/>
      <c r="AHF221" s="161"/>
      <c r="AIU221" s="161"/>
      <c r="AIV221" s="161"/>
      <c r="AIW221" s="161"/>
    </row>
    <row r="222" spans="2:933" x14ac:dyDescent="0.25">
      <c r="B222" s="919">
        <v>9</v>
      </c>
      <c r="C222" s="708" t="s">
        <v>24</v>
      </c>
      <c r="D222" s="808"/>
      <c r="E222" s="85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911"/>
      <c r="S222" s="788" t="s">
        <v>133</v>
      </c>
      <c r="T222" s="870" t="s">
        <v>133</v>
      </c>
      <c r="U222" s="978" t="s">
        <v>133</v>
      </c>
      <c r="W222" s="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R222" s="71"/>
      <c r="AX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DA222" s="1"/>
    </row>
    <row r="223" spans="2:933" x14ac:dyDescent="0.25">
      <c r="B223" s="920"/>
      <c r="C223" s="649" t="s">
        <v>23</v>
      </c>
      <c r="D223" s="809"/>
      <c r="E223" s="683" t="s">
        <v>19</v>
      </c>
      <c r="F223" s="810">
        <f>'[24]Januari 24'!AL217</f>
        <v>27426.645100000005</v>
      </c>
      <c r="G223" s="810">
        <f>'[24]Februari 24'!AL217</f>
        <v>17654.447900000003</v>
      </c>
      <c r="H223" s="810">
        <f>'[24]Maret 24'!AL217</f>
        <v>5574.5241999999998</v>
      </c>
      <c r="I223" s="810">
        <f>'[25]April - 24'!$AK$218</f>
        <v>0</v>
      </c>
      <c r="J223" s="810">
        <f>'[26]Mei - 24'!$AL$218</f>
        <v>0</v>
      </c>
      <c r="K223" s="810">
        <f>'[27]Juni - 24'!$AL$218</f>
        <v>21557.354200000002</v>
      </c>
      <c r="L223" s="810">
        <f>'[28]Juli - 2024 ( Revisi )'!$AL$216</f>
        <v>27875.589599999996</v>
      </c>
      <c r="M223" s="810">
        <f>'Agustus - 2024'!AN222</f>
        <v>36219.398400000005</v>
      </c>
      <c r="N223" s="810">
        <f>'[24]September 24'!AL217</f>
        <v>0</v>
      </c>
      <c r="O223" s="810">
        <f>'[24]Oktober 24'!AL217</f>
        <v>0</v>
      </c>
      <c r="P223" s="810">
        <f>'[24]November 24'!AL217</f>
        <v>0</v>
      </c>
      <c r="Q223" s="810">
        <f>'[24]Desember 24'!AL217</f>
        <v>0</v>
      </c>
      <c r="S223" s="811">
        <f>SUM(F223:Q223)</f>
        <v>136307.95939999999</v>
      </c>
      <c r="T223" s="888">
        <v>316731.03000000003</v>
      </c>
      <c r="U223" s="970">
        <f>S223/T223*100</f>
        <v>43.035871603738975</v>
      </c>
      <c r="W223" s="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R223" s="71"/>
      <c r="AX223" s="1"/>
      <c r="BD223" s="152"/>
      <c r="BE223" s="152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52"/>
      <c r="DA223" s="1"/>
      <c r="DP223" s="5"/>
      <c r="DQ223" s="152"/>
      <c r="DR223" s="152"/>
      <c r="DS223" s="152"/>
      <c r="DT223" s="152"/>
      <c r="FW223" s="152"/>
      <c r="JR223" s="152"/>
      <c r="JS223" s="152"/>
      <c r="JT223" s="152"/>
      <c r="JU223" s="152"/>
      <c r="OY223" s="152"/>
      <c r="OZ223" s="152"/>
      <c r="PB223" s="152"/>
      <c r="PP223" s="155"/>
      <c r="PT223" s="152"/>
      <c r="RW223" s="155"/>
      <c r="AGG223" s="40"/>
      <c r="AHF223" s="151"/>
      <c r="AIU223" s="151"/>
      <c r="AIV223" s="151"/>
      <c r="AIW223" s="151"/>
    </row>
    <row r="224" spans="2:933" x14ac:dyDescent="0.25">
      <c r="B224" s="917"/>
      <c r="C224" s="710" t="s">
        <v>22</v>
      </c>
      <c r="D224" s="812">
        <f>D228</f>
        <v>1460.001</v>
      </c>
      <c r="E224" s="701" t="s">
        <v>19</v>
      </c>
      <c r="F224" s="810">
        <f>'[24]Januari 24'!AL218</f>
        <v>23450.754799999995</v>
      </c>
      <c r="G224" s="810">
        <f>'[24]Februari 24'!AL218</f>
        <v>14868.589600000001</v>
      </c>
      <c r="H224" s="813">
        <f>'[24]Maret 24'!AL218</f>
        <v>5581.7098999999998</v>
      </c>
      <c r="I224" s="813">
        <f>'[25]April - 24'!$AK$219</f>
        <v>0</v>
      </c>
      <c r="J224" s="813">
        <f>'[26]Mei - 24'!$AL$219</f>
        <v>0</v>
      </c>
      <c r="K224" s="813">
        <f>'[27]Juni - 24'!$AL$219</f>
        <v>19670.9984</v>
      </c>
      <c r="L224" s="813">
        <f>'[28]Juli - 2024 ( Revisi )'!$AL$217</f>
        <v>26610.053000000004</v>
      </c>
      <c r="M224" s="810">
        <f>'Agustus - 2024'!AN223</f>
        <v>35308.592700000008</v>
      </c>
      <c r="N224" s="810">
        <f>'[24]September 24'!AL218</f>
        <v>0</v>
      </c>
      <c r="O224" s="810">
        <f>'[24]Oktober 24'!AL218</f>
        <v>0</v>
      </c>
      <c r="P224" s="810">
        <f>'[24]November 24'!AL218</f>
        <v>0</v>
      </c>
      <c r="Q224" s="814">
        <f>'[24]Desember 24'!AL218</f>
        <v>0</v>
      </c>
      <c r="S224" s="815">
        <f>SUM(F224:Q224)</f>
        <v>125490.69840000001</v>
      </c>
      <c r="T224" s="889">
        <v>316731.03000000003</v>
      </c>
      <c r="U224" s="983">
        <f>S224/T224*100</f>
        <v>39.620588611100089</v>
      </c>
      <c r="V224" s="1019"/>
      <c r="W224" s="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R224" s="71"/>
      <c r="AX224" s="183" t="e">
        <f>AW224/AW10</f>
        <v>#DIV/0!</v>
      </c>
      <c r="BD224" s="153"/>
      <c r="BE224" s="153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53"/>
      <c r="DA224" s="1"/>
      <c r="DP224" s="703"/>
      <c r="DQ224" s="153"/>
      <c r="DR224" s="153"/>
      <c r="DS224" s="153"/>
      <c r="DT224" s="153"/>
      <c r="FW224" s="153"/>
      <c r="JR224" s="153"/>
      <c r="JS224" s="153"/>
      <c r="JT224" s="153"/>
      <c r="JU224" s="153"/>
      <c r="OY224" s="153"/>
      <c r="OZ224" s="153"/>
      <c r="PB224" s="153"/>
      <c r="PP224" s="162"/>
      <c r="PT224" s="153"/>
      <c r="RW224" s="162"/>
      <c r="AHF224" s="153"/>
      <c r="AIU224" s="153"/>
      <c r="AIV224" s="153"/>
      <c r="AIW224" s="153"/>
    </row>
    <row r="225" spans="2:933" x14ac:dyDescent="0.25">
      <c r="B225" s="923"/>
      <c r="C225" s="766" t="s">
        <v>11</v>
      </c>
      <c r="D225" s="809"/>
      <c r="E225" s="651"/>
      <c r="F225" s="810"/>
      <c r="G225" s="816"/>
      <c r="H225" s="816"/>
      <c r="I225" s="626"/>
      <c r="J225" s="816"/>
      <c r="K225" s="817"/>
      <c r="L225" s="817"/>
      <c r="M225" s="626"/>
      <c r="N225" s="626"/>
      <c r="O225" s="626"/>
      <c r="P225" s="626"/>
      <c r="Q225" s="818"/>
      <c r="R225" s="911"/>
      <c r="S225" s="905" t="s">
        <v>11</v>
      </c>
      <c r="T225" s="890" t="s">
        <v>11</v>
      </c>
      <c r="U225" s="993" t="s">
        <v>11</v>
      </c>
      <c r="W225" s="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R225" s="71"/>
      <c r="AX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DA225" s="1"/>
    </row>
    <row r="226" spans="2:933" x14ac:dyDescent="0.25">
      <c r="B226" s="923"/>
      <c r="C226" s="649" t="s">
        <v>21</v>
      </c>
      <c r="D226" s="819">
        <v>292</v>
      </c>
      <c r="E226" s="683" t="s">
        <v>19</v>
      </c>
      <c r="F226" s="810">
        <f>'[24]Januari 24'!AL220</f>
        <v>2299.1853999999998</v>
      </c>
      <c r="G226" s="810">
        <f>'[24]Februari 24'!AL220</f>
        <v>1937.1727999999998</v>
      </c>
      <c r="H226" s="810">
        <f>'[24]Maret 24'!AL220</f>
        <v>578.96010000000001</v>
      </c>
      <c r="I226" s="820">
        <f>'[25]April - 24'!$AK$227</f>
        <v>0</v>
      </c>
      <c r="J226" s="810">
        <f>'[26]Mei - 24'!$AL$221</f>
        <v>0</v>
      </c>
      <c r="K226" s="810">
        <f>'[27]Juni - 24'!$AL$221</f>
        <v>2593.8142000000003</v>
      </c>
      <c r="L226" s="810">
        <f>'[28]Juli - 2024 ( Revisi )'!$AL$219</f>
        <v>4776.3290292795864</v>
      </c>
      <c r="M226" s="810">
        <f>'Agustus - 2024'!AN225</f>
        <v>7265.8266911540595</v>
      </c>
      <c r="N226" s="810">
        <f>'[24]September 24'!AL220</f>
        <v>0</v>
      </c>
      <c r="O226" s="810">
        <f>'[24]Oktober 24'!AL220</f>
        <v>0</v>
      </c>
      <c r="P226" s="810">
        <f>'[24]November 24'!AL220</f>
        <v>0</v>
      </c>
      <c r="Q226" s="810">
        <f>'[24]Desember 24'!AL220</f>
        <v>0</v>
      </c>
      <c r="R226" s="911"/>
      <c r="S226" s="821">
        <f>SUM(F226:Q226)</f>
        <v>19451.288220433646</v>
      </c>
      <c r="T226" s="891">
        <v>47509.77</v>
      </c>
      <c r="U226" s="994">
        <f>S226/T226*100</f>
        <v>40.941659411177213</v>
      </c>
      <c r="W226" s="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R226" s="71"/>
      <c r="AX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DA226" s="1"/>
      <c r="XA226" s="40"/>
      <c r="AFR226" s="40"/>
    </row>
    <row r="227" spans="2:933" x14ac:dyDescent="0.25">
      <c r="B227" s="923"/>
      <c r="C227" s="649" t="s">
        <v>20</v>
      </c>
      <c r="D227" s="819">
        <v>1168.001</v>
      </c>
      <c r="E227" s="683" t="s">
        <v>19</v>
      </c>
      <c r="F227" s="810">
        <f>'[24]Januari 24'!AL221</f>
        <v>21151.569399999997</v>
      </c>
      <c r="G227" s="810">
        <f>'[24]Februari 24'!AL221</f>
        <v>12931.416799999999</v>
      </c>
      <c r="H227" s="810">
        <f>'[24]Maret 24'!AL221</f>
        <v>5002.7498000000005</v>
      </c>
      <c r="I227" s="810">
        <f>'[25]April - 24'!$AK$228</f>
        <v>0</v>
      </c>
      <c r="J227" s="810">
        <f>'[26]Mei - 24'!$AL$222</f>
        <v>0</v>
      </c>
      <c r="K227" s="810">
        <f>'[27]Juni - 24'!$AL$222</f>
        <v>17077.184200000003</v>
      </c>
      <c r="L227" s="810">
        <f>'[28]Juli - 2024 ( Revisi )'!$AL$220</f>
        <v>21833.72397072041</v>
      </c>
      <c r="M227" s="810">
        <f>'Agustus - 2024'!AN226</f>
        <v>28042.766008845945</v>
      </c>
      <c r="N227" s="810">
        <f>'[24]September 24'!AL221</f>
        <v>0</v>
      </c>
      <c r="O227" s="810">
        <f>'[24]Oktober 24'!AL221</f>
        <v>0</v>
      </c>
      <c r="P227" s="810">
        <f>'[24]November 24'!AL221</f>
        <v>0</v>
      </c>
      <c r="Q227" s="810">
        <f>'[24]Desember 24'!AL221</f>
        <v>0</v>
      </c>
      <c r="R227" s="911"/>
      <c r="S227" s="821">
        <f>SUM(F227:Q227)</f>
        <v>106039.41017956636</v>
      </c>
      <c r="T227" s="891">
        <v>269221.26</v>
      </c>
      <c r="U227" s="994">
        <f>S227/T227*100</f>
        <v>39.387457803134254</v>
      </c>
      <c r="W227" s="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R227" s="71"/>
      <c r="AX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DA227" s="1"/>
      <c r="WZ227" s="40"/>
    </row>
    <row r="228" spans="2:933" x14ac:dyDescent="0.25">
      <c r="B228" s="929"/>
      <c r="C228" s="822" t="s">
        <v>1</v>
      </c>
      <c r="D228" s="823">
        <f>SUM(D226:D227)</f>
        <v>1460.001</v>
      </c>
      <c r="E228" s="25" t="s">
        <v>19</v>
      </c>
      <c r="F228" s="824">
        <f>F224</f>
        <v>23450.754799999995</v>
      </c>
      <c r="G228" s="824">
        <f>G224</f>
        <v>14868.589600000001</v>
      </c>
      <c r="H228" s="824">
        <f>'[24]Maret 24'!AL222</f>
        <v>5581.7099000000007</v>
      </c>
      <c r="I228" s="824">
        <f>'[25]April - 24'!$AK$223</f>
        <v>0</v>
      </c>
      <c r="J228" s="824">
        <f>J224</f>
        <v>0</v>
      </c>
      <c r="K228" s="824">
        <f t="shared" ref="K228:Q228" si="113">K224</f>
        <v>19670.9984</v>
      </c>
      <c r="L228" s="824">
        <f t="shared" si="113"/>
        <v>26610.053000000004</v>
      </c>
      <c r="M228" s="824">
        <f t="shared" si="113"/>
        <v>35308.592700000008</v>
      </c>
      <c r="N228" s="824">
        <f t="shared" si="113"/>
        <v>0</v>
      </c>
      <c r="O228" s="824">
        <f t="shared" si="113"/>
        <v>0</v>
      </c>
      <c r="P228" s="824">
        <f>P224</f>
        <v>0</v>
      </c>
      <c r="Q228" s="824">
        <f t="shared" si="113"/>
        <v>0</v>
      </c>
      <c r="R228" s="925"/>
      <c r="S228" s="126">
        <f>SUM(S226:S227)</f>
        <v>125490.69840000001</v>
      </c>
      <c r="T228" s="892">
        <f>SUM(T226:T227)</f>
        <v>316731.03000000003</v>
      </c>
      <c r="U228" s="994">
        <f>S228/T228*100</f>
        <v>39.620588611100089</v>
      </c>
      <c r="W228" s="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R228" s="71"/>
      <c r="AX228" s="2"/>
      <c r="BD228" s="161"/>
      <c r="BE228" s="16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H228" s="161"/>
      <c r="DA228" s="1"/>
      <c r="DP228" s="622"/>
      <c r="DQ228" s="161"/>
      <c r="DR228" s="161"/>
      <c r="DS228" s="161"/>
      <c r="DT228" s="161"/>
      <c r="FW228" s="161"/>
      <c r="JR228" s="161"/>
      <c r="JS228" s="161"/>
      <c r="JT228" s="161"/>
      <c r="JU228" s="161"/>
      <c r="OY228" s="161"/>
      <c r="OZ228" s="161"/>
      <c r="PB228" s="161"/>
      <c r="PP228" s="825"/>
      <c r="PT228" s="161"/>
      <c r="RW228" s="825"/>
      <c r="AHF228" s="161"/>
      <c r="AIU228" s="161"/>
      <c r="AIV228" s="161"/>
      <c r="AIW228" s="161"/>
    </row>
    <row r="229" spans="2:933" x14ac:dyDescent="0.25">
      <c r="B229" s="920">
        <v>10</v>
      </c>
      <c r="C229" s="826" t="s">
        <v>18</v>
      </c>
      <c r="D229" s="827"/>
      <c r="E229" s="128"/>
      <c r="F229" s="828"/>
      <c r="G229" s="828"/>
      <c r="H229" s="828"/>
      <c r="I229" s="828"/>
      <c r="J229" s="828"/>
      <c r="K229" s="828"/>
      <c r="L229" s="828"/>
      <c r="M229" s="828"/>
      <c r="N229" s="828"/>
      <c r="O229" s="828"/>
      <c r="P229" s="828"/>
      <c r="Q229" s="828"/>
      <c r="R229" s="925"/>
      <c r="S229" s="907" t="s">
        <v>134</v>
      </c>
      <c r="T229" s="893" t="s">
        <v>134</v>
      </c>
      <c r="U229" s="995" t="s">
        <v>134</v>
      </c>
      <c r="W229" s="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R229" s="71"/>
      <c r="AX229" s="2"/>
      <c r="BD229" s="161"/>
      <c r="BE229" s="16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61"/>
      <c r="DA229" s="1"/>
      <c r="DP229" s="622"/>
      <c r="DQ229" s="161"/>
      <c r="DR229" s="161"/>
      <c r="DS229" s="161"/>
      <c r="DT229" s="161"/>
      <c r="FW229" s="161"/>
      <c r="JR229" s="161"/>
      <c r="JS229" s="161"/>
      <c r="JT229" s="161"/>
      <c r="JU229" s="161"/>
      <c r="OY229" s="161"/>
      <c r="OZ229" s="161"/>
      <c r="PB229" s="161"/>
      <c r="PP229" s="825"/>
      <c r="PT229" s="161"/>
      <c r="RW229" s="825"/>
      <c r="AHF229" s="161"/>
      <c r="AIU229" s="161"/>
      <c r="AIV229" s="161"/>
      <c r="AIW229" s="161"/>
    </row>
    <row r="230" spans="2:933" x14ac:dyDescent="0.25">
      <c r="B230" s="923"/>
      <c r="C230" s="649" t="s">
        <v>4</v>
      </c>
      <c r="D230" s="830">
        <f>17000*24</f>
        <v>408000</v>
      </c>
      <c r="E230" s="683" t="s">
        <v>14</v>
      </c>
      <c r="F230" s="297">
        <f>'[24]Januari 24'!AL224</f>
        <v>4927889</v>
      </c>
      <c r="G230" s="297">
        <f>'[24]Februari 24'!AL224</f>
        <v>3183848</v>
      </c>
      <c r="H230" s="297">
        <f>'[24]Maret 24'!AL224</f>
        <v>1241817</v>
      </c>
      <c r="I230" s="297">
        <f>'[25]April - 24'!$AK$225</f>
        <v>0</v>
      </c>
      <c r="J230" s="297">
        <f>'[26]Mei - 24'!$AL$225</f>
        <v>0</v>
      </c>
      <c r="K230" s="297">
        <f>'[27]Juni - 24'!$AL$225</f>
        <v>3827086</v>
      </c>
      <c r="L230" s="297">
        <f>'[28]Juli - 2024 ( Revisi )'!$AL$223</f>
        <v>4916977</v>
      </c>
      <c r="M230" s="297">
        <f>'Agustus - 2024'!AN229</f>
        <v>6506822</v>
      </c>
      <c r="N230" s="784">
        <f>'[24]September 24'!AL224</f>
        <v>0</v>
      </c>
      <c r="O230" s="784">
        <f>'[24]Oktober 24'!AL224</f>
        <v>0</v>
      </c>
      <c r="P230" s="831">
        <f>'[24]November 24'!AL224</f>
        <v>0</v>
      </c>
      <c r="Q230" s="784">
        <f>'[24]Desember 24'!AL224</f>
        <v>0</v>
      </c>
      <c r="R230" s="911"/>
      <c r="S230" s="832">
        <f>SUM(F230:Q230)</f>
        <v>24604439</v>
      </c>
      <c r="T230" s="894">
        <v>110880000</v>
      </c>
      <c r="U230" s="983">
        <f>S230/T230*100</f>
        <v>22.190150613275613</v>
      </c>
      <c r="V230" s="3"/>
      <c r="W230" s="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R230" s="71"/>
      <c r="AX230" s="2"/>
      <c r="BD230" s="151"/>
      <c r="BE230" s="15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CH230" s="151"/>
      <c r="DA230" s="1"/>
      <c r="DP230" s="5"/>
      <c r="DQ230" s="151"/>
      <c r="DR230" s="151"/>
      <c r="DS230" s="151"/>
      <c r="DT230" s="151"/>
      <c r="FW230" s="151"/>
      <c r="JR230" s="151"/>
      <c r="JS230" s="151"/>
      <c r="JT230" s="151"/>
      <c r="JU230" s="151"/>
      <c r="OY230" s="151"/>
      <c r="OZ230" s="151"/>
      <c r="PB230" s="151"/>
      <c r="PP230" s="668"/>
      <c r="PT230" s="151"/>
      <c r="RW230" s="668"/>
      <c r="AHF230" s="151"/>
      <c r="AIU230" s="151"/>
      <c r="AIV230" s="151"/>
      <c r="AIW230" s="151"/>
    </row>
    <row r="231" spans="2:933" x14ac:dyDescent="0.25">
      <c r="B231" s="920"/>
      <c r="C231" s="756" t="s">
        <v>17</v>
      </c>
      <c r="D231" s="833"/>
      <c r="E231" s="13"/>
      <c r="F231" s="784"/>
      <c r="G231" s="784"/>
      <c r="H231" s="784"/>
      <c r="I231" s="784"/>
      <c r="J231" s="784"/>
      <c r="K231" s="784"/>
      <c r="L231" s="784"/>
      <c r="M231" s="784"/>
      <c r="N231" s="784"/>
      <c r="O231" s="784"/>
      <c r="P231" s="784"/>
      <c r="Q231" s="784"/>
      <c r="R231" s="925"/>
      <c r="S231" s="908" t="s">
        <v>17</v>
      </c>
      <c r="T231" s="895" t="s">
        <v>17</v>
      </c>
      <c r="U231" s="996" t="s">
        <v>17</v>
      </c>
      <c r="V231" s="27"/>
      <c r="W231" s="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R231" s="71"/>
      <c r="AX231" s="2"/>
      <c r="BD231" s="161"/>
      <c r="BE231" s="16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CH231" s="161"/>
      <c r="DA231" s="1"/>
      <c r="DP231" s="622"/>
      <c r="DQ231" s="161"/>
      <c r="DR231" s="161"/>
      <c r="DS231" s="161"/>
      <c r="DT231" s="161"/>
      <c r="FW231" s="161"/>
      <c r="JR231" s="161"/>
      <c r="JS231" s="161"/>
      <c r="JT231" s="161"/>
      <c r="JU231" s="161"/>
      <c r="OY231" s="161"/>
      <c r="OZ231" s="161"/>
      <c r="PB231" s="161"/>
      <c r="PP231" s="825"/>
      <c r="PT231" s="161"/>
      <c r="RW231" s="825"/>
      <c r="AHF231" s="161"/>
      <c r="AIU231" s="161"/>
      <c r="AIV231" s="161"/>
      <c r="AIW231" s="161"/>
    </row>
    <row r="232" spans="2:933" x14ac:dyDescent="0.25">
      <c r="B232" s="923"/>
      <c r="C232" s="649" t="s">
        <v>16</v>
      </c>
      <c r="D232" s="830">
        <v>180000</v>
      </c>
      <c r="E232" s="683" t="s">
        <v>14</v>
      </c>
      <c r="F232" s="33">
        <f>'[24]Januari 24'!AL226</f>
        <v>2995400</v>
      </c>
      <c r="G232" s="33">
        <f>'[24]Februari 24'!AL226</f>
        <v>2048300</v>
      </c>
      <c r="H232" s="33">
        <f>'[24]Maret 24'!AL226</f>
        <v>829700</v>
      </c>
      <c r="I232" s="33">
        <f>'[25]April - 24'!$AK$227</f>
        <v>0</v>
      </c>
      <c r="J232" s="33">
        <f>'[26]Mei - 24'!$AL$227</f>
        <v>0</v>
      </c>
      <c r="K232" s="33">
        <f>'[27]Juni - 24'!$AL$227</f>
        <v>2489600</v>
      </c>
      <c r="L232" s="33">
        <f>'[28]Juli - 2024 ( Revisi )'!$AL$225</f>
        <v>3311110</v>
      </c>
      <c r="M232" s="33">
        <f>'Agustus - 2024'!AN231</f>
        <v>4286800</v>
      </c>
      <c r="N232" s="33">
        <f>'[24]September 24'!AL226</f>
        <v>0</v>
      </c>
      <c r="O232" s="626">
        <f>'[24]Oktober 24'!AL226</f>
        <v>0</v>
      </c>
      <c r="P232" s="626">
        <f>'[24]November 24'!AL226</f>
        <v>0</v>
      </c>
      <c r="Q232" s="626">
        <f>'[24]Desember 24'!AL226</f>
        <v>0</v>
      </c>
      <c r="R232" s="911"/>
      <c r="S232" s="63">
        <f>SUM(F232:Q232)</f>
        <v>15960910</v>
      </c>
      <c r="T232" s="858">
        <v>41580000</v>
      </c>
      <c r="U232" s="968">
        <f>S232/T232*100</f>
        <v>38.386026936026937</v>
      </c>
      <c r="V232" s="684"/>
      <c r="W232" s="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R232" s="71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</row>
    <row r="233" spans="2:933" x14ac:dyDescent="0.25">
      <c r="B233" s="923"/>
      <c r="C233" s="649" t="s">
        <v>15</v>
      </c>
      <c r="D233" s="830">
        <v>122000</v>
      </c>
      <c r="E233" s="683" t="s">
        <v>14</v>
      </c>
      <c r="F233" s="33">
        <f>'[24]Januari 24'!AL227</f>
        <v>1282600</v>
      </c>
      <c r="G233" s="33">
        <f>'[24]Februari 24'!AL227</f>
        <v>818400</v>
      </c>
      <c r="H233" s="33">
        <f>'[24]Maret 24'!AL227</f>
        <v>366100</v>
      </c>
      <c r="I233" s="33">
        <f>'[25]April - 24'!$AK$228</f>
        <v>0</v>
      </c>
      <c r="J233" s="33">
        <f>'[26]Mei - 24'!$AL$228</f>
        <v>0</v>
      </c>
      <c r="K233" s="33">
        <f>'[27]Juni - 24'!$AL$228</f>
        <v>850000</v>
      </c>
      <c r="L233" s="33">
        <f>'[28]Juli - 2024 ( Revisi )'!$AL$226</f>
        <v>1238750</v>
      </c>
      <c r="M233" s="33">
        <f>'Agustus - 2024'!AN233</f>
        <v>1951280</v>
      </c>
      <c r="N233" s="33">
        <f>'[24]September 24'!AL227</f>
        <v>0</v>
      </c>
      <c r="O233" s="626">
        <f>'[24]Oktober 24'!AL227</f>
        <v>0</v>
      </c>
      <c r="P233" s="626">
        <f>'[24]November 24'!AL227</f>
        <v>0</v>
      </c>
      <c r="Q233" s="626">
        <f>'[24]Desember 24'!AL227</f>
        <v>0</v>
      </c>
      <c r="R233" s="911"/>
      <c r="S233" s="63">
        <f>SUM(F233:Q233)</f>
        <v>6507130</v>
      </c>
      <c r="T233" s="858">
        <v>28182000</v>
      </c>
      <c r="U233" s="968">
        <f>S233/T233*100</f>
        <v>23.089667163437653</v>
      </c>
      <c r="W233" s="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R233" s="71"/>
      <c r="AX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DA233" s="1"/>
    </row>
    <row r="234" spans="2:933" x14ac:dyDescent="0.25">
      <c r="B234" s="923"/>
      <c r="C234" s="649" t="s">
        <v>7</v>
      </c>
      <c r="D234" s="830">
        <f>D230-D232-D233</f>
        <v>106000</v>
      </c>
      <c r="E234" s="683" t="s">
        <v>14</v>
      </c>
      <c r="F234" s="626">
        <f>'[24]Januari 24'!AL228</f>
        <v>649889</v>
      </c>
      <c r="G234" s="626">
        <f>'[24]Februari 24'!AL228</f>
        <v>317148</v>
      </c>
      <c r="H234" s="626">
        <f>'[24]Maret 24'!AL228</f>
        <v>46017</v>
      </c>
      <c r="I234" s="626">
        <f>'[25]April - 24'!$AK$229</f>
        <v>0</v>
      </c>
      <c r="J234" s="626">
        <f>'[26]Mei - 24'!$AL$229</f>
        <v>0</v>
      </c>
      <c r="K234" s="626">
        <f>'[27]Juni - 24'!$AL$229</f>
        <v>487486</v>
      </c>
      <c r="L234" s="33">
        <f>'[28]Juli - 2024 ( Revisi )'!$AL$227</f>
        <v>367117</v>
      </c>
      <c r="M234" s="626">
        <f>'Agustus - 2024'!AN235</f>
        <v>268742</v>
      </c>
      <c r="N234" s="626">
        <f>'[24]September 24'!AL228</f>
        <v>0</v>
      </c>
      <c r="O234" s="626">
        <f>'[24]Oktober 24'!AL228</f>
        <v>0</v>
      </c>
      <c r="P234" s="626">
        <f>'[24]November 24'!AL228</f>
        <v>0</v>
      </c>
      <c r="Q234" s="626">
        <f>'[24]Desember 24'!AL228</f>
        <v>0</v>
      </c>
      <c r="R234" s="911"/>
      <c r="S234" s="63">
        <f>SUM(F234:Q234)</f>
        <v>2136399</v>
      </c>
      <c r="T234" s="858">
        <v>41118000</v>
      </c>
      <c r="U234" s="968">
        <f>S234/T234*100</f>
        <v>5.1957755727418649</v>
      </c>
      <c r="W234" s="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R234" s="71"/>
      <c r="AX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DA234" s="1"/>
    </row>
    <row r="235" spans="2:933" x14ac:dyDescent="0.25">
      <c r="B235" s="920"/>
      <c r="C235" s="766" t="s">
        <v>1</v>
      </c>
      <c r="D235" s="834">
        <f>SUM(D232:D234)</f>
        <v>408000</v>
      </c>
      <c r="E235" s="683" t="s">
        <v>14</v>
      </c>
      <c r="F235" s="784">
        <f t="shared" ref="F235:Q235" si="114">SUM(F232:F234)</f>
        <v>4927889</v>
      </c>
      <c r="G235" s="784">
        <f t="shared" si="114"/>
        <v>3183848</v>
      </c>
      <c r="H235" s="784">
        <f>'[24]Maret 24'!AL229</f>
        <v>1241817</v>
      </c>
      <c r="I235" s="784">
        <f>'[25]April - 24'!$AK$230</f>
        <v>0</v>
      </c>
      <c r="J235" s="784">
        <f>'[26]Mei - 24'!$AL$230</f>
        <v>0</v>
      </c>
      <c r="K235" s="784">
        <f t="shared" si="114"/>
        <v>3827086</v>
      </c>
      <c r="L235" s="784">
        <f t="shared" si="114"/>
        <v>4916977</v>
      </c>
      <c r="M235" s="784">
        <f t="shared" si="114"/>
        <v>6506822</v>
      </c>
      <c r="N235" s="784">
        <f t="shared" si="114"/>
        <v>0</v>
      </c>
      <c r="O235" s="784">
        <f t="shared" si="114"/>
        <v>0</v>
      </c>
      <c r="P235" s="784">
        <f t="shared" si="114"/>
        <v>0</v>
      </c>
      <c r="Q235" s="784">
        <f t="shared" si="114"/>
        <v>0</v>
      </c>
      <c r="R235" s="925"/>
      <c r="S235" s="835">
        <f>SUM(S232:S234)</f>
        <v>24604439</v>
      </c>
      <c r="T235" s="896">
        <f>SUM(T232:T234)</f>
        <v>110880000</v>
      </c>
      <c r="U235" s="968">
        <f>S235/T235*100</f>
        <v>22.190150613275613</v>
      </c>
      <c r="W235" s="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R235" s="71"/>
      <c r="AX235" s="2"/>
      <c r="BD235" s="161"/>
      <c r="BE235" s="16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CH235" s="161"/>
      <c r="DA235" s="1"/>
      <c r="DP235" s="622"/>
      <c r="DQ235" s="161"/>
      <c r="DR235" s="161"/>
      <c r="DS235" s="161"/>
      <c r="DT235" s="161"/>
      <c r="FW235" s="161"/>
      <c r="JR235" s="161"/>
      <c r="JS235" s="161"/>
      <c r="JT235" s="161"/>
      <c r="JU235" s="161"/>
      <c r="OY235" s="161"/>
      <c r="OZ235" s="161"/>
      <c r="PB235" s="161"/>
      <c r="PP235" s="825"/>
      <c r="PT235" s="161"/>
      <c r="RW235" s="825"/>
      <c r="AHF235" s="161"/>
      <c r="AIU235" s="161"/>
      <c r="AIV235" s="161"/>
      <c r="AIW235" s="161"/>
    </row>
    <row r="236" spans="2:933" x14ac:dyDescent="0.25">
      <c r="B236" s="919">
        <v>11</v>
      </c>
      <c r="C236" s="708" t="s">
        <v>13</v>
      </c>
      <c r="D236" s="836"/>
      <c r="E236" s="85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911"/>
      <c r="S236" s="829" t="s">
        <v>135</v>
      </c>
      <c r="T236" s="893" t="s">
        <v>135</v>
      </c>
      <c r="U236" s="995" t="s">
        <v>135</v>
      </c>
      <c r="W236" s="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R236" s="71"/>
      <c r="AX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DA236" s="1"/>
    </row>
    <row r="237" spans="2:933" ht="16.5" x14ac:dyDescent="0.25">
      <c r="B237" s="924"/>
      <c r="C237" s="759" t="s">
        <v>12</v>
      </c>
      <c r="D237" s="837">
        <v>750</v>
      </c>
      <c r="E237" s="760" t="s">
        <v>385</v>
      </c>
      <c r="F237" s="768">
        <f>'[24]Januari 24'!AL231</f>
        <v>17554</v>
      </c>
      <c r="G237" s="768">
        <f>'[24]Februari 24'!AL231</f>
        <v>16703</v>
      </c>
      <c r="H237" s="768">
        <f>'[24]Maret 24'!AL231</f>
        <v>3331</v>
      </c>
      <c r="I237" s="768">
        <f>'[25]April - 24'!$AK$234</f>
        <v>0</v>
      </c>
      <c r="J237" s="768">
        <f>'[26]Mei - 24'!$AL$232</f>
        <v>0</v>
      </c>
      <c r="K237" s="768">
        <f>'[27]Juni - 24'!$AL$232</f>
        <v>16314</v>
      </c>
      <c r="L237" s="768">
        <f>'[28]Juli - 2024 ( Revisi )'!$AL$230</f>
        <v>18760</v>
      </c>
      <c r="M237" s="768">
        <f>'Agustus - 2024'!AN238</f>
        <v>22551</v>
      </c>
      <c r="N237" s="768">
        <f>'[24]September 24'!AL231</f>
        <v>0</v>
      </c>
      <c r="O237" s="838">
        <f>'[24]Oktober 24'!AL231</f>
        <v>0</v>
      </c>
      <c r="P237" s="838">
        <f>'[24]November 24'!AL231</f>
        <v>0</v>
      </c>
      <c r="Q237" s="838">
        <f>'[24]Desember 24'!AL231</f>
        <v>0</v>
      </c>
      <c r="S237" s="839">
        <f>SUM(F237:Q237)</f>
        <v>95213</v>
      </c>
      <c r="T237" s="897">
        <v>232503.81</v>
      </c>
      <c r="U237" s="983">
        <f>S237/T237*100</f>
        <v>40.951156886418332</v>
      </c>
      <c r="V237" s="1020"/>
      <c r="W237" s="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R237" s="71"/>
      <c r="AX237" s="183">
        <f>AW237/4</f>
        <v>0</v>
      </c>
      <c r="BD237" s="154"/>
      <c r="BE237" s="154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H237" s="154"/>
      <c r="DA237" s="1"/>
      <c r="DP237" s="704"/>
      <c r="DQ237" s="154"/>
      <c r="DR237" s="154"/>
      <c r="DS237" s="154"/>
      <c r="DT237" s="154"/>
      <c r="FW237" s="154"/>
      <c r="JR237" s="154"/>
      <c r="JS237" s="154"/>
      <c r="JT237" s="154"/>
      <c r="JU237" s="154"/>
      <c r="OY237" s="154"/>
      <c r="OZ237" s="154"/>
      <c r="PB237" s="154"/>
      <c r="PP237" s="697"/>
      <c r="PT237" s="154"/>
      <c r="RW237" s="697"/>
      <c r="AHF237" s="154"/>
      <c r="AIU237" s="154"/>
      <c r="AIV237" s="154"/>
      <c r="AIW237" s="154"/>
    </row>
    <row r="238" spans="2:933" x14ac:dyDescent="0.25">
      <c r="B238" s="924"/>
      <c r="C238" s="840" t="s">
        <v>11</v>
      </c>
      <c r="D238" s="841"/>
      <c r="E238" s="625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S238" s="903" t="s">
        <v>11</v>
      </c>
      <c r="T238" s="898" t="s">
        <v>11</v>
      </c>
      <c r="U238" s="997" t="s">
        <v>11</v>
      </c>
      <c r="W238" s="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R238" s="71"/>
      <c r="AX238" s="16"/>
      <c r="BD238" s="154"/>
      <c r="BE238" s="154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CH238" s="154"/>
      <c r="DA238" s="1"/>
      <c r="DP238" s="704"/>
      <c r="DQ238" s="154"/>
      <c r="DR238" s="154"/>
      <c r="DS238" s="154"/>
      <c r="DT238" s="154"/>
      <c r="FW238" s="154"/>
      <c r="JR238" s="154"/>
      <c r="JS238" s="154"/>
      <c r="JT238" s="154"/>
      <c r="JU238" s="154"/>
      <c r="OY238" s="154"/>
      <c r="OZ238" s="154"/>
      <c r="PB238" s="154"/>
      <c r="PP238" s="697"/>
      <c r="PT238" s="154"/>
      <c r="RW238" s="697"/>
      <c r="AHF238" s="154"/>
      <c r="AIU238" s="154"/>
      <c r="AIV238" s="154"/>
      <c r="AIW238" s="154"/>
    </row>
    <row r="239" spans="2:933" ht="16.5" x14ac:dyDescent="0.25">
      <c r="B239" s="924"/>
      <c r="C239" s="759" t="s">
        <v>10</v>
      </c>
      <c r="D239" s="842">
        <v>91.5</v>
      </c>
      <c r="E239" s="760" t="s">
        <v>385</v>
      </c>
      <c r="F239" s="29">
        <f>'[24]Januari 24'!AL233</f>
        <v>2013</v>
      </c>
      <c r="G239" s="29">
        <f>'[24]Februari 24'!AL233</f>
        <v>1500</v>
      </c>
      <c r="H239" s="29">
        <f>'[24]Maret 24'!AL233</f>
        <v>472</v>
      </c>
      <c r="I239" s="29">
        <f>'[25]April - 24'!$AK$236</f>
        <v>0</v>
      </c>
      <c r="J239" s="29">
        <f>'[26]Mei - 24'!$AL$234</f>
        <v>0</v>
      </c>
      <c r="K239" s="29">
        <f>'[27]Juni - 24'!$AL$234</f>
        <v>1749</v>
      </c>
      <c r="L239" s="29">
        <f>'[28]Juli - 2024 ( Revisi )'!$AL$232</f>
        <v>3095</v>
      </c>
      <c r="M239" s="29">
        <f>'Agustus - 2024'!AN240</f>
        <v>3108</v>
      </c>
      <c r="N239" s="29">
        <f>'[24]September 24'!AL233</f>
        <v>0</v>
      </c>
      <c r="O239" s="289">
        <f>'[24]Oktober 24'!AL233</f>
        <v>0</v>
      </c>
      <c r="P239" s="289">
        <f>'[24]November 24'!AL233</f>
        <v>0</v>
      </c>
      <c r="Q239" s="289">
        <f>'[24]Desember 24'!AL233</f>
        <v>0</v>
      </c>
      <c r="S239" s="843">
        <f t="shared" ref="S239:S242" si="115">SUM(F239:Q239)</f>
        <v>11937</v>
      </c>
      <c r="T239" s="899">
        <v>18496.169999999998</v>
      </c>
      <c r="U239" s="998">
        <f>S239/T239*100</f>
        <v>64.537685369457577</v>
      </c>
      <c r="V239" s="844"/>
      <c r="W239" s="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R239" s="71"/>
      <c r="AX239" s="16"/>
      <c r="BD239" s="154"/>
      <c r="BE239" s="154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CH239" s="154"/>
      <c r="DA239" s="1"/>
      <c r="DP239" s="704"/>
      <c r="DQ239" s="154"/>
      <c r="DR239" s="154"/>
      <c r="DS239" s="154"/>
      <c r="DT239" s="154"/>
      <c r="FW239" s="154"/>
      <c r="JR239" s="154"/>
      <c r="JS239" s="154"/>
      <c r="JT239" s="154"/>
      <c r="JU239" s="154"/>
      <c r="OY239" s="154"/>
      <c r="OZ239" s="154"/>
      <c r="PB239" s="154"/>
      <c r="PP239" s="697"/>
      <c r="PT239" s="154"/>
      <c r="RW239" s="697"/>
      <c r="AFR239" s="845" t="e">
        <f>#REF!-S239</f>
        <v>#REF!</v>
      </c>
      <c r="AHF239" s="154"/>
      <c r="AIU239" s="154"/>
      <c r="AIV239" s="154"/>
      <c r="AIW239" s="154"/>
    </row>
    <row r="240" spans="2:933" ht="16.5" x14ac:dyDescent="0.25">
      <c r="B240" s="924"/>
      <c r="C240" s="759" t="s">
        <v>9</v>
      </c>
      <c r="D240" s="842">
        <v>179.63</v>
      </c>
      <c r="E240" s="760" t="s">
        <v>385</v>
      </c>
      <c r="F240" s="29">
        <f>'[24]Januari 24'!AL234</f>
        <v>1344</v>
      </c>
      <c r="G240" s="29">
        <f>'[24]Februari 24'!AL234</f>
        <v>1063</v>
      </c>
      <c r="H240" s="29">
        <f>'[24]Maret 24'!AL234</f>
        <v>414</v>
      </c>
      <c r="I240" s="29">
        <f>'[25]April - 24'!$AK$237</f>
        <v>0</v>
      </c>
      <c r="J240" s="29">
        <f>'[26]Mei - 24'!$AL$235</f>
        <v>0</v>
      </c>
      <c r="K240" s="29">
        <f>'[27]Juni - 24'!$AL$235</f>
        <v>993</v>
      </c>
      <c r="L240" s="29">
        <f>'[28]Juli - 2024 ( Revisi )'!$AL$233</f>
        <v>1579</v>
      </c>
      <c r="M240" s="29">
        <f>'Agustus - 2024'!AN242</f>
        <v>2405</v>
      </c>
      <c r="N240" s="29">
        <f>'[24]September 24'!AL234</f>
        <v>0</v>
      </c>
      <c r="O240" s="289">
        <f>'[24]Oktober 24'!AL234</f>
        <v>0</v>
      </c>
      <c r="P240" s="289">
        <f>'[24]November 24'!AL234</f>
        <v>0</v>
      </c>
      <c r="Q240" s="289">
        <f>'[24]Desember 24'!AL234</f>
        <v>0</v>
      </c>
      <c r="S240" s="843">
        <f t="shared" si="115"/>
        <v>7798</v>
      </c>
      <c r="T240" s="899">
        <v>31949.61</v>
      </c>
      <c r="U240" s="998">
        <f>S240/T240*100</f>
        <v>24.407183687062219</v>
      </c>
      <c r="W240" s="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R240" s="71"/>
      <c r="AX240" s="16"/>
      <c r="BD240" s="154"/>
      <c r="BE240" s="154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CH240" s="154"/>
      <c r="DA240" s="1"/>
      <c r="DP240" s="704"/>
      <c r="DQ240" s="154"/>
      <c r="DR240" s="154"/>
      <c r="DS240" s="154"/>
      <c r="DT240" s="154"/>
      <c r="FW240" s="154"/>
      <c r="JR240" s="154"/>
      <c r="JS240" s="154"/>
      <c r="JT240" s="154"/>
      <c r="JU240" s="154"/>
      <c r="OY240" s="154"/>
      <c r="OZ240" s="154"/>
      <c r="PB240" s="154"/>
      <c r="PP240" s="697"/>
      <c r="PT240" s="154"/>
      <c r="RW240" s="697"/>
      <c r="AFR240" s="845" t="e">
        <f>#REF!-S240</f>
        <v>#REF!</v>
      </c>
      <c r="AHF240" s="154"/>
      <c r="AIU240" s="154"/>
      <c r="AIV240" s="154"/>
      <c r="AIW240" s="154"/>
    </row>
    <row r="241" spans="2:933" ht="16.5" x14ac:dyDescent="0.25">
      <c r="B241" s="924"/>
      <c r="C241" s="759" t="s">
        <v>8</v>
      </c>
      <c r="D241" s="837">
        <f>44.69%*D237</f>
        <v>335.17499999999995</v>
      </c>
      <c r="E241" s="760" t="s">
        <v>385</v>
      </c>
      <c r="F241" s="289">
        <f>'[24]Januari 24'!AL235</f>
        <v>7297.1</v>
      </c>
      <c r="G241" s="289">
        <f>'[24]Februari 24'!AL235</f>
        <v>3910.2999999999997</v>
      </c>
      <c r="H241" s="289">
        <f>'[24]Maret 24'!AL235</f>
        <v>1557</v>
      </c>
      <c r="I241" s="289">
        <f>'[25]April - 24'!$AK$238</f>
        <v>0</v>
      </c>
      <c r="J241" s="289">
        <f>'[26]Mei - 24'!$AL$236</f>
        <v>0</v>
      </c>
      <c r="K241" s="289">
        <f>'[27]Juni - 24'!$AL$236</f>
        <v>6781.7999999999984</v>
      </c>
      <c r="L241" s="289">
        <f>'[28]Juli - 2024 ( Revisi )'!$AL$234</f>
        <v>8167.3000000000011</v>
      </c>
      <c r="M241" s="289">
        <f>'Agustus - 2024'!AN244</f>
        <v>10010.5</v>
      </c>
      <c r="N241" s="289">
        <f>'[24]September 24'!AL235</f>
        <v>0</v>
      </c>
      <c r="O241" s="289">
        <f>'[24]Oktober 24'!AL235</f>
        <v>0</v>
      </c>
      <c r="P241" s="289">
        <f>'[24]November 24'!AL235</f>
        <v>0</v>
      </c>
      <c r="Q241" s="289">
        <f>'[24]Desember 24'!AL235</f>
        <v>0</v>
      </c>
      <c r="S241" s="843">
        <f t="shared" si="115"/>
        <v>37724</v>
      </c>
      <c r="T241" s="899">
        <v>134857.79999999999</v>
      </c>
      <c r="U241" s="998">
        <f>S241/T241*100</f>
        <v>27.973168774813178</v>
      </c>
      <c r="V241" s="845"/>
      <c r="W241" s="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R241" s="71"/>
      <c r="AX241" s="16"/>
      <c r="BD241" s="154"/>
      <c r="BE241" s="154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CH241" s="154"/>
      <c r="DA241" s="1"/>
      <c r="DP241" s="704"/>
      <c r="DQ241" s="154"/>
      <c r="DR241" s="154"/>
      <c r="DS241" s="154"/>
      <c r="DT241" s="154"/>
      <c r="FW241" s="154"/>
      <c r="JR241" s="154"/>
      <c r="JS241" s="154"/>
      <c r="JT241" s="154"/>
      <c r="JU241" s="154"/>
      <c r="OY241" s="154"/>
      <c r="OZ241" s="154"/>
      <c r="PB241" s="154"/>
      <c r="PP241" s="697"/>
      <c r="PT241" s="154"/>
      <c r="RW241" s="697"/>
      <c r="AHF241" s="154"/>
      <c r="AIU241" s="154"/>
      <c r="AIV241" s="154"/>
      <c r="AIW241" s="154"/>
    </row>
    <row r="242" spans="2:933" ht="16.5" x14ac:dyDescent="0.25">
      <c r="B242" s="924"/>
      <c r="C242" s="759" t="s">
        <v>7</v>
      </c>
      <c r="D242" s="837">
        <f>D237-SUM(D239:D241)</f>
        <v>143.69500000000005</v>
      </c>
      <c r="E242" s="760" t="s">
        <v>385</v>
      </c>
      <c r="F242" s="289">
        <f t="shared" ref="F242:Q242" si="116">F237-(SUM(F239:F241))</f>
        <v>6899.9</v>
      </c>
      <c r="G242" s="289">
        <f>'[24]Februari 24'!AL236</f>
        <v>10229.699999999997</v>
      </c>
      <c r="H242" s="289">
        <f>'[24]Maret 24'!AL236</f>
        <v>888</v>
      </c>
      <c r="I242" s="289">
        <f t="shared" si="116"/>
        <v>0</v>
      </c>
      <c r="J242" s="289">
        <f>'[26]Mei - 24'!$AL$237</f>
        <v>0</v>
      </c>
      <c r="K242" s="289">
        <f t="shared" si="116"/>
        <v>6790.2000000000007</v>
      </c>
      <c r="L242" s="289">
        <f>'[28]Juli - 2024 ( Revisi )'!$AL$235</f>
        <v>6264.6999999999989</v>
      </c>
      <c r="M242" s="289">
        <f>'Agustus - 2024'!AN245</f>
        <v>7027.5</v>
      </c>
      <c r="N242" s="289">
        <f>'[24]September 24'!AL236</f>
        <v>0</v>
      </c>
      <c r="O242" s="289">
        <f>'[24]Oktober 24'!AL236</f>
        <v>0</v>
      </c>
      <c r="P242" s="289">
        <f t="shared" si="116"/>
        <v>0</v>
      </c>
      <c r="Q242" s="289">
        <f t="shared" si="116"/>
        <v>0</v>
      </c>
      <c r="S242" s="843">
        <f t="shared" si="115"/>
        <v>38100</v>
      </c>
      <c r="T242" s="899">
        <f>143.7*231</f>
        <v>33194.699999999997</v>
      </c>
      <c r="U242" s="998">
        <f>S242/T242*100</f>
        <v>114.7773590362317</v>
      </c>
      <c r="V242" s="1021"/>
      <c r="W242" s="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R242" s="71"/>
      <c r="AX242" s="16"/>
      <c r="BD242" s="154"/>
      <c r="BE242" s="154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CH242" s="154"/>
      <c r="DA242" s="1"/>
      <c r="DP242" s="704"/>
      <c r="DQ242" s="154"/>
      <c r="DR242" s="154"/>
      <c r="DS242" s="154"/>
      <c r="DT242" s="154"/>
      <c r="FW242" s="154"/>
      <c r="JR242" s="154"/>
      <c r="JS242" s="154"/>
      <c r="JT242" s="154"/>
      <c r="JU242" s="154"/>
      <c r="OY242" s="154"/>
      <c r="OZ242" s="154"/>
      <c r="PB242" s="154"/>
      <c r="PP242" s="697"/>
      <c r="PT242" s="154"/>
      <c r="RW242" s="697"/>
      <c r="AHF242" s="154"/>
      <c r="AIU242" s="154"/>
      <c r="AIV242" s="154"/>
      <c r="AIW242" s="154"/>
    </row>
    <row r="243" spans="2:933" ht="16.5" x14ac:dyDescent="0.25">
      <c r="B243" s="924"/>
      <c r="C243" s="759" t="s">
        <v>6</v>
      </c>
      <c r="D243" s="837">
        <f>30%*D237</f>
        <v>225</v>
      </c>
      <c r="E243" s="760" t="s">
        <v>385</v>
      </c>
      <c r="F243" s="289">
        <f>'[24]Januari 24'!AL237</f>
        <v>4438</v>
      </c>
      <c r="G243" s="289">
        <f>'[24]Februari 24'!AL237</f>
        <v>2566</v>
      </c>
      <c r="H243" s="289">
        <f>'[24]Maret 24'!AL237</f>
        <v>941</v>
      </c>
      <c r="I243" s="289">
        <f>'[25]April - 24'!$AK$240</f>
        <v>0</v>
      </c>
      <c r="J243" s="289">
        <f>'[26]Mei - 24'!$AL$238</f>
        <v>0</v>
      </c>
      <c r="K243" s="289">
        <f>'[27]Juni - 24'!$AL$238</f>
        <v>3544</v>
      </c>
      <c r="L243" s="289">
        <f>'[28]Juli - 2024 ( Revisi )'!$AL$236</f>
        <v>5782</v>
      </c>
      <c r="M243" s="289">
        <f>'Agustus - 2024'!AN246</f>
        <v>6129</v>
      </c>
      <c r="N243" s="289">
        <f>'[24]September 24'!AL237</f>
        <v>0</v>
      </c>
      <c r="O243" s="289">
        <f>'[24]Oktober 24'!AL237</f>
        <v>0</v>
      </c>
      <c r="P243" s="289">
        <f>'[24]November 24'!AL237</f>
        <v>0</v>
      </c>
      <c r="Q243" s="289">
        <f>'[24]Desember 24'!AL237</f>
        <v>0</v>
      </c>
      <c r="S243" s="843">
        <f>SUM(F243:Q243)</f>
        <v>23400</v>
      </c>
      <c r="T243" s="899">
        <v>47200.23</v>
      </c>
      <c r="U243" s="998">
        <f>S243/T243*100</f>
        <v>49.576029608330295</v>
      </c>
      <c r="W243" s="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R243" s="71"/>
      <c r="AX243" s="16"/>
      <c r="BD243" s="154"/>
      <c r="BE243" s="154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54"/>
      <c r="DA243" s="1"/>
      <c r="DP243" s="704"/>
      <c r="DQ243" s="154"/>
      <c r="DR243" s="154"/>
      <c r="DS243" s="154"/>
      <c r="DT243" s="154"/>
      <c r="FW243" s="154"/>
      <c r="JR243" s="154"/>
      <c r="JS243" s="154"/>
      <c r="JT243" s="154"/>
      <c r="JU243" s="154"/>
      <c r="OY243" s="154"/>
      <c r="OZ243" s="154"/>
      <c r="PB243" s="154"/>
      <c r="PP243" s="697"/>
      <c r="PT243" s="154"/>
      <c r="RW243" s="697"/>
      <c r="AHF243" s="154"/>
      <c r="AIU243" s="154"/>
      <c r="AIV243" s="154"/>
      <c r="AIW243" s="154"/>
    </row>
    <row r="244" spans="2:933" x14ac:dyDescent="0.25">
      <c r="B244" s="1155">
        <v>12</v>
      </c>
      <c r="C244" s="708" t="s">
        <v>5</v>
      </c>
      <c r="D244" s="836"/>
      <c r="E244" s="85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911"/>
      <c r="S244" s="846" t="s">
        <v>136</v>
      </c>
      <c r="T244" s="900" t="s">
        <v>136</v>
      </c>
      <c r="U244" s="999" t="s">
        <v>136</v>
      </c>
      <c r="W244" s="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R244" s="71"/>
      <c r="AX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DA244" s="1"/>
    </row>
    <row r="245" spans="2:933" x14ac:dyDescent="0.25">
      <c r="B245" s="1156"/>
      <c r="C245" s="847" t="s">
        <v>4</v>
      </c>
      <c r="D245" s="848"/>
      <c r="E245" s="849"/>
      <c r="F245" s="626"/>
      <c r="G245" s="626"/>
      <c r="H245" s="626"/>
      <c r="I245" s="626"/>
      <c r="J245" s="626"/>
      <c r="K245" s="626"/>
      <c r="L245" s="626"/>
      <c r="M245" s="626"/>
      <c r="N245" s="626"/>
      <c r="O245" s="626"/>
      <c r="P245" s="626"/>
      <c r="Q245" s="626"/>
      <c r="R245" s="911"/>
      <c r="S245" s="905" t="s">
        <v>4</v>
      </c>
      <c r="T245" s="890" t="s">
        <v>4</v>
      </c>
      <c r="U245" s="993" t="s">
        <v>4</v>
      </c>
      <c r="W245" s="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R245" s="71"/>
      <c r="AX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DA245" s="1"/>
    </row>
    <row r="246" spans="2:933" x14ac:dyDescent="0.25">
      <c r="B246" s="1156"/>
      <c r="C246" s="710" t="s">
        <v>3</v>
      </c>
      <c r="D246" s="830">
        <v>28770</v>
      </c>
      <c r="E246" s="664" t="s">
        <v>2</v>
      </c>
      <c r="F246" s="626">
        <f>'[24]Januari 24'!AL240</f>
        <v>520700</v>
      </c>
      <c r="G246" s="626">
        <f>'[24]Februari 24'!AL240</f>
        <v>417100</v>
      </c>
      <c r="H246" s="785">
        <v>654200</v>
      </c>
      <c r="I246" s="785">
        <f>'[25]April - 24'!$AK$243</f>
        <v>0</v>
      </c>
      <c r="J246" s="626">
        <f>'[26]Mei - 24'!$AL$241</f>
        <v>0</v>
      </c>
      <c r="K246" s="785">
        <f>'[27]Juni - 24'!$AL$241</f>
        <v>407800</v>
      </c>
      <c r="L246" s="626">
        <f>'[28]Juli - 2024 ( Revisi )'!$AL$239</f>
        <v>538900</v>
      </c>
      <c r="M246" s="785">
        <f>'Agustus - 2024'!AN249</f>
        <v>684700</v>
      </c>
      <c r="N246" s="626">
        <f>'[24]September 24'!AL240</f>
        <v>0</v>
      </c>
      <c r="O246" s="626">
        <f>'[24]Oktober 24'!AL240</f>
        <v>0</v>
      </c>
      <c r="P246" s="626">
        <f>'[24]November 24'!AL240</f>
        <v>0</v>
      </c>
      <c r="Q246" s="626">
        <f>'[24]Desember 24'!AL240</f>
        <v>0</v>
      </c>
      <c r="R246" s="911"/>
      <c r="S246" s="637">
        <f>SUM(F246:Q246)</f>
        <v>3223400</v>
      </c>
      <c r="T246" s="860">
        <v>6906893</v>
      </c>
      <c r="U246" s="970">
        <f>S246/T246*100</f>
        <v>46.669320054617899</v>
      </c>
      <c r="W246" s="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R246" s="71"/>
      <c r="AX246" s="183">
        <f>AW246/4</f>
        <v>0</v>
      </c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DA246" s="1"/>
    </row>
    <row r="247" spans="2:933" ht="15.75" thickBot="1" x14ac:dyDescent="0.3">
      <c r="B247" s="1156"/>
      <c r="C247" s="847" t="s">
        <v>1</v>
      </c>
      <c r="D247" s="833"/>
      <c r="E247" s="78" t="s">
        <v>0</v>
      </c>
      <c r="F247" s="784">
        <f>SUM(F246:F246)</f>
        <v>520700</v>
      </c>
      <c r="G247" s="784">
        <f t="shared" ref="G247:Q247" si="117">SUM(G246:G246)</f>
        <v>417100</v>
      </c>
      <c r="H247" s="784">
        <f t="shared" si="117"/>
        <v>654200</v>
      </c>
      <c r="I247" s="784">
        <f t="shared" si="117"/>
        <v>0</v>
      </c>
      <c r="J247" s="784">
        <f t="shared" si="117"/>
        <v>0</v>
      </c>
      <c r="K247" s="784">
        <f t="shared" si="117"/>
        <v>407800</v>
      </c>
      <c r="L247" s="784">
        <f t="shared" si="117"/>
        <v>538900</v>
      </c>
      <c r="M247" s="784">
        <f t="shared" si="117"/>
        <v>684700</v>
      </c>
      <c r="N247" s="784">
        <f t="shared" si="117"/>
        <v>0</v>
      </c>
      <c r="O247" s="784">
        <f t="shared" si="117"/>
        <v>0</v>
      </c>
      <c r="P247" s="784">
        <f t="shared" si="117"/>
        <v>0</v>
      </c>
      <c r="Q247" s="784">
        <f t="shared" si="117"/>
        <v>0</v>
      </c>
      <c r="R247" s="912"/>
      <c r="S247" s="835">
        <f>SUM(F247:Q247)</f>
        <v>3223400</v>
      </c>
      <c r="T247" s="853">
        <v>9666771</v>
      </c>
      <c r="U247" s="1000">
        <f>S247/T247*100</f>
        <v>33.345157343646605</v>
      </c>
      <c r="V247" s="601"/>
      <c r="W247" s="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R247" s="71"/>
      <c r="AX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DA247" s="1"/>
    </row>
    <row r="248" spans="2:933" x14ac:dyDescent="0.25">
      <c r="B248" s="1156"/>
      <c r="C248" s="937" t="s">
        <v>16</v>
      </c>
      <c r="D248" s="945"/>
      <c r="E248" s="945"/>
      <c r="F248" s="946"/>
      <c r="G248" s="946"/>
      <c r="H248" s="946"/>
      <c r="I248" s="720"/>
      <c r="J248" s="946"/>
      <c r="K248" s="946"/>
      <c r="L248" s="946"/>
      <c r="M248" s="946"/>
      <c r="N248" s="941"/>
      <c r="O248" s="851"/>
      <c r="P248" s="851"/>
      <c r="Q248" s="851"/>
      <c r="R248" s="945"/>
      <c r="S248" s="134" t="s">
        <v>16</v>
      </c>
      <c r="AO248" s="71"/>
      <c r="AP248" s="1001"/>
      <c r="AQ248" s="71"/>
      <c r="AS248" s="71"/>
      <c r="BX248" s="1"/>
      <c r="BY248" s="1"/>
      <c r="BZ248" s="1"/>
      <c r="DB248" s="1"/>
    </row>
    <row r="249" spans="2:933" ht="15.75" thickBot="1" x14ac:dyDescent="0.3">
      <c r="B249" s="1156"/>
      <c r="C249" s="938" t="s">
        <v>120</v>
      </c>
      <c r="D249" s="943">
        <v>5404.17</v>
      </c>
      <c r="E249" s="944" t="s">
        <v>2</v>
      </c>
      <c r="F249" s="946"/>
      <c r="G249" s="946"/>
      <c r="H249" s="946"/>
      <c r="I249" s="720"/>
      <c r="J249" s="946"/>
      <c r="K249" s="946"/>
      <c r="L249" s="947">
        <f>'[28]Juli - 2024 ( Revisi )'!$AL$242</f>
        <v>69700</v>
      </c>
      <c r="M249" s="947">
        <f>'Agustus - 2024'!AN252</f>
        <v>104910</v>
      </c>
      <c r="N249" s="941"/>
      <c r="O249" s="851"/>
      <c r="P249" s="851"/>
      <c r="Q249" s="851"/>
      <c r="R249" s="945"/>
      <c r="S249" s="835">
        <f>SUM(E249:Q249)</f>
        <v>174610</v>
      </c>
      <c r="T249" s="852">
        <f>SUM(F249:R249)</f>
        <v>174610</v>
      </c>
    </row>
    <row r="250" spans="2:933" ht="15.75" thickBot="1" x14ac:dyDescent="0.3">
      <c r="B250" s="1156"/>
      <c r="C250" s="938" t="s">
        <v>121</v>
      </c>
      <c r="D250" s="943">
        <v>3850.42</v>
      </c>
      <c r="E250" s="944" t="s">
        <v>2</v>
      </c>
      <c r="F250" s="946"/>
      <c r="G250" s="946"/>
      <c r="H250" s="946"/>
      <c r="I250" s="720"/>
      <c r="J250" s="946"/>
      <c r="K250" s="946"/>
      <c r="L250" s="947">
        <f>'[28]Juli - 2024 ( Revisi )'!$AL$243</f>
        <v>65890</v>
      </c>
      <c r="M250" s="947">
        <f>'Agustus - 2024'!AN253</f>
        <v>80954</v>
      </c>
      <c r="N250" s="941"/>
      <c r="O250" s="851"/>
      <c r="P250" s="851"/>
      <c r="Q250" s="851"/>
      <c r="R250" s="945"/>
      <c r="S250" s="835">
        <f>SUM(E250:Q250)</f>
        <v>146844</v>
      </c>
      <c r="T250" s="853">
        <f>SUM(F250:R250)</f>
        <v>146844</v>
      </c>
    </row>
    <row r="251" spans="2:933" ht="15.75" thickBot="1" x14ac:dyDescent="0.3">
      <c r="B251" s="1156"/>
      <c r="C251" s="939" t="s">
        <v>15</v>
      </c>
      <c r="D251" s="943"/>
      <c r="E251" s="945"/>
      <c r="F251" s="946"/>
      <c r="G251" s="946"/>
      <c r="H251" s="946"/>
      <c r="I251" s="720"/>
      <c r="J251" s="946"/>
      <c r="K251" s="946"/>
      <c r="L251" s="947"/>
      <c r="M251" s="947"/>
      <c r="N251" s="941"/>
      <c r="O251" s="851"/>
      <c r="P251" s="851"/>
      <c r="Q251" s="851"/>
      <c r="R251" s="945"/>
      <c r="S251" s="135" t="s">
        <v>15</v>
      </c>
    </row>
    <row r="252" spans="2:933" ht="15.75" thickBot="1" x14ac:dyDescent="0.3">
      <c r="B252" s="1156"/>
      <c r="C252" s="938" t="s">
        <v>122</v>
      </c>
      <c r="D252" s="943">
        <v>5759.67</v>
      </c>
      <c r="E252" s="944" t="s">
        <v>2</v>
      </c>
      <c r="F252" s="946"/>
      <c r="G252" s="946"/>
      <c r="H252" s="946"/>
      <c r="I252" s="720"/>
      <c r="J252" s="946"/>
      <c r="K252" s="946"/>
      <c r="L252" s="947">
        <f>'[28]Juli - 2024 ( Revisi )'!$AL$245</f>
        <v>71800</v>
      </c>
      <c r="M252" s="947">
        <f>'Agustus - 2024'!AN255</f>
        <v>107500</v>
      </c>
      <c r="N252" s="941"/>
      <c r="O252" s="851"/>
      <c r="P252" s="851"/>
      <c r="Q252" s="851"/>
      <c r="R252" s="945"/>
      <c r="S252" s="835">
        <f>SUM(E252:Q252)</f>
        <v>179300</v>
      </c>
      <c r="T252" s="854">
        <f>SUM(F252:R252)</f>
        <v>179300</v>
      </c>
    </row>
    <row r="253" spans="2:933" ht="15.75" thickBot="1" x14ac:dyDescent="0.3">
      <c r="B253" s="1156"/>
      <c r="C253" s="938" t="s">
        <v>121</v>
      </c>
      <c r="D253" s="943">
        <v>1308.96</v>
      </c>
      <c r="E253" s="944" t="s">
        <v>2</v>
      </c>
      <c r="F253" s="946"/>
      <c r="G253" s="946"/>
      <c r="H253" s="946"/>
      <c r="I253" s="720"/>
      <c r="J253" s="946"/>
      <c r="K253" s="946"/>
      <c r="L253" s="947">
        <f>'[28]Juli - 2024 ( Revisi )'!$AL$246</f>
        <v>19517</v>
      </c>
      <c r="M253" s="947">
        <f>'Agustus - 2024'!AN256</f>
        <v>26800</v>
      </c>
      <c r="N253" s="941"/>
      <c r="O253" s="851"/>
      <c r="P253" s="851"/>
      <c r="Q253" s="851"/>
      <c r="R253" s="945"/>
      <c r="S253" s="835">
        <f>SUM(E253:Q253)</f>
        <v>46317</v>
      </c>
      <c r="T253" s="853">
        <f>SUM(F253:R253)</f>
        <v>46317</v>
      </c>
    </row>
    <row r="254" spans="2:933" ht="15.75" thickBot="1" x14ac:dyDescent="0.3">
      <c r="B254" s="1156"/>
      <c r="C254" s="939" t="s">
        <v>7</v>
      </c>
      <c r="D254" s="943"/>
      <c r="E254" s="945"/>
      <c r="F254" s="946"/>
      <c r="G254" s="946"/>
      <c r="H254" s="946"/>
      <c r="I254" s="720"/>
      <c r="J254" s="946"/>
      <c r="K254" s="946"/>
      <c r="L254" s="947"/>
      <c r="M254" s="947"/>
      <c r="N254" s="941"/>
      <c r="O254" s="851"/>
      <c r="P254" s="851"/>
      <c r="Q254" s="851"/>
      <c r="R254" s="945"/>
      <c r="S254" s="135" t="s">
        <v>7</v>
      </c>
      <c r="AL254" s="620"/>
      <c r="AM254" s="620"/>
      <c r="AN254" s="620"/>
    </row>
    <row r="255" spans="2:933" ht="15.75" thickBot="1" x14ac:dyDescent="0.3">
      <c r="B255" s="1156"/>
      <c r="C255" s="938" t="s">
        <v>123</v>
      </c>
      <c r="D255" s="943">
        <v>11.81</v>
      </c>
      <c r="E255" s="944" t="s">
        <v>2</v>
      </c>
      <c r="F255" s="946"/>
      <c r="G255" s="946"/>
      <c r="H255" s="946"/>
      <c r="I255" s="720"/>
      <c r="J255" s="946"/>
      <c r="K255" s="946"/>
      <c r="L255" s="947">
        <f>'[28]Juli - 2024 ( Revisi )'!$AL$248</f>
        <v>748.31</v>
      </c>
      <c r="M255" s="947">
        <f>'Agustus - 2024'!AN258</f>
        <v>600.55000000000007</v>
      </c>
      <c r="N255" s="941"/>
      <c r="O255" s="851"/>
      <c r="P255" s="851"/>
      <c r="Q255" s="851"/>
      <c r="R255" s="945"/>
      <c r="S255" s="835">
        <f>SUM(E255:Q255)</f>
        <v>1348.8600000000001</v>
      </c>
      <c r="T255" s="854">
        <f>SUM(F255:R255)</f>
        <v>1348.8600000000001</v>
      </c>
      <c r="AL255" s="620"/>
      <c r="AM255" s="620"/>
      <c r="AN255" s="620"/>
    </row>
    <row r="256" spans="2:933" ht="15.75" thickBot="1" x14ac:dyDescent="0.3">
      <c r="B256" s="1157"/>
      <c r="C256" s="940" t="s">
        <v>124</v>
      </c>
      <c r="D256" s="950">
        <v>241.12</v>
      </c>
      <c r="E256" s="951" t="s">
        <v>2</v>
      </c>
      <c r="F256" s="952"/>
      <c r="G256" s="952"/>
      <c r="H256" s="952"/>
      <c r="I256" s="930"/>
      <c r="J256" s="952"/>
      <c r="K256" s="952"/>
      <c r="L256" s="953">
        <f>'[28]Juli - 2024 ( Revisi )'!$AL$249</f>
        <v>7628.8</v>
      </c>
      <c r="M256" s="953">
        <f>'Agustus - 2024'!AN259</f>
        <v>7864.6</v>
      </c>
      <c r="N256" s="942"/>
      <c r="O256" s="931"/>
      <c r="P256" s="931"/>
      <c r="Q256" s="931"/>
      <c r="R256" s="948"/>
      <c r="S256" s="949">
        <f>SUM(E256:Q256)</f>
        <v>15493.400000000001</v>
      </c>
      <c r="T256" s="853">
        <f>SUM(F256:R256)</f>
        <v>15493.400000000001</v>
      </c>
      <c r="AL256" s="620"/>
      <c r="AM256" s="620"/>
      <c r="AN256" s="620"/>
    </row>
    <row r="257" spans="9:38" x14ac:dyDescent="0.25">
      <c r="I257" s="1"/>
      <c r="AK257" s="4"/>
      <c r="AL257" s="4"/>
    </row>
    <row r="258" spans="9:38" x14ac:dyDescent="0.25">
      <c r="I258" s="1"/>
      <c r="AK258" s="4"/>
      <c r="AL258" s="4"/>
    </row>
    <row r="259" spans="9:38" x14ac:dyDescent="0.25">
      <c r="I259" s="1"/>
    </row>
  </sheetData>
  <mergeCells count="12">
    <mergeCell ref="B244:B256"/>
    <mergeCell ref="B6:B62"/>
    <mergeCell ref="B63:B69"/>
    <mergeCell ref="AF34:AG34"/>
    <mergeCell ref="AF35:AG35"/>
    <mergeCell ref="AH35:AL35"/>
    <mergeCell ref="B4:B5"/>
    <mergeCell ref="C4:C5"/>
    <mergeCell ref="D4:D5"/>
    <mergeCell ref="E4:E5"/>
    <mergeCell ref="F4:Q4"/>
    <mergeCell ref="AF32:AG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7109375" customWidth="1"/>
    <col min="17" max="17" width="13.28515625" customWidth="1"/>
    <col min="18" max="19" width="12.85546875" bestFit="1" customWidth="1"/>
    <col min="20" max="20" width="10.7109375" customWidth="1"/>
    <col min="23" max="23" width="10.5703125" hidden="1" customWidth="1"/>
  </cols>
  <sheetData>
    <row r="2" spans="1:23" ht="19.5" x14ac:dyDescent="0.3">
      <c r="A2" s="1164" t="s">
        <v>177</v>
      </c>
      <c r="B2" s="1164"/>
      <c r="C2" s="1164"/>
      <c r="D2" s="1164"/>
      <c r="E2" s="1164"/>
      <c r="F2" s="1164"/>
      <c r="G2" s="1164"/>
      <c r="H2" s="1164"/>
      <c r="I2" s="1164"/>
      <c r="J2" s="1164"/>
      <c r="K2" s="1164"/>
      <c r="L2" s="1164"/>
      <c r="M2" s="1164"/>
      <c r="N2" s="1164"/>
      <c r="O2" s="1164"/>
      <c r="P2" s="1164"/>
      <c r="Q2" s="1164"/>
      <c r="R2" s="1164"/>
      <c r="S2" s="1164"/>
      <c r="T2" s="1164"/>
    </row>
    <row r="3" spans="1:23" ht="19.5" x14ac:dyDescent="0.3">
      <c r="A3" s="1164" t="s">
        <v>178</v>
      </c>
      <c r="B3" s="1164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</row>
    <row r="4" spans="1:23" x14ac:dyDescent="0.25">
      <c r="A4" s="371"/>
      <c r="B4" s="372"/>
      <c r="C4" s="373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4"/>
      <c r="Q4" s="374"/>
      <c r="R4" s="375"/>
      <c r="S4" s="376"/>
      <c r="T4" s="377"/>
      <c r="U4" s="377"/>
    </row>
    <row r="5" spans="1:23" ht="15.75" x14ac:dyDescent="0.25">
      <c r="A5" s="1167" t="s">
        <v>217</v>
      </c>
      <c r="B5" s="1168"/>
      <c r="C5" s="1168"/>
      <c r="D5" s="1168"/>
      <c r="E5" s="1168"/>
      <c r="F5" s="1168"/>
      <c r="G5" s="1168"/>
      <c r="H5" s="1168"/>
      <c r="I5" s="1168"/>
      <c r="J5" s="1168"/>
      <c r="K5" s="1168"/>
      <c r="L5" s="1168"/>
      <c r="M5" s="1168"/>
      <c r="N5" s="1168"/>
      <c r="O5" s="1168"/>
      <c r="P5" s="1168"/>
      <c r="Q5" s="1168"/>
      <c r="R5" s="1168"/>
      <c r="S5" s="1168"/>
      <c r="T5" s="1168"/>
      <c r="U5" s="1168"/>
    </row>
    <row r="6" spans="1:23" s="338" customFormat="1" ht="38.450000000000003" customHeight="1" x14ac:dyDescent="0.25">
      <c r="A6" s="336" t="s">
        <v>180</v>
      </c>
      <c r="B6" s="336" t="s">
        <v>181</v>
      </c>
      <c r="C6" s="336" t="s">
        <v>182</v>
      </c>
      <c r="D6" s="336" t="s">
        <v>183</v>
      </c>
      <c r="E6" s="336" t="s">
        <v>184</v>
      </c>
      <c r="F6" s="336" t="s">
        <v>185</v>
      </c>
      <c r="G6" s="336" t="s">
        <v>186</v>
      </c>
      <c r="H6" s="336" t="s">
        <v>187</v>
      </c>
      <c r="I6" s="336" t="s">
        <v>188</v>
      </c>
      <c r="J6" s="336" t="s">
        <v>189</v>
      </c>
      <c r="K6" s="336" t="s">
        <v>190</v>
      </c>
      <c r="L6" s="336" t="s">
        <v>191</v>
      </c>
      <c r="M6" s="336" t="s">
        <v>192</v>
      </c>
      <c r="N6" s="359" t="s">
        <v>202</v>
      </c>
      <c r="O6" s="359" t="s">
        <v>203</v>
      </c>
      <c r="P6" s="359" t="s">
        <v>204</v>
      </c>
      <c r="Q6" s="336" t="s">
        <v>205</v>
      </c>
      <c r="R6" s="337" t="s">
        <v>193</v>
      </c>
      <c r="S6" s="336" t="s">
        <v>194</v>
      </c>
      <c r="T6" s="336" t="s">
        <v>195</v>
      </c>
      <c r="U6" s="336" t="s">
        <v>196</v>
      </c>
    </row>
    <row r="7" spans="1:23" x14ac:dyDescent="0.25">
      <c r="A7" s="339">
        <v>1</v>
      </c>
      <c r="B7" s="339" t="s">
        <v>197</v>
      </c>
      <c r="C7" s="340">
        <f>'[23]01 '!$Q$14</f>
        <v>744924</v>
      </c>
      <c r="D7" s="341">
        <f>'[23]02'!$Q$14</f>
        <v>743972</v>
      </c>
      <c r="E7" s="341">
        <f>'[23]03'!$Q$14</f>
        <v>1048435</v>
      </c>
      <c r="F7" s="341">
        <f>'[23]04'!$Q$14</f>
        <v>1114821</v>
      </c>
      <c r="G7" s="341">
        <v>248126</v>
      </c>
      <c r="H7" s="369">
        <v>389481</v>
      </c>
      <c r="I7" s="369">
        <v>104168</v>
      </c>
      <c r="J7" s="369">
        <v>320907</v>
      </c>
      <c r="K7" s="369">
        <v>100743</v>
      </c>
      <c r="L7" s="341">
        <v>512647</v>
      </c>
      <c r="M7" s="369">
        <v>441064</v>
      </c>
      <c r="N7" s="378">
        <v>524002</v>
      </c>
      <c r="O7" s="341">
        <v>568358</v>
      </c>
      <c r="P7" s="341">
        <v>430750</v>
      </c>
      <c r="Q7" s="341"/>
      <c r="R7" s="342">
        <f>SUM(C7:Q7)</f>
        <v>7292398</v>
      </c>
      <c r="S7" s="368"/>
      <c r="T7" s="1166"/>
      <c r="U7" s="1166"/>
    </row>
    <row r="8" spans="1:23" x14ac:dyDescent="0.25">
      <c r="A8" s="339">
        <v>2</v>
      </c>
      <c r="B8" s="339" t="s">
        <v>198</v>
      </c>
      <c r="C8" s="379">
        <v>713300</v>
      </c>
      <c r="D8" s="369">
        <v>708000</v>
      </c>
      <c r="E8" s="369">
        <v>993100</v>
      </c>
      <c r="F8" s="341">
        <v>1056000</v>
      </c>
      <c r="G8" s="369">
        <v>237021</v>
      </c>
      <c r="H8" s="369">
        <v>365100</v>
      </c>
      <c r="I8" s="369">
        <v>44001</v>
      </c>
      <c r="J8" s="369">
        <v>300010</v>
      </c>
      <c r="K8" s="380">
        <v>94507</v>
      </c>
      <c r="L8" s="381">
        <v>488153</v>
      </c>
      <c r="M8" s="380">
        <v>414337</v>
      </c>
      <c r="N8" s="341">
        <v>492952</v>
      </c>
      <c r="O8" s="341">
        <v>532902</v>
      </c>
      <c r="P8" s="341">
        <v>497845</v>
      </c>
      <c r="Q8" s="341"/>
      <c r="R8" s="342">
        <f t="shared" ref="R8:R9" si="0">SUM(C8:Q8)</f>
        <v>6937228</v>
      </c>
      <c r="S8" s="369"/>
      <c r="T8" s="343">
        <f>R8/R7</f>
        <v>0.95129585631502833</v>
      </c>
      <c r="U8" s="343" t="e">
        <f>S8/S7</f>
        <v>#DIV/0!</v>
      </c>
      <c r="W8" s="341" t="e">
        <f>4984655+#REF!</f>
        <v>#REF!</v>
      </c>
    </row>
    <row r="9" spans="1:23" x14ac:dyDescent="0.25">
      <c r="A9" s="339">
        <v>3</v>
      </c>
      <c r="B9" s="339" t="s">
        <v>64</v>
      </c>
      <c r="C9" s="340">
        <f>'[23]01 '!$P$25</f>
        <v>25659</v>
      </c>
      <c r="D9" s="369">
        <v>28786</v>
      </c>
      <c r="E9" s="341">
        <f>'[23]03'!$P$25</f>
        <v>46938</v>
      </c>
      <c r="F9" s="341">
        <f>'[23]04'!$P$24</f>
        <v>48667</v>
      </c>
      <c r="G9" s="369">
        <v>8070</v>
      </c>
      <c r="H9" s="369">
        <v>19280</v>
      </c>
      <c r="I9" s="369">
        <v>3234</v>
      </c>
      <c r="J9" s="369">
        <v>18283</v>
      </c>
      <c r="K9" s="369">
        <v>5131</v>
      </c>
      <c r="L9" s="341">
        <v>20426</v>
      </c>
      <c r="M9" s="341">
        <v>23275</v>
      </c>
      <c r="N9" s="341">
        <v>27655</v>
      </c>
      <c r="O9" s="341">
        <v>25803</v>
      </c>
      <c r="P9" s="341">
        <v>20173</v>
      </c>
      <c r="Q9" s="341"/>
      <c r="R9" s="342">
        <f t="shared" si="0"/>
        <v>321380</v>
      </c>
      <c r="S9" s="369"/>
      <c r="T9" s="343">
        <f>R9/R7</f>
        <v>4.4070551278194085E-2</v>
      </c>
      <c r="U9" s="343" t="e">
        <f>S9/S7</f>
        <v>#DIV/0!</v>
      </c>
    </row>
    <row r="10" spans="1:23" x14ac:dyDescent="0.25">
      <c r="A10" s="371"/>
      <c r="B10" s="372"/>
      <c r="C10" s="367">
        <f>C8/C7</f>
        <v>0.95754734711192013</v>
      </c>
      <c r="D10" s="367">
        <f t="shared" ref="D10:P10" si="1">D8/D7</f>
        <v>0.95164871796250394</v>
      </c>
      <c r="E10" s="367">
        <f t="shared" si="1"/>
        <v>0.94722133465593961</v>
      </c>
      <c r="F10" s="367">
        <f t="shared" si="1"/>
        <v>0.94723726948093012</v>
      </c>
      <c r="G10" s="367">
        <f t="shared" si="1"/>
        <v>0.95524451286846201</v>
      </c>
      <c r="H10" s="367">
        <f t="shared" si="1"/>
        <v>0.93740131097537494</v>
      </c>
      <c r="I10" s="367">
        <f t="shared" si="1"/>
        <v>0.42240419322632672</v>
      </c>
      <c r="J10" s="367">
        <f t="shared" si="1"/>
        <v>0.9348814454031853</v>
      </c>
      <c r="K10" s="367">
        <f t="shared" si="1"/>
        <v>0.93809991761214173</v>
      </c>
      <c r="L10" s="367">
        <f t="shared" si="1"/>
        <v>0.95222053381761718</v>
      </c>
      <c r="M10" s="367">
        <f t="shared" si="1"/>
        <v>0.93940335189450963</v>
      </c>
      <c r="N10" s="367">
        <f t="shared" si="1"/>
        <v>0.94074450097518714</v>
      </c>
      <c r="O10" s="367">
        <f t="shared" si="1"/>
        <v>0.93761678378768309</v>
      </c>
      <c r="P10" s="367">
        <f t="shared" si="1"/>
        <v>1.1557632037144516</v>
      </c>
      <c r="Q10" s="374"/>
      <c r="R10" s="375"/>
      <c r="S10" s="376"/>
      <c r="T10" s="377"/>
      <c r="U10" s="377"/>
    </row>
    <row r="11" spans="1:23" x14ac:dyDescent="0.25">
      <c r="A11" s="371"/>
      <c r="B11" s="372"/>
      <c r="C11" s="367">
        <f>C9/C7*1</f>
        <v>3.4445124603315239E-2</v>
      </c>
      <c r="D11" s="367">
        <f t="shared" ref="D11:P11" si="2">D9/D7*1</f>
        <v>3.8692316377498079E-2</v>
      </c>
      <c r="E11" s="367">
        <f t="shared" si="2"/>
        <v>4.4769585143571135E-2</v>
      </c>
      <c r="F11" s="367">
        <f t="shared" si="2"/>
        <v>4.3654541850216312E-2</v>
      </c>
      <c r="G11" s="367">
        <f t="shared" si="2"/>
        <v>3.2523798392752067E-2</v>
      </c>
      <c r="H11" s="367">
        <f t="shared" si="2"/>
        <v>4.9501772872104159E-2</v>
      </c>
      <c r="I11" s="367">
        <f t="shared" si="2"/>
        <v>3.1046002611166579E-2</v>
      </c>
      <c r="J11" s="367">
        <f t="shared" si="2"/>
        <v>5.6972892457939531E-2</v>
      </c>
      <c r="K11" s="367">
        <f t="shared" si="2"/>
        <v>5.0931578372690904E-2</v>
      </c>
      <c r="L11" s="367">
        <f t="shared" si="2"/>
        <v>3.9844181278735659E-2</v>
      </c>
      <c r="M11" s="367">
        <f t="shared" si="2"/>
        <v>5.2770119529138626E-2</v>
      </c>
      <c r="N11" s="367">
        <f t="shared" si="2"/>
        <v>5.2776516120167483E-2</v>
      </c>
      <c r="O11" s="367">
        <f t="shared" si="2"/>
        <v>4.5399202615253063E-2</v>
      </c>
      <c r="P11" s="367">
        <f t="shared" si="2"/>
        <v>4.6832269297736505E-2</v>
      </c>
      <c r="Q11" s="374"/>
      <c r="R11" s="375"/>
      <c r="S11" s="376"/>
      <c r="T11" s="377"/>
      <c r="U11" s="377"/>
    </row>
    <row r="12" spans="1:23" x14ac:dyDescent="0.25">
      <c r="A12" s="371"/>
      <c r="B12" s="372" t="s">
        <v>218</v>
      </c>
      <c r="C12" s="367">
        <f>(C7-C8-C9)/C7</f>
        <v>8.0075282847646197E-3</v>
      </c>
      <c r="D12" s="367">
        <f t="shared" ref="D12:P12" si="3">(D7-D8-D9)/D7</f>
        <v>9.6589656599979576E-3</v>
      </c>
      <c r="E12" s="367">
        <f t="shared" si="3"/>
        <v>8.0090802004893005E-3</v>
      </c>
      <c r="F12" s="367">
        <f t="shared" si="3"/>
        <v>9.1081886688535642E-3</v>
      </c>
      <c r="G12" s="367">
        <f t="shared" si="3"/>
        <v>1.223168873878594E-2</v>
      </c>
      <c r="H12" s="367">
        <f t="shared" si="3"/>
        <v>1.309691615252092E-2</v>
      </c>
      <c r="I12" s="367">
        <f>(I7-I8-I9)/I7</f>
        <v>0.54654980416250676</v>
      </c>
      <c r="J12" s="367">
        <f t="shared" si="3"/>
        <v>8.1456621388751264E-3</v>
      </c>
      <c r="K12" s="367">
        <f t="shared" si="3"/>
        <v>1.0968504015167307E-2</v>
      </c>
      <c r="L12" s="367">
        <f t="shared" si="3"/>
        <v>7.9352849036471492E-3</v>
      </c>
      <c r="M12" s="367">
        <f t="shared" si="3"/>
        <v>7.8265285763517312E-3</v>
      </c>
      <c r="N12" s="367">
        <f t="shared" si="3"/>
        <v>6.4789829046454023E-3</v>
      </c>
      <c r="O12" s="367">
        <f t="shared" si="3"/>
        <v>1.6984013597063821E-2</v>
      </c>
      <c r="P12" s="367">
        <f t="shared" si="3"/>
        <v>-0.20259547301218805</v>
      </c>
      <c r="Q12" s="374"/>
      <c r="R12" s="375"/>
      <c r="S12" s="376"/>
      <c r="T12" s="377"/>
      <c r="U12" s="377"/>
    </row>
    <row r="13" spans="1:23" x14ac:dyDescent="0.25">
      <c r="A13" s="371"/>
      <c r="B13" s="372"/>
      <c r="C13" s="367"/>
      <c r="D13" s="367"/>
      <c r="E13" s="367"/>
      <c r="F13" s="367"/>
      <c r="G13" s="367"/>
      <c r="H13" s="367"/>
      <c r="I13" s="367"/>
      <c r="J13" s="367"/>
      <c r="K13" s="367"/>
      <c r="L13" s="367"/>
      <c r="M13" s="367"/>
      <c r="N13" s="367"/>
      <c r="O13" s="367"/>
      <c r="P13" s="367"/>
      <c r="Q13" s="374"/>
      <c r="R13" s="375"/>
      <c r="S13" s="376"/>
      <c r="T13" s="377"/>
      <c r="U13" s="377"/>
    </row>
    <row r="14" spans="1:23" ht="15.75" x14ac:dyDescent="0.25">
      <c r="A14" s="1167" t="s">
        <v>219</v>
      </c>
      <c r="B14" s="1168"/>
      <c r="C14" s="1168"/>
      <c r="D14" s="1168"/>
      <c r="E14" s="1168"/>
      <c r="F14" s="1168"/>
      <c r="G14" s="1168"/>
      <c r="H14" s="1168"/>
      <c r="I14" s="1168"/>
      <c r="J14" s="1168"/>
      <c r="K14" s="1168"/>
      <c r="L14" s="1168"/>
      <c r="M14" s="1168"/>
      <c r="N14" s="1168"/>
      <c r="O14" s="1168"/>
      <c r="P14" s="1168"/>
      <c r="Q14" s="1168"/>
      <c r="R14" s="1168"/>
      <c r="S14" s="1168"/>
      <c r="T14" s="1168"/>
      <c r="U14" s="1168"/>
    </row>
    <row r="15" spans="1:23" s="338" customFormat="1" ht="38.450000000000003" customHeight="1" x14ac:dyDescent="0.25">
      <c r="A15" s="336" t="s">
        <v>180</v>
      </c>
      <c r="B15" s="336" t="s">
        <v>181</v>
      </c>
      <c r="C15" s="336" t="s">
        <v>182</v>
      </c>
      <c r="D15" s="336" t="s">
        <v>183</v>
      </c>
      <c r="E15" s="336" t="s">
        <v>184</v>
      </c>
      <c r="F15" s="336" t="s">
        <v>185</v>
      </c>
      <c r="G15" s="336" t="s">
        <v>186</v>
      </c>
      <c r="H15" s="336" t="s">
        <v>187</v>
      </c>
      <c r="I15" s="336" t="s">
        <v>188</v>
      </c>
      <c r="J15" s="336" t="s">
        <v>189</v>
      </c>
      <c r="K15" s="336" t="s">
        <v>190</v>
      </c>
      <c r="L15" s="336" t="s">
        <v>191</v>
      </c>
      <c r="M15" s="336" t="s">
        <v>192</v>
      </c>
      <c r="N15" s="359" t="s">
        <v>202</v>
      </c>
      <c r="O15" s="359" t="s">
        <v>203</v>
      </c>
      <c r="P15" s="359" t="s">
        <v>204</v>
      </c>
      <c r="Q15" s="336" t="s">
        <v>205</v>
      </c>
      <c r="R15" s="337" t="s">
        <v>193</v>
      </c>
      <c r="S15" s="336" t="s">
        <v>194</v>
      </c>
      <c r="T15" s="336" t="s">
        <v>195</v>
      </c>
      <c r="U15" s="336" t="s">
        <v>196</v>
      </c>
    </row>
    <row r="16" spans="1:23" x14ac:dyDescent="0.25">
      <c r="A16" s="339">
        <v>1</v>
      </c>
      <c r="B16" s="339" t="s">
        <v>197</v>
      </c>
      <c r="C16" s="340">
        <v>680800</v>
      </c>
      <c r="D16" s="341">
        <v>806400</v>
      </c>
      <c r="E16" s="341">
        <v>858600</v>
      </c>
      <c r="F16" s="341">
        <v>898100</v>
      </c>
      <c r="G16" s="341">
        <v>26100</v>
      </c>
      <c r="H16" s="341">
        <v>513200</v>
      </c>
      <c r="I16" s="341">
        <v>119200</v>
      </c>
      <c r="J16" s="341">
        <v>208900</v>
      </c>
      <c r="K16" s="341">
        <v>147700</v>
      </c>
      <c r="L16" s="341">
        <v>425800</v>
      </c>
      <c r="M16" s="341">
        <v>347900</v>
      </c>
      <c r="N16" s="341">
        <v>459100</v>
      </c>
      <c r="O16" s="341">
        <v>509200</v>
      </c>
      <c r="P16" s="341">
        <v>396700</v>
      </c>
      <c r="Q16" s="341">
        <v>20200</v>
      </c>
      <c r="R16" s="342">
        <f>SUM(C16:Q16)</f>
        <v>6417900</v>
      </c>
      <c r="S16" s="368">
        <f>5745000+14073+R19</f>
        <v>7292813</v>
      </c>
      <c r="T16" s="1166"/>
      <c r="U16" s="1166"/>
    </row>
    <row r="17" spans="1:23" x14ac:dyDescent="0.25">
      <c r="A17" s="339">
        <v>2</v>
      </c>
      <c r="B17" s="339" t="s">
        <v>198</v>
      </c>
      <c r="C17" s="340">
        <v>722400</v>
      </c>
      <c r="D17" s="341">
        <v>826700</v>
      </c>
      <c r="E17" s="341">
        <v>980700</v>
      </c>
      <c r="F17" s="341">
        <v>980600</v>
      </c>
      <c r="G17" s="341">
        <v>19900</v>
      </c>
      <c r="H17" s="341">
        <v>582000</v>
      </c>
      <c r="I17" s="341">
        <v>150500</v>
      </c>
      <c r="J17" s="341">
        <v>215300</v>
      </c>
      <c r="K17" s="364">
        <v>70837</v>
      </c>
      <c r="L17" s="364">
        <v>488153</v>
      </c>
      <c r="M17" s="364">
        <v>379337</v>
      </c>
      <c r="N17" s="341">
        <v>502200</v>
      </c>
      <c r="O17" s="341">
        <v>535800</v>
      </c>
      <c r="P17" s="341">
        <v>412600</v>
      </c>
      <c r="Q17" s="341">
        <v>92100</v>
      </c>
      <c r="R17" s="342">
        <f t="shared" ref="R17:R18" si="4">SUM(C17:Q17)</f>
        <v>6959127</v>
      </c>
      <c r="S17" s="369">
        <f>SUM(C17:M17)+R20</f>
        <v>6940126</v>
      </c>
      <c r="T17" s="343">
        <f>R17/R16</f>
        <v>1.0843308558874398</v>
      </c>
      <c r="U17" s="343">
        <f>S17/S16</f>
        <v>0.95163910002902863</v>
      </c>
      <c r="W17" s="341">
        <f>4984655+R20</f>
        <v>6508354</v>
      </c>
    </row>
    <row r="18" spans="1:23" x14ac:dyDescent="0.25">
      <c r="A18" s="339">
        <v>3</v>
      </c>
      <c r="B18" s="339" t="s">
        <v>64</v>
      </c>
      <c r="C18" s="340">
        <v>37300</v>
      </c>
      <c r="D18" s="341">
        <v>38700</v>
      </c>
      <c r="E18" s="341">
        <v>49500</v>
      </c>
      <c r="F18" s="341">
        <v>47100</v>
      </c>
      <c r="G18" s="341">
        <v>3800</v>
      </c>
      <c r="H18" s="341">
        <v>30300</v>
      </c>
      <c r="I18" s="341">
        <v>9300</v>
      </c>
      <c r="J18" s="341">
        <v>14000</v>
      </c>
      <c r="K18" s="341">
        <v>14800</v>
      </c>
      <c r="L18" s="341">
        <v>25100</v>
      </c>
      <c r="M18" s="341">
        <v>23400</v>
      </c>
      <c r="N18" s="341">
        <v>23900</v>
      </c>
      <c r="O18" s="341">
        <v>26800</v>
      </c>
      <c r="P18" s="341">
        <v>22200</v>
      </c>
      <c r="Q18" s="341">
        <v>5900</v>
      </c>
      <c r="R18" s="342">
        <f t="shared" si="4"/>
        <v>372100</v>
      </c>
      <c r="S18" s="369">
        <f>248746+R21</f>
        <v>322377</v>
      </c>
      <c r="T18" s="343">
        <f>R18/R16</f>
        <v>5.7978466476573336E-2</v>
      </c>
      <c r="U18" s="343">
        <f>S18/S16</f>
        <v>4.4204753364716742E-2</v>
      </c>
    </row>
    <row r="19" spans="1:23" x14ac:dyDescent="0.25">
      <c r="A19" s="344"/>
      <c r="B19" s="344"/>
      <c r="C19" s="367">
        <f>C17/C16</f>
        <v>1.0611045828437133</v>
      </c>
      <c r="D19" s="367">
        <f t="shared" ref="D19:K19" si="5">D17/D16</f>
        <v>1.0251736111111112</v>
      </c>
      <c r="E19" s="367">
        <f t="shared" si="5"/>
        <v>1.1422082459818308</v>
      </c>
      <c r="F19" s="367">
        <f t="shared" si="5"/>
        <v>1.091860594588576</v>
      </c>
      <c r="G19" s="367">
        <f t="shared" si="5"/>
        <v>0.76245210727969348</v>
      </c>
      <c r="H19" s="367">
        <f t="shared" si="5"/>
        <v>1.1340607950116914</v>
      </c>
      <c r="I19" s="367">
        <f t="shared" si="5"/>
        <v>1.2625838926174497</v>
      </c>
      <c r="J19" s="367">
        <f t="shared" si="5"/>
        <v>1.0306366682623265</v>
      </c>
      <c r="K19" s="367">
        <f t="shared" si="5"/>
        <v>0.47960054163845633</v>
      </c>
      <c r="L19" s="355">
        <v>269515</v>
      </c>
      <c r="M19" s="345" t="s">
        <v>206</v>
      </c>
      <c r="N19" s="356">
        <v>534002</v>
      </c>
      <c r="O19" s="357">
        <v>568773</v>
      </c>
      <c r="P19" s="357">
        <v>430750</v>
      </c>
      <c r="Q19" s="357">
        <v>269300</v>
      </c>
      <c r="R19" s="346">
        <f>L19+N19+O19+P19-Q19</f>
        <v>1533740</v>
      </c>
      <c r="S19" s="346"/>
      <c r="U19" s="347">
        <f>100%-U17-U18</f>
        <v>4.1561466062546293E-3</v>
      </c>
      <c r="V19" t="s">
        <v>199</v>
      </c>
    </row>
    <row r="20" spans="1:23" x14ac:dyDescent="0.25">
      <c r="A20" s="344"/>
      <c r="B20" s="344"/>
      <c r="C20" s="345"/>
      <c r="M20" s="345" t="s">
        <v>198</v>
      </c>
      <c r="N20" s="356">
        <v>492952</v>
      </c>
      <c r="O20" s="357">
        <v>532902</v>
      </c>
      <c r="P20" s="357">
        <v>497845</v>
      </c>
      <c r="Q20" s="357"/>
      <c r="R20" s="346">
        <f>SUM(N20:P20)</f>
        <v>1523699</v>
      </c>
    </row>
    <row r="21" spans="1:23" x14ac:dyDescent="0.25">
      <c r="A21" s="344"/>
      <c r="B21" s="344"/>
      <c r="C21" s="345"/>
      <c r="M21" s="345"/>
      <c r="N21" s="385">
        <v>27655</v>
      </c>
      <c r="O21" s="357">
        <v>25803</v>
      </c>
      <c r="P21" s="357">
        <v>20173</v>
      </c>
      <c r="Q21" s="357"/>
      <c r="R21" s="346">
        <f>SUM(N21:P21)</f>
        <v>73631</v>
      </c>
    </row>
    <row r="22" spans="1:23" ht="19.5" x14ac:dyDescent="0.3">
      <c r="A22" s="334"/>
      <c r="B22" s="366" t="s">
        <v>213</v>
      </c>
      <c r="C22" s="1163" t="s">
        <v>214</v>
      </c>
      <c r="D22" s="1163"/>
      <c r="E22" s="1163"/>
      <c r="F22" s="1163"/>
      <c r="G22" s="1163"/>
      <c r="H22" s="1163"/>
      <c r="I22" s="1163"/>
      <c r="J22" s="1163"/>
      <c r="K22" s="1163"/>
      <c r="L22" s="1163"/>
      <c r="M22" s="345"/>
      <c r="N22" s="365"/>
      <c r="O22" s="365"/>
      <c r="P22" s="358"/>
      <c r="Q22" s="358"/>
      <c r="R22" s="346"/>
    </row>
    <row r="23" spans="1:23" ht="19.5" x14ac:dyDescent="0.3">
      <c r="A23" s="334"/>
      <c r="B23" s="334"/>
      <c r="C23" s="1161" t="s">
        <v>215</v>
      </c>
      <c r="D23" s="1161"/>
      <c r="E23" s="1161"/>
      <c r="F23" s="1161"/>
      <c r="G23" s="1161"/>
      <c r="H23" s="1161"/>
      <c r="I23" s="1161"/>
      <c r="J23" s="1161"/>
      <c r="K23" s="1161"/>
      <c r="L23" s="1161"/>
      <c r="M23" s="345"/>
      <c r="N23" s="365"/>
      <c r="O23" s="365"/>
      <c r="P23" s="358"/>
      <c r="Q23" s="358"/>
      <c r="R23" s="346"/>
    </row>
    <row r="24" spans="1:23" ht="19.5" x14ac:dyDescent="0.3">
      <c r="A24" s="334"/>
      <c r="B24" s="334"/>
      <c r="C24" s="1161" t="s">
        <v>216</v>
      </c>
      <c r="D24" s="1161"/>
      <c r="E24" s="1161"/>
      <c r="F24" s="1161"/>
      <c r="G24" s="1161"/>
      <c r="H24" s="1161"/>
      <c r="I24" s="1161"/>
      <c r="J24" s="1161"/>
      <c r="K24" s="344"/>
      <c r="L24" s="344"/>
      <c r="M24" s="345"/>
      <c r="N24" s="365"/>
      <c r="O24" s="365"/>
      <c r="P24" s="358"/>
      <c r="Q24" s="358"/>
      <c r="R24" s="346"/>
    </row>
    <row r="25" spans="1:23" ht="19.5" x14ac:dyDescent="0.3">
      <c r="A25" s="1164" t="s">
        <v>200</v>
      </c>
      <c r="B25" s="1164"/>
      <c r="C25" s="335"/>
      <c r="D25" s="335"/>
      <c r="E25" s="335"/>
      <c r="F25" s="335"/>
      <c r="G25" s="335"/>
      <c r="H25" s="334"/>
      <c r="I25" s="335"/>
      <c r="J25" s="335"/>
      <c r="K25" s="335"/>
      <c r="L25" s="335"/>
      <c r="M25" s="345"/>
      <c r="N25" s="358"/>
      <c r="O25" s="358"/>
      <c r="P25" s="358"/>
      <c r="Q25" s="358"/>
      <c r="R25" s="346"/>
    </row>
    <row r="26" spans="1:23" ht="15.75" x14ac:dyDescent="0.25">
      <c r="A26" s="1165" t="s">
        <v>179</v>
      </c>
      <c r="B26" s="1165"/>
      <c r="C26" s="1165"/>
      <c r="D26" s="1165"/>
      <c r="E26" s="1165"/>
      <c r="F26" s="1165"/>
      <c r="G26" s="1165"/>
      <c r="H26" s="1165"/>
      <c r="I26" s="1165"/>
      <c r="J26" s="1165"/>
      <c r="K26" s="1165"/>
      <c r="L26" s="1165"/>
      <c r="M26" s="1165"/>
      <c r="N26" s="1165"/>
      <c r="O26" s="1165"/>
      <c r="P26" s="1165"/>
      <c r="Q26" s="1165"/>
      <c r="R26" s="1165"/>
      <c r="S26" s="1165"/>
      <c r="T26" s="1165"/>
    </row>
    <row r="27" spans="1:23" s="338" customFormat="1" ht="38.450000000000003" customHeight="1" x14ac:dyDescent="0.25">
      <c r="A27" s="336" t="s">
        <v>180</v>
      </c>
      <c r="B27" s="336" t="s">
        <v>181</v>
      </c>
      <c r="C27" s="336" t="s">
        <v>182</v>
      </c>
      <c r="D27" s="336" t="s">
        <v>183</v>
      </c>
      <c r="E27" s="336" t="s">
        <v>184</v>
      </c>
      <c r="F27" s="336" t="s">
        <v>185</v>
      </c>
      <c r="G27" s="336" t="s">
        <v>186</v>
      </c>
      <c r="H27" s="336" t="s">
        <v>187</v>
      </c>
      <c r="I27" s="336" t="s">
        <v>188</v>
      </c>
      <c r="J27" s="336" t="s">
        <v>189</v>
      </c>
      <c r="K27" s="336" t="s">
        <v>190</v>
      </c>
      <c r="L27" s="336" t="s">
        <v>191</v>
      </c>
      <c r="M27" s="336" t="s">
        <v>192</v>
      </c>
      <c r="N27" s="336" t="s">
        <v>202</v>
      </c>
      <c r="O27" s="336" t="s">
        <v>203</v>
      </c>
      <c r="P27" s="336" t="s">
        <v>204</v>
      </c>
      <c r="Q27" s="336" t="s">
        <v>205</v>
      </c>
      <c r="R27" s="337" t="s">
        <v>193</v>
      </c>
      <c r="S27" s="336" t="s">
        <v>194</v>
      </c>
      <c r="T27" s="336" t="s">
        <v>129</v>
      </c>
    </row>
    <row r="28" spans="1:23" s="352" customFormat="1" ht="15" customHeight="1" x14ac:dyDescent="0.25">
      <c r="A28" s="336">
        <v>1</v>
      </c>
      <c r="B28" s="348" t="s">
        <v>198</v>
      </c>
      <c r="C28" s="349">
        <v>667300</v>
      </c>
      <c r="D28" s="349">
        <v>695000</v>
      </c>
      <c r="E28" s="349">
        <v>814100</v>
      </c>
      <c r="F28" s="349">
        <v>760000</v>
      </c>
      <c r="G28" s="349">
        <v>620300</v>
      </c>
      <c r="H28" s="349">
        <v>587100</v>
      </c>
      <c r="I28" s="349">
        <v>118500</v>
      </c>
      <c r="J28" s="349">
        <v>0</v>
      </c>
      <c r="K28" s="349">
        <v>253000</v>
      </c>
      <c r="L28" s="349">
        <v>0</v>
      </c>
      <c r="M28" s="349">
        <v>466900</v>
      </c>
      <c r="N28" s="349">
        <v>258400</v>
      </c>
      <c r="O28" s="349">
        <v>584400</v>
      </c>
      <c r="P28" s="349">
        <v>680200</v>
      </c>
      <c r="Q28" s="349"/>
      <c r="R28" s="350">
        <f>SUM(C28:Q28)</f>
        <v>6505200</v>
      </c>
      <c r="S28" s="350"/>
      <c r="T28" s="351"/>
    </row>
    <row r="29" spans="1:23" x14ac:dyDescent="0.25">
      <c r="A29" s="336">
        <v>2</v>
      </c>
      <c r="B29" s="339" t="s">
        <v>201</v>
      </c>
      <c r="C29" s="340">
        <v>518400</v>
      </c>
      <c r="D29" s="353">
        <v>487200</v>
      </c>
      <c r="E29" s="353">
        <v>539100</v>
      </c>
      <c r="F29" s="353">
        <v>571900</v>
      </c>
      <c r="G29" s="353">
        <v>554300</v>
      </c>
      <c r="H29" s="353">
        <v>449900</v>
      </c>
      <c r="I29" s="353">
        <v>209900</v>
      </c>
      <c r="J29" s="353">
        <v>0</v>
      </c>
      <c r="K29" s="353">
        <v>297100</v>
      </c>
      <c r="L29" s="353">
        <v>0</v>
      </c>
      <c r="M29" s="340">
        <v>472500</v>
      </c>
      <c r="N29" s="340">
        <v>207400</v>
      </c>
      <c r="O29" s="340">
        <v>239100</v>
      </c>
      <c r="P29" s="340">
        <v>414100</v>
      </c>
      <c r="Q29" s="340"/>
      <c r="R29" s="350">
        <f t="shared" ref="R29:R30" si="6">SUM(C29:Q29)</f>
        <v>4960900</v>
      </c>
      <c r="S29" s="354"/>
      <c r="T29" s="354"/>
    </row>
    <row r="30" spans="1:23" x14ac:dyDescent="0.25">
      <c r="A30" s="336">
        <v>3</v>
      </c>
      <c r="B30" s="339" t="s">
        <v>73</v>
      </c>
      <c r="C30" s="340">
        <v>207500</v>
      </c>
      <c r="D30" s="353">
        <v>202900</v>
      </c>
      <c r="E30" s="353">
        <v>215500</v>
      </c>
      <c r="F30" s="353">
        <f>27400+151100+55600</f>
        <v>234100</v>
      </c>
      <c r="G30" s="353">
        <v>213300</v>
      </c>
      <c r="H30" s="353">
        <v>183700</v>
      </c>
      <c r="I30" s="353">
        <v>104800</v>
      </c>
      <c r="J30" s="353">
        <v>0</v>
      </c>
      <c r="K30" s="353">
        <v>93900</v>
      </c>
      <c r="L30" s="353">
        <v>0</v>
      </c>
      <c r="M30" s="340">
        <v>172400</v>
      </c>
      <c r="N30" s="340">
        <v>111100</v>
      </c>
      <c r="O30" s="340">
        <v>81200</v>
      </c>
      <c r="P30" s="340">
        <v>193200</v>
      </c>
      <c r="Q30" s="340"/>
      <c r="R30" s="350">
        <f t="shared" si="6"/>
        <v>2013600</v>
      </c>
      <c r="S30" s="354"/>
      <c r="T30" s="354"/>
    </row>
    <row r="31" spans="1:23" x14ac:dyDescent="0.25">
      <c r="A31" s="338"/>
      <c r="B31" s="344"/>
      <c r="C31" s="360"/>
      <c r="D31" s="361"/>
      <c r="E31" s="361"/>
      <c r="F31" s="361"/>
      <c r="G31" s="361"/>
      <c r="H31" s="361"/>
      <c r="I31" s="361"/>
      <c r="J31" s="361"/>
      <c r="K31" s="361"/>
      <c r="L31" s="361"/>
      <c r="M31" s="360"/>
      <c r="N31" s="360"/>
      <c r="O31" s="360"/>
      <c r="P31" s="360"/>
      <c r="Q31" s="360"/>
      <c r="R31" s="362"/>
      <c r="S31" s="363"/>
      <c r="T31" s="363"/>
    </row>
    <row r="32" spans="1:23" x14ac:dyDescent="0.25">
      <c r="O32" s="1162" t="s">
        <v>207</v>
      </c>
      <c r="P32" s="1162"/>
      <c r="Q32" s="1162"/>
      <c r="R32" s="355">
        <f>1311190</f>
        <v>1311190</v>
      </c>
      <c r="S32" s="355"/>
    </row>
    <row r="33" spans="2:19" x14ac:dyDescent="0.25">
      <c r="B33" s="339"/>
      <c r="O33" s="1162" t="s">
        <v>208</v>
      </c>
      <c r="P33" s="1162"/>
      <c r="Q33" s="1162"/>
      <c r="R33" s="355">
        <v>3865830</v>
      </c>
      <c r="S33" s="355"/>
    </row>
    <row r="34" spans="2:19" x14ac:dyDescent="0.25">
      <c r="O34" s="1162" t="s">
        <v>209</v>
      </c>
      <c r="P34" s="1162"/>
      <c r="Q34" s="1162"/>
      <c r="R34" s="355">
        <v>1888995</v>
      </c>
      <c r="S34" s="355"/>
    </row>
    <row r="35" spans="2:19" x14ac:dyDescent="0.25">
      <c r="O35" s="1162" t="s">
        <v>210</v>
      </c>
      <c r="P35" s="1162"/>
      <c r="Q35" s="1162"/>
      <c r="R35" s="355">
        <v>1320540.5602713902</v>
      </c>
      <c r="S35" s="355"/>
    </row>
    <row r="36" spans="2:19" x14ac:dyDescent="0.25">
      <c r="O36" s="382"/>
      <c r="P36" s="382"/>
      <c r="Q36" s="382"/>
      <c r="R36" s="355">
        <f>R32+R33+R34-R35</f>
        <v>5745474.4397286102</v>
      </c>
      <c r="S36" s="355"/>
    </row>
    <row r="37" spans="2:19" x14ac:dyDescent="0.25">
      <c r="O37" s="382"/>
      <c r="P37" s="382"/>
      <c r="Q37" s="382"/>
      <c r="R37" s="355"/>
      <c r="S37" s="355"/>
    </row>
    <row r="38" spans="2:19" x14ac:dyDescent="0.25">
      <c r="O38" s="1161" t="s">
        <v>211</v>
      </c>
      <c r="P38" s="1161"/>
      <c r="Q38" s="1161"/>
      <c r="R38" s="355">
        <v>178489.21760545607</v>
      </c>
      <c r="S38" s="355"/>
    </row>
    <row r="39" spans="2:19" x14ac:dyDescent="0.25">
      <c r="O39" s="1161" t="s">
        <v>212</v>
      </c>
      <c r="P39" s="1161"/>
      <c r="Q39" s="1161"/>
      <c r="R39" s="355">
        <f>SUM(C28:M28)</f>
        <v>4982200</v>
      </c>
      <c r="S39" s="355"/>
    </row>
    <row r="40" spans="2:19" x14ac:dyDescent="0.25">
      <c r="O40" s="1161" t="s">
        <v>210</v>
      </c>
      <c r="P40" s="1161"/>
      <c r="Q40" s="1161"/>
      <c r="R40" s="355"/>
      <c r="S40" s="355"/>
    </row>
    <row r="41" spans="2:19" x14ac:dyDescent="0.25">
      <c r="R41" s="355"/>
      <c r="S41" s="355"/>
    </row>
    <row r="42" spans="2:19" x14ac:dyDescent="0.25">
      <c r="R42" s="355"/>
      <c r="S42" s="355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11</vt:i4>
      </vt:variant>
      <vt:variant>
        <vt:lpstr>Rentang Bernama</vt:lpstr>
      </vt:variant>
      <vt:variant>
        <vt:i4>2</vt:i4>
      </vt:variant>
    </vt:vector>
  </HeadingPairs>
  <TitlesOfParts>
    <vt:vector size="13" baseType="lpstr">
      <vt:lpstr>Agustus - 2024</vt:lpstr>
      <vt:lpstr>HPP REF </vt:lpstr>
      <vt:lpstr>HPP FRACT </vt:lpstr>
      <vt:lpstr>SUMARY HPP</vt:lpstr>
      <vt:lpstr>Convert Gas</vt:lpstr>
      <vt:lpstr>OIP Refinery</vt:lpstr>
      <vt:lpstr>OIP Fract</vt:lpstr>
      <vt:lpstr>Detail Agustus OIP Akhir Plant</vt:lpstr>
      <vt:lpstr>Juli - 2024xx</vt:lpstr>
      <vt:lpstr>2024</vt:lpstr>
      <vt:lpstr>Flow Meter</vt:lpstr>
      <vt:lpstr>'Agustus - 2024'!Print_Area</vt:lpstr>
      <vt:lpstr>'Detail Agustus OIP Akhir Plant'!Print_Area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2025-04-17T01:41:20Z</cp:lastPrinted>
  <dcterms:created xsi:type="dcterms:W3CDTF">2022-09-06T08:59:53Z</dcterms:created>
  <dcterms:modified xsi:type="dcterms:W3CDTF">2025-04-17T09:30:44Z</dcterms:modified>
</cp:coreProperties>
</file>